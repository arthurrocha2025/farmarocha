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  <sheet name="Ped_TAPAJOS" sheetId="7" state="visible" r:id="rId7"/>
    <sheet name="Ped_NAZARIA" sheetId="8" state="visible" r:id="rId8"/>
    <sheet name="Ped_MEDCENTR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COUNTIF(Controle!Q2:Q4687,"&lt;&gt;SEM COTAÇÃO")</f>
        <v/>
      </c>
    </row>
    <row r="7">
      <c r="A7" s="4" t="inlineStr">
        <is>
          <t>Itens ainda sem cotação</t>
        </is>
      </c>
      <c r="B7" s="5">
        <f>COUNTIF(Controle!Q2:Q4687,"SEM COTAÇÃO")</f>
        <v/>
      </c>
    </row>
    <row r="8">
      <c r="A8" s="4" t="inlineStr">
        <is>
          <t>Itens OK (≤ menor hist. ou últ. compra)</t>
        </is>
      </c>
      <c r="B8" s="5">
        <f>COUNTIF(Controle!T2:T4687,"OK*")</f>
        <v/>
      </c>
    </row>
    <row r="9">
      <c r="A9" s="4" t="inlineStr">
        <is>
          <t>Itens acima do histórico</t>
        </is>
      </c>
      <c r="B9" s="5">
        <f>COUNTIF(Controle!T2:T4687,"ACIMA*")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COUNTIF(Controle!Q2:Q4687,"DIMEC")</f>
        <v/>
      </c>
      <c r="F14" s="8">
        <f>Ped_DIMEC!I270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COUNTIF(Controle!Q2:Q4687,"PLUSFARMA")</f>
        <v/>
      </c>
      <c r="F15" s="8">
        <f>Ped_PLUSFARMA!I41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COUNT(Controle!L2:L4687)</f>
        <v/>
      </c>
      <c r="E16" s="7">
        <f>COUNTIF(Controle!Q2:Q4687,"EPAN")</f>
        <v/>
      </c>
      <c r="F16" s="8">
        <f>Ped_EPAN!I126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COUNT(Controle!M2:M4687)</f>
        <v/>
      </c>
      <c r="E17" s="7">
        <f>COUNTIF(Controle!Q2:Q4687,"CENTROFARMA")</f>
        <v/>
      </c>
      <c r="F17" s="8">
        <f>Ped_CENTROFARMA!I123</f>
        <v/>
      </c>
    </row>
    <row r="18">
      <c r="A18" s="7" t="inlineStr">
        <is>
          <t>TAPAJOS</t>
        </is>
      </c>
      <c r="B18" s="7" t="inlineStr">
        <is>
          <t>08/09/2026</t>
        </is>
      </c>
      <c r="C18" s="7" t="inlineStr">
        <is>
          <t>Cód. interno (planilha RFQ)</t>
        </is>
      </c>
      <c r="D18" s="7">
        <f>COUNT(Controle!N2:N4687)</f>
        <v/>
      </c>
      <c r="E18" s="7">
        <f>COUNTIF(Controle!Q2:Q4687,"TAPAJOS")</f>
        <v/>
      </c>
      <c r="F18" s="8">
        <f>Ped_TAPAJOS!I114</f>
        <v/>
      </c>
    </row>
    <row r="19">
      <c r="A19" s="7" t="inlineStr">
        <is>
          <t>NAZARIA</t>
        </is>
      </c>
      <c r="B19" s="7" t="inlineStr">
        <is>
          <t>08/09/2026</t>
        </is>
      </c>
      <c r="C19" s="7" t="inlineStr">
        <is>
          <t>Cód. interno (RFQ, PREÇO FINAL)</t>
        </is>
      </c>
      <c r="D19" s="7">
        <f>COUNT(Controle!O2:O4687)</f>
        <v/>
      </c>
      <c r="E19" s="7">
        <f>COUNTIF(Controle!Q2:Q4687,"NAZARIA")</f>
        <v/>
      </c>
      <c r="F19" s="8">
        <f>Ped_NAZARIA!I681</f>
        <v/>
      </c>
    </row>
    <row r="20">
      <c r="A20" s="7" t="inlineStr">
        <is>
          <t>MEDCENTRO</t>
        </is>
      </c>
      <c r="B20" s="7" t="inlineStr">
        <is>
          <t>08/09/2026</t>
        </is>
      </c>
      <c r="C20" s="7" t="inlineStr">
        <is>
          <t>Cód. interno (planilha RFQ)</t>
        </is>
      </c>
      <c r="D20" s="7">
        <f>COUNT(Controle!P2:P4687)</f>
        <v/>
      </c>
      <c r="E20" s="7">
        <f>COUNTIF(Controle!Q2:Q4687,"MEDCENTRO")</f>
        <v/>
      </c>
      <c r="F20" s="8">
        <f>Ped_MEDCENTRO!I55</f>
        <v/>
      </c>
    </row>
    <row r="21">
      <c r="A21" s="5" t="inlineStr">
        <is>
          <t>TOTAL</t>
        </is>
      </c>
      <c r="D21" s="9">
        <f>SUM(D14:D20)</f>
        <v/>
      </c>
      <c r="E21" s="9">
        <f>SUM(E14:E20)</f>
        <v/>
      </c>
      <c r="F21" s="10">
        <f>SUM(F14:F20)</f>
        <v/>
      </c>
    </row>
    <row r="22">
      <c r="A22" s="3" t="inlineStr">
        <is>
          <t>Aguardando cotação</t>
        </is>
      </c>
    </row>
    <row r="23">
      <c r="A23" s="2" t="inlineStr">
        <is>
          <t>Demais fornecedores: planilha COTACAO_FORNECEDORES_08-09-2026.xlsx enviada; conforme voltarem preenchidas, entram neste comparativo.</t>
        </is>
      </c>
    </row>
    <row r="25">
      <c r="A25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3" customWidth="1" min="17" max="17"/>
    <col width="10" customWidth="1" min="18" max="18"/>
    <col width="9" customWidth="1" min="19" max="19"/>
    <col width="17" customWidth="1" min="20" max="20"/>
    <col width="30" customWidth="1" min="21" max="21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EPAN (un)</t>
        </is>
      </c>
      <c r="M1" s="11" t="inlineStr">
        <is>
          <t>CENTROFARMA (un)</t>
        </is>
      </c>
      <c r="N1" s="11" t="inlineStr">
        <is>
          <t>TAPAJOS (un)</t>
        </is>
      </c>
      <c r="O1" s="11" t="inlineStr">
        <is>
          <t>NAZARIA (un)</t>
        </is>
      </c>
      <c r="P1" s="11" t="inlineStr">
        <is>
          <t>MEDCENTRO (un)</t>
        </is>
      </c>
      <c r="Q1" s="11" t="inlineStr">
        <is>
          <t>Melhor forn.</t>
        </is>
      </c>
      <c r="R1" s="11" t="inlineStr">
        <is>
          <t>Melhor (un)</t>
        </is>
      </c>
      <c r="S1" s="11" t="inlineStr">
        <is>
          <t>Dif. %</t>
        </is>
      </c>
      <c r="T1" s="11" t="inlineStr">
        <is>
          <t>Status</t>
        </is>
      </c>
      <c r="U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8" t="n"/>
      <c r="M2" s="8" t="n"/>
      <c r="N2" s="8" t="n"/>
      <c r="O2" s="8" t="n"/>
      <c r="P2" s="8" t="n"/>
      <c r="Q2" s="7" t="inlineStr">
        <is>
          <t>SEM COTAÇÃO</t>
        </is>
      </c>
      <c r="R2" s="8" t="n"/>
      <c r="S2" s="14" t="n"/>
      <c r="T2" s="7" t="inlineStr"/>
      <c r="U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8" t="n"/>
      <c r="M3" s="8" t="n"/>
      <c r="N3" s="8" t="n"/>
      <c r="O3" s="8" t="n"/>
      <c r="P3" s="8" t="n"/>
      <c r="Q3" s="7" t="inlineStr">
        <is>
          <t>SEM COTAÇÃO</t>
        </is>
      </c>
      <c r="R3" s="8" t="n"/>
      <c r="S3" s="14" t="n"/>
      <c r="T3" s="7" t="inlineStr"/>
      <c r="U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8" t="n"/>
      <c r="M4" s="8" t="n"/>
      <c r="N4" s="8" t="n"/>
      <c r="O4" s="8" t="n"/>
      <c r="P4" s="8" t="n"/>
      <c r="Q4" s="7" t="inlineStr">
        <is>
          <t>SEM COTAÇÃO</t>
        </is>
      </c>
      <c r="R4" s="8" t="n"/>
      <c r="S4" s="14" t="n"/>
      <c r="T4" s="7" t="inlineStr"/>
      <c r="U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8" t="n"/>
      <c r="M5" s="8" t="n"/>
      <c r="N5" s="8" t="n"/>
      <c r="O5" s="8" t="n"/>
      <c r="P5" s="8" t="n"/>
      <c r="Q5" s="7" t="inlineStr">
        <is>
          <t>SEM COTAÇÃO</t>
        </is>
      </c>
      <c r="R5" s="8" t="n"/>
      <c r="S5" s="14" t="n"/>
      <c r="T5" s="7" t="inlineStr"/>
      <c r="U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8" t="n"/>
      <c r="M6" s="8" t="n"/>
      <c r="N6" s="8" t="n"/>
      <c r="O6" s="8" t="n"/>
      <c r="P6" s="8" t="n"/>
      <c r="Q6" s="7" t="inlineStr">
        <is>
          <t>SEM COTAÇÃO</t>
        </is>
      </c>
      <c r="R6" s="8" t="n"/>
      <c r="S6" s="14" t="n"/>
      <c r="T6" s="7" t="inlineStr"/>
      <c r="U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8" t="n"/>
      <c r="M7" s="8" t="n"/>
      <c r="N7" s="8" t="n"/>
      <c r="O7" s="15" t="n">
        <v>16.3</v>
      </c>
      <c r="P7" s="8" t="n"/>
      <c r="Q7" s="7" t="inlineStr">
        <is>
          <t>NAZARIA</t>
        </is>
      </c>
      <c r="R7" s="8" t="n">
        <v>16.3</v>
      </c>
      <c r="S7" s="14">
        <f>R7/H7-1</f>
        <v/>
      </c>
      <c r="T7" s="16" t="inlineStr">
        <is>
          <t>ACIMA +17.3%</t>
        </is>
      </c>
      <c r="U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8" t="n"/>
      <c r="M8" s="8" t="n"/>
      <c r="N8" s="8" t="n"/>
      <c r="O8" s="8" t="n">
        <v>35.46</v>
      </c>
      <c r="P8" s="8" t="n"/>
      <c r="Q8" s="7" t="inlineStr">
        <is>
          <t>SEM COTAÇÃO</t>
        </is>
      </c>
      <c r="R8" s="8" t="n"/>
      <c r="S8" s="14" t="n"/>
      <c r="T8" s="7" t="inlineStr"/>
      <c r="U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8" t="n"/>
      <c r="M9" s="8" t="n"/>
      <c r="N9" s="8" t="n"/>
      <c r="O9" s="15" t="n">
        <v>14.31</v>
      </c>
      <c r="P9" s="8" t="n"/>
      <c r="Q9" s="7" t="inlineStr">
        <is>
          <t>NAZARIA</t>
        </is>
      </c>
      <c r="R9" s="8" t="n">
        <v>14.31</v>
      </c>
      <c r="S9" s="14">
        <f>R9/H9-1</f>
        <v/>
      </c>
      <c r="T9" s="16" t="inlineStr">
        <is>
          <t>ACIMA +35.2%</t>
        </is>
      </c>
      <c r="U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8" t="n"/>
      <c r="M10" s="8" t="n"/>
      <c r="N10" s="8" t="n"/>
      <c r="O10" s="15" t="n">
        <v>8.76</v>
      </c>
      <c r="P10" s="8" t="n"/>
      <c r="Q10" s="7" t="inlineStr">
        <is>
          <t>NAZARIA</t>
        </is>
      </c>
      <c r="R10" s="8" t="n">
        <v>8.76</v>
      </c>
      <c r="S10" s="14">
        <f>R10/H10-1</f>
        <v/>
      </c>
      <c r="T10" s="16" t="inlineStr">
        <is>
          <t>ACIMA +9.0%</t>
        </is>
      </c>
      <c r="U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8" t="n"/>
      <c r="M11" s="8" t="n"/>
      <c r="N11" s="8" t="n"/>
      <c r="O11" s="8" t="n">
        <v>16.88868</v>
      </c>
      <c r="P11" s="8" t="n"/>
      <c r="Q11" s="7" t="inlineStr">
        <is>
          <t>DIMEC</t>
        </is>
      </c>
      <c r="R11" s="8" t="n">
        <v>12.2</v>
      </c>
      <c r="S11" s="14">
        <f>R11/H11-1</f>
        <v/>
      </c>
      <c r="T11" s="16" t="inlineStr">
        <is>
          <t>ACIMA +30.2%</t>
        </is>
      </c>
      <c r="U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8" t="n"/>
      <c r="M12" s="8" t="n"/>
      <c r="N12" s="8" t="n"/>
      <c r="O12" s="8" t="n"/>
      <c r="P12" s="8" t="n"/>
      <c r="Q12" s="7" t="inlineStr">
        <is>
          <t>SEM COTAÇÃO</t>
        </is>
      </c>
      <c r="R12" s="8" t="n"/>
      <c r="S12" s="14" t="n"/>
      <c r="T12" s="7" t="inlineStr"/>
      <c r="U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8" t="n"/>
      <c r="M13" s="8" t="n"/>
      <c r="N13" s="8" t="n"/>
      <c r="O13" s="15" t="n">
        <v>14.8</v>
      </c>
      <c r="P13" s="8" t="n"/>
      <c r="Q13" s="7" t="inlineStr">
        <is>
          <t>NAZARIA</t>
        </is>
      </c>
      <c r="R13" s="8" t="n">
        <v>14.8</v>
      </c>
      <c r="S13" s="14">
        <f>R13/H13-1</f>
        <v/>
      </c>
      <c r="T13" s="16" t="inlineStr">
        <is>
          <t>ACIMA +12.0%</t>
        </is>
      </c>
      <c r="U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8" t="n"/>
      <c r="M14" s="8" t="n"/>
      <c r="N14" s="8" t="n"/>
      <c r="O14" s="15" t="n">
        <v>12.87</v>
      </c>
      <c r="P14" s="8" t="n"/>
      <c r="Q14" s="7" t="inlineStr">
        <is>
          <t>NAZARIA</t>
        </is>
      </c>
      <c r="R14" s="8" t="n">
        <v>12.87</v>
      </c>
      <c r="S14" s="14">
        <f>R14/H14-1</f>
        <v/>
      </c>
      <c r="T14" s="16" t="inlineStr">
        <is>
          <t>ACIMA +15.0%</t>
        </is>
      </c>
      <c r="U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15" t="n">
        <v>9.109999999999999</v>
      </c>
      <c r="M15" s="8" t="n"/>
      <c r="N15" s="8" t="n"/>
      <c r="O15" s="8" t="n">
        <v>12.87</v>
      </c>
      <c r="P15" s="8" t="n"/>
      <c r="Q15" s="7" t="inlineStr">
        <is>
          <t>EPAN</t>
        </is>
      </c>
      <c r="R15" s="8" t="n">
        <v>9.109999999999999</v>
      </c>
      <c r="S15" s="14">
        <f>R15/H15-1</f>
        <v/>
      </c>
      <c r="T15" s="17" t="inlineStr">
        <is>
          <t>OK (≤ menor hist.)</t>
        </is>
      </c>
      <c r="U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8" t="n"/>
      <c r="M16" s="8" t="n"/>
      <c r="N16" s="8" t="n"/>
      <c r="O16" s="15" t="n">
        <v>12.87</v>
      </c>
      <c r="P16" s="8" t="n"/>
      <c r="Q16" s="7" t="inlineStr">
        <is>
          <t>NAZARIA</t>
        </is>
      </c>
      <c r="R16" s="8" t="n">
        <v>12.87</v>
      </c>
      <c r="S16" s="14">
        <f>R16/H16-1</f>
        <v/>
      </c>
      <c r="T16" s="16" t="inlineStr">
        <is>
          <t>ACIMA +15.0%</t>
        </is>
      </c>
      <c r="U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8" t="n"/>
      <c r="M17" s="8" t="n"/>
      <c r="N17" s="8" t="n"/>
      <c r="O17" s="8" t="n">
        <v>29.58</v>
      </c>
      <c r="P17" s="8" t="n"/>
      <c r="Q17" s="7" t="inlineStr">
        <is>
          <t>SEM COTAÇÃO</t>
        </is>
      </c>
      <c r="R17" s="8" t="n"/>
      <c r="S17" s="14" t="n"/>
      <c r="T17" s="7" t="inlineStr"/>
      <c r="U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8" t="n"/>
      <c r="M18" s="15" t="n">
        <v>139.79</v>
      </c>
      <c r="N18" s="8" t="n"/>
      <c r="O18" s="8" t="n">
        <v>149.12</v>
      </c>
      <c r="P18" s="8" t="n"/>
      <c r="Q18" s="7" t="inlineStr">
        <is>
          <t>CENTROFARMA</t>
        </is>
      </c>
      <c r="R18" s="8" t="n">
        <v>139.79</v>
      </c>
      <c r="S18" s="14">
        <f>R18/H18-1</f>
        <v/>
      </c>
      <c r="T18" s="16" t="inlineStr">
        <is>
          <t>ACIMA +16.5%</t>
        </is>
      </c>
      <c r="U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8" t="n"/>
      <c r="M19" s="15" t="n">
        <v>139.35</v>
      </c>
      <c r="N19" s="8" t="n"/>
      <c r="O19" s="8" t="n">
        <v>149.12</v>
      </c>
      <c r="P19" s="8" t="n"/>
      <c r="Q19" s="7" t="inlineStr">
        <is>
          <t>CENTROFARMA</t>
        </is>
      </c>
      <c r="R19" s="8" t="n">
        <v>139.35</v>
      </c>
      <c r="S19" s="14">
        <f>R19/H19-1</f>
        <v/>
      </c>
      <c r="T19" s="16" t="inlineStr">
        <is>
          <t>ACIMA +30.2%</t>
        </is>
      </c>
      <c r="U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8" t="n"/>
      <c r="M20" s="15" t="n">
        <v>172.99</v>
      </c>
      <c r="N20" s="8" t="n"/>
      <c r="O20" s="8" t="n">
        <v>204.64</v>
      </c>
      <c r="P20" s="8" t="n">
        <v>203.46</v>
      </c>
      <c r="Q20" s="7" t="inlineStr">
        <is>
          <t>CENTROFARMA</t>
        </is>
      </c>
      <c r="R20" s="8" t="n">
        <v>172.99</v>
      </c>
      <c r="S20" s="14">
        <f>R20/H20-1</f>
        <v/>
      </c>
      <c r="T20" s="16" t="inlineStr">
        <is>
          <t>ACIMA +43.9%</t>
        </is>
      </c>
      <c r="U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8" t="n"/>
      <c r="M21" s="15" t="n">
        <v>165.63</v>
      </c>
      <c r="N21" s="8" t="n"/>
      <c r="O21" s="8" t="n">
        <v>204.64</v>
      </c>
      <c r="P21" s="8" t="n">
        <v>203.46</v>
      </c>
      <c r="Q21" s="7" t="inlineStr">
        <is>
          <t>CENTROFARMA</t>
        </is>
      </c>
      <c r="R21" s="8" t="n">
        <v>165.63</v>
      </c>
      <c r="S21" s="14">
        <f>R21/H21-1</f>
        <v/>
      </c>
      <c r="T21" s="16" t="inlineStr">
        <is>
          <t>ACIMA +38.5%</t>
        </is>
      </c>
      <c r="U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8" t="n"/>
      <c r="M22" s="15" t="n">
        <v>184.03</v>
      </c>
      <c r="N22" s="8" t="n"/>
      <c r="O22" s="8" t="n"/>
      <c r="P22" s="8" t="n">
        <v>203.46</v>
      </c>
      <c r="Q22" s="7" t="inlineStr">
        <is>
          <t>CENTROFARMA</t>
        </is>
      </c>
      <c r="R22" s="8" t="n">
        <v>184.03</v>
      </c>
      <c r="S22" s="14">
        <f>R22/H22-1</f>
        <v/>
      </c>
      <c r="T22" s="16" t="inlineStr">
        <is>
          <t>ACIMA +34.7%</t>
        </is>
      </c>
      <c r="U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8" t="n"/>
      <c r="M23" s="8" t="n"/>
      <c r="N23" s="15" t="n">
        <v>119.3</v>
      </c>
      <c r="O23" s="8" t="n">
        <v>144.109</v>
      </c>
      <c r="P23" s="8" t="n"/>
      <c r="Q23" s="7" t="inlineStr">
        <is>
          <t>TAPAJOS</t>
        </is>
      </c>
      <c r="R23" s="8" t="n">
        <v>119.3</v>
      </c>
      <c r="S23" s="14">
        <f>R23/H23-1</f>
        <v/>
      </c>
      <c r="T23" s="17" t="inlineStr">
        <is>
          <t>OK (≤ últ. compra)</t>
        </is>
      </c>
      <c r="U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8" t="n"/>
      <c r="M24" s="8" t="n"/>
      <c r="N24" s="8" t="n"/>
      <c r="O24" s="8" t="n"/>
      <c r="P24" s="8" t="n"/>
      <c r="Q24" s="7" t="inlineStr">
        <is>
          <t>SEM COTAÇÃO</t>
        </is>
      </c>
      <c r="R24" s="8" t="n"/>
      <c r="S24" s="14" t="n"/>
      <c r="T24" s="7" t="inlineStr"/>
      <c r="U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8" t="n"/>
      <c r="M25" s="8" t="n"/>
      <c r="N25" s="8" t="n"/>
      <c r="O25" s="8" t="n"/>
      <c r="P25" s="8" t="n"/>
      <c r="Q25" s="7" t="inlineStr">
        <is>
          <t>SEM COTAÇÃO</t>
        </is>
      </c>
      <c r="R25" s="8" t="n"/>
      <c r="S25" s="14" t="n"/>
      <c r="T25" s="7" t="inlineStr"/>
      <c r="U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8" t="n"/>
      <c r="M26" s="8" t="n"/>
      <c r="N26" s="8" t="n"/>
      <c r="O26" s="8" t="n"/>
      <c r="P26" s="8" t="n"/>
      <c r="Q26" s="7" t="inlineStr">
        <is>
          <t>SEM COTAÇÃO</t>
        </is>
      </c>
      <c r="R26" s="8" t="n"/>
      <c r="S26" s="14" t="n"/>
      <c r="T26" s="7" t="inlineStr"/>
      <c r="U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8" t="n"/>
      <c r="M27" s="8" t="n"/>
      <c r="N27" s="8" t="n"/>
      <c r="O27" s="8" t="n"/>
      <c r="P27" s="8" t="n"/>
      <c r="Q27" s="7" t="inlineStr">
        <is>
          <t>SEM COTAÇÃO</t>
        </is>
      </c>
      <c r="R27" s="8" t="n"/>
      <c r="S27" s="14" t="n"/>
      <c r="T27" s="7" t="inlineStr"/>
      <c r="U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8" t="n"/>
      <c r="M28" s="8" t="n"/>
      <c r="N28" s="8" t="n"/>
      <c r="O28" s="8" t="n"/>
      <c r="P28" s="8" t="n"/>
      <c r="Q28" s="7" t="inlineStr">
        <is>
          <t>SEM COTAÇÃO</t>
        </is>
      </c>
      <c r="R28" s="8" t="n"/>
      <c r="S28" s="14" t="n"/>
      <c r="T28" s="7" t="inlineStr"/>
      <c r="U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8" t="n"/>
      <c r="M29" s="8" t="n"/>
      <c r="N29" s="8" t="n"/>
      <c r="O29" s="8" t="n"/>
      <c r="P29" s="8" t="n"/>
      <c r="Q29" s="7" t="inlineStr">
        <is>
          <t>SEM COTAÇÃO</t>
        </is>
      </c>
      <c r="R29" s="8" t="n"/>
      <c r="S29" s="14" t="n"/>
      <c r="T29" s="7" t="inlineStr"/>
      <c r="U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8" t="n"/>
      <c r="M30" s="8" t="n"/>
      <c r="N30" s="8" t="n"/>
      <c r="O30" s="8" t="n"/>
      <c r="P30" s="8" t="n"/>
      <c r="Q30" s="7" t="inlineStr">
        <is>
          <t>SEM COTAÇÃO</t>
        </is>
      </c>
      <c r="R30" s="8" t="n"/>
      <c r="S30" s="14" t="n"/>
      <c r="T30" s="7" t="inlineStr"/>
      <c r="U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8" t="n"/>
      <c r="M31" s="8" t="n"/>
      <c r="N31" s="8" t="n"/>
      <c r="O31" s="8" t="n"/>
      <c r="P31" s="8" t="n"/>
      <c r="Q31" s="7" t="inlineStr">
        <is>
          <t>SEM COTAÇÃO</t>
        </is>
      </c>
      <c r="R31" s="8" t="n"/>
      <c r="S31" s="14" t="n"/>
      <c r="T31" s="7" t="inlineStr"/>
      <c r="U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8" t="n"/>
      <c r="M32" s="8" t="n"/>
      <c r="N32" s="8" t="n"/>
      <c r="O32" s="8" t="n"/>
      <c r="P32" s="8" t="n"/>
      <c r="Q32" s="7" t="inlineStr">
        <is>
          <t>SEM COTAÇÃO</t>
        </is>
      </c>
      <c r="R32" s="8" t="n"/>
      <c r="S32" s="14" t="n"/>
      <c r="T32" s="7" t="inlineStr"/>
      <c r="U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8" t="n"/>
      <c r="M33" s="8" t="n"/>
      <c r="N33" s="8" t="n"/>
      <c r="O33" s="8" t="n"/>
      <c r="P33" s="8" t="n"/>
      <c r="Q33" s="7" t="inlineStr">
        <is>
          <t>SEM COTAÇÃO</t>
        </is>
      </c>
      <c r="R33" s="8" t="n"/>
      <c r="S33" s="14" t="n"/>
      <c r="T33" s="7" t="inlineStr"/>
      <c r="U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8" t="n"/>
      <c r="M34" s="8" t="n"/>
      <c r="N34" s="8" t="n"/>
      <c r="O34" s="8" t="n"/>
      <c r="P34" s="15" t="n">
        <v>21.1</v>
      </c>
      <c r="Q34" s="7" t="inlineStr">
        <is>
          <t>MEDCENTRO</t>
        </is>
      </c>
      <c r="R34" s="8" t="n">
        <v>21.1</v>
      </c>
      <c r="S34" s="14">
        <f>R34/H34-1</f>
        <v/>
      </c>
      <c r="T34" s="17" t="inlineStr">
        <is>
          <t>OK (≤ menor hist.)</t>
        </is>
      </c>
      <c r="U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8" t="n"/>
      <c r="M35" s="8" t="n"/>
      <c r="N35" s="8" t="n"/>
      <c r="O35" s="8" t="n"/>
      <c r="P35" s="8" t="n"/>
      <c r="Q35" s="7" t="inlineStr">
        <is>
          <t>SEM COTAÇÃO</t>
        </is>
      </c>
      <c r="R35" s="8" t="n"/>
      <c r="S35" s="14" t="n"/>
      <c r="T35" s="7" t="inlineStr"/>
      <c r="U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8" t="n"/>
      <c r="M36" s="8" t="n"/>
      <c r="N36" s="8" t="n"/>
      <c r="O36" s="8" t="n"/>
      <c r="P36" s="8" t="n"/>
      <c r="Q36" s="7" t="inlineStr">
        <is>
          <t>DIMEC</t>
        </is>
      </c>
      <c r="R36" s="8" t="n">
        <v>33.53</v>
      </c>
      <c r="S36" s="14">
        <f>R36/H36-1</f>
        <v/>
      </c>
      <c r="T36" s="17" t="inlineStr">
        <is>
          <t>OK (≤ menor hist.)</t>
        </is>
      </c>
      <c r="U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8" t="n"/>
      <c r="M37" s="8" t="n"/>
      <c r="N37" s="8" t="n"/>
      <c r="O37" s="8" t="n"/>
      <c r="P37" s="8" t="n"/>
      <c r="Q37" s="7" t="inlineStr">
        <is>
          <t>SEM COTAÇÃO</t>
        </is>
      </c>
      <c r="R37" s="8" t="n"/>
      <c r="S37" s="14" t="n"/>
      <c r="T37" s="7" t="inlineStr"/>
      <c r="U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8" t="n"/>
      <c r="M38" s="8" t="n"/>
      <c r="N38" s="8" t="n"/>
      <c r="O38" s="8" t="n"/>
      <c r="P38" s="8" t="n"/>
      <c r="Q38" s="7" t="inlineStr">
        <is>
          <t>SEM COTAÇÃO</t>
        </is>
      </c>
      <c r="R38" s="8" t="n"/>
      <c r="S38" s="14" t="n"/>
      <c r="T38" s="7" t="inlineStr"/>
      <c r="U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8" t="n"/>
      <c r="M39" s="8" t="n"/>
      <c r="N39" s="8" t="n"/>
      <c r="O39" s="8" t="n"/>
      <c r="P39" s="8" t="n"/>
      <c r="Q39" s="7" t="inlineStr">
        <is>
          <t>SEM COTAÇÃO</t>
        </is>
      </c>
      <c r="R39" s="8" t="n"/>
      <c r="S39" s="14" t="n"/>
      <c r="T39" s="7" t="inlineStr"/>
      <c r="U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15" t="n">
        <v>6.4</v>
      </c>
      <c r="K40" s="8" t="n"/>
      <c r="L40" s="8" t="n"/>
      <c r="M40" s="8" t="n">
        <v>6.48</v>
      </c>
      <c r="N40" s="8" t="n"/>
      <c r="O40" s="8" t="n"/>
      <c r="P40" s="8" t="n">
        <v>6.73</v>
      </c>
      <c r="Q40" s="7" t="inlineStr">
        <is>
          <t>DIMEC</t>
        </is>
      </c>
      <c r="R40" s="8" t="n">
        <v>6.4</v>
      </c>
      <c r="S40" s="14">
        <f>R40/H40-1</f>
        <v/>
      </c>
      <c r="T40" s="16" t="inlineStr">
        <is>
          <t>ACIMA +13.3%</t>
        </is>
      </c>
      <c r="U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8" t="n"/>
      <c r="M41" s="8" t="n"/>
      <c r="N41" s="8" t="n"/>
      <c r="O41" s="8" t="n"/>
      <c r="P41" s="8" t="n"/>
      <c r="Q41" s="7" t="inlineStr">
        <is>
          <t>SEM COTAÇÃO</t>
        </is>
      </c>
      <c r="R41" s="8" t="n"/>
      <c r="S41" s="14" t="n"/>
      <c r="T41" s="7" t="inlineStr"/>
      <c r="U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8" t="n"/>
      <c r="M42" s="8" t="n"/>
      <c r="N42" s="8" t="n"/>
      <c r="O42" s="15" t="n">
        <v>41.8943</v>
      </c>
      <c r="P42" s="8" t="n"/>
      <c r="Q42" s="7" t="inlineStr">
        <is>
          <t>NAZARIA</t>
        </is>
      </c>
      <c r="R42" s="8" t="n">
        <v>41.8943</v>
      </c>
      <c r="S42" s="14">
        <f>R42/H42-1</f>
        <v/>
      </c>
      <c r="T42" s="17" t="inlineStr">
        <is>
          <t>OK (≤ últ. compra)</t>
        </is>
      </c>
      <c r="U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8" t="n"/>
      <c r="M43" s="8" t="n"/>
      <c r="N43" s="8" t="n"/>
      <c r="O43" s="8" t="n"/>
      <c r="P43" s="8" t="n"/>
      <c r="Q43" s="7" t="inlineStr">
        <is>
          <t>SEM COTAÇÃO</t>
        </is>
      </c>
      <c r="R43" s="8" t="n"/>
      <c r="S43" s="14" t="n"/>
      <c r="T43" s="7" t="inlineStr"/>
      <c r="U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8" t="n"/>
      <c r="M44" s="8" t="n"/>
      <c r="N44" s="8" t="n"/>
      <c r="O44" s="8" t="n"/>
      <c r="P44" s="8" t="n"/>
      <c r="Q44" s="7" t="inlineStr">
        <is>
          <t>SEM COTAÇÃO</t>
        </is>
      </c>
      <c r="R44" s="8" t="n"/>
      <c r="S44" s="14" t="n"/>
      <c r="T44" s="7" t="inlineStr"/>
      <c r="U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8" t="n"/>
      <c r="M45" s="8" t="n"/>
      <c r="N45" s="8" t="n"/>
      <c r="O45" s="8" t="n"/>
      <c r="P45" s="8" t="n"/>
      <c r="Q45" s="7" t="inlineStr">
        <is>
          <t>SEM COTAÇÃO</t>
        </is>
      </c>
      <c r="R45" s="8" t="n"/>
      <c r="S45" s="14" t="n"/>
      <c r="T45" s="7" t="inlineStr"/>
      <c r="U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8" t="n"/>
      <c r="M46" s="8" t="n"/>
      <c r="N46" s="8" t="n"/>
      <c r="O46" s="8" t="n"/>
      <c r="P46" s="8" t="n"/>
      <c r="Q46" s="7" t="inlineStr">
        <is>
          <t>SEM COTAÇÃO</t>
        </is>
      </c>
      <c r="R46" s="8" t="n"/>
      <c r="S46" s="14" t="n"/>
      <c r="T46" s="7" t="inlineStr"/>
      <c r="U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8" t="n"/>
      <c r="M47" s="8" t="n"/>
      <c r="N47" s="8" t="n"/>
      <c r="O47" s="8" t="n"/>
      <c r="P47" s="8" t="n"/>
      <c r="Q47" s="7" t="inlineStr">
        <is>
          <t>SEM COTAÇÃO</t>
        </is>
      </c>
      <c r="R47" s="8" t="n"/>
      <c r="S47" s="14" t="n"/>
      <c r="T47" s="7" t="inlineStr"/>
      <c r="U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8" t="n"/>
      <c r="M48" s="8" t="n"/>
      <c r="N48" s="8" t="n"/>
      <c r="O48" s="8" t="n"/>
      <c r="P48" s="8" t="n"/>
      <c r="Q48" s="7" t="inlineStr">
        <is>
          <t>SEM COTAÇÃO</t>
        </is>
      </c>
      <c r="R48" s="8" t="n"/>
      <c r="S48" s="14" t="n"/>
      <c r="T48" s="7" t="inlineStr"/>
      <c r="U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8" t="n"/>
      <c r="M49" s="8" t="n"/>
      <c r="N49" s="8" t="n"/>
      <c r="O49" s="8" t="n"/>
      <c r="P49" s="8" t="n"/>
      <c r="Q49" s="7" t="inlineStr">
        <is>
          <t>SEM COTAÇÃO</t>
        </is>
      </c>
      <c r="R49" s="8" t="n"/>
      <c r="S49" s="14" t="n"/>
      <c r="T49" s="7" t="inlineStr"/>
      <c r="U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8" t="n"/>
      <c r="M50" s="8" t="n"/>
      <c r="N50" s="8" t="n"/>
      <c r="O50" s="8" t="n"/>
      <c r="P50" s="8" t="n"/>
      <c r="Q50" s="7" t="inlineStr">
        <is>
          <t>SEM COTAÇÃO</t>
        </is>
      </c>
      <c r="R50" s="8" t="n"/>
      <c r="S50" s="14" t="n"/>
      <c r="T50" s="7" t="inlineStr"/>
      <c r="U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8" t="n"/>
      <c r="M51" s="8" t="n"/>
      <c r="N51" s="8" t="n"/>
      <c r="O51" s="8" t="n"/>
      <c r="P51" s="8" t="n"/>
      <c r="Q51" s="7" t="inlineStr">
        <is>
          <t>SEM COTAÇÃO</t>
        </is>
      </c>
      <c r="R51" s="8" t="n"/>
      <c r="S51" s="14" t="n"/>
      <c r="T51" s="7" t="inlineStr"/>
      <c r="U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8" t="n"/>
      <c r="M52" s="8" t="n"/>
      <c r="N52" s="8" t="n"/>
      <c r="O52" s="8" t="n"/>
      <c r="P52" s="8" t="n"/>
      <c r="Q52" s="7" t="inlineStr">
        <is>
          <t>SEM COTAÇÃO</t>
        </is>
      </c>
      <c r="R52" s="8" t="n"/>
      <c r="S52" s="14" t="n"/>
      <c r="T52" s="7" t="inlineStr"/>
      <c r="U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8" t="n"/>
      <c r="M53" s="8" t="n"/>
      <c r="N53" s="8" t="n"/>
      <c r="O53" s="8" t="n"/>
      <c r="P53" s="8" t="n"/>
      <c r="Q53" s="7" t="inlineStr">
        <is>
          <t>SEM COTAÇÃO</t>
        </is>
      </c>
      <c r="R53" s="8" t="n"/>
      <c r="S53" s="14" t="n"/>
      <c r="T53" s="7" t="inlineStr"/>
      <c r="U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8" t="n"/>
      <c r="M54" s="8" t="n"/>
      <c r="N54" s="8" t="n"/>
      <c r="O54" s="15" t="n">
        <v>20.88</v>
      </c>
      <c r="P54" s="8" t="n"/>
      <c r="Q54" s="7" t="inlineStr">
        <is>
          <t>NAZARIA</t>
        </is>
      </c>
      <c r="R54" s="8" t="n">
        <v>20.88</v>
      </c>
      <c r="S54" s="14">
        <f>R54/H54-1</f>
        <v/>
      </c>
      <c r="T54" s="16" t="inlineStr">
        <is>
          <t>ACIMA +4.3%</t>
        </is>
      </c>
      <c r="U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8" t="n"/>
      <c r="M55" s="8" t="n"/>
      <c r="N55" s="8" t="n"/>
      <c r="O55" s="8" t="n"/>
      <c r="P55" s="8" t="n"/>
      <c r="Q55" s="7" t="inlineStr">
        <is>
          <t>SEM COTAÇÃO</t>
        </is>
      </c>
      <c r="R55" s="8" t="n"/>
      <c r="S55" s="14" t="n"/>
      <c r="T55" s="7" t="inlineStr"/>
      <c r="U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8" t="n"/>
      <c r="M56" s="8" t="n"/>
      <c r="N56" s="8" t="n"/>
      <c r="O56" s="8" t="n">
        <v>5.76</v>
      </c>
      <c r="P56" s="8" t="n"/>
      <c r="Q56" s="7" t="inlineStr">
        <is>
          <t>SEM COTAÇÃO</t>
        </is>
      </c>
      <c r="R56" s="8" t="n"/>
      <c r="S56" s="14" t="n"/>
      <c r="T56" s="7" t="inlineStr"/>
      <c r="U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8" t="n"/>
      <c r="M57" s="8" t="n"/>
      <c r="N57" s="8" t="n"/>
      <c r="O57" s="15" t="n">
        <v>12.28</v>
      </c>
      <c r="P57" s="8" t="n"/>
      <c r="Q57" s="7" t="inlineStr">
        <is>
          <t>NAZARIA</t>
        </is>
      </c>
      <c r="R57" s="8" t="n">
        <v>12.28</v>
      </c>
      <c r="S57" s="14">
        <f>R57/H57-1</f>
        <v/>
      </c>
      <c r="T57" s="16" t="inlineStr">
        <is>
          <t>ACIMA +7.8%</t>
        </is>
      </c>
      <c r="U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8" t="n"/>
      <c r="M58" s="8" t="n"/>
      <c r="N58" s="8" t="n"/>
      <c r="O58" s="15" t="n">
        <v>10.44</v>
      </c>
      <c r="P58" s="8" t="n"/>
      <c r="Q58" s="7" t="inlineStr">
        <is>
          <t>NAZARIA</t>
        </is>
      </c>
      <c r="R58" s="8" t="n">
        <v>10.44</v>
      </c>
      <c r="S58" s="14">
        <f>R58/H58-1</f>
        <v/>
      </c>
      <c r="T58" s="16" t="inlineStr">
        <is>
          <t>ACIMA +18.6%</t>
        </is>
      </c>
      <c r="U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8" t="n"/>
      <c r="M59" s="8" t="n"/>
      <c r="N59" s="8" t="n"/>
      <c r="O59" s="15" t="n">
        <v>15.31</v>
      </c>
      <c r="P59" s="8" t="n"/>
      <c r="Q59" s="7" t="inlineStr">
        <is>
          <t>NAZARIA</t>
        </is>
      </c>
      <c r="R59" s="8" t="n">
        <v>15.31</v>
      </c>
      <c r="S59" s="14">
        <f>R59/H59-1</f>
        <v/>
      </c>
      <c r="T59" s="16" t="inlineStr">
        <is>
          <t>ACIMA +19.1%</t>
        </is>
      </c>
      <c r="U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8" t="n"/>
      <c r="M60" s="8" t="n"/>
      <c r="N60" s="8" t="n"/>
      <c r="O60" s="15" t="n">
        <v>27.24</v>
      </c>
      <c r="P60" s="8" t="n"/>
      <c r="Q60" s="7" t="inlineStr">
        <is>
          <t>NAZARIA</t>
        </is>
      </c>
      <c r="R60" s="8" t="n">
        <v>27.24</v>
      </c>
      <c r="S60" s="14">
        <f>R60/H60-1</f>
        <v/>
      </c>
      <c r="T60" s="16" t="inlineStr">
        <is>
          <t>ACIMA +4.4%</t>
        </is>
      </c>
      <c r="U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8" t="n"/>
      <c r="M61" s="8" t="n"/>
      <c r="N61" s="8" t="n"/>
      <c r="O61" s="8" t="n">
        <v>21</v>
      </c>
      <c r="P61" s="8" t="n"/>
      <c r="Q61" s="7" t="inlineStr">
        <is>
          <t>SEM COTAÇÃO</t>
        </is>
      </c>
      <c r="R61" s="8" t="n"/>
      <c r="S61" s="14" t="n"/>
      <c r="T61" s="7" t="inlineStr"/>
      <c r="U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8" t="n"/>
      <c r="M62" s="8" t="n"/>
      <c r="N62" s="8" t="n"/>
      <c r="O62" s="15" t="n">
        <v>15.98</v>
      </c>
      <c r="P62" s="8" t="n"/>
      <c r="Q62" s="7" t="inlineStr">
        <is>
          <t>NAZARIA</t>
        </is>
      </c>
      <c r="R62" s="8" t="n">
        <v>15.98</v>
      </c>
      <c r="S62" s="14">
        <f>R62/H62-1</f>
        <v/>
      </c>
      <c r="T62" s="16" t="inlineStr">
        <is>
          <t>ACIMA +52.1%</t>
        </is>
      </c>
      <c r="U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8" t="n"/>
      <c r="M63" s="8" t="n"/>
      <c r="N63" s="8" t="n"/>
      <c r="O63" s="8" t="n"/>
      <c r="P63" s="8" t="n"/>
      <c r="Q63" s="7" t="inlineStr">
        <is>
          <t>SEM COTAÇÃO</t>
        </is>
      </c>
      <c r="R63" s="8" t="n"/>
      <c r="S63" s="14" t="n"/>
      <c r="T63" s="7" t="inlineStr"/>
      <c r="U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8" t="n"/>
      <c r="M64" s="8" t="n"/>
      <c r="N64" s="8" t="n"/>
      <c r="O64" s="8" t="n"/>
      <c r="P64" s="8" t="n"/>
      <c r="Q64" s="7" t="inlineStr">
        <is>
          <t>SEM COTAÇÃO</t>
        </is>
      </c>
      <c r="R64" s="8" t="n"/>
      <c r="S64" s="14" t="n"/>
      <c r="T64" s="7" t="inlineStr"/>
      <c r="U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8" t="n"/>
      <c r="M65" s="8" t="n"/>
      <c r="N65" s="8" t="n"/>
      <c r="O65" s="8" t="n"/>
      <c r="P65" s="8" t="n"/>
      <c r="Q65" s="7" t="inlineStr">
        <is>
          <t>SEM COTAÇÃO</t>
        </is>
      </c>
      <c r="R65" s="8" t="n"/>
      <c r="S65" s="14" t="n"/>
      <c r="T65" s="7" t="inlineStr"/>
      <c r="U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8" t="n"/>
      <c r="M66" s="8" t="n"/>
      <c r="N66" s="8" t="n"/>
      <c r="O66" s="8" t="n"/>
      <c r="P66" s="8" t="n"/>
      <c r="Q66" s="7" t="inlineStr">
        <is>
          <t>SEM COTAÇÃO</t>
        </is>
      </c>
      <c r="R66" s="8" t="n"/>
      <c r="S66" s="14" t="n"/>
      <c r="T66" s="7" t="inlineStr"/>
      <c r="U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8" t="n"/>
      <c r="M67" s="8" t="n"/>
      <c r="N67" s="8" t="n"/>
      <c r="O67" s="8" t="n"/>
      <c r="P67" s="8" t="n"/>
      <c r="Q67" s="7" t="inlineStr">
        <is>
          <t>SEM COTAÇÃO</t>
        </is>
      </c>
      <c r="R67" s="8" t="n"/>
      <c r="S67" s="14" t="n"/>
      <c r="T67" s="7" t="inlineStr"/>
      <c r="U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8" t="n"/>
      <c r="M68" s="8" t="n"/>
      <c r="N68" s="8" t="n"/>
      <c r="O68" s="8" t="n"/>
      <c r="P68" s="8" t="n"/>
      <c r="Q68" s="7" t="inlineStr">
        <is>
          <t>SEM COTAÇÃO</t>
        </is>
      </c>
      <c r="R68" s="8" t="n"/>
      <c r="S68" s="14" t="n"/>
      <c r="T68" s="7" t="inlineStr"/>
      <c r="U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15" t="n">
        <v>9.109999999999999</v>
      </c>
      <c r="M69" s="8" t="n"/>
      <c r="N69" s="8" t="n"/>
      <c r="O69" s="8" t="n">
        <v>10.44</v>
      </c>
      <c r="P69" s="8" t="n"/>
      <c r="Q69" s="7" t="inlineStr">
        <is>
          <t>EPAN</t>
        </is>
      </c>
      <c r="R69" s="8" t="n">
        <v>9.109999999999999</v>
      </c>
      <c r="S69" s="14">
        <f>R69/H69-1</f>
        <v/>
      </c>
      <c r="T69" s="17" t="inlineStr">
        <is>
          <t>OK (≤ últ. compra)</t>
        </is>
      </c>
      <c r="U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8" t="n"/>
      <c r="M70" s="8" t="n"/>
      <c r="N70" s="8" t="n"/>
      <c r="O70" s="15" t="n">
        <v>10.44</v>
      </c>
      <c r="P70" s="8" t="n"/>
      <c r="Q70" s="7" t="inlineStr">
        <is>
          <t>NAZARIA</t>
        </is>
      </c>
      <c r="R70" s="8" t="n">
        <v>10.44</v>
      </c>
      <c r="S70" s="14">
        <f>R70/H70-1</f>
        <v/>
      </c>
      <c r="T70" s="16" t="inlineStr">
        <is>
          <t>ACIMA +13.5%</t>
        </is>
      </c>
      <c r="U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15" t="n">
        <v>16.92</v>
      </c>
      <c r="M71" s="8" t="n"/>
      <c r="N71" s="8" t="n"/>
      <c r="O71" s="8" t="n"/>
      <c r="P71" s="8" t="n"/>
      <c r="Q71" s="7" t="inlineStr">
        <is>
          <t>EPAN</t>
        </is>
      </c>
      <c r="R71" s="8" t="n">
        <v>16.92</v>
      </c>
      <c r="S71" s="14">
        <f>R71/H71-1</f>
        <v/>
      </c>
      <c r="T71" s="17" t="inlineStr">
        <is>
          <t>OK (≤ menor hist.)</t>
        </is>
      </c>
      <c r="U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8" t="n"/>
      <c r="M72" s="8" t="n"/>
      <c r="N72" s="8" t="n"/>
      <c r="O72" s="8" t="n"/>
      <c r="P72" s="8" t="n"/>
      <c r="Q72" s="7" t="inlineStr">
        <is>
          <t>SEM COTAÇÃO</t>
        </is>
      </c>
      <c r="R72" s="8" t="n"/>
      <c r="S72" s="14" t="n"/>
      <c r="T72" s="7" t="inlineStr"/>
      <c r="U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7" t="inlineStr">
        <is>
          <t>SEM COTAÇÃO</t>
        </is>
      </c>
      <c r="R73" s="8" t="n"/>
      <c r="S73" s="14" t="n"/>
      <c r="T73" s="7" t="inlineStr"/>
      <c r="U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8" t="n"/>
      <c r="M74" s="8" t="n"/>
      <c r="N74" s="8" t="n"/>
      <c r="O74" s="15" t="n">
        <v>28.09</v>
      </c>
      <c r="P74" s="8" t="n"/>
      <c r="Q74" s="7" t="inlineStr">
        <is>
          <t>NAZARIA</t>
        </is>
      </c>
      <c r="R74" s="8" t="n">
        <v>28.09</v>
      </c>
      <c r="S74" s="14">
        <f>R74/H74-1</f>
        <v/>
      </c>
      <c r="T74" s="16" t="inlineStr">
        <is>
          <t>ACIMA +7.8%</t>
        </is>
      </c>
      <c r="U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8" t="n"/>
      <c r="M75" s="8" t="n"/>
      <c r="N75" s="8" t="n"/>
      <c r="O75" s="15" t="n">
        <v>28.09</v>
      </c>
      <c r="P75" s="8" t="n"/>
      <c r="Q75" s="7" t="inlineStr">
        <is>
          <t>NAZARIA</t>
        </is>
      </c>
      <c r="R75" s="8" t="n">
        <v>28.09</v>
      </c>
      <c r="S75" s="14">
        <f>R75/H75-1</f>
        <v/>
      </c>
      <c r="T75" s="16" t="inlineStr">
        <is>
          <t>ACIMA +7.8%</t>
        </is>
      </c>
      <c r="U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8" t="n"/>
      <c r="M76" s="8" t="n"/>
      <c r="N76" s="8" t="n"/>
      <c r="O76" s="15" t="n">
        <v>15.34</v>
      </c>
      <c r="P76" s="8" t="n"/>
      <c r="Q76" s="7" t="inlineStr">
        <is>
          <t>NAZARIA</t>
        </is>
      </c>
      <c r="R76" s="8" t="n">
        <v>15.34</v>
      </c>
      <c r="S76" s="14">
        <f>R76/H76-1</f>
        <v/>
      </c>
      <c r="T76" s="16" t="inlineStr">
        <is>
          <t>ACIMA +11.6%</t>
        </is>
      </c>
      <c r="U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8" t="n"/>
      <c r="M77" s="8" t="n"/>
      <c r="N77" s="8" t="n"/>
      <c r="O77" s="15" t="n">
        <v>8.98</v>
      </c>
      <c r="P77" s="8" t="n"/>
      <c r="Q77" s="7" t="inlineStr">
        <is>
          <t>NAZARIA</t>
        </is>
      </c>
      <c r="R77" s="8" t="n">
        <v>8.98</v>
      </c>
      <c r="S77" s="14">
        <f>R77/H77-1</f>
        <v/>
      </c>
      <c r="T77" s="16" t="inlineStr">
        <is>
          <t>ACIMA +8.3%</t>
        </is>
      </c>
      <c r="U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8" t="n"/>
      <c r="M78" s="8" t="n"/>
      <c r="N78" s="8" t="n"/>
      <c r="O78" s="15" t="n">
        <v>18.57</v>
      </c>
      <c r="P78" s="8" t="n"/>
      <c r="Q78" s="7" t="inlineStr">
        <is>
          <t>NAZARIA</t>
        </is>
      </c>
      <c r="R78" s="8" t="n">
        <v>18.57</v>
      </c>
      <c r="S78" s="14">
        <f>R78/H78-1</f>
        <v/>
      </c>
      <c r="T78" s="16" t="inlineStr">
        <is>
          <t>ACIMA +6.0%</t>
        </is>
      </c>
      <c r="U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8" t="n"/>
      <c r="M79" s="8" t="n"/>
      <c r="N79" s="8" t="n"/>
      <c r="O79" s="15" t="n">
        <v>5.71</v>
      </c>
      <c r="P79" s="8" t="n"/>
      <c r="Q79" s="7" t="inlineStr">
        <is>
          <t>NAZARIA</t>
        </is>
      </c>
      <c r="R79" s="8" t="n">
        <v>5.71</v>
      </c>
      <c r="S79" s="14">
        <f>R79/H79-1</f>
        <v/>
      </c>
      <c r="T79" s="16" t="inlineStr">
        <is>
          <t>ACIMA +8.1%</t>
        </is>
      </c>
      <c r="U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8" t="n"/>
      <c r="M80" s="8" t="n"/>
      <c r="N80" s="8" t="n"/>
      <c r="O80" s="15" t="n">
        <v>13.9001</v>
      </c>
      <c r="P80" s="8" t="n"/>
      <c r="Q80" s="7" t="inlineStr">
        <is>
          <t>NAZARIA</t>
        </is>
      </c>
      <c r="R80" s="8" t="n">
        <v>13.9001</v>
      </c>
      <c r="S80" s="14">
        <f>R80/H80-1</f>
        <v/>
      </c>
      <c r="T80" s="16" t="inlineStr">
        <is>
          <t>ACIMA +29.3%</t>
        </is>
      </c>
      <c r="U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8" t="n"/>
      <c r="M81" s="8" t="n"/>
      <c r="N81" s="8" t="n"/>
      <c r="O81" s="8" t="n"/>
      <c r="P81" s="8" t="n"/>
      <c r="Q81" s="7" t="inlineStr">
        <is>
          <t>SEM COTAÇÃO</t>
        </is>
      </c>
      <c r="R81" s="8" t="n"/>
      <c r="S81" s="14" t="n"/>
      <c r="T81" s="7" t="inlineStr"/>
      <c r="U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8" t="n"/>
      <c r="M82" s="8" t="n"/>
      <c r="N82" s="8" t="n"/>
      <c r="O82" s="15" t="n">
        <v>15.31</v>
      </c>
      <c r="P82" s="8" t="n"/>
      <c r="Q82" s="7" t="inlineStr">
        <is>
          <t>NAZARIA</t>
        </is>
      </c>
      <c r="R82" s="8" t="n">
        <v>15.31</v>
      </c>
      <c r="S82" s="14">
        <f>R82/H82-1</f>
        <v/>
      </c>
      <c r="T82" s="16" t="inlineStr">
        <is>
          <t>ACIMA +5.4%</t>
        </is>
      </c>
      <c r="U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8" t="n"/>
      <c r="M83" s="8" t="n"/>
      <c r="N83" s="8" t="n"/>
      <c r="O83" s="15" t="n">
        <v>12.28</v>
      </c>
      <c r="P83" s="8" t="n"/>
      <c r="Q83" s="7" t="inlineStr">
        <is>
          <t>NAZARIA</t>
        </is>
      </c>
      <c r="R83" s="8" t="n">
        <v>12.28</v>
      </c>
      <c r="S83" s="14">
        <f>R83/H83-1</f>
        <v/>
      </c>
      <c r="T83" s="16" t="inlineStr">
        <is>
          <t>ACIMA +21.1%</t>
        </is>
      </c>
      <c r="U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8" t="n"/>
      <c r="M84" s="8" t="n"/>
      <c r="N84" s="8" t="n"/>
      <c r="O84" s="15" t="n">
        <v>8.42</v>
      </c>
      <c r="P84" s="8" t="n"/>
      <c r="Q84" s="7" t="inlineStr">
        <is>
          <t>NAZARIA</t>
        </is>
      </c>
      <c r="R84" s="8" t="n">
        <v>8.42</v>
      </c>
      <c r="S84" s="14">
        <f>R84/H84-1</f>
        <v/>
      </c>
      <c r="T84" s="16" t="inlineStr">
        <is>
          <t>ACIMA +44.8%</t>
        </is>
      </c>
      <c r="U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8" t="n"/>
      <c r="M85" s="8" t="n"/>
      <c r="N85" s="8" t="n"/>
      <c r="O85" s="15" t="n">
        <v>10.67</v>
      </c>
      <c r="P85" s="8" t="n"/>
      <c r="Q85" s="7" t="inlineStr">
        <is>
          <t>NAZARIA</t>
        </is>
      </c>
      <c r="R85" s="8" t="n">
        <v>10.67</v>
      </c>
      <c r="S85" s="14">
        <f>R85/H85-1</f>
        <v/>
      </c>
      <c r="T85" s="16" t="inlineStr">
        <is>
          <t>ACIMA +8.0%</t>
        </is>
      </c>
      <c r="U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8" t="n"/>
      <c r="M86" s="8" t="n"/>
      <c r="N86" s="8" t="n"/>
      <c r="O86" s="8" t="n"/>
      <c r="P86" s="8" t="n"/>
      <c r="Q86" s="7" t="inlineStr">
        <is>
          <t>SEM COTAÇÃO</t>
        </is>
      </c>
      <c r="R86" s="8" t="n"/>
      <c r="S86" s="14" t="n"/>
      <c r="T86" s="7" t="inlineStr"/>
      <c r="U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8" t="n"/>
      <c r="M87" s="8" t="n"/>
      <c r="N87" s="8" t="n"/>
      <c r="O87" s="8" t="n"/>
      <c r="P87" s="8" t="n"/>
      <c r="Q87" s="7" t="inlineStr">
        <is>
          <t>SEM COTAÇÃO</t>
        </is>
      </c>
      <c r="R87" s="8" t="n"/>
      <c r="S87" s="14" t="n"/>
      <c r="T87" s="7" t="inlineStr"/>
      <c r="U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8" t="n"/>
      <c r="M88" s="8" t="n"/>
      <c r="N88" s="8" t="n"/>
      <c r="O88" s="8" t="n"/>
      <c r="P88" s="8" t="n"/>
      <c r="Q88" s="7" t="inlineStr">
        <is>
          <t>SEM COTAÇÃO</t>
        </is>
      </c>
      <c r="R88" s="8" t="n"/>
      <c r="S88" s="14" t="n"/>
      <c r="T88" s="7" t="inlineStr"/>
      <c r="U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8" t="n"/>
      <c r="M89" s="8" t="n"/>
      <c r="N89" s="8" t="n"/>
      <c r="O89" s="8" t="n"/>
      <c r="P89" s="8" t="n"/>
      <c r="Q89" s="7" t="inlineStr">
        <is>
          <t>SEM COTAÇÃO</t>
        </is>
      </c>
      <c r="R89" s="8" t="n"/>
      <c r="S89" s="14" t="n"/>
      <c r="T89" s="7" t="inlineStr"/>
      <c r="U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8" t="n"/>
      <c r="M90" s="8" t="n"/>
      <c r="N90" s="8" t="n"/>
      <c r="O90" s="8" t="n"/>
      <c r="P90" s="8" t="n"/>
      <c r="Q90" s="7" t="inlineStr">
        <is>
          <t>SEM COTAÇÃO</t>
        </is>
      </c>
      <c r="R90" s="8" t="n"/>
      <c r="S90" s="14" t="n"/>
      <c r="T90" s="7" t="inlineStr"/>
      <c r="U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8" t="n"/>
      <c r="M91" s="8" t="n"/>
      <c r="N91" s="8" t="n"/>
      <c r="O91" s="8" t="n"/>
      <c r="P91" s="8" t="n"/>
      <c r="Q91" s="7" t="inlineStr">
        <is>
          <t>SEM COTAÇÃO</t>
        </is>
      </c>
      <c r="R91" s="8" t="n"/>
      <c r="S91" s="14" t="n"/>
      <c r="T91" s="7" t="inlineStr"/>
      <c r="U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8" t="n"/>
      <c r="M92" s="8" t="n"/>
      <c r="N92" s="8" t="n"/>
      <c r="O92" s="15" t="n">
        <v>8.85</v>
      </c>
      <c r="P92" s="8" t="n"/>
      <c r="Q92" s="7" t="inlineStr">
        <is>
          <t>NAZARIA</t>
        </is>
      </c>
      <c r="R92" s="8" t="n">
        <v>8.85</v>
      </c>
      <c r="S92" s="14">
        <f>R92/H92-1</f>
        <v/>
      </c>
      <c r="T92" s="16" t="inlineStr">
        <is>
          <t>ACIMA +23.6%</t>
        </is>
      </c>
      <c r="U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8" t="n"/>
      <c r="M93" s="8" t="n"/>
      <c r="N93" s="8" t="n"/>
      <c r="O93" s="8" t="n"/>
      <c r="P93" s="8" t="n"/>
      <c r="Q93" s="7" t="inlineStr">
        <is>
          <t>SEM COTAÇÃO</t>
        </is>
      </c>
      <c r="R93" s="8" t="n"/>
      <c r="S93" s="14" t="n"/>
      <c r="T93" s="7" t="inlineStr"/>
      <c r="U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8" t="n"/>
      <c r="M94" s="8" t="n"/>
      <c r="N94" s="8" t="n"/>
      <c r="O94" s="8" t="n">
        <v>8.42</v>
      </c>
      <c r="P94" s="8" t="n"/>
      <c r="Q94" s="7" t="inlineStr">
        <is>
          <t>SEM COTAÇÃO</t>
        </is>
      </c>
      <c r="R94" s="8" t="n"/>
      <c r="S94" s="14" t="n"/>
      <c r="T94" s="7" t="inlineStr"/>
      <c r="U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8" t="n"/>
      <c r="M95" s="8" t="n"/>
      <c r="N95" s="8" t="n"/>
      <c r="O95" s="8" t="n"/>
      <c r="P95" s="8" t="n"/>
      <c r="Q95" s="7" t="inlineStr">
        <is>
          <t>SEM COTAÇÃO</t>
        </is>
      </c>
      <c r="R95" s="8" t="n"/>
      <c r="S95" s="14" t="n"/>
      <c r="T95" s="7" t="inlineStr"/>
      <c r="U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8" t="n"/>
      <c r="M96" s="8" t="n"/>
      <c r="N96" s="8" t="n"/>
      <c r="O96" s="8" t="n"/>
      <c r="P96" s="8" t="n"/>
      <c r="Q96" s="7" t="inlineStr">
        <is>
          <t>SEM COTAÇÃO</t>
        </is>
      </c>
      <c r="R96" s="8" t="n"/>
      <c r="S96" s="14" t="n"/>
      <c r="T96" s="7" t="inlineStr"/>
      <c r="U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8" t="n"/>
      <c r="M97" s="8" t="n"/>
      <c r="N97" s="8" t="n"/>
      <c r="O97" s="8" t="n"/>
      <c r="P97" s="8" t="n"/>
      <c r="Q97" s="7" t="inlineStr">
        <is>
          <t>SEM COTAÇÃO</t>
        </is>
      </c>
      <c r="R97" s="8" t="n"/>
      <c r="S97" s="14" t="n"/>
      <c r="T97" s="7" t="inlineStr"/>
      <c r="U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8" t="n"/>
      <c r="M98" s="8" t="n"/>
      <c r="N98" s="8" t="n"/>
      <c r="O98" s="15" t="n">
        <v>11.55</v>
      </c>
      <c r="P98" s="8" t="n"/>
      <c r="Q98" s="7" t="inlineStr">
        <is>
          <t>NAZARIA</t>
        </is>
      </c>
      <c r="R98" s="8" t="n">
        <v>11.55</v>
      </c>
      <c r="S98" s="14">
        <f>R98/H98-1</f>
        <v/>
      </c>
      <c r="T98" s="16" t="inlineStr">
        <is>
          <t>ACIMA +46.8%</t>
        </is>
      </c>
      <c r="U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8" t="n"/>
      <c r="M99" s="8" t="n"/>
      <c r="N99" s="8" t="n"/>
      <c r="O99" s="15" t="n">
        <v>11.55</v>
      </c>
      <c r="P99" s="8" t="n"/>
      <c r="Q99" s="7" t="inlineStr">
        <is>
          <t>NAZARIA</t>
        </is>
      </c>
      <c r="R99" s="8" t="n">
        <v>11.55</v>
      </c>
      <c r="S99" s="14">
        <f>R99/H99-1</f>
        <v/>
      </c>
      <c r="T99" s="16" t="inlineStr">
        <is>
          <t>ACIMA +46.8%</t>
        </is>
      </c>
      <c r="U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15" t="n">
        <v>9.109999999999999</v>
      </c>
      <c r="M100" s="8" t="n"/>
      <c r="N100" s="8" t="n"/>
      <c r="O100" s="8" t="n">
        <v>10.44</v>
      </c>
      <c r="P100" s="8" t="n"/>
      <c r="Q100" s="7" t="inlineStr">
        <is>
          <t>EPAN</t>
        </is>
      </c>
      <c r="R100" s="8" t="n">
        <v>9.109999999999999</v>
      </c>
      <c r="S100" s="14">
        <f>R100/H100-1</f>
        <v/>
      </c>
      <c r="T100" s="17" t="inlineStr">
        <is>
          <t>OK (≤ últ. compra)</t>
        </is>
      </c>
      <c r="U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8" t="n"/>
      <c r="O101" s="8" t="n">
        <v>8.4</v>
      </c>
      <c r="P101" s="8" t="n"/>
      <c r="Q101" s="7" t="inlineStr">
        <is>
          <t>SEM COTAÇÃO</t>
        </is>
      </c>
      <c r="R101" s="8" t="n"/>
      <c r="S101" s="14" t="n"/>
      <c r="T101" s="7" t="inlineStr"/>
      <c r="U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8" t="n"/>
      <c r="M102" s="8" t="n"/>
      <c r="N102" s="8" t="n"/>
      <c r="O102" s="8" t="n">
        <v>21</v>
      </c>
      <c r="P102" s="8" t="n"/>
      <c r="Q102" s="7" t="inlineStr">
        <is>
          <t>SEM COTAÇÃO</t>
        </is>
      </c>
      <c r="R102" s="8" t="n"/>
      <c r="S102" s="14" t="n"/>
      <c r="T102" s="7" t="inlineStr"/>
      <c r="U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8" t="n"/>
      <c r="M103" s="8" t="n"/>
      <c r="N103" s="8" t="n"/>
      <c r="O103" s="15" t="n">
        <v>27.24</v>
      </c>
      <c r="P103" s="8" t="n"/>
      <c r="Q103" s="7" t="inlineStr">
        <is>
          <t>NAZARIA</t>
        </is>
      </c>
      <c r="R103" s="8" t="n">
        <v>27.24</v>
      </c>
      <c r="S103" s="14">
        <f>R103/H103-1</f>
        <v/>
      </c>
      <c r="T103" s="16" t="inlineStr">
        <is>
          <t>ACIMA +29.1%</t>
        </is>
      </c>
      <c r="U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8" t="n"/>
      <c r="M104" s="8" t="n"/>
      <c r="N104" s="8" t="n"/>
      <c r="O104" s="8" t="n"/>
      <c r="P104" s="8" t="n"/>
      <c r="Q104" s="7" t="inlineStr">
        <is>
          <t>SEM COTAÇÃO</t>
        </is>
      </c>
      <c r="R104" s="8" t="n"/>
      <c r="S104" s="14" t="n"/>
      <c r="T104" s="7" t="inlineStr"/>
      <c r="U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8" t="n"/>
      <c r="M105" s="8" t="n"/>
      <c r="N105" s="8" t="n"/>
      <c r="O105" s="8" t="n"/>
      <c r="P105" s="8" t="n"/>
      <c r="Q105" s="7" t="inlineStr">
        <is>
          <t>SEM COTAÇÃO</t>
        </is>
      </c>
      <c r="R105" s="8" t="n"/>
      <c r="S105" s="14" t="n"/>
      <c r="T105" s="7" t="inlineStr"/>
      <c r="U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8" t="n"/>
      <c r="M106" s="8" t="n"/>
      <c r="N106" s="8" t="n"/>
      <c r="O106" s="8" t="n"/>
      <c r="P106" s="8" t="n"/>
      <c r="Q106" s="7" t="inlineStr">
        <is>
          <t>SEM COTAÇÃO</t>
        </is>
      </c>
      <c r="R106" s="8" t="n"/>
      <c r="S106" s="14" t="n"/>
      <c r="T106" s="7" t="inlineStr"/>
      <c r="U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8" t="n"/>
      <c r="M107" s="8" t="n"/>
      <c r="N107" s="8" t="n"/>
      <c r="O107" s="8" t="n"/>
      <c r="P107" s="8" t="n"/>
      <c r="Q107" s="7" t="inlineStr">
        <is>
          <t>SEM COTAÇÃO</t>
        </is>
      </c>
      <c r="R107" s="8" t="n"/>
      <c r="S107" s="14" t="n"/>
      <c r="T107" s="7" t="inlineStr"/>
      <c r="U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8" t="n"/>
      <c r="M108" s="8" t="n"/>
      <c r="N108" s="8" t="n"/>
      <c r="O108" s="15" t="n">
        <v>4.69</v>
      </c>
      <c r="P108" s="8" t="n"/>
      <c r="Q108" s="7" t="inlineStr">
        <is>
          <t>NAZARIA</t>
        </is>
      </c>
      <c r="R108" s="8" t="n">
        <v>4.69</v>
      </c>
      <c r="S108" s="14">
        <f>R108/H108-1</f>
        <v/>
      </c>
      <c r="T108" s="16" t="inlineStr">
        <is>
          <t>ACIMA +52.3%</t>
        </is>
      </c>
      <c r="U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8" t="n"/>
      <c r="M109" s="8" t="n"/>
      <c r="N109" s="8" t="n"/>
      <c r="O109" s="15" t="n">
        <v>8.98</v>
      </c>
      <c r="P109" s="8" t="n"/>
      <c r="Q109" s="7" t="inlineStr">
        <is>
          <t>NAZARIA</t>
        </is>
      </c>
      <c r="R109" s="8" t="n">
        <v>8.98</v>
      </c>
      <c r="S109" s="14">
        <f>R109/H109-1</f>
        <v/>
      </c>
      <c r="T109" s="16" t="inlineStr">
        <is>
          <t>ACIMA +35.6%</t>
        </is>
      </c>
      <c r="U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8" t="n"/>
      <c r="M110" s="8" t="n"/>
      <c r="N110" s="8" t="n"/>
      <c r="O110" s="15" t="n">
        <v>16.97</v>
      </c>
      <c r="P110" s="8" t="n"/>
      <c r="Q110" s="7" t="inlineStr">
        <is>
          <t>NAZARIA</t>
        </is>
      </c>
      <c r="R110" s="8" t="n">
        <v>16.97</v>
      </c>
      <c r="S110" s="14">
        <f>R110/H110-1</f>
        <v/>
      </c>
      <c r="T110" s="16" t="inlineStr">
        <is>
          <t>ACIMA +30.6%</t>
        </is>
      </c>
      <c r="U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8" t="n"/>
      <c r="M111" s="8" t="n"/>
      <c r="N111" s="8" t="n"/>
      <c r="O111" s="8" t="n">
        <v>60.76</v>
      </c>
      <c r="P111" s="8" t="n"/>
      <c r="Q111" s="7" t="inlineStr">
        <is>
          <t>SEM COTAÇÃO</t>
        </is>
      </c>
      <c r="R111" s="8" t="n"/>
      <c r="S111" s="14" t="n"/>
      <c r="T111" s="7" t="inlineStr"/>
      <c r="U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8" t="n"/>
      <c r="M112" s="8" t="n"/>
      <c r="N112" s="8" t="n"/>
      <c r="O112" s="8" t="n"/>
      <c r="P112" s="8" t="n"/>
      <c r="Q112" s="7" t="inlineStr">
        <is>
          <t>SEM COTAÇÃO</t>
        </is>
      </c>
      <c r="R112" s="8" t="n"/>
      <c r="S112" s="14" t="n"/>
      <c r="T112" s="7" t="inlineStr"/>
      <c r="U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8" t="n"/>
      <c r="M113" s="8" t="n"/>
      <c r="N113" s="8" t="n"/>
      <c r="O113" s="8" t="n">
        <v>228.27</v>
      </c>
      <c r="P113" s="8" t="n"/>
      <c r="Q113" s="7" t="inlineStr">
        <is>
          <t>SEM COTAÇÃO</t>
        </is>
      </c>
      <c r="R113" s="8" t="n"/>
      <c r="S113" s="14" t="n"/>
      <c r="T113" s="7" t="inlineStr"/>
      <c r="U113" s="7" t="inlineStr">
        <is>
          <t>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15" t="n">
        <v>7.03</v>
      </c>
      <c r="K114" s="8" t="n"/>
      <c r="L114" s="8" t="n"/>
      <c r="M114" s="8" t="n"/>
      <c r="N114" s="8" t="n"/>
      <c r="O114" s="8" t="n"/>
      <c r="P114" s="8" t="n"/>
      <c r="Q114" s="7" t="inlineStr">
        <is>
          <t>DIMEC</t>
        </is>
      </c>
      <c r="R114" s="8" t="n">
        <v>7.03</v>
      </c>
      <c r="S114" s="14">
        <f>R114/H114-1</f>
        <v/>
      </c>
      <c r="T114" s="16" t="inlineStr">
        <is>
          <t>ACIMA +0.3%</t>
        </is>
      </c>
      <c r="U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8" t="n"/>
      <c r="M115" s="8" t="n">
        <v>11.54</v>
      </c>
      <c r="N115" s="8" t="n"/>
      <c r="O115" s="8" t="n"/>
      <c r="P115" s="8" t="n"/>
      <c r="Q115" s="7" t="inlineStr">
        <is>
          <t>DIMEC</t>
        </is>
      </c>
      <c r="R115" s="8" t="n">
        <v>11.39</v>
      </c>
      <c r="S115" s="14">
        <f>R115/H115-1</f>
        <v/>
      </c>
      <c r="T115" s="17" t="inlineStr">
        <is>
          <t>OK (≤ menor hist.)</t>
        </is>
      </c>
      <c r="U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8" t="n"/>
      <c r="M116" s="8" t="n"/>
      <c r="N116" s="8" t="n"/>
      <c r="O116" s="8" t="n"/>
      <c r="P116" s="8" t="n"/>
      <c r="Q116" s="7" t="inlineStr">
        <is>
          <t>SEM COTAÇÃO</t>
        </is>
      </c>
      <c r="R116" s="8" t="n"/>
      <c r="S116" s="14" t="n"/>
      <c r="T116" s="7" t="inlineStr"/>
      <c r="U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8" t="n"/>
      <c r="M117" s="15" t="n">
        <v>3.09</v>
      </c>
      <c r="N117" s="8" t="n"/>
      <c r="O117" s="8" t="n">
        <v>3.11</v>
      </c>
      <c r="P117" s="8" t="n"/>
      <c r="Q117" s="7" t="inlineStr">
        <is>
          <t>CENTROFARMA</t>
        </is>
      </c>
      <c r="R117" s="8" t="n">
        <v>3.09</v>
      </c>
      <c r="S117" s="14">
        <f>R117/H117-1</f>
        <v/>
      </c>
      <c r="T117" s="16" t="inlineStr">
        <is>
          <t>ACIMA +12.4%</t>
        </is>
      </c>
      <c r="U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8" t="n"/>
      <c r="M118" s="8" t="n"/>
      <c r="N118" s="8" t="n"/>
      <c r="O118" s="8" t="n"/>
      <c r="P118" s="8" t="n"/>
      <c r="Q118" s="7" t="inlineStr">
        <is>
          <t>SEM COTAÇÃO</t>
        </is>
      </c>
      <c r="R118" s="8" t="n"/>
      <c r="S118" s="14" t="n"/>
      <c r="T118" s="7" t="inlineStr"/>
      <c r="U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8" t="n"/>
      <c r="M119" s="8" t="n"/>
      <c r="N119" s="8" t="n"/>
      <c r="O119" s="8" t="n"/>
      <c r="P119" s="8" t="n"/>
      <c r="Q119" s="7" t="inlineStr">
        <is>
          <t>SEM COTAÇÃO</t>
        </is>
      </c>
      <c r="R119" s="8" t="n"/>
      <c r="S119" s="14" t="n"/>
      <c r="T119" s="7" t="inlineStr"/>
      <c r="U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8" t="n"/>
      <c r="M120" s="8" t="n"/>
      <c r="N120" s="8" t="n"/>
      <c r="O120" s="8" t="n"/>
      <c r="P120" s="8" t="n"/>
      <c r="Q120" s="7" t="inlineStr">
        <is>
          <t>SEM COTAÇÃO</t>
        </is>
      </c>
      <c r="R120" s="8" t="n"/>
      <c r="S120" s="14" t="n"/>
      <c r="T120" s="7" t="inlineStr"/>
      <c r="U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8" t="n"/>
      <c r="M121" s="8" t="n"/>
      <c r="N121" s="8" t="n"/>
      <c r="O121" s="8" t="n"/>
      <c r="P121" s="8" t="n"/>
      <c r="Q121" s="7" t="inlineStr">
        <is>
          <t>SEM COTAÇÃO</t>
        </is>
      </c>
      <c r="R121" s="8" t="n"/>
      <c r="S121" s="14" t="n"/>
      <c r="T121" s="7" t="inlineStr"/>
      <c r="U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8" t="n"/>
      <c r="M122" s="8" t="n"/>
      <c r="N122" s="8" t="n"/>
      <c r="O122" s="8" t="n">
        <v>244.41</v>
      </c>
      <c r="P122" s="15" t="n">
        <v>35.01</v>
      </c>
      <c r="Q122" s="7" t="inlineStr">
        <is>
          <t>MEDCENTRO</t>
        </is>
      </c>
      <c r="R122" s="8" t="n">
        <v>35.01</v>
      </c>
      <c r="S122" s="14">
        <f>R122/H122-1</f>
        <v/>
      </c>
      <c r="T122" s="16" t="inlineStr">
        <is>
          <t>ACIMA +14.9%</t>
        </is>
      </c>
      <c r="U122" s="7" t="inlineStr">
        <is>
          <t>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8" t="n"/>
      <c r="M123" s="8" t="n"/>
      <c r="N123" s="8" t="n"/>
      <c r="O123" s="8" t="n"/>
      <c r="P123" s="8" t="n"/>
      <c r="Q123" s="7" t="inlineStr">
        <is>
          <t>SEM COTAÇÃO</t>
        </is>
      </c>
      <c r="R123" s="8" t="n"/>
      <c r="S123" s="14" t="n"/>
      <c r="T123" s="7" t="inlineStr"/>
      <c r="U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8" t="n"/>
      <c r="M124" s="8" t="n"/>
      <c r="N124" s="8" t="n"/>
      <c r="O124" s="8" t="n"/>
      <c r="P124" s="8" t="n"/>
      <c r="Q124" s="7" t="inlineStr">
        <is>
          <t>DIMEC</t>
        </is>
      </c>
      <c r="R124" s="8" t="n">
        <v>103.59</v>
      </c>
      <c r="S124" s="14">
        <f>R124/H124-1</f>
        <v/>
      </c>
      <c r="T124" s="17" t="inlineStr">
        <is>
          <t>OK (≤ menor hist.)</t>
        </is>
      </c>
      <c r="U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8" t="n"/>
      <c r="M125" s="8" t="n"/>
      <c r="N125" s="8" t="n"/>
      <c r="O125" s="8" t="n"/>
      <c r="P125" s="8" t="n"/>
      <c r="Q125" s="7" t="inlineStr">
        <is>
          <t>SEM COTAÇÃO</t>
        </is>
      </c>
      <c r="R125" s="8" t="n"/>
      <c r="S125" s="14" t="n"/>
      <c r="T125" s="7" t="inlineStr"/>
      <c r="U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8" t="n"/>
      <c r="M126" s="15" t="n">
        <v>74.15000000000001</v>
      </c>
      <c r="N126" s="8" t="n"/>
      <c r="O126" s="8" t="n"/>
      <c r="P126" s="8" t="n"/>
      <c r="Q126" s="7" t="inlineStr">
        <is>
          <t>CENTROFARMA</t>
        </is>
      </c>
      <c r="R126" s="8" t="n">
        <v>74.15000000000001</v>
      </c>
      <c r="S126" s="14">
        <f>R126/H126-1</f>
        <v/>
      </c>
      <c r="T126" s="16" t="inlineStr">
        <is>
          <t>ACIMA +30.7%</t>
        </is>
      </c>
      <c r="U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8" t="n"/>
      <c r="M127" s="8" t="n"/>
      <c r="N127" s="8" t="n"/>
      <c r="O127" s="8" t="n">
        <v>9.8802</v>
      </c>
      <c r="P127" s="8" t="n"/>
      <c r="Q127" s="7" t="inlineStr">
        <is>
          <t>SEM COTAÇÃO</t>
        </is>
      </c>
      <c r="R127" s="8" t="n"/>
      <c r="S127" s="14" t="n"/>
      <c r="T127" s="7" t="inlineStr"/>
      <c r="U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8" t="n"/>
      <c r="M128" s="8" t="n"/>
      <c r="N128" s="8" t="n"/>
      <c r="O128" s="8" t="n"/>
      <c r="P128" s="8" t="n"/>
      <c r="Q128" s="7" t="inlineStr">
        <is>
          <t>SEM COTAÇÃO</t>
        </is>
      </c>
      <c r="R128" s="8" t="n"/>
      <c r="S128" s="14" t="n"/>
      <c r="T128" s="7" t="inlineStr"/>
      <c r="U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8" t="n"/>
      <c r="M129" s="8" t="n"/>
      <c r="N129" s="8" t="n"/>
      <c r="O129" s="15" t="n">
        <v>11.47</v>
      </c>
      <c r="P129" s="8" t="n"/>
      <c r="Q129" s="7" t="inlineStr">
        <is>
          <t>NAZARIA</t>
        </is>
      </c>
      <c r="R129" s="8" t="n">
        <v>11.47</v>
      </c>
      <c r="S129" s="14">
        <f>R129/H129-1</f>
        <v/>
      </c>
      <c r="T129" s="17" t="inlineStr">
        <is>
          <t>OK (≤ últ. compra)</t>
        </is>
      </c>
      <c r="U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8" t="n"/>
      <c r="M130" s="8" t="n"/>
      <c r="N130" s="8" t="n"/>
      <c r="O130" s="15" t="n">
        <v>8.67</v>
      </c>
      <c r="P130" s="8" t="n"/>
      <c r="Q130" s="7" t="inlineStr">
        <is>
          <t>NAZARIA</t>
        </is>
      </c>
      <c r="R130" s="8" t="n">
        <v>8.67</v>
      </c>
      <c r="S130" s="14">
        <f>R130/H130-1</f>
        <v/>
      </c>
      <c r="T130" s="17" t="inlineStr">
        <is>
          <t>OK (≤ menor hist.)</t>
        </is>
      </c>
      <c r="U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15" t="n">
        <v>21.7</v>
      </c>
      <c r="P131" s="8" t="n"/>
      <c r="Q131" s="7" t="inlineStr">
        <is>
          <t>NAZARIA</t>
        </is>
      </c>
      <c r="R131" s="8" t="n">
        <v>21.7</v>
      </c>
      <c r="S131" s="14" t="n"/>
      <c r="T131" s="7" t="inlineStr">
        <is>
          <t>SEM HISTÓRICO</t>
        </is>
      </c>
      <c r="U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8" t="n"/>
      <c r="M132" s="8" t="n"/>
      <c r="N132" s="8" t="n"/>
      <c r="O132" s="15" t="n">
        <v>8.44</v>
      </c>
      <c r="P132" s="8" t="n"/>
      <c r="Q132" s="7" t="inlineStr">
        <is>
          <t>NAZARIA</t>
        </is>
      </c>
      <c r="R132" s="8" t="n">
        <v>8.44</v>
      </c>
      <c r="S132" s="14">
        <f>R132/H132-1</f>
        <v/>
      </c>
      <c r="T132" s="16" t="inlineStr">
        <is>
          <t>ACIMA +43.3%</t>
        </is>
      </c>
      <c r="U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8" t="n"/>
      <c r="M133" s="8" t="n"/>
      <c r="N133" s="8" t="n"/>
      <c r="O133" s="15" t="n">
        <v>8.44</v>
      </c>
      <c r="P133" s="8" t="n"/>
      <c r="Q133" s="7" t="inlineStr">
        <is>
          <t>NAZARIA</t>
        </is>
      </c>
      <c r="R133" s="8" t="n">
        <v>8.44</v>
      </c>
      <c r="S133" s="14">
        <f>R133/H133-1</f>
        <v/>
      </c>
      <c r="T133" s="16" t="inlineStr">
        <is>
          <t>ACIMA +76.2%</t>
        </is>
      </c>
      <c r="U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15" t="n">
        <v>56.86</v>
      </c>
      <c r="M134" s="8" t="n"/>
      <c r="N134" s="8" t="n"/>
      <c r="O134" s="8" t="n">
        <v>67.03</v>
      </c>
      <c r="P134" s="8" t="n"/>
      <c r="Q134" s="7" t="inlineStr">
        <is>
          <t>EPAN</t>
        </is>
      </c>
      <c r="R134" s="8" t="n">
        <v>56.86</v>
      </c>
      <c r="S134" s="14">
        <f>R134/H134-1</f>
        <v/>
      </c>
      <c r="T134" s="16" t="inlineStr">
        <is>
          <t>ACIMA +4.1%</t>
        </is>
      </c>
      <c r="U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15" t="n">
        <v>56.86</v>
      </c>
      <c r="M135" s="8" t="n"/>
      <c r="N135" s="8" t="n"/>
      <c r="O135" s="8" t="n">
        <v>67.03</v>
      </c>
      <c r="P135" s="8" t="n"/>
      <c r="Q135" s="7" t="inlineStr">
        <is>
          <t>EPAN</t>
        </is>
      </c>
      <c r="R135" s="8" t="n">
        <v>56.86</v>
      </c>
      <c r="S135" s="14">
        <f>R135/H135-1</f>
        <v/>
      </c>
      <c r="T135" s="16" t="inlineStr">
        <is>
          <t>ACIMA +3.6%</t>
        </is>
      </c>
      <c r="U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8" t="n"/>
      <c r="M136" s="8" t="n"/>
      <c r="N136" s="8" t="n"/>
      <c r="O136" s="8" t="n"/>
      <c r="P136" s="8" t="n"/>
      <c r="Q136" s="7" t="inlineStr">
        <is>
          <t>SEM COTAÇÃO</t>
        </is>
      </c>
      <c r="R136" s="8" t="n"/>
      <c r="S136" s="14" t="n"/>
      <c r="T136" s="7" t="inlineStr"/>
      <c r="U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8" t="n"/>
      <c r="M137" s="8" t="n"/>
      <c r="N137" s="8" t="n"/>
      <c r="O137" s="8" t="n"/>
      <c r="P137" s="8" t="n"/>
      <c r="Q137" s="7" t="inlineStr">
        <is>
          <t>SEM COTAÇÃO</t>
        </is>
      </c>
      <c r="R137" s="8" t="n"/>
      <c r="S137" s="14" t="n"/>
      <c r="T137" s="7" t="inlineStr"/>
      <c r="U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15" t="n">
        <v>21.42</v>
      </c>
      <c r="M138" s="8" t="n"/>
      <c r="N138" s="8" t="n"/>
      <c r="O138" s="8" t="n">
        <v>26.6</v>
      </c>
      <c r="P138" s="8" t="n"/>
      <c r="Q138" s="7" t="inlineStr">
        <is>
          <t>EPAN</t>
        </is>
      </c>
      <c r="R138" s="8" t="n">
        <v>21.42</v>
      </c>
      <c r="S138" s="14">
        <f>R138/H138-1</f>
        <v/>
      </c>
      <c r="T138" s="17" t="inlineStr">
        <is>
          <t>OK (≤ últ. compra)</t>
        </is>
      </c>
      <c r="U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8" t="n"/>
      <c r="M139" s="8" t="n"/>
      <c r="N139" s="8" t="n"/>
      <c r="O139" s="15" t="n">
        <v>42.5505</v>
      </c>
      <c r="P139" s="8" t="n"/>
      <c r="Q139" s="7" t="inlineStr">
        <is>
          <t>NAZARIA</t>
        </is>
      </c>
      <c r="R139" s="8" t="n">
        <v>42.5505</v>
      </c>
      <c r="S139" s="14">
        <f>R139/H139-1</f>
        <v/>
      </c>
      <c r="T139" s="17" t="inlineStr">
        <is>
          <t>OK (≤ últ. compra)</t>
        </is>
      </c>
      <c r="U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8" t="n"/>
      <c r="M140" s="8" t="n"/>
      <c r="N140" s="8" t="n"/>
      <c r="O140" s="8" t="n"/>
      <c r="P140" s="8" t="n"/>
      <c r="Q140" s="7" t="inlineStr">
        <is>
          <t>SEM COTAÇÃO</t>
        </is>
      </c>
      <c r="R140" s="8" t="n"/>
      <c r="S140" s="14" t="n"/>
      <c r="T140" s="7" t="inlineStr"/>
      <c r="U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8" t="n"/>
      <c r="M141" s="8" t="n"/>
      <c r="N141" s="8" t="n"/>
      <c r="O141" s="8" t="n"/>
      <c r="P141" s="8" t="n"/>
      <c r="Q141" s="7" t="inlineStr">
        <is>
          <t>SEM COTAÇÃO</t>
        </is>
      </c>
      <c r="R141" s="8" t="n"/>
      <c r="S141" s="14" t="n"/>
      <c r="T141" s="7" t="inlineStr"/>
      <c r="U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8" t="n"/>
      <c r="M142" s="8" t="n"/>
      <c r="N142" s="8" t="n"/>
      <c r="O142" s="8" t="n"/>
      <c r="P142" s="8" t="n">
        <v>9.960000000000001</v>
      </c>
      <c r="Q142" s="7" t="inlineStr">
        <is>
          <t>DIMEC</t>
        </is>
      </c>
      <c r="R142" s="8" t="n">
        <v>8.09</v>
      </c>
      <c r="S142" s="14">
        <f>R142/H142-1</f>
        <v/>
      </c>
      <c r="T142" s="17" t="inlineStr">
        <is>
          <t>OK (≤ menor hist.)</t>
        </is>
      </c>
      <c r="U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8" t="n"/>
      <c r="M143" s="8" t="n"/>
      <c r="N143" s="8" t="n"/>
      <c r="O143" s="8" t="n"/>
      <c r="P143" s="8" t="n">
        <v>14.6</v>
      </c>
      <c r="Q143" s="7" t="inlineStr">
        <is>
          <t>DIMEC</t>
        </is>
      </c>
      <c r="R143" s="8" t="n">
        <v>12.35</v>
      </c>
      <c r="S143" s="14">
        <f>R143/H143-1</f>
        <v/>
      </c>
      <c r="T143" s="17" t="inlineStr">
        <is>
          <t>OK (≤ menor hist.)</t>
        </is>
      </c>
      <c r="U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8" t="n"/>
      <c r="M144" s="8" t="n"/>
      <c r="N144" s="8" t="n"/>
      <c r="O144" s="8" t="n"/>
      <c r="P144" s="8" t="n"/>
      <c r="Q144" s="7" t="inlineStr">
        <is>
          <t>SEM COTAÇÃO</t>
        </is>
      </c>
      <c r="R144" s="8" t="n"/>
      <c r="S144" s="14" t="n"/>
      <c r="T144" s="7" t="inlineStr"/>
      <c r="U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8" t="n"/>
      <c r="M145" s="8" t="n"/>
      <c r="N145" s="8" t="n"/>
      <c r="O145" s="8" t="n"/>
      <c r="P145" s="8" t="n"/>
      <c r="Q145" s="7" t="inlineStr">
        <is>
          <t>SEM COTAÇÃO</t>
        </is>
      </c>
      <c r="R145" s="8" t="n"/>
      <c r="S145" s="14" t="n"/>
      <c r="T145" s="7" t="inlineStr"/>
      <c r="U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8" t="n"/>
      <c r="M146" s="8" t="n"/>
      <c r="N146" s="8" t="n"/>
      <c r="O146" s="8" t="n"/>
      <c r="P146" s="8" t="n"/>
      <c r="Q146" s="7" t="inlineStr">
        <is>
          <t>SEM COTAÇÃO</t>
        </is>
      </c>
      <c r="R146" s="8" t="n"/>
      <c r="S146" s="14" t="n"/>
      <c r="T146" s="7" t="inlineStr"/>
      <c r="U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8" t="n"/>
      <c r="M147" s="8" t="n"/>
      <c r="N147" s="8" t="n"/>
      <c r="O147" s="8" t="n"/>
      <c r="P147" s="8" t="n"/>
      <c r="Q147" s="7" t="inlineStr">
        <is>
          <t>SEM COTAÇÃO</t>
        </is>
      </c>
      <c r="R147" s="8" t="n"/>
      <c r="S147" s="14" t="n"/>
      <c r="T147" s="7" t="inlineStr"/>
      <c r="U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8" t="n"/>
      <c r="M148" s="8" t="n"/>
      <c r="N148" s="8" t="n"/>
      <c r="O148" s="8" t="n"/>
      <c r="P148" s="8" t="n"/>
      <c r="Q148" s="7" t="inlineStr">
        <is>
          <t>SEM COTAÇÃO</t>
        </is>
      </c>
      <c r="R148" s="8" t="n"/>
      <c r="S148" s="14" t="n"/>
      <c r="T148" s="7" t="inlineStr"/>
      <c r="U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15" t="n">
        <v>2.69</v>
      </c>
      <c r="K149" s="8" t="n"/>
      <c r="L149" s="8" t="n"/>
      <c r="M149" s="8" t="n"/>
      <c r="N149" s="8" t="n"/>
      <c r="O149" s="8" t="n">
        <v>2.83</v>
      </c>
      <c r="P149" s="8" t="n"/>
      <c r="Q149" s="7" t="inlineStr">
        <is>
          <t>DIMEC</t>
        </is>
      </c>
      <c r="R149" s="8" t="n">
        <v>2.69</v>
      </c>
      <c r="S149" s="14">
        <f>R149/H149-1</f>
        <v/>
      </c>
      <c r="T149" s="16" t="inlineStr">
        <is>
          <t>ACIMA +8.0%</t>
        </is>
      </c>
      <c r="U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8" t="n"/>
      <c r="M150" s="8" t="n"/>
      <c r="N150" s="8" t="n"/>
      <c r="O150" s="8" t="n"/>
      <c r="P150" s="8" t="n"/>
      <c r="Q150" s="7" t="inlineStr">
        <is>
          <t>SEM COTAÇÃO</t>
        </is>
      </c>
      <c r="R150" s="8" t="n"/>
      <c r="S150" s="14" t="n"/>
      <c r="T150" s="7" t="inlineStr"/>
      <c r="U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8" t="n"/>
      <c r="M151" s="8" t="n"/>
      <c r="N151" s="8" t="n"/>
      <c r="O151" s="8" t="n"/>
      <c r="P151" s="8" t="n"/>
      <c r="Q151" s="7" t="inlineStr">
        <is>
          <t>SEM COTAÇÃO</t>
        </is>
      </c>
      <c r="R151" s="8" t="n"/>
      <c r="S151" s="14" t="n"/>
      <c r="T151" s="7" t="inlineStr"/>
      <c r="U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8" t="n"/>
      <c r="M152" s="8" t="n"/>
      <c r="N152" s="8" t="n"/>
      <c r="O152" s="8" t="n"/>
      <c r="P152" s="8" t="n"/>
      <c r="Q152" s="7" t="inlineStr">
        <is>
          <t>DIMEC</t>
        </is>
      </c>
      <c r="R152" s="8" t="n">
        <v>5.06</v>
      </c>
      <c r="S152" s="14">
        <f>R152/H152-1</f>
        <v/>
      </c>
      <c r="T152" s="17" t="inlineStr">
        <is>
          <t>OK (≤ menor hist.)</t>
        </is>
      </c>
      <c r="U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8" t="n"/>
      <c r="M153" s="8" t="n"/>
      <c r="N153" s="8" t="n"/>
      <c r="O153" s="8" t="n"/>
      <c r="P153" s="8" t="n"/>
      <c r="Q153" s="7" t="inlineStr">
        <is>
          <t>DIMEC</t>
        </is>
      </c>
      <c r="R153" s="8" t="n">
        <v>10.73</v>
      </c>
      <c r="S153" s="14">
        <f>R153/H153-1</f>
        <v/>
      </c>
      <c r="T153" s="17" t="inlineStr">
        <is>
          <t>OK (≤ últ. compra)</t>
        </is>
      </c>
      <c r="U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8" t="n">
        <v>48.43</v>
      </c>
      <c r="M154" s="8" t="n">
        <v>31.93</v>
      </c>
      <c r="N154" s="8" t="n"/>
      <c r="O154" s="8" t="n">
        <v>25.83</v>
      </c>
      <c r="P154" s="8" t="n"/>
      <c r="Q154" s="7" t="inlineStr">
        <is>
          <t>DIMEC</t>
        </is>
      </c>
      <c r="R154" s="8" t="n">
        <v>22.17</v>
      </c>
      <c r="S154" s="14">
        <f>R154/H154-1</f>
        <v/>
      </c>
      <c r="T154" s="16" t="inlineStr">
        <is>
          <t>ACIMA +0.2%</t>
        </is>
      </c>
      <c r="U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14.39</v>
      </c>
      <c r="K155" s="8" t="n"/>
      <c r="L155" s="8" t="n"/>
      <c r="M155" s="8" t="n">
        <v>15.11</v>
      </c>
      <c r="N155" s="15" t="n">
        <v>11.36</v>
      </c>
      <c r="O155" s="8" t="n">
        <v>16.85</v>
      </c>
      <c r="P155" s="8" t="n">
        <v>19.53</v>
      </c>
      <c r="Q155" s="7" t="inlineStr">
        <is>
          <t>TAPAJOS</t>
        </is>
      </c>
      <c r="R155" s="8" t="n">
        <v>11.36</v>
      </c>
      <c r="S155" s="14">
        <f>R155/H155-1</f>
        <v/>
      </c>
      <c r="T155" s="17" t="inlineStr">
        <is>
          <t>OK (≤ menor hist.)</t>
        </is>
      </c>
      <c r="U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7" t="inlineStr">
        <is>
          <t>SEM COTAÇÃO</t>
        </is>
      </c>
      <c r="R156" s="8" t="n"/>
      <c r="S156" s="14" t="n"/>
      <c r="T156" s="7" t="inlineStr"/>
      <c r="U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8" t="n"/>
      <c r="M157" s="8" t="n"/>
      <c r="N157" s="8" t="n"/>
      <c r="O157" s="8" t="n"/>
      <c r="P157" s="8" t="n"/>
      <c r="Q157" s="7" t="inlineStr">
        <is>
          <t>SEM COTAÇÃO</t>
        </is>
      </c>
      <c r="R157" s="8" t="n"/>
      <c r="S157" s="14" t="n"/>
      <c r="T157" s="7" t="inlineStr"/>
      <c r="U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8" t="n"/>
      <c r="M158" s="8" t="n"/>
      <c r="N158" s="8" t="n"/>
      <c r="O158" s="8" t="n"/>
      <c r="P158" s="8" t="n"/>
      <c r="Q158" s="7" t="inlineStr">
        <is>
          <t>SEM COTAÇÃO</t>
        </is>
      </c>
      <c r="R158" s="8" t="n"/>
      <c r="S158" s="14" t="n"/>
      <c r="T158" s="7" t="inlineStr"/>
      <c r="U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8" t="n"/>
      <c r="M159" s="8" t="n"/>
      <c r="N159" s="8" t="n"/>
      <c r="O159" s="8" t="n"/>
      <c r="P159" s="8" t="n"/>
      <c r="Q159" s="7" t="inlineStr">
        <is>
          <t>SEM COTAÇÃO</t>
        </is>
      </c>
      <c r="R159" s="8" t="n"/>
      <c r="S159" s="14" t="n"/>
      <c r="T159" s="7" t="inlineStr"/>
      <c r="U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7" t="inlineStr">
        <is>
          <t>SEM COTAÇÃO</t>
        </is>
      </c>
      <c r="R160" s="8" t="n"/>
      <c r="S160" s="14" t="n"/>
      <c r="T160" s="7" t="inlineStr"/>
      <c r="U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8" t="n"/>
      <c r="M161" s="8" t="n"/>
      <c r="N161" s="8" t="n"/>
      <c r="O161" s="8" t="n"/>
      <c r="P161" s="8" t="n"/>
      <c r="Q161" s="7" t="inlineStr">
        <is>
          <t>SEM COTAÇÃO</t>
        </is>
      </c>
      <c r="R161" s="8" t="n"/>
      <c r="S161" s="14" t="n"/>
      <c r="T161" s="7" t="inlineStr"/>
      <c r="U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8" t="n"/>
      <c r="M162" s="8" t="n"/>
      <c r="N162" s="8" t="n"/>
      <c r="O162" s="8" t="n"/>
      <c r="P162" s="8" t="n"/>
      <c r="Q162" s="7" t="inlineStr">
        <is>
          <t>SEM COTAÇÃO</t>
        </is>
      </c>
      <c r="R162" s="8" t="n"/>
      <c r="S162" s="14" t="n"/>
      <c r="T162" s="7" t="inlineStr"/>
      <c r="U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8" t="n"/>
      <c r="M163" s="8" t="n"/>
      <c r="N163" s="8" t="n"/>
      <c r="O163" s="15" t="n">
        <v>1.28</v>
      </c>
      <c r="P163" s="8" t="n"/>
      <c r="Q163" s="7" t="inlineStr">
        <is>
          <t>NAZARIA</t>
        </is>
      </c>
      <c r="R163" s="8" t="n">
        <v>1.28</v>
      </c>
      <c r="S163" s="14">
        <f>R163/H163-1</f>
        <v/>
      </c>
      <c r="T163" s="17" t="inlineStr">
        <is>
          <t>OK (≤ menor hist.)</t>
        </is>
      </c>
      <c r="U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7" t="inlineStr">
        <is>
          <t>SEM COTAÇÃO</t>
        </is>
      </c>
      <c r="R164" s="8" t="n"/>
      <c r="S164" s="14" t="n"/>
      <c r="T164" s="7" t="inlineStr"/>
      <c r="U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8" t="n"/>
      <c r="M165" s="8" t="n"/>
      <c r="N165" s="8" t="n"/>
      <c r="O165" s="8" t="n"/>
      <c r="P165" s="8" t="n"/>
      <c r="Q165" s="7" t="inlineStr">
        <is>
          <t>SEM COTAÇÃO</t>
        </is>
      </c>
      <c r="R165" s="8" t="n"/>
      <c r="S165" s="14" t="n"/>
      <c r="T165" s="7" t="inlineStr"/>
      <c r="U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8" t="n"/>
      <c r="M166" s="8" t="n"/>
      <c r="N166" s="8" t="n"/>
      <c r="O166" s="8" t="n"/>
      <c r="P166" s="8" t="n"/>
      <c r="Q166" s="7" t="inlineStr">
        <is>
          <t>SEM COTAÇÃO</t>
        </is>
      </c>
      <c r="R166" s="8" t="n"/>
      <c r="S166" s="14" t="n"/>
      <c r="T166" s="7" t="inlineStr"/>
      <c r="U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8" t="n"/>
      <c r="M167" s="8" t="n"/>
      <c r="N167" s="8" t="n"/>
      <c r="O167" s="8" t="n"/>
      <c r="P167" s="8" t="n"/>
      <c r="Q167" s="7" t="inlineStr">
        <is>
          <t>SEM COTAÇÃO</t>
        </is>
      </c>
      <c r="R167" s="8" t="n"/>
      <c r="S167" s="14" t="n"/>
      <c r="T167" s="7" t="inlineStr"/>
      <c r="U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8" t="n"/>
      <c r="M168" s="8" t="n"/>
      <c r="N168" s="8" t="n"/>
      <c r="O168" s="8" t="n"/>
      <c r="P168" s="8" t="n"/>
      <c r="Q168" s="7" t="inlineStr">
        <is>
          <t>SEM COTAÇÃO</t>
        </is>
      </c>
      <c r="R168" s="8" t="n"/>
      <c r="S168" s="14" t="n"/>
      <c r="T168" s="7" t="inlineStr"/>
      <c r="U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8" t="n"/>
      <c r="M169" s="8" t="n"/>
      <c r="N169" s="8" t="n"/>
      <c r="O169" s="8" t="n"/>
      <c r="P169" s="8" t="n"/>
      <c r="Q169" s="7" t="inlineStr">
        <is>
          <t>SEM COTAÇÃO</t>
        </is>
      </c>
      <c r="R169" s="8" t="n"/>
      <c r="S169" s="14" t="n"/>
      <c r="T169" s="7" t="inlineStr"/>
      <c r="U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8" t="n"/>
      <c r="M170" s="8" t="n"/>
      <c r="N170" s="8" t="n"/>
      <c r="O170" s="8" t="n"/>
      <c r="P170" s="8" t="n"/>
      <c r="Q170" s="7" t="inlineStr">
        <is>
          <t>SEM COTAÇÃO</t>
        </is>
      </c>
      <c r="R170" s="8" t="n"/>
      <c r="S170" s="14" t="n"/>
      <c r="T170" s="7" t="inlineStr"/>
      <c r="U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8" t="n"/>
      <c r="M171" s="8" t="n"/>
      <c r="N171" s="8" t="n"/>
      <c r="O171" s="8" t="n"/>
      <c r="P171" s="8" t="n"/>
      <c r="Q171" s="7" t="inlineStr">
        <is>
          <t>SEM COTAÇÃO</t>
        </is>
      </c>
      <c r="R171" s="8" t="n"/>
      <c r="S171" s="14" t="n"/>
      <c r="T171" s="7" t="inlineStr"/>
      <c r="U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8" t="n"/>
      <c r="M172" s="8" t="n">
        <v>2.09</v>
      </c>
      <c r="N172" s="8" t="n"/>
      <c r="O172" s="15" t="n">
        <v>2.06</v>
      </c>
      <c r="P172" s="8" t="n"/>
      <c r="Q172" s="7" t="inlineStr">
        <is>
          <t>NAZARIA</t>
        </is>
      </c>
      <c r="R172" s="8" t="n">
        <v>2.06</v>
      </c>
      <c r="S172" s="14">
        <f>R172/H172-1</f>
        <v/>
      </c>
      <c r="T172" s="17" t="inlineStr">
        <is>
          <t>OK (≤ menor hist.)</t>
        </is>
      </c>
      <c r="U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8" t="n"/>
      <c r="M173" s="8" t="n"/>
      <c r="N173" s="8" t="n"/>
      <c r="O173" s="8" t="n"/>
      <c r="P173" s="8" t="n"/>
      <c r="Q173" s="7" t="inlineStr">
        <is>
          <t>SEM COTAÇÃO</t>
        </is>
      </c>
      <c r="R173" s="8" t="n"/>
      <c r="S173" s="14" t="n"/>
      <c r="T173" s="7" t="inlineStr"/>
      <c r="U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8" t="n"/>
      <c r="M174" s="8" t="n"/>
      <c r="N174" s="8" t="n"/>
      <c r="O174" s="8" t="n"/>
      <c r="P174" s="8" t="n"/>
      <c r="Q174" s="7" t="inlineStr">
        <is>
          <t>SEM COTAÇÃO</t>
        </is>
      </c>
      <c r="R174" s="8" t="n"/>
      <c r="S174" s="14" t="n"/>
      <c r="T174" s="7" t="inlineStr"/>
      <c r="U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2.69</v>
      </c>
      <c r="K175" s="8" t="n"/>
      <c r="L175" s="8" t="n"/>
      <c r="M175" s="8" t="n">
        <v>2.72</v>
      </c>
      <c r="N175" s="8" t="n"/>
      <c r="O175" s="15" t="n">
        <v>2.65</v>
      </c>
      <c r="P175" s="8" t="n">
        <v>2.79</v>
      </c>
      <c r="Q175" s="7" t="inlineStr">
        <is>
          <t>NAZARIA</t>
        </is>
      </c>
      <c r="R175" s="8" t="n">
        <v>2.65</v>
      </c>
      <c r="S175" s="14">
        <f>R175/H175-1</f>
        <v/>
      </c>
      <c r="T175" s="16" t="inlineStr">
        <is>
          <t>ACIMA +12.8%</t>
        </is>
      </c>
      <c r="U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8" t="n"/>
      <c r="M176" s="8" t="n">
        <v>2.11</v>
      </c>
      <c r="N176" s="8" t="n"/>
      <c r="O176" s="15" t="n">
        <v>2.06</v>
      </c>
      <c r="P176" s="8" t="n"/>
      <c r="Q176" s="7" t="inlineStr">
        <is>
          <t>NAZARIA</t>
        </is>
      </c>
      <c r="R176" s="8" t="n">
        <v>2.06</v>
      </c>
      <c r="S176" s="14">
        <f>R176/H176-1</f>
        <v/>
      </c>
      <c r="T176" s="16" t="inlineStr">
        <is>
          <t>ACIMA +4.6%</t>
        </is>
      </c>
      <c r="U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8" t="n"/>
      <c r="M177" s="8" t="n">
        <v>2.16</v>
      </c>
      <c r="N177" s="8" t="n"/>
      <c r="O177" s="15" t="n">
        <v>2.06</v>
      </c>
      <c r="P177" s="8" t="n"/>
      <c r="Q177" s="7" t="inlineStr">
        <is>
          <t>NAZARIA</t>
        </is>
      </c>
      <c r="R177" s="8" t="n">
        <v>2.06</v>
      </c>
      <c r="S177" s="14">
        <f>R177/H177-1</f>
        <v/>
      </c>
      <c r="T177" s="16" t="inlineStr">
        <is>
          <t>ACIMA +12.0%</t>
        </is>
      </c>
      <c r="U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2.42</v>
      </c>
      <c r="K178" s="8" t="n"/>
      <c r="L178" s="8" t="n"/>
      <c r="M178" s="8" t="n">
        <v>2.2</v>
      </c>
      <c r="N178" s="8" t="n"/>
      <c r="O178" s="15" t="n">
        <v>2.02</v>
      </c>
      <c r="P178" s="8" t="n"/>
      <c r="Q178" s="7" t="inlineStr">
        <is>
          <t>NAZARIA</t>
        </is>
      </c>
      <c r="R178" s="8" t="n">
        <v>2.02</v>
      </c>
      <c r="S178" s="14">
        <f>R178/H178-1</f>
        <v/>
      </c>
      <c r="T178" s="16" t="inlineStr">
        <is>
          <t>ACIMA +3.6%</t>
        </is>
      </c>
      <c r="U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8" t="n"/>
      <c r="M179" s="8" t="n"/>
      <c r="N179" s="8" t="n"/>
      <c r="O179" s="8" t="n"/>
      <c r="P179" s="8" t="n"/>
      <c r="Q179" s="7" t="inlineStr">
        <is>
          <t>SEM COTAÇÃO</t>
        </is>
      </c>
      <c r="R179" s="8" t="n"/>
      <c r="S179" s="14" t="n"/>
      <c r="T179" s="7" t="inlineStr"/>
      <c r="U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2.4</v>
      </c>
      <c r="K180" s="8" t="n"/>
      <c r="L180" s="8" t="n"/>
      <c r="M180" s="8" t="n">
        <v>2.47</v>
      </c>
      <c r="N180" s="8" t="n"/>
      <c r="O180" s="15" t="n">
        <v>2.12</v>
      </c>
      <c r="P180" s="8" t="n"/>
      <c r="Q180" s="7" t="inlineStr">
        <is>
          <t>NAZARIA</t>
        </is>
      </c>
      <c r="R180" s="8" t="n">
        <v>2.12</v>
      </c>
      <c r="S180" s="14">
        <f>R180/H180-1</f>
        <v/>
      </c>
      <c r="T180" s="17" t="inlineStr">
        <is>
          <t>OK (≤ últ. compra)</t>
        </is>
      </c>
      <c r="U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8.119999999999999</v>
      </c>
      <c r="K181" s="8" t="n"/>
      <c r="L181" s="8" t="n"/>
      <c r="M181" s="15" t="n">
        <v>8.08</v>
      </c>
      <c r="N181" s="8" t="n"/>
      <c r="O181" s="8" t="n"/>
      <c r="P181" s="8" t="n"/>
      <c r="Q181" s="7" t="inlineStr">
        <is>
          <t>CENTROFARMA</t>
        </is>
      </c>
      <c r="R181" s="8" t="n">
        <v>8.08</v>
      </c>
      <c r="S181" s="14">
        <f>R181/H181-1</f>
        <v/>
      </c>
      <c r="T181" s="17" t="inlineStr">
        <is>
          <t>OK (≤ menor hist.)</t>
        </is>
      </c>
      <c r="U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8" t="n"/>
      <c r="M182" s="8" t="n"/>
      <c r="N182" s="8" t="n"/>
      <c r="O182" s="8" t="n"/>
      <c r="P182" s="8" t="n"/>
      <c r="Q182" s="7" t="inlineStr">
        <is>
          <t>DIMEC</t>
        </is>
      </c>
      <c r="R182" s="8" t="n">
        <v>2.4</v>
      </c>
      <c r="S182" s="14">
        <f>R182/H182-1</f>
        <v/>
      </c>
      <c r="T182" s="17" t="inlineStr">
        <is>
          <t>OK (≤ últ. compra)</t>
        </is>
      </c>
      <c r="U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8" t="n"/>
      <c r="M183" s="8" t="n"/>
      <c r="N183" s="8" t="n"/>
      <c r="O183" s="8" t="n"/>
      <c r="P183" s="8" t="n"/>
      <c r="Q183" s="7" t="inlineStr">
        <is>
          <t>SEM COTAÇÃO</t>
        </is>
      </c>
      <c r="R183" s="8" t="n"/>
      <c r="S183" s="14" t="n"/>
      <c r="T183" s="7" t="inlineStr"/>
      <c r="U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7" t="inlineStr">
        <is>
          <t>SEM COTAÇÃO</t>
        </is>
      </c>
      <c r="R184" s="8" t="n"/>
      <c r="S184" s="14" t="n"/>
      <c r="T184" s="7" t="inlineStr"/>
      <c r="U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7" t="inlineStr">
        <is>
          <t>SEM COTAÇÃO</t>
        </is>
      </c>
      <c r="R185" s="8" t="n"/>
      <c r="S185" s="14" t="n"/>
      <c r="T185" s="7" t="inlineStr"/>
      <c r="U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7" t="inlineStr">
        <is>
          <t>SEM COTAÇÃO</t>
        </is>
      </c>
      <c r="R186" s="8" t="n"/>
      <c r="S186" s="14" t="n"/>
      <c r="T186" s="7" t="inlineStr"/>
      <c r="U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8" t="n"/>
      <c r="M187" s="8" t="n"/>
      <c r="N187" s="8" t="n"/>
      <c r="O187" s="8" t="n"/>
      <c r="P187" s="8" t="n"/>
      <c r="Q187" s="7" t="inlineStr">
        <is>
          <t>DIMEC</t>
        </is>
      </c>
      <c r="R187" s="8" t="n">
        <v>0.116</v>
      </c>
      <c r="S187" s="14">
        <f>R187/H187-1</f>
        <v/>
      </c>
      <c r="T187" s="17" t="inlineStr">
        <is>
          <t>OK (≤ menor hist.)</t>
        </is>
      </c>
      <c r="U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8" t="n"/>
      <c r="M188" s="8" t="n"/>
      <c r="N188" s="8" t="n"/>
      <c r="O188" s="8" t="n"/>
      <c r="P188" s="8" t="n"/>
      <c r="Q188" s="7" t="inlineStr">
        <is>
          <t>DIMEC</t>
        </is>
      </c>
      <c r="R188" s="8" t="n">
        <v>0.1142</v>
      </c>
      <c r="S188" s="14">
        <f>R188/H188-1</f>
        <v/>
      </c>
      <c r="T188" s="17" t="inlineStr">
        <is>
          <t>OK (≤ menor hist.)</t>
        </is>
      </c>
      <c r="U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8" t="n"/>
      <c r="M189" s="8" t="n"/>
      <c r="N189" s="8" t="n"/>
      <c r="O189" s="8" t="n"/>
      <c r="P189" s="8" t="n"/>
      <c r="Q189" s="7" t="inlineStr">
        <is>
          <t>SEM COTAÇÃO</t>
        </is>
      </c>
      <c r="R189" s="8" t="n"/>
      <c r="S189" s="14" t="n"/>
      <c r="T189" s="7" t="inlineStr"/>
      <c r="U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8" t="n"/>
      <c r="M190" s="8" t="n"/>
      <c r="N190" s="8" t="n"/>
      <c r="O190" s="8" t="n"/>
      <c r="P190" s="8" t="n"/>
      <c r="Q190" s="7" t="inlineStr">
        <is>
          <t>SEM COTAÇÃO</t>
        </is>
      </c>
      <c r="R190" s="8" t="n"/>
      <c r="S190" s="14" t="n"/>
      <c r="T190" s="7" t="inlineStr"/>
      <c r="U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15" t="n">
        <v>19.56</v>
      </c>
      <c r="Q191" s="7" t="inlineStr">
        <is>
          <t>MEDCENTRO</t>
        </is>
      </c>
      <c r="R191" s="8" t="n">
        <v>19.56</v>
      </c>
      <c r="S191" s="14" t="n"/>
      <c r="T191" s="7" t="inlineStr">
        <is>
          <t>SEM HISTÓRICO</t>
        </is>
      </c>
      <c r="U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7" t="inlineStr">
        <is>
          <t>SEM COTAÇÃO</t>
        </is>
      </c>
      <c r="R192" s="8" t="n"/>
      <c r="S192" s="14" t="n"/>
      <c r="T192" s="7" t="inlineStr"/>
      <c r="U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7" t="inlineStr">
        <is>
          <t>SEM COTAÇÃO</t>
        </is>
      </c>
      <c r="R193" s="8" t="n"/>
      <c r="S193" s="14" t="n"/>
      <c r="T193" s="7" t="inlineStr"/>
      <c r="U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8" t="n"/>
      <c r="M194" s="8" t="n"/>
      <c r="N194" s="8" t="n"/>
      <c r="O194" s="8" t="n"/>
      <c r="P194" s="8" t="n"/>
      <c r="Q194" s="7" t="inlineStr">
        <is>
          <t>SEM COTAÇÃO</t>
        </is>
      </c>
      <c r="R194" s="8" t="n"/>
      <c r="S194" s="14" t="n"/>
      <c r="T194" s="7" t="inlineStr"/>
      <c r="U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7" t="inlineStr">
        <is>
          <t>SEM COTAÇÃO</t>
        </is>
      </c>
      <c r="R195" s="8" t="n"/>
      <c r="S195" s="14" t="n"/>
      <c r="T195" s="7" t="inlineStr"/>
      <c r="U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8" t="n"/>
      <c r="M196" s="8" t="n"/>
      <c r="N196" s="8" t="n"/>
      <c r="O196" s="8" t="n"/>
      <c r="P196" s="8" t="n"/>
      <c r="Q196" s="7" t="inlineStr">
        <is>
          <t>SEM COTAÇÃO</t>
        </is>
      </c>
      <c r="R196" s="8" t="n"/>
      <c r="S196" s="14" t="n"/>
      <c r="T196" s="7" t="inlineStr"/>
      <c r="U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8" t="n"/>
      <c r="M197" s="8" t="n"/>
      <c r="N197" s="8" t="n"/>
      <c r="O197" s="8" t="n"/>
      <c r="P197" s="8" t="n"/>
      <c r="Q197" s="7" t="inlineStr">
        <is>
          <t>SEM COTAÇÃO</t>
        </is>
      </c>
      <c r="R197" s="8" t="n"/>
      <c r="S197" s="14" t="n"/>
      <c r="T197" s="7" t="inlineStr"/>
      <c r="U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15" t="n">
        <v>57</v>
      </c>
      <c r="Q198" s="7" t="inlineStr">
        <is>
          <t>MEDCENTRO</t>
        </is>
      </c>
      <c r="R198" s="8" t="n">
        <v>57</v>
      </c>
      <c r="S198" s="14" t="n"/>
      <c r="T198" s="7" t="inlineStr">
        <is>
          <t>SEM HISTÓRICO</t>
        </is>
      </c>
      <c r="U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8" t="n">
        <v>47.62</v>
      </c>
      <c r="M199" s="8" t="n"/>
      <c r="N199" s="15" t="n">
        <v>44.56</v>
      </c>
      <c r="O199" s="8" t="n">
        <v>51.842</v>
      </c>
      <c r="P199" s="8" t="n"/>
      <c r="Q199" s="7" t="inlineStr">
        <is>
          <t>TAPAJOS</t>
        </is>
      </c>
      <c r="R199" s="8" t="n">
        <v>44.56</v>
      </c>
      <c r="S199" s="14">
        <f>R199/H199-1</f>
        <v/>
      </c>
      <c r="T199" s="17" t="inlineStr">
        <is>
          <t>OK (≤ menor hist.)</t>
        </is>
      </c>
      <c r="U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8" t="n"/>
      <c r="M200" s="8" t="n"/>
      <c r="N200" s="8" t="n"/>
      <c r="O200" s="8" t="n"/>
      <c r="P200" s="8" t="n"/>
      <c r="Q200" s="7" t="inlineStr">
        <is>
          <t>SEM COTAÇÃO</t>
        </is>
      </c>
      <c r="R200" s="8" t="n"/>
      <c r="S200" s="14" t="n"/>
      <c r="T200" s="7" t="inlineStr"/>
      <c r="U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8" t="n"/>
      <c r="M201" s="8" t="n"/>
      <c r="N201" s="8" t="n"/>
      <c r="O201" s="8" t="n"/>
      <c r="P201" s="8" t="n"/>
      <c r="Q201" s="7" t="inlineStr">
        <is>
          <t>SEM COTAÇÃO</t>
        </is>
      </c>
      <c r="R201" s="8" t="n"/>
      <c r="S201" s="14" t="n"/>
      <c r="T201" s="7" t="inlineStr"/>
      <c r="U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8" t="n"/>
      <c r="M202" s="8" t="n"/>
      <c r="N202" s="8" t="n"/>
      <c r="O202" s="8" t="n">
        <v>4.53</v>
      </c>
      <c r="P202" s="8" t="n"/>
      <c r="Q202" s="7" t="inlineStr">
        <is>
          <t>DIMEC</t>
        </is>
      </c>
      <c r="R202" s="8" t="n">
        <v>4.24</v>
      </c>
      <c r="S202" s="14">
        <f>R202/H202-1</f>
        <v/>
      </c>
      <c r="T202" s="16" t="inlineStr">
        <is>
          <t>ACIMA +5.7%</t>
        </is>
      </c>
      <c r="U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8" t="n"/>
      <c r="M203" s="8" t="n">
        <v>2.46</v>
      </c>
      <c r="N203" s="8" t="n"/>
      <c r="O203" s="8" t="n"/>
      <c r="P203" s="8" t="n"/>
      <c r="Q203" s="7" t="inlineStr">
        <is>
          <t>DIMEC</t>
        </is>
      </c>
      <c r="R203" s="8" t="n">
        <v>2.43</v>
      </c>
      <c r="S203" s="14">
        <f>R203/H203-1</f>
        <v/>
      </c>
      <c r="T203" s="16" t="inlineStr">
        <is>
          <t>ACIMA +15.2%</t>
        </is>
      </c>
      <c r="U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8" t="n"/>
      <c r="M204" s="8" t="n">
        <v>5.51</v>
      </c>
      <c r="N204" s="8" t="n"/>
      <c r="O204" s="8" t="n"/>
      <c r="P204" s="8" t="n"/>
      <c r="Q204" s="7" t="inlineStr">
        <is>
          <t>DIMEC</t>
        </is>
      </c>
      <c r="R204" s="8" t="n">
        <v>5.17</v>
      </c>
      <c r="S204" s="14">
        <f>R204/H204-1</f>
        <v/>
      </c>
      <c r="T204" s="16" t="inlineStr">
        <is>
          <t>ACIMA +14.6%</t>
        </is>
      </c>
      <c r="U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8" t="n"/>
      <c r="M205" s="8" t="n">
        <v>5.89</v>
      </c>
      <c r="N205" s="8" t="n"/>
      <c r="O205" s="8" t="n"/>
      <c r="P205" s="8" t="n"/>
      <c r="Q205" s="7" t="inlineStr">
        <is>
          <t>DIMEC</t>
        </is>
      </c>
      <c r="R205" s="8" t="n">
        <v>5.6</v>
      </c>
      <c r="S205" s="14">
        <f>R205/H205-1</f>
        <v/>
      </c>
      <c r="T205" s="16" t="inlineStr">
        <is>
          <t>ACIMA +0.2%</t>
        </is>
      </c>
      <c r="U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8" t="n"/>
      <c r="M206" s="8" t="n"/>
      <c r="N206" s="8" t="n"/>
      <c r="O206" s="8" t="n"/>
      <c r="P206" s="8" t="n"/>
      <c r="Q206" s="7" t="inlineStr">
        <is>
          <t>SEM COTAÇÃO</t>
        </is>
      </c>
      <c r="R206" s="8" t="n"/>
      <c r="S206" s="14" t="n"/>
      <c r="T206" s="7" t="inlineStr"/>
      <c r="U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8" t="n"/>
      <c r="M207" s="8" t="n">
        <v>4.23</v>
      </c>
      <c r="N207" s="8" t="n"/>
      <c r="O207" s="8" t="n">
        <v>4.46</v>
      </c>
      <c r="P207" s="8" t="n">
        <v>4.54</v>
      </c>
      <c r="Q207" s="7" t="inlineStr">
        <is>
          <t>DIMEC</t>
        </is>
      </c>
      <c r="R207" s="8" t="n">
        <v>4.17</v>
      </c>
      <c r="S207" s="14">
        <f>R207/H207-1</f>
        <v/>
      </c>
      <c r="T207" s="16" t="inlineStr">
        <is>
          <t>ACIMA +6.6%</t>
        </is>
      </c>
      <c r="U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8" t="n"/>
      <c r="M208" s="8" t="n"/>
      <c r="N208" s="8" t="n"/>
      <c r="O208" s="8" t="n"/>
      <c r="P208" s="8" t="n"/>
      <c r="Q208" s="7" t="inlineStr">
        <is>
          <t>SEM COTAÇÃO</t>
        </is>
      </c>
      <c r="R208" s="8" t="n"/>
      <c r="S208" s="14" t="n"/>
      <c r="T208" s="7" t="inlineStr"/>
      <c r="U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8" t="n"/>
      <c r="M209" s="8" t="n"/>
      <c r="N209" s="8" t="n"/>
      <c r="O209" s="8" t="n">
        <v>17</v>
      </c>
      <c r="P209" s="8" t="n"/>
      <c r="Q209" s="7" t="inlineStr">
        <is>
          <t>DIMEC</t>
        </is>
      </c>
      <c r="R209" s="8" t="n">
        <v>6.55</v>
      </c>
      <c r="S209" s="14">
        <f>R209/H209-1</f>
        <v/>
      </c>
      <c r="T209" s="17" t="inlineStr">
        <is>
          <t>OK (≤ menor hist.)</t>
        </is>
      </c>
      <c r="U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8" t="n"/>
      <c r="M210" s="8" t="n"/>
      <c r="N210" s="8" t="n"/>
      <c r="O210" s="8" t="n"/>
      <c r="P210" s="8" t="n"/>
      <c r="Q210" s="7" t="inlineStr">
        <is>
          <t>SEM COTAÇÃO</t>
        </is>
      </c>
      <c r="R210" s="8" t="n"/>
      <c r="S210" s="14" t="n"/>
      <c r="T210" s="7" t="inlineStr"/>
      <c r="U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8" t="n"/>
      <c r="M211" s="8" t="n"/>
      <c r="N211" s="8" t="n"/>
      <c r="O211" s="8" t="n"/>
      <c r="P211" s="8" t="n"/>
      <c r="Q211" s="7" t="inlineStr">
        <is>
          <t>SEM COTAÇÃO</t>
        </is>
      </c>
      <c r="R211" s="8" t="n"/>
      <c r="S211" s="14" t="n"/>
      <c r="T211" s="7" t="inlineStr"/>
      <c r="U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8" t="n"/>
      <c r="M212" s="8" t="n"/>
      <c r="N212" s="8" t="n"/>
      <c r="O212" s="8" t="n"/>
      <c r="P212" s="8" t="n"/>
      <c r="Q212" s="7" t="inlineStr">
        <is>
          <t>SEM COTAÇÃO</t>
        </is>
      </c>
      <c r="R212" s="8" t="n"/>
      <c r="S212" s="14" t="n"/>
      <c r="T212" s="7" t="inlineStr"/>
      <c r="U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8" t="n"/>
      <c r="M213" s="8" t="n"/>
      <c r="N213" s="8" t="n"/>
      <c r="O213" s="8" t="n"/>
      <c r="P213" s="8" t="n"/>
      <c r="Q213" s="7" t="inlineStr">
        <is>
          <t>SEM COTAÇÃO</t>
        </is>
      </c>
      <c r="R213" s="8" t="n"/>
      <c r="S213" s="14" t="n"/>
      <c r="T213" s="7" t="inlineStr"/>
      <c r="U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8" t="n"/>
      <c r="M214" s="8" t="n"/>
      <c r="N214" s="8" t="n"/>
      <c r="O214" s="8" t="n"/>
      <c r="P214" s="8" t="n"/>
      <c r="Q214" s="7" t="inlineStr">
        <is>
          <t>SEM COTAÇÃO</t>
        </is>
      </c>
      <c r="R214" s="8" t="n"/>
      <c r="S214" s="14" t="n"/>
      <c r="T214" s="7" t="inlineStr"/>
      <c r="U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8" t="n"/>
      <c r="M215" s="8" t="n"/>
      <c r="N215" s="8" t="n"/>
      <c r="O215" s="8" t="n">
        <v>53.7795</v>
      </c>
      <c r="P215" s="8" t="n"/>
      <c r="Q215" s="7" t="inlineStr">
        <is>
          <t>SEM COTAÇÃO</t>
        </is>
      </c>
      <c r="R215" s="8" t="n"/>
      <c r="S215" s="14" t="n"/>
      <c r="T215" s="7" t="inlineStr"/>
      <c r="U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8" t="n"/>
      <c r="M216" s="8" t="n"/>
      <c r="N216" s="8" t="n"/>
      <c r="O216" s="8" t="n"/>
      <c r="P216" s="8" t="n"/>
      <c r="Q216" s="7" t="inlineStr">
        <is>
          <t>SEM COTAÇÃO</t>
        </is>
      </c>
      <c r="R216" s="8" t="n"/>
      <c r="S216" s="14" t="n"/>
      <c r="T216" s="7" t="inlineStr"/>
      <c r="U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8" t="n"/>
      <c r="M217" s="8" t="n"/>
      <c r="N217" s="8" t="n"/>
      <c r="O217" s="8" t="n"/>
      <c r="P217" s="8" t="n"/>
      <c r="Q217" s="7" t="inlineStr">
        <is>
          <t>SEM COTAÇÃO</t>
        </is>
      </c>
      <c r="R217" s="8" t="n"/>
      <c r="S217" s="14" t="n"/>
      <c r="T217" s="7" t="inlineStr"/>
      <c r="U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8" t="n"/>
      <c r="M218" s="8" t="n"/>
      <c r="N218" s="8" t="n"/>
      <c r="O218" s="8" t="n"/>
      <c r="P218" s="8" t="n"/>
      <c r="Q218" s="7" t="inlineStr">
        <is>
          <t>SEM COTAÇÃO</t>
        </is>
      </c>
      <c r="R218" s="8" t="n"/>
      <c r="S218" s="14" t="n"/>
      <c r="T218" s="7" t="inlineStr"/>
      <c r="U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8" t="n"/>
      <c r="M219" s="8" t="n"/>
      <c r="N219" s="8" t="n"/>
      <c r="O219" s="8" t="n"/>
      <c r="P219" s="8" t="n"/>
      <c r="Q219" s="7" t="inlineStr">
        <is>
          <t>SEM COTAÇÃO</t>
        </is>
      </c>
      <c r="R219" s="8" t="n"/>
      <c r="S219" s="14" t="n"/>
      <c r="T219" s="7" t="inlineStr"/>
      <c r="U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8" t="n"/>
      <c r="M220" s="8" t="n"/>
      <c r="N220" s="8" t="n"/>
      <c r="O220" s="8" t="n"/>
      <c r="P220" s="8" t="n"/>
      <c r="Q220" s="7" t="inlineStr">
        <is>
          <t>SEM COTAÇÃO</t>
        </is>
      </c>
      <c r="R220" s="8" t="n"/>
      <c r="S220" s="14" t="n"/>
      <c r="T220" s="7" t="inlineStr"/>
      <c r="U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8" t="n"/>
      <c r="M221" s="8" t="n"/>
      <c r="N221" s="8" t="n"/>
      <c r="O221" s="8" t="n"/>
      <c r="P221" s="8" t="n"/>
      <c r="Q221" s="7" t="inlineStr">
        <is>
          <t>DIMEC</t>
        </is>
      </c>
      <c r="R221" s="8" t="n">
        <v>1.09</v>
      </c>
      <c r="S221" s="14">
        <f>R221/H221-1</f>
        <v/>
      </c>
      <c r="T221" s="17" t="inlineStr">
        <is>
          <t>OK (≤ menor hist.)</t>
        </is>
      </c>
      <c r="U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8" t="n"/>
      <c r="M222" s="8" t="n"/>
      <c r="N222" s="8" t="n"/>
      <c r="O222" s="8" t="n"/>
      <c r="P222" s="8" t="n"/>
      <c r="Q222" s="7" t="inlineStr">
        <is>
          <t>SEM COTAÇÃO</t>
        </is>
      </c>
      <c r="R222" s="8" t="n"/>
      <c r="S222" s="14" t="n"/>
      <c r="T222" s="7" t="inlineStr"/>
      <c r="U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8" t="n"/>
      <c r="M223" s="8" t="n"/>
      <c r="N223" s="8" t="n"/>
      <c r="O223" s="8" t="n"/>
      <c r="P223" s="8" t="n"/>
      <c r="Q223" s="7" t="inlineStr">
        <is>
          <t>SEM COTAÇÃO</t>
        </is>
      </c>
      <c r="R223" s="8" t="n"/>
      <c r="S223" s="14" t="n"/>
      <c r="T223" s="7" t="inlineStr"/>
      <c r="U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8" t="n"/>
      <c r="M224" s="8" t="n"/>
      <c r="N224" s="8" t="n"/>
      <c r="O224" s="8" t="n"/>
      <c r="P224" s="8" t="n"/>
      <c r="Q224" s="7" t="inlineStr">
        <is>
          <t>SEM COTAÇÃO</t>
        </is>
      </c>
      <c r="R224" s="8" t="n"/>
      <c r="S224" s="14" t="n"/>
      <c r="T224" s="7" t="inlineStr"/>
      <c r="U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8" t="n"/>
      <c r="M225" s="8" t="n"/>
      <c r="N225" s="8" t="n"/>
      <c r="O225" s="8" t="n"/>
      <c r="P225" s="8" t="n"/>
      <c r="Q225" s="7" t="inlineStr">
        <is>
          <t>SEM COTAÇÃO</t>
        </is>
      </c>
      <c r="R225" s="8" t="n"/>
      <c r="S225" s="14" t="n"/>
      <c r="T225" s="7" t="inlineStr"/>
      <c r="U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8" t="n"/>
      <c r="M226" s="8" t="n"/>
      <c r="N226" s="8" t="n"/>
      <c r="O226" s="8" t="n"/>
      <c r="P226" s="8" t="n"/>
      <c r="Q226" s="7" t="inlineStr">
        <is>
          <t>SEM COTAÇÃO</t>
        </is>
      </c>
      <c r="R226" s="8" t="n"/>
      <c r="S226" s="14" t="n"/>
      <c r="T226" s="7" t="inlineStr"/>
      <c r="U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8" t="n"/>
      <c r="M227" s="8" t="n"/>
      <c r="N227" s="8" t="n"/>
      <c r="O227" s="8" t="n"/>
      <c r="P227" s="8" t="n"/>
      <c r="Q227" s="7" t="inlineStr">
        <is>
          <t>SEM COTAÇÃO</t>
        </is>
      </c>
      <c r="R227" s="8" t="n"/>
      <c r="S227" s="14" t="n"/>
      <c r="T227" s="7" t="inlineStr"/>
      <c r="U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8" t="n"/>
      <c r="M228" s="8" t="n"/>
      <c r="N228" s="8" t="n"/>
      <c r="O228" s="8" t="n"/>
      <c r="P228" s="8" t="n"/>
      <c r="Q228" s="7" t="inlineStr">
        <is>
          <t>SEM COTAÇÃO</t>
        </is>
      </c>
      <c r="R228" s="8" t="n"/>
      <c r="S228" s="14" t="n"/>
      <c r="T228" s="7" t="inlineStr"/>
      <c r="U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8" t="n"/>
      <c r="M229" s="8" t="n"/>
      <c r="N229" s="8" t="n"/>
      <c r="O229" s="8" t="n"/>
      <c r="P229" s="8" t="n"/>
      <c r="Q229" s="7" t="inlineStr">
        <is>
          <t>SEM COTAÇÃO</t>
        </is>
      </c>
      <c r="R229" s="8" t="n"/>
      <c r="S229" s="14" t="n"/>
      <c r="T229" s="7" t="inlineStr"/>
      <c r="U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8" t="n"/>
      <c r="M230" s="8" t="n"/>
      <c r="N230" s="8" t="n"/>
      <c r="O230" s="8" t="n"/>
      <c r="P230" s="8" t="n"/>
      <c r="Q230" s="7" t="inlineStr">
        <is>
          <t>SEM COTAÇÃO</t>
        </is>
      </c>
      <c r="R230" s="8" t="n"/>
      <c r="S230" s="14" t="n"/>
      <c r="T230" s="7" t="inlineStr"/>
      <c r="U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8" t="n"/>
      <c r="M231" s="8" t="n"/>
      <c r="N231" s="8" t="n"/>
      <c r="O231" s="8" t="n"/>
      <c r="P231" s="8" t="n"/>
      <c r="Q231" s="7" t="inlineStr">
        <is>
          <t>SEM COTAÇÃO</t>
        </is>
      </c>
      <c r="R231" s="8" t="n"/>
      <c r="S231" s="14" t="n"/>
      <c r="T231" s="7" t="inlineStr"/>
      <c r="U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8" t="n"/>
      <c r="M232" s="8" t="n"/>
      <c r="N232" s="8" t="n"/>
      <c r="O232" s="8" t="n"/>
      <c r="P232" s="8" t="n"/>
      <c r="Q232" s="7" t="inlineStr">
        <is>
          <t>SEM COTAÇÃO</t>
        </is>
      </c>
      <c r="R232" s="8" t="n"/>
      <c r="S232" s="14" t="n"/>
      <c r="T232" s="7" t="inlineStr"/>
      <c r="U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8" t="n"/>
      <c r="M233" s="8" t="n"/>
      <c r="N233" s="8" t="n"/>
      <c r="O233" s="8" t="n"/>
      <c r="P233" s="8" t="n"/>
      <c r="Q233" s="7" t="inlineStr">
        <is>
          <t>DIMEC</t>
        </is>
      </c>
      <c r="R233" s="8" t="n">
        <v>8.02</v>
      </c>
      <c r="S233" s="14">
        <f>R233/H233-1</f>
        <v/>
      </c>
      <c r="T233" s="16" t="inlineStr">
        <is>
          <t>ACIMA +23.0%</t>
        </is>
      </c>
      <c r="U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8" t="n"/>
      <c r="M234" s="8" t="n"/>
      <c r="N234" s="8" t="n"/>
      <c r="O234" s="8" t="n"/>
      <c r="P234" s="8" t="n"/>
      <c r="Q234" s="7" t="inlineStr">
        <is>
          <t>SEM COTAÇÃO</t>
        </is>
      </c>
      <c r="R234" s="8" t="n"/>
      <c r="S234" s="14" t="n"/>
      <c r="T234" s="7" t="inlineStr"/>
      <c r="U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8" t="n"/>
      <c r="M235" s="8" t="n"/>
      <c r="N235" s="8" t="n"/>
      <c r="O235" s="15" t="n">
        <v>24.89095</v>
      </c>
      <c r="P235" s="8" t="n"/>
      <c r="Q235" s="7" t="inlineStr">
        <is>
          <t>NAZARIA</t>
        </is>
      </c>
      <c r="R235" s="8" t="n">
        <v>24.89095</v>
      </c>
      <c r="S235" s="14">
        <f>R235/H235-1</f>
        <v/>
      </c>
      <c r="T235" s="16" t="inlineStr">
        <is>
          <t>ACIMA +23.1%</t>
        </is>
      </c>
      <c r="U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8" t="n"/>
      <c r="M236" s="8" t="n"/>
      <c r="N236" s="8" t="n"/>
      <c r="O236" s="8" t="n"/>
      <c r="P236" s="8" t="n"/>
      <c r="Q236" s="7" t="inlineStr">
        <is>
          <t>SEM COTAÇÃO</t>
        </is>
      </c>
      <c r="R236" s="8" t="n"/>
      <c r="S236" s="14" t="n"/>
      <c r="T236" s="7" t="inlineStr"/>
      <c r="U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8" t="n"/>
      <c r="M237" s="8" t="n"/>
      <c r="N237" s="8" t="n"/>
      <c r="O237" s="8" t="n">
        <v>6.012728999999999</v>
      </c>
      <c r="P237" s="8" t="n"/>
      <c r="Q237" s="7" t="inlineStr">
        <is>
          <t>DIMEC</t>
        </is>
      </c>
      <c r="R237" s="8" t="n">
        <v>4.85</v>
      </c>
      <c r="S237" s="14">
        <f>R237/H237-1</f>
        <v/>
      </c>
      <c r="T237" s="16" t="inlineStr">
        <is>
          <t>ACIMA +19.2%</t>
        </is>
      </c>
      <c r="U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8" t="n"/>
      <c r="M238" s="8" t="n"/>
      <c r="N238" s="8" t="n"/>
      <c r="O238" s="15" t="n">
        <v>82.0523</v>
      </c>
      <c r="P238" s="8" t="n"/>
      <c r="Q238" s="7" t="inlineStr">
        <is>
          <t>NAZARIA</t>
        </is>
      </c>
      <c r="R238" s="8" t="n">
        <v>82.0523</v>
      </c>
      <c r="S238" s="14">
        <f>R238/H238-1</f>
        <v/>
      </c>
      <c r="T238" s="16" t="inlineStr">
        <is>
          <t>ACIMA +73.8%</t>
        </is>
      </c>
      <c r="U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8" t="n"/>
      <c r="M239" s="8" t="n"/>
      <c r="N239" s="8" t="n"/>
      <c r="O239" s="8" t="n"/>
      <c r="P239" s="8" t="n"/>
      <c r="Q239" s="7" t="inlineStr">
        <is>
          <t>SEM COTAÇÃO</t>
        </is>
      </c>
      <c r="R239" s="8" t="n"/>
      <c r="S239" s="14" t="n"/>
      <c r="T239" s="7" t="inlineStr"/>
      <c r="U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8" t="n"/>
      <c r="M240" s="8" t="n"/>
      <c r="N240" s="8" t="n"/>
      <c r="O240" s="8" t="n"/>
      <c r="P240" s="8" t="n"/>
      <c r="Q240" s="7" t="inlineStr">
        <is>
          <t>SEM COTAÇÃO</t>
        </is>
      </c>
      <c r="R240" s="8" t="n"/>
      <c r="S240" s="14" t="n"/>
      <c r="T240" s="7" t="inlineStr"/>
      <c r="U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8" t="n"/>
      <c r="M241" s="8" t="n"/>
      <c r="N241" s="8" t="n"/>
      <c r="O241" s="8" t="n"/>
      <c r="P241" s="8" t="n"/>
      <c r="Q241" s="7" t="inlineStr">
        <is>
          <t>SEM COTAÇÃO</t>
        </is>
      </c>
      <c r="R241" s="8" t="n"/>
      <c r="S241" s="14" t="n"/>
      <c r="T241" s="7" t="inlineStr"/>
      <c r="U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8" t="n"/>
      <c r="M242" s="8" t="n"/>
      <c r="N242" s="8" t="n"/>
      <c r="O242" s="8" t="n"/>
      <c r="P242" s="8" t="n"/>
      <c r="Q242" s="7" t="inlineStr">
        <is>
          <t>SEM COTAÇÃO</t>
        </is>
      </c>
      <c r="R242" s="8" t="n"/>
      <c r="S242" s="14" t="n"/>
      <c r="T242" s="7" t="inlineStr"/>
      <c r="U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8" t="n"/>
      <c r="M243" s="8" t="n"/>
      <c r="N243" s="8" t="n"/>
      <c r="O243" s="8" t="n"/>
      <c r="P243" s="8" t="n"/>
      <c r="Q243" s="7" t="inlineStr">
        <is>
          <t>SEM COTAÇÃO</t>
        </is>
      </c>
      <c r="R243" s="8" t="n"/>
      <c r="S243" s="14" t="n"/>
      <c r="T243" s="7" t="inlineStr"/>
      <c r="U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8" t="n"/>
      <c r="M244" s="8" t="n"/>
      <c r="N244" s="8" t="n"/>
      <c r="O244" s="8" t="n"/>
      <c r="P244" s="8" t="n"/>
      <c r="Q244" s="7" t="inlineStr">
        <is>
          <t>SEM COTAÇÃO</t>
        </is>
      </c>
      <c r="R244" s="8" t="n"/>
      <c r="S244" s="14" t="n"/>
      <c r="T244" s="7" t="inlineStr"/>
      <c r="U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8" t="n"/>
      <c r="M245" s="8" t="n"/>
      <c r="N245" s="8" t="n"/>
      <c r="O245" s="8" t="n"/>
      <c r="P245" s="8" t="n"/>
      <c r="Q245" s="7" t="inlineStr">
        <is>
          <t>SEM COTAÇÃO</t>
        </is>
      </c>
      <c r="R245" s="8" t="n"/>
      <c r="S245" s="14" t="n"/>
      <c r="T245" s="7" t="inlineStr"/>
      <c r="U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15" t="n">
        <v>4.69</v>
      </c>
      <c r="K246" s="8" t="n"/>
      <c r="L246" s="8" t="n"/>
      <c r="M246" s="8" t="n">
        <v>5.18</v>
      </c>
      <c r="N246" s="8" t="n">
        <v>5.04</v>
      </c>
      <c r="O246" s="8" t="n"/>
      <c r="P246" s="8" t="n">
        <v>4.95</v>
      </c>
      <c r="Q246" s="7" t="inlineStr">
        <is>
          <t>DIMEC</t>
        </is>
      </c>
      <c r="R246" s="8" t="n">
        <v>4.69</v>
      </c>
      <c r="S246" s="14">
        <f>R246/H246-1</f>
        <v/>
      </c>
      <c r="T246" s="16" t="inlineStr">
        <is>
          <t>ACIMA +27.1%</t>
        </is>
      </c>
      <c r="U246" s="7" t="inlineStr"/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15" t="n">
        <v>4.71</v>
      </c>
      <c r="K247" s="8" t="n"/>
      <c r="L247" s="8" t="n"/>
      <c r="M247" s="8" t="n">
        <v>5.42</v>
      </c>
      <c r="N247" s="8" t="n">
        <v>5.04</v>
      </c>
      <c r="O247" s="8" t="n"/>
      <c r="P247" s="8" t="n">
        <v>4.94</v>
      </c>
      <c r="Q247" s="7" t="inlineStr">
        <is>
          <t>DIMEC</t>
        </is>
      </c>
      <c r="R247" s="8" t="n">
        <v>4.71</v>
      </c>
      <c r="S247" s="14">
        <f>R247/H247-1</f>
        <v/>
      </c>
      <c r="T247" s="16" t="inlineStr">
        <is>
          <t>ACIMA +0.6%</t>
        </is>
      </c>
      <c r="U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8" t="n"/>
      <c r="M248" s="8" t="n"/>
      <c r="N248" s="8" t="n"/>
      <c r="O248" s="8" t="n"/>
      <c r="P248" s="8" t="n"/>
      <c r="Q248" s="7" t="inlineStr">
        <is>
          <t>SEM COTAÇÃO</t>
        </is>
      </c>
      <c r="R248" s="8" t="n"/>
      <c r="S248" s="14" t="n"/>
      <c r="T248" s="7" t="inlineStr"/>
      <c r="U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8" t="n"/>
      <c r="M249" s="8" t="n"/>
      <c r="N249" s="8" t="n"/>
      <c r="O249" s="8" t="n"/>
      <c r="P249" s="8" t="n"/>
      <c r="Q249" s="7" t="inlineStr">
        <is>
          <t>SEM COTAÇÃO</t>
        </is>
      </c>
      <c r="R249" s="8" t="n"/>
      <c r="S249" s="14" t="n"/>
      <c r="T249" s="7" t="inlineStr"/>
      <c r="U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8" t="n"/>
      <c r="M250" s="8" t="n"/>
      <c r="N250" s="8" t="n"/>
      <c r="O250" s="8" t="n"/>
      <c r="P250" s="8" t="n"/>
      <c r="Q250" s="7" t="inlineStr">
        <is>
          <t>SEM COTAÇÃO</t>
        </is>
      </c>
      <c r="R250" s="8" t="n"/>
      <c r="S250" s="14" t="n"/>
      <c r="T250" s="7" t="inlineStr"/>
      <c r="U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8" t="n"/>
      <c r="M251" s="8" t="n"/>
      <c r="N251" s="8" t="n"/>
      <c r="O251" s="8" t="n"/>
      <c r="P251" s="8" t="n"/>
      <c r="Q251" s="7" t="inlineStr">
        <is>
          <t>SEM COTAÇÃO</t>
        </is>
      </c>
      <c r="R251" s="8" t="n"/>
      <c r="S251" s="14" t="n"/>
      <c r="T251" s="7" t="inlineStr"/>
      <c r="U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8" t="n"/>
      <c r="M252" s="8" t="n"/>
      <c r="N252" s="8" t="n"/>
      <c r="O252" s="8" t="n"/>
      <c r="P252" s="8" t="n"/>
      <c r="Q252" s="7" t="inlineStr">
        <is>
          <t>SEM COTAÇÃO</t>
        </is>
      </c>
      <c r="R252" s="8" t="n"/>
      <c r="S252" s="14" t="n"/>
      <c r="T252" s="7" t="inlineStr"/>
      <c r="U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8" t="n"/>
      <c r="M253" s="8" t="n"/>
      <c r="N253" s="8" t="n"/>
      <c r="O253" s="8" t="n"/>
      <c r="P253" s="8" t="n"/>
      <c r="Q253" s="7" t="inlineStr">
        <is>
          <t>SEM COTAÇÃO</t>
        </is>
      </c>
      <c r="R253" s="8" t="n"/>
      <c r="S253" s="14" t="n"/>
      <c r="T253" s="7" t="inlineStr"/>
      <c r="U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8" t="n"/>
      <c r="M254" s="8" t="n"/>
      <c r="N254" s="8" t="n"/>
      <c r="O254" s="8" t="n"/>
      <c r="P254" s="8" t="n"/>
      <c r="Q254" s="7" t="inlineStr">
        <is>
          <t>SEM COTAÇÃO</t>
        </is>
      </c>
      <c r="R254" s="8" t="n"/>
      <c r="S254" s="14" t="n"/>
      <c r="T254" s="7" t="inlineStr"/>
      <c r="U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8" t="n"/>
      <c r="M255" s="8" t="n"/>
      <c r="N255" s="8" t="n"/>
      <c r="O255" s="8" t="n"/>
      <c r="P255" s="8" t="n"/>
      <c r="Q255" s="7" t="inlineStr">
        <is>
          <t>SEM COTAÇÃO</t>
        </is>
      </c>
      <c r="R255" s="8" t="n"/>
      <c r="S255" s="14" t="n"/>
      <c r="T255" s="7" t="inlineStr"/>
      <c r="U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8" t="n"/>
      <c r="M256" s="8" t="n"/>
      <c r="N256" s="8" t="n"/>
      <c r="O256" s="8" t="n"/>
      <c r="P256" s="8" t="n"/>
      <c r="Q256" s="7" t="inlineStr">
        <is>
          <t>SEM COTAÇÃO</t>
        </is>
      </c>
      <c r="R256" s="8" t="n"/>
      <c r="S256" s="14" t="n"/>
      <c r="T256" s="7" t="inlineStr"/>
      <c r="U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8" t="n"/>
      <c r="M257" s="8" t="n"/>
      <c r="N257" s="8" t="n"/>
      <c r="O257" s="8" t="n"/>
      <c r="P257" s="8" t="n"/>
      <c r="Q257" s="7" t="inlineStr">
        <is>
          <t>SEM COTAÇÃO</t>
        </is>
      </c>
      <c r="R257" s="8" t="n"/>
      <c r="S257" s="14" t="n"/>
      <c r="T257" s="7" t="inlineStr"/>
      <c r="U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8" t="n"/>
      <c r="M258" s="8" t="n"/>
      <c r="N258" s="8" t="n"/>
      <c r="O258" s="8" t="n"/>
      <c r="P258" s="8" t="n"/>
      <c r="Q258" s="7" t="inlineStr">
        <is>
          <t>SEM COTAÇÃO</t>
        </is>
      </c>
      <c r="R258" s="8" t="n"/>
      <c r="S258" s="14" t="n"/>
      <c r="T258" s="7" t="inlineStr"/>
      <c r="U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8" t="n"/>
      <c r="M259" s="8" t="n"/>
      <c r="N259" s="8" t="n"/>
      <c r="O259" s="8" t="n"/>
      <c r="P259" s="8" t="n"/>
      <c r="Q259" s="7" t="inlineStr">
        <is>
          <t>SEM COTAÇÃO</t>
        </is>
      </c>
      <c r="R259" s="8" t="n"/>
      <c r="S259" s="14" t="n"/>
      <c r="T259" s="7" t="inlineStr"/>
      <c r="U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8" t="n"/>
      <c r="M260" s="8" t="n"/>
      <c r="N260" s="8" t="n"/>
      <c r="O260" s="8" t="n"/>
      <c r="P260" s="8" t="n"/>
      <c r="Q260" s="7" t="inlineStr">
        <is>
          <t>SEM COTAÇÃO</t>
        </is>
      </c>
      <c r="R260" s="8" t="n"/>
      <c r="S260" s="14" t="n"/>
      <c r="T260" s="7" t="inlineStr"/>
      <c r="U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8" t="n"/>
      <c r="M261" s="8" t="n"/>
      <c r="N261" s="8" t="n"/>
      <c r="O261" s="8" t="n"/>
      <c r="P261" s="8" t="n"/>
      <c r="Q261" s="7" t="inlineStr">
        <is>
          <t>SEM COTAÇÃO</t>
        </is>
      </c>
      <c r="R261" s="8" t="n"/>
      <c r="S261" s="14" t="n"/>
      <c r="T261" s="7" t="inlineStr"/>
      <c r="U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8" t="n"/>
      <c r="M262" s="8" t="n"/>
      <c r="N262" s="8" t="n"/>
      <c r="O262" s="8" t="n"/>
      <c r="P262" s="8" t="n"/>
      <c r="Q262" s="7" t="inlineStr">
        <is>
          <t>SEM COTAÇÃO</t>
        </is>
      </c>
      <c r="R262" s="8" t="n"/>
      <c r="S262" s="14" t="n"/>
      <c r="T262" s="7" t="inlineStr"/>
      <c r="U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8" t="n"/>
      <c r="M263" s="8" t="n"/>
      <c r="N263" s="8" t="n"/>
      <c r="O263" s="15" t="n">
        <v>23.02</v>
      </c>
      <c r="P263" s="8" t="n"/>
      <c r="Q263" s="7" t="inlineStr">
        <is>
          <t>NAZARIA</t>
        </is>
      </c>
      <c r="R263" s="8" t="n">
        <v>23.02</v>
      </c>
      <c r="S263" s="14">
        <f>R263/H263-1</f>
        <v/>
      </c>
      <c r="T263" s="16" t="inlineStr">
        <is>
          <t>ACIMA +171.1%</t>
        </is>
      </c>
      <c r="U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8" t="n"/>
      <c r="M264" s="8" t="n"/>
      <c r="N264" s="8" t="n"/>
      <c r="O264" s="8" t="n"/>
      <c r="P264" s="8" t="n"/>
      <c r="Q264" s="7" t="inlineStr">
        <is>
          <t>SEM COTAÇÃO</t>
        </is>
      </c>
      <c r="R264" s="8" t="n"/>
      <c r="S264" s="14" t="n"/>
      <c r="T264" s="7" t="inlineStr"/>
      <c r="U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8" t="n"/>
      <c r="M265" s="8" t="n"/>
      <c r="N265" s="8" t="n"/>
      <c r="O265" s="8" t="n"/>
      <c r="P265" s="8" t="n"/>
      <c r="Q265" s="7" t="inlineStr">
        <is>
          <t>SEM COTAÇÃO</t>
        </is>
      </c>
      <c r="R265" s="8" t="n"/>
      <c r="S265" s="14" t="n"/>
      <c r="T265" s="7" t="inlineStr"/>
      <c r="U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8" t="n"/>
      <c r="M266" s="8" t="n"/>
      <c r="N266" s="8" t="n"/>
      <c r="O266" s="8" t="n"/>
      <c r="P266" s="8" t="n"/>
      <c r="Q266" s="7" t="inlineStr">
        <is>
          <t>SEM COTAÇÃO</t>
        </is>
      </c>
      <c r="R266" s="8" t="n"/>
      <c r="S266" s="14" t="n"/>
      <c r="T266" s="7" t="inlineStr"/>
      <c r="U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8" t="n"/>
      <c r="M267" s="8" t="n"/>
      <c r="N267" s="8" t="n"/>
      <c r="O267" s="8" t="n"/>
      <c r="P267" s="8" t="n"/>
      <c r="Q267" s="7" t="inlineStr">
        <is>
          <t>SEM COTAÇÃO</t>
        </is>
      </c>
      <c r="R267" s="8" t="n"/>
      <c r="S267" s="14" t="n"/>
      <c r="T267" s="7" t="inlineStr"/>
      <c r="U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8" t="n"/>
      <c r="M268" s="8" t="n"/>
      <c r="N268" s="8" t="n"/>
      <c r="O268" s="8" t="n"/>
      <c r="P268" s="8" t="n"/>
      <c r="Q268" s="7" t="inlineStr">
        <is>
          <t>SEM COTAÇÃO</t>
        </is>
      </c>
      <c r="R268" s="8" t="n"/>
      <c r="S268" s="14" t="n"/>
      <c r="T268" s="7" t="inlineStr"/>
      <c r="U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8" t="n"/>
      <c r="M269" s="8" t="n"/>
      <c r="N269" s="8" t="n"/>
      <c r="O269" s="8" t="n"/>
      <c r="P269" s="8" t="n"/>
      <c r="Q269" s="7" t="inlineStr">
        <is>
          <t>SEM COTAÇÃO</t>
        </is>
      </c>
      <c r="R269" s="8" t="n"/>
      <c r="S269" s="14" t="n"/>
      <c r="T269" s="7" t="inlineStr"/>
      <c r="U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7" t="inlineStr">
        <is>
          <t>SEM COTAÇÃO</t>
        </is>
      </c>
      <c r="R270" s="8" t="n"/>
      <c r="S270" s="14" t="n"/>
      <c r="T270" s="7" t="inlineStr"/>
      <c r="U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7" t="inlineStr">
        <is>
          <t>SEM COTAÇÃO</t>
        </is>
      </c>
      <c r="R271" s="8" t="n"/>
      <c r="S271" s="14" t="n"/>
      <c r="T271" s="7" t="inlineStr"/>
      <c r="U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8" t="n"/>
      <c r="M272" s="8" t="n"/>
      <c r="N272" s="8" t="n"/>
      <c r="O272" s="8" t="n"/>
      <c r="P272" s="8" t="n"/>
      <c r="Q272" s="7" t="inlineStr">
        <is>
          <t>SEM COTAÇÃO</t>
        </is>
      </c>
      <c r="R272" s="8" t="n"/>
      <c r="S272" s="14" t="n"/>
      <c r="T272" s="7" t="inlineStr"/>
      <c r="U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8" t="n"/>
      <c r="M273" s="8" t="n"/>
      <c r="N273" s="8" t="n"/>
      <c r="O273" s="8" t="n"/>
      <c r="P273" s="8" t="n"/>
      <c r="Q273" s="7" t="inlineStr">
        <is>
          <t>SEM COTAÇÃO</t>
        </is>
      </c>
      <c r="R273" s="8" t="n"/>
      <c r="S273" s="14" t="n"/>
      <c r="T273" s="7" t="inlineStr"/>
      <c r="U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8" t="n"/>
      <c r="M274" s="8" t="n"/>
      <c r="N274" s="8" t="n"/>
      <c r="O274" s="8" t="n"/>
      <c r="P274" s="8" t="n"/>
      <c r="Q274" s="7" t="inlineStr">
        <is>
          <t>SEM COTAÇÃO</t>
        </is>
      </c>
      <c r="R274" s="8" t="n"/>
      <c r="S274" s="14" t="n"/>
      <c r="T274" s="7" t="inlineStr"/>
      <c r="U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8" t="n">
        <v>50.26</v>
      </c>
      <c r="M275" s="8" t="n"/>
      <c r="N275" s="8" t="n"/>
      <c r="O275" s="15" t="n">
        <v>49.2723</v>
      </c>
      <c r="P275" s="8" t="n"/>
      <c r="Q275" s="7" t="inlineStr">
        <is>
          <t>NAZARIA</t>
        </is>
      </c>
      <c r="R275" s="8" t="n">
        <v>49.2723</v>
      </c>
      <c r="S275" s="14">
        <f>R275/H275-1</f>
        <v/>
      </c>
      <c r="T275" s="17" t="inlineStr">
        <is>
          <t>OK (≤ últ. compra)</t>
        </is>
      </c>
      <c r="U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8" t="n"/>
      <c r="M276" s="8" t="n"/>
      <c r="N276" s="15" t="n">
        <v>30.01</v>
      </c>
      <c r="O276" s="8" t="n"/>
      <c r="P276" s="8" t="n"/>
      <c r="Q276" s="7" t="inlineStr">
        <is>
          <t>TAPAJOS</t>
        </is>
      </c>
      <c r="R276" s="8" t="n">
        <v>30.01</v>
      </c>
      <c r="S276" s="14">
        <f>R276/H276-1</f>
        <v/>
      </c>
      <c r="T276" s="16" t="inlineStr">
        <is>
          <t>ACIMA +7.0%</t>
        </is>
      </c>
      <c r="U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8" t="n"/>
      <c r="M277" s="8" t="n"/>
      <c r="N277" s="8" t="n"/>
      <c r="O277" s="8" t="n"/>
      <c r="P277" s="8" t="n"/>
      <c r="Q277" s="7" t="inlineStr">
        <is>
          <t>SEM COTAÇÃO</t>
        </is>
      </c>
      <c r="R277" s="8" t="n"/>
      <c r="S277" s="14" t="n"/>
      <c r="T277" s="7" t="inlineStr"/>
      <c r="U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8" t="n"/>
      <c r="M278" s="8" t="n"/>
      <c r="N278" s="8" t="n"/>
      <c r="O278" s="8" t="n"/>
      <c r="P278" s="8" t="n"/>
      <c r="Q278" s="7" t="inlineStr">
        <is>
          <t>SEM COTAÇÃO</t>
        </is>
      </c>
      <c r="R278" s="8" t="n"/>
      <c r="S278" s="14" t="n"/>
      <c r="T278" s="7" t="inlineStr"/>
      <c r="U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8" t="n"/>
      <c r="M279" s="8" t="n"/>
      <c r="N279" s="8" t="n"/>
      <c r="O279" s="8" t="n"/>
      <c r="P279" s="8" t="n"/>
      <c r="Q279" s="7" t="inlineStr">
        <is>
          <t>SEM COTAÇÃO</t>
        </is>
      </c>
      <c r="R279" s="8" t="n"/>
      <c r="S279" s="14" t="n"/>
      <c r="T279" s="7" t="inlineStr"/>
      <c r="U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8" t="n"/>
      <c r="M280" s="8" t="n"/>
      <c r="N280" s="8" t="n"/>
      <c r="O280" s="8" t="n"/>
      <c r="P280" s="8" t="n"/>
      <c r="Q280" s="7" t="inlineStr">
        <is>
          <t>SEM COTAÇÃO</t>
        </is>
      </c>
      <c r="R280" s="8" t="n"/>
      <c r="S280" s="14" t="n"/>
      <c r="T280" s="7" t="inlineStr"/>
      <c r="U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8" t="n"/>
      <c r="M281" s="8" t="n"/>
      <c r="N281" s="8" t="n"/>
      <c r="O281" s="8" t="n"/>
      <c r="P281" s="8" t="n"/>
      <c r="Q281" s="7" t="inlineStr">
        <is>
          <t>SEM COTAÇÃO</t>
        </is>
      </c>
      <c r="R281" s="8" t="n"/>
      <c r="S281" s="14" t="n"/>
      <c r="T281" s="7" t="inlineStr"/>
      <c r="U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8" t="n"/>
      <c r="M282" s="8" t="n"/>
      <c r="N282" s="8" t="n"/>
      <c r="O282" s="8" t="n">
        <v>110.51</v>
      </c>
      <c r="P282" s="8" t="n"/>
      <c r="Q282" s="7" t="inlineStr">
        <is>
          <t>SEM COTAÇÃO</t>
        </is>
      </c>
      <c r="R282" s="8" t="n"/>
      <c r="S282" s="14" t="n"/>
      <c r="T282" s="7" t="inlineStr"/>
      <c r="U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8" t="n"/>
      <c r="M283" s="8" t="n"/>
      <c r="N283" s="8" t="n"/>
      <c r="O283" s="8" t="n"/>
      <c r="P283" s="8" t="n"/>
      <c r="Q283" s="7" t="inlineStr">
        <is>
          <t>SEM COTAÇÃO</t>
        </is>
      </c>
      <c r="R283" s="8" t="n"/>
      <c r="S283" s="14" t="n"/>
      <c r="T283" s="7" t="inlineStr"/>
      <c r="U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8" t="n"/>
      <c r="M284" s="8" t="n"/>
      <c r="N284" s="8" t="n"/>
      <c r="O284" s="8" t="n"/>
      <c r="P284" s="8" t="n"/>
      <c r="Q284" s="7" t="inlineStr">
        <is>
          <t>SEM COTAÇÃO</t>
        </is>
      </c>
      <c r="R284" s="8" t="n"/>
      <c r="S284" s="14" t="n"/>
      <c r="T284" s="7" t="inlineStr"/>
      <c r="U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8" t="n"/>
      <c r="M285" s="8" t="n"/>
      <c r="N285" s="8" t="n"/>
      <c r="O285" s="8" t="n"/>
      <c r="P285" s="8" t="n"/>
      <c r="Q285" s="7" t="inlineStr">
        <is>
          <t>SEM COTAÇÃO</t>
        </is>
      </c>
      <c r="R285" s="8" t="n"/>
      <c r="S285" s="14" t="n"/>
      <c r="T285" s="7" t="inlineStr"/>
      <c r="U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8" t="n"/>
      <c r="M286" s="8" t="n"/>
      <c r="N286" s="8" t="n"/>
      <c r="O286" s="8" t="n">
        <v>5.68</v>
      </c>
      <c r="P286" s="8" t="n"/>
      <c r="Q286" s="7" t="inlineStr">
        <is>
          <t>SEM COTAÇÃO</t>
        </is>
      </c>
      <c r="R286" s="8" t="n"/>
      <c r="S286" s="14" t="n"/>
      <c r="T286" s="7" t="inlineStr"/>
      <c r="U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8" t="n"/>
      <c r="M287" s="8" t="n"/>
      <c r="N287" s="8" t="n"/>
      <c r="O287" s="8" t="n">
        <v>5.11</v>
      </c>
      <c r="P287" s="8" t="n"/>
      <c r="Q287" s="7" t="inlineStr">
        <is>
          <t>SEM COTAÇÃO</t>
        </is>
      </c>
      <c r="R287" s="8" t="n"/>
      <c r="S287" s="14" t="n"/>
      <c r="T287" s="7" t="inlineStr"/>
      <c r="U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8" t="n"/>
      <c r="M288" s="8" t="n"/>
      <c r="N288" s="8" t="n"/>
      <c r="O288" s="8" t="n">
        <v>5.11</v>
      </c>
      <c r="P288" s="8" t="n"/>
      <c r="Q288" s="7" t="inlineStr">
        <is>
          <t>SEM COTAÇÃO</t>
        </is>
      </c>
      <c r="R288" s="8" t="n"/>
      <c r="S288" s="14" t="n"/>
      <c r="T288" s="7" t="inlineStr"/>
      <c r="U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8" t="n"/>
      <c r="M289" s="8" t="n"/>
      <c r="N289" s="8" t="n"/>
      <c r="O289" s="8" t="n"/>
      <c r="P289" s="8" t="n"/>
      <c r="Q289" s="7" t="inlineStr">
        <is>
          <t>SEM COTAÇÃO</t>
        </is>
      </c>
      <c r="R289" s="8" t="n"/>
      <c r="S289" s="14" t="n"/>
      <c r="T289" s="7" t="inlineStr"/>
      <c r="U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8" t="n"/>
      <c r="M290" s="8" t="n"/>
      <c r="N290" s="8" t="n"/>
      <c r="O290" s="8" t="n">
        <v>5.11</v>
      </c>
      <c r="P290" s="8" t="n"/>
      <c r="Q290" s="7" t="inlineStr">
        <is>
          <t>SEM COTAÇÃO</t>
        </is>
      </c>
      <c r="R290" s="8" t="n"/>
      <c r="S290" s="14" t="n"/>
      <c r="T290" s="7" t="inlineStr"/>
      <c r="U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8" t="n"/>
      <c r="M291" s="8" t="n"/>
      <c r="N291" s="8" t="n"/>
      <c r="O291" s="8" t="n"/>
      <c r="P291" s="8" t="n"/>
      <c r="Q291" s="7" t="inlineStr">
        <is>
          <t>SEM COTAÇÃO</t>
        </is>
      </c>
      <c r="R291" s="8" t="n"/>
      <c r="S291" s="14" t="n"/>
      <c r="T291" s="7" t="inlineStr"/>
      <c r="U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8" t="n"/>
      <c r="M292" s="8" t="n"/>
      <c r="N292" s="8" t="n"/>
      <c r="O292" s="8" t="n"/>
      <c r="P292" s="8" t="n"/>
      <c r="Q292" s="7" t="inlineStr">
        <is>
          <t>SEM COTAÇÃO</t>
        </is>
      </c>
      <c r="R292" s="8" t="n"/>
      <c r="S292" s="14" t="n"/>
      <c r="T292" s="7" t="inlineStr"/>
      <c r="U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8" t="n"/>
      <c r="M293" s="8" t="n"/>
      <c r="N293" s="8" t="n"/>
      <c r="O293" s="8" t="n"/>
      <c r="P293" s="8" t="n"/>
      <c r="Q293" s="7" t="inlineStr">
        <is>
          <t>SEM COTAÇÃO</t>
        </is>
      </c>
      <c r="R293" s="8" t="n"/>
      <c r="S293" s="14" t="n"/>
      <c r="T293" s="7" t="inlineStr"/>
      <c r="U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8" t="n"/>
      <c r="M294" s="8" t="n"/>
      <c r="N294" s="8" t="n"/>
      <c r="O294" s="8" t="n"/>
      <c r="P294" s="8" t="n"/>
      <c r="Q294" s="7" t="inlineStr">
        <is>
          <t>SEM COTAÇÃO</t>
        </is>
      </c>
      <c r="R294" s="8" t="n"/>
      <c r="S294" s="14" t="n"/>
      <c r="T294" s="7" t="inlineStr"/>
      <c r="U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8" t="n"/>
      <c r="M295" s="8" t="n"/>
      <c r="N295" s="8" t="n"/>
      <c r="O295" s="8" t="n"/>
      <c r="P295" s="8" t="n"/>
      <c r="Q295" s="7" t="inlineStr">
        <is>
          <t>SEM COTAÇÃO</t>
        </is>
      </c>
      <c r="R295" s="8" t="n"/>
      <c r="S295" s="14" t="n"/>
      <c r="T295" s="7" t="inlineStr"/>
      <c r="U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8" t="n"/>
      <c r="M296" s="8" t="n"/>
      <c r="N296" s="8" t="n"/>
      <c r="O296" s="8" t="n"/>
      <c r="P296" s="8" t="n"/>
      <c r="Q296" s="7" t="inlineStr">
        <is>
          <t>SEM COTAÇÃO</t>
        </is>
      </c>
      <c r="R296" s="8" t="n"/>
      <c r="S296" s="14" t="n"/>
      <c r="T296" s="7" t="inlineStr"/>
      <c r="U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8" t="n"/>
      <c r="M297" s="8" t="n"/>
      <c r="N297" s="8" t="n"/>
      <c r="O297" s="8" t="n"/>
      <c r="P297" s="8" t="n"/>
      <c r="Q297" s="7" t="inlineStr">
        <is>
          <t>SEM COTAÇÃO</t>
        </is>
      </c>
      <c r="R297" s="8" t="n"/>
      <c r="S297" s="14" t="n"/>
      <c r="T297" s="7" t="inlineStr"/>
      <c r="U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8" t="n"/>
      <c r="M298" s="8" t="n"/>
      <c r="N298" s="8" t="n"/>
      <c r="O298" s="8" t="n"/>
      <c r="P298" s="8" t="n"/>
      <c r="Q298" s="7" t="inlineStr">
        <is>
          <t>SEM COTAÇÃO</t>
        </is>
      </c>
      <c r="R298" s="8" t="n"/>
      <c r="S298" s="14" t="n"/>
      <c r="T298" s="7" t="inlineStr"/>
      <c r="U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8" t="n"/>
      <c r="M299" s="8" t="n"/>
      <c r="N299" s="8" t="n"/>
      <c r="O299" s="8" t="n"/>
      <c r="P299" s="8" t="n"/>
      <c r="Q299" s="7" t="inlineStr">
        <is>
          <t>SEM COTAÇÃO</t>
        </is>
      </c>
      <c r="R299" s="8" t="n"/>
      <c r="S299" s="14" t="n"/>
      <c r="T299" s="7" t="inlineStr"/>
      <c r="U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8" t="n"/>
      <c r="M300" s="8" t="n"/>
      <c r="N300" s="8" t="n"/>
      <c r="O300" s="8" t="n"/>
      <c r="P300" s="8" t="n"/>
      <c r="Q300" s="7" t="inlineStr">
        <is>
          <t>SEM COTAÇÃO</t>
        </is>
      </c>
      <c r="R300" s="8" t="n"/>
      <c r="S300" s="14" t="n"/>
      <c r="T300" s="7" t="inlineStr"/>
      <c r="U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8" t="n"/>
      <c r="M301" s="8" t="n"/>
      <c r="N301" s="8" t="n"/>
      <c r="O301" s="8" t="n"/>
      <c r="P301" s="8" t="n"/>
      <c r="Q301" s="7" t="inlineStr">
        <is>
          <t>SEM COTAÇÃO</t>
        </is>
      </c>
      <c r="R301" s="8" t="n"/>
      <c r="S301" s="14" t="n"/>
      <c r="T301" s="7" t="inlineStr"/>
      <c r="U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8" t="n"/>
      <c r="M302" s="8" t="n"/>
      <c r="N302" s="8" t="n"/>
      <c r="O302" s="8" t="n"/>
      <c r="P302" s="8" t="n"/>
      <c r="Q302" s="7" t="inlineStr">
        <is>
          <t>SEM COTAÇÃO</t>
        </is>
      </c>
      <c r="R302" s="8" t="n"/>
      <c r="S302" s="14" t="n"/>
      <c r="T302" s="7" t="inlineStr"/>
      <c r="U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8" t="n"/>
      <c r="M303" s="8" t="n"/>
      <c r="N303" s="8" t="n"/>
      <c r="O303" s="8" t="n"/>
      <c r="P303" s="8" t="n"/>
      <c r="Q303" s="7" t="inlineStr">
        <is>
          <t>SEM COTAÇÃO</t>
        </is>
      </c>
      <c r="R303" s="8" t="n"/>
      <c r="S303" s="14" t="n"/>
      <c r="T303" s="7" t="inlineStr"/>
      <c r="U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8" t="n"/>
      <c r="M304" s="8" t="n"/>
      <c r="N304" s="8" t="n"/>
      <c r="O304" s="8" t="n"/>
      <c r="P304" s="8" t="n"/>
      <c r="Q304" s="7" t="inlineStr">
        <is>
          <t>SEM COTAÇÃO</t>
        </is>
      </c>
      <c r="R304" s="8" t="n"/>
      <c r="S304" s="14" t="n"/>
      <c r="T304" s="7" t="inlineStr"/>
      <c r="U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8" t="n"/>
      <c r="M305" s="8" t="n"/>
      <c r="N305" s="8" t="n"/>
      <c r="O305" s="8" t="n"/>
      <c r="P305" s="8" t="n"/>
      <c r="Q305" s="7" t="inlineStr">
        <is>
          <t>SEM COTAÇÃO</t>
        </is>
      </c>
      <c r="R305" s="8" t="n"/>
      <c r="S305" s="14" t="n"/>
      <c r="T305" s="7" t="inlineStr"/>
      <c r="U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8" t="n"/>
      <c r="M306" s="8" t="n"/>
      <c r="N306" s="8" t="n"/>
      <c r="O306" s="8" t="n"/>
      <c r="P306" s="8" t="n"/>
      <c r="Q306" s="7" t="inlineStr">
        <is>
          <t>SEM COTAÇÃO</t>
        </is>
      </c>
      <c r="R306" s="8" t="n"/>
      <c r="S306" s="14" t="n"/>
      <c r="T306" s="7" t="inlineStr"/>
      <c r="U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8" t="n"/>
      <c r="M307" s="8" t="n"/>
      <c r="N307" s="8" t="n"/>
      <c r="O307" s="8" t="n"/>
      <c r="P307" s="8" t="n"/>
      <c r="Q307" s="7" t="inlineStr">
        <is>
          <t>SEM COTAÇÃO</t>
        </is>
      </c>
      <c r="R307" s="8" t="n"/>
      <c r="S307" s="14" t="n"/>
      <c r="T307" s="7" t="inlineStr"/>
      <c r="U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8" t="n"/>
      <c r="M308" s="8" t="n"/>
      <c r="N308" s="8" t="n"/>
      <c r="O308" s="8" t="n"/>
      <c r="P308" s="8" t="n"/>
      <c r="Q308" s="7" t="inlineStr">
        <is>
          <t>SEM COTAÇÃO</t>
        </is>
      </c>
      <c r="R308" s="8" t="n"/>
      <c r="S308" s="14" t="n"/>
      <c r="T308" s="7" t="inlineStr"/>
      <c r="U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8" t="n"/>
      <c r="M309" s="8" t="n"/>
      <c r="N309" s="8" t="n"/>
      <c r="O309" s="8" t="n"/>
      <c r="P309" s="8" t="n"/>
      <c r="Q309" s="7" t="inlineStr">
        <is>
          <t>SEM COTAÇÃO</t>
        </is>
      </c>
      <c r="R309" s="8" t="n"/>
      <c r="S309" s="14" t="n"/>
      <c r="T309" s="7" t="inlineStr"/>
      <c r="U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8" t="n"/>
      <c r="M310" s="8" t="n"/>
      <c r="N310" s="8" t="n"/>
      <c r="O310" s="8" t="n"/>
      <c r="P310" s="8" t="n"/>
      <c r="Q310" s="7" t="inlineStr">
        <is>
          <t>SEM COTAÇÃO</t>
        </is>
      </c>
      <c r="R310" s="8" t="n"/>
      <c r="S310" s="14" t="n"/>
      <c r="T310" s="7" t="inlineStr"/>
      <c r="U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8" t="n"/>
      <c r="M311" s="8" t="n"/>
      <c r="N311" s="8" t="n"/>
      <c r="O311" s="8" t="n"/>
      <c r="P311" s="8" t="n"/>
      <c r="Q311" s="7" t="inlineStr">
        <is>
          <t>SEM COTAÇÃO</t>
        </is>
      </c>
      <c r="R311" s="8" t="n"/>
      <c r="S311" s="14" t="n"/>
      <c r="T311" s="7" t="inlineStr"/>
      <c r="U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8" t="n"/>
      <c r="M312" s="8" t="n"/>
      <c r="N312" s="8" t="n"/>
      <c r="O312" s="8" t="n"/>
      <c r="P312" s="8" t="n"/>
      <c r="Q312" s="7" t="inlineStr">
        <is>
          <t>SEM COTAÇÃO</t>
        </is>
      </c>
      <c r="R312" s="8" t="n"/>
      <c r="S312" s="14" t="n"/>
      <c r="T312" s="7" t="inlineStr"/>
      <c r="U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8" t="n"/>
      <c r="M313" s="8" t="n"/>
      <c r="N313" s="8" t="n"/>
      <c r="O313" s="8" t="n"/>
      <c r="P313" s="8" t="n"/>
      <c r="Q313" s="7" t="inlineStr">
        <is>
          <t>SEM COTAÇÃO</t>
        </is>
      </c>
      <c r="R313" s="8" t="n"/>
      <c r="S313" s="14" t="n"/>
      <c r="T313" s="7" t="inlineStr"/>
      <c r="U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8" t="n"/>
      <c r="M314" s="8" t="n"/>
      <c r="N314" s="8" t="n"/>
      <c r="O314" s="8" t="n"/>
      <c r="P314" s="8" t="n"/>
      <c r="Q314" s="7" t="inlineStr">
        <is>
          <t>SEM COTAÇÃO</t>
        </is>
      </c>
      <c r="R314" s="8" t="n"/>
      <c r="S314" s="14" t="n"/>
      <c r="T314" s="7" t="inlineStr"/>
      <c r="U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8" t="n"/>
      <c r="M315" s="8" t="n"/>
      <c r="N315" s="8" t="n"/>
      <c r="O315" s="8" t="n"/>
      <c r="P315" s="8" t="n"/>
      <c r="Q315" s="7" t="inlineStr">
        <is>
          <t>SEM COTAÇÃO</t>
        </is>
      </c>
      <c r="R315" s="8" t="n"/>
      <c r="S315" s="14" t="n"/>
      <c r="T315" s="7" t="inlineStr"/>
      <c r="U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8" t="n"/>
      <c r="M316" s="8" t="n"/>
      <c r="N316" s="8" t="n"/>
      <c r="O316" s="8" t="n"/>
      <c r="P316" s="8" t="n"/>
      <c r="Q316" s="7" t="inlineStr">
        <is>
          <t>SEM COTAÇÃO</t>
        </is>
      </c>
      <c r="R316" s="8" t="n"/>
      <c r="S316" s="14" t="n"/>
      <c r="T316" s="7" t="inlineStr"/>
      <c r="U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8" t="n"/>
      <c r="M317" s="8" t="n">
        <v>5.84</v>
      </c>
      <c r="N317" s="8" t="n"/>
      <c r="O317" s="8" t="n"/>
      <c r="P317" s="8" t="n"/>
      <c r="Q317" s="7" t="inlineStr">
        <is>
          <t>DIMEC</t>
        </is>
      </c>
      <c r="R317" s="8" t="n">
        <v>5.49</v>
      </c>
      <c r="S317" s="14">
        <f>R317/H317-1</f>
        <v/>
      </c>
      <c r="T317" s="16" t="inlineStr">
        <is>
          <t>ACIMA +26.2%</t>
        </is>
      </c>
      <c r="U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8" t="n"/>
      <c r="M318" s="8" t="n">
        <v>5.84</v>
      </c>
      <c r="N318" s="8" t="n"/>
      <c r="O318" s="8" t="n"/>
      <c r="P318" s="8" t="n"/>
      <c r="Q318" s="7" t="inlineStr">
        <is>
          <t>DIMEC</t>
        </is>
      </c>
      <c r="R318" s="8" t="n">
        <v>5.49</v>
      </c>
      <c r="S318" s="14">
        <f>R318/H318-1</f>
        <v/>
      </c>
      <c r="T318" s="16" t="inlineStr">
        <is>
          <t>ACIMA +0.2%</t>
        </is>
      </c>
      <c r="U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8" t="n"/>
      <c r="M319" s="8" t="n"/>
      <c r="N319" s="8" t="n"/>
      <c r="O319" s="8" t="n"/>
      <c r="P319" s="8" t="n"/>
      <c r="Q319" s="7" t="inlineStr">
        <is>
          <t>SEM COTAÇÃO</t>
        </is>
      </c>
      <c r="R319" s="8" t="n"/>
      <c r="S319" s="14" t="n"/>
      <c r="T319" s="7" t="inlineStr"/>
      <c r="U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8" t="n"/>
      <c r="M320" s="8" t="n"/>
      <c r="N320" s="15" t="n">
        <v>7.43</v>
      </c>
      <c r="O320" s="8" t="n">
        <v>7.663</v>
      </c>
      <c r="P320" s="8" t="n"/>
      <c r="Q320" s="7" t="inlineStr">
        <is>
          <t>TAPAJOS</t>
        </is>
      </c>
      <c r="R320" s="8" t="n">
        <v>7.43</v>
      </c>
      <c r="S320" s="14">
        <f>R320/H320-1</f>
        <v/>
      </c>
      <c r="T320" s="17" t="inlineStr">
        <is>
          <t>OK (≤ últ. compra)</t>
        </is>
      </c>
      <c r="U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8" t="n"/>
      <c r="M321" s="8" t="n"/>
      <c r="N321" s="8" t="n"/>
      <c r="O321" s="8" t="n"/>
      <c r="P321" s="8" t="n"/>
      <c r="Q321" s="7" t="inlineStr">
        <is>
          <t>SEM COTAÇÃO</t>
        </is>
      </c>
      <c r="R321" s="8" t="n"/>
      <c r="S321" s="14" t="n"/>
      <c r="T321" s="7" t="inlineStr"/>
      <c r="U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15" t="n">
        <v>58.12</v>
      </c>
      <c r="M322" s="8" t="n"/>
      <c r="N322" s="8" t="n"/>
      <c r="O322" s="8" t="n">
        <v>72.18000000000001</v>
      </c>
      <c r="P322" s="8" t="n"/>
      <c r="Q322" s="7" t="inlineStr">
        <is>
          <t>EPAN</t>
        </is>
      </c>
      <c r="R322" s="8" t="n">
        <v>58.12</v>
      </c>
      <c r="S322" s="14">
        <f>R322/H322-1</f>
        <v/>
      </c>
      <c r="T322" s="17" t="inlineStr">
        <is>
          <t>OK (≤ últ. compra)</t>
        </is>
      </c>
      <c r="U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15" t="n">
        <v>57.69</v>
      </c>
      <c r="M323" s="8" t="n"/>
      <c r="N323" s="8" t="n"/>
      <c r="O323" s="8" t="n">
        <v>72.95</v>
      </c>
      <c r="P323" s="8" t="n"/>
      <c r="Q323" s="7" t="inlineStr">
        <is>
          <t>EPAN</t>
        </is>
      </c>
      <c r="R323" s="8" t="n">
        <v>57.69</v>
      </c>
      <c r="S323" s="14">
        <f>R323/H323-1</f>
        <v/>
      </c>
      <c r="T323" s="17" t="inlineStr">
        <is>
          <t>OK (≤ menor hist.)</t>
        </is>
      </c>
      <c r="U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15" t="n">
        <v>44.01</v>
      </c>
      <c r="M324" s="8" t="n"/>
      <c r="N324" s="8" t="n"/>
      <c r="O324" s="8" t="n">
        <v>63.12</v>
      </c>
      <c r="P324" s="8" t="n"/>
      <c r="Q324" s="7" t="inlineStr">
        <is>
          <t>EPAN</t>
        </is>
      </c>
      <c r="R324" s="8" t="n">
        <v>44.01</v>
      </c>
      <c r="S324" s="14">
        <f>R324/H324-1</f>
        <v/>
      </c>
      <c r="T324" s="17" t="inlineStr">
        <is>
          <t>OK (≤ menor hist.)</t>
        </is>
      </c>
      <c r="U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8" t="n"/>
      <c r="M325" s="8" t="n"/>
      <c r="N325" s="8" t="n"/>
      <c r="O325" s="15" t="n">
        <v>67.38</v>
      </c>
      <c r="P325" s="8" t="n"/>
      <c r="Q325" s="7" t="inlineStr">
        <is>
          <t>NAZARIA</t>
        </is>
      </c>
      <c r="R325" s="8" t="n">
        <v>67.38</v>
      </c>
      <c r="S325" s="14">
        <f>R325/H325-1</f>
        <v/>
      </c>
      <c r="T325" s="16" t="inlineStr">
        <is>
          <t>ACIMA +33.7%</t>
        </is>
      </c>
      <c r="U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8" t="n"/>
      <c r="M326" s="8" t="n"/>
      <c r="N326" s="8" t="n"/>
      <c r="O326" s="15" t="n">
        <v>63.1567</v>
      </c>
      <c r="P326" s="8" t="n"/>
      <c r="Q326" s="7" t="inlineStr">
        <is>
          <t>NAZARIA</t>
        </is>
      </c>
      <c r="R326" s="8" t="n">
        <v>63.1567</v>
      </c>
      <c r="S326" s="14">
        <f>R326/H326-1</f>
        <v/>
      </c>
      <c r="T326" s="16" t="inlineStr">
        <is>
          <t>ACIMA +0.4%</t>
        </is>
      </c>
      <c r="U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8" t="n"/>
      <c r="M327" s="8" t="n"/>
      <c r="N327" s="8" t="n"/>
      <c r="O327" s="8" t="n"/>
      <c r="P327" s="8" t="n"/>
      <c r="Q327" s="7" t="inlineStr">
        <is>
          <t>SEM COTAÇÃO</t>
        </is>
      </c>
      <c r="R327" s="8" t="n"/>
      <c r="S327" s="14" t="n"/>
      <c r="T327" s="7" t="inlineStr"/>
      <c r="U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8" t="n"/>
      <c r="M328" s="8" t="n"/>
      <c r="N328" s="8" t="n"/>
      <c r="O328" s="8" t="n"/>
      <c r="P328" s="8" t="n"/>
      <c r="Q328" s="7" t="inlineStr">
        <is>
          <t>SEM COTAÇÃO</t>
        </is>
      </c>
      <c r="R328" s="8" t="n"/>
      <c r="S328" s="14" t="n"/>
      <c r="T328" s="7" t="inlineStr"/>
      <c r="U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8" t="n"/>
      <c r="M329" s="8" t="n"/>
      <c r="N329" s="8" t="n"/>
      <c r="O329" s="8" t="n"/>
      <c r="P329" s="8" t="n"/>
      <c r="Q329" s="7" t="inlineStr">
        <is>
          <t>SEM COTAÇÃO</t>
        </is>
      </c>
      <c r="R329" s="8" t="n"/>
      <c r="S329" s="14" t="n"/>
      <c r="T329" s="7" t="inlineStr"/>
      <c r="U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8" t="n"/>
      <c r="M330" s="15" t="n">
        <v>39.71</v>
      </c>
      <c r="N330" s="8" t="n"/>
      <c r="O330" s="8" t="n"/>
      <c r="P330" s="8" t="n"/>
      <c r="Q330" s="7" t="inlineStr">
        <is>
          <t>CENTROFARMA</t>
        </is>
      </c>
      <c r="R330" s="8" t="n">
        <v>39.71</v>
      </c>
      <c r="S330" s="14">
        <f>R330/H330-1</f>
        <v/>
      </c>
      <c r="T330" s="16" t="inlineStr">
        <is>
          <t>ACIMA +5.6%</t>
        </is>
      </c>
      <c r="U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8" t="n"/>
      <c r="M331" s="8" t="n"/>
      <c r="N331" s="8" t="n"/>
      <c r="O331" s="8" t="n"/>
      <c r="P331" s="8" t="n"/>
      <c r="Q331" s="7" t="inlineStr">
        <is>
          <t>DIMEC</t>
        </is>
      </c>
      <c r="R331" s="8" t="n">
        <v>42.39</v>
      </c>
      <c r="S331" s="14">
        <f>R331/H331-1</f>
        <v/>
      </c>
      <c r="T331" s="16" t="inlineStr">
        <is>
          <t>ACIMA +57.1%</t>
        </is>
      </c>
      <c r="U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15" t="n">
        <v>3.3</v>
      </c>
      <c r="K332" s="8" t="n"/>
      <c r="L332" s="8" t="n"/>
      <c r="M332" s="8" t="n"/>
      <c r="N332" s="8" t="n"/>
      <c r="O332" s="8" t="n"/>
      <c r="P332" s="8" t="n">
        <v>3.58</v>
      </c>
      <c r="Q332" s="7" t="inlineStr">
        <is>
          <t>DIMEC</t>
        </is>
      </c>
      <c r="R332" s="8" t="n">
        <v>3.3</v>
      </c>
      <c r="S332" s="14">
        <f>R332/H332-1</f>
        <v/>
      </c>
      <c r="T332" s="16" t="inlineStr">
        <is>
          <t>ACIMA +2.5%</t>
        </is>
      </c>
      <c r="U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8" t="n"/>
      <c r="M333" s="8" t="n"/>
      <c r="N333" s="8" t="n"/>
      <c r="O333" s="8" t="n"/>
      <c r="P333" s="8" t="n"/>
      <c r="Q333" s="7" t="inlineStr">
        <is>
          <t>SEM COTAÇÃO</t>
        </is>
      </c>
      <c r="R333" s="8" t="n"/>
      <c r="S333" s="14" t="n"/>
      <c r="T333" s="7" t="inlineStr"/>
      <c r="U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8" t="n"/>
      <c r="M334" s="8" t="n"/>
      <c r="N334" s="8" t="n"/>
      <c r="O334" s="8" t="n"/>
      <c r="P334" s="8" t="n"/>
      <c r="Q334" s="7" t="inlineStr">
        <is>
          <t>SEM COTAÇÃO</t>
        </is>
      </c>
      <c r="R334" s="8" t="n"/>
      <c r="S334" s="14" t="n"/>
      <c r="T334" s="7" t="inlineStr"/>
      <c r="U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8" t="n"/>
      <c r="M335" s="8" t="n"/>
      <c r="N335" s="8" t="n"/>
      <c r="O335" s="8" t="n"/>
      <c r="P335" s="8" t="n"/>
      <c r="Q335" s="7" t="inlineStr">
        <is>
          <t>SEM COTAÇÃO</t>
        </is>
      </c>
      <c r="R335" s="8" t="n"/>
      <c r="S335" s="14" t="n"/>
      <c r="T335" s="7" t="inlineStr"/>
      <c r="U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8" t="n"/>
      <c r="M336" s="8" t="n"/>
      <c r="N336" s="8" t="n"/>
      <c r="O336" s="8" t="n"/>
      <c r="P336" s="8" t="n"/>
      <c r="Q336" s="7" t="inlineStr">
        <is>
          <t>SEM COTAÇÃO</t>
        </is>
      </c>
      <c r="R336" s="8" t="n"/>
      <c r="S336" s="14" t="n"/>
      <c r="T336" s="7" t="inlineStr"/>
      <c r="U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8" t="n"/>
      <c r="M337" s="8" t="n"/>
      <c r="N337" s="8" t="n"/>
      <c r="O337" s="15" t="n">
        <v>371.1317</v>
      </c>
      <c r="P337" s="8" t="n"/>
      <c r="Q337" s="7" t="inlineStr">
        <is>
          <t>NAZARIA</t>
        </is>
      </c>
      <c r="R337" s="8" t="n">
        <v>371.1317</v>
      </c>
      <c r="S337" s="14">
        <f>R337/H337-1</f>
        <v/>
      </c>
      <c r="T337" s="16" t="inlineStr">
        <is>
          <t>ACIMA +4900.2%</t>
        </is>
      </c>
      <c r="U337" s="7" t="inlineStr">
        <is>
          <t>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8" t="n"/>
      <c r="M338" s="8" t="n"/>
      <c r="N338" s="8" t="n"/>
      <c r="O338" s="8" t="n"/>
      <c r="P338" s="8" t="n"/>
      <c r="Q338" s="7" t="inlineStr">
        <is>
          <t>SEM COTAÇÃO</t>
        </is>
      </c>
      <c r="R338" s="8" t="n"/>
      <c r="S338" s="14" t="n"/>
      <c r="T338" s="7" t="inlineStr"/>
      <c r="U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8" t="n"/>
      <c r="M339" s="8" t="n"/>
      <c r="N339" s="15" t="n">
        <v>59.78</v>
      </c>
      <c r="O339" s="8" t="n">
        <v>62.328</v>
      </c>
      <c r="P339" s="8" t="n"/>
      <c r="Q339" s="7" t="inlineStr">
        <is>
          <t>TAPAJOS</t>
        </is>
      </c>
      <c r="R339" s="8" t="n">
        <v>59.78</v>
      </c>
      <c r="S339" s="14">
        <f>R339/H339-1</f>
        <v/>
      </c>
      <c r="T339" s="17" t="inlineStr">
        <is>
          <t>OK (≤ últ. compra)</t>
        </is>
      </c>
      <c r="U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8" t="n"/>
      <c r="M340" s="8" t="n"/>
      <c r="N340" s="15" t="n">
        <v>31.4</v>
      </c>
      <c r="O340" s="8" t="n">
        <v>32.732</v>
      </c>
      <c r="P340" s="8" t="n"/>
      <c r="Q340" s="7" t="inlineStr">
        <is>
          <t>TAPAJOS</t>
        </is>
      </c>
      <c r="R340" s="8" t="n">
        <v>31.4</v>
      </c>
      <c r="S340" s="14">
        <f>R340/H340-1</f>
        <v/>
      </c>
      <c r="T340" s="17" t="inlineStr">
        <is>
          <t>OK (≤ últ. compra)</t>
        </is>
      </c>
      <c r="U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8" t="n"/>
      <c r="M341" s="8" t="n"/>
      <c r="N341" s="15" t="n">
        <v>41.97</v>
      </c>
      <c r="O341" s="8" t="n">
        <v>43.7668</v>
      </c>
      <c r="P341" s="8" t="n"/>
      <c r="Q341" s="7" t="inlineStr">
        <is>
          <t>TAPAJOS</t>
        </is>
      </c>
      <c r="R341" s="8" t="n">
        <v>41.97</v>
      </c>
      <c r="S341" s="14">
        <f>R341/H341-1</f>
        <v/>
      </c>
      <c r="T341" s="16" t="inlineStr">
        <is>
          <t>ACIMA +9.7%</t>
        </is>
      </c>
      <c r="U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1.24</v>
      </c>
      <c r="K342" s="8" t="n"/>
      <c r="L342" s="8" t="n"/>
      <c r="M342" s="15" t="n">
        <v>1.13</v>
      </c>
      <c r="N342" s="8" t="n"/>
      <c r="O342" s="8" t="n"/>
      <c r="P342" s="8" t="n"/>
      <c r="Q342" s="7" t="inlineStr">
        <is>
          <t>CENTROFARMA</t>
        </is>
      </c>
      <c r="R342" s="8" t="n">
        <v>1.13</v>
      </c>
      <c r="S342" s="14">
        <f>R342/H342-1</f>
        <v/>
      </c>
      <c r="T342" s="17" t="inlineStr">
        <is>
          <t>OK (≤ menor hist.)</t>
        </is>
      </c>
      <c r="U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8" t="n"/>
      <c r="M343" s="8" t="n"/>
      <c r="N343" s="8" t="n"/>
      <c r="O343" s="8" t="n"/>
      <c r="P343" s="8" t="n"/>
      <c r="Q343" s="7" t="inlineStr">
        <is>
          <t>DIMEC</t>
        </is>
      </c>
      <c r="R343" s="8" t="n">
        <v>0.4375</v>
      </c>
      <c r="S343" s="14">
        <f>R343/H343-1</f>
        <v/>
      </c>
      <c r="T343" s="17" t="inlineStr">
        <is>
          <t>OK (≤ menor hist.)</t>
        </is>
      </c>
      <c r="U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8" t="n"/>
      <c r="M344" s="8" t="n"/>
      <c r="N344" s="8" t="n"/>
      <c r="O344" s="8" t="n"/>
      <c r="P344" s="8" t="n"/>
      <c r="Q344" s="7" t="inlineStr">
        <is>
          <t>SEM COTAÇÃO</t>
        </is>
      </c>
      <c r="R344" s="8" t="n"/>
      <c r="S344" s="14" t="n"/>
      <c r="T344" s="7" t="inlineStr"/>
      <c r="U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8" t="n"/>
      <c r="M345" s="8" t="n"/>
      <c r="N345" s="8" t="n"/>
      <c r="O345" s="8" t="n"/>
      <c r="P345" s="8" t="n"/>
      <c r="Q345" s="7" t="inlineStr">
        <is>
          <t>DIMEC</t>
        </is>
      </c>
      <c r="R345" s="8" t="n">
        <v>0.5441666666666667</v>
      </c>
      <c r="S345" s="14">
        <f>R345/H345-1</f>
        <v/>
      </c>
      <c r="T345" s="17" t="inlineStr">
        <is>
          <t>OK (≤ menor hist.)</t>
        </is>
      </c>
      <c r="U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8" t="n"/>
      <c r="M346" s="8" t="n"/>
      <c r="N346" s="8" t="n"/>
      <c r="O346" s="8" t="n"/>
      <c r="P346" s="8" t="n"/>
      <c r="Q346" s="7" t="inlineStr">
        <is>
          <t>SEM COTAÇÃO</t>
        </is>
      </c>
      <c r="R346" s="8" t="n"/>
      <c r="S346" s="14" t="n"/>
      <c r="T346" s="7" t="inlineStr"/>
      <c r="U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8" t="n"/>
      <c r="M347" s="8" t="n"/>
      <c r="N347" s="8" t="n"/>
      <c r="O347" s="8" t="n"/>
      <c r="P347" s="8" t="n"/>
      <c r="Q347" s="7" t="inlineStr">
        <is>
          <t>DIMEC</t>
        </is>
      </c>
      <c r="R347" s="8" t="n">
        <v>0.8183333333333334</v>
      </c>
      <c r="S347" s="14">
        <f>R347/H347-1</f>
        <v/>
      </c>
      <c r="T347" s="17" t="inlineStr">
        <is>
          <t>OK (≤ menor hist.)</t>
        </is>
      </c>
      <c r="U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8" t="n"/>
      <c r="M348" s="8" t="n"/>
      <c r="N348" s="8" t="n"/>
      <c r="O348" s="8" t="n"/>
      <c r="P348" s="8" t="n"/>
      <c r="Q348" s="7" t="inlineStr">
        <is>
          <t>DIMEC</t>
        </is>
      </c>
      <c r="R348" s="8" t="n">
        <v>1.09</v>
      </c>
      <c r="S348" s="14">
        <f>R348/H348-1</f>
        <v/>
      </c>
      <c r="T348" s="17" t="inlineStr">
        <is>
          <t>OK (≤ menor hist.)</t>
        </is>
      </c>
      <c r="U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7" t="inlineStr">
        <is>
          <t>SEM COTAÇÃO</t>
        </is>
      </c>
      <c r="R349" s="8" t="n"/>
      <c r="S349" s="14" t="n"/>
      <c r="T349" s="7" t="inlineStr"/>
      <c r="U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8" t="n"/>
      <c r="M350" s="8" t="n"/>
      <c r="N350" s="8" t="n"/>
      <c r="O350" s="8" t="n"/>
      <c r="P350" s="8" t="n"/>
      <c r="Q350" s="7" t="inlineStr">
        <is>
          <t>DIMEC</t>
        </is>
      </c>
      <c r="R350" s="8" t="n">
        <v>1.639166666666667</v>
      </c>
      <c r="S350" s="14">
        <f>R350/H350-1</f>
        <v/>
      </c>
      <c r="T350" s="17" t="inlineStr">
        <is>
          <t>OK (≤ menor hist.)</t>
        </is>
      </c>
      <c r="U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8" t="n"/>
      <c r="M351" s="15" t="n">
        <v>1.32</v>
      </c>
      <c r="N351" s="8" t="n"/>
      <c r="O351" s="8" t="n">
        <v>1.3205</v>
      </c>
      <c r="P351" s="8" t="n">
        <v>1.69</v>
      </c>
      <c r="Q351" s="7" t="inlineStr">
        <is>
          <t>CENTROFARMA</t>
        </is>
      </c>
      <c r="R351" s="8" t="n">
        <v>1.32</v>
      </c>
      <c r="S351" s="14">
        <f>R351/H351-1</f>
        <v/>
      </c>
      <c r="T351" s="16" t="inlineStr">
        <is>
          <t>ACIMA +5.6%</t>
        </is>
      </c>
      <c r="U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8" t="n"/>
      <c r="M352" s="15" t="n">
        <v>1.67</v>
      </c>
      <c r="N352" s="8" t="n"/>
      <c r="O352" s="8" t="n">
        <v>1.6815</v>
      </c>
      <c r="P352" s="8" t="n">
        <v>2.24</v>
      </c>
      <c r="Q352" s="7" t="inlineStr">
        <is>
          <t>CENTROFARMA</t>
        </is>
      </c>
      <c r="R352" s="8" t="n">
        <v>1.67</v>
      </c>
      <c r="S352" s="14">
        <f>R352/H352-1</f>
        <v/>
      </c>
      <c r="T352" s="17" t="inlineStr">
        <is>
          <t>OK (≤ menor hist.)</t>
        </is>
      </c>
      <c r="U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2.66</v>
      </c>
      <c r="K353" s="8" t="n"/>
      <c r="L353" s="8" t="n"/>
      <c r="M353" s="8" t="n"/>
      <c r="N353" s="8" t="n"/>
      <c r="O353" s="15" t="n">
        <v>2.4605</v>
      </c>
      <c r="P353" s="8" t="n">
        <v>3.58</v>
      </c>
      <c r="Q353" s="7" t="inlineStr">
        <is>
          <t>NAZARIA</t>
        </is>
      </c>
      <c r="R353" s="8" t="n">
        <v>2.4605</v>
      </c>
      <c r="S353" s="14">
        <f>R353/H353-1</f>
        <v/>
      </c>
      <c r="T353" s="17" t="inlineStr">
        <is>
          <t>OK (≤ menor hist.)</t>
        </is>
      </c>
      <c r="U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2.33</v>
      </c>
      <c r="K354" s="8" t="n">
        <v>2.55</v>
      </c>
      <c r="L354" s="8" t="n"/>
      <c r="M354" s="15" t="n">
        <v>2.08</v>
      </c>
      <c r="N354" s="8" t="n"/>
      <c r="O354" s="8" t="n">
        <v>2.1565</v>
      </c>
      <c r="P354" s="8" t="n">
        <v>3.23</v>
      </c>
      <c r="Q354" s="7" t="inlineStr">
        <is>
          <t>CENTROFARMA</t>
        </is>
      </c>
      <c r="R354" s="8" t="n">
        <v>2.08</v>
      </c>
      <c r="S354" s="14">
        <f>R354/H354-1</f>
        <v/>
      </c>
      <c r="T354" s="17" t="inlineStr">
        <is>
          <t>OK (≤ menor hist.)</t>
        </is>
      </c>
      <c r="U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8" t="n"/>
      <c r="M355" s="8" t="n">
        <v>3.17</v>
      </c>
      <c r="N355" s="8" t="n"/>
      <c r="O355" s="8" t="n">
        <v>2.8405</v>
      </c>
      <c r="P355" s="8" t="n"/>
      <c r="Q355" s="7" t="inlineStr">
        <is>
          <t>DIMEC</t>
        </is>
      </c>
      <c r="R355" s="8" t="n">
        <v>3.07</v>
      </c>
      <c r="S355" s="14">
        <f>R355/H355-1</f>
        <v/>
      </c>
      <c r="T355" s="16" t="inlineStr">
        <is>
          <t>ACIMA +14.5%</t>
        </is>
      </c>
      <c r="U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8" t="n"/>
      <c r="M356" s="8" t="n"/>
      <c r="N356" s="8" t="n"/>
      <c r="O356" s="8" t="n"/>
      <c r="P356" s="8" t="n"/>
      <c r="Q356" s="7" t="inlineStr">
        <is>
          <t>SEM COTAÇÃO</t>
        </is>
      </c>
      <c r="R356" s="8" t="n"/>
      <c r="S356" s="14" t="n"/>
      <c r="T356" s="7" t="inlineStr"/>
      <c r="U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8" t="n"/>
      <c r="M357" s="8" t="n"/>
      <c r="N357" s="8" t="n"/>
      <c r="O357" s="8" t="n"/>
      <c r="P357" s="8" t="n"/>
      <c r="Q357" s="7" t="inlineStr">
        <is>
          <t>SEM COTAÇÃO</t>
        </is>
      </c>
      <c r="R357" s="8" t="n"/>
      <c r="S357" s="14" t="n"/>
      <c r="T357" s="7" t="inlineStr"/>
      <c r="U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8" t="n">
        <v>7.91</v>
      </c>
      <c r="M358" s="8" t="n"/>
      <c r="N358" s="8" t="n"/>
      <c r="O358" s="15" t="n">
        <v>8.01</v>
      </c>
      <c r="P358" s="8" t="n"/>
      <c r="Q358" s="7" t="inlineStr">
        <is>
          <t>NAZARIA</t>
        </is>
      </c>
      <c r="R358" s="8" t="n">
        <v>8.01</v>
      </c>
      <c r="S358" s="14">
        <f>R358/H358-1</f>
        <v/>
      </c>
      <c r="T358" s="16" t="inlineStr">
        <is>
          <t>ACIMA +13.7%</t>
        </is>
      </c>
      <c r="U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8" t="n"/>
      <c r="M359" s="8" t="n"/>
      <c r="N359" s="8" t="n"/>
      <c r="O359" s="8" t="n"/>
      <c r="P359" s="8" t="n"/>
      <c r="Q359" s="7" t="inlineStr">
        <is>
          <t>SEM COTAÇÃO</t>
        </is>
      </c>
      <c r="R359" s="8" t="n"/>
      <c r="S359" s="14" t="n"/>
      <c r="T359" s="7" t="inlineStr"/>
      <c r="U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8" t="n"/>
      <c r="M360" s="8" t="n"/>
      <c r="N360" s="8" t="n"/>
      <c r="O360" s="8" t="n"/>
      <c r="P360" s="8" t="n"/>
      <c r="Q360" s="7" t="inlineStr">
        <is>
          <t>SEM COTAÇÃO</t>
        </is>
      </c>
      <c r="R360" s="8" t="n"/>
      <c r="S360" s="14" t="n"/>
      <c r="T360" s="7" t="inlineStr"/>
      <c r="U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8" t="n"/>
      <c r="M361" s="8" t="n"/>
      <c r="N361" s="8" t="n"/>
      <c r="O361" s="8" t="n"/>
      <c r="P361" s="8" t="n"/>
      <c r="Q361" s="7" t="inlineStr">
        <is>
          <t>SEM COTAÇÃO</t>
        </is>
      </c>
      <c r="R361" s="8" t="n"/>
      <c r="S361" s="14" t="n"/>
      <c r="T361" s="7" t="inlineStr"/>
      <c r="U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8" t="n"/>
      <c r="M362" s="8" t="n"/>
      <c r="N362" s="8" t="n"/>
      <c r="O362" s="8" t="n"/>
      <c r="P362" s="8" t="n"/>
      <c r="Q362" s="7" t="inlineStr">
        <is>
          <t>SEM COTAÇÃO</t>
        </is>
      </c>
      <c r="R362" s="8" t="n"/>
      <c r="S362" s="14" t="n"/>
      <c r="T362" s="7" t="inlineStr"/>
      <c r="U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8" t="n"/>
      <c r="M363" s="8" t="n"/>
      <c r="N363" s="8" t="n"/>
      <c r="O363" s="15" t="n">
        <v>56.12</v>
      </c>
      <c r="P363" s="8" t="n"/>
      <c r="Q363" s="7" t="inlineStr">
        <is>
          <t>NAZARIA</t>
        </is>
      </c>
      <c r="R363" s="8" t="n">
        <v>56.12</v>
      </c>
      <c r="S363" s="14">
        <f>R363/H363-1</f>
        <v/>
      </c>
      <c r="T363" s="16" t="inlineStr">
        <is>
          <t>ACIMA +981.3%</t>
        </is>
      </c>
      <c r="U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8" t="n"/>
      <c r="M364" s="8" t="n"/>
      <c r="N364" s="8" t="n"/>
      <c r="O364" s="15" t="n">
        <v>42.59</v>
      </c>
      <c r="P364" s="8" t="n"/>
      <c r="Q364" s="7" t="inlineStr">
        <is>
          <t>NAZARIA</t>
        </is>
      </c>
      <c r="R364" s="8" t="n">
        <v>42.59</v>
      </c>
      <c r="S364" s="14">
        <f>R364/H364-1</f>
        <v/>
      </c>
      <c r="T364" s="16" t="inlineStr">
        <is>
          <t>ACIMA +302.2%</t>
        </is>
      </c>
      <c r="U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8" t="n"/>
      <c r="M365" s="8" t="n"/>
      <c r="N365" s="8" t="n"/>
      <c r="O365" s="15" t="n">
        <v>28.34</v>
      </c>
      <c r="P365" s="8" t="n"/>
      <c r="Q365" s="7" t="inlineStr">
        <is>
          <t>NAZARIA</t>
        </is>
      </c>
      <c r="R365" s="8" t="n">
        <v>28.34</v>
      </c>
      <c r="S365" s="14">
        <f>R365/H365-1</f>
        <v/>
      </c>
      <c r="T365" s="16" t="inlineStr">
        <is>
          <t>ACIMA +485.5%</t>
        </is>
      </c>
      <c r="U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8" t="n"/>
      <c r="M366" s="8" t="n"/>
      <c r="N366" s="8" t="n"/>
      <c r="O366" s="8" t="n"/>
      <c r="P366" s="8" t="n"/>
      <c r="Q366" s="7" t="inlineStr">
        <is>
          <t>SEM COTAÇÃO</t>
        </is>
      </c>
      <c r="R366" s="8" t="n"/>
      <c r="S366" s="14" t="n"/>
      <c r="T366" s="7" t="inlineStr"/>
      <c r="U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8" t="n"/>
      <c r="M367" s="8" t="n"/>
      <c r="N367" s="8" t="n"/>
      <c r="O367" s="8" t="n">
        <v>40.1996</v>
      </c>
      <c r="P367" s="8" t="n"/>
      <c r="Q367" s="7" t="inlineStr">
        <is>
          <t>SEM COTAÇÃO</t>
        </is>
      </c>
      <c r="R367" s="8" t="n"/>
      <c r="S367" s="14" t="n"/>
      <c r="T367" s="7" t="inlineStr"/>
      <c r="U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8" t="n"/>
      <c r="M368" s="8" t="n"/>
      <c r="N368" s="8" t="n"/>
      <c r="O368" s="8" t="n"/>
      <c r="P368" s="8" t="n"/>
      <c r="Q368" s="7" t="inlineStr">
        <is>
          <t>SEM COTAÇÃO</t>
        </is>
      </c>
      <c r="R368" s="8" t="n"/>
      <c r="S368" s="14" t="n"/>
      <c r="T368" s="7" t="inlineStr"/>
      <c r="U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8" t="n"/>
      <c r="M369" s="8" t="n"/>
      <c r="N369" s="8" t="n"/>
      <c r="O369" s="8" t="n"/>
      <c r="P369" s="8" t="n"/>
      <c r="Q369" s="7" t="inlineStr">
        <is>
          <t>DIMEC</t>
        </is>
      </c>
      <c r="R369" s="8" t="n">
        <v>8.289999999999999</v>
      </c>
      <c r="S369" s="14">
        <f>R369/H369-1</f>
        <v/>
      </c>
      <c r="T369" s="17" t="inlineStr">
        <is>
          <t>OK (≤ menor hist.)</t>
        </is>
      </c>
      <c r="U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8" t="n"/>
      <c r="M370" s="8" t="n"/>
      <c r="N370" s="8" t="n"/>
      <c r="O370" s="8" t="n"/>
      <c r="P370" s="8" t="n"/>
      <c r="Q370" s="7" t="inlineStr">
        <is>
          <t>SEM COTAÇÃO</t>
        </is>
      </c>
      <c r="R370" s="8" t="n"/>
      <c r="S370" s="14" t="n"/>
      <c r="T370" s="7" t="inlineStr"/>
      <c r="U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8" t="n"/>
      <c r="M371" s="8" t="n"/>
      <c r="N371" s="8" t="n"/>
      <c r="O371" s="8" t="n"/>
      <c r="P371" s="8" t="n"/>
      <c r="Q371" s="7" t="inlineStr">
        <is>
          <t>SEM COTAÇÃO</t>
        </is>
      </c>
      <c r="R371" s="8" t="n"/>
      <c r="S371" s="14" t="n"/>
      <c r="T371" s="7" t="inlineStr"/>
      <c r="U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8" t="n"/>
      <c r="M372" s="8" t="n"/>
      <c r="N372" s="8" t="n"/>
      <c r="O372" s="8" t="n"/>
      <c r="P372" s="8" t="n"/>
      <c r="Q372" s="7" t="inlineStr">
        <is>
          <t>SEM COTAÇÃO</t>
        </is>
      </c>
      <c r="R372" s="8" t="n"/>
      <c r="S372" s="14" t="n"/>
      <c r="T372" s="7" t="inlineStr"/>
      <c r="U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3.6</v>
      </c>
      <c r="K373" s="8" t="n"/>
      <c r="L373" s="8" t="n"/>
      <c r="M373" s="8" t="n">
        <v>3.84</v>
      </c>
      <c r="N373" s="15" t="n">
        <v>3.54</v>
      </c>
      <c r="O373" s="8" t="n">
        <v>4.95</v>
      </c>
      <c r="P373" s="8" t="n">
        <v>4.31</v>
      </c>
      <c r="Q373" s="7" t="inlineStr">
        <is>
          <t>TAPAJOS</t>
        </is>
      </c>
      <c r="R373" s="8" t="n">
        <v>3.54</v>
      </c>
      <c r="S373" s="14">
        <f>R373/H373-1</f>
        <v/>
      </c>
      <c r="T373" s="17" t="inlineStr">
        <is>
          <t>OK (≤ menor hist.)</t>
        </is>
      </c>
      <c r="U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8" t="n">
        <v>67.5</v>
      </c>
      <c r="M374" s="8" t="n"/>
      <c r="N374" s="8" t="n"/>
      <c r="O374" s="8" t="n">
        <v>71.53</v>
      </c>
      <c r="P374" s="8" t="n"/>
      <c r="Q374" s="7" t="inlineStr">
        <is>
          <t>SEM COTAÇÃO</t>
        </is>
      </c>
      <c r="R374" s="8" t="n"/>
      <c r="S374" s="14" t="n"/>
      <c r="T374" s="7" t="inlineStr"/>
      <c r="U374" s="7" t="inlineStr">
        <is>
          <t>EPAN: sem estoque; 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8" t="n"/>
      <c r="M375" s="8" t="n"/>
      <c r="N375" s="8" t="n"/>
      <c r="O375" s="8" t="n"/>
      <c r="P375" s="8" t="n"/>
      <c r="Q375" s="7" t="inlineStr">
        <is>
          <t>SEM COTAÇÃO</t>
        </is>
      </c>
      <c r="R375" s="8" t="n"/>
      <c r="S375" s="14" t="n"/>
      <c r="T375" s="7" t="inlineStr"/>
      <c r="U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6.44</v>
      </c>
      <c r="K376" s="8" t="n"/>
      <c r="L376" s="8" t="n"/>
      <c r="M376" s="15" t="n">
        <v>6.17</v>
      </c>
      <c r="N376" s="8" t="n"/>
      <c r="O376" s="8" t="n"/>
      <c r="P376" s="8" t="n"/>
      <c r="Q376" s="7" t="inlineStr">
        <is>
          <t>CENTROFARMA</t>
        </is>
      </c>
      <c r="R376" s="8" t="n">
        <v>6.17</v>
      </c>
      <c r="S376" s="14">
        <f>R376/H376-1</f>
        <v/>
      </c>
      <c r="T376" s="16" t="inlineStr">
        <is>
          <t>ACIMA +5.3%</t>
        </is>
      </c>
      <c r="U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6</v>
      </c>
      <c r="K377" s="8" t="n"/>
      <c r="L377" s="8" t="n"/>
      <c r="M377" s="8" t="n">
        <v>6.08</v>
      </c>
      <c r="N377" s="15" t="n">
        <v>5.95</v>
      </c>
      <c r="O377" s="8" t="n"/>
      <c r="P377" s="8" t="n">
        <v>6.28</v>
      </c>
      <c r="Q377" s="7" t="inlineStr">
        <is>
          <t>TAPAJOS</t>
        </is>
      </c>
      <c r="R377" s="8" t="n">
        <v>5.95</v>
      </c>
      <c r="S377" s="14">
        <f>R377/H377-1</f>
        <v/>
      </c>
      <c r="T377" s="16" t="inlineStr">
        <is>
          <t>ACIMA +2.9%</t>
        </is>
      </c>
      <c r="U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3.91</v>
      </c>
      <c r="K378" s="8" t="n"/>
      <c r="L378" s="8" t="n"/>
      <c r="M378" s="8" t="n">
        <v>3.84</v>
      </c>
      <c r="N378" s="15" t="n">
        <v>3.78</v>
      </c>
      <c r="O378" s="8" t="n"/>
      <c r="P378" s="8" t="n">
        <v>4.11</v>
      </c>
      <c r="Q378" s="7" t="inlineStr">
        <is>
          <t>TAPAJOS</t>
        </is>
      </c>
      <c r="R378" s="8" t="n">
        <v>3.78</v>
      </c>
      <c r="S378" s="14">
        <f>R378/H378-1</f>
        <v/>
      </c>
      <c r="T378" s="16" t="inlineStr">
        <is>
          <t>ACIMA +4.1%</t>
        </is>
      </c>
      <c r="U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14.499</v>
      </c>
      <c r="K379" s="8" t="n"/>
      <c r="L379" s="8" t="n"/>
      <c r="M379" s="8" t="n">
        <v>14.69</v>
      </c>
      <c r="N379" s="8" t="n">
        <v>14.36</v>
      </c>
      <c r="O379" s="8" t="n"/>
      <c r="P379" s="15" t="n">
        <v>14.27</v>
      </c>
      <c r="Q379" s="7" t="inlineStr">
        <is>
          <t>MEDCENTRO</t>
        </is>
      </c>
      <c r="R379" s="8" t="n">
        <v>14.27</v>
      </c>
      <c r="S379" s="14">
        <f>R379/H379-1</f>
        <v/>
      </c>
      <c r="T379" s="16" t="inlineStr">
        <is>
          <t>ACIMA +2.2%</t>
        </is>
      </c>
      <c r="U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8" t="n"/>
      <c r="M380" s="8" t="n"/>
      <c r="N380" s="8" t="n"/>
      <c r="O380" s="8" t="n"/>
      <c r="P380" s="8" t="n"/>
      <c r="Q380" s="7" t="inlineStr">
        <is>
          <t>SEM COTAÇÃO</t>
        </is>
      </c>
      <c r="R380" s="8" t="n"/>
      <c r="S380" s="14" t="n"/>
      <c r="T380" s="7" t="inlineStr"/>
      <c r="U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8" t="n"/>
      <c r="M381" s="8" t="n"/>
      <c r="N381" s="15" t="n">
        <v>46.74</v>
      </c>
      <c r="O381" s="8" t="n">
        <v>48.7256</v>
      </c>
      <c r="P381" s="8" t="n"/>
      <c r="Q381" s="7" t="inlineStr">
        <is>
          <t>TAPAJOS</t>
        </is>
      </c>
      <c r="R381" s="8" t="n">
        <v>46.74</v>
      </c>
      <c r="S381" s="14">
        <f>R381/H381-1</f>
        <v/>
      </c>
      <c r="T381" s="17" t="inlineStr">
        <is>
          <t>OK (≤ últ. compra)</t>
        </is>
      </c>
      <c r="U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8" t="n"/>
      <c r="M382" s="8" t="n"/>
      <c r="N382" s="8" t="n"/>
      <c r="O382" s="8" t="n"/>
      <c r="P382" s="8" t="n"/>
      <c r="Q382" s="7" t="inlineStr">
        <is>
          <t>SEM COTAÇÃO</t>
        </is>
      </c>
      <c r="R382" s="8" t="n"/>
      <c r="S382" s="14" t="n"/>
      <c r="T382" s="7" t="inlineStr"/>
      <c r="U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8" t="n"/>
      <c r="M383" s="8" t="n"/>
      <c r="N383" s="8" t="n"/>
      <c r="O383" s="8" t="n"/>
      <c r="P383" s="8" t="n"/>
      <c r="Q383" s="7" t="inlineStr">
        <is>
          <t>SEM COTAÇÃO</t>
        </is>
      </c>
      <c r="R383" s="8" t="n"/>
      <c r="S383" s="14" t="n"/>
      <c r="T383" s="7" t="inlineStr"/>
      <c r="U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8" t="n"/>
      <c r="M384" s="8" t="n"/>
      <c r="N384" s="8" t="n"/>
      <c r="O384" s="8" t="n">
        <v>7.16</v>
      </c>
      <c r="P384" s="8" t="n"/>
      <c r="Q384" s="7" t="inlineStr">
        <is>
          <t>DIMEC</t>
        </is>
      </c>
      <c r="R384" s="8" t="n">
        <v>6.74</v>
      </c>
      <c r="S384" s="14">
        <f>R384/H384-1</f>
        <v/>
      </c>
      <c r="T384" s="16" t="inlineStr">
        <is>
          <t>ACIMA +35.1%</t>
        </is>
      </c>
      <c r="U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8" t="n"/>
      <c r="M385" s="8" t="n"/>
      <c r="N385" s="15" t="n">
        <v>27.55</v>
      </c>
      <c r="O385" s="8" t="n">
        <v>28.033</v>
      </c>
      <c r="P385" s="8" t="n"/>
      <c r="Q385" s="7" t="inlineStr">
        <is>
          <t>TAPAJOS</t>
        </is>
      </c>
      <c r="R385" s="8" t="n">
        <v>27.55</v>
      </c>
      <c r="S385" s="14">
        <f>R385/H385-1</f>
        <v/>
      </c>
      <c r="T385" s="17" t="inlineStr">
        <is>
          <t>OK (≤ últ. compra)</t>
        </is>
      </c>
      <c r="U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8" t="n"/>
      <c r="M386" s="8" t="n"/>
      <c r="N386" s="8" t="n"/>
      <c r="O386" s="8" t="n"/>
      <c r="P386" s="8" t="n"/>
      <c r="Q386" s="7" t="inlineStr">
        <is>
          <t>SEM COTAÇÃO</t>
        </is>
      </c>
      <c r="R386" s="8" t="n"/>
      <c r="S386" s="14" t="n"/>
      <c r="T386" s="7" t="inlineStr"/>
      <c r="U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8" t="n"/>
      <c r="M387" s="8" t="n"/>
      <c r="N387" s="8" t="n"/>
      <c r="O387" s="8" t="n"/>
      <c r="P387" s="8" t="n"/>
      <c r="Q387" s="7" t="inlineStr">
        <is>
          <t>SEM COTAÇÃO</t>
        </is>
      </c>
      <c r="R387" s="8" t="n"/>
      <c r="S387" s="14" t="n"/>
      <c r="T387" s="7" t="inlineStr"/>
      <c r="U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8" t="n"/>
      <c r="M388" s="8" t="n"/>
      <c r="N388" s="8" t="n"/>
      <c r="O388" s="8" t="n"/>
      <c r="P388" s="8" t="n"/>
      <c r="Q388" s="7" t="inlineStr">
        <is>
          <t>SEM COTAÇÃO</t>
        </is>
      </c>
      <c r="R388" s="8" t="n"/>
      <c r="S388" s="14" t="n"/>
      <c r="T388" s="7" t="inlineStr"/>
      <c r="U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8" t="n"/>
      <c r="M389" s="8" t="n"/>
      <c r="N389" s="8" t="n"/>
      <c r="O389" s="8" t="n"/>
      <c r="P389" s="8" t="n"/>
      <c r="Q389" s="7" t="inlineStr">
        <is>
          <t>SEM COTAÇÃO</t>
        </is>
      </c>
      <c r="R389" s="8" t="n"/>
      <c r="S389" s="14" t="n"/>
      <c r="T389" s="7" t="inlineStr"/>
      <c r="U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8" t="n"/>
      <c r="M390" s="8" t="n"/>
      <c r="N390" s="8" t="n"/>
      <c r="O390" s="8" t="n"/>
      <c r="P390" s="8" t="n"/>
      <c r="Q390" s="7" t="inlineStr">
        <is>
          <t>SEM COTAÇÃO</t>
        </is>
      </c>
      <c r="R390" s="8" t="n"/>
      <c r="S390" s="14" t="n"/>
      <c r="T390" s="7" t="inlineStr"/>
      <c r="U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8" t="n"/>
      <c r="M391" s="8" t="n"/>
      <c r="N391" s="8" t="n"/>
      <c r="O391" s="8" t="n"/>
      <c r="P391" s="8" t="n"/>
      <c r="Q391" s="7" t="inlineStr">
        <is>
          <t>SEM COTAÇÃO</t>
        </is>
      </c>
      <c r="R391" s="8" t="n"/>
      <c r="S391" s="14" t="n"/>
      <c r="T391" s="7" t="inlineStr"/>
      <c r="U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8" t="n"/>
      <c r="M392" s="8" t="n"/>
      <c r="N392" s="8" t="n"/>
      <c r="O392" s="8" t="n"/>
      <c r="P392" s="8" t="n"/>
      <c r="Q392" s="7" t="inlineStr">
        <is>
          <t>SEM COTAÇÃO</t>
        </is>
      </c>
      <c r="R392" s="8" t="n"/>
      <c r="S392" s="14" t="n"/>
      <c r="T392" s="7" t="inlineStr"/>
      <c r="U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8" t="n"/>
      <c r="M393" s="8" t="n"/>
      <c r="N393" s="8" t="n"/>
      <c r="O393" s="8" t="n"/>
      <c r="P393" s="8" t="n"/>
      <c r="Q393" s="7" t="inlineStr">
        <is>
          <t>SEM COTAÇÃO</t>
        </is>
      </c>
      <c r="R393" s="8" t="n"/>
      <c r="S393" s="14" t="n"/>
      <c r="T393" s="7" t="inlineStr"/>
      <c r="U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8" t="n"/>
      <c r="M394" s="8" t="n"/>
      <c r="N394" s="8" t="n"/>
      <c r="O394" s="8" t="n"/>
      <c r="P394" s="8" t="n"/>
      <c r="Q394" s="7" t="inlineStr">
        <is>
          <t>SEM COTAÇÃO</t>
        </is>
      </c>
      <c r="R394" s="8" t="n"/>
      <c r="S394" s="14" t="n"/>
      <c r="T394" s="7" t="inlineStr"/>
      <c r="U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8" t="n"/>
      <c r="M395" s="8" t="n"/>
      <c r="N395" s="8" t="n"/>
      <c r="O395" s="8" t="n"/>
      <c r="P395" s="8" t="n"/>
      <c r="Q395" s="7" t="inlineStr">
        <is>
          <t>SEM COTAÇÃO</t>
        </is>
      </c>
      <c r="R395" s="8" t="n"/>
      <c r="S395" s="14" t="n"/>
      <c r="T395" s="7" t="inlineStr"/>
      <c r="U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8" t="n"/>
      <c r="M396" s="8" t="n"/>
      <c r="N396" s="8" t="n"/>
      <c r="O396" s="8" t="n"/>
      <c r="P396" s="8" t="n"/>
      <c r="Q396" s="7" t="inlineStr">
        <is>
          <t>SEM COTAÇÃO</t>
        </is>
      </c>
      <c r="R396" s="8" t="n"/>
      <c r="S396" s="14" t="n"/>
      <c r="T396" s="7" t="inlineStr"/>
      <c r="U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8" t="n"/>
      <c r="M397" s="8" t="n"/>
      <c r="N397" s="8" t="n"/>
      <c r="O397" s="8" t="n"/>
      <c r="P397" s="8" t="n"/>
      <c r="Q397" s="7" t="inlineStr">
        <is>
          <t>SEM COTAÇÃO</t>
        </is>
      </c>
      <c r="R397" s="8" t="n"/>
      <c r="S397" s="14" t="n"/>
      <c r="T397" s="7" t="inlineStr"/>
      <c r="U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8" t="n"/>
      <c r="M398" s="8" t="n"/>
      <c r="N398" s="8" t="n"/>
      <c r="O398" s="8" t="n"/>
      <c r="P398" s="8" t="n"/>
      <c r="Q398" s="7" t="inlineStr">
        <is>
          <t>SEM COTAÇÃO</t>
        </is>
      </c>
      <c r="R398" s="8" t="n"/>
      <c r="S398" s="14" t="n"/>
      <c r="T398" s="7" t="inlineStr"/>
      <c r="U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8" t="n"/>
      <c r="M399" s="8" t="n"/>
      <c r="N399" s="8" t="n"/>
      <c r="O399" s="8" t="n"/>
      <c r="P399" s="8" t="n"/>
      <c r="Q399" s="7" t="inlineStr">
        <is>
          <t>SEM COTAÇÃO</t>
        </is>
      </c>
      <c r="R399" s="8" t="n"/>
      <c r="S399" s="14" t="n"/>
      <c r="T399" s="7" t="inlineStr"/>
      <c r="U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8" t="n"/>
      <c r="M400" s="8" t="n"/>
      <c r="N400" s="8" t="n"/>
      <c r="O400" s="8" t="n"/>
      <c r="P400" s="8" t="n"/>
      <c r="Q400" s="7" t="inlineStr">
        <is>
          <t>SEM COTAÇÃO</t>
        </is>
      </c>
      <c r="R400" s="8" t="n"/>
      <c r="S400" s="14" t="n"/>
      <c r="T400" s="7" t="inlineStr"/>
      <c r="U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8" t="n"/>
      <c r="M401" s="8" t="n"/>
      <c r="N401" s="8" t="n"/>
      <c r="O401" s="8" t="n"/>
      <c r="P401" s="8" t="n"/>
      <c r="Q401" s="7" t="inlineStr">
        <is>
          <t>SEM COTAÇÃO</t>
        </is>
      </c>
      <c r="R401" s="8" t="n"/>
      <c r="S401" s="14" t="n"/>
      <c r="T401" s="7" t="inlineStr"/>
      <c r="U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8" t="n"/>
      <c r="M402" s="8" t="n"/>
      <c r="N402" s="8" t="n"/>
      <c r="O402" s="8" t="n"/>
      <c r="P402" s="8" t="n"/>
      <c r="Q402" s="7" t="inlineStr">
        <is>
          <t>SEM COTAÇÃO</t>
        </is>
      </c>
      <c r="R402" s="8" t="n"/>
      <c r="S402" s="14" t="n"/>
      <c r="T402" s="7" t="inlineStr"/>
      <c r="U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8" t="n"/>
      <c r="M403" s="8" t="n"/>
      <c r="N403" s="8" t="n"/>
      <c r="O403" s="8" t="n"/>
      <c r="P403" s="8" t="n"/>
      <c r="Q403" s="7" t="inlineStr">
        <is>
          <t>SEM COTAÇÃO</t>
        </is>
      </c>
      <c r="R403" s="8" t="n"/>
      <c r="S403" s="14" t="n"/>
      <c r="T403" s="7" t="inlineStr"/>
      <c r="U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8" t="n"/>
      <c r="M404" s="8" t="n"/>
      <c r="N404" s="8" t="n"/>
      <c r="O404" s="8" t="n"/>
      <c r="P404" s="8" t="n"/>
      <c r="Q404" s="7" t="inlineStr">
        <is>
          <t>SEM COTAÇÃO</t>
        </is>
      </c>
      <c r="R404" s="8" t="n"/>
      <c r="S404" s="14" t="n"/>
      <c r="T404" s="7" t="inlineStr"/>
      <c r="U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8" t="n"/>
      <c r="M405" s="8" t="n"/>
      <c r="N405" s="8" t="n"/>
      <c r="O405" s="8" t="n"/>
      <c r="P405" s="8" t="n"/>
      <c r="Q405" s="7" t="inlineStr">
        <is>
          <t>SEM COTAÇÃO</t>
        </is>
      </c>
      <c r="R405" s="8" t="n"/>
      <c r="S405" s="14" t="n"/>
      <c r="T405" s="7" t="inlineStr"/>
      <c r="U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8" t="n"/>
      <c r="M406" s="8" t="n"/>
      <c r="N406" s="8" t="n"/>
      <c r="O406" s="8" t="n"/>
      <c r="P406" s="8" t="n"/>
      <c r="Q406" s="7" t="inlineStr">
        <is>
          <t>SEM COTAÇÃO</t>
        </is>
      </c>
      <c r="R406" s="8" t="n"/>
      <c r="S406" s="14" t="n"/>
      <c r="T406" s="7" t="inlineStr"/>
      <c r="U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8" t="n"/>
      <c r="M407" s="8" t="n"/>
      <c r="N407" s="8" t="n"/>
      <c r="O407" s="8" t="n"/>
      <c r="P407" s="8" t="n"/>
      <c r="Q407" s="7" t="inlineStr">
        <is>
          <t>SEM COTAÇÃO</t>
        </is>
      </c>
      <c r="R407" s="8" t="n"/>
      <c r="S407" s="14" t="n"/>
      <c r="T407" s="7" t="inlineStr"/>
      <c r="U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8" t="n"/>
      <c r="M408" s="8" t="n"/>
      <c r="N408" s="8" t="n"/>
      <c r="O408" s="8" t="n"/>
      <c r="P408" s="8" t="n"/>
      <c r="Q408" s="7" t="inlineStr">
        <is>
          <t>SEM COTAÇÃO</t>
        </is>
      </c>
      <c r="R408" s="8" t="n"/>
      <c r="S408" s="14" t="n"/>
      <c r="T408" s="7" t="inlineStr"/>
      <c r="U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8" t="n"/>
      <c r="M409" s="8" t="n"/>
      <c r="N409" s="8" t="n"/>
      <c r="O409" s="8" t="n"/>
      <c r="P409" s="8" t="n"/>
      <c r="Q409" s="7" t="inlineStr">
        <is>
          <t>SEM COTAÇÃO</t>
        </is>
      </c>
      <c r="R409" s="8" t="n"/>
      <c r="S409" s="14" t="n"/>
      <c r="T409" s="7" t="inlineStr"/>
      <c r="U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8" t="n"/>
      <c r="M410" s="8" t="n"/>
      <c r="N410" s="8" t="n"/>
      <c r="O410" s="8" t="n"/>
      <c r="P410" s="8" t="n"/>
      <c r="Q410" s="7" t="inlineStr">
        <is>
          <t>SEM COTAÇÃO</t>
        </is>
      </c>
      <c r="R410" s="8" t="n"/>
      <c r="S410" s="14" t="n"/>
      <c r="T410" s="7" t="inlineStr"/>
      <c r="U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8" t="n"/>
      <c r="M411" s="8" t="n"/>
      <c r="N411" s="8" t="n"/>
      <c r="O411" s="8" t="n"/>
      <c r="P411" s="8" t="n"/>
      <c r="Q411" s="7" t="inlineStr">
        <is>
          <t>SEM COTAÇÃO</t>
        </is>
      </c>
      <c r="R411" s="8" t="n"/>
      <c r="S411" s="14" t="n"/>
      <c r="T411" s="7" t="inlineStr"/>
      <c r="U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8" t="n"/>
      <c r="M412" s="8" t="n"/>
      <c r="N412" s="8" t="n"/>
      <c r="O412" s="8" t="n"/>
      <c r="P412" s="8" t="n"/>
      <c r="Q412" s="7" t="inlineStr">
        <is>
          <t>SEM COTAÇÃO</t>
        </is>
      </c>
      <c r="R412" s="8" t="n"/>
      <c r="S412" s="14" t="n"/>
      <c r="T412" s="7" t="inlineStr"/>
      <c r="U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8" t="n"/>
      <c r="M413" s="8" t="n"/>
      <c r="N413" s="8" t="n"/>
      <c r="O413" s="8" t="n"/>
      <c r="P413" s="8" t="n"/>
      <c r="Q413" s="7" t="inlineStr">
        <is>
          <t>SEM COTAÇÃO</t>
        </is>
      </c>
      <c r="R413" s="8" t="n"/>
      <c r="S413" s="14" t="n"/>
      <c r="T413" s="7" t="inlineStr"/>
      <c r="U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8" t="n"/>
      <c r="M414" s="8" t="n"/>
      <c r="N414" s="8" t="n"/>
      <c r="O414" s="8" t="n"/>
      <c r="P414" s="8" t="n"/>
      <c r="Q414" s="7" t="inlineStr">
        <is>
          <t>SEM COTAÇÃO</t>
        </is>
      </c>
      <c r="R414" s="8" t="n"/>
      <c r="S414" s="14" t="n"/>
      <c r="T414" s="7" t="inlineStr"/>
      <c r="U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8" t="n"/>
      <c r="M415" s="8" t="n"/>
      <c r="N415" s="8" t="n"/>
      <c r="O415" s="8" t="n"/>
      <c r="P415" s="8" t="n"/>
      <c r="Q415" s="7" t="inlineStr">
        <is>
          <t>SEM COTAÇÃO</t>
        </is>
      </c>
      <c r="R415" s="8" t="n"/>
      <c r="S415" s="14" t="n"/>
      <c r="T415" s="7" t="inlineStr"/>
      <c r="U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8" t="n"/>
      <c r="M416" s="8" t="n"/>
      <c r="N416" s="8" t="n"/>
      <c r="O416" s="8" t="n"/>
      <c r="P416" s="8" t="n"/>
      <c r="Q416" s="7" t="inlineStr">
        <is>
          <t>SEM COTAÇÃO</t>
        </is>
      </c>
      <c r="R416" s="8" t="n"/>
      <c r="S416" s="14" t="n"/>
      <c r="T416" s="7" t="inlineStr"/>
      <c r="U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4.47</v>
      </c>
      <c r="K417" s="8" t="n"/>
      <c r="L417" s="8" t="n"/>
      <c r="M417" s="8" t="n"/>
      <c r="N417" s="15" t="n">
        <v>3.68</v>
      </c>
      <c r="O417" s="8" t="n">
        <v>4.44</v>
      </c>
      <c r="P417" s="8" t="n"/>
      <c r="Q417" s="7" t="inlineStr">
        <is>
          <t>TAPAJOS</t>
        </is>
      </c>
      <c r="R417" s="8" t="n">
        <v>3.68</v>
      </c>
      <c r="S417" s="14">
        <f>R417/H417-1</f>
        <v/>
      </c>
      <c r="T417" s="17" t="inlineStr">
        <is>
          <t>OK (≤ menor hist.)</t>
        </is>
      </c>
      <c r="U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8" t="n">
        <v>36.07</v>
      </c>
      <c r="M418" s="8" t="n"/>
      <c r="N418" s="8" t="n">
        <v>34.71</v>
      </c>
      <c r="O418" s="8" t="n">
        <v>36.93</v>
      </c>
      <c r="P418" s="15" t="n">
        <v>28.37</v>
      </c>
      <c r="Q418" s="7" t="inlineStr">
        <is>
          <t>MEDCENTRO</t>
        </is>
      </c>
      <c r="R418" s="8" t="n">
        <v>28.37</v>
      </c>
      <c r="S418" s="14">
        <f>R418/H418-1</f>
        <v/>
      </c>
      <c r="T418" s="17" t="inlineStr">
        <is>
          <t>OK (≤ últ. compra)</t>
        </is>
      </c>
      <c r="U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8" t="n"/>
      <c r="M419" s="8" t="n"/>
      <c r="N419" s="8" t="n"/>
      <c r="O419" s="8" t="n"/>
      <c r="P419" s="8" t="n"/>
      <c r="Q419" s="7" t="inlineStr">
        <is>
          <t>SEM COTAÇÃO</t>
        </is>
      </c>
      <c r="R419" s="8" t="n"/>
      <c r="S419" s="14" t="n"/>
      <c r="T419" s="7" t="inlineStr"/>
      <c r="U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8" t="n"/>
      <c r="M420" s="8" t="n"/>
      <c r="N420" s="8" t="n"/>
      <c r="O420" s="8" t="n"/>
      <c r="P420" s="8" t="n"/>
      <c r="Q420" s="7" t="inlineStr">
        <is>
          <t>SEM COTAÇÃO</t>
        </is>
      </c>
      <c r="R420" s="8" t="n"/>
      <c r="S420" s="14" t="n"/>
      <c r="T420" s="7" t="inlineStr"/>
      <c r="U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8" t="n"/>
      <c r="M421" s="15" t="n">
        <v>27.34</v>
      </c>
      <c r="N421" s="8" t="n"/>
      <c r="O421" s="8" t="n">
        <v>24.46</v>
      </c>
      <c r="P421" s="8" t="n"/>
      <c r="Q421" s="7" t="inlineStr">
        <is>
          <t>CENTROFARMA</t>
        </is>
      </c>
      <c r="R421" s="8" t="n">
        <v>27.34</v>
      </c>
      <c r="S421" s="14">
        <f>R421/H421-1</f>
        <v/>
      </c>
      <c r="T421" s="16" t="inlineStr">
        <is>
          <t>ACIMA +14.0%</t>
        </is>
      </c>
      <c r="U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8" t="n"/>
      <c r="M422" s="15" t="n">
        <v>27.4</v>
      </c>
      <c r="N422" s="8" t="n"/>
      <c r="O422" s="8" t="n">
        <v>42.49</v>
      </c>
      <c r="P422" s="8" t="n">
        <v>31.77</v>
      </c>
      <c r="Q422" s="7" t="inlineStr">
        <is>
          <t>CENTROFARMA</t>
        </is>
      </c>
      <c r="R422" s="8" t="n">
        <v>27.4</v>
      </c>
      <c r="S422" s="14">
        <f>R422/H422-1</f>
        <v/>
      </c>
      <c r="T422" s="16" t="inlineStr">
        <is>
          <t>ACIMA +24.6%</t>
        </is>
      </c>
      <c r="U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8" t="n"/>
      <c r="M423" s="8" t="n"/>
      <c r="N423" s="8" t="n"/>
      <c r="O423" s="8" t="n"/>
      <c r="P423" s="8" t="n"/>
      <c r="Q423" s="7" t="inlineStr">
        <is>
          <t>SEM COTAÇÃO</t>
        </is>
      </c>
      <c r="R423" s="8" t="n"/>
      <c r="S423" s="14" t="n"/>
      <c r="T423" s="7" t="inlineStr"/>
      <c r="U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8" t="n"/>
      <c r="M424" s="8" t="n"/>
      <c r="N424" s="8" t="n"/>
      <c r="O424" s="8" t="n"/>
      <c r="P424" s="8" t="n"/>
      <c r="Q424" s="7" t="inlineStr">
        <is>
          <t>SEM COTAÇÃO</t>
        </is>
      </c>
      <c r="R424" s="8" t="n"/>
      <c r="S424" s="14" t="n"/>
      <c r="T424" s="7" t="inlineStr"/>
      <c r="U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8" t="n"/>
      <c r="M425" s="8" t="n"/>
      <c r="N425" s="8" t="n"/>
      <c r="O425" s="8" t="n"/>
      <c r="P425" s="8" t="n"/>
      <c r="Q425" s="7" t="inlineStr">
        <is>
          <t>SEM COTAÇÃO</t>
        </is>
      </c>
      <c r="R425" s="8" t="n"/>
      <c r="S425" s="14" t="n"/>
      <c r="T425" s="7" t="inlineStr"/>
      <c r="U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8" t="n"/>
      <c r="M426" s="8" t="n"/>
      <c r="N426" s="8" t="n"/>
      <c r="O426" s="8" t="n"/>
      <c r="P426" s="8" t="n"/>
      <c r="Q426" s="7" t="inlineStr">
        <is>
          <t>SEM COTAÇÃO</t>
        </is>
      </c>
      <c r="R426" s="8" t="n"/>
      <c r="S426" s="14" t="n"/>
      <c r="T426" s="7" t="inlineStr"/>
      <c r="U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7" t="inlineStr">
        <is>
          <t>SEM COTAÇÃO</t>
        </is>
      </c>
      <c r="R427" s="8" t="n"/>
      <c r="S427" s="14" t="n"/>
      <c r="T427" s="7" t="inlineStr"/>
      <c r="U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8" t="n"/>
      <c r="M428" s="8" t="n"/>
      <c r="N428" s="8" t="n"/>
      <c r="O428" s="8" t="n"/>
      <c r="P428" s="8" t="n"/>
      <c r="Q428" s="7" t="inlineStr">
        <is>
          <t>SEM COTAÇÃO</t>
        </is>
      </c>
      <c r="R428" s="8" t="n"/>
      <c r="S428" s="14" t="n"/>
      <c r="T428" s="7" t="inlineStr"/>
      <c r="U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8" t="n"/>
      <c r="M429" s="8" t="n"/>
      <c r="N429" s="8" t="n"/>
      <c r="O429" s="8" t="n"/>
      <c r="P429" s="8" t="n"/>
      <c r="Q429" s="7" t="inlineStr">
        <is>
          <t>SEM COTAÇÃO</t>
        </is>
      </c>
      <c r="R429" s="8" t="n"/>
      <c r="S429" s="14" t="n"/>
      <c r="T429" s="7" t="inlineStr"/>
      <c r="U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8" t="n"/>
      <c r="M430" s="8" t="n"/>
      <c r="N430" s="8" t="n"/>
      <c r="O430" s="8" t="n"/>
      <c r="P430" s="8" t="n"/>
      <c r="Q430" s="7" t="inlineStr">
        <is>
          <t>SEM COTAÇÃO</t>
        </is>
      </c>
      <c r="R430" s="8" t="n"/>
      <c r="S430" s="14" t="n"/>
      <c r="T430" s="7" t="inlineStr"/>
      <c r="U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8" t="n"/>
      <c r="M431" s="8" t="n"/>
      <c r="N431" s="8" t="n"/>
      <c r="O431" s="8" t="n"/>
      <c r="P431" s="8" t="n"/>
      <c r="Q431" s="7" t="inlineStr">
        <is>
          <t>SEM COTAÇÃO</t>
        </is>
      </c>
      <c r="R431" s="8" t="n"/>
      <c r="S431" s="14" t="n"/>
      <c r="T431" s="7" t="inlineStr"/>
      <c r="U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8" t="n"/>
      <c r="M432" s="8" t="n"/>
      <c r="N432" s="8" t="n"/>
      <c r="O432" s="8" t="n"/>
      <c r="P432" s="8" t="n"/>
      <c r="Q432" s="7" t="inlineStr">
        <is>
          <t>SEM COTAÇÃO</t>
        </is>
      </c>
      <c r="R432" s="8" t="n"/>
      <c r="S432" s="14" t="n"/>
      <c r="T432" s="7" t="inlineStr"/>
      <c r="U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8" t="n"/>
      <c r="M433" s="8" t="n"/>
      <c r="N433" s="8" t="n"/>
      <c r="O433" s="8" t="n"/>
      <c r="P433" s="8" t="n"/>
      <c r="Q433" s="7" t="inlineStr">
        <is>
          <t>SEM COTAÇÃO</t>
        </is>
      </c>
      <c r="R433" s="8" t="n"/>
      <c r="S433" s="14" t="n"/>
      <c r="T433" s="7" t="inlineStr"/>
      <c r="U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8" t="n"/>
      <c r="M434" s="8" t="n"/>
      <c r="N434" s="8" t="n"/>
      <c r="O434" s="8" t="n"/>
      <c r="P434" s="8" t="n"/>
      <c r="Q434" s="7" t="inlineStr">
        <is>
          <t>SEM COTAÇÃO</t>
        </is>
      </c>
      <c r="R434" s="8" t="n"/>
      <c r="S434" s="14" t="n"/>
      <c r="T434" s="7" t="inlineStr"/>
      <c r="U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8" t="n"/>
      <c r="M435" s="8" t="n"/>
      <c r="N435" s="8" t="n"/>
      <c r="O435" s="8" t="n"/>
      <c r="P435" s="8" t="n"/>
      <c r="Q435" s="7" t="inlineStr">
        <is>
          <t>SEM COTAÇÃO</t>
        </is>
      </c>
      <c r="R435" s="8" t="n"/>
      <c r="S435" s="14" t="n"/>
      <c r="T435" s="7" t="inlineStr"/>
      <c r="U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8" t="n"/>
      <c r="M436" s="8" t="n"/>
      <c r="N436" s="8" t="n"/>
      <c r="O436" s="8" t="n"/>
      <c r="P436" s="8" t="n"/>
      <c r="Q436" s="7" t="inlineStr">
        <is>
          <t>SEM COTAÇÃO</t>
        </is>
      </c>
      <c r="R436" s="8" t="n"/>
      <c r="S436" s="14" t="n"/>
      <c r="T436" s="7" t="inlineStr"/>
      <c r="U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8" t="n"/>
      <c r="M437" s="8" t="n"/>
      <c r="N437" s="8" t="n"/>
      <c r="O437" s="8" t="n"/>
      <c r="P437" s="8" t="n"/>
      <c r="Q437" s="7" t="inlineStr">
        <is>
          <t>SEM COTAÇÃO</t>
        </is>
      </c>
      <c r="R437" s="8" t="n"/>
      <c r="S437" s="14" t="n"/>
      <c r="T437" s="7" t="inlineStr"/>
      <c r="U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8" t="n"/>
      <c r="M438" s="8" t="n"/>
      <c r="N438" s="8" t="n"/>
      <c r="O438" s="8" t="n"/>
      <c r="P438" s="8" t="n"/>
      <c r="Q438" s="7" t="inlineStr">
        <is>
          <t>SEM COTAÇÃO</t>
        </is>
      </c>
      <c r="R438" s="8" t="n"/>
      <c r="S438" s="14" t="n"/>
      <c r="T438" s="7" t="inlineStr"/>
      <c r="U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8" t="n"/>
      <c r="M439" s="8" t="n"/>
      <c r="N439" s="8" t="n"/>
      <c r="O439" s="8" t="n"/>
      <c r="P439" s="8" t="n"/>
      <c r="Q439" s="7" t="inlineStr">
        <is>
          <t>SEM COTAÇÃO</t>
        </is>
      </c>
      <c r="R439" s="8" t="n"/>
      <c r="S439" s="14" t="n"/>
      <c r="T439" s="7" t="inlineStr"/>
      <c r="U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8" t="n"/>
      <c r="M440" s="8" t="n"/>
      <c r="N440" s="8" t="n"/>
      <c r="O440" s="8" t="n"/>
      <c r="P440" s="8" t="n"/>
      <c r="Q440" s="7" t="inlineStr">
        <is>
          <t>SEM COTAÇÃO</t>
        </is>
      </c>
      <c r="R440" s="8" t="n"/>
      <c r="S440" s="14" t="n"/>
      <c r="T440" s="7" t="inlineStr"/>
      <c r="U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8" t="n"/>
      <c r="M441" s="8" t="n"/>
      <c r="N441" s="8" t="n"/>
      <c r="O441" s="8" t="n"/>
      <c r="P441" s="8" t="n"/>
      <c r="Q441" s="7" t="inlineStr">
        <is>
          <t>SEM COTAÇÃO</t>
        </is>
      </c>
      <c r="R441" s="8" t="n"/>
      <c r="S441" s="14" t="n"/>
      <c r="T441" s="7" t="inlineStr"/>
      <c r="U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8" t="n"/>
      <c r="M442" s="8" t="n"/>
      <c r="N442" s="8" t="n"/>
      <c r="O442" s="8" t="n"/>
      <c r="P442" s="8" t="n"/>
      <c r="Q442" s="7" t="inlineStr">
        <is>
          <t>SEM COTAÇÃO</t>
        </is>
      </c>
      <c r="R442" s="8" t="n"/>
      <c r="S442" s="14" t="n"/>
      <c r="T442" s="7" t="inlineStr"/>
      <c r="U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8" t="n"/>
      <c r="M443" s="8" t="n"/>
      <c r="N443" s="8" t="n"/>
      <c r="O443" s="8" t="n"/>
      <c r="P443" s="8" t="n"/>
      <c r="Q443" s="7" t="inlineStr">
        <is>
          <t>SEM COTAÇÃO</t>
        </is>
      </c>
      <c r="R443" s="8" t="n"/>
      <c r="S443" s="14" t="n"/>
      <c r="T443" s="7" t="inlineStr"/>
      <c r="U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8" t="n"/>
      <c r="M444" s="8" t="n"/>
      <c r="N444" s="8" t="n"/>
      <c r="O444" s="8" t="n"/>
      <c r="P444" s="8" t="n"/>
      <c r="Q444" s="7" t="inlineStr">
        <is>
          <t>SEM COTAÇÃO</t>
        </is>
      </c>
      <c r="R444" s="8" t="n"/>
      <c r="S444" s="14" t="n"/>
      <c r="T444" s="7" t="inlineStr"/>
      <c r="U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8" t="n"/>
      <c r="M445" s="8" t="n"/>
      <c r="N445" s="8" t="n"/>
      <c r="O445" s="8" t="n"/>
      <c r="P445" s="8" t="n"/>
      <c r="Q445" s="7" t="inlineStr">
        <is>
          <t>SEM COTAÇÃO</t>
        </is>
      </c>
      <c r="R445" s="8" t="n"/>
      <c r="S445" s="14" t="n"/>
      <c r="T445" s="7" t="inlineStr"/>
      <c r="U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8" t="n"/>
      <c r="M446" s="8" t="n"/>
      <c r="N446" s="8" t="n"/>
      <c r="O446" s="8" t="n"/>
      <c r="P446" s="8" t="n"/>
      <c r="Q446" s="7" t="inlineStr">
        <is>
          <t>SEM COTAÇÃO</t>
        </is>
      </c>
      <c r="R446" s="8" t="n"/>
      <c r="S446" s="14" t="n"/>
      <c r="T446" s="7" t="inlineStr"/>
      <c r="U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8" t="n"/>
      <c r="M447" s="8" t="n"/>
      <c r="N447" s="8" t="n"/>
      <c r="O447" s="8" t="n"/>
      <c r="P447" s="8" t="n"/>
      <c r="Q447" s="7" t="inlineStr">
        <is>
          <t>SEM COTAÇÃO</t>
        </is>
      </c>
      <c r="R447" s="8" t="n"/>
      <c r="S447" s="14" t="n"/>
      <c r="T447" s="7" t="inlineStr"/>
      <c r="U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8" t="n"/>
      <c r="M448" s="8" t="n"/>
      <c r="N448" s="8" t="n"/>
      <c r="O448" s="8" t="n"/>
      <c r="P448" s="8" t="n"/>
      <c r="Q448" s="7" t="inlineStr">
        <is>
          <t>SEM COTAÇÃO</t>
        </is>
      </c>
      <c r="R448" s="8" t="n"/>
      <c r="S448" s="14" t="n"/>
      <c r="T448" s="7" t="inlineStr"/>
      <c r="U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8" t="n"/>
      <c r="M449" s="15" t="n">
        <v>15.63</v>
      </c>
      <c r="N449" s="8" t="n"/>
      <c r="O449" s="8" t="n"/>
      <c r="P449" s="8" t="n"/>
      <c r="Q449" s="7" t="inlineStr">
        <is>
          <t>CENTROFARMA</t>
        </is>
      </c>
      <c r="R449" s="8" t="n">
        <v>15.63</v>
      </c>
      <c r="S449" s="14">
        <f>R449/H449-1</f>
        <v/>
      </c>
      <c r="T449" s="16" t="inlineStr">
        <is>
          <t>ACIMA +6.9%</t>
        </is>
      </c>
      <c r="U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8" t="n"/>
      <c r="M450" s="8" t="n"/>
      <c r="N450" s="8" t="n"/>
      <c r="O450" s="8" t="n"/>
      <c r="P450" s="8" t="n"/>
      <c r="Q450" s="7" t="inlineStr">
        <is>
          <t>SEM COTAÇÃO</t>
        </is>
      </c>
      <c r="R450" s="8" t="n"/>
      <c r="S450" s="14" t="n"/>
      <c r="T450" s="7" t="inlineStr"/>
      <c r="U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8" t="n"/>
      <c r="M451" s="8" t="n"/>
      <c r="N451" s="8" t="n"/>
      <c r="O451" s="8" t="n"/>
      <c r="P451" s="8" t="n"/>
      <c r="Q451" s="7" t="inlineStr">
        <is>
          <t>SEM COTAÇÃO</t>
        </is>
      </c>
      <c r="R451" s="8" t="n"/>
      <c r="S451" s="14" t="n"/>
      <c r="T451" s="7" t="inlineStr"/>
      <c r="U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8" t="n"/>
      <c r="M452" s="8" t="n"/>
      <c r="N452" s="8" t="n"/>
      <c r="O452" s="8" t="n"/>
      <c r="P452" s="8" t="n"/>
      <c r="Q452" s="7" t="inlineStr">
        <is>
          <t>SEM COTAÇÃO</t>
        </is>
      </c>
      <c r="R452" s="8" t="n"/>
      <c r="S452" s="14" t="n"/>
      <c r="T452" s="7" t="inlineStr"/>
      <c r="U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8" t="n"/>
      <c r="M453" s="8" t="n"/>
      <c r="N453" s="8" t="n"/>
      <c r="O453" s="8" t="n"/>
      <c r="P453" s="8" t="n"/>
      <c r="Q453" s="7" t="inlineStr">
        <is>
          <t>SEM COTAÇÃO</t>
        </is>
      </c>
      <c r="R453" s="8" t="n"/>
      <c r="S453" s="14" t="n"/>
      <c r="T453" s="7" t="inlineStr"/>
      <c r="U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8" t="n"/>
      <c r="M454" s="8" t="n"/>
      <c r="N454" s="8" t="n"/>
      <c r="O454" s="8" t="n"/>
      <c r="P454" s="8" t="n"/>
      <c r="Q454" s="7" t="inlineStr">
        <is>
          <t>SEM COTAÇÃO</t>
        </is>
      </c>
      <c r="R454" s="8" t="n"/>
      <c r="S454" s="14" t="n"/>
      <c r="T454" s="7" t="inlineStr"/>
      <c r="U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8" t="n"/>
      <c r="M455" s="8" t="n"/>
      <c r="N455" s="8" t="n"/>
      <c r="O455" s="8" t="n"/>
      <c r="P455" s="8" t="n"/>
      <c r="Q455" s="7" t="inlineStr">
        <is>
          <t>SEM COTAÇÃO</t>
        </is>
      </c>
      <c r="R455" s="8" t="n"/>
      <c r="S455" s="14" t="n"/>
      <c r="T455" s="7" t="inlineStr"/>
      <c r="U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8" t="n"/>
      <c r="M456" s="8" t="n"/>
      <c r="N456" s="8" t="n"/>
      <c r="O456" s="8" t="n"/>
      <c r="P456" s="8" t="n"/>
      <c r="Q456" s="7" t="inlineStr">
        <is>
          <t>SEM COTAÇÃO</t>
        </is>
      </c>
      <c r="R456" s="8" t="n"/>
      <c r="S456" s="14" t="n"/>
      <c r="T456" s="7" t="inlineStr"/>
      <c r="U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8" t="n"/>
      <c r="M457" s="8" t="n"/>
      <c r="N457" s="8" t="n"/>
      <c r="O457" s="8" t="n"/>
      <c r="P457" s="8" t="n"/>
      <c r="Q457" s="7" t="inlineStr">
        <is>
          <t>SEM COTAÇÃO</t>
        </is>
      </c>
      <c r="R457" s="8" t="n"/>
      <c r="S457" s="14" t="n"/>
      <c r="T457" s="7" t="inlineStr"/>
      <c r="U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8" t="n"/>
      <c r="M458" s="8" t="n"/>
      <c r="N458" s="8" t="n"/>
      <c r="O458" s="8" t="n"/>
      <c r="P458" s="8" t="n"/>
      <c r="Q458" s="7" t="inlineStr">
        <is>
          <t>SEM COTAÇÃO</t>
        </is>
      </c>
      <c r="R458" s="8" t="n"/>
      <c r="S458" s="14" t="n"/>
      <c r="T458" s="7" t="inlineStr"/>
      <c r="U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8" t="n"/>
      <c r="M459" s="8" t="n"/>
      <c r="N459" s="8" t="n"/>
      <c r="O459" s="8" t="n"/>
      <c r="P459" s="8" t="n">
        <v>99.86</v>
      </c>
      <c r="Q459" s="7" t="inlineStr">
        <is>
          <t>DIMEC</t>
        </is>
      </c>
      <c r="R459" s="8" t="n">
        <v>1.61</v>
      </c>
      <c r="S459" s="14">
        <f>R459/H459-1</f>
        <v/>
      </c>
      <c r="T459" s="17" t="inlineStr">
        <is>
          <t>OK (≤ menor hist.)</t>
        </is>
      </c>
      <c r="U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8" t="n"/>
      <c r="M460" s="8" t="n"/>
      <c r="N460" s="8" t="n"/>
      <c r="O460" s="8" t="n"/>
      <c r="P460" s="8" t="n"/>
      <c r="Q460" s="7" t="inlineStr">
        <is>
          <t>SEM COTAÇÃO</t>
        </is>
      </c>
      <c r="R460" s="8" t="n"/>
      <c r="S460" s="14" t="n"/>
      <c r="T460" s="7" t="inlineStr"/>
      <c r="U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8" t="n"/>
      <c r="M461" s="8" t="n"/>
      <c r="N461" s="8" t="n"/>
      <c r="O461" s="8" t="n"/>
      <c r="P461" s="8" t="n"/>
      <c r="Q461" s="7" t="inlineStr">
        <is>
          <t>SEM COTAÇÃO</t>
        </is>
      </c>
      <c r="R461" s="8" t="n"/>
      <c r="S461" s="14" t="n"/>
      <c r="T461" s="7" t="inlineStr"/>
      <c r="U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8" t="n"/>
      <c r="M462" s="8" t="n"/>
      <c r="N462" s="8" t="n"/>
      <c r="O462" s="8" t="n"/>
      <c r="P462" s="8" t="n"/>
      <c r="Q462" s="7" t="inlineStr">
        <is>
          <t>SEM COTAÇÃO</t>
        </is>
      </c>
      <c r="R462" s="8" t="n"/>
      <c r="S462" s="14" t="n"/>
      <c r="T462" s="7" t="inlineStr"/>
      <c r="U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8" t="n"/>
      <c r="M463" s="8" t="n"/>
      <c r="N463" s="8" t="n"/>
      <c r="O463" s="8" t="n"/>
      <c r="P463" s="8" t="n"/>
      <c r="Q463" s="7" t="inlineStr">
        <is>
          <t>SEM COTAÇÃO</t>
        </is>
      </c>
      <c r="R463" s="8" t="n"/>
      <c r="S463" s="14" t="n"/>
      <c r="T463" s="7" t="inlineStr"/>
      <c r="U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8" t="n"/>
      <c r="M464" s="8" t="n"/>
      <c r="N464" s="8" t="n"/>
      <c r="O464" s="8" t="n"/>
      <c r="P464" s="8" t="n"/>
      <c r="Q464" s="7" t="inlineStr">
        <is>
          <t>SEM COTAÇÃO</t>
        </is>
      </c>
      <c r="R464" s="8" t="n"/>
      <c r="S464" s="14" t="n"/>
      <c r="T464" s="7" t="inlineStr"/>
      <c r="U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8" t="n"/>
      <c r="M465" s="8" t="n">
        <v>4.075</v>
      </c>
      <c r="N465" s="8" t="n"/>
      <c r="O465" s="8" t="n"/>
      <c r="P465" s="8" t="n"/>
      <c r="Q465" s="7" t="inlineStr">
        <is>
          <t>DIMEC</t>
        </is>
      </c>
      <c r="R465" s="8" t="n">
        <v>3.81</v>
      </c>
      <c r="S465" s="14">
        <f>R465/H465-1</f>
        <v/>
      </c>
      <c r="T465" s="16" t="inlineStr">
        <is>
          <t>ACIMA +0.5%</t>
        </is>
      </c>
      <c r="U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8" t="n"/>
      <c r="M466" s="8" t="n"/>
      <c r="N466" s="8" t="n"/>
      <c r="O466" s="8" t="n"/>
      <c r="P466" s="8" t="n"/>
      <c r="Q466" s="7" t="inlineStr">
        <is>
          <t>SEM COTAÇÃO</t>
        </is>
      </c>
      <c r="R466" s="8" t="n"/>
      <c r="S466" s="14" t="n"/>
      <c r="T466" s="7" t="inlineStr"/>
      <c r="U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8" t="n"/>
      <c r="M467" s="8" t="n"/>
      <c r="N467" s="8" t="n"/>
      <c r="O467" s="8" t="n"/>
      <c r="P467" s="8" t="n"/>
      <c r="Q467" s="7" t="inlineStr">
        <is>
          <t>SEM COTAÇÃO</t>
        </is>
      </c>
      <c r="R467" s="8" t="n"/>
      <c r="S467" s="14" t="n"/>
      <c r="T467" s="7" t="inlineStr"/>
      <c r="U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8" t="n"/>
      <c r="M468" s="8" t="n"/>
      <c r="N468" s="8" t="n"/>
      <c r="O468" s="8" t="n"/>
      <c r="P468" s="8" t="n"/>
      <c r="Q468" s="7" t="inlineStr">
        <is>
          <t>SEM COTAÇÃO</t>
        </is>
      </c>
      <c r="R468" s="8" t="n"/>
      <c r="S468" s="14" t="n"/>
      <c r="T468" s="7" t="inlineStr"/>
      <c r="U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8" t="n"/>
      <c r="M469" s="8" t="n"/>
      <c r="N469" s="8" t="n"/>
      <c r="O469" s="8" t="n"/>
      <c r="P469" s="8" t="n"/>
      <c r="Q469" s="7" t="inlineStr">
        <is>
          <t>SEM COTAÇÃO</t>
        </is>
      </c>
      <c r="R469" s="8" t="n"/>
      <c r="S469" s="14" t="n"/>
      <c r="T469" s="7" t="inlineStr"/>
      <c r="U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8" t="n"/>
      <c r="M470" s="8" t="n"/>
      <c r="N470" s="8" t="n"/>
      <c r="O470" s="8" t="n"/>
      <c r="P470" s="8" t="n"/>
      <c r="Q470" s="7" t="inlineStr">
        <is>
          <t>SEM COTAÇÃO</t>
        </is>
      </c>
      <c r="R470" s="8" t="n"/>
      <c r="S470" s="14" t="n"/>
      <c r="T470" s="7" t="inlineStr"/>
      <c r="U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8" t="n"/>
      <c r="M471" s="8" t="n"/>
      <c r="N471" s="8" t="n"/>
      <c r="O471" s="8" t="n"/>
      <c r="P471" s="8" t="n"/>
      <c r="Q471" s="7" t="inlineStr">
        <is>
          <t>SEM COTAÇÃO</t>
        </is>
      </c>
      <c r="R471" s="8" t="n"/>
      <c r="S471" s="14" t="n"/>
      <c r="T471" s="7" t="inlineStr"/>
      <c r="U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8" t="n"/>
      <c r="M472" s="8" t="n"/>
      <c r="N472" s="8" t="n"/>
      <c r="O472" s="8" t="n"/>
      <c r="P472" s="8" t="n"/>
      <c r="Q472" s="7" t="inlineStr">
        <is>
          <t>SEM COTAÇÃO</t>
        </is>
      </c>
      <c r="R472" s="8" t="n"/>
      <c r="S472" s="14" t="n"/>
      <c r="T472" s="7" t="inlineStr"/>
      <c r="U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8" t="n"/>
      <c r="M473" s="8" t="n"/>
      <c r="N473" s="8" t="n"/>
      <c r="O473" s="8" t="n"/>
      <c r="P473" s="8" t="n"/>
      <c r="Q473" s="7" t="inlineStr">
        <is>
          <t>SEM COTAÇÃO</t>
        </is>
      </c>
      <c r="R473" s="8" t="n"/>
      <c r="S473" s="14" t="n"/>
      <c r="T473" s="7" t="inlineStr"/>
      <c r="U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8" t="n"/>
      <c r="M474" s="8" t="n"/>
      <c r="N474" s="8" t="n"/>
      <c r="O474" s="8" t="n"/>
      <c r="P474" s="8" t="n"/>
      <c r="Q474" s="7" t="inlineStr">
        <is>
          <t>SEM COTAÇÃO</t>
        </is>
      </c>
      <c r="R474" s="8" t="n"/>
      <c r="S474" s="14" t="n"/>
      <c r="T474" s="7" t="inlineStr"/>
      <c r="U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8" t="n"/>
      <c r="M475" s="8" t="n"/>
      <c r="N475" s="8" t="n"/>
      <c r="O475" s="8" t="n"/>
      <c r="P475" s="8" t="n"/>
      <c r="Q475" s="7" t="inlineStr">
        <is>
          <t>SEM COTAÇÃO</t>
        </is>
      </c>
      <c r="R475" s="8" t="n"/>
      <c r="S475" s="14" t="n"/>
      <c r="T475" s="7" t="inlineStr"/>
      <c r="U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8" t="n"/>
      <c r="M476" s="8" t="n"/>
      <c r="N476" s="8" t="n"/>
      <c r="O476" s="8" t="n"/>
      <c r="P476" s="8" t="n"/>
      <c r="Q476" s="7" t="inlineStr">
        <is>
          <t>SEM COTAÇÃO</t>
        </is>
      </c>
      <c r="R476" s="8" t="n"/>
      <c r="S476" s="14" t="n"/>
      <c r="T476" s="7" t="inlineStr"/>
      <c r="U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8" t="n"/>
      <c r="M477" s="8" t="n"/>
      <c r="N477" s="8" t="n"/>
      <c r="O477" s="8" t="n"/>
      <c r="P477" s="8" t="n"/>
      <c r="Q477" s="7" t="inlineStr">
        <is>
          <t>SEM COTAÇÃO</t>
        </is>
      </c>
      <c r="R477" s="8" t="n"/>
      <c r="S477" s="14" t="n"/>
      <c r="T477" s="7" t="inlineStr"/>
      <c r="U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8" t="n"/>
      <c r="M478" s="8" t="n"/>
      <c r="N478" s="8" t="n"/>
      <c r="O478" s="8" t="n"/>
      <c r="P478" s="8" t="n"/>
      <c r="Q478" s="7" t="inlineStr">
        <is>
          <t>SEM COTAÇÃO</t>
        </is>
      </c>
      <c r="R478" s="8" t="n"/>
      <c r="S478" s="14" t="n"/>
      <c r="T478" s="7" t="inlineStr"/>
      <c r="U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8" t="n"/>
      <c r="M479" s="8" t="n"/>
      <c r="N479" s="8" t="n"/>
      <c r="O479" s="8" t="n"/>
      <c r="P479" s="8" t="n"/>
      <c r="Q479" s="7" t="inlineStr">
        <is>
          <t>SEM COTAÇÃO</t>
        </is>
      </c>
      <c r="R479" s="8" t="n"/>
      <c r="S479" s="14" t="n"/>
      <c r="T479" s="7" t="inlineStr"/>
      <c r="U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8" t="n"/>
      <c r="M480" s="8" t="n"/>
      <c r="N480" s="8" t="n"/>
      <c r="O480" s="8" t="n"/>
      <c r="P480" s="8" t="n"/>
      <c r="Q480" s="7" t="inlineStr">
        <is>
          <t>SEM COTAÇÃO</t>
        </is>
      </c>
      <c r="R480" s="8" t="n"/>
      <c r="S480" s="14" t="n"/>
      <c r="T480" s="7" t="inlineStr"/>
      <c r="U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8" t="n"/>
      <c r="M481" s="8" t="n"/>
      <c r="N481" s="8" t="n"/>
      <c r="O481" s="8" t="n"/>
      <c r="P481" s="8" t="n"/>
      <c r="Q481" s="7" t="inlineStr">
        <is>
          <t>SEM COTAÇÃO</t>
        </is>
      </c>
      <c r="R481" s="8" t="n"/>
      <c r="S481" s="14" t="n"/>
      <c r="T481" s="7" t="inlineStr"/>
      <c r="U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8" t="n"/>
      <c r="M482" s="8" t="n"/>
      <c r="N482" s="8" t="n"/>
      <c r="O482" s="8" t="n"/>
      <c r="P482" s="8" t="n"/>
      <c r="Q482" s="7" t="inlineStr">
        <is>
          <t>SEM COTAÇÃO</t>
        </is>
      </c>
      <c r="R482" s="8" t="n"/>
      <c r="S482" s="14" t="n"/>
      <c r="T482" s="7" t="inlineStr"/>
      <c r="U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8" t="n"/>
      <c r="M483" s="8" t="n"/>
      <c r="N483" s="8" t="n"/>
      <c r="O483" s="8" t="n"/>
      <c r="P483" s="8" t="n"/>
      <c r="Q483" s="7" t="inlineStr">
        <is>
          <t>SEM COTAÇÃO</t>
        </is>
      </c>
      <c r="R483" s="8" t="n"/>
      <c r="S483" s="14" t="n"/>
      <c r="T483" s="7" t="inlineStr"/>
      <c r="U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8" t="n"/>
      <c r="M484" s="8" t="n"/>
      <c r="N484" s="8" t="n"/>
      <c r="O484" s="8" t="n"/>
      <c r="P484" s="8" t="n"/>
      <c r="Q484" s="7" t="inlineStr">
        <is>
          <t>SEM COTAÇÃO</t>
        </is>
      </c>
      <c r="R484" s="8" t="n"/>
      <c r="S484" s="14" t="n"/>
      <c r="T484" s="7" t="inlineStr"/>
      <c r="U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8" t="n"/>
      <c r="M485" s="8" t="n"/>
      <c r="N485" s="8" t="n"/>
      <c r="O485" s="8" t="n"/>
      <c r="P485" s="8" t="n"/>
      <c r="Q485" s="7" t="inlineStr">
        <is>
          <t>SEM COTAÇÃO</t>
        </is>
      </c>
      <c r="R485" s="8" t="n"/>
      <c r="S485" s="14" t="n"/>
      <c r="T485" s="7" t="inlineStr"/>
      <c r="U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8" t="n"/>
      <c r="M486" s="8" t="n"/>
      <c r="N486" s="8" t="n"/>
      <c r="O486" s="8" t="n"/>
      <c r="P486" s="8" t="n"/>
      <c r="Q486" s="7" t="inlineStr">
        <is>
          <t>SEM COTAÇÃO</t>
        </is>
      </c>
      <c r="R486" s="8" t="n"/>
      <c r="S486" s="14" t="n"/>
      <c r="T486" s="7" t="inlineStr"/>
      <c r="U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8" t="n"/>
      <c r="M487" s="8" t="n"/>
      <c r="N487" s="8" t="n"/>
      <c r="O487" s="8" t="n"/>
      <c r="P487" s="8" t="n"/>
      <c r="Q487" s="7" t="inlineStr">
        <is>
          <t>SEM COTAÇÃO</t>
        </is>
      </c>
      <c r="R487" s="8" t="n"/>
      <c r="S487" s="14" t="n"/>
      <c r="T487" s="7" t="inlineStr"/>
      <c r="U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8" t="n"/>
      <c r="M488" s="8" t="n"/>
      <c r="N488" s="8" t="n"/>
      <c r="O488" s="8" t="n"/>
      <c r="P488" s="8" t="n"/>
      <c r="Q488" s="7" t="inlineStr">
        <is>
          <t>SEM COTAÇÃO</t>
        </is>
      </c>
      <c r="R488" s="8" t="n"/>
      <c r="S488" s="14" t="n"/>
      <c r="T488" s="7" t="inlineStr"/>
      <c r="U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8" t="n"/>
      <c r="M489" s="8" t="n"/>
      <c r="N489" s="8" t="n"/>
      <c r="O489" s="8" t="n"/>
      <c r="P489" s="8" t="n"/>
      <c r="Q489" s="7" t="inlineStr">
        <is>
          <t>SEM COTAÇÃO</t>
        </is>
      </c>
      <c r="R489" s="8" t="n"/>
      <c r="S489" s="14" t="n"/>
      <c r="T489" s="7" t="inlineStr"/>
      <c r="U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8" t="n"/>
      <c r="M490" s="8" t="n"/>
      <c r="N490" s="8" t="n"/>
      <c r="O490" s="8" t="n"/>
      <c r="P490" s="8" t="n"/>
      <c r="Q490" s="7" t="inlineStr">
        <is>
          <t>SEM COTAÇÃO</t>
        </is>
      </c>
      <c r="R490" s="8" t="n"/>
      <c r="S490" s="14" t="n"/>
      <c r="T490" s="7" t="inlineStr"/>
      <c r="U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8" t="n"/>
      <c r="M491" s="8" t="n"/>
      <c r="N491" s="8" t="n"/>
      <c r="O491" s="8" t="n"/>
      <c r="P491" s="8" t="n"/>
      <c r="Q491" s="7" t="inlineStr">
        <is>
          <t>SEM COTAÇÃO</t>
        </is>
      </c>
      <c r="R491" s="8" t="n"/>
      <c r="S491" s="14" t="n"/>
      <c r="T491" s="7" t="inlineStr"/>
      <c r="U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8" t="n"/>
      <c r="M492" s="8" t="n"/>
      <c r="N492" s="8" t="n"/>
      <c r="O492" s="8" t="n"/>
      <c r="P492" s="8" t="n"/>
      <c r="Q492" s="7" t="inlineStr">
        <is>
          <t>SEM COTAÇÃO</t>
        </is>
      </c>
      <c r="R492" s="8" t="n"/>
      <c r="S492" s="14" t="n"/>
      <c r="T492" s="7" t="inlineStr"/>
      <c r="U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8" t="n"/>
      <c r="M493" s="8" t="n"/>
      <c r="N493" s="8" t="n"/>
      <c r="O493" s="8" t="n"/>
      <c r="P493" s="8" t="n"/>
      <c r="Q493" s="7" t="inlineStr">
        <is>
          <t>SEM COTAÇÃO</t>
        </is>
      </c>
      <c r="R493" s="8" t="n"/>
      <c r="S493" s="14" t="n"/>
      <c r="T493" s="7" t="inlineStr"/>
      <c r="U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8" t="n"/>
      <c r="M494" s="8" t="n"/>
      <c r="N494" s="8" t="n"/>
      <c r="O494" s="8" t="n"/>
      <c r="P494" s="8" t="n"/>
      <c r="Q494" s="7" t="inlineStr">
        <is>
          <t>SEM COTAÇÃO</t>
        </is>
      </c>
      <c r="R494" s="8" t="n"/>
      <c r="S494" s="14" t="n"/>
      <c r="T494" s="7" t="inlineStr"/>
      <c r="U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8" t="n"/>
      <c r="M495" s="15" t="n">
        <v>37.75</v>
      </c>
      <c r="N495" s="8" t="n"/>
      <c r="O495" s="8" t="n"/>
      <c r="P495" s="8" t="n"/>
      <c r="Q495" s="7" t="inlineStr">
        <is>
          <t>CENTROFARMA</t>
        </is>
      </c>
      <c r="R495" s="8" t="n">
        <v>37.75</v>
      </c>
      <c r="S495" s="14">
        <f>R495/H495-1</f>
        <v/>
      </c>
      <c r="T495" s="16" t="inlineStr">
        <is>
          <t>ACIMA +40.1%</t>
        </is>
      </c>
      <c r="U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8" t="n"/>
      <c r="M496" s="8" t="n"/>
      <c r="N496" s="8" t="n"/>
      <c r="O496" s="8" t="n"/>
      <c r="P496" s="8" t="n"/>
      <c r="Q496" s="7" t="inlineStr">
        <is>
          <t>SEM COTAÇÃO</t>
        </is>
      </c>
      <c r="R496" s="8" t="n"/>
      <c r="S496" s="14" t="n"/>
      <c r="T496" s="7" t="inlineStr"/>
      <c r="U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8" t="n"/>
      <c r="M497" s="8" t="n"/>
      <c r="N497" s="8" t="n"/>
      <c r="O497" s="8" t="n"/>
      <c r="P497" s="8" t="n"/>
      <c r="Q497" s="7" t="inlineStr">
        <is>
          <t>SEM COTAÇÃO</t>
        </is>
      </c>
      <c r="R497" s="8" t="n"/>
      <c r="S497" s="14" t="n"/>
      <c r="T497" s="7" t="inlineStr"/>
      <c r="U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8" t="n"/>
      <c r="M498" s="8" t="n"/>
      <c r="N498" s="8" t="n"/>
      <c r="O498" s="8" t="n"/>
      <c r="P498" s="8" t="n"/>
      <c r="Q498" s="7" t="inlineStr">
        <is>
          <t>SEM COTAÇÃO</t>
        </is>
      </c>
      <c r="R498" s="8" t="n"/>
      <c r="S498" s="14" t="n"/>
      <c r="T498" s="7" t="inlineStr"/>
      <c r="U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8" t="n"/>
      <c r="M499" s="8" t="n"/>
      <c r="N499" s="8" t="n"/>
      <c r="O499" s="8" t="n"/>
      <c r="P499" s="8" t="n"/>
      <c r="Q499" s="7" t="inlineStr">
        <is>
          <t>SEM COTAÇÃO</t>
        </is>
      </c>
      <c r="R499" s="8" t="n"/>
      <c r="S499" s="14" t="n"/>
      <c r="T499" s="7" t="inlineStr"/>
      <c r="U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8" t="n">
        <v>32.8</v>
      </c>
      <c r="M500" s="8" t="n"/>
      <c r="N500" s="15" t="n">
        <v>31.9</v>
      </c>
      <c r="O500" s="8" t="n">
        <v>33.2612</v>
      </c>
      <c r="P500" s="8" t="n"/>
      <c r="Q500" s="7" t="inlineStr">
        <is>
          <t>TAPAJOS</t>
        </is>
      </c>
      <c r="R500" s="8" t="n">
        <v>31.9</v>
      </c>
      <c r="S500" s="14">
        <f>R500/H500-1</f>
        <v/>
      </c>
      <c r="T500" s="17" t="inlineStr">
        <is>
          <t>OK (≤ últ. compra)</t>
        </is>
      </c>
      <c r="U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8" t="n"/>
      <c r="M501" s="8" t="n"/>
      <c r="N501" s="8" t="n"/>
      <c r="O501" s="8" t="n"/>
      <c r="P501" s="8" t="n"/>
      <c r="Q501" s="7" t="inlineStr">
        <is>
          <t>SEM COTAÇÃO</t>
        </is>
      </c>
      <c r="R501" s="8" t="n"/>
      <c r="S501" s="14" t="n"/>
      <c r="T501" s="7" t="inlineStr"/>
      <c r="U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6.3</v>
      </c>
      <c r="K502" s="8" t="n"/>
      <c r="L502" s="8" t="n"/>
      <c r="M502" s="15" t="n">
        <v>5.11</v>
      </c>
      <c r="N502" s="8" t="n"/>
      <c r="O502" s="8" t="n"/>
      <c r="P502" s="8" t="n"/>
      <c r="Q502" s="7" t="inlineStr">
        <is>
          <t>CENTROFARMA</t>
        </is>
      </c>
      <c r="R502" s="8" t="n">
        <v>5.11</v>
      </c>
      <c r="S502" s="14">
        <f>R502/H502-1</f>
        <v/>
      </c>
      <c r="T502" s="17" t="inlineStr">
        <is>
          <t>OK (≤ menor hist.)</t>
        </is>
      </c>
      <c r="U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8" t="n"/>
      <c r="M503" s="8" t="n"/>
      <c r="N503" s="8" t="n"/>
      <c r="O503" s="8" t="n"/>
      <c r="P503" s="8" t="n"/>
      <c r="Q503" s="7" t="inlineStr">
        <is>
          <t>SEM COTAÇÃO</t>
        </is>
      </c>
      <c r="R503" s="8" t="n"/>
      <c r="S503" s="14" t="n"/>
      <c r="T503" s="7" t="inlineStr"/>
      <c r="U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8" t="n"/>
      <c r="M504" s="8" t="n"/>
      <c r="N504" s="8" t="n"/>
      <c r="O504" s="8" t="n"/>
      <c r="P504" s="8" t="n"/>
      <c r="Q504" s="7" t="inlineStr">
        <is>
          <t>SEM COTAÇÃO</t>
        </is>
      </c>
      <c r="R504" s="8" t="n"/>
      <c r="S504" s="14" t="n"/>
      <c r="T504" s="7" t="inlineStr"/>
      <c r="U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8" t="n"/>
      <c r="M505" s="8" t="n">
        <v>2.08</v>
      </c>
      <c r="N505" s="8" t="n"/>
      <c r="O505" s="8" t="n"/>
      <c r="P505" s="8" t="n"/>
      <c r="Q505" s="7" t="inlineStr">
        <is>
          <t>DIMEC</t>
        </is>
      </c>
      <c r="R505" s="8" t="n">
        <v>1.78</v>
      </c>
      <c r="S505" s="14">
        <f>R505/H505-1</f>
        <v/>
      </c>
      <c r="T505" s="16" t="inlineStr">
        <is>
          <t>ACIMA +9.9%</t>
        </is>
      </c>
      <c r="U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8" t="n"/>
      <c r="M506" s="8" t="n"/>
      <c r="N506" s="8" t="n"/>
      <c r="O506" s="8" t="n"/>
      <c r="P506" s="8" t="n"/>
      <c r="Q506" s="7" t="inlineStr">
        <is>
          <t>SEM COTAÇÃO</t>
        </is>
      </c>
      <c r="R506" s="8" t="n"/>
      <c r="S506" s="14" t="n"/>
      <c r="T506" s="7" t="inlineStr"/>
      <c r="U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8" t="n"/>
      <c r="M507" s="15" t="n">
        <v>2.54</v>
      </c>
      <c r="N507" s="8" t="n"/>
      <c r="O507" s="8" t="n"/>
      <c r="P507" s="8" t="n"/>
      <c r="Q507" s="7" t="inlineStr">
        <is>
          <t>CENTROFARMA</t>
        </is>
      </c>
      <c r="R507" s="8" t="n">
        <v>2.54</v>
      </c>
      <c r="S507" s="14">
        <f>R507/H507-1</f>
        <v/>
      </c>
      <c r="T507" s="16" t="inlineStr">
        <is>
          <t>ACIMA +5.4%</t>
        </is>
      </c>
      <c r="U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8" t="n"/>
      <c r="M508" s="8" t="n"/>
      <c r="N508" s="8" t="n"/>
      <c r="O508" s="8" t="n"/>
      <c r="P508" s="8" t="n"/>
      <c r="Q508" s="7" t="inlineStr">
        <is>
          <t>SEM COTAÇÃO</t>
        </is>
      </c>
      <c r="R508" s="8" t="n"/>
      <c r="S508" s="14" t="n"/>
      <c r="T508" s="7" t="inlineStr"/>
      <c r="U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8" t="n"/>
      <c r="M509" s="8" t="n"/>
      <c r="N509" s="8" t="n"/>
      <c r="O509" s="8" t="n"/>
      <c r="P509" s="8" t="n"/>
      <c r="Q509" s="7" t="inlineStr">
        <is>
          <t>SEM COTAÇÃO</t>
        </is>
      </c>
      <c r="R509" s="8" t="n"/>
      <c r="S509" s="14" t="n"/>
      <c r="T509" s="7" t="inlineStr"/>
      <c r="U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8" t="n"/>
      <c r="M510" s="8" t="n"/>
      <c r="N510" s="8" t="n"/>
      <c r="O510" s="8" t="n"/>
      <c r="P510" s="8" t="n"/>
      <c r="Q510" s="7" t="inlineStr">
        <is>
          <t>SEM COTAÇÃO</t>
        </is>
      </c>
      <c r="R510" s="8" t="n"/>
      <c r="S510" s="14" t="n"/>
      <c r="T510" s="7" t="inlineStr"/>
      <c r="U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8" t="n"/>
      <c r="M511" s="8" t="n"/>
      <c r="N511" s="8" t="n"/>
      <c r="O511" s="15" t="n">
        <v>12.49538461538462</v>
      </c>
      <c r="P511" s="8" t="n"/>
      <c r="Q511" s="7" t="inlineStr">
        <is>
          <t>NAZARIA</t>
        </is>
      </c>
      <c r="R511" s="8" t="n">
        <v>12.49538461538462</v>
      </c>
      <c r="S511" s="14">
        <f>R511/H511-1</f>
        <v/>
      </c>
      <c r="T511" s="16" t="inlineStr">
        <is>
          <t>ACIMA +17.7%</t>
        </is>
      </c>
      <c r="U511" s="7" t="inlineStr">
        <is>
          <t>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8" t="n"/>
      <c r="M512" s="8" t="n"/>
      <c r="N512" s="8" t="n"/>
      <c r="O512" s="8" t="n"/>
      <c r="P512" s="8" t="n"/>
      <c r="Q512" s="7" t="inlineStr">
        <is>
          <t>SEM COTAÇÃO</t>
        </is>
      </c>
      <c r="R512" s="8" t="n"/>
      <c r="S512" s="14" t="n"/>
      <c r="T512" s="7" t="inlineStr"/>
      <c r="U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8" t="n"/>
      <c r="M513" s="8" t="n"/>
      <c r="N513" s="8" t="n"/>
      <c r="O513" s="8" t="n"/>
      <c r="P513" s="8" t="n"/>
      <c r="Q513" s="7" t="inlineStr">
        <is>
          <t>SEM COTAÇÃO</t>
        </is>
      </c>
      <c r="R513" s="8" t="n"/>
      <c r="S513" s="14" t="n"/>
      <c r="T513" s="7" t="inlineStr"/>
      <c r="U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8" t="n"/>
      <c r="M514" s="8" t="n"/>
      <c r="N514" s="8" t="n"/>
      <c r="O514" s="8" t="n"/>
      <c r="P514" s="8" t="n"/>
      <c r="Q514" s="7" t="inlineStr">
        <is>
          <t>SEM COTAÇÃO</t>
        </is>
      </c>
      <c r="R514" s="8" t="n"/>
      <c r="S514" s="14" t="n"/>
      <c r="T514" s="7" t="inlineStr"/>
      <c r="U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8" t="n"/>
      <c r="M515" s="8" t="n"/>
      <c r="N515" s="8" t="n"/>
      <c r="O515" s="15" t="n">
        <v>25.5265</v>
      </c>
      <c r="P515" s="8" t="n"/>
      <c r="Q515" s="7" t="inlineStr">
        <is>
          <t>NAZARIA</t>
        </is>
      </c>
      <c r="R515" s="8" t="n">
        <v>25.5265</v>
      </c>
      <c r="S515" s="14">
        <f>R515/H515-1</f>
        <v/>
      </c>
      <c r="T515" s="17" t="inlineStr">
        <is>
          <t>OK (≤ últ. compra)</t>
        </is>
      </c>
      <c r="U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8" t="n"/>
      <c r="M516" s="8" t="n"/>
      <c r="N516" s="8" t="n"/>
      <c r="O516" s="8" t="n"/>
      <c r="P516" s="8" t="n">
        <v>2.39</v>
      </c>
      <c r="Q516" s="7" t="inlineStr">
        <is>
          <t>DIMEC</t>
        </is>
      </c>
      <c r="R516" s="8" t="n">
        <v>2.34</v>
      </c>
      <c r="S516" s="14">
        <f>R516/H516-1</f>
        <v/>
      </c>
      <c r="T516" s="17" t="inlineStr">
        <is>
          <t>OK (≤ menor hist.)</t>
        </is>
      </c>
      <c r="U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8" t="n">
        <v>76.89</v>
      </c>
      <c r="M517" s="8" t="n"/>
      <c r="N517" s="8" t="n"/>
      <c r="O517" s="15" t="n">
        <v>74.7552</v>
      </c>
      <c r="P517" s="8" t="n"/>
      <c r="Q517" s="7" t="inlineStr">
        <is>
          <t>NAZARIA</t>
        </is>
      </c>
      <c r="R517" s="8" t="n">
        <v>74.7552</v>
      </c>
      <c r="S517" s="14">
        <f>R517/H517-1</f>
        <v/>
      </c>
      <c r="T517" s="17" t="inlineStr">
        <is>
          <t>OK (≤ últ. compra)</t>
        </is>
      </c>
      <c r="U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8" t="n"/>
      <c r="M518" s="8" t="n"/>
      <c r="N518" s="8" t="n"/>
      <c r="O518" s="15" t="n">
        <v>15.582</v>
      </c>
      <c r="P518" s="8" t="n"/>
      <c r="Q518" s="7" t="inlineStr">
        <is>
          <t>NAZARIA</t>
        </is>
      </c>
      <c r="R518" s="8" t="n">
        <v>15.582</v>
      </c>
      <c r="S518" s="14">
        <f>R518/H518-1</f>
        <v/>
      </c>
      <c r="T518" s="17" t="inlineStr">
        <is>
          <t>OK (≤ últ. compra)</t>
        </is>
      </c>
      <c r="U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8" t="n"/>
      <c r="M519" s="8" t="n"/>
      <c r="N519" s="8" t="n"/>
      <c r="O519" s="8" t="n">
        <v>19.35</v>
      </c>
      <c r="P519" s="8" t="n"/>
      <c r="Q519" s="7" t="inlineStr">
        <is>
          <t>PLUSFARMA</t>
        </is>
      </c>
      <c r="R519" s="8" t="n">
        <v>6.68</v>
      </c>
      <c r="S519" s="14">
        <f>R519/H519-1</f>
        <v/>
      </c>
      <c r="T519" s="16" t="inlineStr">
        <is>
          <t>ACIMA +5.7%</t>
        </is>
      </c>
      <c r="U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8" t="n"/>
      <c r="M520" s="8" t="n"/>
      <c r="N520" s="8" t="n"/>
      <c r="O520" s="8" t="n"/>
      <c r="P520" s="8" t="n"/>
      <c r="Q520" s="7" t="inlineStr">
        <is>
          <t>SEM COTAÇÃO</t>
        </is>
      </c>
      <c r="R520" s="8" t="n"/>
      <c r="S520" s="14" t="n"/>
      <c r="T520" s="7" t="inlineStr"/>
      <c r="U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8" t="n"/>
      <c r="M521" s="8" t="n">
        <v>8.18</v>
      </c>
      <c r="N521" s="8" t="n"/>
      <c r="O521" s="8" t="n"/>
      <c r="P521" s="8" t="n">
        <v>9.050000000000001</v>
      </c>
      <c r="Q521" s="7" t="inlineStr">
        <is>
          <t>DIMEC</t>
        </is>
      </c>
      <c r="R521" s="8" t="n">
        <v>6.59</v>
      </c>
      <c r="S521" s="14">
        <f>R521/H521-1</f>
        <v/>
      </c>
      <c r="T521" s="17" t="inlineStr">
        <is>
          <t>OK (≤ menor hist.)</t>
        </is>
      </c>
      <c r="U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8" t="n"/>
      <c r="M522" s="8" t="n"/>
      <c r="N522" s="8" t="n"/>
      <c r="O522" s="8" t="n"/>
      <c r="P522" s="8" t="n"/>
      <c r="Q522" s="7" t="inlineStr">
        <is>
          <t>DIMEC</t>
        </is>
      </c>
      <c r="R522" s="8" t="n">
        <v>9.83</v>
      </c>
      <c r="S522" s="14">
        <f>R522/H522-1</f>
        <v/>
      </c>
      <c r="T522" s="16" t="inlineStr">
        <is>
          <t>ACIMA +11.2%</t>
        </is>
      </c>
      <c r="U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8" t="n"/>
      <c r="M523" s="8" t="n"/>
      <c r="N523" s="15" t="n">
        <v>14.83</v>
      </c>
      <c r="O523" s="8" t="n">
        <v>20.273</v>
      </c>
      <c r="P523" s="8" t="n"/>
      <c r="Q523" s="7" t="inlineStr">
        <is>
          <t>TAPAJOS</t>
        </is>
      </c>
      <c r="R523" s="8" t="n">
        <v>14.83</v>
      </c>
      <c r="S523" s="14">
        <f>R523/H523-1</f>
        <v/>
      </c>
      <c r="T523" s="16" t="inlineStr">
        <is>
          <t>ACIMA +3.3%</t>
        </is>
      </c>
      <c r="U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8" t="n"/>
      <c r="M524" s="8" t="n"/>
      <c r="N524" s="8" t="n"/>
      <c r="O524" s="8" t="n"/>
      <c r="P524" s="8" t="n"/>
      <c r="Q524" s="7" t="inlineStr">
        <is>
          <t>SEM COTAÇÃO</t>
        </is>
      </c>
      <c r="R524" s="8" t="n"/>
      <c r="S524" s="14" t="n"/>
      <c r="T524" s="7" t="inlineStr"/>
      <c r="U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8" t="n"/>
      <c r="M525" s="8" t="n"/>
      <c r="N525" s="15" t="n">
        <v>46.5</v>
      </c>
      <c r="O525" s="8" t="n"/>
      <c r="P525" s="8" t="n"/>
      <c r="Q525" s="7" t="inlineStr">
        <is>
          <t>TAPAJOS</t>
        </is>
      </c>
      <c r="R525" s="8" t="n">
        <v>46.5</v>
      </c>
      <c r="S525" s="14">
        <f>R525/H525-1</f>
        <v/>
      </c>
      <c r="T525" s="17" t="inlineStr">
        <is>
          <t>OK (≤ menor hist.)</t>
        </is>
      </c>
      <c r="U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8" t="n"/>
      <c r="M526" s="8" t="n"/>
      <c r="N526" s="8" t="n"/>
      <c r="O526" s="8" t="n"/>
      <c r="P526" s="8" t="n"/>
      <c r="Q526" s="7" t="inlineStr">
        <is>
          <t>SEM COTAÇÃO</t>
        </is>
      </c>
      <c r="R526" s="8" t="n"/>
      <c r="S526" s="14" t="n"/>
      <c r="T526" s="7" t="inlineStr"/>
      <c r="U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8" t="n"/>
      <c r="M527" s="8" t="n"/>
      <c r="N527" s="8" t="n"/>
      <c r="O527" s="8" t="n"/>
      <c r="P527" s="8" t="n"/>
      <c r="Q527" s="7" t="inlineStr">
        <is>
          <t>SEM COTAÇÃO</t>
        </is>
      </c>
      <c r="R527" s="8" t="n"/>
      <c r="S527" s="14" t="n"/>
      <c r="T527" s="7" t="inlineStr"/>
      <c r="U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8" t="n">
        <v>25.25</v>
      </c>
      <c r="M528" s="8" t="n"/>
      <c r="N528" s="15" t="n">
        <v>28.44</v>
      </c>
      <c r="O528" s="8" t="n">
        <v>39.6633</v>
      </c>
      <c r="P528" s="8" t="n"/>
      <c r="Q528" s="7" t="inlineStr">
        <is>
          <t>TAPAJOS</t>
        </is>
      </c>
      <c r="R528" s="8" t="n">
        <v>28.44</v>
      </c>
      <c r="S528" s="14">
        <f>R528/H528-1</f>
        <v/>
      </c>
      <c r="T528" s="16" t="inlineStr">
        <is>
          <t>ACIMA +6.2%</t>
        </is>
      </c>
      <c r="U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8" t="n"/>
      <c r="M529" s="8" t="n"/>
      <c r="N529" s="8" t="n"/>
      <c r="O529" s="8" t="n">
        <v>21.44</v>
      </c>
      <c r="P529" s="8" t="n"/>
      <c r="Q529" s="7" t="inlineStr">
        <is>
          <t>DIMEC</t>
        </is>
      </c>
      <c r="R529" s="8" t="n">
        <v>7.43</v>
      </c>
      <c r="S529" s="14">
        <f>R529/H529-1</f>
        <v/>
      </c>
      <c r="T529" s="16" t="inlineStr">
        <is>
          <t>ACIMA +14.5%</t>
        </is>
      </c>
      <c r="U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8" t="n"/>
      <c r="M530" s="8" t="n"/>
      <c r="N530" s="8" t="n"/>
      <c r="O530" s="15" t="n">
        <v>12.48</v>
      </c>
      <c r="P530" s="8" t="n"/>
      <c r="Q530" s="7" t="inlineStr">
        <is>
          <t>NAZARIA</t>
        </is>
      </c>
      <c r="R530" s="8" t="n">
        <v>12.48</v>
      </c>
      <c r="S530" s="14">
        <f>R530/H530-1</f>
        <v/>
      </c>
      <c r="T530" s="16" t="inlineStr">
        <is>
          <t>ACIMA +17.3%</t>
        </is>
      </c>
      <c r="U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8" t="n"/>
      <c r="M531" s="8" t="n"/>
      <c r="N531" s="8" t="n"/>
      <c r="O531" s="8" t="n"/>
      <c r="P531" s="8" t="n"/>
      <c r="Q531" s="7" t="inlineStr">
        <is>
          <t>SEM COTAÇÃO</t>
        </is>
      </c>
      <c r="R531" s="8" t="n"/>
      <c r="S531" s="14" t="n"/>
      <c r="T531" s="7" t="inlineStr"/>
      <c r="U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15" t="n">
        <v>14.43</v>
      </c>
      <c r="M532" s="8" t="n"/>
      <c r="N532" s="8" t="n"/>
      <c r="O532" s="8" t="n">
        <v>19.056</v>
      </c>
      <c r="P532" s="8" t="n"/>
      <c r="Q532" s="7" t="inlineStr">
        <is>
          <t>EPAN</t>
        </is>
      </c>
      <c r="R532" s="8" t="n">
        <v>14.43</v>
      </c>
      <c r="S532" s="14">
        <f>R532/H532-1</f>
        <v/>
      </c>
      <c r="T532" s="17" t="inlineStr">
        <is>
          <t>OK (≤ últ. compra)</t>
        </is>
      </c>
      <c r="U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8" t="n"/>
      <c r="M533" s="8" t="n"/>
      <c r="N533" s="8" t="n"/>
      <c r="O533" s="8" t="n"/>
      <c r="P533" s="8" t="n"/>
      <c r="Q533" s="7" t="inlineStr">
        <is>
          <t>SEM COTAÇÃO</t>
        </is>
      </c>
      <c r="R533" s="8" t="n"/>
      <c r="S533" s="14" t="n"/>
      <c r="T533" s="7" t="inlineStr"/>
      <c r="U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8" t="n"/>
      <c r="M534" s="8" t="n"/>
      <c r="N534" s="8" t="n"/>
      <c r="O534" s="8" t="n"/>
      <c r="P534" s="8" t="n"/>
      <c r="Q534" s="7" t="inlineStr">
        <is>
          <t>SEM COTAÇÃO</t>
        </is>
      </c>
      <c r="R534" s="8" t="n"/>
      <c r="S534" s="14" t="n"/>
      <c r="T534" s="7" t="inlineStr"/>
      <c r="U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8" t="n"/>
      <c r="M535" s="8" t="n"/>
      <c r="N535" s="8" t="n"/>
      <c r="O535" s="8" t="n"/>
      <c r="P535" s="8" t="n"/>
      <c r="Q535" s="7" t="inlineStr">
        <is>
          <t>SEM COTAÇÃO</t>
        </is>
      </c>
      <c r="R535" s="8" t="n"/>
      <c r="S535" s="14" t="n"/>
      <c r="T535" s="7" t="inlineStr"/>
      <c r="U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8" t="n"/>
      <c r="M536" s="8" t="n"/>
      <c r="N536" s="8" t="n"/>
      <c r="O536" s="8" t="n"/>
      <c r="P536" s="8" t="n"/>
      <c r="Q536" s="7" t="inlineStr">
        <is>
          <t>SEM COTAÇÃO</t>
        </is>
      </c>
      <c r="R536" s="8" t="n"/>
      <c r="S536" s="14" t="n"/>
      <c r="T536" s="7" t="inlineStr"/>
      <c r="U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8" t="n"/>
      <c r="M537" s="8" t="n"/>
      <c r="N537" s="8" t="n"/>
      <c r="O537" s="8" t="n"/>
      <c r="P537" s="8" t="n"/>
      <c r="Q537" s="7" t="inlineStr">
        <is>
          <t>SEM COTAÇÃO</t>
        </is>
      </c>
      <c r="R537" s="8" t="n"/>
      <c r="S537" s="14" t="n"/>
      <c r="T537" s="7" t="inlineStr"/>
      <c r="U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8" t="n"/>
      <c r="M538" s="8" t="n"/>
      <c r="N538" s="15" t="n">
        <v>5.76</v>
      </c>
      <c r="O538" s="8" t="n"/>
      <c r="P538" s="8" t="n">
        <v>6.12</v>
      </c>
      <c r="Q538" s="7" t="inlineStr">
        <is>
          <t>TAPAJOS</t>
        </is>
      </c>
      <c r="R538" s="8" t="n">
        <v>5.76</v>
      </c>
      <c r="S538" s="14">
        <f>R538/H538-1</f>
        <v/>
      </c>
      <c r="T538" s="17" t="inlineStr">
        <is>
          <t>OK (≤ menor hist.)</t>
        </is>
      </c>
      <c r="U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8" t="n"/>
      <c r="M539" s="8" t="n"/>
      <c r="N539" s="15" t="n">
        <v>22.91</v>
      </c>
      <c r="O539" s="8" t="n">
        <v>23.8826</v>
      </c>
      <c r="P539" s="8" t="n"/>
      <c r="Q539" s="7" t="inlineStr">
        <is>
          <t>TAPAJOS</t>
        </is>
      </c>
      <c r="R539" s="8" t="n">
        <v>22.91</v>
      </c>
      <c r="S539" s="14">
        <f>R539/H539-1</f>
        <v/>
      </c>
      <c r="T539" s="17" t="inlineStr">
        <is>
          <t>OK (≤ últ. compra)</t>
        </is>
      </c>
      <c r="U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8" t="n">
        <v>29.58</v>
      </c>
      <c r="M540" s="8" t="n"/>
      <c r="N540" s="15" t="n">
        <v>28.76</v>
      </c>
      <c r="O540" s="8" t="n">
        <v>29.988</v>
      </c>
      <c r="P540" s="8" t="n"/>
      <c r="Q540" s="7" t="inlineStr">
        <is>
          <t>TAPAJOS</t>
        </is>
      </c>
      <c r="R540" s="8" t="n">
        <v>28.76</v>
      </c>
      <c r="S540" s="14">
        <f>R540/H540-1</f>
        <v/>
      </c>
      <c r="T540" s="17" t="inlineStr">
        <is>
          <t>OK (≤ últ. compra)</t>
        </is>
      </c>
      <c r="U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8" t="n"/>
      <c r="M541" s="8" t="n"/>
      <c r="N541" s="8" t="n"/>
      <c r="O541" s="8" t="n"/>
      <c r="P541" s="8" t="n"/>
      <c r="Q541" s="7" t="inlineStr">
        <is>
          <t>SEM COTAÇÃO</t>
        </is>
      </c>
      <c r="R541" s="8" t="n"/>
      <c r="S541" s="14" t="n"/>
      <c r="T541" s="7" t="inlineStr"/>
      <c r="U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8" t="n"/>
      <c r="M542" s="8" t="n"/>
      <c r="N542" s="8" t="n"/>
      <c r="O542" s="8" t="n">
        <v>3.43</v>
      </c>
      <c r="P542" s="8" t="n"/>
      <c r="Q542" s="7" t="inlineStr">
        <is>
          <t>DIMEC</t>
        </is>
      </c>
      <c r="R542" s="8" t="n">
        <v>3.23</v>
      </c>
      <c r="S542" s="14">
        <f>R542/H542-1</f>
        <v/>
      </c>
      <c r="T542" s="16" t="inlineStr">
        <is>
          <t>ACIMA +5.9%</t>
        </is>
      </c>
      <c r="U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8" t="n"/>
      <c r="M543" s="8" t="n"/>
      <c r="N543" s="8" t="n"/>
      <c r="O543" s="15" t="n">
        <v>2.55</v>
      </c>
      <c r="P543" s="8" t="n"/>
      <c r="Q543" s="7" t="inlineStr">
        <is>
          <t>NAZARIA</t>
        </is>
      </c>
      <c r="R543" s="8" t="n">
        <v>2.55</v>
      </c>
      <c r="S543" s="14">
        <f>R543/H543-1</f>
        <v/>
      </c>
      <c r="T543" s="16" t="inlineStr">
        <is>
          <t>ACIMA +11.4%</t>
        </is>
      </c>
      <c r="U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8" t="n"/>
      <c r="M544" s="8" t="n"/>
      <c r="N544" s="15" t="n">
        <v>40.07</v>
      </c>
      <c r="O544" s="8" t="n">
        <v>41.7872</v>
      </c>
      <c r="P544" s="8" t="n"/>
      <c r="Q544" s="7" t="inlineStr">
        <is>
          <t>TAPAJOS</t>
        </is>
      </c>
      <c r="R544" s="8" t="n">
        <v>40.07</v>
      </c>
      <c r="S544" s="14">
        <f>R544/H544-1</f>
        <v/>
      </c>
      <c r="T544" s="17" t="inlineStr">
        <is>
          <t>OK (≤ últ. compra)</t>
        </is>
      </c>
      <c r="U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8" t="n"/>
      <c r="M545" s="8" t="n"/>
      <c r="N545" s="8" t="n"/>
      <c r="O545" s="8" t="n"/>
      <c r="P545" s="8" t="n"/>
      <c r="Q545" s="7" t="inlineStr">
        <is>
          <t>SEM COTAÇÃO</t>
        </is>
      </c>
      <c r="R545" s="8" t="n"/>
      <c r="S545" s="14" t="n"/>
      <c r="T545" s="7" t="inlineStr"/>
      <c r="U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8" t="n"/>
      <c r="M546" s="8" t="n">
        <v>4.57</v>
      </c>
      <c r="N546" s="8" t="n"/>
      <c r="O546" s="8" t="n"/>
      <c r="P546" s="8" t="n"/>
      <c r="Q546" s="7" t="inlineStr">
        <is>
          <t>DIMEC</t>
        </is>
      </c>
      <c r="R546" s="8" t="n">
        <v>4.3</v>
      </c>
      <c r="S546" s="14">
        <f>R546/H546-1</f>
        <v/>
      </c>
      <c r="T546" s="17" t="inlineStr">
        <is>
          <t>OK (≤ menor hist.)</t>
        </is>
      </c>
      <c r="U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8" t="n"/>
      <c r="M547" s="8" t="n"/>
      <c r="N547" s="8" t="n"/>
      <c r="O547" s="8" t="n"/>
      <c r="P547" s="8" t="n"/>
      <c r="Q547" s="7" t="inlineStr">
        <is>
          <t>SEM COTAÇÃO</t>
        </is>
      </c>
      <c r="R547" s="8" t="n"/>
      <c r="S547" s="14" t="n"/>
      <c r="T547" s="7" t="inlineStr"/>
      <c r="U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8" t="n"/>
      <c r="M548" s="8" t="n"/>
      <c r="N548" s="8" t="n"/>
      <c r="O548" s="8" t="n"/>
      <c r="P548" s="8" t="n"/>
      <c r="Q548" s="7" t="inlineStr">
        <is>
          <t>SEM COTAÇÃO</t>
        </is>
      </c>
      <c r="R548" s="8" t="n"/>
      <c r="S548" s="14" t="n"/>
      <c r="T548" s="7" t="inlineStr"/>
      <c r="U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8" t="n"/>
      <c r="M549" s="8" t="n"/>
      <c r="N549" s="15" t="n">
        <v>58.74</v>
      </c>
      <c r="O549" s="8" t="n">
        <v>61.2402</v>
      </c>
      <c r="P549" s="8" t="n"/>
      <c r="Q549" s="7" t="inlineStr">
        <is>
          <t>TAPAJOS</t>
        </is>
      </c>
      <c r="R549" s="8" t="n">
        <v>58.74</v>
      </c>
      <c r="S549" s="14">
        <f>R549/H549-1</f>
        <v/>
      </c>
      <c r="T549" s="17" t="inlineStr">
        <is>
          <t>OK (≤ últ. compra)</t>
        </is>
      </c>
      <c r="U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7" t="inlineStr">
        <is>
          <t>SEM COTAÇÃO</t>
        </is>
      </c>
      <c r="R550" s="8" t="n"/>
      <c r="S550" s="14" t="n"/>
      <c r="T550" s="7" t="inlineStr"/>
      <c r="U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8" t="n">
        <v>31.4</v>
      </c>
      <c r="M551" s="8" t="n"/>
      <c r="N551" s="15" t="n">
        <v>29.9</v>
      </c>
      <c r="O551" s="8" t="n">
        <v>31.1738</v>
      </c>
      <c r="P551" s="8" t="n"/>
      <c r="Q551" s="7" t="inlineStr">
        <is>
          <t>TAPAJOS</t>
        </is>
      </c>
      <c r="R551" s="8" t="n">
        <v>29.9</v>
      </c>
      <c r="S551" s="14">
        <f>R551/H551-1</f>
        <v/>
      </c>
      <c r="T551" s="16" t="inlineStr">
        <is>
          <t>ACIMA +17.5%</t>
        </is>
      </c>
      <c r="U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8" t="n"/>
      <c r="M552" s="8" t="n"/>
      <c r="N552" s="8" t="n"/>
      <c r="O552" s="8" t="n"/>
      <c r="P552" s="8" t="n"/>
      <c r="Q552" s="7" t="inlineStr">
        <is>
          <t>PLUSFARMA</t>
        </is>
      </c>
      <c r="R552" s="8" t="n">
        <v>16.29</v>
      </c>
      <c r="S552" s="14">
        <f>R552/H552-1</f>
        <v/>
      </c>
      <c r="T552" s="16" t="inlineStr">
        <is>
          <t>ACIMA +4.0%</t>
        </is>
      </c>
      <c r="U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7" t="inlineStr">
        <is>
          <t>SEM COTAÇÃO</t>
        </is>
      </c>
      <c r="R553" s="8" t="n"/>
      <c r="S553" s="14" t="n"/>
      <c r="T553" s="7" t="inlineStr"/>
      <c r="U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8" t="n"/>
      <c r="M554" s="8" t="n"/>
      <c r="N554" s="8" t="n"/>
      <c r="O554" s="8" t="n"/>
      <c r="P554" s="8" t="n"/>
      <c r="Q554" s="7" t="inlineStr">
        <is>
          <t>SEM COTAÇÃO</t>
        </is>
      </c>
      <c r="R554" s="8" t="n"/>
      <c r="S554" s="14" t="n"/>
      <c r="T554" s="7" t="inlineStr"/>
      <c r="U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15" t="n">
        <v>9.65</v>
      </c>
      <c r="M555" s="8" t="n"/>
      <c r="N555" s="8" t="n"/>
      <c r="O555" s="8" t="n">
        <v>12.048</v>
      </c>
      <c r="P555" s="8" t="n"/>
      <c r="Q555" s="7" t="inlineStr">
        <is>
          <t>EPAN</t>
        </is>
      </c>
      <c r="R555" s="8" t="n">
        <v>9.65</v>
      </c>
      <c r="S555" s="14">
        <f>R555/H555-1</f>
        <v/>
      </c>
      <c r="T555" s="17" t="inlineStr">
        <is>
          <t>OK (≤ últ. compra)</t>
        </is>
      </c>
      <c r="U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8" t="n"/>
      <c r="M556" s="8" t="n"/>
      <c r="N556" s="8" t="n"/>
      <c r="O556" s="8" t="n"/>
      <c r="P556" s="8" t="n"/>
      <c r="Q556" s="7" t="inlineStr">
        <is>
          <t>SEM COTAÇÃO</t>
        </is>
      </c>
      <c r="R556" s="8" t="n"/>
      <c r="S556" s="14" t="n"/>
      <c r="T556" s="7" t="inlineStr"/>
      <c r="U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8" t="n"/>
      <c r="M557" s="8" t="n"/>
      <c r="N557" s="8" t="n"/>
      <c r="O557" s="8" t="n"/>
      <c r="P557" s="8" t="n"/>
      <c r="Q557" s="7" t="inlineStr">
        <is>
          <t>SEM COTAÇÃO</t>
        </is>
      </c>
      <c r="R557" s="8" t="n"/>
      <c r="S557" s="14" t="n"/>
      <c r="T557" s="7" t="inlineStr"/>
      <c r="U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8" t="n"/>
      <c r="M558" s="8" t="n"/>
      <c r="N558" s="8" t="n"/>
      <c r="O558" s="8" t="n"/>
      <c r="P558" s="8" t="n"/>
      <c r="Q558" s="7" t="inlineStr">
        <is>
          <t>SEM COTAÇÃO</t>
        </is>
      </c>
      <c r="R558" s="8" t="n"/>
      <c r="S558" s="14" t="n"/>
      <c r="T558" s="7" t="inlineStr"/>
      <c r="U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8" t="n"/>
      <c r="M559" s="8" t="n"/>
      <c r="N559" s="8" t="n"/>
      <c r="O559" s="8" t="n"/>
      <c r="P559" s="8" t="n"/>
      <c r="Q559" s="7" t="inlineStr">
        <is>
          <t>SEM COTAÇÃO</t>
        </is>
      </c>
      <c r="R559" s="8" t="n"/>
      <c r="S559" s="14" t="n"/>
      <c r="T559" s="7" t="inlineStr"/>
      <c r="U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8" t="n"/>
      <c r="M560" s="8" t="n"/>
      <c r="N560" s="8" t="n"/>
      <c r="O560" s="8" t="n"/>
      <c r="P560" s="8" t="n"/>
      <c r="Q560" s="7" t="inlineStr">
        <is>
          <t>SEM COTAÇÃO</t>
        </is>
      </c>
      <c r="R560" s="8" t="n"/>
      <c r="S560" s="14" t="n"/>
      <c r="T560" s="7" t="inlineStr"/>
      <c r="U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8" t="n"/>
      <c r="M561" s="8" t="n"/>
      <c r="N561" s="8" t="n"/>
      <c r="O561" s="8" t="n"/>
      <c r="P561" s="8" t="n"/>
      <c r="Q561" s="7" t="inlineStr">
        <is>
          <t>SEM COTAÇÃO</t>
        </is>
      </c>
      <c r="R561" s="8" t="n"/>
      <c r="S561" s="14" t="n"/>
      <c r="T561" s="7" t="inlineStr"/>
      <c r="U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8" t="n"/>
      <c r="M562" s="8" t="n"/>
      <c r="N562" s="8" t="n"/>
      <c r="O562" s="8" t="n"/>
      <c r="P562" s="8" t="n"/>
      <c r="Q562" s="7" t="inlineStr">
        <is>
          <t>SEM COTAÇÃO</t>
        </is>
      </c>
      <c r="R562" s="8" t="n"/>
      <c r="S562" s="14" t="n"/>
      <c r="T562" s="7" t="inlineStr"/>
      <c r="U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8" t="n"/>
      <c r="M563" s="8" t="n"/>
      <c r="N563" s="8" t="n"/>
      <c r="O563" s="8" t="n"/>
      <c r="P563" s="8" t="n"/>
      <c r="Q563" s="7" t="inlineStr">
        <is>
          <t>SEM COTAÇÃO</t>
        </is>
      </c>
      <c r="R563" s="8" t="n"/>
      <c r="S563" s="14" t="n"/>
      <c r="T563" s="7" t="inlineStr"/>
      <c r="U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8" t="n"/>
      <c r="M564" s="8" t="n"/>
      <c r="N564" s="8" t="n"/>
      <c r="O564" s="8" t="n"/>
      <c r="P564" s="8" t="n"/>
      <c r="Q564" s="7" t="inlineStr">
        <is>
          <t>SEM COTAÇÃO</t>
        </is>
      </c>
      <c r="R564" s="8" t="n"/>
      <c r="S564" s="14" t="n"/>
      <c r="T564" s="7" t="inlineStr"/>
      <c r="U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8" t="n"/>
      <c r="M565" s="8" t="n"/>
      <c r="N565" s="8" t="n"/>
      <c r="O565" s="8" t="n"/>
      <c r="P565" s="8" t="n"/>
      <c r="Q565" s="7" t="inlineStr">
        <is>
          <t>SEM COTAÇÃO</t>
        </is>
      </c>
      <c r="R565" s="8" t="n"/>
      <c r="S565" s="14" t="n"/>
      <c r="T565" s="7" t="inlineStr"/>
      <c r="U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8" t="n"/>
      <c r="M566" s="8" t="n"/>
      <c r="N566" s="8" t="n"/>
      <c r="O566" s="8" t="n"/>
      <c r="P566" s="8" t="n"/>
      <c r="Q566" s="7" t="inlineStr">
        <is>
          <t>SEM COTAÇÃO</t>
        </is>
      </c>
      <c r="R566" s="8" t="n"/>
      <c r="S566" s="14" t="n"/>
      <c r="T566" s="7" t="inlineStr"/>
      <c r="U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8" t="n"/>
      <c r="M567" s="8" t="n"/>
      <c r="N567" s="8" t="n"/>
      <c r="O567" s="8" t="n"/>
      <c r="P567" s="8" t="n"/>
      <c r="Q567" s="7" t="inlineStr">
        <is>
          <t>SEM COTAÇÃO</t>
        </is>
      </c>
      <c r="R567" s="8" t="n"/>
      <c r="S567" s="14" t="n"/>
      <c r="T567" s="7" t="inlineStr"/>
      <c r="U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8" t="n"/>
      <c r="M568" s="8" t="n"/>
      <c r="N568" s="8" t="n"/>
      <c r="O568" s="8" t="n"/>
      <c r="P568" s="8" t="n"/>
      <c r="Q568" s="7" t="inlineStr">
        <is>
          <t>SEM COTAÇÃO</t>
        </is>
      </c>
      <c r="R568" s="8" t="n"/>
      <c r="S568" s="14" t="n"/>
      <c r="T568" s="7" t="inlineStr"/>
      <c r="U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8" t="n"/>
      <c r="M569" s="8" t="n"/>
      <c r="N569" s="8" t="n"/>
      <c r="O569" s="8" t="n"/>
      <c r="P569" s="8" t="n"/>
      <c r="Q569" s="7" t="inlineStr">
        <is>
          <t>SEM COTAÇÃO</t>
        </is>
      </c>
      <c r="R569" s="8" t="n"/>
      <c r="S569" s="14" t="n"/>
      <c r="T569" s="7" t="inlineStr"/>
      <c r="U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8" t="n"/>
      <c r="M570" s="8" t="n"/>
      <c r="N570" s="8" t="n"/>
      <c r="O570" s="8" t="n"/>
      <c r="P570" s="8" t="n"/>
      <c r="Q570" s="7" t="inlineStr">
        <is>
          <t>SEM COTAÇÃO</t>
        </is>
      </c>
      <c r="R570" s="8" t="n"/>
      <c r="S570" s="14" t="n"/>
      <c r="T570" s="7" t="inlineStr"/>
      <c r="U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8" t="n"/>
      <c r="M571" s="8" t="n"/>
      <c r="N571" s="8" t="n"/>
      <c r="O571" s="8" t="n"/>
      <c r="P571" s="8" t="n"/>
      <c r="Q571" s="7" t="inlineStr">
        <is>
          <t>SEM COTAÇÃO</t>
        </is>
      </c>
      <c r="R571" s="8" t="n"/>
      <c r="S571" s="14" t="n"/>
      <c r="T571" s="7" t="inlineStr"/>
      <c r="U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8" t="n"/>
      <c r="M572" s="8" t="n"/>
      <c r="N572" s="8" t="n"/>
      <c r="O572" s="8" t="n"/>
      <c r="P572" s="8" t="n"/>
      <c r="Q572" s="7" t="inlineStr">
        <is>
          <t>SEM COTAÇÃO</t>
        </is>
      </c>
      <c r="R572" s="8" t="n"/>
      <c r="S572" s="14" t="n"/>
      <c r="T572" s="7" t="inlineStr"/>
      <c r="U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8" t="n"/>
      <c r="M573" s="8" t="n"/>
      <c r="N573" s="8" t="n"/>
      <c r="O573" s="8" t="n"/>
      <c r="P573" s="8" t="n"/>
      <c r="Q573" s="7" t="inlineStr">
        <is>
          <t>SEM COTAÇÃO</t>
        </is>
      </c>
      <c r="R573" s="8" t="n"/>
      <c r="S573" s="14" t="n"/>
      <c r="T573" s="7" t="inlineStr"/>
      <c r="U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8" t="n"/>
      <c r="M574" s="8" t="n"/>
      <c r="N574" s="8" t="n"/>
      <c r="O574" s="8" t="n"/>
      <c r="P574" s="8" t="n"/>
      <c r="Q574" s="7" t="inlineStr">
        <is>
          <t>SEM COTAÇÃO</t>
        </is>
      </c>
      <c r="R574" s="8" t="n"/>
      <c r="S574" s="14" t="n"/>
      <c r="T574" s="7" t="inlineStr"/>
      <c r="U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8" t="n"/>
      <c r="M575" s="8" t="n"/>
      <c r="N575" s="8" t="n"/>
      <c r="O575" s="8" t="n"/>
      <c r="P575" s="8" t="n"/>
      <c r="Q575" s="7" t="inlineStr">
        <is>
          <t>SEM COTAÇÃO</t>
        </is>
      </c>
      <c r="R575" s="8" t="n"/>
      <c r="S575" s="14" t="n"/>
      <c r="T575" s="7" t="inlineStr"/>
      <c r="U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8" t="n"/>
      <c r="M576" s="8" t="n"/>
      <c r="N576" s="8" t="n"/>
      <c r="O576" s="8" t="n"/>
      <c r="P576" s="8" t="n"/>
      <c r="Q576" s="7" t="inlineStr">
        <is>
          <t>SEM COTAÇÃO</t>
        </is>
      </c>
      <c r="R576" s="8" t="n"/>
      <c r="S576" s="14" t="n"/>
      <c r="T576" s="7" t="inlineStr"/>
      <c r="U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8" t="n"/>
      <c r="M577" s="8" t="n"/>
      <c r="N577" s="8" t="n"/>
      <c r="O577" s="8" t="n"/>
      <c r="P577" s="8" t="n"/>
      <c r="Q577" s="7" t="inlineStr">
        <is>
          <t>SEM COTAÇÃO</t>
        </is>
      </c>
      <c r="R577" s="8" t="n"/>
      <c r="S577" s="14" t="n"/>
      <c r="T577" s="7" t="inlineStr"/>
      <c r="U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8" t="n"/>
      <c r="M578" s="8" t="n"/>
      <c r="N578" s="8" t="n"/>
      <c r="O578" s="8" t="n"/>
      <c r="P578" s="8" t="n"/>
      <c r="Q578" s="7" t="inlineStr">
        <is>
          <t>SEM COTAÇÃO</t>
        </is>
      </c>
      <c r="R578" s="8" t="n"/>
      <c r="S578" s="14" t="n"/>
      <c r="T578" s="7" t="inlineStr"/>
      <c r="U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8" t="n"/>
      <c r="M579" s="8" t="n"/>
      <c r="N579" s="8" t="n"/>
      <c r="O579" s="8" t="n"/>
      <c r="P579" s="8" t="n"/>
      <c r="Q579" s="7" t="inlineStr">
        <is>
          <t>SEM COTAÇÃO</t>
        </is>
      </c>
      <c r="R579" s="8" t="n"/>
      <c r="S579" s="14" t="n"/>
      <c r="T579" s="7" t="inlineStr"/>
      <c r="U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8" t="n"/>
      <c r="M580" s="8" t="n"/>
      <c r="N580" s="8" t="n"/>
      <c r="O580" s="8" t="n"/>
      <c r="P580" s="8" t="n"/>
      <c r="Q580" s="7" t="inlineStr">
        <is>
          <t>SEM COTAÇÃO</t>
        </is>
      </c>
      <c r="R580" s="8" t="n"/>
      <c r="S580" s="14" t="n"/>
      <c r="T580" s="7" t="inlineStr"/>
      <c r="U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8" t="n"/>
      <c r="M581" s="8" t="n">
        <v>16.94</v>
      </c>
      <c r="N581" s="8" t="n">
        <v>16.56</v>
      </c>
      <c r="O581" s="8" t="n">
        <v>33.03</v>
      </c>
      <c r="P581" s="15" t="n">
        <v>15.34</v>
      </c>
      <c r="Q581" s="7" t="inlineStr">
        <is>
          <t>MEDCENTRO</t>
        </is>
      </c>
      <c r="R581" s="8" t="n">
        <v>15.34</v>
      </c>
      <c r="S581" s="14">
        <f>R581/H581-1</f>
        <v/>
      </c>
      <c r="T581" s="17" t="inlineStr">
        <is>
          <t>OK (≤ últ. compra)</t>
        </is>
      </c>
      <c r="U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8" t="n"/>
      <c r="M582" s="8" t="n"/>
      <c r="N582" s="8" t="n"/>
      <c r="O582" s="8" t="n"/>
      <c r="P582" s="8" t="n"/>
      <c r="Q582" s="7" t="inlineStr">
        <is>
          <t>SEM COTAÇÃO</t>
        </is>
      </c>
      <c r="R582" s="8" t="n"/>
      <c r="S582" s="14" t="n"/>
      <c r="T582" s="7" t="inlineStr"/>
      <c r="U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8" t="n"/>
      <c r="M583" s="8" t="n"/>
      <c r="N583" s="8" t="n"/>
      <c r="O583" s="8" t="n"/>
      <c r="P583" s="8" t="n"/>
      <c r="Q583" s="7" t="inlineStr">
        <is>
          <t>SEM COTAÇÃO</t>
        </is>
      </c>
      <c r="R583" s="8" t="n"/>
      <c r="S583" s="14" t="n"/>
      <c r="T583" s="7" t="inlineStr"/>
      <c r="U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8" t="n"/>
      <c r="M584" s="8" t="n"/>
      <c r="N584" s="8" t="n"/>
      <c r="O584" s="8" t="n"/>
      <c r="P584" s="8" t="n"/>
      <c r="Q584" s="7" t="inlineStr">
        <is>
          <t>SEM COTAÇÃO</t>
        </is>
      </c>
      <c r="R584" s="8" t="n"/>
      <c r="S584" s="14" t="n"/>
      <c r="T584" s="7" t="inlineStr"/>
      <c r="U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8" t="n"/>
      <c r="M585" s="8" t="n"/>
      <c r="N585" s="8" t="n"/>
      <c r="O585" s="8" t="n"/>
      <c r="P585" s="8" t="n"/>
      <c r="Q585" s="7" t="inlineStr">
        <is>
          <t>SEM COTAÇÃO</t>
        </is>
      </c>
      <c r="R585" s="8" t="n"/>
      <c r="S585" s="14" t="n"/>
      <c r="T585" s="7" t="inlineStr"/>
      <c r="U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8" t="n"/>
      <c r="M586" s="8" t="n"/>
      <c r="N586" s="8" t="n"/>
      <c r="O586" s="8" t="n"/>
      <c r="P586" s="8" t="n"/>
      <c r="Q586" s="7" t="inlineStr">
        <is>
          <t>SEM COTAÇÃO</t>
        </is>
      </c>
      <c r="R586" s="8" t="n"/>
      <c r="S586" s="14" t="n"/>
      <c r="T586" s="7" t="inlineStr"/>
      <c r="U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8" t="n"/>
      <c r="M587" s="8" t="n"/>
      <c r="N587" s="8" t="n"/>
      <c r="O587" s="8" t="n"/>
      <c r="P587" s="8" t="n"/>
      <c r="Q587" s="7" t="inlineStr">
        <is>
          <t>SEM COTAÇÃO</t>
        </is>
      </c>
      <c r="R587" s="8" t="n"/>
      <c r="S587" s="14" t="n"/>
      <c r="T587" s="7" t="inlineStr"/>
      <c r="U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8" t="n"/>
      <c r="M588" s="8" t="n"/>
      <c r="N588" s="8" t="n"/>
      <c r="O588" s="8" t="n"/>
      <c r="P588" s="8" t="n"/>
      <c r="Q588" s="7" t="inlineStr">
        <is>
          <t>SEM COTAÇÃO</t>
        </is>
      </c>
      <c r="R588" s="8" t="n"/>
      <c r="S588" s="14" t="n"/>
      <c r="T588" s="7" t="inlineStr"/>
      <c r="U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8" t="n"/>
      <c r="M589" s="8" t="n"/>
      <c r="N589" s="8" t="n"/>
      <c r="O589" s="8" t="n"/>
      <c r="P589" s="8" t="n"/>
      <c r="Q589" s="7" t="inlineStr">
        <is>
          <t>SEM COTAÇÃO</t>
        </is>
      </c>
      <c r="R589" s="8" t="n"/>
      <c r="S589" s="14" t="n"/>
      <c r="T589" s="7" t="inlineStr"/>
      <c r="U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8" t="n"/>
      <c r="M590" s="8" t="n"/>
      <c r="N590" s="8" t="n"/>
      <c r="O590" s="8" t="n"/>
      <c r="P590" s="8" t="n"/>
      <c r="Q590" s="7" t="inlineStr">
        <is>
          <t>SEM COTAÇÃO</t>
        </is>
      </c>
      <c r="R590" s="8" t="n"/>
      <c r="S590" s="14" t="n"/>
      <c r="T590" s="7" t="inlineStr"/>
      <c r="U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8" t="n"/>
      <c r="M591" s="8" t="n"/>
      <c r="N591" s="8" t="n"/>
      <c r="O591" s="8" t="n"/>
      <c r="P591" s="8" t="n"/>
      <c r="Q591" s="7" t="inlineStr">
        <is>
          <t>SEM COTAÇÃO</t>
        </is>
      </c>
      <c r="R591" s="8" t="n"/>
      <c r="S591" s="14" t="n"/>
      <c r="T591" s="7" t="inlineStr"/>
      <c r="U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8" t="n"/>
      <c r="M592" s="8" t="n"/>
      <c r="N592" s="8" t="n"/>
      <c r="O592" s="8" t="n"/>
      <c r="P592" s="8" t="n"/>
      <c r="Q592" s="7" t="inlineStr">
        <is>
          <t>SEM COTAÇÃO</t>
        </is>
      </c>
      <c r="R592" s="8" t="n"/>
      <c r="S592" s="14" t="n"/>
      <c r="T592" s="7" t="inlineStr"/>
      <c r="U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8" t="n"/>
      <c r="M593" s="8" t="n"/>
      <c r="N593" s="8" t="n"/>
      <c r="O593" s="8" t="n"/>
      <c r="P593" s="8" t="n"/>
      <c r="Q593" s="7" t="inlineStr">
        <is>
          <t>SEM COTAÇÃO</t>
        </is>
      </c>
      <c r="R593" s="8" t="n"/>
      <c r="S593" s="14" t="n"/>
      <c r="T593" s="7" t="inlineStr"/>
      <c r="U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8" t="n"/>
      <c r="M594" s="8" t="n"/>
      <c r="N594" s="8" t="n"/>
      <c r="O594" s="8" t="n"/>
      <c r="P594" s="8" t="n"/>
      <c r="Q594" s="7" t="inlineStr">
        <is>
          <t>SEM COTAÇÃO</t>
        </is>
      </c>
      <c r="R594" s="8" t="n"/>
      <c r="S594" s="14" t="n"/>
      <c r="T594" s="7" t="inlineStr"/>
      <c r="U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8" t="n"/>
      <c r="M595" s="8" t="n"/>
      <c r="N595" s="8" t="n"/>
      <c r="O595" s="8" t="n"/>
      <c r="P595" s="8" t="n"/>
      <c r="Q595" s="7" t="inlineStr">
        <is>
          <t>SEM COTAÇÃO</t>
        </is>
      </c>
      <c r="R595" s="8" t="n"/>
      <c r="S595" s="14" t="n"/>
      <c r="T595" s="7" t="inlineStr"/>
      <c r="U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8" t="n"/>
      <c r="M596" s="8" t="n"/>
      <c r="N596" s="8" t="n"/>
      <c r="O596" s="8" t="n"/>
      <c r="P596" s="8" t="n"/>
      <c r="Q596" s="7" t="inlineStr">
        <is>
          <t>SEM COTAÇÃO</t>
        </is>
      </c>
      <c r="R596" s="8" t="n"/>
      <c r="S596" s="14" t="n"/>
      <c r="T596" s="7" t="inlineStr"/>
      <c r="U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7" t="inlineStr">
        <is>
          <t>SEM COTAÇÃO</t>
        </is>
      </c>
      <c r="R597" s="8" t="n"/>
      <c r="S597" s="14" t="n"/>
      <c r="T597" s="7" t="inlineStr"/>
      <c r="U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8" t="n"/>
      <c r="M598" s="8" t="n"/>
      <c r="N598" s="8" t="n"/>
      <c r="O598" s="8" t="n"/>
      <c r="P598" s="8" t="n"/>
      <c r="Q598" s="7" t="inlineStr">
        <is>
          <t>SEM COTAÇÃO</t>
        </is>
      </c>
      <c r="R598" s="8" t="n"/>
      <c r="S598" s="14" t="n"/>
      <c r="T598" s="7" t="inlineStr"/>
      <c r="U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8" t="n"/>
      <c r="M599" s="8" t="n"/>
      <c r="N599" s="8" t="n"/>
      <c r="O599" s="8" t="n"/>
      <c r="P599" s="8" t="n"/>
      <c r="Q599" s="7" t="inlineStr">
        <is>
          <t>SEM COTAÇÃO</t>
        </is>
      </c>
      <c r="R599" s="8" t="n"/>
      <c r="S599" s="14" t="n"/>
      <c r="T599" s="7" t="inlineStr"/>
      <c r="U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8" t="n"/>
      <c r="M600" s="8" t="n"/>
      <c r="N600" s="8" t="n"/>
      <c r="O600" s="8" t="n"/>
      <c r="P600" s="8" t="n"/>
      <c r="Q600" s="7" t="inlineStr">
        <is>
          <t>SEM COTAÇÃO</t>
        </is>
      </c>
      <c r="R600" s="8" t="n"/>
      <c r="S600" s="14" t="n"/>
      <c r="T600" s="7" t="inlineStr"/>
      <c r="U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8" t="n"/>
      <c r="M601" s="8" t="n"/>
      <c r="N601" s="8" t="n"/>
      <c r="O601" s="8" t="n"/>
      <c r="P601" s="8" t="n"/>
      <c r="Q601" s="7" t="inlineStr">
        <is>
          <t>SEM COTAÇÃO</t>
        </is>
      </c>
      <c r="R601" s="8" t="n"/>
      <c r="S601" s="14" t="n"/>
      <c r="T601" s="7" t="inlineStr"/>
      <c r="U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8" t="n"/>
      <c r="M602" s="8" t="n"/>
      <c r="N602" s="8" t="n"/>
      <c r="O602" s="8" t="n"/>
      <c r="P602" s="8" t="n"/>
      <c r="Q602" s="7" t="inlineStr">
        <is>
          <t>SEM COTAÇÃO</t>
        </is>
      </c>
      <c r="R602" s="8" t="n"/>
      <c r="S602" s="14" t="n"/>
      <c r="T602" s="7" t="inlineStr"/>
      <c r="U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8" t="n"/>
      <c r="M603" s="8" t="n"/>
      <c r="N603" s="8" t="n"/>
      <c r="O603" s="8" t="n"/>
      <c r="P603" s="8" t="n"/>
      <c r="Q603" s="7" t="inlineStr">
        <is>
          <t>SEM COTAÇÃO</t>
        </is>
      </c>
      <c r="R603" s="8" t="n"/>
      <c r="S603" s="14" t="n"/>
      <c r="T603" s="7" t="inlineStr"/>
      <c r="U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8" t="n"/>
      <c r="M604" s="8" t="n"/>
      <c r="N604" s="8" t="n"/>
      <c r="O604" s="8" t="n"/>
      <c r="P604" s="8" t="n"/>
      <c r="Q604" s="7" t="inlineStr">
        <is>
          <t>SEM COTAÇÃO</t>
        </is>
      </c>
      <c r="R604" s="8" t="n"/>
      <c r="S604" s="14" t="n"/>
      <c r="T604" s="7" t="inlineStr"/>
      <c r="U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8" t="n"/>
      <c r="M605" s="8" t="n"/>
      <c r="N605" s="8" t="n"/>
      <c r="O605" s="8" t="n"/>
      <c r="P605" s="8" t="n"/>
      <c r="Q605" s="7" t="inlineStr">
        <is>
          <t>DIMEC</t>
        </is>
      </c>
      <c r="R605" s="8" t="n">
        <v>12.92</v>
      </c>
      <c r="S605" s="14">
        <f>R605/H605-1</f>
        <v/>
      </c>
      <c r="T605" s="17" t="inlineStr">
        <is>
          <t>OK (≤ menor hist.)</t>
        </is>
      </c>
      <c r="U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8" t="n"/>
      <c r="M606" s="8" t="n"/>
      <c r="N606" s="8" t="n"/>
      <c r="O606" s="8" t="n"/>
      <c r="P606" s="8" t="n"/>
      <c r="Q606" s="7" t="inlineStr">
        <is>
          <t>SEM COTAÇÃO</t>
        </is>
      </c>
      <c r="R606" s="8" t="n"/>
      <c r="S606" s="14" t="n"/>
      <c r="T606" s="7" t="inlineStr"/>
      <c r="U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8" t="n"/>
      <c r="M607" s="8" t="n">
        <v>11.37</v>
      </c>
      <c r="N607" s="8" t="n"/>
      <c r="O607" s="8" t="n"/>
      <c r="P607" s="8" t="n"/>
      <c r="Q607" s="7" t="inlineStr">
        <is>
          <t>DIMEC</t>
        </is>
      </c>
      <c r="R607" s="8" t="n">
        <v>10.63</v>
      </c>
      <c r="S607" s="14">
        <f>R607/H607-1</f>
        <v/>
      </c>
      <c r="T607" s="17" t="inlineStr">
        <is>
          <t>OK (≤ menor hist.)</t>
        </is>
      </c>
      <c r="U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8" t="n"/>
      <c r="M608" s="8" t="n"/>
      <c r="N608" s="8" t="n"/>
      <c r="O608" s="8" t="n"/>
      <c r="P608" s="8" t="n"/>
      <c r="Q608" s="7" t="inlineStr">
        <is>
          <t>SEM COTAÇÃO</t>
        </is>
      </c>
      <c r="R608" s="8" t="n"/>
      <c r="S608" s="14" t="n"/>
      <c r="T608" s="7" t="inlineStr"/>
      <c r="U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7" t="inlineStr">
        <is>
          <t>SEM COTAÇÃO</t>
        </is>
      </c>
      <c r="R609" s="8" t="n"/>
      <c r="S609" s="14" t="n"/>
      <c r="T609" s="7" t="inlineStr"/>
      <c r="U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8" t="n"/>
      <c r="M610" s="8" t="n"/>
      <c r="N610" s="8" t="n"/>
      <c r="O610" s="8" t="n"/>
      <c r="P610" s="8" t="n"/>
      <c r="Q610" s="7" t="inlineStr">
        <is>
          <t>SEM COTAÇÃO</t>
        </is>
      </c>
      <c r="R610" s="8" t="n"/>
      <c r="S610" s="14" t="n"/>
      <c r="T610" s="7" t="inlineStr"/>
      <c r="U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8" t="n"/>
      <c r="M611" s="8" t="n"/>
      <c r="N611" s="8" t="n"/>
      <c r="O611" s="8" t="n"/>
      <c r="P611" s="8" t="n"/>
      <c r="Q611" s="7" t="inlineStr">
        <is>
          <t>SEM COTAÇÃO</t>
        </is>
      </c>
      <c r="R611" s="8" t="n"/>
      <c r="S611" s="14" t="n"/>
      <c r="T611" s="7" t="inlineStr"/>
      <c r="U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8" t="n"/>
      <c r="M612" s="8" t="n"/>
      <c r="N612" s="8" t="n"/>
      <c r="O612" s="8" t="n"/>
      <c r="P612" s="8" t="n"/>
      <c r="Q612" s="7" t="inlineStr">
        <is>
          <t>SEM COTAÇÃO</t>
        </is>
      </c>
      <c r="R612" s="8" t="n"/>
      <c r="S612" s="14" t="n"/>
      <c r="T612" s="7" t="inlineStr"/>
      <c r="U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7" t="inlineStr">
        <is>
          <t>SEM COTAÇÃO</t>
        </is>
      </c>
      <c r="R613" s="8" t="n"/>
      <c r="S613" s="14" t="n"/>
      <c r="T613" s="7" t="inlineStr"/>
      <c r="U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8" t="n"/>
      <c r="M614" s="8" t="n"/>
      <c r="N614" s="8" t="n"/>
      <c r="O614" s="8" t="n"/>
      <c r="P614" s="8" t="n"/>
      <c r="Q614" s="7" t="inlineStr">
        <is>
          <t>SEM COTAÇÃO</t>
        </is>
      </c>
      <c r="R614" s="8" t="n"/>
      <c r="S614" s="14" t="n"/>
      <c r="T614" s="7" t="inlineStr"/>
      <c r="U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7" t="inlineStr">
        <is>
          <t>SEM COTAÇÃO</t>
        </is>
      </c>
      <c r="R615" s="8" t="n"/>
      <c r="S615" s="14" t="n"/>
      <c r="T615" s="7" t="inlineStr"/>
      <c r="U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7" t="inlineStr">
        <is>
          <t>SEM COTAÇÃO</t>
        </is>
      </c>
      <c r="R616" s="8" t="n"/>
      <c r="S616" s="14" t="n"/>
      <c r="T616" s="7" t="inlineStr"/>
      <c r="U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8" t="n"/>
      <c r="M617" s="8" t="n"/>
      <c r="N617" s="8" t="n"/>
      <c r="O617" s="8" t="n"/>
      <c r="P617" s="8" t="n"/>
      <c r="Q617" s="7" t="inlineStr">
        <is>
          <t>SEM COTAÇÃO</t>
        </is>
      </c>
      <c r="R617" s="8" t="n"/>
      <c r="S617" s="14" t="n"/>
      <c r="T617" s="7" t="inlineStr"/>
      <c r="U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8" t="n"/>
      <c r="M618" s="8" t="n"/>
      <c r="N618" s="8" t="n"/>
      <c r="O618" s="8" t="n"/>
      <c r="P618" s="8" t="n"/>
      <c r="Q618" s="7" t="inlineStr">
        <is>
          <t>SEM COTAÇÃO</t>
        </is>
      </c>
      <c r="R618" s="8" t="n"/>
      <c r="S618" s="14" t="n"/>
      <c r="T618" s="7" t="inlineStr"/>
      <c r="U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8" t="n"/>
      <c r="M619" s="8" t="n"/>
      <c r="N619" s="8" t="n"/>
      <c r="O619" s="8" t="n"/>
      <c r="P619" s="8" t="n"/>
      <c r="Q619" s="7" t="inlineStr">
        <is>
          <t>SEM COTAÇÃO</t>
        </is>
      </c>
      <c r="R619" s="8" t="n"/>
      <c r="S619" s="14" t="n"/>
      <c r="T619" s="7" t="inlineStr"/>
      <c r="U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8" t="n"/>
      <c r="M620" s="8" t="n"/>
      <c r="N620" s="8" t="n"/>
      <c r="O620" s="8" t="n"/>
      <c r="P620" s="8" t="n"/>
      <c r="Q620" s="7" t="inlineStr">
        <is>
          <t>SEM COTAÇÃO</t>
        </is>
      </c>
      <c r="R620" s="8" t="n"/>
      <c r="S620" s="14" t="n"/>
      <c r="T620" s="7" t="inlineStr"/>
      <c r="U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8" t="n">
        <v>89.44</v>
      </c>
      <c r="M621" s="8" t="n"/>
      <c r="N621" s="8" t="n"/>
      <c r="O621" s="15" t="n">
        <v>88.33499999999999</v>
      </c>
      <c r="P621" s="8" t="n"/>
      <c r="Q621" s="7" t="inlineStr">
        <is>
          <t>NAZARIA</t>
        </is>
      </c>
      <c r="R621" s="8" t="n">
        <v>88.33499999999999</v>
      </c>
      <c r="S621" s="14">
        <f>R621/H621-1</f>
        <v/>
      </c>
      <c r="T621" s="17" t="inlineStr">
        <is>
          <t>OK (≤ últ. compra)</t>
        </is>
      </c>
      <c r="U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8" t="n"/>
      <c r="M622" s="8" t="n"/>
      <c r="N622" s="8" t="n"/>
      <c r="O622" s="15" t="n">
        <v>75.50399999999999</v>
      </c>
      <c r="P622" s="8" t="n"/>
      <c r="Q622" s="7" t="inlineStr">
        <is>
          <t>NAZARIA</t>
        </is>
      </c>
      <c r="R622" s="8" t="n">
        <v>75.50399999999999</v>
      </c>
      <c r="S622" s="14">
        <f>R622/H622-1</f>
        <v/>
      </c>
      <c r="T622" s="17" t="inlineStr">
        <is>
          <t>OK (≤ últ. compra)</t>
        </is>
      </c>
      <c r="U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8" t="n"/>
      <c r="M623" s="8" t="n">
        <v>3.99</v>
      </c>
      <c r="N623" s="8" t="n"/>
      <c r="O623" s="8" t="n"/>
      <c r="P623" s="8" t="n"/>
      <c r="Q623" s="7" t="inlineStr">
        <is>
          <t>DIMEC</t>
        </is>
      </c>
      <c r="R623" s="8" t="n">
        <v>3.58</v>
      </c>
      <c r="S623" s="14">
        <f>R623/H623-1</f>
        <v/>
      </c>
      <c r="T623" s="17" t="inlineStr">
        <is>
          <t>OK (≤ menor hist.)</t>
        </is>
      </c>
      <c r="U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8" t="n"/>
      <c r="M624" s="8" t="n"/>
      <c r="N624" s="8" t="n"/>
      <c r="O624" s="8" t="n"/>
      <c r="P624" s="8" t="n"/>
      <c r="Q624" s="7" t="inlineStr">
        <is>
          <t>SEM COTAÇÃO</t>
        </is>
      </c>
      <c r="R624" s="8" t="n"/>
      <c r="S624" s="14" t="n"/>
      <c r="T624" s="7" t="inlineStr"/>
      <c r="U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8" t="n"/>
      <c r="M625" s="8" t="n"/>
      <c r="N625" s="8" t="n"/>
      <c r="O625" s="8" t="n"/>
      <c r="P625" s="8" t="n"/>
      <c r="Q625" s="7" t="inlineStr">
        <is>
          <t>SEM COTAÇÃO</t>
        </is>
      </c>
      <c r="R625" s="8" t="n"/>
      <c r="S625" s="14" t="n"/>
      <c r="T625" s="7" t="inlineStr"/>
      <c r="U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8" t="n"/>
      <c r="M626" s="8" t="n"/>
      <c r="N626" s="8" t="n"/>
      <c r="O626" s="8" t="n"/>
      <c r="P626" s="8" t="n"/>
      <c r="Q626" s="7" t="inlineStr">
        <is>
          <t>DIMEC</t>
        </is>
      </c>
      <c r="R626" s="8" t="n">
        <v>5.63</v>
      </c>
      <c r="S626" s="14">
        <f>R626/H626-1</f>
        <v/>
      </c>
      <c r="T626" s="17" t="inlineStr">
        <is>
          <t>OK (≤ menor hist.)</t>
        </is>
      </c>
      <c r="U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8" t="n"/>
      <c r="M627" s="8" t="n"/>
      <c r="N627" s="8" t="n"/>
      <c r="O627" s="8" t="n"/>
      <c r="P627" s="8" t="n"/>
      <c r="Q627" s="7" t="inlineStr">
        <is>
          <t>SEM COTAÇÃO</t>
        </is>
      </c>
      <c r="R627" s="8" t="n"/>
      <c r="S627" s="14" t="n"/>
      <c r="T627" s="7" t="inlineStr"/>
      <c r="U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8" t="n"/>
      <c r="M628" s="8" t="n"/>
      <c r="N628" s="8" t="n"/>
      <c r="O628" s="8" t="n"/>
      <c r="P628" s="8" t="n"/>
      <c r="Q628" s="7" t="inlineStr">
        <is>
          <t>SEM COTAÇÃO</t>
        </is>
      </c>
      <c r="R628" s="8" t="n"/>
      <c r="S628" s="14" t="n"/>
      <c r="T628" s="7" t="inlineStr"/>
      <c r="U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15" t="n">
        <v>9.58</v>
      </c>
      <c r="M629" s="8" t="n"/>
      <c r="N629" s="8" t="n"/>
      <c r="O629" s="8" t="n">
        <v>11.53</v>
      </c>
      <c r="P629" s="8" t="n"/>
      <c r="Q629" s="7" t="inlineStr">
        <is>
          <t>EPAN</t>
        </is>
      </c>
      <c r="R629" s="8" t="n">
        <v>9.58</v>
      </c>
      <c r="S629" s="14">
        <f>R629/H629-1</f>
        <v/>
      </c>
      <c r="T629" s="17" t="inlineStr">
        <is>
          <t>OK (≤ últ. compra)</t>
        </is>
      </c>
      <c r="U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8" t="n"/>
      <c r="M630" s="8" t="n"/>
      <c r="N630" s="8" t="n"/>
      <c r="O630" s="8" t="n"/>
      <c r="P630" s="8" t="n"/>
      <c r="Q630" s="7" t="inlineStr">
        <is>
          <t>PLUSFARMA</t>
        </is>
      </c>
      <c r="R630" s="8" t="n">
        <v>61.3</v>
      </c>
      <c r="S630" s="14">
        <f>R630/H630-1</f>
        <v/>
      </c>
      <c r="T630" s="16" t="inlineStr">
        <is>
          <t>ACIMA +21.2%</t>
        </is>
      </c>
      <c r="U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7" t="inlineStr">
        <is>
          <t>SEM COTAÇÃO</t>
        </is>
      </c>
      <c r="R631" s="8" t="n"/>
      <c r="S631" s="14" t="n"/>
      <c r="T631" s="7" t="inlineStr"/>
      <c r="U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15" t="n">
        <v>21.21</v>
      </c>
      <c r="M632" s="8" t="n"/>
      <c r="N632" s="8" t="n"/>
      <c r="O632" s="8" t="n">
        <v>23.27</v>
      </c>
      <c r="P632" s="8" t="n"/>
      <c r="Q632" s="7" t="inlineStr">
        <is>
          <t>EPAN</t>
        </is>
      </c>
      <c r="R632" s="8" t="n">
        <v>21.21</v>
      </c>
      <c r="S632" s="14">
        <f>R632/H632-1</f>
        <v/>
      </c>
      <c r="T632" s="16" t="inlineStr">
        <is>
          <t>ACIMA +13.2%</t>
        </is>
      </c>
      <c r="U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8" t="n">
        <v>24.13</v>
      </c>
      <c r="M633" s="8" t="n"/>
      <c r="N633" s="8" t="n"/>
      <c r="O633" s="8" t="n">
        <v>30.52</v>
      </c>
      <c r="P633" s="8" t="n"/>
      <c r="Q633" s="7" t="inlineStr">
        <is>
          <t>SEM COTAÇÃO</t>
        </is>
      </c>
      <c r="R633" s="8" t="n"/>
      <c r="S633" s="14" t="n"/>
      <c r="T633" s="7" t="inlineStr"/>
      <c r="U633" s="7" t="inlineStr">
        <is>
          <t>EPAN: sem estoque; 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8" t="n"/>
      <c r="M634" s="8" t="n"/>
      <c r="N634" s="8" t="n"/>
      <c r="O634" s="8" t="n"/>
      <c r="P634" s="8" t="n"/>
      <c r="Q634" s="7" t="inlineStr">
        <is>
          <t>SEM COTAÇÃO</t>
        </is>
      </c>
      <c r="R634" s="8" t="n"/>
      <c r="S634" s="14" t="n"/>
      <c r="T634" s="7" t="inlineStr"/>
      <c r="U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8" t="n"/>
      <c r="M635" s="8" t="n"/>
      <c r="N635" s="8" t="n"/>
      <c r="O635" s="8" t="n"/>
      <c r="P635" s="8" t="n"/>
      <c r="Q635" s="7" t="inlineStr">
        <is>
          <t>SEM COTAÇÃO</t>
        </is>
      </c>
      <c r="R635" s="8" t="n"/>
      <c r="S635" s="14" t="n"/>
      <c r="T635" s="7" t="inlineStr"/>
      <c r="U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8" t="n"/>
      <c r="M636" s="15" t="n">
        <v>37.15</v>
      </c>
      <c r="N636" s="8" t="n"/>
      <c r="O636" s="8" t="n"/>
      <c r="P636" s="8" t="n"/>
      <c r="Q636" s="7" t="inlineStr">
        <is>
          <t>CENTROFARMA</t>
        </is>
      </c>
      <c r="R636" s="8" t="n">
        <v>37.15</v>
      </c>
      <c r="S636" s="14">
        <f>R636/H636-1</f>
        <v/>
      </c>
      <c r="T636" s="16" t="inlineStr">
        <is>
          <t>ACIMA +147.8%</t>
        </is>
      </c>
      <c r="U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8" t="n"/>
      <c r="M637" s="8" t="n"/>
      <c r="N637" s="8" t="n"/>
      <c r="O637" s="8" t="n"/>
      <c r="P637" s="8" t="n"/>
      <c r="Q637" s="7" t="inlineStr">
        <is>
          <t>SEM COTAÇÃO</t>
        </is>
      </c>
      <c r="R637" s="8" t="n"/>
      <c r="S637" s="14" t="n"/>
      <c r="T637" s="7" t="inlineStr"/>
      <c r="U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15" t="n">
        <v>32.31</v>
      </c>
      <c r="M638" s="8" t="n"/>
      <c r="N638" s="8" t="n">
        <v>35.48</v>
      </c>
      <c r="O638" s="8" t="n">
        <v>34.1922</v>
      </c>
      <c r="P638" s="8" t="n"/>
      <c r="Q638" s="7" t="inlineStr">
        <is>
          <t>EPAN</t>
        </is>
      </c>
      <c r="R638" s="8" t="n">
        <v>32.31</v>
      </c>
      <c r="S638" s="14">
        <f>R638/H638-1</f>
        <v/>
      </c>
      <c r="T638" s="17" t="inlineStr">
        <is>
          <t>OK (≤ últ. compra)</t>
        </is>
      </c>
      <c r="U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15" t="n">
        <v>36.55</v>
      </c>
      <c r="M639" s="8" t="n"/>
      <c r="N639" s="8" t="n">
        <v>37.66</v>
      </c>
      <c r="O639" s="8" t="n">
        <v>39.98399999999999</v>
      </c>
      <c r="P639" s="8" t="n"/>
      <c r="Q639" s="7" t="inlineStr">
        <is>
          <t>EPAN</t>
        </is>
      </c>
      <c r="R639" s="8" t="n">
        <v>36.55</v>
      </c>
      <c r="S639" s="14">
        <f>R639/H639-1</f>
        <v/>
      </c>
      <c r="T639" s="16" t="inlineStr">
        <is>
          <t>ACIMA +0.2%</t>
        </is>
      </c>
      <c r="U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15" t="n">
        <v>53.87</v>
      </c>
      <c r="M640" s="8" t="n"/>
      <c r="N640" s="8" t="n">
        <v>55.46</v>
      </c>
      <c r="O640" s="8" t="n">
        <v>58.8882</v>
      </c>
      <c r="P640" s="8" t="n"/>
      <c r="Q640" s="7" t="inlineStr">
        <is>
          <t>EPAN</t>
        </is>
      </c>
      <c r="R640" s="8" t="n">
        <v>53.87</v>
      </c>
      <c r="S640" s="14">
        <f>R640/H640-1</f>
        <v/>
      </c>
      <c r="T640" s="16" t="inlineStr">
        <is>
          <t>ACIMA +0.3%</t>
        </is>
      </c>
      <c r="U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8" t="n"/>
      <c r="M641" s="8" t="n"/>
      <c r="N641" s="8" t="n"/>
      <c r="O641" s="8" t="n"/>
      <c r="P641" s="8" t="n"/>
      <c r="Q641" s="7" t="inlineStr">
        <is>
          <t>SEM COTAÇÃO</t>
        </is>
      </c>
      <c r="R641" s="8" t="n"/>
      <c r="S641" s="14" t="n"/>
      <c r="T641" s="7" t="inlineStr"/>
      <c r="U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15" t="n">
        <v>8.9</v>
      </c>
      <c r="K642" s="8" t="n"/>
      <c r="L642" s="8" t="n"/>
      <c r="M642" s="8" t="n">
        <v>9.01</v>
      </c>
      <c r="N642" s="8" t="n"/>
      <c r="O642" s="8" t="n"/>
      <c r="P642" s="8" t="n">
        <v>9.68</v>
      </c>
      <c r="Q642" s="7" t="inlineStr">
        <is>
          <t>DIMEC</t>
        </is>
      </c>
      <c r="R642" s="8" t="n">
        <v>8.9</v>
      </c>
      <c r="S642" s="14">
        <f>R642/H642-1</f>
        <v/>
      </c>
      <c r="T642" s="16" t="inlineStr">
        <is>
          <t>ACIMA +4.0%</t>
        </is>
      </c>
      <c r="U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8" t="n"/>
      <c r="M643" s="8" t="n"/>
      <c r="N643" s="8" t="n"/>
      <c r="O643" s="8" t="n"/>
      <c r="P643" s="8" t="n"/>
      <c r="Q643" s="7" t="inlineStr">
        <is>
          <t>SEM COTAÇÃO</t>
        </is>
      </c>
      <c r="R643" s="8" t="n"/>
      <c r="S643" s="14" t="n"/>
      <c r="T643" s="7" t="inlineStr"/>
      <c r="U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8" t="n"/>
      <c r="M644" s="8" t="n"/>
      <c r="N644" s="8" t="n"/>
      <c r="O644" s="8" t="n"/>
      <c r="P644" s="8" t="n"/>
      <c r="Q644" s="7" t="inlineStr">
        <is>
          <t>SEM COTAÇÃO</t>
        </is>
      </c>
      <c r="R644" s="8" t="n"/>
      <c r="S644" s="14" t="n"/>
      <c r="T644" s="7" t="inlineStr"/>
      <c r="U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8" t="n"/>
      <c r="M645" s="8" t="n"/>
      <c r="N645" s="8" t="n"/>
      <c r="O645" s="8" t="n"/>
      <c r="P645" s="8" t="n"/>
      <c r="Q645" s="7" t="inlineStr">
        <is>
          <t>SEM COTAÇÃO</t>
        </is>
      </c>
      <c r="R645" s="8" t="n"/>
      <c r="S645" s="14" t="n"/>
      <c r="T645" s="7" t="inlineStr"/>
      <c r="U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8" t="n"/>
      <c r="M646" s="8" t="n"/>
      <c r="N646" s="8" t="n"/>
      <c r="O646" s="8" t="n"/>
      <c r="P646" s="8" t="n"/>
      <c r="Q646" s="7" t="inlineStr">
        <is>
          <t>SEM COTAÇÃO</t>
        </is>
      </c>
      <c r="R646" s="8" t="n"/>
      <c r="S646" s="14" t="n"/>
      <c r="T646" s="7" t="inlineStr"/>
      <c r="U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8" t="n"/>
      <c r="M647" s="8" t="n"/>
      <c r="N647" s="8" t="n"/>
      <c r="O647" s="8" t="n"/>
      <c r="P647" s="8" t="n"/>
      <c r="Q647" s="7" t="inlineStr">
        <is>
          <t>SEM COTAÇÃO</t>
        </is>
      </c>
      <c r="R647" s="8" t="n"/>
      <c r="S647" s="14" t="n"/>
      <c r="T647" s="7" t="inlineStr"/>
      <c r="U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8" t="n"/>
      <c r="M648" s="8" t="n"/>
      <c r="N648" s="8" t="n"/>
      <c r="O648" s="15" t="n">
        <v>12.06</v>
      </c>
      <c r="P648" s="8" t="n"/>
      <c r="Q648" s="7" t="inlineStr">
        <is>
          <t>NAZARIA</t>
        </is>
      </c>
      <c r="R648" s="8" t="n">
        <v>12.06</v>
      </c>
      <c r="S648" s="14">
        <f>R648/H648-1</f>
        <v/>
      </c>
      <c r="T648" s="16" t="inlineStr">
        <is>
          <t>ACIMA +731.7%</t>
        </is>
      </c>
      <c r="U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8" t="n"/>
      <c r="M649" s="8" t="n"/>
      <c r="N649" s="8" t="n"/>
      <c r="O649" s="15" t="n">
        <v>5.9313</v>
      </c>
      <c r="P649" s="8" t="n"/>
      <c r="Q649" s="7" t="inlineStr">
        <is>
          <t>NAZARIA</t>
        </is>
      </c>
      <c r="R649" s="8" t="n">
        <v>5.9313</v>
      </c>
      <c r="S649" s="14">
        <f>R649/H649-1</f>
        <v/>
      </c>
      <c r="T649" s="16" t="inlineStr">
        <is>
          <t>ACIMA +120.5%</t>
        </is>
      </c>
      <c r="U649" s="7" t="inlineStr">
        <is>
          <t>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8" t="n"/>
      <c r="M650" s="8" t="n">
        <v>4.34</v>
      </c>
      <c r="N650" s="8" t="n"/>
      <c r="O650" s="8" t="n"/>
      <c r="P650" s="8" t="n"/>
      <c r="Q650" s="7" t="inlineStr">
        <is>
          <t>DIMEC</t>
        </is>
      </c>
      <c r="R650" s="8" t="n">
        <v>4.04</v>
      </c>
      <c r="S650" s="14">
        <f>R650/H650-1</f>
        <v/>
      </c>
      <c r="T650" s="17" t="inlineStr">
        <is>
          <t>OK (≤ menor hist.)</t>
        </is>
      </c>
      <c r="U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8" t="n"/>
      <c r="M651" s="15" t="n">
        <v>5.3</v>
      </c>
      <c r="N651" s="8" t="n"/>
      <c r="O651" s="8" t="n"/>
      <c r="P651" s="8" t="n"/>
      <c r="Q651" s="7" t="inlineStr">
        <is>
          <t>CENTROFARMA</t>
        </is>
      </c>
      <c r="R651" s="8" t="n">
        <v>5.3</v>
      </c>
      <c r="S651" s="14">
        <f>R651/H651-1</f>
        <v/>
      </c>
      <c r="T651" s="16" t="inlineStr">
        <is>
          <t>ACIMA +15.2%</t>
        </is>
      </c>
      <c r="U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15" t="n">
        <v>3.62</v>
      </c>
      <c r="K652" s="8" t="n"/>
      <c r="L652" s="8" t="n"/>
      <c r="M652" s="8" t="n">
        <v>3.84</v>
      </c>
      <c r="N652" s="8" t="n"/>
      <c r="O652" s="8" t="n"/>
      <c r="P652" s="8" t="n">
        <v>4.02</v>
      </c>
      <c r="Q652" s="7" t="inlineStr">
        <is>
          <t>DIMEC</t>
        </is>
      </c>
      <c r="R652" s="8" t="n">
        <v>3.62</v>
      </c>
      <c r="S652" s="14">
        <f>R652/H652-1</f>
        <v/>
      </c>
      <c r="T652" s="16" t="inlineStr">
        <is>
          <t>ACIMA +20.7%</t>
        </is>
      </c>
      <c r="U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8" t="n"/>
      <c r="M653" s="8" t="n"/>
      <c r="N653" s="8" t="n"/>
      <c r="O653" s="8" t="n"/>
      <c r="P653" s="8" t="n"/>
      <c r="Q653" s="7" t="inlineStr">
        <is>
          <t>SEM COTAÇÃO</t>
        </is>
      </c>
      <c r="R653" s="8" t="n"/>
      <c r="S653" s="14" t="n"/>
      <c r="T653" s="7" t="inlineStr"/>
      <c r="U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8" t="n"/>
      <c r="M654" s="8" t="n"/>
      <c r="N654" s="8" t="n"/>
      <c r="O654" s="8" t="n"/>
      <c r="P654" s="8" t="n"/>
      <c r="Q654" s="7" t="inlineStr">
        <is>
          <t>SEM COTAÇÃO</t>
        </is>
      </c>
      <c r="R654" s="8" t="n"/>
      <c r="S654" s="14" t="n"/>
      <c r="T654" s="7" t="inlineStr"/>
      <c r="U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15" t="n">
        <v>19.56</v>
      </c>
      <c r="P655" s="8" t="n"/>
      <c r="Q655" s="7" t="inlineStr">
        <is>
          <t>NAZARIA</t>
        </is>
      </c>
      <c r="R655" s="8" t="n">
        <v>19.56</v>
      </c>
      <c r="S655" s="14" t="n"/>
      <c r="T655" s="7" t="inlineStr">
        <is>
          <t>SEM HISTÓRICO</t>
        </is>
      </c>
      <c r="U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15" t="n">
        <v>27.24</v>
      </c>
      <c r="P656" s="8" t="n"/>
      <c r="Q656" s="7" t="inlineStr">
        <is>
          <t>NAZARIA</t>
        </is>
      </c>
      <c r="R656" s="8" t="n">
        <v>27.24</v>
      </c>
      <c r="S656" s="14" t="n"/>
      <c r="T656" s="7" t="inlineStr">
        <is>
          <t>SEM HISTÓRICO</t>
        </is>
      </c>
      <c r="U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8" t="n"/>
      <c r="M657" s="8" t="n"/>
      <c r="N657" s="8" t="n"/>
      <c r="O657" s="8" t="n"/>
      <c r="P657" s="8" t="n"/>
      <c r="Q657" s="7" t="inlineStr">
        <is>
          <t>SEM COTAÇÃO</t>
        </is>
      </c>
      <c r="R657" s="8" t="n"/>
      <c r="S657" s="14" t="n"/>
      <c r="T657" s="7" t="inlineStr"/>
      <c r="U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8" t="n"/>
      <c r="M658" s="8" t="n"/>
      <c r="N658" s="8" t="n"/>
      <c r="O658" s="15" t="n">
        <v>22.39</v>
      </c>
      <c r="P658" s="8" t="n"/>
      <c r="Q658" s="7" t="inlineStr">
        <is>
          <t>NAZARIA</t>
        </is>
      </c>
      <c r="R658" s="8" t="n">
        <v>22.39</v>
      </c>
      <c r="S658" s="14">
        <f>R658/H658-1</f>
        <v/>
      </c>
      <c r="T658" s="16" t="inlineStr">
        <is>
          <t>ACIMA +49.4%</t>
        </is>
      </c>
      <c r="U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8" t="n"/>
      <c r="M659" s="8" t="n"/>
      <c r="N659" s="8" t="n"/>
      <c r="O659" s="8" t="n"/>
      <c r="P659" s="8" t="n"/>
      <c r="Q659" s="7" t="inlineStr">
        <is>
          <t>SEM COTAÇÃO</t>
        </is>
      </c>
      <c r="R659" s="8" t="n"/>
      <c r="S659" s="14" t="n"/>
      <c r="T659" s="7" t="inlineStr"/>
      <c r="U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7" t="inlineStr">
        <is>
          <t>SEM COTAÇÃO</t>
        </is>
      </c>
      <c r="R660" s="8" t="n"/>
      <c r="S660" s="14" t="n"/>
      <c r="T660" s="7" t="inlineStr"/>
      <c r="U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8" t="n"/>
      <c r="M661" s="8" t="n"/>
      <c r="N661" s="8" t="n"/>
      <c r="O661" s="8" t="n"/>
      <c r="P661" s="8" t="n"/>
      <c r="Q661" s="7" t="inlineStr">
        <is>
          <t>SEM COTAÇÃO</t>
        </is>
      </c>
      <c r="R661" s="8" t="n"/>
      <c r="S661" s="14" t="n"/>
      <c r="T661" s="7" t="inlineStr"/>
      <c r="U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7" t="inlineStr">
        <is>
          <t>SEM COTAÇÃO</t>
        </is>
      </c>
      <c r="R662" s="8" t="n"/>
      <c r="S662" s="14" t="n"/>
      <c r="T662" s="7" t="inlineStr"/>
      <c r="U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7" t="inlineStr">
        <is>
          <t>SEM COTAÇÃO</t>
        </is>
      </c>
      <c r="R663" s="8" t="n"/>
      <c r="S663" s="14" t="n"/>
      <c r="T663" s="7" t="inlineStr"/>
      <c r="U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8" t="n"/>
      <c r="M664" s="8" t="n"/>
      <c r="N664" s="8" t="n"/>
      <c r="O664" s="8" t="n"/>
      <c r="P664" s="8" t="n"/>
      <c r="Q664" s="7" t="inlineStr">
        <is>
          <t>SEM COTAÇÃO</t>
        </is>
      </c>
      <c r="R664" s="8" t="n"/>
      <c r="S664" s="14" t="n"/>
      <c r="T664" s="7" t="inlineStr"/>
      <c r="U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8" t="n"/>
      <c r="M665" s="8" t="n"/>
      <c r="N665" s="8" t="n"/>
      <c r="O665" s="15" t="n">
        <v>19.469983</v>
      </c>
      <c r="P665" s="8" t="n"/>
      <c r="Q665" s="7" t="inlineStr">
        <is>
          <t>NAZARIA</t>
        </is>
      </c>
      <c r="R665" s="8" t="n">
        <v>19.469983</v>
      </c>
      <c r="S665" s="14">
        <f>R665/H665-1</f>
        <v/>
      </c>
      <c r="T665" s="16" t="inlineStr">
        <is>
          <t>ACIMA +209.5%</t>
        </is>
      </c>
      <c r="U665" s="7" t="inlineStr">
        <is>
          <t>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8" t="n"/>
      <c r="M666" s="8" t="n"/>
      <c r="N666" s="8" t="n"/>
      <c r="O666" s="8" t="n"/>
      <c r="P666" s="8" t="n"/>
      <c r="Q666" s="7" t="inlineStr">
        <is>
          <t>SEM COTAÇÃO</t>
        </is>
      </c>
      <c r="R666" s="8" t="n"/>
      <c r="S666" s="14" t="n"/>
      <c r="T666" s="7" t="inlineStr"/>
      <c r="U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8" t="n"/>
      <c r="M667" s="8" t="n"/>
      <c r="N667" s="8" t="n"/>
      <c r="O667" s="8" t="n">
        <v>91.27</v>
      </c>
      <c r="P667" s="8" t="n"/>
      <c r="Q667" s="7" t="inlineStr">
        <is>
          <t>SEM COTAÇÃO</t>
        </is>
      </c>
      <c r="R667" s="8" t="n"/>
      <c r="S667" s="14" t="n"/>
      <c r="T667" s="7" t="inlineStr"/>
      <c r="U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8" t="n"/>
      <c r="M668" s="8" t="n"/>
      <c r="N668" s="8" t="n"/>
      <c r="O668" s="15" t="n">
        <v>36.46</v>
      </c>
      <c r="P668" s="8" t="n"/>
      <c r="Q668" s="7" t="inlineStr">
        <is>
          <t>NAZARIA</t>
        </is>
      </c>
      <c r="R668" s="8" t="n">
        <v>36.46</v>
      </c>
      <c r="S668" s="14">
        <f>R668/H668-1</f>
        <v/>
      </c>
      <c r="T668" s="16" t="inlineStr">
        <is>
          <t>ACIMA +399.7%</t>
        </is>
      </c>
      <c r="U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8" t="n"/>
      <c r="M669" s="8" t="n"/>
      <c r="N669" s="8" t="n"/>
      <c r="O669" s="8" t="n"/>
      <c r="P669" s="8" t="n"/>
      <c r="Q669" s="7" t="inlineStr">
        <is>
          <t>SEM COTAÇÃO</t>
        </is>
      </c>
      <c r="R669" s="8" t="n"/>
      <c r="S669" s="14" t="n"/>
      <c r="T669" s="7" t="inlineStr"/>
      <c r="U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8" t="n"/>
      <c r="M670" s="8" t="n"/>
      <c r="N670" s="8" t="n"/>
      <c r="O670" s="8" t="n"/>
      <c r="P670" s="8" t="n"/>
      <c r="Q670" s="7" t="inlineStr">
        <is>
          <t>SEM COTAÇÃO</t>
        </is>
      </c>
      <c r="R670" s="8" t="n"/>
      <c r="S670" s="14" t="n"/>
      <c r="T670" s="7" t="inlineStr"/>
      <c r="U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15" t="n">
        <v>17.03</v>
      </c>
      <c r="M671" s="8" t="n"/>
      <c r="N671" s="8" t="n">
        <v>20.27</v>
      </c>
      <c r="O671" s="8" t="n">
        <v>20.688</v>
      </c>
      <c r="P671" s="8" t="n"/>
      <c r="Q671" s="7" t="inlineStr">
        <is>
          <t>EPAN</t>
        </is>
      </c>
      <c r="R671" s="8" t="n">
        <v>17.03</v>
      </c>
      <c r="S671" s="14">
        <f>R671/H671-1</f>
        <v/>
      </c>
      <c r="T671" s="17" t="inlineStr">
        <is>
          <t>OK (≤ últ. compra)</t>
        </is>
      </c>
      <c r="U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8" t="n"/>
      <c r="M672" s="8" t="n"/>
      <c r="N672" s="8" t="n"/>
      <c r="O672" s="8" t="n"/>
      <c r="P672" s="8" t="n"/>
      <c r="Q672" s="7" t="inlineStr">
        <is>
          <t>SEM COTAÇÃO</t>
        </is>
      </c>
      <c r="R672" s="8" t="n"/>
      <c r="S672" s="14" t="n"/>
      <c r="T672" s="7" t="inlineStr"/>
      <c r="U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8" t="n"/>
      <c r="M673" s="8" t="n"/>
      <c r="N673" s="8" t="n"/>
      <c r="O673" s="8" t="n"/>
      <c r="P673" s="8" t="n"/>
      <c r="Q673" s="7" t="inlineStr">
        <is>
          <t>SEM COTAÇÃO</t>
        </is>
      </c>
      <c r="R673" s="8" t="n"/>
      <c r="S673" s="14" t="n"/>
      <c r="T673" s="7" t="inlineStr"/>
      <c r="U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7" t="inlineStr">
        <is>
          <t>SEM COTAÇÃO</t>
        </is>
      </c>
      <c r="R674" s="8" t="n"/>
      <c r="S674" s="14" t="n"/>
      <c r="T674" s="7" t="inlineStr"/>
      <c r="U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8" t="n"/>
      <c r="M675" s="8" t="n"/>
      <c r="N675" s="8" t="n"/>
      <c r="O675" s="8" t="n"/>
      <c r="P675" s="8" t="n"/>
      <c r="Q675" s="7" t="inlineStr">
        <is>
          <t>SEM COTAÇÃO</t>
        </is>
      </c>
      <c r="R675" s="8" t="n"/>
      <c r="S675" s="14" t="n"/>
      <c r="T675" s="7" t="inlineStr"/>
      <c r="U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8" t="n"/>
      <c r="M676" s="8" t="n"/>
      <c r="N676" s="8" t="n"/>
      <c r="O676" s="15" t="n">
        <v>4.92</v>
      </c>
      <c r="P676" s="8" t="n"/>
      <c r="Q676" s="7" t="inlineStr">
        <is>
          <t>NAZARIA</t>
        </is>
      </c>
      <c r="R676" s="8" t="n">
        <v>4.92</v>
      </c>
      <c r="S676" s="14">
        <f>R676/H676-1</f>
        <v/>
      </c>
      <c r="T676" s="16" t="inlineStr">
        <is>
          <t>ACIMA +2.7%</t>
        </is>
      </c>
      <c r="U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8" t="n"/>
      <c r="M677" s="8" t="n"/>
      <c r="N677" s="8" t="n"/>
      <c r="O677" s="15" t="n">
        <v>4.92</v>
      </c>
      <c r="P677" s="8" t="n"/>
      <c r="Q677" s="7" t="inlineStr">
        <is>
          <t>NAZARIA</t>
        </is>
      </c>
      <c r="R677" s="8" t="n">
        <v>4.92</v>
      </c>
      <c r="S677" s="14">
        <f>R677/H677-1</f>
        <v/>
      </c>
      <c r="T677" s="16" t="inlineStr">
        <is>
          <t>ACIMA +1.0%</t>
        </is>
      </c>
      <c r="U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8" t="n"/>
      <c r="M678" s="8" t="n"/>
      <c r="N678" s="8" t="n"/>
      <c r="O678" s="15" t="n">
        <v>4.27</v>
      </c>
      <c r="P678" s="8" t="n"/>
      <c r="Q678" s="7" t="inlineStr">
        <is>
          <t>NAZARIA</t>
        </is>
      </c>
      <c r="R678" s="8" t="n">
        <v>4.27</v>
      </c>
      <c r="S678" s="14">
        <f>R678/H678-1</f>
        <v/>
      </c>
      <c r="T678" s="16" t="inlineStr">
        <is>
          <t>ACIMA +6.0%</t>
        </is>
      </c>
      <c r="U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8" t="n"/>
      <c r="M679" s="8" t="n"/>
      <c r="N679" s="8" t="n"/>
      <c r="O679" s="15" t="n">
        <v>2.57</v>
      </c>
      <c r="P679" s="8" t="n"/>
      <c r="Q679" s="7" t="inlineStr">
        <is>
          <t>NAZARIA</t>
        </is>
      </c>
      <c r="R679" s="8" t="n">
        <v>2.57</v>
      </c>
      <c r="S679" s="14">
        <f>R679/H679-1</f>
        <v/>
      </c>
      <c r="T679" s="16" t="inlineStr">
        <is>
          <t>ACIMA +1.6%</t>
        </is>
      </c>
      <c r="U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8" t="n"/>
      <c r="M680" s="8" t="n"/>
      <c r="N680" s="8" t="n"/>
      <c r="O680" s="15" t="n">
        <v>27.95</v>
      </c>
      <c r="P680" s="8" t="n"/>
      <c r="Q680" s="7" t="inlineStr">
        <is>
          <t>NAZARIA</t>
        </is>
      </c>
      <c r="R680" s="8" t="n">
        <v>27.95</v>
      </c>
      <c r="S680" s="14">
        <f>R680/H680-1</f>
        <v/>
      </c>
      <c r="T680" s="16" t="inlineStr">
        <is>
          <t>ACIMA +27.9%</t>
        </is>
      </c>
      <c r="U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8" t="n"/>
      <c r="M681" s="8" t="n"/>
      <c r="N681" s="8" t="n"/>
      <c r="O681" s="8" t="n"/>
      <c r="P681" s="8" t="n"/>
      <c r="Q681" s="7" t="inlineStr">
        <is>
          <t>SEM COTAÇÃO</t>
        </is>
      </c>
      <c r="R681" s="8" t="n"/>
      <c r="S681" s="14" t="n"/>
      <c r="T681" s="7" t="inlineStr"/>
      <c r="U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8" t="n"/>
      <c r="M682" s="8" t="n"/>
      <c r="N682" s="8" t="n"/>
      <c r="O682" s="8" t="n">
        <v>25.18</v>
      </c>
      <c r="P682" s="8" t="n"/>
      <c r="Q682" s="7" t="inlineStr">
        <is>
          <t>SEM COTAÇÃO</t>
        </is>
      </c>
      <c r="R682" s="8" t="n"/>
      <c r="S682" s="14" t="n"/>
      <c r="T682" s="7" t="inlineStr"/>
      <c r="U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8" t="n"/>
      <c r="M683" s="8" t="n"/>
      <c r="N683" s="8" t="n"/>
      <c r="O683" s="15" t="n">
        <v>25.18</v>
      </c>
      <c r="P683" s="8" t="n"/>
      <c r="Q683" s="7" t="inlineStr">
        <is>
          <t>NAZARIA</t>
        </is>
      </c>
      <c r="R683" s="8" t="n">
        <v>25.18</v>
      </c>
      <c r="S683" s="14">
        <f>R683/H683-1</f>
        <v/>
      </c>
      <c r="T683" s="16" t="inlineStr">
        <is>
          <t>ACIMA +105.8%</t>
        </is>
      </c>
      <c r="U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8" t="n"/>
      <c r="M684" s="8" t="n"/>
      <c r="N684" s="8" t="n"/>
      <c r="O684" s="8" t="n">
        <v>25.18</v>
      </c>
      <c r="P684" s="8" t="n"/>
      <c r="Q684" s="7" t="inlineStr">
        <is>
          <t>SEM COTAÇÃO</t>
        </is>
      </c>
      <c r="R684" s="8" t="n"/>
      <c r="S684" s="14" t="n"/>
      <c r="T684" s="7" t="inlineStr"/>
      <c r="U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8" t="n"/>
      <c r="M685" s="8" t="n"/>
      <c r="N685" s="8" t="n"/>
      <c r="O685" s="8" t="n"/>
      <c r="P685" s="8" t="n"/>
      <c r="Q685" s="7" t="inlineStr">
        <is>
          <t>SEM COTAÇÃO</t>
        </is>
      </c>
      <c r="R685" s="8" t="n"/>
      <c r="S685" s="14" t="n"/>
      <c r="T685" s="7" t="inlineStr"/>
      <c r="U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8" t="n"/>
      <c r="M686" s="8" t="n"/>
      <c r="N686" s="8" t="n"/>
      <c r="O686" s="8" t="n"/>
      <c r="P686" s="8" t="n"/>
      <c r="Q686" s="7" t="inlineStr">
        <is>
          <t>SEM COTAÇÃO</t>
        </is>
      </c>
      <c r="R686" s="8" t="n"/>
      <c r="S686" s="14" t="n"/>
      <c r="T686" s="7" t="inlineStr"/>
      <c r="U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8" t="n"/>
      <c r="M687" s="8" t="n"/>
      <c r="N687" s="8" t="n"/>
      <c r="O687" s="8" t="n"/>
      <c r="P687" s="8" t="n"/>
      <c r="Q687" s="7" t="inlineStr">
        <is>
          <t>SEM COTAÇÃO</t>
        </is>
      </c>
      <c r="R687" s="8" t="n"/>
      <c r="S687" s="14" t="n"/>
      <c r="T687" s="7" t="inlineStr"/>
      <c r="U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8" t="n"/>
      <c r="M688" s="8" t="n"/>
      <c r="N688" s="8" t="n"/>
      <c r="O688" s="8" t="n"/>
      <c r="P688" s="8" t="n"/>
      <c r="Q688" s="7" t="inlineStr">
        <is>
          <t>SEM COTAÇÃO</t>
        </is>
      </c>
      <c r="R688" s="8" t="n"/>
      <c r="S688" s="14" t="n"/>
      <c r="T688" s="7" t="inlineStr"/>
      <c r="U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8" t="n"/>
      <c r="M689" s="8" t="n"/>
      <c r="N689" s="8" t="n"/>
      <c r="O689" s="8" t="n"/>
      <c r="P689" s="8" t="n"/>
      <c r="Q689" s="7" t="inlineStr">
        <is>
          <t>SEM COTAÇÃO</t>
        </is>
      </c>
      <c r="R689" s="8" t="n"/>
      <c r="S689" s="14" t="n"/>
      <c r="T689" s="7" t="inlineStr"/>
      <c r="U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8" t="n"/>
      <c r="M690" s="8" t="n"/>
      <c r="N690" s="8" t="n"/>
      <c r="O690" s="8" t="n"/>
      <c r="P690" s="8" t="n"/>
      <c r="Q690" s="7" t="inlineStr">
        <is>
          <t>SEM COTAÇÃO</t>
        </is>
      </c>
      <c r="R690" s="8" t="n"/>
      <c r="S690" s="14" t="n"/>
      <c r="T690" s="7" t="inlineStr"/>
      <c r="U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8" t="n"/>
      <c r="M691" s="8" t="n"/>
      <c r="N691" s="8" t="n"/>
      <c r="O691" s="8" t="n"/>
      <c r="P691" s="8" t="n"/>
      <c r="Q691" s="7" t="inlineStr">
        <is>
          <t>SEM COTAÇÃO</t>
        </is>
      </c>
      <c r="R691" s="8" t="n"/>
      <c r="S691" s="14" t="n"/>
      <c r="T691" s="7" t="inlineStr"/>
      <c r="U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8" t="n"/>
      <c r="M692" s="8" t="n"/>
      <c r="N692" s="8" t="n"/>
      <c r="O692" s="8" t="n"/>
      <c r="P692" s="8" t="n"/>
      <c r="Q692" s="7" t="inlineStr">
        <is>
          <t>SEM COTAÇÃO</t>
        </is>
      </c>
      <c r="R692" s="8" t="n"/>
      <c r="S692" s="14" t="n"/>
      <c r="T692" s="7" t="inlineStr"/>
      <c r="U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8" t="n"/>
      <c r="M693" s="8" t="n"/>
      <c r="N693" s="8" t="n"/>
      <c r="O693" s="8" t="n"/>
      <c r="P693" s="8" t="n"/>
      <c r="Q693" s="7" t="inlineStr">
        <is>
          <t>SEM COTAÇÃO</t>
        </is>
      </c>
      <c r="R693" s="8" t="n"/>
      <c r="S693" s="14" t="n"/>
      <c r="T693" s="7" t="inlineStr"/>
      <c r="U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8" t="n"/>
      <c r="M694" s="8" t="n"/>
      <c r="N694" s="8" t="n"/>
      <c r="O694" s="8" t="n"/>
      <c r="P694" s="8" t="n"/>
      <c r="Q694" s="7" t="inlineStr">
        <is>
          <t>SEM COTAÇÃO</t>
        </is>
      </c>
      <c r="R694" s="8" t="n"/>
      <c r="S694" s="14" t="n"/>
      <c r="T694" s="7" t="inlineStr"/>
      <c r="U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8" t="n"/>
      <c r="M695" s="8" t="n"/>
      <c r="N695" s="8" t="n"/>
      <c r="O695" s="8" t="n"/>
      <c r="P695" s="8" t="n"/>
      <c r="Q695" s="7" t="inlineStr">
        <is>
          <t>SEM COTAÇÃO</t>
        </is>
      </c>
      <c r="R695" s="8" t="n"/>
      <c r="S695" s="14" t="n"/>
      <c r="T695" s="7" t="inlineStr"/>
      <c r="U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15" t="n">
        <v>12.03</v>
      </c>
      <c r="M696" s="8" t="n"/>
      <c r="N696" s="8" t="n"/>
      <c r="O696" s="8" t="n">
        <v>14.82</v>
      </c>
      <c r="P696" s="8" t="n"/>
      <c r="Q696" s="7" t="inlineStr">
        <is>
          <t>EPAN</t>
        </is>
      </c>
      <c r="R696" s="8" t="n">
        <v>12.03</v>
      </c>
      <c r="S696" s="14">
        <f>R696/H696-1</f>
        <v/>
      </c>
      <c r="T696" s="17" t="inlineStr">
        <is>
          <t>OK (≤ últ. compra)</t>
        </is>
      </c>
      <c r="U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8" t="n"/>
      <c r="M697" s="8" t="n"/>
      <c r="N697" s="8" t="n"/>
      <c r="O697" s="8" t="n"/>
      <c r="P697" s="8" t="n"/>
      <c r="Q697" s="7" t="inlineStr">
        <is>
          <t>SEM COTAÇÃO</t>
        </is>
      </c>
      <c r="R697" s="8" t="n"/>
      <c r="S697" s="14" t="n"/>
      <c r="T697" s="7" t="inlineStr"/>
      <c r="U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8" t="n"/>
      <c r="M698" s="8" t="n">
        <v>9.890000000000001</v>
      </c>
      <c r="N698" s="8" t="n"/>
      <c r="O698" s="8" t="n">
        <v>56.47</v>
      </c>
      <c r="P698" s="8" t="n">
        <v>10.1</v>
      </c>
      <c r="Q698" s="7" t="inlineStr">
        <is>
          <t>DIMEC</t>
        </is>
      </c>
      <c r="R698" s="8" t="n">
        <v>9.789999999999999</v>
      </c>
      <c r="S698" s="14">
        <f>R698/H698-1</f>
        <v/>
      </c>
      <c r="T698" s="16" t="inlineStr">
        <is>
          <t>ACIMA +4.1%</t>
        </is>
      </c>
      <c r="U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8" t="n"/>
      <c r="M699" s="8" t="n"/>
      <c r="N699" s="8" t="n"/>
      <c r="O699" s="8" t="n"/>
      <c r="P699" s="8" t="n"/>
      <c r="Q699" s="7" t="inlineStr">
        <is>
          <t>SEM COTAÇÃO</t>
        </is>
      </c>
      <c r="R699" s="8" t="n"/>
      <c r="S699" s="14" t="n"/>
      <c r="T699" s="7" t="inlineStr"/>
      <c r="U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8" t="n"/>
      <c r="M700" s="8" t="n"/>
      <c r="N700" s="15" t="n">
        <v>5.12</v>
      </c>
      <c r="O700" s="8" t="n">
        <v>6.35</v>
      </c>
      <c r="P700" s="8" t="n">
        <v>5.83</v>
      </c>
      <c r="Q700" s="7" t="inlineStr">
        <is>
          <t>TAPAJOS</t>
        </is>
      </c>
      <c r="R700" s="8" t="n">
        <v>5.12</v>
      </c>
      <c r="S700" s="14">
        <f>R700/H700-1</f>
        <v/>
      </c>
      <c r="T700" s="16" t="inlineStr">
        <is>
          <t>ACIMA +155.7%</t>
        </is>
      </c>
      <c r="U700" s="7" t="inlineStr">
        <is>
          <t>TAPAJOS: conferir emb.; NAZARIA: sem estoque; conferir emb.; MEDCENTRO: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8" t="n"/>
      <c r="M701" s="8" t="n"/>
      <c r="N701" s="8" t="n"/>
      <c r="O701" s="8" t="n"/>
      <c r="P701" s="8" t="n"/>
      <c r="Q701" s="7" t="inlineStr">
        <is>
          <t>SEM COTAÇÃO</t>
        </is>
      </c>
      <c r="R701" s="8" t="n"/>
      <c r="S701" s="14" t="n"/>
      <c r="T701" s="7" t="inlineStr"/>
      <c r="U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8" t="n"/>
      <c r="M702" s="8" t="n"/>
      <c r="N702" s="8" t="n"/>
      <c r="O702" s="8" t="n"/>
      <c r="P702" s="15" t="n">
        <v>15.48</v>
      </c>
      <c r="Q702" s="7" t="inlineStr">
        <is>
          <t>MEDCENTRO</t>
        </is>
      </c>
      <c r="R702" s="8" t="n">
        <v>15.48</v>
      </c>
      <c r="S702" s="14">
        <f>R702/H702-1</f>
        <v/>
      </c>
      <c r="T702" s="17" t="inlineStr">
        <is>
          <t>OK (≤ menor hist.)</t>
        </is>
      </c>
      <c r="U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8" t="n"/>
      <c r="M703" s="15" t="n">
        <v>36.84</v>
      </c>
      <c r="N703" s="8" t="n"/>
      <c r="O703" s="8" t="n"/>
      <c r="P703" s="8" t="n"/>
      <c r="Q703" s="7" t="inlineStr">
        <is>
          <t>CENTROFARMA</t>
        </is>
      </c>
      <c r="R703" s="8" t="n">
        <v>36.84</v>
      </c>
      <c r="S703" s="14">
        <f>R703/H703-1</f>
        <v/>
      </c>
      <c r="T703" s="17" t="inlineStr">
        <is>
          <t>OK (≤ menor hist.)</t>
        </is>
      </c>
      <c r="U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8" t="n"/>
      <c r="M704" s="15" t="n">
        <v>27.11</v>
      </c>
      <c r="N704" s="8" t="n"/>
      <c r="O704" s="8" t="n"/>
      <c r="P704" s="8" t="n"/>
      <c r="Q704" s="7" t="inlineStr">
        <is>
          <t>CENTROFARMA</t>
        </is>
      </c>
      <c r="R704" s="8" t="n">
        <v>27.11</v>
      </c>
      <c r="S704" s="14">
        <f>R704/H704-1</f>
        <v/>
      </c>
      <c r="T704" s="16" t="inlineStr">
        <is>
          <t>ACIMA +11.3%</t>
        </is>
      </c>
      <c r="U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8" t="n"/>
      <c r="M705" s="8" t="n"/>
      <c r="N705" s="8" t="n"/>
      <c r="O705" s="8" t="n"/>
      <c r="P705" s="8" t="n"/>
      <c r="Q705" s="7" t="inlineStr">
        <is>
          <t>DIMEC</t>
        </is>
      </c>
      <c r="R705" s="8" t="n">
        <v>28.48981</v>
      </c>
      <c r="S705" s="14">
        <f>R705/H705-1</f>
        <v/>
      </c>
      <c r="T705" s="16" t="inlineStr">
        <is>
          <t>ACIMA +6.1%</t>
        </is>
      </c>
      <c r="U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7" t="inlineStr">
        <is>
          <t>SEM COTAÇÃO</t>
        </is>
      </c>
      <c r="R706" s="8" t="n"/>
      <c r="S706" s="14" t="n"/>
      <c r="T706" s="7" t="inlineStr"/>
      <c r="U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7" t="inlineStr">
        <is>
          <t>SEM COTAÇÃO</t>
        </is>
      </c>
      <c r="R707" s="8" t="n"/>
      <c r="S707" s="14" t="n"/>
      <c r="T707" s="7" t="inlineStr"/>
      <c r="U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7" t="inlineStr">
        <is>
          <t>SEM COTAÇÃO</t>
        </is>
      </c>
      <c r="R708" s="8" t="n"/>
      <c r="S708" s="14" t="n"/>
      <c r="T708" s="7" t="inlineStr"/>
      <c r="U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7" t="inlineStr">
        <is>
          <t>SEM COTAÇÃO</t>
        </is>
      </c>
      <c r="R709" s="8" t="n"/>
      <c r="S709" s="14" t="n"/>
      <c r="T709" s="7" t="inlineStr"/>
      <c r="U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7" t="inlineStr">
        <is>
          <t>SEM COTAÇÃO</t>
        </is>
      </c>
      <c r="R710" s="8" t="n"/>
      <c r="S710" s="14" t="n"/>
      <c r="T710" s="7" t="inlineStr"/>
      <c r="U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7" t="inlineStr">
        <is>
          <t>SEM COTAÇÃO</t>
        </is>
      </c>
      <c r="R711" s="8" t="n"/>
      <c r="S711" s="14" t="n"/>
      <c r="T711" s="7" t="inlineStr"/>
      <c r="U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8" t="n"/>
      <c r="M712" s="8" t="n"/>
      <c r="N712" s="8" t="n"/>
      <c r="O712" s="8" t="n"/>
      <c r="P712" s="8" t="n"/>
      <c r="Q712" s="7" t="inlineStr">
        <is>
          <t>SEM COTAÇÃO</t>
        </is>
      </c>
      <c r="R712" s="8" t="n"/>
      <c r="S712" s="14" t="n"/>
      <c r="T712" s="7" t="inlineStr"/>
      <c r="U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8" t="n"/>
      <c r="M713" s="8" t="n"/>
      <c r="N713" s="8" t="n"/>
      <c r="O713" s="8" t="n"/>
      <c r="P713" s="8" t="n"/>
      <c r="Q713" s="7" t="inlineStr">
        <is>
          <t>SEM COTAÇÃO</t>
        </is>
      </c>
      <c r="R713" s="8" t="n"/>
      <c r="S713" s="14" t="n"/>
      <c r="T713" s="7" t="inlineStr"/>
      <c r="U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8" t="n"/>
      <c r="M714" s="8" t="n"/>
      <c r="N714" s="8" t="n"/>
      <c r="O714" s="8" t="n"/>
      <c r="P714" s="8" t="n"/>
      <c r="Q714" s="7" t="inlineStr">
        <is>
          <t>SEM COTAÇÃO</t>
        </is>
      </c>
      <c r="R714" s="8" t="n"/>
      <c r="S714" s="14" t="n"/>
      <c r="T714" s="7" t="inlineStr"/>
      <c r="U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8" t="n"/>
      <c r="M715" s="8" t="n"/>
      <c r="N715" s="8" t="n"/>
      <c r="O715" s="8" t="n">
        <v>11.1264</v>
      </c>
      <c r="P715" s="8" t="n"/>
      <c r="Q715" s="7" t="inlineStr">
        <is>
          <t>SEM COTAÇÃO</t>
        </is>
      </c>
      <c r="R715" s="8" t="n"/>
      <c r="S715" s="14" t="n"/>
      <c r="T715" s="7" t="inlineStr"/>
      <c r="U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8" t="n"/>
      <c r="M716" s="8" t="n"/>
      <c r="N716" s="8" t="n"/>
      <c r="O716" s="15" t="n">
        <v>24.14</v>
      </c>
      <c r="P716" s="8" t="n"/>
      <c r="Q716" s="7" t="inlineStr">
        <is>
          <t>NAZARIA</t>
        </is>
      </c>
      <c r="R716" s="8" t="n">
        <v>24.14</v>
      </c>
      <c r="S716" s="14">
        <f>R716/H716-1</f>
        <v/>
      </c>
      <c r="T716" s="16" t="inlineStr">
        <is>
          <t>ACIMA +27.9%</t>
        </is>
      </c>
      <c r="U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8" t="n"/>
      <c r="M717" s="8" t="n"/>
      <c r="N717" s="8" t="n"/>
      <c r="O717" s="8" t="n"/>
      <c r="P717" s="8" t="n"/>
      <c r="Q717" s="7" t="inlineStr">
        <is>
          <t>SEM COTAÇÃO</t>
        </is>
      </c>
      <c r="R717" s="8" t="n"/>
      <c r="S717" s="14" t="n"/>
      <c r="T717" s="7" t="inlineStr"/>
      <c r="U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8" t="n"/>
      <c r="M718" s="8" t="n"/>
      <c r="N718" s="8" t="n"/>
      <c r="O718" s="8" t="n"/>
      <c r="P718" s="8" t="n"/>
      <c r="Q718" s="7" t="inlineStr">
        <is>
          <t>SEM COTAÇÃO</t>
        </is>
      </c>
      <c r="R718" s="8" t="n"/>
      <c r="S718" s="14" t="n"/>
      <c r="T718" s="7" t="inlineStr"/>
      <c r="U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8" t="n"/>
      <c r="M719" s="8" t="n"/>
      <c r="N719" s="8" t="n"/>
      <c r="O719" s="8" t="n"/>
      <c r="P719" s="8" t="n"/>
      <c r="Q719" s="7" t="inlineStr">
        <is>
          <t>SEM COTAÇÃO</t>
        </is>
      </c>
      <c r="R719" s="8" t="n"/>
      <c r="S719" s="14" t="n"/>
      <c r="T719" s="7" t="inlineStr"/>
      <c r="U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8" t="n"/>
      <c r="M720" s="8" t="n"/>
      <c r="N720" s="8" t="n"/>
      <c r="O720" s="8" t="n"/>
      <c r="P720" s="8" t="n"/>
      <c r="Q720" s="7" t="inlineStr">
        <is>
          <t>SEM COTAÇÃO</t>
        </is>
      </c>
      <c r="R720" s="8" t="n"/>
      <c r="S720" s="14" t="n"/>
      <c r="T720" s="7" t="inlineStr"/>
      <c r="U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8" t="n"/>
      <c r="M721" s="8" t="n"/>
      <c r="N721" s="8" t="n"/>
      <c r="O721" s="8" t="n"/>
      <c r="P721" s="8" t="n"/>
      <c r="Q721" s="7" t="inlineStr">
        <is>
          <t>SEM COTAÇÃO</t>
        </is>
      </c>
      <c r="R721" s="8" t="n"/>
      <c r="S721" s="14" t="n"/>
      <c r="T721" s="7" t="inlineStr"/>
      <c r="U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8" t="n"/>
      <c r="M722" s="8" t="n"/>
      <c r="N722" s="8" t="n"/>
      <c r="O722" s="8" t="n"/>
      <c r="P722" s="8" t="n"/>
      <c r="Q722" s="7" t="inlineStr">
        <is>
          <t>SEM COTAÇÃO</t>
        </is>
      </c>
      <c r="R722" s="8" t="n"/>
      <c r="S722" s="14" t="n"/>
      <c r="T722" s="7" t="inlineStr"/>
      <c r="U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8" t="n"/>
      <c r="M723" s="8" t="n"/>
      <c r="N723" s="8" t="n"/>
      <c r="O723" s="8" t="n"/>
      <c r="P723" s="8" t="n"/>
      <c r="Q723" s="7" t="inlineStr">
        <is>
          <t>SEM COTAÇÃO</t>
        </is>
      </c>
      <c r="R723" s="8" t="n"/>
      <c r="S723" s="14" t="n"/>
      <c r="T723" s="7" t="inlineStr"/>
      <c r="U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8" t="n"/>
      <c r="M724" s="8" t="n"/>
      <c r="N724" s="8" t="n"/>
      <c r="O724" s="8" t="n"/>
      <c r="P724" s="8" t="n"/>
      <c r="Q724" s="7" t="inlineStr">
        <is>
          <t>SEM COTAÇÃO</t>
        </is>
      </c>
      <c r="R724" s="8" t="n"/>
      <c r="S724" s="14" t="n"/>
      <c r="T724" s="7" t="inlineStr"/>
      <c r="U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8" t="n">
        <v>78.95999999999999</v>
      </c>
      <c r="M725" s="8" t="n"/>
      <c r="N725" s="8" t="n"/>
      <c r="O725" s="15" t="n">
        <v>114.54</v>
      </c>
      <c r="P725" s="8" t="n"/>
      <c r="Q725" s="7" t="inlineStr">
        <is>
          <t>NAZARIA</t>
        </is>
      </c>
      <c r="R725" s="8" t="n">
        <v>114.54</v>
      </c>
      <c r="S725" s="14">
        <f>R725/H725-1</f>
        <v/>
      </c>
      <c r="T725" s="16" t="inlineStr">
        <is>
          <t>ACIMA +31.2%</t>
        </is>
      </c>
      <c r="U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8" t="n"/>
      <c r="M726" s="8" t="n"/>
      <c r="N726" s="8" t="n"/>
      <c r="O726" s="15" t="n">
        <v>113.43</v>
      </c>
      <c r="P726" s="8" t="n"/>
      <c r="Q726" s="7" t="inlineStr">
        <is>
          <t>NAZARIA</t>
        </is>
      </c>
      <c r="R726" s="8" t="n">
        <v>113.43</v>
      </c>
      <c r="S726" s="14">
        <f>R726/H726-1</f>
        <v/>
      </c>
      <c r="T726" s="16" t="inlineStr">
        <is>
          <t>ACIMA +21.5%</t>
        </is>
      </c>
      <c r="U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8" t="n">
        <v>35.88</v>
      </c>
      <c r="M727" s="8" t="n"/>
      <c r="N727" s="8" t="n"/>
      <c r="O727" s="8" t="n">
        <v>45.77</v>
      </c>
      <c r="P727" s="8" t="n"/>
      <c r="Q727" s="7" t="inlineStr">
        <is>
          <t>SEM COTAÇÃO</t>
        </is>
      </c>
      <c r="R727" s="8" t="n"/>
      <c r="S727" s="14" t="n"/>
      <c r="T727" s="7" t="inlineStr"/>
      <c r="U727" s="7" t="inlineStr">
        <is>
          <t>EPAN: sem estoque; 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8" t="n">
        <v>69.48</v>
      </c>
      <c r="M728" s="8" t="n"/>
      <c r="N728" s="8" t="n"/>
      <c r="O728" s="15" t="n">
        <v>87.98</v>
      </c>
      <c r="P728" s="8" t="n"/>
      <c r="Q728" s="7" t="inlineStr">
        <is>
          <t>NAZARIA</t>
        </is>
      </c>
      <c r="R728" s="8" t="n">
        <v>87.98</v>
      </c>
      <c r="S728" s="14">
        <f>R728/H728-1</f>
        <v/>
      </c>
      <c r="T728" s="16" t="inlineStr">
        <is>
          <t>ACIMA +11.4%</t>
        </is>
      </c>
      <c r="U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8" t="n"/>
      <c r="M729" s="8" t="n"/>
      <c r="N729" s="8" t="n"/>
      <c r="O729" s="15" t="n">
        <v>113.43</v>
      </c>
      <c r="P729" s="8" t="n"/>
      <c r="Q729" s="7" t="inlineStr">
        <is>
          <t>NAZARIA</t>
        </is>
      </c>
      <c r="R729" s="8" t="n">
        <v>113.43</v>
      </c>
      <c r="S729" s="14">
        <f>R729/H729-1</f>
        <v/>
      </c>
      <c r="T729" s="16" t="inlineStr">
        <is>
          <t>ACIMA +9.4%</t>
        </is>
      </c>
      <c r="U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15" t="n">
        <v>53.04</v>
      </c>
      <c r="M730" s="8" t="n"/>
      <c r="N730" s="8" t="n"/>
      <c r="O730" s="8" t="n">
        <v>75.05</v>
      </c>
      <c r="P730" s="8" t="n"/>
      <c r="Q730" s="7" t="inlineStr">
        <is>
          <t>EPAN</t>
        </is>
      </c>
      <c r="R730" s="8" t="n">
        <v>53.04</v>
      </c>
      <c r="S730" s="14">
        <f>R730/H730-1</f>
        <v/>
      </c>
      <c r="T730" s="17" t="inlineStr">
        <is>
          <t>OK (≤ menor hist.)</t>
        </is>
      </c>
      <c r="U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15" t="n">
        <v>37.81</v>
      </c>
      <c r="M731" s="8" t="n"/>
      <c r="N731" s="8" t="n"/>
      <c r="O731" s="8" t="n">
        <v>45.5221</v>
      </c>
      <c r="P731" s="8" t="n"/>
      <c r="Q731" s="7" t="inlineStr">
        <is>
          <t>EPAN</t>
        </is>
      </c>
      <c r="R731" s="8" t="n">
        <v>37.81</v>
      </c>
      <c r="S731" s="14">
        <f>R731/H731-1</f>
        <v/>
      </c>
      <c r="T731" s="17" t="inlineStr">
        <is>
          <t>OK (≤ últ. compra)</t>
        </is>
      </c>
      <c r="U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8" t="n"/>
      <c r="M732" s="8" t="n"/>
      <c r="N732" s="8" t="n"/>
      <c r="O732" s="8" t="n"/>
      <c r="P732" s="8" t="n"/>
      <c r="Q732" s="7" t="inlineStr">
        <is>
          <t>SEM COTAÇÃO</t>
        </is>
      </c>
      <c r="R732" s="8" t="n"/>
      <c r="S732" s="14" t="n"/>
      <c r="T732" s="7" t="inlineStr"/>
      <c r="U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8" t="n"/>
      <c r="M733" s="8" t="n"/>
      <c r="N733" s="8" t="n"/>
      <c r="O733" s="8" t="n"/>
      <c r="P733" s="8" t="n"/>
      <c r="Q733" s="7" t="inlineStr">
        <is>
          <t>SEM COTAÇÃO</t>
        </is>
      </c>
      <c r="R733" s="8" t="n"/>
      <c r="S733" s="14" t="n"/>
      <c r="T733" s="7" t="inlineStr"/>
      <c r="U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8" t="n">
        <v>22.54</v>
      </c>
      <c r="M734" s="8" t="n"/>
      <c r="N734" s="15" t="n">
        <v>21.23</v>
      </c>
      <c r="O734" s="8" t="n">
        <v>21.6864</v>
      </c>
      <c r="P734" s="8" t="n"/>
      <c r="Q734" s="7" t="inlineStr">
        <is>
          <t>TAPAJOS</t>
        </is>
      </c>
      <c r="R734" s="8" t="n">
        <v>21.23</v>
      </c>
      <c r="S734" s="14">
        <f>R734/H734-1</f>
        <v/>
      </c>
      <c r="T734" s="17" t="inlineStr">
        <is>
          <t>OK (≤ últ. compra)</t>
        </is>
      </c>
      <c r="U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15" t="n">
        <v>86.76000000000001</v>
      </c>
      <c r="M735" s="8" t="n"/>
      <c r="N735" s="8" t="n"/>
      <c r="O735" s="8" t="n">
        <v>113.9</v>
      </c>
      <c r="P735" s="8" t="n"/>
      <c r="Q735" s="7" t="inlineStr">
        <is>
          <t>EPAN</t>
        </is>
      </c>
      <c r="R735" s="8" t="n">
        <v>86.76000000000001</v>
      </c>
      <c r="S735" s="14">
        <f>R735/H735-1</f>
        <v/>
      </c>
      <c r="T735" s="17" t="inlineStr">
        <is>
          <t>OK (≤ últ. compra)</t>
        </is>
      </c>
      <c r="U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15" t="n">
        <v>85.77</v>
      </c>
      <c r="M736" s="8" t="n"/>
      <c r="N736" s="8" t="n"/>
      <c r="O736" s="8" t="n">
        <v>113.9</v>
      </c>
      <c r="P736" s="8" t="n"/>
      <c r="Q736" s="7" t="inlineStr">
        <is>
          <t>EPAN</t>
        </is>
      </c>
      <c r="R736" s="8" t="n">
        <v>85.77</v>
      </c>
      <c r="S736" s="14">
        <f>R736/H736-1</f>
        <v/>
      </c>
      <c r="T736" s="17" t="inlineStr">
        <is>
          <t>OK (≤ menor hist.)</t>
        </is>
      </c>
      <c r="U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15" t="n">
        <v>8.76</v>
      </c>
      <c r="K737" s="8" t="n"/>
      <c r="L737" s="8" t="n"/>
      <c r="M737" s="8" t="n">
        <v>8.880000000000001</v>
      </c>
      <c r="N737" s="8" t="n">
        <v>9.109999999999999</v>
      </c>
      <c r="O737" s="8" t="n"/>
      <c r="P737" s="8" t="n"/>
      <c r="Q737" s="7" t="inlineStr">
        <is>
          <t>DIMEC</t>
        </is>
      </c>
      <c r="R737" s="8" t="n">
        <v>8.76</v>
      </c>
      <c r="S737" s="14">
        <f>R737/H737-1</f>
        <v/>
      </c>
      <c r="T737" s="16" t="inlineStr">
        <is>
          <t>ACIMA +9.5%</t>
        </is>
      </c>
      <c r="U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8" t="n"/>
      <c r="M738" s="8" t="n"/>
      <c r="N738" s="8" t="n"/>
      <c r="O738" s="8" t="n"/>
      <c r="P738" s="8" t="n"/>
      <c r="Q738" s="7" t="inlineStr">
        <is>
          <t>SEM COTAÇÃO</t>
        </is>
      </c>
      <c r="R738" s="8" t="n"/>
      <c r="S738" s="14" t="n"/>
      <c r="T738" s="7" t="inlineStr"/>
      <c r="U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8" t="n"/>
      <c r="M739" s="8" t="n"/>
      <c r="N739" s="8" t="n"/>
      <c r="O739" s="8" t="n"/>
      <c r="P739" s="8" t="n"/>
      <c r="Q739" s="7" t="inlineStr">
        <is>
          <t>SEM COTAÇÃO</t>
        </is>
      </c>
      <c r="R739" s="8" t="n"/>
      <c r="S739" s="14" t="n"/>
      <c r="T739" s="7" t="inlineStr"/>
      <c r="U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15" t="n">
        <v>4.28</v>
      </c>
      <c r="K740" s="8" t="n"/>
      <c r="L740" s="8" t="n"/>
      <c r="M740" s="8" t="n">
        <v>4.42</v>
      </c>
      <c r="N740" s="8" t="n"/>
      <c r="O740" s="8" t="n"/>
      <c r="P740" s="8" t="n"/>
      <c r="Q740" s="7" t="inlineStr">
        <is>
          <t>DIMEC</t>
        </is>
      </c>
      <c r="R740" s="8" t="n">
        <v>4.28</v>
      </c>
      <c r="S740" s="14">
        <f>R740/H740-1</f>
        <v/>
      </c>
      <c r="T740" s="16" t="inlineStr">
        <is>
          <t>ACIMA +4.4%</t>
        </is>
      </c>
      <c r="U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15" t="n">
        <v>6.16</v>
      </c>
      <c r="K741" s="8" t="n"/>
      <c r="L741" s="8" t="n"/>
      <c r="M741" s="8" t="n">
        <v>6.24</v>
      </c>
      <c r="N741" s="8" t="n"/>
      <c r="O741" s="8" t="n"/>
      <c r="P741" s="8" t="n">
        <v>6.67</v>
      </c>
      <c r="Q741" s="7" t="inlineStr">
        <is>
          <t>DIMEC</t>
        </is>
      </c>
      <c r="R741" s="8" t="n">
        <v>6.16</v>
      </c>
      <c r="S741" s="14">
        <f>R741/H741-1</f>
        <v/>
      </c>
      <c r="T741" s="16" t="inlineStr">
        <is>
          <t>ACIMA +28.1%</t>
        </is>
      </c>
      <c r="U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8" t="n"/>
      <c r="M742" s="8" t="n"/>
      <c r="N742" s="8" t="n"/>
      <c r="O742" s="15" t="n">
        <v>22.49</v>
      </c>
      <c r="P742" s="8" t="n"/>
      <c r="Q742" s="7" t="inlineStr">
        <is>
          <t>NAZARIA</t>
        </is>
      </c>
      <c r="R742" s="8" t="n">
        <v>22.49</v>
      </c>
      <c r="S742" s="14">
        <f>R742/H742-1</f>
        <v/>
      </c>
      <c r="T742" s="16" t="inlineStr">
        <is>
          <t>ACIMA +390.0%</t>
        </is>
      </c>
      <c r="U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8" t="n"/>
      <c r="M743" s="8" t="n"/>
      <c r="N743" s="8" t="n"/>
      <c r="O743" s="8" t="n">
        <v>35.21</v>
      </c>
      <c r="P743" s="8" t="n"/>
      <c r="Q743" s="7" t="inlineStr">
        <is>
          <t>DIMEC</t>
        </is>
      </c>
      <c r="R743" s="8" t="n">
        <v>22.49</v>
      </c>
      <c r="S743" s="14">
        <f>R743/H743-1</f>
        <v/>
      </c>
      <c r="T743" s="16" t="inlineStr">
        <is>
          <t>ACIMA +11.7%</t>
        </is>
      </c>
      <c r="U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8" t="n"/>
      <c r="M744" s="8" t="n"/>
      <c r="N744" s="8" t="n"/>
      <c r="O744" s="8" t="n">
        <v>31.869032</v>
      </c>
      <c r="P744" s="8" t="n"/>
      <c r="Q744" s="7" t="inlineStr">
        <is>
          <t>DIMEC</t>
        </is>
      </c>
      <c r="R744" s="8" t="n">
        <v>5.99</v>
      </c>
      <c r="S744" s="14">
        <f>R744/H744-1</f>
        <v/>
      </c>
      <c r="T744" s="16" t="inlineStr">
        <is>
          <t>ACIMA +16.7%</t>
        </is>
      </c>
      <c r="U744" s="7" t="inlineStr">
        <is>
          <t>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8" t="n"/>
      <c r="M745" s="8" t="n"/>
      <c r="N745" s="8" t="n"/>
      <c r="O745" s="8" t="n">
        <v>14.33695</v>
      </c>
      <c r="P745" s="8" t="n"/>
      <c r="Q745" s="7" t="inlineStr">
        <is>
          <t>DIMEC</t>
        </is>
      </c>
      <c r="R745" s="8" t="n">
        <v>10.49</v>
      </c>
      <c r="S745" s="14">
        <f>R745/H745-1</f>
        <v/>
      </c>
      <c r="T745" s="16" t="inlineStr">
        <is>
          <t>ACIMA +22.4%</t>
        </is>
      </c>
      <c r="U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8" t="n"/>
      <c r="M746" s="8" t="n"/>
      <c r="N746" s="8" t="n">
        <v>14.95</v>
      </c>
      <c r="O746" s="8" t="n"/>
      <c r="P746" s="15" t="n">
        <v>12.97</v>
      </c>
      <c r="Q746" s="7" t="inlineStr">
        <is>
          <t>MEDCENTRO</t>
        </is>
      </c>
      <c r="R746" s="8" t="n">
        <v>12.97</v>
      </c>
      <c r="S746" s="14">
        <f>R746/H746-1</f>
        <v/>
      </c>
      <c r="T746" s="17" t="inlineStr">
        <is>
          <t>OK (≤ menor hist.)</t>
        </is>
      </c>
      <c r="U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8" t="n"/>
      <c r="M747" s="8" t="n"/>
      <c r="N747" s="8" t="n"/>
      <c r="O747" s="8" t="n"/>
      <c r="P747" s="8" t="n"/>
      <c r="Q747" s="7" t="inlineStr">
        <is>
          <t>SEM COTAÇÃO</t>
        </is>
      </c>
      <c r="R747" s="8" t="n"/>
      <c r="S747" s="14" t="n"/>
      <c r="T747" s="7" t="inlineStr"/>
      <c r="U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8" t="n"/>
      <c r="M748" s="8" t="n"/>
      <c r="N748" s="8" t="n"/>
      <c r="O748" s="8" t="n"/>
      <c r="P748" s="8" t="n"/>
      <c r="Q748" s="7" t="inlineStr">
        <is>
          <t>SEM COTAÇÃO</t>
        </is>
      </c>
      <c r="R748" s="8" t="n"/>
      <c r="S748" s="14" t="n"/>
      <c r="T748" s="7" t="inlineStr"/>
      <c r="U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8" t="n"/>
      <c r="M749" s="8" t="n"/>
      <c r="N749" s="8" t="n"/>
      <c r="O749" s="8" t="n"/>
      <c r="P749" s="8" t="n"/>
      <c r="Q749" s="7" t="inlineStr">
        <is>
          <t>SEM COTAÇÃO</t>
        </is>
      </c>
      <c r="R749" s="8" t="n"/>
      <c r="S749" s="14" t="n"/>
      <c r="T749" s="7" t="inlineStr"/>
      <c r="U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8" t="n"/>
      <c r="M750" s="8" t="n"/>
      <c r="N750" s="8" t="n"/>
      <c r="O750" s="8" t="n"/>
      <c r="P750" s="8" t="n"/>
      <c r="Q750" s="7" t="inlineStr">
        <is>
          <t>SEM COTAÇÃO</t>
        </is>
      </c>
      <c r="R750" s="8" t="n"/>
      <c r="S750" s="14" t="n"/>
      <c r="T750" s="7" t="inlineStr"/>
      <c r="U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8" t="n"/>
      <c r="M751" s="8" t="n"/>
      <c r="N751" s="8" t="n"/>
      <c r="O751" s="8" t="n"/>
      <c r="P751" s="8" t="n"/>
      <c r="Q751" s="7" t="inlineStr">
        <is>
          <t>SEM COTAÇÃO</t>
        </is>
      </c>
      <c r="R751" s="8" t="n"/>
      <c r="S751" s="14" t="n"/>
      <c r="T751" s="7" t="inlineStr"/>
      <c r="U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8" t="n"/>
      <c r="M752" s="8" t="n"/>
      <c r="N752" s="8" t="n"/>
      <c r="O752" s="8" t="n"/>
      <c r="P752" s="8" t="n"/>
      <c r="Q752" s="7" t="inlineStr">
        <is>
          <t>SEM COTAÇÃO</t>
        </is>
      </c>
      <c r="R752" s="8" t="n"/>
      <c r="S752" s="14" t="n"/>
      <c r="T752" s="7" t="inlineStr"/>
      <c r="U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8" t="n"/>
      <c r="M753" s="8" t="n"/>
      <c r="N753" s="8" t="n"/>
      <c r="O753" s="8" t="n"/>
      <c r="P753" s="8" t="n"/>
      <c r="Q753" s="7" t="inlineStr">
        <is>
          <t>SEM COTAÇÃO</t>
        </is>
      </c>
      <c r="R753" s="8" t="n"/>
      <c r="S753" s="14" t="n"/>
      <c r="T753" s="7" t="inlineStr"/>
      <c r="U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8" t="n"/>
      <c r="M754" s="8" t="n"/>
      <c r="N754" s="8" t="n"/>
      <c r="O754" s="8" t="n"/>
      <c r="P754" s="8" t="n"/>
      <c r="Q754" s="7" t="inlineStr">
        <is>
          <t>SEM COTAÇÃO</t>
        </is>
      </c>
      <c r="R754" s="8" t="n"/>
      <c r="S754" s="14" t="n"/>
      <c r="T754" s="7" t="inlineStr"/>
      <c r="U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8" t="n"/>
      <c r="M755" s="8" t="n"/>
      <c r="N755" s="8" t="n"/>
      <c r="O755" s="8" t="n"/>
      <c r="P755" s="8" t="n"/>
      <c r="Q755" s="7" t="inlineStr">
        <is>
          <t>SEM COTAÇÃO</t>
        </is>
      </c>
      <c r="R755" s="8" t="n"/>
      <c r="S755" s="14" t="n"/>
      <c r="T755" s="7" t="inlineStr"/>
      <c r="U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8" t="n"/>
      <c r="M756" s="8" t="n"/>
      <c r="N756" s="8" t="n"/>
      <c r="O756" s="8" t="n"/>
      <c r="P756" s="8" t="n"/>
      <c r="Q756" s="7" t="inlineStr">
        <is>
          <t>SEM COTAÇÃO</t>
        </is>
      </c>
      <c r="R756" s="8" t="n"/>
      <c r="S756" s="14" t="n"/>
      <c r="T756" s="7" t="inlineStr"/>
      <c r="U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8" t="n"/>
      <c r="M757" s="8" t="n"/>
      <c r="N757" s="8" t="n"/>
      <c r="O757" s="8" t="n"/>
      <c r="P757" s="8" t="n"/>
      <c r="Q757" s="7" t="inlineStr">
        <is>
          <t>SEM COTAÇÃO</t>
        </is>
      </c>
      <c r="R757" s="8" t="n"/>
      <c r="S757" s="14" t="n"/>
      <c r="T757" s="7" t="inlineStr"/>
      <c r="U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8" t="n"/>
      <c r="M758" s="8" t="n"/>
      <c r="N758" s="8" t="n"/>
      <c r="O758" s="8" t="n"/>
      <c r="P758" s="8" t="n"/>
      <c r="Q758" s="7" t="inlineStr">
        <is>
          <t>SEM COTAÇÃO</t>
        </is>
      </c>
      <c r="R758" s="8" t="n"/>
      <c r="S758" s="14" t="n"/>
      <c r="T758" s="7" t="inlineStr"/>
      <c r="U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8" t="n"/>
      <c r="M759" s="8" t="n"/>
      <c r="N759" s="8" t="n"/>
      <c r="O759" s="8" t="n"/>
      <c r="P759" s="8" t="n"/>
      <c r="Q759" s="7" t="inlineStr">
        <is>
          <t>SEM COTAÇÃO</t>
        </is>
      </c>
      <c r="R759" s="8" t="n"/>
      <c r="S759" s="14" t="n"/>
      <c r="T759" s="7" t="inlineStr"/>
      <c r="U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8" t="n"/>
      <c r="M760" s="8" t="n"/>
      <c r="N760" s="8" t="n"/>
      <c r="O760" s="8" t="n"/>
      <c r="P760" s="8" t="n"/>
      <c r="Q760" s="7" t="inlineStr">
        <is>
          <t>SEM COTAÇÃO</t>
        </is>
      </c>
      <c r="R760" s="8" t="n"/>
      <c r="S760" s="14" t="n"/>
      <c r="T760" s="7" t="inlineStr"/>
      <c r="U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8" t="n"/>
      <c r="M761" s="8" t="n"/>
      <c r="N761" s="8" t="n"/>
      <c r="O761" s="8" t="n"/>
      <c r="P761" s="8" t="n"/>
      <c r="Q761" s="7" t="inlineStr">
        <is>
          <t>SEM COTAÇÃO</t>
        </is>
      </c>
      <c r="R761" s="8" t="n"/>
      <c r="S761" s="14" t="n"/>
      <c r="T761" s="7" t="inlineStr"/>
      <c r="U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8" t="n"/>
      <c r="M762" s="8" t="n"/>
      <c r="N762" s="8" t="n"/>
      <c r="O762" s="8" t="n"/>
      <c r="P762" s="8" t="n"/>
      <c r="Q762" s="7" t="inlineStr">
        <is>
          <t>SEM COTAÇÃO</t>
        </is>
      </c>
      <c r="R762" s="8" t="n"/>
      <c r="S762" s="14" t="n"/>
      <c r="T762" s="7" t="inlineStr"/>
      <c r="U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8" t="n"/>
      <c r="M763" s="8" t="n"/>
      <c r="N763" s="8" t="n"/>
      <c r="O763" s="8" t="n"/>
      <c r="P763" s="8" t="n"/>
      <c r="Q763" s="7" t="inlineStr">
        <is>
          <t>SEM COTAÇÃO</t>
        </is>
      </c>
      <c r="R763" s="8" t="n"/>
      <c r="S763" s="14" t="n"/>
      <c r="T763" s="7" t="inlineStr"/>
      <c r="U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8" t="n"/>
      <c r="M764" s="8" t="n"/>
      <c r="N764" s="8" t="n"/>
      <c r="O764" s="8" t="n"/>
      <c r="P764" s="8" t="n"/>
      <c r="Q764" s="7" t="inlineStr">
        <is>
          <t>SEM COTAÇÃO</t>
        </is>
      </c>
      <c r="R764" s="8" t="n"/>
      <c r="S764" s="14" t="n"/>
      <c r="T764" s="7" t="inlineStr"/>
      <c r="U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8" t="n"/>
      <c r="M765" s="8" t="n"/>
      <c r="N765" s="8" t="n"/>
      <c r="O765" s="8" t="n"/>
      <c r="P765" s="8" t="n"/>
      <c r="Q765" s="7" t="inlineStr">
        <is>
          <t>SEM COTAÇÃO</t>
        </is>
      </c>
      <c r="R765" s="8" t="n"/>
      <c r="S765" s="14" t="n"/>
      <c r="T765" s="7" t="inlineStr"/>
      <c r="U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8" t="n"/>
      <c r="M766" s="8" t="n"/>
      <c r="N766" s="8" t="n"/>
      <c r="O766" s="8" t="n"/>
      <c r="P766" s="8" t="n"/>
      <c r="Q766" s="7" t="inlineStr">
        <is>
          <t>SEM COTAÇÃO</t>
        </is>
      </c>
      <c r="R766" s="8" t="n"/>
      <c r="S766" s="14" t="n"/>
      <c r="T766" s="7" t="inlineStr"/>
      <c r="U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7" t="inlineStr">
        <is>
          <t>SEM COTAÇÃO</t>
        </is>
      </c>
      <c r="R767" s="8" t="n"/>
      <c r="S767" s="14" t="n"/>
      <c r="T767" s="7" t="inlineStr"/>
      <c r="U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8" t="n"/>
      <c r="M768" s="8" t="n"/>
      <c r="N768" s="8" t="n"/>
      <c r="O768" s="8" t="n"/>
      <c r="P768" s="8" t="n"/>
      <c r="Q768" s="7" t="inlineStr">
        <is>
          <t>SEM COTAÇÃO</t>
        </is>
      </c>
      <c r="R768" s="8" t="n"/>
      <c r="S768" s="14" t="n"/>
      <c r="T768" s="7" t="inlineStr"/>
      <c r="U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8" t="n"/>
      <c r="M769" s="8" t="n"/>
      <c r="N769" s="8" t="n"/>
      <c r="O769" s="8" t="n"/>
      <c r="P769" s="8" t="n"/>
      <c r="Q769" s="7" t="inlineStr">
        <is>
          <t>SEM COTAÇÃO</t>
        </is>
      </c>
      <c r="R769" s="8" t="n"/>
      <c r="S769" s="14" t="n"/>
      <c r="T769" s="7" t="inlineStr"/>
      <c r="U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8" t="n"/>
      <c r="M770" s="8" t="n"/>
      <c r="N770" s="8" t="n"/>
      <c r="O770" s="8" t="n"/>
      <c r="P770" s="8" t="n"/>
      <c r="Q770" s="7" t="inlineStr">
        <is>
          <t>SEM COTAÇÃO</t>
        </is>
      </c>
      <c r="R770" s="8" t="n"/>
      <c r="S770" s="14" t="n"/>
      <c r="T770" s="7" t="inlineStr"/>
      <c r="U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8" t="n"/>
      <c r="M771" s="8" t="n"/>
      <c r="N771" s="8" t="n"/>
      <c r="O771" s="8" t="n"/>
      <c r="P771" s="8" t="n"/>
      <c r="Q771" s="7" t="inlineStr">
        <is>
          <t>SEM COTAÇÃO</t>
        </is>
      </c>
      <c r="R771" s="8" t="n"/>
      <c r="S771" s="14" t="n"/>
      <c r="T771" s="7" t="inlineStr"/>
      <c r="U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8" t="n"/>
      <c r="M772" s="8" t="n"/>
      <c r="N772" s="8" t="n"/>
      <c r="O772" s="8" t="n"/>
      <c r="P772" s="8" t="n"/>
      <c r="Q772" s="7" t="inlineStr">
        <is>
          <t>SEM COTAÇÃO</t>
        </is>
      </c>
      <c r="R772" s="8" t="n"/>
      <c r="S772" s="14" t="n"/>
      <c r="T772" s="7" t="inlineStr"/>
      <c r="U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8" t="n"/>
      <c r="M773" s="8" t="n"/>
      <c r="N773" s="8" t="n"/>
      <c r="O773" s="8" t="n"/>
      <c r="P773" s="8" t="n"/>
      <c r="Q773" s="7" t="inlineStr">
        <is>
          <t>SEM COTAÇÃO</t>
        </is>
      </c>
      <c r="R773" s="8" t="n"/>
      <c r="S773" s="14" t="n"/>
      <c r="T773" s="7" t="inlineStr"/>
      <c r="U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8" t="n"/>
      <c r="M774" s="8" t="n"/>
      <c r="N774" s="8" t="n"/>
      <c r="O774" s="8" t="n"/>
      <c r="P774" s="8" t="n"/>
      <c r="Q774" s="7" t="inlineStr">
        <is>
          <t>SEM COTAÇÃO</t>
        </is>
      </c>
      <c r="R774" s="8" t="n"/>
      <c r="S774" s="14" t="n"/>
      <c r="T774" s="7" t="inlineStr"/>
      <c r="U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8" t="n"/>
      <c r="M775" s="8" t="n"/>
      <c r="N775" s="8" t="n"/>
      <c r="O775" s="8" t="n"/>
      <c r="P775" s="8" t="n"/>
      <c r="Q775" s="7" t="inlineStr">
        <is>
          <t>SEM COTAÇÃO</t>
        </is>
      </c>
      <c r="R775" s="8" t="n"/>
      <c r="S775" s="14" t="n"/>
      <c r="T775" s="7" t="inlineStr"/>
      <c r="U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8" t="n"/>
      <c r="M776" s="8" t="n"/>
      <c r="N776" s="8" t="n"/>
      <c r="O776" s="8" t="n"/>
      <c r="P776" s="8" t="n"/>
      <c r="Q776" s="7" t="inlineStr">
        <is>
          <t>SEM COTAÇÃO</t>
        </is>
      </c>
      <c r="R776" s="8" t="n"/>
      <c r="S776" s="14" t="n"/>
      <c r="T776" s="7" t="inlineStr"/>
      <c r="U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8" t="n"/>
      <c r="M777" s="8" t="n"/>
      <c r="N777" s="8" t="n"/>
      <c r="O777" s="8" t="n"/>
      <c r="P777" s="8" t="n"/>
      <c r="Q777" s="7" t="inlineStr">
        <is>
          <t>SEM COTAÇÃO</t>
        </is>
      </c>
      <c r="R777" s="8" t="n"/>
      <c r="S777" s="14" t="n"/>
      <c r="T777" s="7" t="inlineStr"/>
      <c r="U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8" t="n"/>
      <c r="M778" s="8" t="n"/>
      <c r="N778" s="8" t="n"/>
      <c r="O778" s="8" t="n"/>
      <c r="P778" s="8" t="n"/>
      <c r="Q778" s="7" t="inlineStr">
        <is>
          <t>SEM COTAÇÃO</t>
        </is>
      </c>
      <c r="R778" s="8" t="n"/>
      <c r="S778" s="14" t="n"/>
      <c r="T778" s="7" t="inlineStr"/>
      <c r="U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8" t="n"/>
      <c r="M779" s="8" t="n"/>
      <c r="N779" s="8" t="n"/>
      <c r="O779" s="8" t="n"/>
      <c r="P779" s="8" t="n"/>
      <c r="Q779" s="7" t="inlineStr">
        <is>
          <t>SEM COTAÇÃO</t>
        </is>
      </c>
      <c r="R779" s="8" t="n"/>
      <c r="S779" s="14" t="n"/>
      <c r="T779" s="7" t="inlineStr"/>
      <c r="U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8" t="n"/>
      <c r="M780" s="8" t="n"/>
      <c r="N780" s="8" t="n"/>
      <c r="O780" s="8" t="n"/>
      <c r="P780" s="8" t="n"/>
      <c r="Q780" s="7" t="inlineStr">
        <is>
          <t>SEM COTAÇÃO</t>
        </is>
      </c>
      <c r="R780" s="8" t="n"/>
      <c r="S780" s="14" t="n"/>
      <c r="T780" s="7" t="inlineStr"/>
      <c r="U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8" t="n"/>
      <c r="M781" s="8" t="n"/>
      <c r="N781" s="8" t="n"/>
      <c r="O781" s="8" t="n"/>
      <c r="P781" s="8" t="n"/>
      <c r="Q781" s="7" t="inlineStr">
        <is>
          <t>SEM COTAÇÃO</t>
        </is>
      </c>
      <c r="R781" s="8" t="n"/>
      <c r="S781" s="14" t="n"/>
      <c r="T781" s="7" t="inlineStr"/>
      <c r="U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8" t="n"/>
      <c r="M782" s="8" t="n"/>
      <c r="N782" s="8" t="n"/>
      <c r="O782" s="8" t="n"/>
      <c r="P782" s="8" t="n"/>
      <c r="Q782" s="7" t="inlineStr">
        <is>
          <t>SEM COTAÇÃO</t>
        </is>
      </c>
      <c r="R782" s="8" t="n"/>
      <c r="S782" s="14" t="n"/>
      <c r="T782" s="7" t="inlineStr"/>
      <c r="U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8" t="n"/>
      <c r="M783" s="8" t="n"/>
      <c r="N783" s="8" t="n"/>
      <c r="O783" s="8" t="n"/>
      <c r="P783" s="8" t="n"/>
      <c r="Q783" s="7" t="inlineStr">
        <is>
          <t>SEM COTAÇÃO</t>
        </is>
      </c>
      <c r="R783" s="8" t="n"/>
      <c r="S783" s="14" t="n"/>
      <c r="T783" s="7" t="inlineStr"/>
      <c r="U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8" t="n"/>
      <c r="M784" s="8" t="n"/>
      <c r="N784" s="8" t="n"/>
      <c r="O784" s="8" t="n"/>
      <c r="P784" s="8" t="n"/>
      <c r="Q784" s="7" t="inlineStr">
        <is>
          <t>SEM COTAÇÃO</t>
        </is>
      </c>
      <c r="R784" s="8" t="n"/>
      <c r="S784" s="14" t="n"/>
      <c r="T784" s="7" t="inlineStr"/>
      <c r="U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8" t="n"/>
      <c r="M785" s="8" t="n"/>
      <c r="N785" s="8" t="n"/>
      <c r="O785" s="8" t="n"/>
      <c r="P785" s="8" t="n"/>
      <c r="Q785" s="7" t="inlineStr">
        <is>
          <t>SEM COTAÇÃO</t>
        </is>
      </c>
      <c r="R785" s="8" t="n"/>
      <c r="S785" s="14" t="n"/>
      <c r="T785" s="7" t="inlineStr"/>
      <c r="U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8" t="n"/>
      <c r="M786" s="8" t="n"/>
      <c r="N786" s="8" t="n"/>
      <c r="O786" s="8" t="n"/>
      <c r="P786" s="8" t="n"/>
      <c r="Q786" s="7" t="inlineStr">
        <is>
          <t>SEM COTAÇÃO</t>
        </is>
      </c>
      <c r="R786" s="8" t="n"/>
      <c r="S786" s="14" t="n"/>
      <c r="T786" s="7" t="inlineStr"/>
      <c r="U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8" t="n"/>
      <c r="M787" s="8" t="n"/>
      <c r="N787" s="8" t="n"/>
      <c r="O787" s="8" t="n"/>
      <c r="P787" s="8" t="n"/>
      <c r="Q787" s="7" t="inlineStr">
        <is>
          <t>SEM COTAÇÃO</t>
        </is>
      </c>
      <c r="R787" s="8" t="n"/>
      <c r="S787" s="14" t="n"/>
      <c r="T787" s="7" t="inlineStr"/>
      <c r="U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8" t="n"/>
      <c r="M788" s="8" t="n"/>
      <c r="N788" s="8" t="n"/>
      <c r="O788" s="8" t="n"/>
      <c r="P788" s="8" t="n"/>
      <c r="Q788" s="7" t="inlineStr">
        <is>
          <t>SEM COTAÇÃO</t>
        </is>
      </c>
      <c r="R788" s="8" t="n"/>
      <c r="S788" s="14" t="n"/>
      <c r="T788" s="7" t="inlineStr"/>
      <c r="U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8" t="n"/>
      <c r="M789" s="8" t="n"/>
      <c r="N789" s="8" t="n"/>
      <c r="O789" s="8" t="n"/>
      <c r="P789" s="8" t="n"/>
      <c r="Q789" s="7" t="inlineStr">
        <is>
          <t>SEM COTAÇÃO</t>
        </is>
      </c>
      <c r="R789" s="8" t="n"/>
      <c r="S789" s="14" t="n"/>
      <c r="T789" s="7" t="inlineStr"/>
      <c r="U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8" t="n"/>
      <c r="M790" s="8" t="n"/>
      <c r="N790" s="8" t="n"/>
      <c r="O790" s="8" t="n"/>
      <c r="P790" s="8" t="n"/>
      <c r="Q790" s="7" t="inlineStr">
        <is>
          <t>SEM COTAÇÃO</t>
        </is>
      </c>
      <c r="R790" s="8" t="n"/>
      <c r="S790" s="14" t="n"/>
      <c r="T790" s="7" t="inlineStr"/>
      <c r="U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8" t="n"/>
      <c r="M791" s="8" t="n"/>
      <c r="N791" s="8" t="n"/>
      <c r="O791" s="8" t="n"/>
      <c r="P791" s="8" t="n"/>
      <c r="Q791" s="7" t="inlineStr">
        <is>
          <t>SEM COTAÇÃO</t>
        </is>
      </c>
      <c r="R791" s="8" t="n"/>
      <c r="S791" s="14" t="n"/>
      <c r="T791" s="7" t="inlineStr"/>
      <c r="U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7" t="inlineStr">
        <is>
          <t>SEM COTAÇÃO</t>
        </is>
      </c>
      <c r="R792" s="8" t="n"/>
      <c r="S792" s="14" t="n"/>
      <c r="T792" s="7" t="inlineStr"/>
      <c r="U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8" t="n"/>
      <c r="M793" s="8" t="n"/>
      <c r="N793" s="8" t="n"/>
      <c r="O793" s="8" t="n"/>
      <c r="P793" s="8" t="n"/>
      <c r="Q793" s="7" t="inlineStr">
        <is>
          <t>SEM COTAÇÃO</t>
        </is>
      </c>
      <c r="R793" s="8" t="n"/>
      <c r="S793" s="14" t="n"/>
      <c r="T793" s="7" t="inlineStr"/>
      <c r="U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8" t="n"/>
      <c r="M794" s="8" t="n"/>
      <c r="N794" s="8" t="n"/>
      <c r="O794" s="8" t="n"/>
      <c r="P794" s="8" t="n"/>
      <c r="Q794" s="7" t="inlineStr">
        <is>
          <t>SEM COTAÇÃO</t>
        </is>
      </c>
      <c r="R794" s="8" t="n"/>
      <c r="S794" s="14" t="n"/>
      <c r="T794" s="7" t="inlineStr"/>
      <c r="U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8" t="n"/>
      <c r="M795" s="8" t="n"/>
      <c r="N795" s="8" t="n"/>
      <c r="O795" s="8" t="n"/>
      <c r="P795" s="8" t="n"/>
      <c r="Q795" s="7" t="inlineStr">
        <is>
          <t>SEM COTAÇÃO</t>
        </is>
      </c>
      <c r="R795" s="8" t="n"/>
      <c r="S795" s="14" t="n"/>
      <c r="T795" s="7" t="inlineStr"/>
      <c r="U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8" t="n"/>
      <c r="M796" s="8" t="n"/>
      <c r="N796" s="8" t="n"/>
      <c r="O796" s="8" t="n"/>
      <c r="P796" s="8" t="n"/>
      <c r="Q796" s="7" t="inlineStr">
        <is>
          <t>SEM COTAÇÃO</t>
        </is>
      </c>
      <c r="R796" s="8" t="n"/>
      <c r="S796" s="14" t="n"/>
      <c r="T796" s="7" t="inlineStr"/>
      <c r="U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8" t="n"/>
      <c r="M797" s="8" t="n"/>
      <c r="N797" s="8" t="n"/>
      <c r="O797" s="8" t="n"/>
      <c r="P797" s="8" t="n"/>
      <c r="Q797" s="7" t="inlineStr">
        <is>
          <t>SEM COTAÇÃO</t>
        </is>
      </c>
      <c r="R797" s="8" t="n"/>
      <c r="S797" s="14" t="n"/>
      <c r="T797" s="7" t="inlineStr"/>
      <c r="U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8" t="n"/>
      <c r="M798" s="8" t="n"/>
      <c r="N798" s="8" t="n"/>
      <c r="O798" s="8" t="n"/>
      <c r="P798" s="8" t="n"/>
      <c r="Q798" s="7" t="inlineStr">
        <is>
          <t>SEM COTAÇÃO</t>
        </is>
      </c>
      <c r="R798" s="8" t="n"/>
      <c r="S798" s="14" t="n"/>
      <c r="T798" s="7" t="inlineStr"/>
      <c r="U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15" t="n">
        <v>71.06999999999999</v>
      </c>
      <c r="M799" s="8" t="n"/>
      <c r="N799" s="8" t="n"/>
      <c r="O799" s="8" t="n">
        <v>86.68000000000001</v>
      </c>
      <c r="P799" s="8" t="n"/>
      <c r="Q799" s="7" t="inlineStr">
        <is>
          <t>EPAN</t>
        </is>
      </c>
      <c r="R799" s="8" t="n">
        <v>71.06999999999999</v>
      </c>
      <c r="S799" s="14">
        <f>R799/H799-1</f>
        <v/>
      </c>
      <c r="T799" s="17" t="inlineStr">
        <is>
          <t>OK (≤ menor hist.)</t>
        </is>
      </c>
      <c r="U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8" t="n"/>
      <c r="M800" s="8" t="n"/>
      <c r="N800" s="8" t="n"/>
      <c r="O800" s="8" t="n">
        <v>30.76</v>
      </c>
      <c r="P800" s="8" t="n"/>
      <c r="Q800" s="7" t="inlineStr">
        <is>
          <t>SEM COTAÇÃO</t>
        </is>
      </c>
      <c r="R800" s="8" t="n"/>
      <c r="S800" s="14" t="n"/>
      <c r="T800" s="7" t="inlineStr"/>
      <c r="U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8" t="n"/>
      <c r="M801" s="8" t="n"/>
      <c r="N801" s="8" t="n"/>
      <c r="O801" s="8" t="n"/>
      <c r="P801" s="8" t="n"/>
      <c r="Q801" s="7" t="inlineStr">
        <is>
          <t>SEM COTAÇÃO</t>
        </is>
      </c>
      <c r="R801" s="8" t="n"/>
      <c r="S801" s="14" t="n"/>
      <c r="T801" s="7" t="inlineStr"/>
      <c r="U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8" t="n"/>
      <c r="M802" s="8" t="n"/>
      <c r="N802" s="8" t="n"/>
      <c r="O802" s="8" t="n"/>
      <c r="P802" s="8" t="n"/>
      <c r="Q802" s="7" t="inlineStr">
        <is>
          <t>SEM COTAÇÃO</t>
        </is>
      </c>
      <c r="R802" s="8" t="n"/>
      <c r="S802" s="14" t="n"/>
      <c r="T802" s="7" t="inlineStr"/>
      <c r="U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15" t="n">
        <v>2.01</v>
      </c>
      <c r="K803" s="8" t="n"/>
      <c r="L803" s="8" t="n"/>
      <c r="M803" s="8" t="n"/>
      <c r="N803" s="8" t="n"/>
      <c r="O803" s="8" t="n">
        <v>2.0235</v>
      </c>
      <c r="P803" s="8" t="n"/>
      <c r="Q803" s="7" t="inlineStr">
        <is>
          <t>DIMEC</t>
        </is>
      </c>
      <c r="R803" s="8" t="n">
        <v>2.01</v>
      </c>
      <c r="S803" s="14">
        <f>R803/H803-1</f>
        <v/>
      </c>
      <c r="T803" s="16" t="inlineStr">
        <is>
          <t>ACIMA +2.6%</t>
        </is>
      </c>
      <c r="U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8" t="n"/>
      <c r="M804" s="8" t="n"/>
      <c r="N804" s="8" t="n"/>
      <c r="O804" s="8" t="n"/>
      <c r="P804" s="8" t="n"/>
      <c r="Q804" s="7" t="inlineStr">
        <is>
          <t>SEM COTAÇÃO</t>
        </is>
      </c>
      <c r="R804" s="8" t="n"/>
      <c r="S804" s="14" t="n"/>
      <c r="T804" s="7" t="inlineStr"/>
      <c r="U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8" t="n"/>
      <c r="M805" s="8" t="n"/>
      <c r="N805" s="8" t="n"/>
      <c r="O805" s="8" t="n">
        <v>15.6194</v>
      </c>
      <c r="P805" s="8" t="n"/>
      <c r="Q805" s="7" t="inlineStr">
        <is>
          <t>DIMEC</t>
        </is>
      </c>
      <c r="R805" s="8" t="n">
        <v>12.91</v>
      </c>
      <c r="S805" s="14">
        <f>R805/H805-1</f>
        <v/>
      </c>
      <c r="T805" s="16" t="inlineStr">
        <is>
          <t>ACIMA +35.0%</t>
        </is>
      </c>
      <c r="U805" s="7" t="inlineStr">
        <is>
          <t>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8" t="n"/>
      <c r="M806" s="8" t="n"/>
      <c r="N806" s="8" t="n"/>
      <c r="O806" s="15" t="n">
        <v>13.043869</v>
      </c>
      <c r="P806" s="8" t="n"/>
      <c r="Q806" s="7" t="inlineStr">
        <is>
          <t>NAZARIA</t>
        </is>
      </c>
      <c r="R806" s="8" t="n">
        <v>13.043869</v>
      </c>
      <c r="S806" s="14">
        <f>R806/H806-1</f>
        <v/>
      </c>
      <c r="T806" s="16" t="inlineStr">
        <is>
          <t>ACIMA +83.1%</t>
        </is>
      </c>
      <c r="U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8" t="n"/>
      <c r="M807" s="8" t="n"/>
      <c r="N807" s="8" t="n"/>
      <c r="O807" s="8" t="n"/>
      <c r="P807" s="8" t="n"/>
      <c r="Q807" s="7" t="inlineStr">
        <is>
          <t>SEM COTAÇÃO</t>
        </is>
      </c>
      <c r="R807" s="8" t="n"/>
      <c r="S807" s="14" t="n"/>
      <c r="T807" s="7" t="inlineStr"/>
      <c r="U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8" t="n"/>
      <c r="M808" s="8" t="n"/>
      <c r="N808" s="8" t="n"/>
      <c r="O808" s="8" t="n"/>
      <c r="P808" s="8" t="n"/>
      <c r="Q808" s="7" t="inlineStr">
        <is>
          <t>SEM COTAÇÃO</t>
        </is>
      </c>
      <c r="R808" s="8" t="n"/>
      <c r="S808" s="14" t="n"/>
      <c r="T808" s="7" t="inlineStr"/>
      <c r="U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8" t="n"/>
      <c r="M809" s="8" t="n"/>
      <c r="N809" s="8" t="n"/>
      <c r="O809" s="8" t="n">
        <v>17.73</v>
      </c>
      <c r="P809" s="8" t="n"/>
      <c r="Q809" s="7" t="inlineStr">
        <is>
          <t>DIMEC</t>
        </is>
      </c>
      <c r="R809" s="8" t="n">
        <v>9.44</v>
      </c>
      <c r="S809" s="14">
        <f>R809/H809-1</f>
        <v/>
      </c>
      <c r="T809" s="16" t="inlineStr">
        <is>
          <t>ACIMA +26.0%</t>
        </is>
      </c>
      <c r="U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8" t="n"/>
      <c r="M810" s="8" t="n"/>
      <c r="N810" s="8" t="n"/>
      <c r="O810" s="8" t="n"/>
      <c r="P810" s="8" t="n"/>
      <c r="Q810" s="7" t="inlineStr">
        <is>
          <t>SEM COTAÇÃO</t>
        </is>
      </c>
      <c r="R810" s="8" t="n"/>
      <c r="S810" s="14" t="n"/>
      <c r="T810" s="7" t="inlineStr"/>
      <c r="U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8" t="n"/>
      <c r="M811" s="8" t="n"/>
      <c r="N811" s="8" t="n"/>
      <c r="O811" s="8" t="n"/>
      <c r="P811" s="8" t="n"/>
      <c r="Q811" s="7" t="inlineStr">
        <is>
          <t>SEM COTAÇÃO</t>
        </is>
      </c>
      <c r="R811" s="8" t="n"/>
      <c r="S811" s="14" t="n"/>
      <c r="T811" s="7" t="inlineStr"/>
      <c r="U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8" t="n"/>
      <c r="M812" s="8" t="n"/>
      <c r="N812" s="8" t="n"/>
      <c r="O812" s="15" t="n">
        <v>18.88</v>
      </c>
      <c r="P812" s="8" t="n"/>
      <c r="Q812" s="7" t="inlineStr">
        <is>
          <t>NAZARIA</t>
        </is>
      </c>
      <c r="R812" s="8" t="n">
        <v>18.88</v>
      </c>
      <c r="S812" s="14">
        <f>R812/H812-1</f>
        <v/>
      </c>
      <c r="T812" s="16" t="inlineStr">
        <is>
          <t>ACIMA +170.1%</t>
        </is>
      </c>
      <c r="U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8" t="n"/>
      <c r="M813" s="8" t="n"/>
      <c r="N813" s="8" t="n"/>
      <c r="O813" s="15" t="n">
        <v>8.51</v>
      </c>
      <c r="P813" s="8" t="n"/>
      <c r="Q813" s="7" t="inlineStr">
        <is>
          <t>NAZARIA</t>
        </is>
      </c>
      <c r="R813" s="8" t="n">
        <v>8.51</v>
      </c>
      <c r="S813" s="14">
        <f>R813/H813-1</f>
        <v/>
      </c>
      <c r="T813" s="16" t="inlineStr">
        <is>
          <t>ACIMA +70.5%</t>
        </is>
      </c>
      <c r="U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8" t="n"/>
      <c r="M814" s="8" t="n"/>
      <c r="N814" s="8" t="n"/>
      <c r="O814" s="8" t="n"/>
      <c r="P814" s="8" t="n"/>
      <c r="Q814" s="7" t="inlineStr">
        <is>
          <t>SEM COTAÇÃO</t>
        </is>
      </c>
      <c r="R814" s="8" t="n"/>
      <c r="S814" s="14" t="n"/>
      <c r="T814" s="7" t="inlineStr"/>
      <c r="U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8" t="n"/>
      <c r="M815" s="8" t="n"/>
      <c r="N815" s="8" t="n"/>
      <c r="O815" s="8" t="n"/>
      <c r="P815" s="8" t="n"/>
      <c r="Q815" s="7" t="inlineStr">
        <is>
          <t>SEM COTAÇÃO</t>
        </is>
      </c>
      <c r="R815" s="8" t="n"/>
      <c r="S815" s="14" t="n"/>
      <c r="T815" s="7" t="inlineStr"/>
      <c r="U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8" t="n"/>
      <c r="M816" s="8" t="n"/>
      <c r="N816" s="8" t="n"/>
      <c r="O816" s="15" t="n">
        <v>84.66</v>
      </c>
      <c r="P816" s="8" t="n"/>
      <c r="Q816" s="7" t="inlineStr">
        <is>
          <t>NAZARIA</t>
        </is>
      </c>
      <c r="R816" s="8" t="n">
        <v>84.66</v>
      </c>
      <c r="S816" s="14">
        <f>R816/H816-1</f>
        <v/>
      </c>
      <c r="T816" s="16" t="inlineStr">
        <is>
          <t>ACIMA +2364.1%</t>
        </is>
      </c>
      <c r="U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7" t="inlineStr">
        <is>
          <t>SEM COTAÇÃO</t>
        </is>
      </c>
      <c r="R817" s="8" t="n"/>
      <c r="S817" s="14" t="n"/>
      <c r="T817" s="7" t="inlineStr"/>
      <c r="U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8" t="n"/>
      <c r="M818" s="8" t="n"/>
      <c r="N818" s="8" t="n"/>
      <c r="O818" s="15" t="n">
        <v>33.628284</v>
      </c>
      <c r="P818" s="8" t="n"/>
      <c r="Q818" s="7" t="inlineStr">
        <is>
          <t>NAZARIA</t>
        </is>
      </c>
      <c r="R818" s="8" t="n">
        <v>33.628284</v>
      </c>
      <c r="S818" s="14">
        <f>R818/H818-1</f>
        <v/>
      </c>
      <c r="T818" s="16" t="inlineStr">
        <is>
          <t>ACIMA +201.8%</t>
        </is>
      </c>
      <c r="U818" s="7" t="inlineStr">
        <is>
          <t>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8" t="n"/>
      <c r="M819" s="8" t="n"/>
      <c r="N819" s="8" t="n"/>
      <c r="O819" s="8" t="n"/>
      <c r="P819" s="8" t="n"/>
      <c r="Q819" s="7" t="inlineStr">
        <is>
          <t>SEM COTAÇÃO</t>
        </is>
      </c>
      <c r="R819" s="8" t="n"/>
      <c r="S819" s="14" t="n"/>
      <c r="T819" s="7" t="inlineStr"/>
      <c r="U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8" t="n"/>
      <c r="M820" s="15" t="n">
        <v>26.34</v>
      </c>
      <c r="N820" s="8" t="n"/>
      <c r="O820" s="8" t="n">
        <v>27.9513</v>
      </c>
      <c r="P820" s="8" t="n"/>
      <c r="Q820" s="7" t="inlineStr">
        <is>
          <t>CENTROFARMA</t>
        </is>
      </c>
      <c r="R820" s="8" t="n">
        <v>26.34</v>
      </c>
      <c r="S820" s="14">
        <f>R820/H820-1</f>
        <v/>
      </c>
      <c r="T820" s="17" t="inlineStr">
        <is>
          <t>OK (≤ menor hist.)</t>
        </is>
      </c>
      <c r="U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8" t="n"/>
      <c r="M821" s="8" t="n"/>
      <c r="N821" s="8" t="n"/>
      <c r="O821" s="8" t="n"/>
      <c r="P821" s="8" t="n"/>
      <c r="Q821" s="7" t="inlineStr">
        <is>
          <t>SEM COTAÇÃO</t>
        </is>
      </c>
      <c r="R821" s="8" t="n"/>
      <c r="S821" s="14" t="n"/>
      <c r="T821" s="7" t="inlineStr"/>
      <c r="U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8" t="n"/>
      <c r="M822" s="8" t="n"/>
      <c r="N822" s="8" t="n"/>
      <c r="O822" s="15" t="n">
        <v>50.975001</v>
      </c>
      <c r="P822" s="8" t="n"/>
      <c r="Q822" s="7" t="inlineStr">
        <is>
          <t>NAZARIA</t>
        </is>
      </c>
      <c r="R822" s="8" t="n">
        <v>50.975001</v>
      </c>
      <c r="S822" s="14">
        <f>R822/H822-1</f>
        <v/>
      </c>
      <c r="T822" s="16" t="inlineStr">
        <is>
          <t>ACIMA +70.5%</t>
        </is>
      </c>
      <c r="U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8" t="n"/>
      <c r="M823" s="8" t="n"/>
      <c r="N823" s="8" t="n"/>
      <c r="O823" s="8" t="n"/>
      <c r="P823" s="8" t="n"/>
      <c r="Q823" s="7" t="inlineStr">
        <is>
          <t>SEM COTAÇÃO</t>
        </is>
      </c>
      <c r="R823" s="8" t="n"/>
      <c r="S823" s="14" t="n"/>
      <c r="T823" s="7" t="inlineStr"/>
      <c r="U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8" t="n"/>
      <c r="M824" s="8" t="n"/>
      <c r="N824" s="8" t="n"/>
      <c r="O824" s="8" t="n"/>
      <c r="P824" s="8" t="n"/>
      <c r="Q824" s="7" t="inlineStr">
        <is>
          <t>SEM COTAÇÃO</t>
        </is>
      </c>
      <c r="R824" s="8" t="n"/>
      <c r="S824" s="14" t="n"/>
      <c r="T824" s="7" t="inlineStr"/>
      <c r="U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15" t="n">
        <v>21.37</v>
      </c>
      <c r="M825" s="8" t="n"/>
      <c r="N825" s="8" t="n">
        <v>22.74</v>
      </c>
      <c r="O825" s="8" t="n">
        <v>23.7062</v>
      </c>
      <c r="P825" s="8" t="n"/>
      <c r="Q825" s="7" t="inlineStr">
        <is>
          <t>EPAN</t>
        </is>
      </c>
      <c r="R825" s="8" t="n">
        <v>21.37</v>
      </c>
      <c r="S825" s="14">
        <f>R825/H825-1</f>
        <v/>
      </c>
      <c r="T825" s="17" t="inlineStr">
        <is>
          <t>OK (≤ últ. compra)</t>
        </is>
      </c>
      <c r="U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45.8</v>
      </c>
      <c r="K826" s="8" t="n"/>
      <c r="L826" s="8" t="n"/>
      <c r="M826" s="8" t="n">
        <v>46.4</v>
      </c>
      <c r="N826" s="15" t="n">
        <v>45.57</v>
      </c>
      <c r="O826" s="8" t="n"/>
      <c r="P826" s="8" t="n">
        <v>46.93</v>
      </c>
      <c r="Q826" s="7" t="inlineStr">
        <is>
          <t>TAPAJOS</t>
        </is>
      </c>
      <c r="R826" s="8" t="n">
        <v>45.57</v>
      </c>
      <c r="S826" s="14">
        <f>R826/H826-1</f>
        <v/>
      </c>
      <c r="T826" s="17" t="inlineStr">
        <is>
          <t>OK (≤ últ. compra)</t>
        </is>
      </c>
      <c r="U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15" t="n">
        <v>25.38</v>
      </c>
      <c r="K827" s="8" t="n"/>
      <c r="L827" s="8" t="n"/>
      <c r="M827" s="8" t="n">
        <v>26.18</v>
      </c>
      <c r="N827" s="8" t="n"/>
      <c r="O827" s="8" t="n"/>
      <c r="P827" s="8" t="n">
        <v>26.56</v>
      </c>
      <c r="Q827" s="7" t="inlineStr">
        <is>
          <t>DIMEC</t>
        </is>
      </c>
      <c r="R827" s="8" t="n">
        <v>25.38</v>
      </c>
      <c r="S827" s="14">
        <f>R827/H827-1</f>
        <v/>
      </c>
      <c r="T827" s="17" t="inlineStr">
        <is>
          <t>OK (≤ últ. compra)</t>
        </is>
      </c>
      <c r="U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8" t="n"/>
      <c r="M828" s="8" t="n"/>
      <c r="N828" s="8" t="n"/>
      <c r="O828" s="8" t="n"/>
      <c r="P828" s="8" t="n"/>
      <c r="Q828" s="7" t="inlineStr">
        <is>
          <t>SEM COTAÇÃO</t>
        </is>
      </c>
      <c r="R828" s="8" t="n"/>
      <c r="S828" s="14" t="n"/>
      <c r="T828" s="7" t="inlineStr"/>
      <c r="U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8" t="n"/>
      <c r="M829" s="8" t="n"/>
      <c r="N829" s="8" t="n"/>
      <c r="O829" s="8" t="n"/>
      <c r="P829" s="8" t="n"/>
      <c r="Q829" s="7" t="inlineStr">
        <is>
          <t>SEM COTAÇÃO</t>
        </is>
      </c>
      <c r="R829" s="8" t="n"/>
      <c r="S829" s="14" t="n"/>
      <c r="T829" s="7" t="inlineStr"/>
      <c r="U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8" t="n"/>
      <c r="M830" s="8" t="n"/>
      <c r="N830" s="8" t="n"/>
      <c r="O830" s="15" t="n">
        <v>44.71</v>
      </c>
      <c r="P830" s="8" t="n"/>
      <c r="Q830" s="7" t="inlineStr">
        <is>
          <t>NAZARIA</t>
        </is>
      </c>
      <c r="R830" s="8" t="n">
        <v>44.71</v>
      </c>
      <c r="S830" s="14">
        <f>R830/H830-1</f>
        <v/>
      </c>
      <c r="T830" s="16" t="inlineStr">
        <is>
          <t>ACIMA +24.6%</t>
        </is>
      </c>
      <c r="U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8" t="n"/>
      <c r="M831" s="8" t="n"/>
      <c r="N831" s="8" t="n"/>
      <c r="O831" s="15" t="n">
        <v>15.7</v>
      </c>
      <c r="P831" s="8" t="n"/>
      <c r="Q831" s="7" t="inlineStr">
        <is>
          <t>NAZARIA</t>
        </is>
      </c>
      <c r="R831" s="8" t="n">
        <v>15.7</v>
      </c>
      <c r="S831" s="14">
        <f>R831/H831-1</f>
        <v/>
      </c>
      <c r="T831" s="16" t="inlineStr">
        <is>
          <t>ACIMA +11.3%</t>
        </is>
      </c>
      <c r="U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8" t="n"/>
      <c r="M832" s="8" t="n"/>
      <c r="N832" s="8" t="n"/>
      <c r="O832" s="15" t="n">
        <v>15.7</v>
      </c>
      <c r="P832" s="8" t="n"/>
      <c r="Q832" s="7" t="inlineStr">
        <is>
          <t>NAZARIA</t>
        </is>
      </c>
      <c r="R832" s="8" t="n">
        <v>15.7</v>
      </c>
      <c r="S832" s="14">
        <f>R832/H832-1</f>
        <v/>
      </c>
      <c r="T832" s="16" t="inlineStr">
        <is>
          <t>ACIMA +4.7%</t>
        </is>
      </c>
      <c r="U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8" t="n"/>
      <c r="M833" s="8" t="n"/>
      <c r="N833" s="8" t="n"/>
      <c r="O833" s="8" t="n"/>
      <c r="P833" s="8" t="n"/>
      <c r="Q833" s="7" t="inlineStr">
        <is>
          <t>SEM COTAÇÃO</t>
        </is>
      </c>
      <c r="R833" s="8" t="n"/>
      <c r="S833" s="14" t="n"/>
      <c r="T833" s="7" t="inlineStr"/>
      <c r="U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8" t="n"/>
      <c r="M834" s="8" t="n"/>
      <c r="N834" s="8" t="n"/>
      <c r="O834" s="15" t="n">
        <v>3.916638</v>
      </c>
      <c r="P834" s="8" t="n"/>
      <c r="Q834" s="7" t="inlineStr">
        <is>
          <t>NAZARIA</t>
        </is>
      </c>
      <c r="R834" s="8" t="n">
        <v>3.916638</v>
      </c>
      <c r="S834" s="14">
        <f>R834/H834-1</f>
        <v/>
      </c>
      <c r="T834" s="16" t="inlineStr">
        <is>
          <t>ACIMA +84.7%</t>
        </is>
      </c>
      <c r="U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8" t="n"/>
      <c r="M835" s="8" t="n"/>
      <c r="N835" s="8" t="n"/>
      <c r="O835" s="8" t="n"/>
      <c r="P835" s="8" t="n"/>
      <c r="Q835" s="7" t="inlineStr">
        <is>
          <t>SEM COTAÇÃO</t>
        </is>
      </c>
      <c r="R835" s="8" t="n"/>
      <c r="S835" s="14" t="n"/>
      <c r="T835" s="7" t="inlineStr"/>
      <c r="U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8" t="n">
        <v>7.69</v>
      </c>
      <c r="L836" s="8" t="n"/>
      <c r="M836" s="8" t="n"/>
      <c r="N836" s="8" t="n"/>
      <c r="O836" s="8" t="n">
        <v>13.72</v>
      </c>
      <c r="P836" s="15" t="n">
        <v>6.98</v>
      </c>
      <c r="Q836" s="7" t="inlineStr">
        <is>
          <t>MEDCENTRO</t>
        </is>
      </c>
      <c r="R836" s="8" t="n">
        <v>6.98</v>
      </c>
      <c r="S836" s="14">
        <f>R836/H836-1</f>
        <v/>
      </c>
      <c r="T836" s="17" t="inlineStr">
        <is>
          <t>OK (≤ últ. compra)</t>
        </is>
      </c>
      <c r="U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8" t="n"/>
      <c r="M837" s="8" t="n"/>
      <c r="N837" s="8" t="n"/>
      <c r="O837" s="8" t="n"/>
      <c r="P837" s="8" t="n">
        <v>7.41</v>
      </c>
      <c r="Q837" s="7" t="inlineStr">
        <is>
          <t>PLUSFARMA</t>
        </is>
      </c>
      <c r="R837" s="8" t="n">
        <v>7.35</v>
      </c>
      <c r="S837" s="14">
        <f>R837/H837-1</f>
        <v/>
      </c>
      <c r="T837" s="16" t="inlineStr">
        <is>
          <t>ACIMA +31.2%</t>
        </is>
      </c>
      <c r="U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8" t="n"/>
      <c r="M838" s="8" t="n"/>
      <c r="N838" s="8" t="n"/>
      <c r="O838" s="8" t="n"/>
      <c r="P838" s="8" t="n"/>
      <c r="Q838" s="7" t="inlineStr">
        <is>
          <t>DIMEC</t>
        </is>
      </c>
      <c r="R838" s="8" t="n">
        <v>9.18</v>
      </c>
      <c r="S838" s="14">
        <f>R838/H838-1</f>
        <v/>
      </c>
      <c r="T838" s="16" t="inlineStr">
        <is>
          <t>ACIMA +3.1%</t>
        </is>
      </c>
      <c r="U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8" t="n"/>
      <c r="M839" s="8" t="n">
        <v>5.73</v>
      </c>
      <c r="N839" s="8" t="n"/>
      <c r="O839" s="8" t="n">
        <v>7.26</v>
      </c>
      <c r="P839" s="8" t="n">
        <v>6.44</v>
      </c>
      <c r="Q839" s="7" t="inlineStr">
        <is>
          <t>DIMEC</t>
        </is>
      </c>
      <c r="R839" s="8" t="n">
        <v>5.39</v>
      </c>
      <c r="S839" s="14">
        <f>R839/H839-1</f>
        <v/>
      </c>
      <c r="T839" s="16" t="inlineStr">
        <is>
          <t>ACIMA +9.3%</t>
        </is>
      </c>
      <c r="U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8" t="n"/>
      <c r="M840" s="8" t="n">
        <v>14.48</v>
      </c>
      <c r="N840" s="8" t="n"/>
      <c r="O840" s="8" t="n">
        <v>18.18</v>
      </c>
      <c r="P840" s="8" t="n">
        <v>15.63</v>
      </c>
      <c r="Q840" s="7" t="inlineStr">
        <is>
          <t>DIMEC</t>
        </is>
      </c>
      <c r="R840" s="8" t="n">
        <v>13.61</v>
      </c>
      <c r="S840" s="14">
        <f>R840/H840-1</f>
        <v/>
      </c>
      <c r="T840" s="17" t="inlineStr">
        <is>
          <t>OK (≤ menor hist.)</t>
        </is>
      </c>
      <c r="U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8" t="n"/>
      <c r="M841" s="8" t="n"/>
      <c r="N841" s="8" t="n"/>
      <c r="O841" s="8" t="n"/>
      <c r="P841" s="8" t="n"/>
      <c r="Q841" s="7" t="inlineStr">
        <is>
          <t>SEM COTAÇÃO</t>
        </is>
      </c>
      <c r="R841" s="8" t="n"/>
      <c r="S841" s="14" t="n"/>
      <c r="T841" s="7" t="inlineStr"/>
      <c r="U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8" t="n"/>
      <c r="M842" s="8" t="n"/>
      <c r="N842" s="8" t="n"/>
      <c r="O842" s="8" t="n"/>
      <c r="P842" s="8" t="n"/>
      <c r="Q842" s="7" t="inlineStr">
        <is>
          <t>SEM COTAÇÃO</t>
        </is>
      </c>
      <c r="R842" s="8" t="n"/>
      <c r="S842" s="14" t="n"/>
      <c r="T842" s="7" t="inlineStr"/>
      <c r="U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8" t="n"/>
      <c r="M843" s="8" t="n"/>
      <c r="N843" s="8" t="n"/>
      <c r="O843" s="8" t="n"/>
      <c r="P843" s="8" t="n"/>
      <c r="Q843" s="7" t="inlineStr">
        <is>
          <t>SEM COTAÇÃO</t>
        </is>
      </c>
      <c r="R843" s="8" t="n"/>
      <c r="S843" s="14" t="n"/>
      <c r="T843" s="7" t="inlineStr"/>
      <c r="U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8" t="n"/>
      <c r="M844" s="8" t="n"/>
      <c r="N844" s="8" t="n"/>
      <c r="O844" s="15" t="n">
        <v>26.38</v>
      </c>
      <c r="P844" s="8" t="n"/>
      <c r="Q844" s="7" t="inlineStr">
        <is>
          <t>NAZARIA</t>
        </is>
      </c>
      <c r="R844" s="8" t="n">
        <v>26.38</v>
      </c>
      <c r="S844" s="14">
        <f>R844/H844-1</f>
        <v/>
      </c>
      <c r="T844" s="16" t="inlineStr">
        <is>
          <t>ACIMA +428.7%</t>
        </is>
      </c>
      <c r="U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8" t="n"/>
      <c r="M845" s="8" t="n"/>
      <c r="N845" s="8" t="n"/>
      <c r="O845" s="8" t="n">
        <v>23.675648</v>
      </c>
      <c r="P845" s="8" t="n"/>
      <c r="Q845" s="7" t="inlineStr">
        <is>
          <t>DIMEC</t>
        </is>
      </c>
      <c r="R845" s="8" t="n">
        <v>20.44</v>
      </c>
      <c r="S845" s="14">
        <f>R845/H845-1</f>
        <v/>
      </c>
      <c r="T845" s="16" t="inlineStr">
        <is>
          <t>ACIMA +24.5%</t>
        </is>
      </c>
      <c r="U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8" t="n"/>
      <c r="M846" s="8" t="n"/>
      <c r="N846" s="8" t="n"/>
      <c r="O846" s="8" t="n"/>
      <c r="P846" s="8" t="n"/>
      <c r="Q846" s="7" t="inlineStr">
        <is>
          <t>SEM COTAÇÃO</t>
        </is>
      </c>
      <c r="R846" s="8" t="n"/>
      <c r="S846" s="14" t="n"/>
      <c r="T846" s="7" t="inlineStr"/>
      <c r="U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8" t="n"/>
      <c r="M847" s="8" t="n"/>
      <c r="N847" s="8" t="n"/>
      <c r="O847" s="8" t="n">
        <v>11.78</v>
      </c>
      <c r="P847" s="8" t="n"/>
      <c r="Q847" s="7" t="inlineStr">
        <is>
          <t>DIMEC</t>
        </is>
      </c>
      <c r="R847" s="8" t="n">
        <v>2.63</v>
      </c>
      <c r="S847" s="14">
        <f>R847/H847-1</f>
        <v/>
      </c>
      <c r="T847" s="17" t="inlineStr">
        <is>
          <t>OK (≤ últ. compra)</t>
        </is>
      </c>
      <c r="U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8" t="n"/>
      <c r="M848" s="8" t="n"/>
      <c r="N848" s="8" t="n"/>
      <c r="O848" s="8" t="n"/>
      <c r="P848" s="8" t="n"/>
      <c r="Q848" s="7" t="inlineStr">
        <is>
          <t>SEM COTAÇÃO</t>
        </is>
      </c>
      <c r="R848" s="8" t="n"/>
      <c r="S848" s="14" t="n"/>
      <c r="T848" s="7" t="inlineStr"/>
      <c r="U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15" t="n">
        <v>5.58</v>
      </c>
      <c r="K849" s="8" t="n"/>
      <c r="L849" s="8" t="n"/>
      <c r="M849" s="8" t="n"/>
      <c r="N849" s="8" t="n"/>
      <c r="O849" s="8" t="n"/>
      <c r="P849" s="8" t="n"/>
      <c r="Q849" s="7" t="inlineStr">
        <is>
          <t>DIMEC</t>
        </is>
      </c>
      <c r="R849" s="8" t="n">
        <v>5.58</v>
      </c>
      <c r="S849" s="14">
        <f>R849/H849-1</f>
        <v/>
      </c>
      <c r="T849" s="16" t="inlineStr">
        <is>
          <t>ACIMA +1.8%</t>
        </is>
      </c>
      <c r="U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4.25</v>
      </c>
      <c r="K850" s="8" t="n"/>
      <c r="L850" s="8" t="n"/>
      <c r="M850" s="15" t="n">
        <v>4.14</v>
      </c>
      <c r="N850" s="8" t="n"/>
      <c r="O850" s="8" t="n"/>
      <c r="P850" s="8" t="n">
        <v>4.39</v>
      </c>
      <c r="Q850" s="7" t="inlineStr">
        <is>
          <t>CENTROFARMA</t>
        </is>
      </c>
      <c r="R850" s="8" t="n">
        <v>4.14</v>
      </c>
      <c r="S850" s="14">
        <f>R850/H850-1</f>
        <v/>
      </c>
      <c r="T850" s="16" t="inlineStr">
        <is>
          <t>ACIMA +23.2%</t>
        </is>
      </c>
      <c r="U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15" t="n">
        <v>2.55</v>
      </c>
      <c r="K851" s="8" t="n"/>
      <c r="L851" s="8" t="n"/>
      <c r="M851" s="8" t="n"/>
      <c r="N851" s="8" t="n"/>
      <c r="O851" s="8" t="n"/>
      <c r="P851" s="8" t="n"/>
      <c r="Q851" s="7" t="inlineStr">
        <is>
          <t>DIMEC</t>
        </is>
      </c>
      <c r="R851" s="8" t="n">
        <v>2.55</v>
      </c>
      <c r="S851" s="14">
        <f>R851/H851-1</f>
        <v/>
      </c>
      <c r="T851" s="16" t="inlineStr">
        <is>
          <t>ACIMA +0.8%</t>
        </is>
      </c>
      <c r="U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8" t="n"/>
      <c r="M852" s="8" t="n"/>
      <c r="N852" s="8" t="n"/>
      <c r="O852" s="8" t="n"/>
      <c r="P852" s="8" t="n"/>
      <c r="Q852" s="7" t="inlineStr">
        <is>
          <t>SEM COTAÇÃO</t>
        </is>
      </c>
      <c r="R852" s="8" t="n"/>
      <c r="S852" s="14" t="n"/>
      <c r="T852" s="7" t="inlineStr"/>
      <c r="U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8" t="n"/>
      <c r="M853" s="8" t="n"/>
      <c r="N853" s="8" t="n"/>
      <c r="O853" s="8" t="n"/>
      <c r="P853" s="8" t="n"/>
      <c r="Q853" s="7" t="inlineStr">
        <is>
          <t>SEM COTAÇÃO</t>
        </is>
      </c>
      <c r="R853" s="8" t="n"/>
      <c r="S853" s="14" t="n"/>
      <c r="T853" s="7" t="inlineStr"/>
      <c r="U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15" t="n">
        <v>6.43</v>
      </c>
      <c r="K854" s="8" t="n"/>
      <c r="L854" s="8" t="n"/>
      <c r="M854" s="8" t="n">
        <v>6.51</v>
      </c>
      <c r="N854" s="8" t="n"/>
      <c r="O854" s="8" t="n"/>
      <c r="P854" s="8" t="n">
        <v>6.44</v>
      </c>
      <c r="Q854" s="7" t="inlineStr">
        <is>
          <t>DIMEC</t>
        </is>
      </c>
      <c r="R854" s="8" t="n">
        <v>6.43</v>
      </c>
      <c r="S854" s="14">
        <f>R854/H854-1</f>
        <v/>
      </c>
      <c r="T854" s="16" t="inlineStr">
        <is>
          <t>ACIMA +3.9%</t>
        </is>
      </c>
      <c r="U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8" t="n"/>
      <c r="M855" s="8" t="n"/>
      <c r="N855" s="8" t="n"/>
      <c r="O855" s="15" t="n">
        <v>37.57</v>
      </c>
      <c r="P855" s="8" t="n"/>
      <c r="Q855" s="7" t="inlineStr">
        <is>
          <t>NAZARIA</t>
        </is>
      </c>
      <c r="R855" s="8" t="n">
        <v>37.57</v>
      </c>
      <c r="S855" s="14">
        <f>R855/H855-1</f>
        <v/>
      </c>
      <c r="T855" s="16" t="inlineStr">
        <is>
          <t>ACIMA +610.2%</t>
        </is>
      </c>
      <c r="U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7.42</v>
      </c>
      <c r="K856" s="8" t="n"/>
      <c r="L856" s="8" t="n"/>
      <c r="M856" s="15" t="n">
        <v>6.31</v>
      </c>
      <c r="N856" s="8" t="n"/>
      <c r="O856" s="8" t="n"/>
      <c r="P856" s="8" t="n"/>
      <c r="Q856" s="7" t="inlineStr">
        <is>
          <t>CENTROFARMA</t>
        </is>
      </c>
      <c r="R856" s="8" t="n">
        <v>6.31</v>
      </c>
      <c r="S856" s="14">
        <f>R856/H856-1</f>
        <v/>
      </c>
      <c r="T856" s="16" t="inlineStr">
        <is>
          <t>ACIMA +5.3%</t>
        </is>
      </c>
      <c r="U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15" t="n">
        <v>46.94</v>
      </c>
      <c r="K857" s="8" t="n">
        <v>47.49</v>
      </c>
      <c r="L857" s="8" t="n">
        <v>29.87</v>
      </c>
      <c r="M857" s="8" t="n"/>
      <c r="N857" s="8" t="n"/>
      <c r="O857" s="8" t="n"/>
      <c r="P857" s="8" t="n"/>
      <c r="Q857" s="7" t="inlineStr">
        <is>
          <t>DIMEC</t>
        </is>
      </c>
      <c r="R857" s="8" t="n">
        <v>46.94</v>
      </c>
      <c r="S857" s="14">
        <f>R857/H857-1</f>
        <v/>
      </c>
      <c r="T857" s="16" t="inlineStr">
        <is>
          <t>ACIMA +57.1%</t>
        </is>
      </c>
      <c r="U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8" t="n"/>
      <c r="M858" s="8" t="n"/>
      <c r="N858" s="8" t="n"/>
      <c r="O858" s="15" t="n">
        <v>42.28</v>
      </c>
      <c r="P858" s="8" t="n"/>
      <c r="Q858" s="7" t="inlineStr">
        <is>
          <t>NAZARIA</t>
        </is>
      </c>
      <c r="R858" s="8" t="n">
        <v>42.28</v>
      </c>
      <c r="S858" s="14">
        <f>R858/H858-1</f>
        <v/>
      </c>
      <c r="T858" s="16" t="inlineStr">
        <is>
          <t>ACIMA +594.3%</t>
        </is>
      </c>
      <c r="U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8" t="n"/>
      <c r="M859" s="8" t="n"/>
      <c r="N859" s="8" t="n"/>
      <c r="O859" s="8" t="n"/>
      <c r="P859" s="8" t="n"/>
      <c r="Q859" s="7" t="inlineStr">
        <is>
          <t>SEM COTAÇÃO</t>
        </is>
      </c>
      <c r="R859" s="8" t="n"/>
      <c r="S859" s="14" t="n"/>
      <c r="T859" s="7" t="inlineStr"/>
      <c r="U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8" t="n"/>
      <c r="M860" s="8" t="n"/>
      <c r="N860" s="8" t="n"/>
      <c r="O860" s="8" t="n">
        <v>22.86</v>
      </c>
      <c r="P860" s="8" t="n"/>
      <c r="Q860" s="7" t="inlineStr">
        <is>
          <t>DIMEC</t>
        </is>
      </c>
      <c r="R860" s="8" t="n">
        <v>8.4</v>
      </c>
      <c r="S860" s="14">
        <f>R860/H860-1</f>
        <v/>
      </c>
      <c r="T860" s="16" t="inlineStr">
        <is>
          <t>ACIMA +25.6%</t>
        </is>
      </c>
      <c r="U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8" t="n"/>
      <c r="M861" s="8" t="n"/>
      <c r="N861" s="8" t="n"/>
      <c r="O861" s="8" t="n">
        <v>21.17</v>
      </c>
      <c r="P861" s="8" t="n">
        <v>11.01</v>
      </c>
      <c r="Q861" s="7" t="inlineStr">
        <is>
          <t>PLUSFARMA</t>
        </is>
      </c>
      <c r="R861" s="8" t="n">
        <v>10.19</v>
      </c>
      <c r="S861" s="14">
        <f>R861/H861-1</f>
        <v/>
      </c>
      <c r="T861" s="17" t="inlineStr">
        <is>
          <t>OK (≤ menor hist.)</t>
        </is>
      </c>
      <c r="U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8" t="n"/>
      <c r="M862" s="8" t="n"/>
      <c r="N862" s="8" t="n"/>
      <c r="O862" s="8" t="n"/>
      <c r="P862" s="8" t="n"/>
      <c r="Q862" s="7" t="inlineStr">
        <is>
          <t>SEM COTAÇÃO</t>
        </is>
      </c>
      <c r="R862" s="8" t="n"/>
      <c r="S862" s="14" t="n"/>
      <c r="T862" s="7" t="inlineStr"/>
      <c r="U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8.949999999999999</v>
      </c>
      <c r="K863" s="8" t="n"/>
      <c r="L863" s="8" t="n"/>
      <c r="M863" s="8" t="n">
        <v>9.1</v>
      </c>
      <c r="N863" s="15" t="n">
        <v>8.9</v>
      </c>
      <c r="O863" s="8" t="n"/>
      <c r="P863" s="8" t="n"/>
      <c r="Q863" s="7" t="inlineStr">
        <is>
          <t>TAPAJOS</t>
        </is>
      </c>
      <c r="R863" s="8" t="n">
        <v>8.9</v>
      </c>
      <c r="S863" s="14">
        <f>R863/H863-1</f>
        <v/>
      </c>
      <c r="T863" s="17" t="inlineStr">
        <is>
          <t>OK (≤ últ. compra)</t>
        </is>
      </c>
      <c r="U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8" t="n"/>
      <c r="M864" s="8" t="n">
        <v>2.13</v>
      </c>
      <c r="N864" s="8" t="n"/>
      <c r="O864" s="8" t="n"/>
      <c r="P864" s="8" t="n"/>
      <c r="Q864" s="7" t="inlineStr">
        <is>
          <t>DIMEC</t>
        </is>
      </c>
      <c r="R864" s="8" t="n">
        <v>2.08</v>
      </c>
      <c r="S864" s="14">
        <f>R864/H864-1</f>
        <v/>
      </c>
      <c r="T864" s="16" t="inlineStr">
        <is>
          <t>ACIMA +3.0%</t>
        </is>
      </c>
      <c r="U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8" t="n"/>
      <c r="M865" s="8" t="n"/>
      <c r="N865" s="8" t="n"/>
      <c r="O865" s="8" t="n"/>
      <c r="P865" s="8" t="n"/>
      <c r="Q865" s="7" t="inlineStr">
        <is>
          <t>DIMEC</t>
        </is>
      </c>
      <c r="R865" s="8" t="n">
        <v>3.2</v>
      </c>
      <c r="S865" s="14">
        <f>R865/H865-1</f>
        <v/>
      </c>
      <c r="T865" s="17" t="inlineStr">
        <is>
          <t>OK (≤ menor hist.)</t>
        </is>
      </c>
      <c r="U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8" t="n"/>
      <c r="M866" s="8" t="n"/>
      <c r="N866" s="8" t="n"/>
      <c r="O866" s="8" t="n"/>
      <c r="P866" s="8" t="n"/>
      <c r="Q866" s="7" t="inlineStr">
        <is>
          <t>SEM COTAÇÃO</t>
        </is>
      </c>
      <c r="R866" s="8" t="n"/>
      <c r="S866" s="14" t="n"/>
      <c r="T866" s="7" t="inlineStr"/>
      <c r="U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8" t="n"/>
      <c r="M867" s="8" t="n"/>
      <c r="N867" s="8" t="n"/>
      <c r="O867" s="8" t="n"/>
      <c r="P867" s="8" t="n"/>
      <c r="Q867" s="7" t="inlineStr">
        <is>
          <t>PLUSFARMA</t>
        </is>
      </c>
      <c r="R867" s="8" t="n">
        <v>18.09</v>
      </c>
      <c r="S867" s="14">
        <f>R867/H867-1</f>
        <v/>
      </c>
      <c r="T867" s="16" t="inlineStr">
        <is>
          <t>ACIMA +21.0%</t>
        </is>
      </c>
      <c r="U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15" t="n">
        <v>14.86</v>
      </c>
      <c r="M868" s="8" t="n"/>
      <c r="N868" s="8" t="n"/>
      <c r="O868" s="8" t="n">
        <v>71.52</v>
      </c>
      <c r="P868" s="8" t="n"/>
      <c r="Q868" s="7" t="inlineStr">
        <is>
          <t>EPAN</t>
        </is>
      </c>
      <c r="R868" s="8" t="n">
        <v>14.86</v>
      </c>
      <c r="S868" s="14">
        <f>R868/H868-1</f>
        <v/>
      </c>
      <c r="T868" s="17" t="inlineStr">
        <is>
          <t>OK (≤ menor hist.)</t>
        </is>
      </c>
      <c r="U868" s="7" t="inlineStr">
        <is>
          <t>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8" t="n"/>
      <c r="M869" s="8" t="n"/>
      <c r="N869" s="8" t="n"/>
      <c r="O869" s="8" t="n"/>
      <c r="P869" s="8" t="n"/>
      <c r="Q869" s="7" t="inlineStr">
        <is>
          <t>SEM COTAÇÃO</t>
        </is>
      </c>
      <c r="R869" s="8" t="n"/>
      <c r="S869" s="14" t="n"/>
      <c r="T869" s="7" t="inlineStr"/>
      <c r="U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8" t="n"/>
      <c r="M870" s="8" t="n"/>
      <c r="N870" s="8" t="n"/>
      <c r="O870" s="8" t="n">
        <v>7.150251000000001</v>
      </c>
      <c r="P870" s="8" t="n"/>
      <c r="Q870" s="7" t="inlineStr">
        <is>
          <t>SEM COTAÇÃO</t>
        </is>
      </c>
      <c r="R870" s="8" t="n"/>
      <c r="S870" s="14" t="n"/>
      <c r="T870" s="7" t="inlineStr"/>
      <c r="U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8" t="n"/>
      <c r="M871" s="8" t="n"/>
      <c r="N871" s="8" t="n"/>
      <c r="O871" s="15" t="n">
        <v>30.0588</v>
      </c>
      <c r="P871" s="8" t="n"/>
      <c r="Q871" s="7" t="inlineStr">
        <is>
          <t>NAZARIA</t>
        </is>
      </c>
      <c r="R871" s="8" t="n">
        <v>30.0588</v>
      </c>
      <c r="S871" s="14">
        <f>R871/H871-1</f>
        <v/>
      </c>
      <c r="T871" s="16" t="inlineStr">
        <is>
          <t>ACIMA +61.9%</t>
        </is>
      </c>
      <c r="U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8" t="n"/>
      <c r="M872" s="8" t="n"/>
      <c r="N872" s="8" t="n"/>
      <c r="O872" s="8" t="n"/>
      <c r="P872" s="8" t="n"/>
      <c r="Q872" s="7" t="inlineStr">
        <is>
          <t>PLUSFARMA</t>
        </is>
      </c>
      <c r="R872" s="8" t="n">
        <v>8.15</v>
      </c>
      <c r="S872" s="14">
        <f>R872/H872-1</f>
        <v/>
      </c>
      <c r="T872" s="16" t="inlineStr">
        <is>
          <t>ACIMA +21.5%</t>
        </is>
      </c>
      <c r="U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8" t="n">
        <v>16.8</v>
      </c>
      <c r="L873" s="15" t="n">
        <v>12.15</v>
      </c>
      <c r="M873" s="8" t="n"/>
      <c r="N873" s="8" t="n"/>
      <c r="O873" s="8" t="n"/>
      <c r="P873" s="8" t="n"/>
      <c r="Q873" s="7" t="inlineStr">
        <is>
          <t>EPAN</t>
        </is>
      </c>
      <c r="R873" s="8" t="n">
        <v>12.15</v>
      </c>
      <c r="S873" s="14">
        <f>R873/H873-1</f>
        <v/>
      </c>
      <c r="T873" s="17" t="inlineStr">
        <is>
          <t>OK (≤ menor hist.)</t>
        </is>
      </c>
      <c r="U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2.23</v>
      </c>
      <c r="K874" s="8" t="n"/>
      <c r="L874" s="8" t="n"/>
      <c r="M874" s="8" t="n">
        <v>2.23</v>
      </c>
      <c r="N874" s="15" t="n">
        <v>2.21</v>
      </c>
      <c r="O874" s="8" t="n"/>
      <c r="P874" s="8" t="n">
        <v>2.44</v>
      </c>
      <c r="Q874" s="7" t="inlineStr">
        <is>
          <t>TAPAJOS</t>
        </is>
      </c>
      <c r="R874" s="8" t="n">
        <v>2.21</v>
      </c>
      <c r="S874" s="14">
        <f>R874/H874-1</f>
        <v/>
      </c>
      <c r="T874" s="16" t="inlineStr">
        <is>
          <t>ACIMA +4.2%</t>
        </is>
      </c>
      <c r="U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8" t="n"/>
      <c r="M875" s="8" t="n"/>
      <c r="N875" s="8" t="n"/>
      <c r="O875" s="15" t="n">
        <v>7.1214</v>
      </c>
      <c r="P875" s="8" t="n"/>
      <c r="Q875" s="7" t="inlineStr">
        <is>
          <t>NAZARIA</t>
        </is>
      </c>
      <c r="R875" s="8" t="n">
        <v>7.1214</v>
      </c>
      <c r="S875" s="14">
        <f>R875/H875-1</f>
        <v/>
      </c>
      <c r="T875" s="16" t="inlineStr">
        <is>
          <t>ACIMA +70.4%</t>
        </is>
      </c>
      <c r="U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8" t="n"/>
      <c r="M876" s="8" t="n"/>
      <c r="N876" s="8" t="n"/>
      <c r="O876" s="15" t="n">
        <v>26.3076</v>
      </c>
      <c r="P876" s="8" t="n"/>
      <c r="Q876" s="7" t="inlineStr">
        <is>
          <t>NAZARIA</t>
        </is>
      </c>
      <c r="R876" s="8" t="n">
        <v>26.3076</v>
      </c>
      <c r="S876" s="14">
        <f>R876/H876-1</f>
        <v/>
      </c>
      <c r="T876" s="16" t="inlineStr">
        <is>
          <t>ACIMA +274.8%</t>
        </is>
      </c>
      <c r="U876" s="7" t="inlineStr">
        <is>
          <t>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8" t="n">
        <v>16.95</v>
      </c>
      <c r="L877" s="8" t="n"/>
      <c r="M877" s="8" t="n"/>
      <c r="N877" s="8" t="n"/>
      <c r="O877" s="8" t="n">
        <v>21.359</v>
      </c>
      <c r="P877" s="15" t="n">
        <v>16.51</v>
      </c>
      <c r="Q877" s="7" t="inlineStr">
        <is>
          <t>MEDCENTRO</t>
        </is>
      </c>
      <c r="R877" s="8" t="n">
        <v>16.51</v>
      </c>
      <c r="S877" s="14">
        <f>R877/H877-1</f>
        <v/>
      </c>
      <c r="T877" s="16" t="inlineStr">
        <is>
          <t>ACIMA +17.3%</t>
        </is>
      </c>
      <c r="U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8" t="n"/>
      <c r="M878" s="8" t="n"/>
      <c r="N878" s="8" t="n"/>
      <c r="O878" s="8" t="n"/>
      <c r="P878" s="8" t="n"/>
      <c r="Q878" s="7" t="inlineStr">
        <is>
          <t>PLUSFARMA</t>
        </is>
      </c>
      <c r="R878" s="8" t="n">
        <v>4.75</v>
      </c>
      <c r="S878" s="14">
        <f>R878/H878-1</f>
        <v/>
      </c>
      <c r="T878" s="17" t="inlineStr">
        <is>
          <t>OK (≤ menor hist.)</t>
        </is>
      </c>
      <c r="U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8" t="n"/>
      <c r="M879" s="8" t="n"/>
      <c r="N879" s="8" t="n"/>
      <c r="O879" s="8" t="n">
        <v>28.1015</v>
      </c>
      <c r="P879" s="8" t="n"/>
      <c r="Q879" s="7" t="inlineStr">
        <is>
          <t>DIMEC</t>
        </is>
      </c>
      <c r="R879" s="8" t="n">
        <v>17.18</v>
      </c>
      <c r="S879" s="14">
        <f>R879/H879-1</f>
        <v/>
      </c>
      <c r="T879" s="16" t="inlineStr">
        <is>
          <t>ACIMA +11.7%</t>
        </is>
      </c>
      <c r="U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8" t="n"/>
      <c r="M880" s="8" t="n"/>
      <c r="N880" s="8" t="n"/>
      <c r="O880" s="8" t="n">
        <v>27.9643</v>
      </c>
      <c r="P880" s="8" t="n"/>
      <c r="Q880" s="7" t="inlineStr">
        <is>
          <t>DIMEC</t>
        </is>
      </c>
      <c r="R880" s="8" t="n">
        <v>17</v>
      </c>
      <c r="S880" s="14">
        <f>R880/H880-1</f>
        <v/>
      </c>
      <c r="T880" s="16" t="inlineStr">
        <is>
          <t>ACIMA +30.3%</t>
        </is>
      </c>
      <c r="U880" s="7" t="inlineStr">
        <is>
          <t>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8" t="n"/>
      <c r="M881" s="8" t="n"/>
      <c r="N881" s="8" t="n"/>
      <c r="O881" s="8" t="n">
        <v>7.868279999999999</v>
      </c>
      <c r="P881" s="8" t="n"/>
      <c r="Q881" s="7" t="inlineStr">
        <is>
          <t>DIMEC</t>
        </is>
      </c>
      <c r="R881" s="8" t="n">
        <v>5.44</v>
      </c>
      <c r="S881" s="14">
        <f>R881/H881-1</f>
        <v/>
      </c>
      <c r="T881" s="16" t="inlineStr">
        <is>
          <t>ACIMA +30.9%</t>
        </is>
      </c>
      <c r="U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8" t="n"/>
      <c r="M882" s="8" t="n"/>
      <c r="N882" s="8" t="n"/>
      <c r="O882" s="8" t="n"/>
      <c r="P882" s="8" t="n"/>
      <c r="Q882" s="7" t="inlineStr">
        <is>
          <t>SEM COTAÇÃO</t>
        </is>
      </c>
      <c r="R882" s="8" t="n"/>
      <c r="S882" s="14" t="n"/>
      <c r="T882" s="7" t="inlineStr"/>
      <c r="U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8" t="n"/>
      <c r="M883" s="8" t="n"/>
      <c r="N883" s="15" t="n">
        <v>21.67</v>
      </c>
      <c r="O883" s="8" t="n">
        <v>23.04</v>
      </c>
      <c r="P883" s="8" t="n"/>
      <c r="Q883" s="7" t="inlineStr">
        <is>
          <t>TAPAJOS</t>
        </is>
      </c>
      <c r="R883" s="8" t="n">
        <v>21.67</v>
      </c>
      <c r="S883" s="14">
        <f>R883/H883-1</f>
        <v/>
      </c>
      <c r="T883" s="17" t="inlineStr">
        <is>
          <t>OK (≤ últ. compra)</t>
        </is>
      </c>
      <c r="U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8" t="n"/>
      <c r="M884" s="8" t="n"/>
      <c r="N884" s="8" t="n"/>
      <c r="O884" s="8" t="n"/>
      <c r="P884" s="8" t="n"/>
      <c r="Q884" s="7" t="inlineStr">
        <is>
          <t>SEM COTAÇÃO</t>
        </is>
      </c>
      <c r="R884" s="8" t="n"/>
      <c r="S884" s="14" t="n"/>
      <c r="T884" s="7" t="inlineStr"/>
      <c r="U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15" t="n">
        <v>22.81</v>
      </c>
      <c r="M885" s="8" t="n"/>
      <c r="N885" s="8" t="n"/>
      <c r="O885" s="8" t="n">
        <v>26.0434</v>
      </c>
      <c r="P885" s="8" t="n"/>
      <c r="Q885" s="7" t="inlineStr">
        <is>
          <t>EPAN</t>
        </is>
      </c>
      <c r="R885" s="8" t="n">
        <v>22.81</v>
      </c>
      <c r="S885" s="14">
        <f>R885/H885-1</f>
        <v/>
      </c>
      <c r="T885" s="16" t="inlineStr">
        <is>
          <t>ACIMA +0.0%</t>
        </is>
      </c>
      <c r="U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8" t="n"/>
      <c r="M886" s="8" t="n"/>
      <c r="N886" s="8" t="n"/>
      <c r="O886" s="8" t="n"/>
      <c r="P886" s="8" t="n"/>
      <c r="Q886" s="7" t="inlineStr">
        <is>
          <t>SEM COTAÇÃO</t>
        </is>
      </c>
      <c r="R886" s="8" t="n"/>
      <c r="S886" s="14" t="n"/>
      <c r="T886" s="7" t="inlineStr"/>
      <c r="U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8" t="n"/>
      <c r="M887" s="8" t="n"/>
      <c r="N887" s="8" t="n"/>
      <c r="O887" s="8" t="n"/>
      <c r="P887" s="8" t="n"/>
      <c r="Q887" s="7" t="inlineStr">
        <is>
          <t>SEM COTAÇÃO</t>
        </is>
      </c>
      <c r="R887" s="8" t="n"/>
      <c r="S887" s="14" t="n"/>
      <c r="T887" s="7" t="inlineStr"/>
      <c r="U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8" t="n"/>
      <c r="M888" s="8" t="n"/>
      <c r="N888" s="8" t="n"/>
      <c r="O888" s="8" t="n"/>
      <c r="P888" s="8" t="n"/>
      <c r="Q888" s="7" t="inlineStr">
        <is>
          <t>SEM COTAÇÃO</t>
        </is>
      </c>
      <c r="R888" s="8" t="n"/>
      <c r="S888" s="14" t="n"/>
      <c r="T888" s="7" t="inlineStr"/>
      <c r="U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7" t="inlineStr">
        <is>
          <t>SEM COTAÇÃO</t>
        </is>
      </c>
      <c r="R889" s="8" t="n"/>
      <c r="S889" s="14" t="n"/>
      <c r="T889" s="7" t="inlineStr"/>
      <c r="U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8" t="n"/>
      <c r="M890" s="8" t="n"/>
      <c r="N890" s="8" t="n"/>
      <c r="O890" s="8" t="n"/>
      <c r="P890" s="8" t="n"/>
      <c r="Q890" s="7" t="inlineStr">
        <is>
          <t>SEM COTAÇÃO</t>
        </is>
      </c>
      <c r="R890" s="8" t="n"/>
      <c r="S890" s="14" t="n"/>
      <c r="T890" s="7" t="inlineStr"/>
      <c r="U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8" t="n"/>
      <c r="M891" s="8" t="n"/>
      <c r="N891" s="8" t="n"/>
      <c r="O891" s="8" t="n"/>
      <c r="P891" s="8" t="n"/>
      <c r="Q891" s="7" t="inlineStr">
        <is>
          <t>SEM COTAÇÃO</t>
        </is>
      </c>
      <c r="R891" s="8" t="n"/>
      <c r="S891" s="14" t="n"/>
      <c r="T891" s="7" t="inlineStr"/>
      <c r="U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8" t="n"/>
      <c r="M892" s="8" t="n"/>
      <c r="N892" s="8" t="n"/>
      <c r="O892" s="15" t="n">
        <v>26.0092</v>
      </c>
      <c r="P892" s="8" t="n"/>
      <c r="Q892" s="7" t="inlineStr">
        <is>
          <t>NAZARIA</t>
        </is>
      </c>
      <c r="R892" s="8" t="n">
        <v>26.0092</v>
      </c>
      <c r="S892" s="14">
        <f>R892/H892-1</f>
        <v/>
      </c>
      <c r="T892" s="16" t="inlineStr">
        <is>
          <t>ACIMA +13.1%</t>
        </is>
      </c>
      <c r="U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8" t="n"/>
      <c r="M893" s="8" t="n"/>
      <c r="N893" s="8" t="n"/>
      <c r="O893" s="15" t="n">
        <v>19.6</v>
      </c>
      <c r="P893" s="8" t="n"/>
      <c r="Q893" s="7" t="inlineStr">
        <is>
          <t>NAZARIA</t>
        </is>
      </c>
      <c r="R893" s="8" t="n">
        <v>19.6</v>
      </c>
      <c r="S893" s="14">
        <f>R893/H893-1</f>
        <v/>
      </c>
      <c r="T893" s="16" t="inlineStr">
        <is>
          <t>ACIMA +16.8%</t>
        </is>
      </c>
      <c r="U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8" t="n"/>
      <c r="M894" s="8" t="n"/>
      <c r="N894" s="8" t="n"/>
      <c r="O894" s="8" t="n"/>
      <c r="P894" s="8" t="n"/>
      <c r="Q894" s="7" t="inlineStr">
        <is>
          <t>SEM COTAÇÃO</t>
        </is>
      </c>
      <c r="R894" s="8" t="n"/>
      <c r="S894" s="14" t="n"/>
      <c r="T894" s="7" t="inlineStr"/>
      <c r="U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8" t="n"/>
      <c r="M895" s="8" t="n"/>
      <c r="N895" s="8" t="n"/>
      <c r="O895" s="8" t="n"/>
      <c r="P895" s="8" t="n"/>
      <c r="Q895" s="7" t="inlineStr">
        <is>
          <t>SEM COTAÇÃO</t>
        </is>
      </c>
      <c r="R895" s="8" t="n"/>
      <c r="S895" s="14" t="n"/>
      <c r="T895" s="7" t="inlineStr"/>
      <c r="U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8" t="n"/>
      <c r="M896" s="8" t="n"/>
      <c r="N896" s="8" t="n"/>
      <c r="O896" s="8" t="n"/>
      <c r="P896" s="8" t="n"/>
      <c r="Q896" s="7" t="inlineStr">
        <is>
          <t>SEM COTAÇÃO</t>
        </is>
      </c>
      <c r="R896" s="8" t="n"/>
      <c r="S896" s="14" t="n"/>
      <c r="T896" s="7" t="inlineStr"/>
      <c r="U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8" t="n"/>
      <c r="M897" s="8" t="n"/>
      <c r="N897" s="8" t="n"/>
      <c r="O897" s="8" t="n"/>
      <c r="P897" s="8" t="n"/>
      <c r="Q897" s="7" t="inlineStr">
        <is>
          <t>SEM COTAÇÃO</t>
        </is>
      </c>
      <c r="R897" s="8" t="n"/>
      <c r="S897" s="14" t="n"/>
      <c r="T897" s="7" t="inlineStr"/>
      <c r="U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8" t="n"/>
      <c r="M898" s="8" t="n"/>
      <c r="N898" s="8" t="n"/>
      <c r="O898" s="8" t="n"/>
      <c r="P898" s="8" t="n"/>
      <c r="Q898" s="7" t="inlineStr">
        <is>
          <t>SEM COTAÇÃO</t>
        </is>
      </c>
      <c r="R898" s="8" t="n"/>
      <c r="S898" s="14" t="n"/>
      <c r="T898" s="7" t="inlineStr"/>
      <c r="U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8" t="n"/>
      <c r="M899" s="8" t="n"/>
      <c r="N899" s="8" t="n"/>
      <c r="O899" s="8" t="n"/>
      <c r="P899" s="8" t="n"/>
      <c r="Q899" s="7" t="inlineStr">
        <is>
          <t>SEM COTAÇÃO</t>
        </is>
      </c>
      <c r="R899" s="8" t="n"/>
      <c r="S899" s="14" t="n"/>
      <c r="T899" s="7" t="inlineStr"/>
      <c r="U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8" t="n"/>
      <c r="M900" s="8" t="n"/>
      <c r="N900" s="8" t="n"/>
      <c r="O900" s="8" t="n"/>
      <c r="P900" s="8" t="n"/>
      <c r="Q900" s="7" t="inlineStr">
        <is>
          <t>SEM COTAÇÃO</t>
        </is>
      </c>
      <c r="R900" s="8" t="n"/>
      <c r="S900" s="14" t="n"/>
      <c r="T900" s="7" t="inlineStr"/>
      <c r="U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8" t="n"/>
      <c r="M901" s="8" t="n"/>
      <c r="N901" s="8" t="n"/>
      <c r="O901" s="8" t="n"/>
      <c r="P901" s="8" t="n"/>
      <c r="Q901" s="7" t="inlineStr">
        <is>
          <t>SEM COTAÇÃO</t>
        </is>
      </c>
      <c r="R901" s="8" t="n"/>
      <c r="S901" s="14" t="n"/>
      <c r="T901" s="7" t="inlineStr"/>
      <c r="U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8" t="n"/>
      <c r="M902" s="8" t="n"/>
      <c r="N902" s="8" t="n"/>
      <c r="O902" s="8" t="n">
        <v>12.87</v>
      </c>
      <c r="P902" s="8" t="n"/>
      <c r="Q902" s="7" t="inlineStr">
        <is>
          <t>SEM COTAÇÃO</t>
        </is>
      </c>
      <c r="R902" s="8" t="n"/>
      <c r="S902" s="14" t="n"/>
      <c r="T902" s="7" t="inlineStr"/>
      <c r="U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8" t="n"/>
      <c r="M903" s="8" t="n"/>
      <c r="N903" s="8" t="n"/>
      <c r="O903" s="15" t="n">
        <v>12.87</v>
      </c>
      <c r="P903" s="8" t="n"/>
      <c r="Q903" s="7" t="inlineStr">
        <is>
          <t>NAZARIA</t>
        </is>
      </c>
      <c r="R903" s="8" t="n">
        <v>12.87</v>
      </c>
      <c r="S903" s="14">
        <f>R903/H903-1</f>
        <v/>
      </c>
      <c r="T903" s="16" t="inlineStr">
        <is>
          <t>ACIMA +6.5%</t>
        </is>
      </c>
      <c r="U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8" t="n"/>
      <c r="M904" s="8" t="n"/>
      <c r="N904" s="8" t="n"/>
      <c r="O904" s="8" t="n"/>
      <c r="P904" s="8" t="n"/>
      <c r="Q904" s="7" t="inlineStr">
        <is>
          <t>SEM COTAÇÃO</t>
        </is>
      </c>
      <c r="R904" s="8" t="n"/>
      <c r="S904" s="14" t="n"/>
      <c r="T904" s="7" t="inlineStr"/>
      <c r="U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8" t="n"/>
      <c r="M905" s="8" t="n"/>
      <c r="N905" s="8" t="n"/>
      <c r="O905" s="8" t="n"/>
      <c r="P905" s="8" t="n"/>
      <c r="Q905" s="7" t="inlineStr">
        <is>
          <t>SEM COTAÇÃO</t>
        </is>
      </c>
      <c r="R905" s="8" t="n"/>
      <c r="S905" s="14" t="n"/>
      <c r="T905" s="7" t="inlineStr"/>
      <c r="U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8" t="n"/>
      <c r="M906" s="8" t="n"/>
      <c r="N906" s="8" t="n"/>
      <c r="O906" s="8" t="n"/>
      <c r="P906" s="8" t="n"/>
      <c r="Q906" s="7" t="inlineStr">
        <is>
          <t>SEM COTAÇÃO</t>
        </is>
      </c>
      <c r="R906" s="8" t="n"/>
      <c r="S906" s="14" t="n"/>
      <c r="T906" s="7" t="inlineStr"/>
      <c r="U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8" t="n"/>
      <c r="M907" s="8" t="n"/>
      <c r="N907" s="8" t="n"/>
      <c r="O907" s="8" t="n"/>
      <c r="P907" s="8" t="n"/>
      <c r="Q907" s="7" t="inlineStr">
        <is>
          <t>SEM COTAÇÃO</t>
        </is>
      </c>
      <c r="R907" s="8" t="n"/>
      <c r="S907" s="14" t="n"/>
      <c r="T907" s="7" t="inlineStr"/>
      <c r="U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8" t="n"/>
      <c r="M908" s="8" t="n"/>
      <c r="N908" s="8" t="n"/>
      <c r="O908" s="8" t="n"/>
      <c r="P908" s="8" t="n"/>
      <c r="Q908" s="7" t="inlineStr">
        <is>
          <t>SEM COTAÇÃO</t>
        </is>
      </c>
      <c r="R908" s="8" t="n"/>
      <c r="S908" s="14" t="n"/>
      <c r="T908" s="7" t="inlineStr"/>
      <c r="U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8" t="n"/>
      <c r="M909" s="8" t="n"/>
      <c r="N909" s="8" t="n"/>
      <c r="O909" s="8" t="n"/>
      <c r="P909" s="8" t="n"/>
      <c r="Q909" s="7" t="inlineStr">
        <is>
          <t>SEM COTAÇÃO</t>
        </is>
      </c>
      <c r="R909" s="8" t="n"/>
      <c r="S909" s="14" t="n"/>
      <c r="T909" s="7" t="inlineStr"/>
      <c r="U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8" t="n"/>
      <c r="M910" s="8" t="n"/>
      <c r="N910" s="8" t="n"/>
      <c r="O910" s="8" t="n"/>
      <c r="P910" s="8" t="n"/>
      <c r="Q910" s="7" t="inlineStr">
        <is>
          <t>SEM COTAÇÃO</t>
        </is>
      </c>
      <c r="R910" s="8" t="n"/>
      <c r="S910" s="14" t="n"/>
      <c r="T910" s="7" t="inlineStr"/>
      <c r="U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8" t="n"/>
      <c r="M911" s="8" t="n"/>
      <c r="N911" s="8" t="n"/>
      <c r="O911" s="8" t="n"/>
      <c r="P911" s="8" t="n"/>
      <c r="Q911" s="7" t="inlineStr">
        <is>
          <t>SEM COTAÇÃO</t>
        </is>
      </c>
      <c r="R911" s="8" t="n"/>
      <c r="S911" s="14" t="n"/>
      <c r="T911" s="7" t="inlineStr"/>
      <c r="U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8" t="n"/>
      <c r="M912" s="8" t="n"/>
      <c r="N912" s="8" t="n"/>
      <c r="O912" s="8" t="n"/>
      <c r="P912" s="8" t="n"/>
      <c r="Q912" s="7" t="inlineStr">
        <is>
          <t>SEM COTAÇÃO</t>
        </is>
      </c>
      <c r="R912" s="8" t="n"/>
      <c r="S912" s="14" t="n"/>
      <c r="T912" s="7" t="inlineStr"/>
      <c r="U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8" t="n"/>
      <c r="M913" s="8" t="n"/>
      <c r="N913" s="8" t="n"/>
      <c r="O913" s="8" t="n"/>
      <c r="P913" s="8" t="n"/>
      <c r="Q913" s="7" t="inlineStr">
        <is>
          <t>SEM COTAÇÃO</t>
        </is>
      </c>
      <c r="R913" s="8" t="n"/>
      <c r="S913" s="14" t="n"/>
      <c r="T913" s="7" t="inlineStr"/>
      <c r="U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8" t="n"/>
      <c r="M914" s="8" t="n"/>
      <c r="N914" s="8" t="n"/>
      <c r="O914" s="8" t="n"/>
      <c r="P914" s="8" t="n"/>
      <c r="Q914" s="7" t="inlineStr">
        <is>
          <t>SEM COTAÇÃO</t>
        </is>
      </c>
      <c r="R914" s="8" t="n"/>
      <c r="S914" s="14" t="n"/>
      <c r="T914" s="7" t="inlineStr"/>
      <c r="U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8" t="n"/>
      <c r="M915" s="8" t="n"/>
      <c r="N915" s="8" t="n"/>
      <c r="O915" s="8" t="n"/>
      <c r="P915" s="8" t="n"/>
      <c r="Q915" s="7" t="inlineStr">
        <is>
          <t>SEM COTAÇÃO</t>
        </is>
      </c>
      <c r="R915" s="8" t="n"/>
      <c r="S915" s="14" t="n"/>
      <c r="T915" s="7" t="inlineStr"/>
      <c r="U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8" t="n"/>
      <c r="M916" s="8" t="n"/>
      <c r="N916" s="8" t="n"/>
      <c r="O916" s="15" t="n">
        <v>47.25</v>
      </c>
      <c r="P916" s="8" t="n"/>
      <c r="Q916" s="7" t="inlineStr">
        <is>
          <t>NAZARIA</t>
        </is>
      </c>
      <c r="R916" s="8" t="n">
        <v>47.25</v>
      </c>
      <c r="S916" s="14">
        <f>R916/H916-1</f>
        <v/>
      </c>
      <c r="T916" s="16" t="inlineStr">
        <is>
          <t>ACIMA +104.2%</t>
        </is>
      </c>
      <c r="U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8" t="n"/>
      <c r="M917" s="8" t="n"/>
      <c r="N917" s="8" t="n"/>
      <c r="O917" s="8" t="n"/>
      <c r="P917" s="8" t="n"/>
      <c r="Q917" s="7" t="inlineStr">
        <is>
          <t>SEM COTAÇÃO</t>
        </is>
      </c>
      <c r="R917" s="8" t="n"/>
      <c r="S917" s="14" t="n"/>
      <c r="T917" s="7" t="inlineStr"/>
      <c r="U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8" t="n"/>
      <c r="M918" s="8" t="n"/>
      <c r="N918" s="8" t="n"/>
      <c r="O918" s="8" t="n"/>
      <c r="P918" s="8" t="n"/>
      <c r="Q918" s="7" t="inlineStr">
        <is>
          <t>SEM COTAÇÃO</t>
        </is>
      </c>
      <c r="R918" s="8" t="n"/>
      <c r="S918" s="14" t="n"/>
      <c r="T918" s="7" t="inlineStr"/>
      <c r="U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8" t="n"/>
      <c r="M919" s="8" t="n"/>
      <c r="N919" s="8" t="n"/>
      <c r="O919" s="8" t="n"/>
      <c r="P919" s="8" t="n"/>
      <c r="Q919" s="7" t="inlineStr">
        <is>
          <t>SEM COTAÇÃO</t>
        </is>
      </c>
      <c r="R919" s="8" t="n"/>
      <c r="S919" s="14" t="n"/>
      <c r="T919" s="7" t="inlineStr"/>
      <c r="U919" s="7" t="inlineStr"/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7" t="inlineStr">
        <is>
          <t>SEM COTAÇÃO</t>
        </is>
      </c>
      <c r="R920" s="8" t="n"/>
      <c r="S920" s="14" t="n"/>
      <c r="T920" s="7" t="inlineStr"/>
      <c r="U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7" t="inlineStr">
        <is>
          <t>SEM COTAÇÃO</t>
        </is>
      </c>
      <c r="R921" s="8" t="n"/>
      <c r="S921" s="14" t="n"/>
      <c r="T921" s="7" t="inlineStr"/>
      <c r="U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8" t="n"/>
      <c r="M922" s="8" t="n"/>
      <c r="N922" s="8" t="n"/>
      <c r="O922" s="8" t="n"/>
      <c r="P922" s="8" t="n"/>
      <c r="Q922" s="7" t="inlineStr">
        <is>
          <t>SEM COTAÇÃO</t>
        </is>
      </c>
      <c r="R922" s="8" t="n"/>
      <c r="S922" s="14" t="n"/>
      <c r="T922" s="7" t="inlineStr"/>
      <c r="U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7" t="inlineStr">
        <is>
          <t>SEM COTAÇÃO</t>
        </is>
      </c>
      <c r="R923" s="8" t="n"/>
      <c r="S923" s="14" t="n"/>
      <c r="T923" s="7" t="inlineStr"/>
      <c r="U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8" t="n"/>
      <c r="M924" s="8" t="n"/>
      <c r="N924" s="8" t="n"/>
      <c r="O924" s="8" t="n"/>
      <c r="P924" s="8" t="n"/>
      <c r="Q924" s="7" t="inlineStr">
        <is>
          <t>SEM COTAÇÃO</t>
        </is>
      </c>
      <c r="R924" s="8" t="n"/>
      <c r="S924" s="14" t="n"/>
      <c r="T924" s="7" t="inlineStr"/>
      <c r="U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8" t="n"/>
      <c r="M925" s="8" t="n"/>
      <c r="N925" s="8" t="n"/>
      <c r="O925" s="8" t="n"/>
      <c r="P925" s="8" t="n"/>
      <c r="Q925" s="7" t="inlineStr">
        <is>
          <t>SEM COTAÇÃO</t>
        </is>
      </c>
      <c r="R925" s="8" t="n"/>
      <c r="S925" s="14" t="n"/>
      <c r="T925" s="7" t="inlineStr"/>
      <c r="U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8" t="n"/>
      <c r="M926" s="8" t="n"/>
      <c r="N926" s="8" t="n"/>
      <c r="O926" s="8" t="n"/>
      <c r="P926" s="8" t="n"/>
      <c r="Q926" s="7" t="inlineStr">
        <is>
          <t>SEM COTAÇÃO</t>
        </is>
      </c>
      <c r="R926" s="8" t="n"/>
      <c r="S926" s="14" t="n"/>
      <c r="T926" s="7" t="inlineStr"/>
      <c r="U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8" t="n"/>
      <c r="M927" s="8" t="n">
        <v>0.67</v>
      </c>
      <c r="N927" s="8" t="n"/>
      <c r="O927" s="8" t="n"/>
      <c r="P927" s="8" t="n"/>
      <c r="Q927" s="7" t="inlineStr">
        <is>
          <t>DIMEC</t>
        </is>
      </c>
      <c r="R927" s="8" t="n">
        <v>0.6</v>
      </c>
      <c r="S927" s="14">
        <f>R927/H927-1</f>
        <v/>
      </c>
      <c r="T927" s="16" t="inlineStr">
        <is>
          <t>ACIMA +11.1%</t>
        </is>
      </c>
      <c r="U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8" t="n"/>
      <c r="M928" s="8" t="n"/>
      <c r="N928" s="8" t="n"/>
      <c r="O928" s="15" t="n">
        <v>2.128</v>
      </c>
      <c r="P928" s="8" t="n"/>
      <c r="Q928" s="7" t="inlineStr">
        <is>
          <t>NAZARIA</t>
        </is>
      </c>
      <c r="R928" s="8" t="n">
        <v>2.128</v>
      </c>
      <c r="S928" s="14">
        <f>R928/H928-1</f>
        <v/>
      </c>
      <c r="T928" s="16" t="inlineStr">
        <is>
          <t>ACIMA +58.8%</t>
        </is>
      </c>
      <c r="U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8" t="n"/>
      <c r="M929" s="8" t="n"/>
      <c r="N929" s="8" t="n"/>
      <c r="O929" s="8" t="n"/>
      <c r="P929" s="8" t="n"/>
      <c r="Q929" s="7" t="inlineStr">
        <is>
          <t>SEM COTAÇÃO</t>
        </is>
      </c>
      <c r="R929" s="8" t="n"/>
      <c r="S929" s="14" t="n"/>
      <c r="T929" s="7" t="inlineStr"/>
      <c r="U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8" t="n"/>
      <c r="M930" s="8" t="n"/>
      <c r="N930" s="8" t="n"/>
      <c r="O930" s="8" t="n"/>
      <c r="P930" s="15" t="n">
        <v>14.94</v>
      </c>
      <c r="Q930" s="7" t="inlineStr">
        <is>
          <t>MEDCENTRO</t>
        </is>
      </c>
      <c r="R930" s="8" t="n">
        <v>14.94</v>
      </c>
      <c r="S930" s="14">
        <f>R930/H930-1</f>
        <v/>
      </c>
      <c r="T930" s="17" t="inlineStr">
        <is>
          <t>OK (≤ menor hist.)</t>
        </is>
      </c>
      <c r="U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8" t="n"/>
      <c r="M931" s="8" t="n"/>
      <c r="N931" s="8" t="n"/>
      <c r="O931" s="8" t="n"/>
      <c r="P931" s="8" t="n"/>
      <c r="Q931" s="7" t="inlineStr">
        <is>
          <t>SEM COTAÇÃO</t>
        </is>
      </c>
      <c r="R931" s="8" t="n"/>
      <c r="S931" s="14" t="n"/>
      <c r="T931" s="7" t="inlineStr"/>
      <c r="U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8" t="n"/>
      <c r="M932" s="8" t="n"/>
      <c r="N932" s="8" t="n"/>
      <c r="O932" s="8" t="n"/>
      <c r="P932" s="15" t="n">
        <v>14.94</v>
      </c>
      <c r="Q932" s="7" t="inlineStr">
        <is>
          <t>MEDCENTRO</t>
        </is>
      </c>
      <c r="R932" s="8" t="n">
        <v>14.94</v>
      </c>
      <c r="S932" s="14">
        <f>R932/H932-1</f>
        <v/>
      </c>
      <c r="T932" s="17" t="inlineStr">
        <is>
          <t>OK (≤ menor hist.)</t>
        </is>
      </c>
      <c r="U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8" t="n"/>
      <c r="M933" s="8" t="n"/>
      <c r="N933" s="8" t="n"/>
      <c r="O933" s="8" t="n"/>
      <c r="P933" s="8" t="n"/>
      <c r="Q933" s="7" t="inlineStr">
        <is>
          <t>SEM COTAÇÃO</t>
        </is>
      </c>
      <c r="R933" s="8" t="n"/>
      <c r="S933" s="14" t="n"/>
      <c r="T933" s="7" t="inlineStr"/>
      <c r="U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8" t="n"/>
      <c r="M934" s="8" t="n"/>
      <c r="N934" s="8" t="n"/>
      <c r="O934" s="8" t="n"/>
      <c r="P934" s="8" t="n"/>
      <c r="Q934" s="7" t="inlineStr">
        <is>
          <t>SEM COTAÇÃO</t>
        </is>
      </c>
      <c r="R934" s="8" t="n"/>
      <c r="S934" s="14" t="n"/>
      <c r="T934" s="7" t="inlineStr"/>
      <c r="U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8" t="n"/>
      <c r="M935" s="8" t="n"/>
      <c r="N935" s="8" t="n"/>
      <c r="O935" s="8" t="n"/>
      <c r="P935" s="8" t="n"/>
      <c r="Q935" s="7" t="inlineStr">
        <is>
          <t>SEM COTAÇÃO</t>
        </is>
      </c>
      <c r="R935" s="8" t="n"/>
      <c r="S935" s="14" t="n"/>
      <c r="T935" s="7" t="inlineStr"/>
      <c r="U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8" t="n"/>
      <c r="M936" s="8" t="n"/>
      <c r="N936" s="8" t="n"/>
      <c r="O936" s="15" t="n">
        <v>18.7</v>
      </c>
      <c r="P936" s="8" t="n"/>
      <c r="Q936" s="7" t="inlineStr">
        <is>
          <t>NAZARIA</t>
        </is>
      </c>
      <c r="R936" s="8" t="n">
        <v>18.7</v>
      </c>
      <c r="S936" s="14">
        <f>R936/H936-1</f>
        <v/>
      </c>
      <c r="T936" s="16" t="inlineStr">
        <is>
          <t>ACIMA +74.4%</t>
        </is>
      </c>
      <c r="U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8" t="n"/>
      <c r="M937" s="8" t="n"/>
      <c r="N937" s="8" t="n"/>
      <c r="O937" s="8" t="n"/>
      <c r="P937" s="15" t="n">
        <v>14.94</v>
      </c>
      <c r="Q937" s="7" t="inlineStr">
        <is>
          <t>MEDCENTRO</t>
        </is>
      </c>
      <c r="R937" s="8" t="n">
        <v>14.94</v>
      </c>
      <c r="S937" s="14">
        <f>R937/H937-1</f>
        <v/>
      </c>
      <c r="T937" s="17" t="inlineStr">
        <is>
          <t>OK (≤ menor hist.)</t>
        </is>
      </c>
      <c r="U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8" t="n"/>
      <c r="M938" s="8" t="n"/>
      <c r="N938" s="8" t="n"/>
      <c r="O938" s="8" t="n"/>
      <c r="P938" s="8" t="n"/>
      <c r="Q938" s="7" t="inlineStr">
        <is>
          <t>SEM COTAÇÃO</t>
        </is>
      </c>
      <c r="R938" s="8" t="n"/>
      <c r="S938" s="14" t="n"/>
      <c r="T938" s="7" t="inlineStr"/>
      <c r="U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8" t="n"/>
      <c r="M939" s="8" t="n"/>
      <c r="N939" s="8" t="n"/>
      <c r="O939" s="8" t="n"/>
      <c r="P939" s="8" t="n"/>
      <c r="Q939" s="7" t="inlineStr">
        <is>
          <t>SEM COTAÇÃO</t>
        </is>
      </c>
      <c r="R939" s="8" t="n"/>
      <c r="S939" s="14" t="n"/>
      <c r="T939" s="7" t="inlineStr"/>
      <c r="U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8" t="n"/>
      <c r="M940" s="8" t="n"/>
      <c r="N940" s="8" t="n"/>
      <c r="O940" s="8" t="n"/>
      <c r="P940" s="8" t="n"/>
      <c r="Q940" s="7" t="inlineStr">
        <is>
          <t>SEM COTAÇÃO</t>
        </is>
      </c>
      <c r="R940" s="8" t="n"/>
      <c r="S940" s="14" t="n"/>
      <c r="T940" s="7" t="inlineStr"/>
      <c r="U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8" t="n"/>
      <c r="M941" s="8" t="n"/>
      <c r="N941" s="8" t="n"/>
      <c r="O941" s="8" t="n"/>
      <c r="P941" s="8" t="n"/>
      <c r="Q941" s="7" t="inlineStr">
        <is>
          <t>SEM COTAÇÃO</t>
        </is>
      </c>
      <c r="R941" s="8" t="n"/>
      <c r="S941" s="14" t="n"/>
      <c r="T941" s="7" t="inlineStr"/>
      <c r="U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8" t="n"/>
      <c r="M942" s="8" t="n"/>
      <c r="N942" s="8" t="n"/>
      <c r="O942" s="8" t="n"/>
      <c r="P942" s="15" t="n">
        <v>35.94</v>
      </c>
      <c r="Q942" s="7" t="inlineStr">
        <is>
          <t>MEDCENTRO</t>
        </is>
      </c>
      <c r="R942" s="8" t="n">
        <v>35.94</v>
      </c>
      <c r="S942" s="14">
        <f>R942/H942-1</f>
        <v/>
      </c>
      <c r="T942" s="17" t="inlineStr">
        <is>
          <t>OK (≤ menor hist.)</t>
        </is>
      </c>
      <c r="U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8" t="n"/>
      <c r="M943" s="8" t="n"/>
      <c r="N943" s="8" t="n"/>
      <c r="O943" s="8" t="n"/>
      <c r="P943" s="8" t="n"/>
      <c r="Q943" s="7" t="inlineStr">
        <is>
          <t>SEM COTAÇÃO</t>
        </is>
      </c>
      <c r="R943" s="8" t="n"/>
      <c r="S943" s="14" t="n"/>
      <c r="T943" s="7" t="inlineStr"/>
      <c r="U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8" t="n"/>
      <c r="M944" s="8" t="n"/>
      <c r="N944" s="8" t="n"/>
      <c r="O944" s="8" t="n"/>
      <c r="P944" s="8" t="n"/>
      <c r="Q944" s="7" t="inlineStr">
        <is>
          <t>SEM COTAÇÃO</t>
        </is>
      </c>
      <c r="R944" s="8" t="n"/>
      <c r="S944" s="14" t="n"/>
      <c r="T944" s="7" t="inlineStr"/>
      <c r="U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8" t="n"/>
      <c r="M945" s="8" t="n"/>
      <c r="N945" s="8" t="n"/>
      <c r="O945" s="8" t="n"/>
      <c r="P945" s="8" t="n"/>
      <c r="Q945" s="7" t="inlineStr">
        <is>
          <t>SEM COTAÇÃO</t>
        </is>
      </c>
      <c r="R945" s="8" t="n"/>
      <c r="S945" s="14" t="n"/>
      <c r="T945" s="7" t="inlineStr"/>
      <c r="U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8" t="n"/>
      <c r="M946" s="8" t="n"/>
      <c r="N946" s="8" t="n"/>
      <c r="O946" s="8" t="n"/>
      <c r="P946" s="8" t="n"/>
      <c r="Q946" s="7" t="inlineStr">
        <is>
          <t>SEM COTAÇÃO</t>
        </is>
      </c>
      <c r="R946" s="8" t="n"/>
      <c r="S946" s="14" t="n"/>
      <c r="T946" s="7" t="inlineStr"/>
      <c r="U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8" t="n"/>
      <c r="M947" s="8" t="n"/>
      <c r="N947" s="8" t="n"/>
      <c r="O947" s="8" t="n"/>
      <c r="P947" s="8" t="n"/>
      <c r="Q947" s="7" t="inlineStr">
        <is>
          <t>SEM COTAÇÃO</t>
        </is>
      </c>
      <c r="R947" s="8" t="n"/>
      <c r="S947" s="14" t="n"/>
      <c r="T947" s="7" t="inlineStr"/>
      <c r="U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8" t="n"/>
      <c r="M948" s="15" t="n">
        <v>6.41</v>
      </c>
      <c r="N948" s="8" t="n"/>
      <c r="O948" s="8" t="n"/>
      <c r="P948" s="8" t="n"/>
      <c r="Q948" s="7" t="inlineStr">
        <is>
          <t>CENTROFARMA</t>
        </is>
      </c>
      <c r="R948" s="8" t="n">
        <v>6.41</v>
      </c>
      <c r="S948" s="14">
        <f>R948/H948-1</f>
        <v/>
      </c>
      <c r="T948" s="16" t="inlineStr">
        <is>
          <t>ACIMA +36.1%</t>
        </is>
      </c>
      <c r="U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15" t="n">
        <v>35.98</v>
      </c>
      <c r="M949" s="8" t="n"/>
      <c r="N949" s="8" t="n"/>
      <c r="O949" s="8" t="n">
        <v>38.2568</v>
      </c>
      <c r="P949" s="8" t="n"/>
      <c r="Q949" s="7" t="inlineStr">
        <is>
          <t>EPAN</t>
        </is>
      </c>
      <c r="R949" s="8" t="n">
        <v>35.98</v>
      </c>
      <c r="S949" s="14">
        <f>R949/H949-1</f>
        <v/>
      </c>
      <c r="T949" s="17" t="inlineStr">
        <is>
          <t>OK (≤ últ. compra)</t>
        </is>
      </c>
      <c r="U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8" t="n">
        <v>52.7</v>
      </c>
      <c r="M950" s="8" t="n"/>
      <c r="N950" s="8" t="n"/>
      <c r="O950" s="8" t="n"/>
      <c r="P950" s="8" t="n"/>
      <c r="Q950" s="7" t="inlineStr">
        <is>
          <t>SEM COTAÇÃO</t>
        </is>
      </c>
      <c r="R950" s="8" t="n"/>
      <c r="S950" s="14" t="n"/>
      <c r="T950" s="7" t="inlineStr"/>
      <c r="U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8" t="n"/>
      <c r="M951" s="8" t="n"/>
      <c r="N951" s="8" t="n"/>
      <c r="O951" s="8" t="n"/>
      <c r="P951" s="8" t="n"/>
      <c r="Q951" s="7" t="inlineStr">
        <is>
          <t>SEM COTAÇÃO</t>
        </is>
      </c>
      <c r="R951" s="8" t="n"/>
      <c r="S951" s="14" t="n"/>
      <c r="T951" s="7" t="inlineStr"/>
      <c r="U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8" t="n"/>
      <c r="M952" s="8" t="n"/>
      <c r="N952" s="8" t="n"/>
      <c r="O952" s="8" t="n"/>
      <c r="P952" s="8" t="n"/>
      <c r="Q952" s="7" t="inlineStr">
        <is>
          <t>SEM COTAÇÃO</t>
        </is>
      </c>
      <c r="R952" s="8" t="n"/>
      <c r="S952" s="14" t="n"/>
      <c r="T952" s="7" t="inlineStr"/>
      <c r="U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8" t="n"/>
      <c r="M953" s="8" t="n"/>
      <c r="N953" s="8" t="n"/>
      <c r="O953" s="8" t="n"/>
      <c r="P953" s="8" t="n"/>
      <c r="Q953" s="7" t="inlineStr">
        <is>
          <t>SEM COTAÇÃO</t>
        </is>
      </c>
      <c r="R953" s="8" t="n"/>
      <c r="S953" s="14" t="n"/>
      <c r="T953" s="7" t="inlineStr"/>
      <c r="U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8" t="n"/>
      <c r="M954" s="8" t="n"/>
      <c r="N954" s="8" t="n"/>
      <c r="O954" s="8" t="n"/>
      <c r="P954" s="8" t="n"/>
      <c r="Q954" s="7" t="inlineStr">
        <is>
          <t>SEM COTAÇÃO</t>
        </is>
      </c>
      <c r="R954" s="8" t="n"/>
      <c r="S954" s="14" t="n"/>
      <c r="T954" s="7" t="inlineStr"/>
      <c r="U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8" t="n"/>
      <c r="M955" s="8" t="n"/>
      <c r="N955" s="8" t="n"/>
      <c r="O955" s="8" t="n"/>
      <c r="P955" s="8" t="n"/>
      <c r="Q955" s="7" t="inlineStr">
        <is>
          <t>SEM COTAÇÃO</t>
        </is>
      </c>
      <c r="R955" s="8" t="n"/>
      <c r="S955" s="14" t="n"/>
      <c r="T955" s="7" t="inlineStr"/>
      <c r="U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8" t="n"/>
      <c r="M956" s="8" t="n"/>
      <c r="N956" s="8" t="n"/>
      <c r="O956" s="8" t="n"/>
      <c r="P956" s="8" t="n"/>
      <c r="Q956" s="7" t="inlineStr">
        <is>
          <t>SEM COTAÇÃO</t>
        </is>
      </c>
      <c r="R956" s="8" t="n"/>
      <c r="S956" s="14" t="n"/>
      <c r="T956" s="7" t="inlineStr"/>
      <c r="U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8" t="n"/>
      <c r="M957" s="8" t="n"/>
      <c r="N957" s="8" t="n"/>
      <c r="O957" s="8" t="n"/>
      <c r="P957" s="8" t="n"/>
      <c r="Q957" s="7" t="inlineStr">
        <is>
          <t>DIMEC</t>
        </is>
      </c>
      <c r="R957" s="8" t="n">
        <v>7.97</v>
      </c>
      <c r="S957" s="14">
        <f>R957/H957-1</f>
        <v/>
      </c>
      <c r="T957" s="17" t="inlineStr">
        <is>
          <t>OK (≤ menor hist.)</t>
        </is>
      </c>
      <c r="U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8" t="n"/>
      <c r="M958" s="8" t="n"/>
      <c r="N958" s="8" t="n"/>
      <c r="O958" s="8" t="n"/>
      <c r="P958" s="8" t="n"/>
      <c r="Q958" s="7" t="inlineStr">
        <is>
          <t>DIMEC</t>
        </is>
      </c>
      <c r="R958" s="8" t="n">
        <v>3.38</v>
      </c>
      <c r="S958" s="14">
        <f>R958/H958-1</f>
        <v/>
      </c>
      <c r="T958" s="17" t="inlineStr">
        <is>
          <t>OK (≤ menor hist.)</t>
        </is>
      </c>
      <c r="U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5.82</v>
      </c>
      <c r="K959" s="8" t="n"/>
      <c r="L959" s="8" t="n"/>
      <c r="M959" s="15" t="n">
        <v>5.68</v>
      </c>
      <c r="N959" s="8" t="n"/>
      <c r="O959" s="8" t="n"/>
      <c r="P959" s="8" t="n">
        <v>6.82</v>
      </c>
      <c r="Q959" s="7" t="inlineStr">
        <is>
          <t>CENTROFARMA</t>
        </is>
      </c>
      <c r="R959" s="8" t="n">
        <v>5.68</v>
      </c>
      <c r="S959" s="14">
        <f>R959/H959-1</f>
        <v/>
      </c>
      <c r="T959" s="17" t="inlineStr">
        <is>
          <t>OK (≤ menor hist.)</t>
        </is>
      </c>
      <c r="U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8" t="n"/>
      <c r="M960" s="8" t="n"/>
      <c r="N960" s="8" t="n"/>
      <c r="O960" s="8" t="n"/>
      <c r="P960" s="8" t="n"/>
      <c r="Q960" s="7" t="inlineStr">
        <is>
          <t>DIMEC</t>
        </is>
      </c>
      <c r="R960" s="8" t="n">
        <v>5</v>
      </c>
      <c r="S960" s="14">
        <f>R960/H960-1</f>
        <v/>
      </c>
      <c r="T960" s="17" t="inlineStr">
        <is>
          <t>OK (≤ menor hist.)</t>
        </is>
      </c>
      <c r="U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8" t="n"/>
      <c r="M961" s="8" t="n">
        <v>5.57</v>
      </c>
      <c r="N961" s="8" t="n"/>
      <c r="O961" s="8" t="n"/>
      <c r="P961" s="8" t="n"/>
      <c r="Q961" s="7" t="inlineStr">
        <is>
          <t>DIMEC</t>
        </is>
      </c>
      <c r="R961" s="8" t="n">
        <v>5.24</v>
      </c>
      <c r="S961" s="14">
        <f>R961/H961-1</f>
        <v/>
      </c>
      <c r="T961" s="17" t="inlineStr">
        <is>
          <t>OK (≤ últ. compra)</t>
        </is>
      </c>
      <c r="U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8" t="n"/>
      <c r="M962" s="8" t="n">
        <v>4.16</v>
      </c>
      <c r="N962" s="8" t="n"/>
      <c r="O962" s="8" t="n"/>
      <c r="P962" s="8" t="n">
        <v>4.77</v>
      </c>
      <c r="Q962" s="7" t="inlineStr">
        <is>
          <t>DIMEC</t>
        </is>
      </c>
      <c r="R962" s="8" t="n">
        <v>3.9</v>
      </c>
      <c r="S962" s="14">
        <f>R962/H962-1</f>
        <v/>
      </c>
      <c r="T962" s="17" t="inlineStr">
        <is>
          <t>OK (≤ menor hist.)</t>
        </is>
      </c>
      <c r="U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8" t="n"/>
      <c r="M963" s="8" t="n"/>
      <c r="N963" s="8" t="n"/>
      <c r="O963" s="8" t="n"/>
      <c r="P963" s="8" t="n"/>
      <c r="Q963" s="7" t="inlineStr">
        <is>
          <t>SEM COTAÇÃO</t>
        </is>
      </c>
      <c r="R963" s="8" t="n"/>
      <c r="S963" s="14" t="n"/>
      <c r="T963" s="7" t="inlineStr"/>
      <c r="U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7" t="inlineStr">
        <is>
          <t>SEM COTAÇÃO</t>
        </is>
      </c>
      <c r="R964" s="8" t="n"/>
      <c r="S964" s="14" t="n"/>
      <c r="T964" s="7" t="inlineStr"/>
      <c r="U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8" t="n"/>
      <c r="M965" s="8" t="n"/>
      <c r="N965" s="8" t="n"/>
      <c r="O965" s="8" t="n"/>
      <c r="P965" s="8" t="n"/>
      <c r="Q965" s="7" t="inlineStr">
        <is>
          <t>SEM COTAÇÃO</t>
        </is>
      </c>
      <c r="R965" s="8" t="n"/>
      <c r="S965" s="14" t="n"/>
      <c r="T965" s="7" t="inlineStr"/>
      <c r="U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8" t="n"/>
      <c r="M966" s="8" t="n"/>
      <c r="N966" s="8" t="n"/>
      <c r="O966" s="8" t="n">
        <v>0.7125</v>
      </c>
      <c r="P966" s="8" t="n"/>
      <c r="Q966" s="7" t="inlineStr">
        <is>
          <t>SEM COTAÇÃO</t>
        </is>
      </c>
      <c r="R966" s="8" t="n"/>
      <c r="S966" s="14" t="n"/>
      <c r="T966" s="7" t="inlineStr"/>
      <c r="U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8" t="n"/>
      <c r="M967" s="8" t="n"/>
      <c r="N967" s="8" t="n"/>
      <c r="O967" s="8" t="n"/>
      <c r="P967" s="8" t="n"/>
      <c r="Q967" s="7" t="inlineStr">
        <is>
          <t>DIMEC</t>
        </is>
      </c>
      <c r="R967" s="8" t="n">
        <v>0.55</v>
      </c>
      <c r="S967" s="14">
        <f>R967/H967-1</f>
        <v/>
      </c>
      <c r="T967" s="17" t="inlineStr">
        <is>
          <t>OK (≤ últ. compra)</t>
        </is>
      </c>
      <c r="U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8" t="n"/>
      <c r="M968" s="8" t="n"/>
      <c r="N968" s="8" t="n"/>
      <c r="O968" s="8" t="n"/>
      <c r="P968" s="8" t="n"/>
      <c r="Q968" s="7" t="inlineStr">
        <is>
          <t>SEM COTAÇÃO</t>
        </is>
      </c>
      <c r="R968" s="8" t="n"/>
      <c r="S968" s="14" t="n"/>
      <c r="T968" s="7" t="inlineStr"/>
      <c r="U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8" t="n"/>
      <c r="M969" s="8" t="n"/>
      <c r="N969" s="8" t="n"/>
      <c r="O969" s="8" t="n"/>
      <c r="P969" s="8" t="n"/>
      <c r="Q969" s="7" t="inlineStr">
        <is>
          <t>DIMEC</t>
        </is>
      </c>
      <c r="R969" s="8" t="n">
        <v>0.59</v>
      </c>
      <c r="S969" s="14">
        <f>R969/H969-1</f>
        <v/>
      </c>
      <c r="T969" s="16" t="inlineStr">
        <is>
          <t>ACIMA +490.0%</t>
        </is>
      </c>
      <c r="U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8" t="n"/>
      <c r="M970" s="8" t="n"/>
      <c r="N970" s="8" t="n"/>
      <c r="O970" s="8" t="n"/>
      <c r="P970" s="8" t="n"/>
      <c r="Q970" s="7" t="inlineStr">
        <is>
          <t>DIMEC</t>
        </is>
      </c>
      <c r="R970" s="8" t="n">
        <v>0.58</v>
      </c>
      <c r="S970" s="14">
        <f>R970/H970-1</f>
        <v/>
      </c>
      <c r="T970" s="17" t="inlineStr">
        <is>
          <t>OK (≤ últ. compra)</t>
        </is>
      </c>
      <c r="U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8" t="n">
        <v>1.35</v>
      </c>
      <c r="L971" s="8" t="n"/>
      <c r="M971" s="15" t="n">
        <v>0.93</v>
      </c>
      <c r="N971" s="8" t="n"/>
      <c r="O971" s="8" t="n">
        <v>1.1305</v>
      </c>
      <c r="P971" s="8" t="n">
        <v>1.37</v>
      </c>
      <c r="Q971" s="7" t="inlineStr">
        <is>
          <t>CENTROFARMA</t>
        </is>
      </c>
      <c r="R971" s="8" t="n">
        <v>0.93</v>
      </c>
      <c r="S971" s="14">
        <f>R971/H971-1</f>
        <v/>
      </c>
      <c r="T971" s="17" t="inlineStr">
        <is>
          <t>OK (≤ menor hist.)</t>
        </is>
      </c>
      <c r="U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15" t="n">
        <v>4.3</v>
      </c>
      <c r="K972" s="8" t="n"/>
      <c r="L972" s="8" t="n"/>
      <c r="M972" s="8" t="n">
        <v>4.59</v>
      </c>
      <c r="N972" s="8" t="n"/>
      <c r="O972" s="8" t="n"/>
      <c r="P972" s="8" t="n">
        <v>4.35</v>
      </c>
      <c r="Q972" s="7" t="inlineStr">
        <is>
          <t>DIMEC</t>
        </is>
      </c>
      <c r="R972" s="8" t="n">
        <v>4.3</v>
      </c>
      <c r="S972" s="14">
        <f>R972/H972-1</f>
        <v/>
      </c>
      <c r="T972" s="16" t="inlineStr">
        <is>
          <t>ACIMA +16.5%</t>
        </is>
      </c>
      <c r="U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8" t="n"/>
      <c r="M973" s="8" t="n"/>
      <c r="N973" s="8" t="n"/>
      <c r="O973" s="8" t="n">
        <v>14.9</v>
      </c>
      <c r="P973" s="8" t="n"/>
      <c r="Q973" s="7" t="inlineStr">
        <is>
          <t>SEM COTAÇÃO</t>
        </is>
      </c>
      <c r="R973" s="8" t="n"/>
      <c r="S973" s="14" t="n"/>
      <c r="T973" s="7" t="inlineStr"/>
      <c r="U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8" t="n"/>
      <c r="M974" s="8" t="n"/>
      <c r="N974" s="8" t="n"/>
      <c r="O974" s="15" t="n">
        <v>15.42</v>
      </c>
      <c r="P974" s="8" t="n"/>
      <c r="Q974" s="7" t="inlineStr">
        <is>
          <t>NAZARIA</t>
        </is>
      </c>
      <c r="R974" s="8" t="n">
        <v>15.42</v>
      </c>
      <c r="S974" s="14">
        <f>R974/H974-1</f>
        <v/>
      </c>
      <c r="T974" s="16" t="inlineStr">
        <is>
          <t>ACIMA +5.4%</t>
        </is>
      </c>
      <c r="U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8" t="n"/>
      <c r="M975" s="8" t="n"/>
      <c r="N975" s="8" t="n"/>
      <c r="O975" s="15" t="n">
        <v>27.95</v>
      </c>
      <c r="P975" s="8" t="n"/>
      <c r="Q975" s="7" t="inlineStr">
        <is>
          <t>NAZARIA</t>
        </is>
      </c>
      <c r="R975" s="8" t="n">
        <v>27.95</v>
      </c>
      <c r="S975" s="14">
        <f>R975/H975-1</f>
        <v/>
      </c>
      <c r="T975" s="16" t="inlineStr">
        <is>
          <t>ACIMA +11.6%</t>
        </is>
      </c>
      <c r="U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8" t="n"/>
      <c r="M976" s="8" t="n"/>
      <c r="N976" s="8" t="n"/>
      <c r="O976" s="15" t="n">
        <v>15.42</v>
      </c>
      <c r="P976" s="8" t="n"/>
      <c r="Q976" s="7" t="inlineStr">
        <is>
          <t>NAZARIA</t>
        </is>
      </c>
      <c r="R976" s="8" t="n">
        <v>15.42</v>
      </c>
      <c r="S976" s="14">
        <f>R976/H976-1</f>
        <v/>
      </c>
      <c r="T976" s="16" t="inlineStr">
        <is>
          <t>ACIMA +5.4%</t>
        </is>
      </c>
      <c r="U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8" t="n"/>
      <c r="M977" s="8" t="n"/>
      <c r="N977" s="8" t="n"/>
      <c r="O977" s="8" t="n">
        <v>15.58</v>
      </c>
      <c r="P977" s="8" t="n"/>
      <c r="Q977" s="7" t="inlineStr">
        <is>
          <t>SEM COTAÇÃO</t>
        </is>
      </c>
      <c r="R977" s="8" t="n"/>
      <c r="S977" s="14" t="n"/>
      <c r="T977" s="7" t="inlineStr"/>
      <c r="U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8" t="n"/>
      <c r="M978" s="8" t="n"/>
      <c r="N978" s="8" t="n"/>
      <c r="O978" s="8" t="n"/>
      <c r="P978" s="8" t="n"/>
      <c r="Q978" s="7" t="inlineStr">
        <is>
          <t>SEM COTAÇÃO</t>
        </is>
      </c>
      <c r="R978" s="8" t="n"/>
      <c r="S978" s="14" t="n"/>
      <c r="T978" s="7" t="inlineStr"/>
      <c r="U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8" t="n"/>
      <c r="M979" s="8" t="n"/>
      <c r="N979" s="8" t="n"/>
      <c r="O979" s="8" t="n"/>
      <c r="P979" s="8" t="n"/>
      <c r="Q979" s="7" t="inlineStr">
        <is>
          <t>SEM COTAÇÃO</t>
        </is>
      </c>
      <c r="R979" s="8" t="n"/>
      <c r="S979" s="14" t="n"/>
      <c r="T979" s="7" t="inlineStr"/>
      <c r="U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8" t="n"/>
      <c r="M980" s="8" t="n"/>
      <c r="N980" s="8" t="n"/>
      <c r="O980" s="8" t="n"/>
      <c r="P980" s="8" t="n"/>
      <c r="Q980" s="7" t="inlineStr">
        <is>
          <t>SEM COTAÇÃO</t>
        </is>
      </c>
      <c r="R980" s="8" t="n"/>
      <c r="S980" s="14" t="n"/>
      <c r="T980" s="7" t="inlineStr"/>
      <c r="U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8" t="n"/>
      <c r="M981" s="8" t="n"/>
      <c r="N981" s="8" t="n"/>
      <c r="O981" s="15" t="n">
        <v>12.56</v>
      </c>
      <c r="P981" s="8" t="n"/>
      <c r="Q981" s="7" t="inlineStr">
        <is>
          <t>NAZARIA</t>
        </is>
      </c>
      <c r="R981" s="8" t="n">
        <v>12.56</v>
      </c>
      <c r="S981" s="14">
        <f>R981/H981-1</f>
        <v/>
      </c>
      <c r="T981" s="16" t="inlineStr">
        <is>
          <t>ACIMA +33.1%</t>
        </is>
      </c>
      <c r="U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8" t="n"/>
      <c r="M982" s="8" t="n"/>
      <c r="N982" s="8" t="n"/>
      <c r="O982" s="8" t="n"/>
      <c r="P982" s="8" t="n"/>
      <c r="Q982" s="7" t="inlineStr">
        <is>
          <t>SEM COTAÇÃO</t>
        </is>
      </c>
      <c r="R982" s="8" t="n"/>
      <c r="S982" s="14" t="n"/>
      <c r="T982" s="7" t="inlineStr"/>
      <c r="U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8" t="n"/>
      <c r="M983" s="8" t="n"/>
      <c r="N983" s="8" t="n"/>
      <c r="O983" s="15" t="n">
        <v>14.9</v>
      </c>
      <c r="P983" s="8" t="n"/>
      <c r="Q983" s="7" t="inlineStr">
        <is>
          <t>NAZARIA</t>
        </is>
      </c>
      <c r="R983" s="8" t="n">
        <v>14.9</v>
      </c>
      <c r="S983" s="14">
        <f>R983/H983-1</f>
        <v/>
      </c>
      <c r="T983" s="16" t="inlineStr">
        <is>
          <t>ACIMA +33.1%</t>
        </is>
      </c>
      <c r="U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8" t="n"/>
      <c r="M984" s="8" t="n"/>
      <c r="N984" s="8" t="n"/>
      <c r="O984" s="8" t="n">
        <v>23.62</v>
      </c>
      <c r="P984" s="8" t="n"/>
      <c r="Q984" s="7" t="inlineStr">
        <is>
          <t>SEM COTAÇÃO</t>
        </is>
      </c>
      <c r="R984" s="8" t="n"/>
      <c r="S984" s="14" t="n"/>
      <c r="T984" s="7" t="inlineStr"/>
      <c r="U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8" t="n"/>
      <c r="M985" s="8" t="n"/>
      <c r="N985" s="8" t="n"/>
      <c r="O985" s="8" t="n"/>
      <c r="P985" s="8" t="n"/>
      <c r="Q985" s="7" t="inlineStr">
        <is>
          <t>SEM COTAÇÃO</t>
        </is>
      </c>
      <c r="R985" s="8" t="n"/>
      <c r="S985" s="14" t="n"/>
      <c r="T985" s="7" t="inlineStr"/>
      <c r="U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8" t="n"/>
      <c r="M986" s="8" t="n"/>
      <c r="N986" s="8" t="n"/>
      <c r="O986" s="8" t="n"/>
      <c r="P986" s="8" t="n"/>
      <c r="Q986" s="7" t="inlineStr">
        <is>
          <t>SEM COTAÇÃO</t>
        </is>
      </c>
      <c r="R986" s="8" t="n"/>
      <c r="S986" s="14" t="n"/>
      <c r="T986" s="7" t="inlineStr"/>
      <c r="U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8" t="n"/>
      <c r="M987" s="8" t="n"/>
      <c r="N987" s="8" t="n"/>
      <c r="O987" s="8" t="n"/>
      <c r="P987" s="8" t="n"/>
      <c r="Q987" s="7" t="inlineStr">
        <is>
          <t>SEM COTAÇÃO</t>
        </is>
      </c>
      <c r="R987" s="8" t="n"/>
      <c r="S987" s="14" t="n"/>
      <c r="T987" s="7" t="inlineStr"/>
      <c r="U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8" t="n"/>
      <c r="M988" s="8" t="n"/>
      <c r="N988" s="8" t="n"/>
      <c r="O988" s="8" t="n"/>
      <c r="P988" s="8" t="n"/>
      <c r="Q988" s="7" t="inlineStr">
        <is>
          <t>SEM COTAÇÃO</t>
        </is>
      </c>
      <c r="R988" s="8" t="n"/>
      <c r="S988" s="14" t="n"/>
      <c r="T988" s="7" t="inlineStr"/>
      <c r="U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8" t="n"/>
      <c r="M989" s="8" t="n"/>
      <c r="N989" s="8" t="n"/>
      <c r="O989" s="8" t="n"/>
      <c r="P989" s="8" t="n"/>
      <c r="Q989" s="7" t="inlineStr">
        <is>
          <t>SEM COTAÇÃO</t>
        </is>
      </c>
      <c r="R989" s="8" t="n"/>
      <c r="S989" s="14" t="n"/>
      <c r="T989" s="7" t="inlineStr"/>
      <c r="U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8" t="n"/>
      <c r="M990" s="8" t="n"/>
      <c r="N990" s="8" t="n"/>
      <c r="O990" s="8" t="n"/>
      <c r="P990" s="8" t="n"/>
      <c r="Q990" s="7" t="inlineStr">
        <is>
          <t>SEM COTAÇÃO</t>
        </is>
      </c>
      <c r="R990" s="8" t="n"/>
      <c r="S990" s="14" t="n"/>
      <c r="T990" s="7" t="inlineStr"/>
      <c r="U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8" t="n"/>
      <c r="M991" s="8" t="n"/>
      <c r="N991" s="8" t="n"/>
      <c r="O991" s="8" t="n"/>
      <c r="P991" s="8" t="n"/>
      <c r="Q991" s="7" t="inlineStr">
        <is>
          <t>SEM COTAÇÃO</t>
        </is>
      </c>
      <c r="R991" s="8" t="n"/>
      <c r="S991" s="14" t="n"/>
      <c r="T991" s="7" t="inlineStr"/>
      <c r="U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8" t="n"/>
      <c r="M992" s="8" t="n"/>
      <c r="N992" s="8" t="n"/>
      <c r="O992" s="8" t="n"/>
      <c r="P992" s="8" t="n"/>
      <c r="Q992" s="7" t="inlineStr">
        <is>
          <t>SEM COTAÇÃO</t>
        </is>
      </c>
      <c r="R992" s="8" t="n"/>
      <c r="S992" s="14" t="n"/>
      <c r="T992" s="7" t="inlineStr"/>
      <c r="U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8" t="n"/>
      <c r="M993" s="8" t="n"/>
      <c r="N993" s="8" t="n"/>
      <c r="O993" s="8" t="n"/>
      <c r="P993" s="8" t="n"/>
      <c r="Q993" s="7" t="inlineStr">
        <is>
          <t>SEM COTAÇÃO</t>
        </is>
      </c>
      <c r="R993" s="8" t="n"/>
      <c r="S993" s="14" t="n"/>
      <c r="T993" s="7" t="inlineStr"/>
      <c r="U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8" t="n"/>
      <c r="M994" s="8" t="n"/>
      <c r="N994" s="8" t="n"/>
      <c r="O994" s="15" t="n">
        <v>12.56</v>
      </c>
      <c r="P994" s="8" t="n"/>
      <c r="Q994" s="7" t="inlineStr">
        <is>
          <t>NAZARIA</t>
        </is>
      </c>
      <c r="R994" s="8" t="n">
        <v>12.56</v>
      </c>
      <c r="S994" s="14">
        <f>R994/H994-1</f>
        <v/>
      </c>
      <c r="T994" s="16" t="inlineStr">
        <is>
          <t>ACIMA +68.6%</t>
        </is>
      </c>
      <c r="U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8" t="n"/>
      <c r="M995" s="8" t="n"/>
      <c r="N995" s="8" t="n"/>
      <c r="O995" s="8" t="n"/>
      <c r="P995" s="8" t="n"/>
      <c r="Q995" s="7" t="inlineStr">
        <is>
          <t>SEM COTAÇÃO</t>
        </is>
      </c>
      <c r="R995" s="8" t="n"/>
      <c r="S995" s="14" t="n"/>
      <c r="T995" s="7" t="inlineStr"/>
      <c r="U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8" t="n"/>
      <c r="M996" s="8" t="n"/>
      <c r="N996" s="8" t="n"/>
      <c r="O996" s="8" t="n"/>
      <c r="P996" s="8" t="n"/>
      <c r="Q996" s="7" t="inlineStr">
        <is>
          <t>SEM COTAÇÃO</t>
        </is>
      </c>
      <c r="R996" s="8" t="n"/>
      <c r="S996" s="14" t="n"/>
      <c r="T996" s="7" t="inlineStr"/>
      <c r="U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8" t="n"/>
      <c r="M997" s="8" t="n"/>
      <c r="N997" s="8" t="n"/>
      <c r="O997" s="15" t="n">
        <v>12.56</v>
      </c>
      <c r="P997" s="8" t="n"/>
      <c r="Q997" s="7" t="inlineStr">
        <is>
          <t>NAZARIA</t>
        </is>
      </c>
      <c r="R997" s="8" t="n">
        <v>12.56</v>
      </c>
      <c r="S997" s="14">
        <f>R997/H997-1</f>
        <v/>
      </c>
      <c r="T997" s="16" t="inlineStr">
        <is>
          <t>ACIMA +9.2%</t>
        </is>
      </c>
      <c r="U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8" t="n"/>
      <c r="M998" s="8" t="n"/>
      <c r="N998" s="8" t="n"/>
      <c r="O998" s="8" t="n"/>
      <c r="P998" s="8" t="n"/>
      <c r="Q998" s="7" t="inlineStr">
        <is>
          <t>SEM COTAÇÃO</t>
        </is>
      </c>
      <c r="R998" s="8" t="n"/>
      <c r="S998" s="14" t="n"/>
      <c r="T998" s="7" t="inlineStr"/>
      <c r="U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8" t="n"/>
      <c r="M999" s="8" t="n"/>
      <c r="N999" s="8" t="n"/>
      <c r="O999" s="8" t="n"/>
      <c r="P999" s="8" t="n"/>
      <c r="Q999" s="7" t="inlineStr">
        <is>
          <t>SEM COTAÇÃO</t>
        </is>
      </c>
      <c r="R999" s="8" t="n"/>
      <c r="S999" s="14" t="n"/>
      <c r="T999" s="7" t="inlineStr"/>
      <c r="U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8" t="n"/>
      <c r="M1000" s="8" t="n"/>
      <c r="N1000" s="8" t="n"/>
      <c r="O1000" s="8" t="n"/>
      <c r="P1000" s="8" t="n"/>
      <c r="Q1000" s="7" t="inlineStr">
        <is>
          <t>SEM COTAÇÃO</t>
        </is>
      </c>
      <c r="R1000" s="8" t="n"/>
      <c r="S1000" s="14" t="n"/>
      <c r="T1000" s="7" t="inlineStr"/>
      <c r="U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8" t="n"/>
      <c r="M1001" s="8" t="n"/>
      <c r="N1001" s="8" t="n"/>
      <c r="O1001" s="15" t="n">
        <v>14.9</v>
      </c>
      <c r="P1001" s="8" t="n"/>
      <c r="Q1001" s="7" t="inlineStr">
        <is>
          <t>NAZARIA</t>
        </is>
      </c>
      <c r="R1001" s="8" t="n">
        <v>14.9</v>
      </c>
      <c r="S1001" s="14">
        <f>R1001/H1001-1</f>
        <v/>
      </c>
      <c r="T1001" s="17" t="inlineStr">
        <is>
          <t>OK (≤ menor hist.)</t>
        </is>
      </c>
      <c r="U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8" t="n"/>
      <c r="M1002" s="8" t="n"/>
      <c r="N1002" s="8" t="n"/>
      <c r="O1002" s="8" t="n"/>
      <c r="P1002" s="8" t="n"/>
      <c r="Q1002" s="7" t="inlineStr">
        <is>
          <t>SEM COTAÇÃO</t>
        </is>
      </c>
      <c r="R1002" s="8" t="n"/>
      <c r="S1002" s="14" t="n"/>
      <c r="T1002" s="7" t="inlineStr"/>
      <c r="U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8" t="n"/>
      <c r="M1003" s="8" t="n"/>
      <c r="N1003" s="8" t="n"/>
      <c r="O1003" s="8" t="n"/>
      <c r="P1003" s="8" t="n"/>
      <c r="Q1003" s="7" t="inlineStr">
        <is>
          <t>SEM COTAÇÃO</t>
        </is>
      </c>
      <c r="R1003" s="8" t="n"/>
      <c r="S1003" s="14" t="n"/>
      <c r="T1003" s="7" t="inlineStr"/>
      <c r="U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8" t="n"/>
      <c r="M1004" s="8" t="n"/>
      <c r="N1004" s="8" t="n"/>
      <c r="O1004" s="8" t="n"/>
      <c r="P1004" s="8" t="n"/>
      <c r="Q1004" s="7" t="inlineStr">
        <is>
          <t>SEM COTAÇÃO</t>
        </is>
      </c>
      <c r="R1004" s="8" t="n"/>
      <c r="S1004" s="14" t="n"/>
      <c r="T1004" s="7" t="inlineStr"/>
      <c r="U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8" t="n"/>
      <c r="M1005" s="8" t="n"/>
      <c r="N1005" s="8" t="n"/>
      <c r="O1005" s="8" t="n"/>
      <c r="P1005" s="8" t="n"/>
      <c r="Q1005" s="7" t="inlineStr">
        <is>
          <t>SEM COTAÇÃO</t>
        </is>
      </c>
      <c r="R1005" s="8" t="n"/>
      <c r="S1005" s="14" t="n"/>
      <c r="T1005" s="7" t="inlineStr"/>
      <c r="U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8" t="n"/>
      <c r="M1006" s="8" t="n"/>
      <c r="N1006" s="8" t="n"/>
      <c r="O1006" s="8" t="n"/>
      <c r="P1006" s="8" t="n"/>
      <c r="Q1006" s="7" t="inlineStr">
        <is>
          <t>SEM COTAÇÃO</t>
        </is>
      </c>
      <c r="R1006" s="8" t="n"/>
      <c r="S1006" s="14" t="n"/>
      <c r="T1006" s="7" t="inlineStr"/>
      <c r="U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8" t="n"/>
      <c r="M1007" s="8" t="n"/>
      <c r="N1007" s="8" t="n"/>
      <c r="O1007" s="8" t="n"/>
      <c r="P1007" s="8" t="n"/>
      <c r="Q1007" s="7" t="inlineStr">
        <is>
          <t>SEM COTAÇÃO</t>
        </is>
      </c>
      <c r="R1007" s="8" t="n"/>
      <c r="S1007" s="14" t="n"/>
      <c r="T1007" s="7" t="inlineStr"/>
      <c r="U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8" t="n"/>
      <c r="M1008" s="8" t="n"/>
      <c r="N1008" s="8" t="n"/>
      <c r="O1008" s="8" t="n"/>
      <c r="P1008" s="8" t="n"/>
      <c r="Q1008" s="7" t="inlineStr">
        <is>
          <t>SEM COTAÇÃO</t>
        </is>
      </c>
      <c r="R1008" s="8" t="n"/>
      <c r="S1008" s="14" t="n"/>
      <c r="T1008" s="7" t="inlineStr"/>
      <c r="U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8" t="n"/>
      <c r="M1009" s="8" t="n"/>
      <c r="N1009" s="8" t="n"/>
      <c r="O1009" s="8" t="n"/>
      <c r="P1009" s="8" t="n"/>
      <c r="Q1009" s="7" t="inlineStr">
        <is>
          <t>SEM COTAÇÃO</t>
        </is>
      </c>
      <c r="R1009" s="8" t="n"/>
      <c r="S1009" s="14" t="n"/>
      <c r="T1009" s="7" t="inlineStr"/>
      <c r="U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8" t="n"/>
      <c r="M1010" s="8" t="n"/>
      <c r="N1010" s="8" t="n"/>
      <c r="O1010" s="8" t="n"/>
      <c r="P1010" s="8" t="n"/>
      <c r="Q1010" s="7" t="inlineStr">
        <is>
          <t>SEM COTAÇÃO</t>
        </is>
      </c>
      <c r="R1010" s="8" t="n"/>
      <c r="S1010" s="14" t="n"/>
      <c r="T1010" s="7" t="inlineStr"/>
      <c r="U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8" t="n"/>
      <c r="M1011" s="8" t="n"/>
      <c r="N1011" s="8" t="n"/>
      <c r="O1011" s="8" t="n"/>
      <c r="P1011" s="8" t="n"/>
      <c r="Q1011" s="7" t="inlineStr">
        <is>
          <t>SEM COTAÇÃO</t>
        </is>
      </c>
      <c r="R1011" s="8" t="n"/>
      <c r="S1011" s="14" t="n"/>
      <c r="T1011" s="7" t="inlineStr"/>
      <c r="U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8" t="n"/>
      <c r="M1012" s="8" t="n"/>
      <c r="N1012" s="8" t="n"/>
      <c r="O1012" s="8" t="n"/>
      <c r="P1012" s="8" t="n"/>
      <c r="Q1012" s="7" t="inlineStr">
        <is>
          <t>SEM COTAÇÃO</t>
        </is>
      </c>
      <c r="R1012" s="8" t="n"/>
      <c r="S1012" s="14" t="n"/>
      <c r="T1012" s="7" t="inlineStr"/>
      <c r="U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8" t="n"/>
      <c r="M1013" s="8" t="n"/>
      <c r="N1013" s="8" t="n"/>
      <c r="O1013" s="8" t="n"/>
      <c r="P1013" s="8" t="n"/>
      <c r="Q1013" s="7" t="inlineStr">
        <is>
          <t>SEM COTAÇÃO</t>
        </is>
      </c>
      <c r="R1013" s="8" t="n"/>
      <c r="S1013" s="14" t="n"/>
      <c r="T1013" s="7" t="inlineStr"/>
      <c r="U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8" t="n"/>
      <c r="M1014" s="8" t="n"/>
      <c r="N1014" s="8" t="n"/>
      <c r="O1014" s="8" t="n"/>
      <c r="P1014" s="8" t="n"/>
      <c r="Q1014" s="7" t="inlineStr">
        <is>
          <t>SEM COTAÇÃO</t>
        </is>
      </c>
      <c r="R1014" s="8" t="n"/>
      <c r="S1014" s="14" t="n"/>
      <c r="T1014" s="7" t="inlineStr"/>
      <c r="U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8" t="n"/>
      <c r="M1015" s="8" t="n"/>
      <c r="N1015" s="8" t="n"/>
      <c r="O1015" s="8" t="n"/>
      <c r="P1015" s="8" t="n"/>
      <c r="Q1015" s="7" t="inlineStr">
        <is>
          <t>SEM COTAÇÃO</t>
        </is>
      </c>
      <c r="R1015" s="8" t="n"/>
      <c r="S1015" s="14" t="n"/>
      <c r="T1015" s="7" t="inlineStr"/>
      <c r="U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8" t="n"/>
      <c r="M1016" s="8" t="n"/>
      <c r="N1016" s="15" t="n">
        <v>23.94</v>
      </c>
      <c r="O1016" s="8" t="n">
        <v>24.83325</v>
      </c>
      <c r="P1016" s="8" t="n"/>
      <c r="Q1016" s="7" t="inlineStr">
        <is>
          <t>TAPAJOS</t>
        </is>
      </c>
      <c r="R1016" s="8" t="n">
        <v>23.94</v>
      </c>
      <c r="S1016" s="14">
        <f>R1016/H1016-1</f>
        <v/>
      </c>
      <c r="T1016" s="16" t="inlineStr">
        <is>
          <t>ACIMA +1.1%</t>
        </is>
      </c>
      <c r="U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8" t="n"/>
      <c r="M1017" s="8" t="n"/>
      <c r="N1017" s="8" t="n"/>
      <c r="O1017" s="8" t="n"/>
      <c r="P1017" s="8" t="n"/>
      <c r="Q1017" s="7" t="inlineStr">
        <is>
          <t>SEM COTAÇÃO</t>
        </is>
      </c>
      <c r="R1017" s="8" t="n"/>
      <c r="S1017" s="14" t="n"/>
      <c r="T1017" s="7" t="inlineStr"/>
      <c r="U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8" t="n"/>
      <c r="M1018" s="8" t="n"/>
      <c r="N1018" s="8" t="n"/>
      <c r="O1018" s="8" t="n"/>
      <c r="P1018" s="8" t="n"/>
      <c r="Q1018" s="7" t="inlineStr">
        <is>
          <t>SEM COTAÇÃO</t>
        </is>
      </c>
      <c r="R1018" s="8" t="n"/>
      <c r="S1018" s="14" t="n"/>
      <c r="T1018" s="7" t="inlineStr"/>
      <c r="U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8" t="n"/>
      <c r="M1019" s="8" t="n"/>
      <c r="N1019" s="8" t="n"/>
      <c r="O1019" s="8" t="n"/>
      <c r="P1019" s="8" t="n"/>
      <c r="Q1019" s="7" t="inlineStr">
        <is>
          <t>SEM COTAÇÃO</t>
        </is>
      </c>
      <c r="R1019" s="8" t="n"/>
      <c r="S1019" s="14" t="n"/>
      <c r="T1019" s="7" t="inlineStr"/>
      <c r="U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8" t="n"/>
      <c r="M1020" s="8" t="n"/>
      <c r="N1020" s="8" t="n"/>
      <c r="O1020" s="8" t="n"/>
      <c r="P1020" s="8" t="n"/>
      <c r="Q1020" s="7" t="inlineStr">
        <is>
          <t>SEM COTAÇÃO</t>
        </is>
      </c>
      <c r="R1020" s="8" t="n"/>
      <c r="S1020" s="14" t="n"/>
      <c r="T1020" s="7" t="inlineStr"/>
      <c r="U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8" t="n"/>
      <c r="M1021" s="8" t="n"/>
      <c r="N1021" s="8" t="n"/>
      <c r="O1021" s="8" t="n"/>
      <c r="P1021" s="8" t="n"/>
      <c r="Q1021" s="7" t="inlineStr">
        <is>
          <t>SEM COTAÇÃO</t>
        </is>
      </c>
      <c r="R1021" s="8" t="n"/>
      <c r="S1021" s="14" t="n"/>
      <c r="T1021" s="7" t="inlineStr"/>
      <c r="U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8" t="n"/>
      <c r="M1022" s="8" t="n"/>
      <c r="N1022" s="8" t="n"/>
      <c r="O1022" s="8" t="n"/>
      <c r="P1022" s="8" t="n"/>
      <c r="Q1022" s="7" t="inlineStr">
        <is>
          <t>SEM COTAÇÃO</t>
        </is>
      </c>
      <c r="R1022" s="8" t="n"/>
      <c r="S1022" s="14" t="n"/>
      <c r="T1022" s="7" t="inlineStr"/>
      <c r="U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8" t="n"/>
      <c r="M1023" s="8" t="n"/>
      <c r="N1023" s="8" t="n"/>
      <c r="O1023" s="8" t="n"/>
      <c r="P1023" s="8" t="n"/>
      <c r="Q1023" s="7" t="inlineStr">
        <is>
          <t>SEM COTAÇÃO</t>
        </is>
      </c>
      <c r="R1023" s="8" t="n"/>
      <c r="S1023" s="14" t="n"/>
      <c r="T1023" s="7" t="inlineStr"/>
      <c r="U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8" t="n"/>
      <c r="M1024" s="8" t="n"/>
      <c r="N1024" s="8" t="n"/>
      <c r="O1024" s="8" t="n"/>
      <c r="P1024" s="8" t="n"/>
      <c r="Q1024" s="7" t="inlineStr">
        <is>
          <t>SEM COTAÇÃO</t>
        </is>
      </c>
      <c r="R1024" s="8" t="n"/>
      <c r="S1024" s="14" t="n"/>
      <c r="T1024" s="7" t="inlineStr"/>
      <c r="U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8" t="n"/>
      <c r="M1025" s="8" t="n"/>
      <c r="N1025" s="8" t="n"/>
      <c r="O1025" s="8" t="n"/>
      <c r="P1025" s="8" t="n"/>
      <c r="Q1025" s="7" t="inlineStr">
        <is>
          <t>SEM COTAÇÃO</t>
        </is>
      </c>
      <c r="R1025" s="8" t="n"/>
      <c r="S1025" s="14" t="n"/>
      <c r="T1025" s="7" t="inlineStr"/>
      <c r="U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8" t="n"/>
      <c r="M1026" s="8" t="n"/>
      <c r="N1026" s="8" t="n"/>
      <c r="O1026" s="8" t="n"/>
      <c r="P1026" s="8" t="n"/>
      <c r="Q1026" s="7" t="inlineStr">
        <is>
          <t>SEM COTAÇÃO</t>
        </is>
      </c>
      <c r="R1026" s="8" t="n"/>
      <c r="S1026" s="14" t="n"/>
      <c r="T1026" s="7" t="inlineStr"/>
      <c r="U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8" t="n">
        <v>34.79</v>
      </c>
      <c r="M1027" s="8" t="n"/>
      <c r="N1027" s="15" t="n">
        <v>33.84</v>
      </c>
      <c r="O1027" s="8" t="n">
        <v>35.2702</v>
      </c>
      <c r="P1027" s="8" t="n"/>
      <c r="Q1027" s="7" t="inlineStr">
        <is>
          <t>TAPAJOS</t>
        </is>
      </c>
      <c r="R1027" s="8" t="n">
        <v>33.84</v>
      </c>
      <c r="S1027" s="14">
        <f>R1027/H1027-1</f>
        <v/>
      </c>
      <c r="T1027" s="17" t="inlineStr">
        <is>
          <t>OK (≤ últ. compra)</t>
        </is>
      </c>
      <c r="U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8" t="n"/>
      <c r="M1028" s="8" t="n"/>
      <c r="N1028" s="8" t="n"/>
      <c r="O1028" s="15" t="n">
        <v>12.87</v>
      </c>
      <c r="P1028" s="8" t="n"/>
      <c r="Q1028" s="7" t="inlineStr">
        <is>
          <t>NAZARIA</t>
        </is>
      </c>
      <c r="R1028" s="8" t="n">
        <v>12.87</v>
      </c>
      <c r="S1028" s="14">
        <f>R1028/H1028-1</f>
        <v/>
      </c>
      <c r="T1028" s="16" t="inlineStr">
        <is>
          <t>ACIMA +2.3%</t>
        </is>
      </c>
      <c r="U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8" t="n"/>
      <c r="M1029" s="8" t="n"/>
      <c r="N1029" s="8" t="n"/>
      <c r="O1029" s="8" t="n"/>
      <c r="P1029" s="8" t="n"/>
      <c r="Q1029" s="7" t="inlineStr">
        <is>
          <t>SEM COTAÇÃO</t>
        </is>
      </c>
      <c r="R1029" s="8" t="n"/>
      <c r="S1029" s="14" t="n"/>
      <c r="T1029" s="7" t="inlineStr"/>
      <c r="U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8" t="n"/>
      <c r="M1030" s="8" t="n"/>
      <c r="N1030" s="8" t="n"/>
      <c r="O1030" s="8" t="n"/>
      <c r="P1030" s="8" t="n"/>
      <c r="Q1030" s="7" t="inlineStr">
        <is>
          <t>SEM COTAÇÃO</t>
        </is>
      </c>
      <c r="R1030" s="8" t="n"/>
      <c r="S1030" s="14" t="n"/>
      <c r="T1030" s="7" t="inlineStr"/>
      <c r="U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8" t="n"/>
      <c r="M1031" s="8" t="n"/>
      <c r="N1031" s="8" t="n"/>
      <c r="O1031" s="8" t="n"/>
      <c r="P1031" s="8" t="n"/>
      <c r="Q1031" s="7" t="inlineStr">
        <is>
          <t>SEM COTAÇÃO</t>
        </is>
      </c>
      <c r="R1031" s="8" t="n"/>
      <c r="S1031" s="14" t="n"/>
      <c r="T1031" s="7" t="inlineStr"/>
      <c r="U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8" t="n"/>
      <c r="M1032" s="8" t="n"/>
      <c r="N1032" s="8" t="n"/>
      <c r="O1032" s="8" t="n"/>
      <c r="P1032" s="8" t="n"/>
      <c r="Q1032" s="7" t="inlineStr">
        <is>
          <t>SEM COTAÇÃO</t>
        </is>
      </c>
      <c r="R1032" s="8" t="n"/>
      <c r="S1032" s="14" t="n"/>
      <c r="T1032" s="7" t="inlineStr"/>
      <c r="U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8" t="n"/>
      <c r="M1033" s="8" t="n"/>
      <c r="N1033" s="8" t="n"/>
      <c r="O1033" s="8" t="n"/>
      <c r="P1033" s="8" t="n"/>
      <c r="Q1033" s="7" t="inlineStr">
        <is>
          <t>SEM COTAÇÃO</t>
        </is>
      </c>
      <c r="R1033" s="8" t="n"/>
      <c r="S1033" s="14" t="n"/>
      <c r="T1033" s="7" t="inlineStr"/>
      <c r="U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8" t="n"/>
      <c r="M1034" s="8" t="n"/>
      <c r="N1034" s="8" t="n"/>
      <c r="O1034" s="8" t="n"/>
      <c r="P1034" s="8" t="n"/>
      <c r="Q1034" s="7" t="inlineStr">
        <is>
          <t>SEM COTAÇÃO</t>
        </is>
      </c>
      <c r="R1034" s="8" t="n"/>
      <c r="S1034" s="14" t="n"/>
      <c r="T1034" s="7" t="inlineStr"/>
      <c r="U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8" t="n"/>
      <c r="M1035" s="8" t="n"/>
      <c r="N1035" s="8" t="n"/>
      <c r="O1035" s="8" t="n"/>
      <c r="P1035" s="8" t="n"/>
      <c r="Q1035" s="7" t="inlineStr">
        <is>
          <t>SEM COTAÇÃO</t>
        </is>
      </c>
      <c r="R1035" s="8" t="n"/>
      <c r="S1035" s="14" t="n"/>
      <c r="T1035" s="7" t="inlineStr"/>
      <c r="U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8" t="n"/>
      <c r="M1036" s="8" t="n"/>
      <c r="N1036" s="8" t="n"/>
      <c r="O1036" s="8" t="n"/>
      <c r="P1036" s="8" t="n"/>
      <c r="Q1036" s="7" t="inlineStr">
        <is>
          <t>SEM COTAÇÃO</t>
        </is>
      </c>
      <c r="R1036" s="8" t="n"/>
      <c r="S1036" s="14" t="n"/>
      <c r="T1036" s="7" t="inlineStr"/>
      <c r="U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8" t="n"/>
      <c r="M1037" s="8" t="n"/>
      <c r="N1037" s="8" t="n"/>
      <c r="O1037" s="8" t="n"/>
      <c r="P1037" s="8" t="n"/>
      <c r="Q1037" s="7" t="inlineStr">
        <is>
          <t>SEM COTAÇÃO</t>
        </is>
      </c>
      <c r="R1037" s="8" t="n"/>
      <c r="S1037" s="14" t="n"/>
      <c r="T1037" s="7" t="inlineStr"/>
      <c r="U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8" t="n"/>
      <c r="M1038" s="8" t="n"/>
      <c r="N1038" s="8" t="n"/>
      <c r="O1038" s="8" t="n"/>
      <c r="P1038" s="8" t="n"/>
      <c r="Q1038" s="7" t="inlineStr">
        <is>
          <t>SEM COTAÇÃO</t>
        </is>
      </c>
      <c r="R1038" s="8" t="n"/>
      <c r="S1038" s="14" t="n"/>
      <c r="T1038" s="7" t="inlineStr"/>
      <c r="U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8" t="n"/>
      <c r="M1039" s="8" t="n"/>
      <c r="N1039" s="8" t="n"/>
      <c r="O1039" s="8" t="n"/>
      <c r="P1039" s="8" t="n"/>
      <c r="Q1039" s="7" t="inlineStr">
        <is>
          <t>SEM COTAÇÃO</t>
        </is>
      </c>
      <c r="R1039" s="8" t="n"/>
      <c r="S1039" s="14" t="n"/>
      <c r="T1039" s="7" t="inlineStr"/>
      <c r="U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8" t="n"/>
      <c r="M1040" s="8" t="n"/>
      <c r="N1040" s="8" t="n"/>
      <c r="O1040" s="8" t="n"/>
      <c r="P1040" s="8" t="n"/>
      <c r="Q1040" s="7" t="inlineStr">
        <is>
          <t>SEM COTAÇÃO</t>
        </is>
      </c>
      <c r="R1040" s="8" t="n"/>
      <c r="S1040" s="14" t="n"/>
      <c r="T1040" s="7" t="inlineStr"/>
      <c r="U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8" t="n"/>
      <c r="M1041" s="8" t="n"/>
      <c r="N1041" s="8" t="n"/>
      <c r="O1041" s="8" t="n"/>
      <c r="P1041" s="8" t="n"/>
      <c r="Q1041" s="7" t="inlineStr">
        <is>
          <t>SEM COTAÇÃO</t>
        </is>
      </c>
      <c r="R1041" s="8" t="n"/>
      <c r="S1041" s="14" t="n"/>
      <c r="T1041" s="7" t="inlineStr"/>
      <c r="U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8" t="n"/>
      <c r="M1042" s="8" t="n"/>
      <c r="N1042" s="8" t="n"/>
      <c r="O1042" s="8" t="n"/>
      <c r="P1042" s="8" t="n"/>
      <c r="Q1042" s="7" t="inlineStr">
        <is>
          <t>SEM COTAÇÃO</t>
        </is>
      </c>
      <c r="R1042" s="8" t="n"/>
      <c r="S1042" s="14" t="n"/>
      <c r="T1042" s="7" t="inlineStr"/>
      <c r="U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8" t="n"/>
      <c r="M1043" s="8" t="n"/>
      <c r="N1043" s="8" t="n"/>
      <c r="O1043" s="8" t="n"/>
      <c r="P1043" s="8" t="n"/>
      <c r="Q1043" s="7" t="inlineStr">
        <is>
          <t>SEM COTAÇÃO</t>
        </is>
      </c>
      <c r="R1043" s="8" t="n"/>
      <c r="S1043" s="14" t="n"/>
      <c r="T1043" s="7" t="inlineStr"/>
      <c r="U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8" t="n"/>
      <c r="M1044" s="8" t="n"/>
      <c r="N1044" s="8" t="n"/>
      <c r="O1044" s="8" t="n"/>
      <c r="P1044" s="8" t="n"/>
      <c r="Q1044" s="7" t="inlineStr">
        <is>
          <t>SEM COTAÇÃO</t>
        </is>
      </c>
      <c r="R1044" s="8" t="n"/>
      <c r="S1044" s="14" t="n"/>
      <c r="T1044" s="7" t="inlineStr"/>
      <c r="U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8" t="n"/>
      <c r="M1045" s="8" t="n"/>
      <c r="N1045" s="8" t="n"/>
      <c r="O1045" s="8" t="n"/>
      <c r="P1045" s="8" t="n"/>
      <c r="Q1045" s="7" t="inlineStr">
        <is>
          <t>SEM COTAÇÃO</t>
        </is>
      </c>
      <c r="R1045" s="8" t="n"/>
      <c r="S1045" s="14" t="n"/>
      <c r="T1045" s="7" t="inlineStr"/>
      <c r="U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8" t="n"/>
      <c r="M1046" s="8" t="n"/>
      <c r="N1046" s="8" t="n"/>
      <c r="O1046" s="8" t="n"/>
      <c r="P1046" s="8" t="n"/>
      <c r="Q1046" s="7" t="inlineStr">
        <is>
          <t>SEM COTAÇÃO</t>
        </is>
      </c>
      <c r="R1046" s="8" t="n"/>
      <c r="S1046" s="14" t="n"/>
      <c r="T1046" s="7" t="inlineStr"/>
      <c r="U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8" t="n"/>
      <c r="M1047" s="8" t="n"/>
      <c r="N1047" s="8" t="n"/>
      <c r="O1047" s="8" t="n"/>
      <c r="P1047" s="8" t="n"/>
      <c r="Q1047" s="7" t="inlineStr">
        <is>
          <t>SEM COTAÇÃO</t>
        </is>
      </c>
      <c r="R1047" s="8" t="n"/>
      <c r="S1047" s="14" t="n"/>
      <c r="T1047" s="7" t="inlineStr"/>
      <c r="U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8" t="n"/>
      <c r="M1048" s="8" t="n"/>
      <c r="N1048" s="8" t="n"/>
      <c r="O1048" s="8" t="n"/>
      <c r="P1048" s="8" t="n"/>
      <c r="Q1048" s="7" t="inlineStr">
        <is>
          <t>SEM COTAÇÃO</t>
        </is>
      </c>
      <c r="R1048" s="8" t="n"/>
      <c r="S1048" s="14" t="n"/>
      <c r="T1048" s="7" t="inlineStr"/>
      <c r="U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8" t="n"/>
      <c r="M1049" s="8" t="n"/>
      <c r="N1049" s="8" t="n"/>
      <c r="O1049" s="8" t="n"/>
      <c r="P1049" s="8" t="n"/>
      <c r="Q1049" s="7" t="inlineStr">
        <is>
          <t>SEM COTAÇÃO</t>
        </is>
      </c>
      <c r="R1049" s="8" t="n"/>
      <c r="S1049" s="14" t="n"/>
      <c r="T1049" s="7" t="inlineStr"/>
      <c r="U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8" t="n"/>
      <c r="M1050" s="8" t="n"/>
      <c r="N1050" s="8" t="n"/>
      <c r="O1050" s="8" t="n"/>
      <c r="P1050" s="8" t="n"/>
      <c r="Q1050" s="7" t="inlineStr">
        <is>
          <t>SEM COTAÇÃO</t>
        </is>
      </c>
      <c r="R1050" s="8" t="n"/>
      <c r="S1050" s="14" t="n"/>
      <c r="T1050" s="7" t="inlineStr"/>
      <c r="U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8" t="n"/>
      <c r="M1051" s="8" t="n"/>
      <c r="N1051" s="8" t="n"/>
      <c r="O1051" s="8" t="n"/>
      <c r="P1051" s="8" t="n"/>
      <c r="Q1051" s="7" t="inlineStr">
        <is>
          <t>SEM COTAÇÃO</t>
        </is>
      </c>
      <c r="R1051" s="8" t="n"/>
      <c r="S1051" s="14" t="n"/>
      <c r="T1051" s="7" t="inlineStr"/>
      <c r="U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8" t="n"/>
      <c r="M1052" s="8" t="n"/>
      <c r="N1052" s="8" t="n"/>
      <c r="O1052" s="8" t="n"/>
      <c r="P1052" s="8" t="n"/>
      <c r="Q1052" s="7" t="inlineStr">
        <is>
          <t>SEM COTAÇÃO</t>
        </is>
      </c>
      <c r="R1052" s="8" t="n"/>
      <c r="S1052" s="14" t="n"/>
      <c r="T1052" s="7" t="inlineStr"/>
      <c r="U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8" t="n"/>
      <c r="M1053" s="8" t="n"/>
      <c r="N1053" s="8" t="n"/>
      <c r="O1053" s="8" t="n"/>
      <c r="P1053" s="8" t="n"/>
      <c r="Q1053" s="7" t="inlineStr">
        <is>
          <t>SEM COTAÇÃO</t>
        </is>
      </c>
      <c r="R1053" s="8" t="n"/>
      <c r="S1053" s="14" t="n"/>
      <c r="T1053" s="7" t="inlineStr"/>
      <c r="U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8" t="n"/>
      <c r="M1054" s="15" t="n">
        <v>11.66</v>
      </c>
      <c r="N1054" s="8" t="n"/>
      <c r="O1054" s="8" t="n"/>
      <c r="P1054" s="8" t="n"/>
      <c r="Q1054" s="7" t="inlineStr">
        <is>
          <t>CENTROFARMA</t>
        </is>
      </c>
      <c r="R1054" s="8" t="n">
        <v>11.66</v>
      </c>
      <c r="S1054" s="14">
        <f>R1054/H1054-1</f>
        <v/>
      </c>
      <c r="T1054" s="17" t="inlineStr">
        <is>
          <t>OK (≤ menor hist.)</t>
        </is>
      </c>
      <c r="U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8" t="n"/>
      <c r="M1055" s="8" t="n"/>
      <c r="N1055" s="8" t="n"/>
      <c r="O1055" s="8" t="n"/>
      <c r="P1055" s="8" t="n"/>
      <c r="Q1055" s="7" t="inlineStr">
        <is>
          <t>SEM COTAÇÃO</t>
        </is>
      </c>
      <c r="R1055" s="8" t="n"/>
      <c r="S1055" s="14" t="n"/>
      <c r="T1055" s="7" t="inlineStr"/>
      <c r="U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8" t="n"/>
      <c r="M1056" s="8" t="n"/>
      <c r="N1056" s="8" t="n"/>
      <c r="O1056" s="15" t="n">
        <v>6.4</v>
      </c>
      <c r="P1056" s="8" t="n"/>
      <c r="Q1056" s="7" t="inlineStr">
        <is>
          <t>NAZARIA</t>
        </is>
      </c>
      <c r="R1056" s="8" t="n">
        <v>6.4</v>
      </c>
      <c r="S1056" s="14">
        <f>R1056/H1056-1</f>
        <v/>
      </c>
      <c r="T1056" s="16" t="inlineStr">
        <is>
          <t>ACIMA +3.6%</t>
        </is>
      </c>
      <c r="U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8" t="n"/>
      <c r="M1057" s="8" t="n"/>
      <c r="N1057" s="8" t="n"/>
      <c r="O1057" s="15" t="n">
        <v>42.68</v>
      </c>
      <c r="P1057" s="8" t="n"/>
      <c r="Q1057" s="7" t="inlineStr">
        <is>
          <t>NAZARIA</t>
        </is>
      </c>
      <c r="R1057" s="8" t="n">
        <v>42.68</v>
      </c>
      <c r="S1057" s="14">
        <f>R1057/H1057-1</f>
        <v/>
      </c>
      <c r="T1057" s="17" t="inlineStr">
        <is>
          <t>OK (≤ últ. compra)</t>
        </is>
      </c>
      <c r="U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8" t="n"/>
      <c r="M1058" s="8" t="n"/>
      <c r="N1058" s="8" t="n"/>
      <c r="O1058" s="8" t="n"/>
      <c r="P1058" s="8" t="n"/>
      <c r="Q1058" s="7" t="inlineStr">
        <is>
          <t>SEM COTAÇÃO</t>
        </is>
      </c>
      <c r="R1058" s="8" t="n"/>
      <c r="S1058" s="14" t="n"/>
      <c r="T1058" s="7" t="inlineStr"/>
      <c r="U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8" t="n"/>
      <c r="M1059" s="8" t="n"/>
      <c r="N1059" s="8" t="n"/>
      <c r="O1059" s="8" t="n"/>
      <c r="P1059" s="8" t="n"/>
      <c r="Q1059" s="7" t="inlineStr">
        <is>
          <t>SEM COTAÇÃO</t>
        </is>
      </c>
      <c r="R1059" s="8" t="n"/>
      <c r="S1059" s="14" t="n"/>
      <c r="T1059" s="7" t="inlineStr"/>
      <c r="U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8" t="n"/>
      <c r="M1060" s="8" t="n"/>
      <c r="N1060" s="8" t="n"/>
      <c r="O1060" s="15" t="n">
        <v>28.82</v>
      </c>
      <c r="P1060" s="8" t="n"/>
      <c r="Q1060" s="7" t="inlineStr">
        <is>
          <t>NAZARIA</t>
        </is>
      </c>
      <c r="R1060" s="8" t="n">
        <v>28.82</v>
      </c>
      <c r="S1060" s="14">
        <f>R1060/H1060-1</f>
        <v/>
      </c>
      <c r="T1060" s="16" t="inlineStr">
        <is>
          <t>ACIMA +14.1%</t>
        </is>
      </c>
      <c r="U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8" t="n"/>
      <c r="M1061" s="8" t="n"/>
      <c r="N1061" s="8" t="n"/>
      <c r="O1061" s="15" t="n">
        <v>9.75</v>
      </c>
      <c r="P1061" s="8" t="n"/>
      <c r="Q1061" s="7" t="inlineStr">
        <is>
          <t>NAZARIA</t>
        </is>
      </c>
      <c r="R1061" s="8" t="n">
        <v>9.75</v>
      </c>
      <c r="S1061" s="14">
        <f>R1061/H1061-1</f>
        <v/>
      </c>
      <c r="T1061" s="16" t="inlineStr">
        <is>
          <t>ACIMA +15.0%</t>
        </is>
      </c>
      <c r="U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8" t="n"/>
      <c r="M1062" s="8" t="n"/>
      <c r="N1062" s="8" t="n"/>
      <c r="O1062" s="8" t="n"/>
      <c r="P1062" s="8" t="n"/>
      <c r="Q1062" s="7" t="inlineStr">
        <is>
          <t>SEM COTAÇÃO</t>
        </is>
      </c>
      <c r="R1062" s="8" t="n"/>
      <c r="S1062" s="14" t="n"/>
      <c r="T1062" s="7" t="inlineStr"/>
      <c r="U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8" t="n"/>
      <c r="M1063" s="8" t="n"/>
      <c r="N1063" s="8" t="n"/>
      <c r="O1063" s="15" t="n">
        <v>14.76</v>
      </c>
      <c r="P1063" s="8" t="n"/>
      <c r="Q1063" s="7" t="inlineStr">
        <is>
          <t>NAZARIA</t>
        </is>
      </c>
      <c r="R1063" s="8" t="n">
        <v>14.76</v>
      </c>
      <c r="S1063" s="14">
        <f>R1063/H1063-1</f>
        <v/>
      </c>
      <c r="T1063" s="16" t="inlineStr">
        <is>
          <t>ACIMA +74.6%</t>
        </is>
      </c>
      <c r="U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8" t="n"/>
      <c r="M1064" s="8" t="n"/>
      <c r="N1064" s="8" t="n"/>
      <c r="O1064" s="8" t="n"/>
      <c r="P1064" s="8" t="n"/>
      <c r="Q1064" s="7" t="inlineStr">
        <is>
          <t>SEM COTAÇÃO</t>
        </is>
      </c>
      <c r="R1064" s="8" t="n"/>
      <c r="S1064" s="14" t="n"/>
      <c r="T1064" s="7" t="inlineStr"/>
      <c r="U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8" t="n"/>
      <c r="M1065" s="8" t="n"/>
      <c r="N1065" s="8" t="n"/>
      <c r="O1065" s="8" t="n"/>
      <c r="P1065" s="8" t="n"/>
      <c r="Q1065" s="7" t="inlineStr">
        <is>
          <t>SEM COTAÇÃO</t>
        </is>
      </c>
      <c r="R1065" s="8" t="n"/>
      <c r="S1065" s="14" t="n"/>
      <c r="T1065" s="7" t="inlineStr"/>
      <c r="U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8" t="n"/>
      <c r="M1066" s="8" t="n"/>
      <c r="N1066" s="8" t="n"/>
      <c r="O1066" s="8" t="n"/>
      <c r="P1066" s="8" t="n"/>
      <c r="Q1066" s="7" t="inlineStr">
        <is>
          <t>SEM COTAÇÃO</t>
        </is>
      </c>
      <c r="R1066" s="8" t="n"/>
      <c r="S1066" s="14" t="n"/>
      <c r="T1066" s="7" t="inlineStr"/>
      <c r="U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8" t="n"/>
      <c r="M1067" s="8" t="n"/>
      <c r="N1067" s="8" t="n"/>
      <c r="O1067" s="8" t="n"/>
      <c r="P1067" s="8" t="n"/>
      <c r="Q1067" s="7" t="inlineStr">
        <is>
          <t>SEM COTAÇÃO</t>
        </is>
      </c>
      <c r="R1067" s="8" t="n"/>
      <c r="S1067" s="14" t="n"/>
      <c r="T1067" s="7" t="inlineStr"/>
      <c r="U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8" t="n"/>
      <c r="M1068" s="8" t="n"/>
      <c r="N1068" s="8" t="n"/>
      <c r="O1068" s="8" t="n"/>
      <c r="P1068" s="8" t="n"/>
      <c r="Q1068" s="7" t="inlineStr">
        <is>
          <t>SEM COTAÇÃO</t>
        </is>
      </c>
      <c r="R1068" s="8" t="n"/>
      <c r="S1068" s="14" t="n"/>
      <c r="T1068" s="7" t="inlineStr"/>
      <c r="U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8" t="n"/>
      <c r="M1069" s="8" t="n"/>
      <c r="N1069" s="8" t="n"/>
      <c r="O1069" s="8" t="n"/>
      <c r="P1069" s="8" t="n"/>
      <c r="Q1069" s="7" t="inlineStr">
        <is>
          <t>SEM COTAÇÃO</t>
        </is>
      </c>
      <c r="R1069" s="8" t="n"/>
      <c r="S1069" s="14" t="n"/>
      <c r="T1069" s="7" t="inlineStr"/>
      <c r="U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8" t="n"/>
      <c r="M1070" s="8" t="n"/>
      <c r="N1070" s="8" t="n"/>
      <c r="O1070" s="8" t="n"/>
      <c r="P1070" s="8" t="n"/>
      <c r="Q1070" s="7" t="inlineStr">
        <is>
          <t>SEM COTAÇÃO</t>
        </is>
      </c>
      <c r="R1070" s="8" t="n"/>
      <c r="S1070" s="14" t="n"/>
      <c r="T1070" s="7" t="inlineStr"/>
      <c r="U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8" t="n"/>
      <c r="M1071" s="8" t="n"/>
      <c r="N1071" s="8" t="n"/>
      <c r="O1071" s="8" t="n"/>
      <c r="P1071" s="8" t="n"/>
      <c r="Q1071" s="7" t="inlineStr">
        <is>
          <t>SEM COTAÇÃO</t>
        </is>
      </c>
      <c r="R1071" s="8" t="n"/>
      <c r="S1071" s="14" t="n"/>
      <c r="T1071" s="7" t="inlineStr"/>
      <c r="U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8" t="n"/>
      <c r="M1072" s="8" t="n"/>
      <c r="N1072" s="8" t="n"/>
      <c r="O1072" s="15" t="n">
        <v>16.54</v>
      </c>
      <c r="P1072" s="8" t="n"/>
      <c r="Q1072" s="7" t="inlineStr">
        <is>
          <t>NAZARIA</t>
        </is>
      </c>
      <c r="R1072" s="8" t="n">
        <v>16.54</v>
      </c>
      <c r="S1072" s="14">
        <f>R1072/H1072-1</f>
        <v/>
      </c>
      <c r="T1072" s="16" t="inlineStr">
        <is>
          <t>ACIMA +52.1%</t>
        </is>
      </c>
      <c r="U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8" t="n"/>
      <c r="M1073" s="8" t="n"/>
      <c r="N1073" s="8" t="n"/>
      <c r="O1073" s="15" t="n">
        <v>3.87</v>
      </c>
      <c r="P1073" s="8" t="n"/>
      <c r="Q1073" s="7" t="inlineStr">
        <is>
          <t>NAZARIA</t>
        </is>
      </c>
      <c r="R1073" s="8" t="n">
        <v>3.87</v>
      </c>
      <c r="S1073" s="14">
        <f>R1073/H1073-1</f>
        <v/>
      </c>
      <c r="T1073" s="16" t="inlineStr">
        <is>
          <t>ACIMA +0.3%</t>
        </is>
      </c>
      <c r="U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8" t="n"/>
      <c r="M1074" s="8" t="n"/>
      <c r="N1074" s="8" t="n"/>
      <c r="O1074" s="15" t="n">
        <v>8.859999999999999</v>
      </c>
      <c r="P1074" s="8" t="n"/>
      <c r="Q1074" s="7" t="inlineStr">
        <is>
          <t>NAZARIA</t>
        </is>
      </c>
      <c r="R1074" s="8" t="n">
        <v>8.859999999999999</v>
      </c>
      <c r="S1074" s="14">
        <f>R1074/H1074-1</f>
        <v/>
      </c>
      <c r="T1074" s="16" t="inlineStr">
        <is>
          <t>ACIMA +21.0%</t>
        </is>
      </c>
      <c r="U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8" t="n"/>
      <c r="M1075" s="8" t="n"/>
      <c r="N1075" s="8" t="n"/>
      <c r="O1075" s="8" t="n">
        <v>13.55</v>
      </c>
      <c r="P1075" s="8" t="n"/>
      <c r="Q1075" s="7" t="inlineStr">
        <is>
          <t>SEM COTAÇÃO</t>
        </is>
      </c>
      <c r="R1075" s="8" t="n"/>
      <c r="S1075" s="14" t="n"/>
      <c r="T1075" s="7" t="inlineStr"/>
      <c r="U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8" t="n"/>
      <c r="M1076" s="8" t="n"/>
      <c r="N1076" s="8" t="n"/>
      <c r="O1076" s="15" t="n">
        <v>9.43</v>
      </c>
      <c r="P1076" s="8" t="n"/>
      <c r="Q1076" s="7" t="inlineStr">
        <is>
          <t>NAZARIA</t>
        </is>
      </c>
      <c r="R1076" s="8" t="n">
        <v>9.43</v>
      </c>
      <c r="S1076" s="14">
        <f>R1076/H1076-1</f>
        <v/>
      </c>
      <c r="T1076" s="16" t="inlineStr">
        <is>
          <t>ACIMA +52.5%</t>
        </is>
      </c>
      <c r="U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8" t="n"/>
      <c r="M1077" s="8" t="n"/>
      <c r="N1077" s="8" t="n"/>
      <c r="O1077" s="15" t="n">
        <v>10.05</v>
      </c>
      <c r="P1077" s="8" t="n"/>
      <c r="Q1077" s="7" t="inlineStr">
        <is>
          <t>NAZARIA</t>
        </is>
      </c>
      <c r="R1077" s="8" t="n">
        <v>10.05</v>
      </c>
      <c r="S1077" s="14">
        <f>R1077/H1077-1</f>
        <v/>
      </c>
      <c r="T1077" s="16" t="inlineStr">
        <is>
          <t>ACIMA +63.9%</t>
        </is>
      </c>
      <c r="U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8" t="n"/>
      <c r="M1078" s="8" t="n"/>
      <c r="N1078" s="8" t="n"/>
      <c r="O1078" s="8" t="n"/>
      <c r="P1078" s="8" t="n"/>
      <c r="Q1078" s="7" t="inlineStr">
        <is>
          <t>SEM COTAÇÃO</t>
        </is>
      </c>
      <c r="R1078" s="8" t="n"/>
      <c r="S1078" s="14" t="n"/>
      <c r="T1078" s="7" t="inlineStr"/>
      <c r="U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8" t="n"/>
      <c r="M1079" s="8" t="n"/>
      <c r="N1079" s="8" t="n"/>
      <c r="O1079" s="15" t="n">
        <v>17.79</v>
      </c>
      <c r="P1079" s="8" t="n"/>
      <c r="Q1079" s="7" t="inlineStr">
        <is>
          <t>NAZARIA</t>
        </is>
      </c>
      <c r="R1079" s="8" t="n">
        <v>17.79</v>
      </c>
      <c r="S1079" s="14">
        <f>R1079/H1079-1</f>
        <v/>
      </c>
      <c r="T1079" s="16" t="inlineStr">
        <is>
          <t>ACIMA +48.2%</t>
        </is>
      </c>
      <c r="U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8" t="n"/>
      <c r="M1080" s="8" t="n"/>
      <c r="N1080" s="8" t="n"/>
      <c r="O1080" s="8" t="n"/>
      <c r="P1080" s="8" t="n"/>
      <c r="Q1080" s="7" t="inlineStr">
        <is>
          <t>SEM COTAÇÃO</t>
        </is>
      </c>
      <c r="R1080" s="8" t="n"/>
      <c r="S1080" s="14" t="n"/>
      <c r="T1080" s="7" t="inlineStr"/>
      <c r="U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8" t="n"/>
      <c r="M1081" s="8" t="n"/>
      <c r="N1081" s="8" t="n"/>
      <c r="O1081" s="15" t="n">
        <v>18.55</v>
      </c>
      <c r="P1081" s="8" t="n"/>
      <c r="Q1081" s="7" t="inlineStr">
        <is>
          <t>NAZARIA</t>
        </is>
      </c>
      <c r="R1081" s="8" t="n">
        <v>18.55</v>
      </c>
      <c r="S1081" s="14">
        <f>R1081/H1081-1</f>
        <v/>
      </c>
      <c r="T1081" s="16" t="inlineStr">
        <is>
          <t>ACIMA +69.8%</t>
        </is>
      </c>
      <c r="U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8" t="n"/>
      <c r="M1082" s="8" t="n"/>
      <c r="N1082" s="8" t="n"/>
      <c r="O1082" s="8" t="n"/>
      <c r="P1082" s="8" t="n"/>
      <c r="Q1082" s="7" t="inlineStr">
        <is>
          <t>SEM COTAÇÃO</t>
        </is>
      </c>
      <c r="R1082" s="8" t="n"/>
      <c r="S1082" s="14" t="n"/>
      <c r="T1082" s="7" t="inlineStr"/>
      <c r="U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8" t="n"/>
      <c r="M1083" s="8" t="n"/>
      <c r="N1083" s="8" t="n"/>
      <c r="O1083" s="8" t="n"/>
      <c r="P1083" s="8" t="n"/>
      <c r="Q1083" s="7" t="inlineStr">
        <is>
          <t>SEM COTAÇÃO</t>
        </is>
      </c>
      <c r="R1083" s="8" t="n"/>
      <c r="S1083" s="14" t="n"/>
      <c r="T1083" s="7" t="inlineStr"/>
      <c r="U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15" t="n">
        <v>19.6</v>
      </c>
      <c r="M1084" s="8" t="n"/>
      <c r="N1084" s="8" t="n"/>
      <c r="O1084" s="8" t="n">
        <v>29.99</v>
      </c>
      <c r="P1084" s="8" t="n"/>
      <c r="Q1084" s="7" t="inlineStr">
        <is>
          <t>EPAN</t>
        </is>
      </c>
      <c r="R1084" s="8" t="n">
        <v>19.6</v>
      </c>
      <c r="S1084" s="14">
        <f>R1084/H1084-1</f>
        <v/>
      </c>
      <c r="T1084" s="17" t="inlineStr">
        <is>
          <t>OK (≤ menor hist.)</t>
        </is>
      </c>
      <c r="U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15" t="n">
        <v>20.91</v>
      </c>
      <c r="M1085" s="8" t="n"/>
      <c r="N1085" s="8" t="n"/>
      <c r="O1085" s="8" t="n">
        <v>29.99</v>
      </c>
      <c r="P1085" s="8" t="n"/>
      <c r="Q1085" s="7" t="inlineStr">
        <is>
          <t>EPAN</t>
        </is>
      </c>
      <c r="R1085" s="8" t="n">
        <v>20.91</v>
      </c>
      <c r="S1085" s="14">
        <f>R1085/H1085-1</f>
        <v/>
      </c>
      <c r="T1085" s="17" t="inlineStr">
        <is>
          <t>OK (≤ menor hist.)</t>
        </is>
      </c>
      <c r="U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8" t="n"/>
      <c r="M1086" s="8" t="n"/>
      <c r="N1086" s="8" t="n"/>
      <c r="O1086" s="8" t="n"/>
      <c r="P1086" s="8" t="n"/>
      <c r="Q1086" s="7" t="inlineStr">
        <is>
          <t>SEM COTAÇÃO</t>
        </is>
      </c>
      <c r="R1086" s="8" t="n"/>
      <c r="S1086" s="14" t="n"/>
      <c r="T1086" s="7" t="inlineStr"/>
      <c r="U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8" t="n"/>
      <c r="M1087" s="8" t="n"/>
      <c r="N1087" s="8" t="n"/>
      <c r="O1087" s="8" t="n"/>
      <c r="P1087" s="8" t="n"/>
      <c r="Q1087" s="7" t="inlineStr">
        <is>
          <t>SEM COTAÇÃO</t>
        </is>
      </c>
      <c r="R1087" s="8" t="n"/>
      <c r="S1087" s="14" t="n"/>
      <c r="T1087" s="7" t="inlineStr"/>
      <c r="U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8" t="n"/>
      <c r="M1088" s="8" t="n"/>
      <c r="N1088" s="8" t="n"/>
      <c r="O1088" s="8" t="n"/>
      <c r="P1088" s="8" t="n"/>
      <c r="Q1088" s="7" t="inlineStr">
        <is>
          <t>SEM COTAÇÃO</t>
        </is>
      </c>
      <c r="R1088" s="8" t="n"/>
      <c r="S1088" s="14" t="n"/>
      <c r="T1088" s="7" t="inlineStr"/>
      <c r="U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15" t="n">
        <v>10.98</v>
      </c>
      <c r="M1089" s="8" t="n"/>
      <c r="N1089" s="8" t="n"/>
      <c r="O1089" s="8" t="n">
        <v>15.32</v>
      </c>
      <c r="P1089" s="8" t="n"/>
      <c r="Q1089" s="7" t="inlineStr">
        <is>
          <t>EPAN</t>
        </is>
      </c>
      <c r="R1089" s="8" t="n">
        <v>10.98</v>
      </c>
      <c r="S1089" s="14">
        <f>R1089/H1089-1</f>
        <v/>
      </c>
      <c r="T1089" s="17" t="inlineStr">
        <is>
          <t>OK (≤ menor hist.)</t>
        </is>
      </c>
      <c r="U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15" t="n">
        <v>10.98</v>
      </c>
      <c r="M1090" s="8" t="n"/>
      <c r="N1090" s="8" t="n"/>
      <c r="O1090" s="8" t="n">
        <v>15.32</v>
      </c>
      <c r="P1090" s="8" t="n"/>
      <c r="Q1090" s="7" t="inlineStr">
        <is>
          <t>EPAN</t>
        </is>
      </c>
      <c r="R1090" s="8" t="n">
        <v>10.98</v>
      </c>
      <c r="S1090" s="14">
        <f>R1090/H1090-1</f>
        <v/>
      </c>
      <c r="T1090" s="17" t="inlineStr">
        <is>
          <t>OK (≤ últ. compra)</t>
        </is>
      </c>
      <c r="U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8" t="n"/>
      <c r="M1091" s="8" t="n"/>
      <c r="N1091" s="8" t="n"/>
      <c r="O1091" s="8" t="n"/>
      <c r="P1091" s="8" t="n"/>
      <c r="Q1091" s="7" t="inlineStr">
        <is>
          <t>SEM COTAÇÃO</t>
        </is>
      </c>
      <c r="R1091" s="8" t="n"/>
      <c r="S1091" s="14" t="n"/>
      <c r="T1091" s="7" t="inlineStr"/>
      <c r="U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15" t="n">
        <v>24.32</v>
      </c>
      <c r="M1092" s="8" t="n"/>
      <c r="N1092" s="8" t="n"/>
      <c r="O1092" s="8" t="n">
        <v>34.14</v>
      </c>
      <c r="P1092" s="8" t="n"/>
      <c r="Q1092" s="7" t="inlineStr">
        <is>
          <t>EPAN</t>
        </is>
      </c>
      <c r="R1092" s="8" t="n">
        <v>24.32</v>
      </c>
      <c r="S1092" s="14">
        <f>R1092/H1092-1</f>
        <v/>
      </c>
      <c r="T1092" s="17" t="inlineStr">
        <is>
          <t>OK (≤ menor hist.)</t>
        </is>
      </c>
      <c r="U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8" t="n"/>
      <c r="M1093" s="8" t="n"/>
      <c r="N1093" s="8" t="n"/>
      <c r="O1093" s="15" t="n">
        <v>8.08</v>
      </c>
      <c r="P1093" s="8" t="n"/>
      <c r="Q1093" s="7" t="inlineStr">
        <is>
          <t>NAZARIA</t>
        </is>
      </c>
      <c r="R1093" s="8" t="n">
        <v>8.08</v>
      </c>
      <c r="S1093" s="14">
        <f>R1093/H1093-1</f>
        <v/>
      </c>
      <c r="T1093" s="16" t="inlineStr">
        <is>
          <t>ACIMA +76.8%</t>
        </is>
      </c>
      <c r="U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8" t="n"/>
      <c r="M1094" s="8" t="n"/>
      <c r="N1094" s="8" t="n"/>
      <c r="O1094" s="8" t="n"/>
      <c r="P1094" s="8" t="n"/>
      <c r="Q1094" s="7" t="inlineStr">
        <is>
          <t>SEM COTAÇÃO</t>
        </is>
      </c>
      <c r="R1094" s="8" t="n"/>
      <c r="S1094" s="14" t="n"/>
      <c r="T1094" s="7" t="inlineStr"/>
      <c r="U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8" t="n"/>
      <c r="M1095" s="8" t="n"/>
      <c r="N1095" s="8" t="n"/>
      <c r="O1095" s="8" t="n"/>
      <c r="P1095" s="8" t="n"/>
      <c r="Q1095" s="7" t="inlineStr">
        <is>
          <t>SEM COTAÇÃO</t>
        </is>
      </c>
      <c r="R1095" s="8" t="n"/>
      <c r="S1095" s="14" t="n"/>
      <c r="T1095" s="7" t="inlineStr"/>
      <c r="U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8" t="n"/>
      <c r="M1096" s="8" t="n"/>
      <c r="N1096" s="8" t="n"/>
      <c r="O1096" s="8" t="n"/>
      <c r="P1096" s="8" t="n"/>
      <c r="Q1096" s="7" t="inlineStr">
        <is>
          <t>SEM COTAÇÃO</t>
        </is>
      </c>
      <c r="R1096" s="8" t="n"/>
      <c r="S1096" s="14" t="n"/>
      <c r="T1096" s="7" t="inlineStr"/>
      <c r="U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8" t="n"/>
      <c r="M1097" s="8" t="n"/>
      <c r="N1097" s="8" t="n"/>
      <c r="O1097" s="8" t="n"/>
      <c r="P1097" s="8" t="n"/>
      <c r="Q1097" s="7" t="inlineStr">
        <is>
          <t>SEM COTAÇÃO</t>
        </is>
      </c>
      <c r="R1097" s="8" t="n"/>
      <c r="S1097" s="14" t="n"/>
      <c r="T1097" s="7" t="inlineStr"/>
      <c r="U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8" t="n"/>
      <c r="M1098" s="8" t="n"/>
      <c r="N1098" s="8" t="n"/>
      <c r="O1098" s="8" t="n"/>
      <c r="P1098" s="8" t="n"/>
      <c r="Q1098" s="7" t="inlineStr">
        <is>
          <t>SEM COTAÇÃO</t>
        </is>
      </c>
      <c r="R1098" s="8" t="n"/>
      <c r="S1098" s="14" t="n"/>
      <c r="T1098" s="7" t="inlineStr"/>
      <c r="U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8" t="n"/>
      <c r="M1099" s="8" t="n"/>
      <c r="N1099" s="8" t="n"/>
      <c r="O1099" s="8" t="n"/>
      <c r="P1099" s="8" t="n"/>
      <c r="Q1099" s="7" t="inlineStr">
        <is>
          <t>SEM COTAÇÃO</t>
        </is>
      </c>
      <c r="R1099" s="8" t="n"/>
      <c r="S1099" s="14" t="n"/>
      <c r="T1099" s="7" t="inlineStr"/>
      <c r="U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8" t="n"/>
      <c r="M1100" s="8" t="n"/>
      <c r="N1100" s="8" t="n"/>
      <c r="O1100" s="8" t="n"/>
      <c r="P1100" s="8" t="n"/>
      <c r="Q1100" s="7" t="inlineStr">
        <is>
          <t>SEM COTAÇÃO</t>
        </is>
      </c>
      <c r="R1100" s="8" t="n"/>
      <c r="S1100" s="14" t="n"/>
      <c r="T1100" s="7" t="inlineStr"/>
      <c r="U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8" t="n"/>
      <c r="M1101" s="8" t="n"/>
      <c r="N1101" s="8" t="n"/>
      <c r="O1101" s="8" t="n"/>
      <c r="P1101" s="8" t="n"/>
      <c r="Q1101" s="7" t="inlineStr">
        <is>
          <t>SEM COTAÇÃO</t>
        </is>
      </c>
      <c r="R1101" s="8" t="n"/>
      <c r="S1101" s="14" t="n"/>
      <c r="T1101" s="7" t="inlineStr"/>
      <c r="U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8" t="n"/>
      <c r="M1102" s="8" t="n"/>
      <c r="N1102" s="8" t="n"/>
      <c r="O1102" s="8" t="n"/>
      <c r="P1102" s="8" t="n"/>
      <c r="Q1102" s="7" t="inlineStr">
        <is>
          <t>SEM COTAÇÃO</t>
        </is>
      </c>
      <c r="R1102" s="8" t="n"/>
      <c r="S1102" s="14" t="n"/>
      <c r="T1102" s="7" t="inlineStr"/>
      <c r="U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8" t="n"/>
      <c r="M1103" s="8" t="n"/>
      <c r="N1103" s="8" t="n"/>
      <c r="O1103" s="8" t="n"/>
      <c r="P1103" s="8" t="n"/>
      <c r="Q1103" s="7" t="inlineStr">
        <is>
          <t>SEM COTAÇÃO</t>
        </is>
      </c>
      <c r="R1103" s="8" t="n"/>
      <c r="S1103" s="14" t="n"/>
      <c r="T1103" s="7" t="inlineStr"/>
      <c r="U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8" t="n"/>
      <c r="M1104" s="8" t="n"/>
      <c r="N1104" s="8" t="n"/>
      <c r="O1104" s="8" t="n"/>
      <c r="P1104" s="8" t="n"/>
      <c r="Q1104" s="7" t="inlineStr">
        <is>
          <t>SEM COTAÇÃO</t>
        </is>
      </c>
      <c r="R1104" s="8" t="n"/>
      <c r="S1104" s="14" t="n"/>
      <c r="T1104" s="7" t="inlineStr"/>
      <c r="U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8" t="n"/>
      <c r="M1105" s="8" t="n"/>
      <c r="N1105" s="8" t="n"/>
      <c r="O1105" s="8" t="n"/>
      <c r="P1105" s="8" t="n"/>
      <c r="Q1105" s="7" t="inlineStr">
        <is>
          <t>SEM COTAÇÃO</t>
        </is>
      </c>
      <c r="R1105" s="8" t="n"/>
      <c r="S1105" s="14" t="n"/>
      <c r="T1105" s="7" t="inlineStr"/>
      <c r="U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8" t="n"/>
      <c r="M1106" s="8" t="n"/>
      <c r="N1106" s="8" t="n"/>
      <c r="O1106" s="15" t="n">
        <v>15.92</v>
      </c>
      <c r="P1106" s="8" t="n"/>
      <c r="Q1106" s="7" t="inlineStr">
        <is>
          <t>NAZARIA</t>
        </is>
      </c>
      <c r="R1106" s="8" t="n">
        <v>15.92</v>
      </c>
      <c r="S1106" s="14">
        <f>R1106/H1106-1</f>
        <v/>
      </c>
      <c r="T1106" s="16" t="inlineStr">
        <is>
          <t>ACIMA +7.9%</t>
        </is>
      </c>
      <c r="U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8" t="n"/>
      <c r="M1107" s="8" t="n"/>
      <c r="N1107" s="8" t="n"/>
      <c r="O1107" s="8" t="n"/>
      <c r="P1107" s="8" t="n"/>
      <c r="Q1107" s="7" t="inlineStr">
        <is>
          <t>SEM COTAÇÃO</t>
        </is>
      </c>
      <c r="R1107" s="8" t="n"/>
      <c r="S1107" s="14" t="n"/>
      <c r="T1107" s="7" t="inlineStr"/>
      <c r="U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8" t="n"/>
      <c r="M1108" s="8" t="n"/>
      <c r="N1108" s="8" t="n"/>
      <c r="O1108" s="8" t="n"/>
      <c r="P1108" s="8" t="n"/>
      <c r="Q1108" s="7" t="inlineStr">
        <is>
          <t>SEM COTAÇÃO</t>
        </is>
      </c>
      <c r="R1108" s="8" t="n"/>
      <c r="S1108" s="14" t="n"/>
      <c r="T1108" s="7" t="inlineStr"/>
      <c r="U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8" t="n"/>
      <c r="M1109" s="8" t="n"/>
      <c r="N1109" s="8" t="n"/>
      <c r="O1109" s="8" t="n"/>
      <c r="P1109" s="8" t="n"/>
      <c r="Q1109" s="7" t="inlineStr">
        <is>
          <t>SEM COTAÇÃO</t>
        </is>
      </c>
      <c r="R1109" s="8" t="n"/>
      <c r="S1109" s="14" t="n"/>
      <c r="T1109" s="7" t="inlineStr"/>
      <c r="U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8" t="n"/>
      <c r="M1110" s="8" t="n"/>
      <c r="N1110" s="8" t="n"/>
      <c r="O1110" s="8" t="n">
        <v>22.09</v>
      </c>
      <c r="P1110" s="8" t="n"/>
      <c r="Q1110" s="7" t="inlineStr">
        <is>
          <t>SEM COTAÇÃO</t>
        </is>
      </c>
      <c r="R1110" s="8" t="n"/>
      <c r="S1110" s="14" t="n"/>
      <c r="T1110" s="7" t="inlineStr"/>
      <c r="U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8" t="n"/>
      <c r="M1111" s="8" t="n"/>
      <c r="N1111" s="8" t="n"/>
      <c r="O1111" s="8" t="n">
        <v>22.09</v>
      </c>
      <c r="P1111" s="8" t="n"/>
      <c r="Q1111" s="7" t="inlineStr">
        <is>
          <t>SEM COTAÇÃO</t>
        </is>
      </c>
      <c r="R1111" s="8" t="n"/>
      <c r="S1111" s="14" t="n"/>
      <c r="T1111" s="7" t="inlineStr"/>
      <c r="U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8" t="n"/>
      <c r="M1112" s="8" t="n"/>
      <c r="N1112" s="8" t="n"/>
      <c r="O1112" s="8" t="n"/>
      <c r="P1112" s="8" t="n"/>
      <c r="Q1112" s="7" t="inlineStr">
        <is>
          <t>SEM COTAÇÃO</t>
        </is>
      </c>
      <c r="R1112" s="8" t="n"/>
      <c r="S1112" s="14" t="n"/>
      <c r="T1112" s="7" t="inlineStr"/>
      <c r="U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8" t="n"/>
      <c r="M1113" s="8" t="n"/>
      <c r="N1113" s="8" t="n"/>
      <c r="O1113" s="15" t="n">
        <v>34.7</v>
      </c>
      <c r="P1113" s="8" t="n"/>
      <c r="Q1113" s="7" t="inlineStr">
        <is>
          <t>NAZARIA</t>
        </is>
      </c>
      <c r="R1113" s="8" t="n">
        <v>34.7</v>
      </c>
      <c r="S1113" s="14">
        <f>R1113/H1113-1</f>
        <v/>
      </c>
      <c r="T1113" s="17" t="inlineStr">
        <is>
          <t>OK (≤ menor hist.)</t>
        </is>
      </c>
      <c r="U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8" t="n"/>
      <c r="M1114" s="8" t="n"/>
      <c r="N1114" s="8" t="n"/>
      <c r="O1114" s="15" t="n">
        <v>23.72</v>
      </c>
      <c r="P1114" s="8" t="n"/>
      <c r="Q1114" s="7" t="inlineStr">
        <is>
          <t>NAZARIA</t>
        </is>
      </c>
      <c r="R1114" s="8" t="n">
        <v>23.72</v>
      </c>
      <c r="S1114" s="14">
        <f>R1114/H1114-1</f>
        <v/>
      </c>
      <c r="T1114" s="16" t="inlineStr">
        <is>
          <t>ACIMA +15.9%</t>
        </is>
      </c>
      <c r="U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8" t="n"/>
      <c r="M1115" s="8" t="n"/>
      <c r="N1115" s="8" t="n"/>
      <c r="O1115" s="15" t="n">
        <v>23.72</v>
      </c>
      <c r="P1115" s="8" t="n"/>
      <c r="Q1115" s="7" t="inlineStr">
        <is>
          <t>NAZARIA</t>
        </is>
      </c>
      <c r="R1115" s="8" t="n">
        <v>23.72</v>
      </c>
      <c r="S1115" s="14">
        <f>R1115/H1115-1</f>
        <v/>
      </c>
      <c r="T1115" s="16" t="inlineStr">
        <is>
          <t>ACIMA +6.1%</t>
        </is>
      </c>
      <c r="U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8" t="n"/>
      <c r="M1116" s="8" t="n"/>
      <c r="N1116" s="8" t="n"/>
      <c r="O1116" s="15" t="n">
        <v>27.25</v>
      </c>
      <c r="P1116" s="8" t="n"/>
      <c r="Q1116" s="7" t="inlineStr">
        <is>
          <t>NAZARIA</t>
        </is>
      </c>
      <c r="R1116" s="8" t="n">
        <v>27.25</v>
      </c>
      <c r="S1116" s="14">
        <f>R1116/H1116-1</f>
        <v/>
      </c>
      <c r="T1116" s="16" t="inlineStr">
        <is>
          <t>ACIMA +8.5%</t>
        </is>
      </c>
      <c r="U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8" t="n"/>
      <c r="M1117" s="8" t="n"/>
      <c r="N1117" s="8" t="n"/>
      <c r="O1117" s="8" t="n">
        <v>23.72</v>
      </c>
      <c r="P1117" s="8" t="n"/>
      <c r="Q1117" s="7" t="inlineStr">
        <is>
          <t>SEM COTAÇÃO</t>
        </is>
      </c>
      <c r="R1117" s="8" t="n"/>
      <c r="S1117" s="14" t="n"/>
      <c r="T1117" s="7" t="inlineStr"/>
      <c r="U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7" t="inlineStr">
        <is>
          <t>SEM COTAÇÃO</t>
        </is>
      </c>
      <c r="R1118" s="8" t="n"/>
      <c r="S1118" s="14" t="n"/>
      <c r="T1118" s="7" t="inlineStr"/>
      <c r="U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8" t="n"/>
      <c r="M1119" s="8" t="n"/>
      <c r="N1119" s="8" t="n"/>
      <c r="O1119" s="8" t="n"/>
      <c r="P1119" s="8" t="n"/>
      <c r="Q1119" s="7" t="inlineStr">
        <is>
          <t>SEM COTAÇÃO</t>
        </is>
      </c>
      <c r="R1119" s="8" t="n"/>
      <c r="S1119" s="14" t="n"/>
      <c r="T1119" s="7" t="inlineStr"/>
      <c r="U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8" t="n"/>
      <c r="M1120" s="8" t="n"/>
      <c r="N1120" s="8" t="n"/>
      <c r="O1120" s="8" t="n"/>
      <c r="P1120" s="8" t="n"/>
      <c r="Q1120" s="7" t="inlineStr">
        <is>
          <t>SEM COTAÇÃO</t>
        </is>
      </c>
      <c r="R1120" s="8" t="n"/>
      <c r="S1120" s="14" t="n"/>
      <c r="T1120" s="7" t="inlineStr"/>
      <c r="U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8" t="n"/>
      <c r="M1121" s="8" t="n"/>
      <c r="N1121" s="8" t="n"/>
      <c r="O1121" s="8" t="n"/>
      <c r="P1121" s="8" t="n"/>
      <c r="Q1121" s="7" t="inlineStr">
        <is>
          <t>SEM COTAÇÃO</t>
        </is>
      </c>
      <c r="R1121" s="8" t="n"/>
      <c r="S1121" s="14" t="n"/>
      <c r="T1121" s="7" t="inlineStr"/>
      <c r="U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8" t="n"/>
      <c r="M1122" s="8" t="n"/>
      <c r="N1122" s="8" t="n"/>
      <c r="O1122" s="8" t="n"/>
      <c r="P1122" s="8" t="n"/>
      <c r="Q1122" s="7" t="inlineStr">
        <is>
          <t>SEM COTAÇÃO</t>
        </is>
      </c>
      <c r="R1122" s="8" t="n"/>
      <c r="S1122" s="14" t="n"/>
      <c r="T1122" s="7" t="inlineStr"/>
      <c r="U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8" t="n"/>
      <c r="M1123" s="8" t="n"/>
      <c r="N1123" s="8" t="n"/>
      <c r="O1123" s="8" t="n"/>
      <c r="P1123" s="8" t="n"/>
      <c r="Q1123" s="7" t="inlineStr">
        <is>
          <t>SEM COTAÇÃO</t>
        </is>
      </c>
      <c r="R1123" s="8" t="n"/>
      <c r="S1123" s="14" t="n"/>
      <c r="T1123" s="7" t="inlineStr"/>
      <c r="U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8" t="n"/>
      <c r="M1124" s="8" t="n"/>
      <c r="N1124" s="8" t="n"/>
      <c r="O1124" s="8" t="n"/>
      <c r="P1124" s="8" t="n"/>
      <c r="Q1124" s="7" t="inlineStr">
        <is>
          <t>SEM COTAÇÃO</t>
        </is>
      </c>
      <c r="R1124" s="8" t="n"/>
      <c r="S1124" s="14" t="n"/>
      <c r="T1124" s="7" t="inlineStr"/>
      <c r="U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8" t="n"/>
      <c r="M1125" s="8" t="n"/>
      <c r="N1125" s="8" t="n"/>
      <c r="O1125" s="8" t="n"/>
      <c r="P1125" s="8" t="n"/>
      <c r="Q1125" s="7" t="inlineStr">
        <is>
          <t>SEM COTAÇÃO</t>
        </is>
      </c>
      <c r="R1125" s="8" t="n"/>
      <c r="S1125" s="14" t="n"/>
      <c r="T1125" s="7" t="inlineStr"/>
      <c r="U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8" t="n"/>
      <c r="M1126" s="8" t="n"/>
      <c r="N1126" s="8" t="n"/>
      <c r="O1126" s="8" t="n"/>
      <c r="P1126" s="8" t="n"/>
      <c r="Q1126" s="7" t="inlineStr">
        <is>
          <t>SEM COTAÇÃO</t>
        </is>
      </c>
      <c r="R1126" s="8" t="n"/>
      <c r="S1126" s="14" t="n"/>
      <c r="T1126" s="7" t="inlineStr"/>
      <c r="U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8" t="n"/>
      <c r="M1127" s="8" t="n"/>
      <c r="N1127" s="8" t="n"/>
      <c r="O1127" s="8" t="n"/>
      <c r="P1127" s="8" t="n"/>
      <c r="Q1127" s="7" t="inlineStr">
        <is>
          <t>SEM COTAÇÃO</t>
        </is>
      </c>
      <c r="R1127" s="8" t="n"/>
      <c r="S1127" s="14" t="n"/>
      <c r="T1127" s="7" t="inlineStr"/>
      <c r="U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8" t="n"/>
      <c r="M1128" s="8" t="n"/>
      <c r="N1128" s="8" t="n"/>
      <c r="O1128" s="8" t="n"/>
      <c r="P1128" s="8" t="n"/>
      <c r="Q1128" s="7" t="inlineStr">
        <is>
          <t>SEM COTAÇÃO</t>
        </is>
      </c>
      <c r="R1128" s="8" t="n"/>
      <c r="S1128" s="14" t="n"/>
      <c r="T1128" s="7" t="inlineStr"/>
      <c r="U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8" t="n"/>
      <c r="M1129" s="8" t="n"/>
      <c r="N1129" s="8" t="n"/>
      <c r="O1129" s="8" t="n"/>
      <c r="P1129" s="8" t="n"/>
      <c r="Q1129" s="7" t="inlineStr">
        <is>
          <t>SEM COTAÇÃO</t>
        </is>
      </c>
      <c r="R1129" s="8" t="n"/>
      <c r="S1129" s="14" t="n"/>
      <c r="T1129" s="7" t="inlineStr"/>
      <c r="U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8" t="n"/>
      <c r="M1130" s="8" t="n"/>
      <c r="N1130" s="8" t="n"/>
      <c r="O1130" s="8" t="n"/>
      <c r="P1130" s="8" t="n"/>
      <c r="Q1130" s="7" t="inlineStr">
        <is>
          <t>SEM COTAÇÃO</t>
        </is>
      </c>
      <c r="R1130" s="8" t="n"/>
      <c r="S1130" s="14" t="n"/>
      <c r="T1130" s="7" t="inlineStr"/>
      <c r="U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8" t="n"/>
      <c r="M1131" s="8" t="n"/>
      <c r="N1131" s="8" t="n"/>
      <c r="O1131" s="8" t="n"/>
      <c r="P1131" s="8" t="n"/>
      <c r="Q1131" s="7" t="inlineStr">
        <is>
          <t>SEM COTAÇÃO</t>
        </is>
      </c>
      <c r="R1131" s="8" t="n"/>
      <c r="S1131" s="14" t="n"/>
      <c r="T1131" s="7" t="inlineStr"/>
      <c r="U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8" t="n"/>
      <c r="M1132" s="8" t="n"/>
      <c r="N1132" s="8" t="n"/>
      <c r="O1132" s="8" t="n"/>
      <c r="P1132" s="8" t="n"/>
      <c r="Q1132" s="7" t="inlineStr">
        <is>
          <t>SEM COTAÇÃO</t>
        </is>
      </c>
      <c r="R1132" s="8" t="n"/>
      <c r="S1132" s="14" t="n"/>
      <c r="T1132" s="7" t="inlineStr"/>
      <c r="U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8" t="n"/>
      <c r="M1133" s="8" t="n"/>
      <c r="N1133" s="8" t="n"/>
      <c r="O1133" s="8" t="n"/>
      <c r="P1133" s="8" t="n"/>
      <c r="Q1133" s="7" t="inlineStr">
        <is>
          <t>SEM COTAÇÃO</t>
        </is>
      </c>
      <c r="R1133" s="8" t="n"/>
      <c r="S1133" s="14" t="n"/>
      <c r="T1133" s="7" t="inlineStr"/>
      <c r="U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8" t="n"/>
      <c r="M1134" s="8" t="n"/>
      <c r="N1134" s="8" t="n"/>
      <c r="O1134" s="8" t="n"/>
      <c r="P1134" s="8" t="n"/>
      <c r="Q1134" s="7" t="inlineStr">
        <is>
          <t>SEM COTAÇÃO</t>
        </is>
      </c>
      <c r="R1134" s="8" t="n"/>
      <c r="S1134" s="14" t="n"/>
      <c r="T1134" s="7" t="inlineStr"/>
      <c r="U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8" t="n"/>
      <c r="M1135" s="8" t="n"/>
      <c r="N1135" s="8" t="n"/>
      <c r="O1135" s="8" t="n"/>
      <c r="P1135" s="8" t="n"/>
      <c r="Q1135" s="7" t="inlineStr">
        <is>
          <t>SEM COTAÇÃO</t>
        </is>
      </c>
      <c r="R1135" s="8" t="n"/>
      <c r="S1135" s="14" t="n"/>
      <c r="T1135" s="7" t="inlineStr"/>
      <c r="U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8" t="n"/>
      <c r="M1136" s="8" t="n"/>
      <c r="N1136" s="8" t="n"/>
      <c r="O1136" s="8" t="n"/>
      <c r="P1136" s="8" t="n"/>
      <c r="Q1136" s="7" t="inlineStr">
        <is>
          <t>SEM COTAÇÃO</t>
        </is>
      </c>
      <c r="R1136" s="8" t="n"/>
      <c r="S1136" s="14" t="n"/>
      <c r="T1136" s="7" t="inlineStr"/>
      <c r="U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8" t="n"/>
      <c r="M1137" s="8" t="n"/>
      <c r="N1137" s="8" t="n"/>
      <c r="O1137" s="8" t="n"/>
      <c r="P1137" s="8" t="n"/>
      <c r="Q1137" s="7" t="inlineStr">
        <is>
          <t>SEM COTAÇÃO</t>
        </is>
      </c>
      <c r="R1137" s="8" t="n"/>
      <c r="S1137" s="14" t="n"/>
      <c r="T1137" s="7" t="inlineStr"/>
      <c r="U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8" t="n"/>
      <c r="M1138" s="8" t="n"/>
      <c r="N1138" s="8" t="n"/>
      <c r="O1138" s="8" t="n"/>
      <c r="P1138" s="8" t="n"/>
      <c r="Q1138" s="7" t="inlineStr">
        <is>
          <t>SEM COTAÇÃO</t>
        </is>
      </c>
      <c r="R1138" s="8" t="n"/>
      <c r="S1138" s="14" t="n"/>
      <c r="T1138" s="7" t="inlineStr"/>
      <c r="U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8" t="n"/>
      <c r="M1139" s="8" t="n"/>
      <c r="N1139" s="8" t="n"/>
      <c r="O1139" s="8" t="n"/>
      <c r="P1139" s="8" t="n"/>
      <c r="Q1139" s="7" t="inlineStr">
        <is>
          <t>SEM COTAÇÃO</t>
        </is>
      </c>
      <c r="R1139" s="8" t="n"/>
      <c r="S1139" s="14" t="n"/>
      <c r="T1139" s="7" t="inlineStr"/>
      <c r="U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8" t="n"/>
      <c r="M1140" s="8" t="n"/>
      <c r="N1140" s="8" t="n"/>
      <c r="O1140" s="8" t="n"/>
      <c r="P1140" s="8" t="n"/>
      <c r="Q1140" s="7" t="inlineStr">
        <is>
          <t>SEM COTAÇÃO</t>
        </is>
      </c>
      <c r="R1140" s="8" t="n"/>
      <c r="S1140" s="14" t="n"/>
      <c r="T1140" s="7" t="inlineStr"/>
      <c r="U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8" t="n"/>
      <c r="M1141" s="8" t="n"/>
      <c r="N1141" s="8" t="n"/>
      <c r="O1141" s="8" t="n"/>
      <c r="P1141" s="8" t="n"/>
      <c r="Q1141" s="7" t="inlineStr">
        <is>
          <t>SEM COTAÇÃO</t>
        </is>
      </c>
      <c r="R1141" s="8" t="n"/>
      <c r="S1141" s="14" t="n"/>
      <c r="T1141" s="7" t="inlineStr"/>
      <c r="U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8" t="n"/>
      <c r="M1142" s="8" t="n"/>
      <c r="N1142" s="8" t="n"/>
      <c r="O1142" s="8" t="n"/>
      <c r="P1142" s="8" t="n"/>
      <c r="Q1142" s="7" t="inlineStr">
        <is>
          <t>SEM COTAÇÃO</t>
        </is>
      </c>
      <c r="R1142" s="8" t="n"/>
      <c r="S1142" s="14" t="n"/>
      <c r="T1142" s="7" t="inlineStr"/>
      <c r="U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8" t="n"/>
      <c r="M1143" s="8" t="n"/>
      <c r="N1143" s="8" t="n"/>
      <c r="O1143" s="8" t="n"/>
      <c r="P1143" s="8" t="n"/>
      <c r="Q1143" s="7" t="inlineStr">
        <is>
          <t>SEM COTAÇÃO</t>
        </is>
      </c>
      <c r="R1143" s="8" t="n"/>
      <c r="S1143" s="14" t="n"/>
      <c r="T1143" s="7" t="inlineStr"/>
      <c r="U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8" t="n"/>
      <c r="M1144" s="8" t="n"/>
      <c r="N1144" s="8" t="n"/>
      <c r="O1144" s="8" t="n"/>
      <c r="P1144" s="8" t="n"/>
      <c r="Q1144" s="7" t="inlineStr">
        <is>
          <t>SEM COTAÇÃO</t>
        </is>
      </c>
      <c r="R1144" s="8" t="n"/>
      <c r="S1144" s="14" t="n"/>
      <c r="T1144" s="7" t="inlineStr"/>
      <c r="U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8" t="n"/>
      <c r="M1145" s="8" t="n"/>
      <c r="N1145" s="8" t="n"/>
      <c r="O1145" s="8" t="n"/>
      <c r="P1145" s="8" t="n"/>
      <c r="Q1145" s="7" t="inlineStr">
        <is>
          <t>SEM COTAÇÃO</t>
        </is>
      </c>
      <c r="R1145" s="8" t="n"/>
      <c r="S1145" s="14" t="n"/>
      <c r="T1145" s="7" t="inlineStr"/>
      <c r="U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8" t="n"/>
      <c r="M1146" s="8" t="n"/>
      <c r="N1146" s="8" t="n"/>
      <c r="O1146" s="8" t="n"/>
      <c r="P1146" s="8" t="n"/>
      <c r="Q1146" s="7" t="inlineStr">
        <is>
          <t>SEM COTAÇÃO</t>
        </is>
      </c>
      <c r="R1146" s="8" t="n"/>
      <c r="S1146" s="14" t="n"/>
      <c r="T1146" s="7" t="inlineStr"/>
      <c r="U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8" t="n"/>
      <c r="M1147" s="8" t="n"/>
      <c r="N1147" s="8" t="n"/>
      <c r="O1147" s="8" t="n"/>
      <c r="P1147" s="8" t="n"/>
      <c r="Q1147" s="7" t="inlineStr">
        <is>
          <t>SEM COTAÇÃO</t>
        </is>
      </c>
      <c r="R1147" s="8" t="n"/>
      <c r="S1147" s="14" t="n"/>
      <c r="T1147" s="7" t="inlineStr"/>
      <c r="U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8" t="n"/>
      <c r="M1148" s="8" t="n"/>
      <c r="N1148" s="8" t="n"/>
      <c r="O1148" s="8" t="n"/>
      <c r="P1148" s="8" t="n"/>
      <c r="Q1148" s="7" t="inlineStr">
        <is>
          <t>SEM COTAÇÃO</t>
        </is>
      </c>
      <c r="R1148" s="8" t="n"/>
      <c r="S1148" s="14" t="n"/>
      <c r="T1148" s="7" t="inlineStr"/>
      <c r="U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8" t="n"/>
      <c r="M1149" s="8" t="n"/>
      <c r="N1149" s="8" t="n"/>
      <c r="O1149" s="8" t="n"/>
      <c r="P1149" s="8" t="n"/>
      <c r="Q1149" s="7" t="inlineStr">
        <is>
          <t>SEM COTAÇÃO</t>
        </is>
      </c>
      <c r="R1149" s="8" t="n"/>
      <c r="S1149" s="14" t="n"/>
      <c r="T1149" s="7" t="inlineStr"/>
      <c r="U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8" t="n"/>
      <c r="M1150" s="8" t="n"/>
      <c r="N1150" s="8" t="n"/>
      <c r="O1150" s="8" t="n"/>
      <c r="P1150" s="8" t="n"/>
      <c r="Q1150" s="7" t="inlineStr">
        <is>
          <t>SEM COTAÇÃO</t>
        </is>
      </c>
      <c r="R1150" s="8" t="n"/>
      <c r="S1150" s="14" t="n"/>
      <c r="T1150" s="7" t="inlineStr"/>
      <c r="U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8" t="n"/>
      <c r="M1151" s="8" t="n"/>
      <c r="N1151" s="8" t="n"/>
      <c r="O1151" s="8" t="n"/>
      <c r="P1151" s="8" t="n"/>
      <c r="Q1151" s="7" t="inlineStr">
        <is>
          <t>SEM COTAÇÃO</t>
        </is>
      </c>
      <c r="R1151" s="8" t="n"/>
      <c r="S1151" s="14" t="n"/>
      <c r="T1151" s="7" t="inlineStr"/>
      <c r="U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8" t="n"/>
      <c r="M1152" s="8" t="n"/>
      <c r="N1152" s="8" t="n"/>
      <c r="O1152" s="8" t="n"/>
      <c r="P1152" s="8" t="n"/>
      <c r="Q1152" s="7" t="inlineStr">
        <is>
          <t>SEM COTAÇÃO</t>
        </is>
      </c>
      <c r="R1152" s="8" t="n"/>
      <c r="S1152" s="14" t="n"/>
      <c r="T1152" s="7" t="inlineStr"/>
      <c r="U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8" t="n"/>
      <c r="M1153" s="8" t="n"/>
      <c r="N1153" s="8" t="n"/>
      <c r="O1153" s="8" t="n"/>
      <c r="P1153" s="8" t="n"/>
      <c r="Q1153" s="7" t="inlineStr">
        <is>
          <t>SEM COTAÇÃO</t>
        </is>
      </c>
      <c r="R1153" s="8" t="n"/>
      <c r="S1153" s="14" t="n"/>
      <c r="T1153" s="7" t="inlineStr"/>
      <c r="U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8" t="n"/>
      <c r="M1154" s="8" t="n"/>
      <c r="N1154" s="8" t="n"/>
      <c r="O1154" s="8" t="n"/>
      <c r="P1154" s="8" t="n"/>
      <c r="Q1154" s="7" t="inlineStr">
        <is>
          <t>SEM COTAÇÃO</t>
        </is>
      </c>
      <c r="R1154" s="8" t="n"/>
      <c r="S1154" s="14" t="n"/>
      <c r="T1154" s="7" t="inlineStr"/>
      <c r="U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8" t="n"/>
      <c r="M1155" s="8" t="n"/>
      <c r="N1155" s="8" t="n"/>
      <c r="O1155" s="15" t="n">
        <v>40.37</v>
      </c>
      <c r="P1155" s="8" t="n"/>
      <c r="Q1155" s="7" t="inlineStr">
        <is>
          <t>NAZARIA</t>
        </is>
      </c>
      <c r="R1155" s="8" t="n">
        <v>40.37</v>
      </c>
      <c r="S1155" s="14">
        <f>R1155/H1155-1</f>
        <v/>
      </c>
      <c r="T1155" s="17" t="inlineStr">
        <is>
          <t>OK (≤ menor hist.)</t>
        </is>
      </c>
      <c r="U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8" t="n"/>
      <c r="M1156" s="8" t="n"/>
      <c r="N1156" s="8" t="n"/>
      <c r="O1156" s="8" t="n"/>
      <c r="P1156" s="8" t="n"/>
      <c r="Q1156" s="7" t="inlineStr">
        <is>
          <t>SEM COTAÇÃO</t>
        </is>
      </c>
      <c r="R1156" s="8" t="n"/>
      <c r="S1156" s="14" t="n"/>
      <c r="T1156" s="7" t="inlineStr"/>
      <c r="U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8" t="n"/>
      <c r="M1157" s="15" t="n">
        <v>28.79</v>
      </c>
      <c r="N1157" s="8" t="n"/>
      <c r="O1157" s="8" t="n">
        <v>33.46</v>
      </c>
      <c r="P1157" s="8" t="n"/>
      <c r="Q1157" s="7" t="inlineStr">
        <is>
          <t>CENTROFARMA</t>
        </is>
      </c>
      <c r="R1157" s="8" t="n">
        <v>28.79</v>
      </c>
      <c r="S1157" s="14">
        <f>R1157/H1157-1</f>
        <v/>
      </c>
      <c r="T1157" s="16" t="inlineStr">
        <is>
          <t>ACIMA +5.3%</t>
        </is>
      </c>
      <c r="U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8" t="n"/>
      <c r="M1158" s="8" t="n"/>
      <c r="N1158" s="8" t="n"/>
      <c r="O1158" s="8" t="n"/>
      <c r="P1158" s="8" t="n"/>
      <c r="Q1158" s="7" t="inlineStr">
        <is>
          <t>SEM COTAÇÃO</t>
        </is>
      </c>
      <c r="R1158" s="8" t="n"/>
      <c r="S1158" s="14" t="n"/>
      <c r="T1158" s="7" t="inlineStr"/>
      <c r="U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8" t="n"/>
      <c r="M1159" s="8" t="n"/>
      <c r="N1159" s="8" t="n"/>
      <c r="O1159" s="8" t="n"/>
      <c r="P1159" s="8" t="n"/>
      <c r="Q1159" s="7" t="inlineStr">
        <is>
          <t>SEM COTAÇÃO</t>
        </is>
      </c>
      <c r="R1159" s="8" t="n"/>
      <c r="S1159" s="14" t="n"/>
      <c r="T1159" s="7" t="inlineStr"/>
      <c r="U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8" t="n"/>
      <c r="M1160" s="8" t="n"/>
      <c r="N1160" s="8" t="n"/>
      <c r="O1160" s="8" t="n"/>
      <c r="P1160" s="8" t="n"/>
      <c r="Q1160" s="7" t="inlineStr">
        <is>
          <t>SEM COTAÇÃO</t>
        </is>
      </c>
      <c r="R1160" s="8" t="n"/>
      <c r="S1160" s="14" t="n"/>
      <c r="T1160" s="7" t="inlineStr"/>
      <c r="U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8" t="n"/>
      <c r="M1161" s="8" t="n"/>
      <c r="N1161" s="8" t="n"/>
      <c r="O1161" s="8" t="n"/>
      <c r="P1161" s="8" t="n"/>
      <c r="Q1161" s="7" t="inlineStr">
        <is>
          <t>SEM COTAÇÃO</t>
        </is>
      </c>
      <c r="R1161" s="8" t="n"/>
      <c r="S1161" s="14" t="n"/>
      <c r="T1161" s="7" t="inlineStr"/>
      <c r="U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8" t="n"/>
      <c r="M1162" s="8" t="n"/>
      <c r="N1162" s="8" t="n"/>
      <c r="O1162" s="8" t="n"/>
      <c r="P1162" s="8" t="n"/>
      <c r="Q1162" s="7" t="inlineStr">
        <is>
          <t>SEM COTAÇÃO</t>
        </is>
      </c>
      <c r="R1162" s="8" t="n"/>
      <c r="S1162" s="14" t="n"/>
      <c r="T1162" s="7" t="inlineStr"/>
      <c r="U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8" t="n"/>
      <c r="M1163" s="8" t="n"/>
      <c r="N1163" s="8" t="n"/>
      <c r="O1163" s="8" t="n"/>
      <c r="P1163" s="8" t="n"/>
      <c r="Q1163" s="7" t="inlineStr">
        <is>
          <t>SEM COTAÇÃO</t>
        </is>
      </c>
      <c r="R1163" s="8" t="n"/>
      <c r="S1163" s="14" t="n"/>
      <c r="T1163" s="7" t="inlineStr"/>
      <c r="U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8" t="n"/>
      <c r="M1164" s="8" t="n"/>
      <c r="N1164" s="8" t="n"/>
      <c r="O1164" s="8" t="n"/>
      <c r="P1164" s="8" t="n"/>
      <c r="Q1164" s="7" t="inlineStr">
        <is>
          <t>SEM COTAÇÃO</t>
        </is>
      </c>
      <c r="R1164" s="8" t="n"/>
      <c r="S1164" s="14" t="n"/>
      <c r="T1164" s="7" t="inlineStr"/>
      <c r="U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8" t="n"/>
      <c r="M1165" s="8" t="n"/>
      <c r="N1165" s="8" t="n"/>
      <c r="O1165" s="15" t="n">
        <v>8.08</v>
      </c>
      <c r="P1165" s="8" t="n"/>
      <c r="Q1165" s="7" t="inlineStr">
        <is>
          <t>NAZARIA</t>
        </is>
      </c>
      <c r="R1165" s="8" t="n">
        <v>8.08</v>
      </c>
      <c r="S1165" s="14">
        <f>R1165/H1165-1</f>
        <v/>
      </c>
      <c r="T1165" s="16" t="inlineStr">
        <is>
          <t>ACIMA +18.5%</t>
        </is>
      </c>
      <c r="U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8" t="n"/>
      <c r="M1166" s="8" t="n"/>
      <c r="N1166" s="8" t="n"/>
      <c r="O1166" s="8" t="n"/>
      <c r="P1166" s="8" t="n"/>
      <c r="Q1166" s="7" t="inlineStr">
        <is>
          <t>SEM COTAÇÃO</t>
        </is>
      </c>
      <c r="R1166" s="8" t="n"/>
      <c r="S1166" s="14" t="n"/>
      <c r="T1166" s="7" t="inlineStr"/>
      <c r="U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8" t="n"/>
      <c r="M1167" s="8" t="n"/>
      <c r="N1167" s="8" t="n"/>
      <c r="O1167" s="15" t="n">
        <v>9.43</v>
      </c>
      <c r="P1167" s="8" t="n"/>
      <c r="Q1167" s="7" t="inlineStr">
        <is>
          <t>NAZARIA</t>
        </is>
      </c>
      <c r="R1167" s="8" t="n">
        <v>9.43</v>
      </c>
      <c r="S1167" s="14">
        <f>R1167/H1167-1</f>
        <v/>
      </c>
      <c r="T1167" s="16" t="inlineStr">
        <is>
          <t>ACIMA +39.9%</t>
        </is>
      </c>
      <c r="U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8" t="n"/>
      <c r="M1168" s="8" t="n"/>
      <c r="N1168" s="8" t="n"/>
      <c r="O1168" s="8" t="n"/>
      <c r="P1168" s="8" t="n"/>
      <c r="Q1168" s="7" t="inlineStr">
        <is>
          <t>SEM COTAÇÃO</t>
        </is>
      </c>
      <c r="R1168" s="8" t="n"/>
      <c r="S1168" s="14" t="n"/>
      <c r="T1168" s="7" t="inlineStr"/>
      <c r="U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8" t="n"/>
      <c r="M1169" s="8" t="n"/>
      <c r="N1169" s="8" t="n"/>
      <c r="O1169" s="8" t="n"/>
      <c r="P1169" s="8" t="n"/>
      <c r="Q1169" s="7" t="inlineStr">
        <is>
          <t>SEM COTAÇÃO</t>
        </is>
      </c>
      <c r="R1169" s="8" t="n"/>
      <c r="S1169" s="14" t="n"/>
      <c r="T1169" s="7" t="inlineStr"/>
      <c r="U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8" t="n"/>
      <c r="M1170" s="8" t="n"/>
      <c r="N1170" s="8" t="n"/>
      <c r="O1170" s="8" t="n"/>
      <c r="P1170" s="8" t="n"/>
      <c r="Q1170" s="7" t="inlineStr">
        <is>
          <t>SEM COTAÇÃO</t>
        </is>
      </c>
      <c r="R1170" s="8" t="n"/>
      <c r="S1170" s="14" t="n"/>
      <c r="T1170" s="7" t="inlineStr"/>
      <c r="U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8" t="n"/>
      <c r="M1171" s="8" t="n"/>
      <c r="N1171" s="8" t="n"/>
      <c r="O1171" s="8" t="n"/>
      <c r="P1171" s="8" t="n"/>
      <c r="Q1171" s="7" t="inlineStr">
        <is>
          <t>SEM COTAÇÃO</t>
        </is>
      </c>
      <c r="R1171" s="8" t="n"/>
      <c r="S1171" s="14" t="n"/>
      <c r="T1171" s="7" t="inlineStr"/>
      <c r="U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>
        <v>4.27</v>
      </c>
      <c r="P1172" s="8" t="n"/>
      <c r="Q1172" s="7" t="inlineStr">
        <is>
          <t>SEM COTAÇÃO</t>
        </is>
      </c>
      <c r="R1172" s="8" t="n"/>
      <c r="S1172" s="14" t="n"/>
      <c r="T1172" s="7" t="inlineStr"/>
      <c r="U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8" t="n"/>
      <c r="M1173" s="8" t="n"/>
      <c r="N1173" s="8" t="n"/>
      <c r="O1173" s="15" t="n">
        <v>2.57</v>
      </c>
      <c r="P1173" s="8" t="n"/>
      <c r="Q1173" s="7" t="inlineStr">
        <is>
          <t>NAZARIA</t>
        </is>
      </c>
      <c r="R1173" s="8" t="n">
        <v>2.57</v>
      </c>
      <c r="S1173" s="14">
        <f>R1173/H1173-1</f>
        <v/>
      </c>
      <c r="T1173" s="16" t="inlineStr">
        <is>
          <t>ACIMA +5.8%</t>
        </is>
      </c>
      <c r="U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8" t="n"/>
      <c r="M1174" s="8" t="n"/>
      <c r="N1174" s="8" t="n"/>
      <c r="O1174" s="8" t="n"/>
      <c r="P1174" s="8" t="n"/>
      <c r="Q1174" s="7" t="inlineStr">
        <is>
          <t>SEM COTAÇÃO</t>
        </is>
      </c>
      <c r="R1174" s="8" t="n"/>
      <c r="S1174" s="14" t="n"/>
      <c r="T1174" s="7" t="inlineStr"/>
      <c r="U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8" t="n"/>
      <c r="M1175" s="8" t="n"/>
      <c r="N1175" s="8" t="n"/>
      <c r="O1175" s="15" t="n">
        <v>32.51</v>
      </c>
      <c r="P1175" s="8" t="n"/>
      <c r="Q1175" s="7" t="inlineStr">
        <is>
          <t>NAZARIA</t>
        </is>
      </c>
      <c r="R1175" s="8" t="n">
        <v>32.51</v>
      </c>
      <c r="S1175" s="14">
        <f>R1175/H1175-1</f>
        <v/>
      </c>
      <c r="T1175" s="16" t="inlineStr">
        <is>
          <t>ACIMA +19.1%</t>
        </is>
      </c>
      <c r="U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8" t="n"/>
      <c r="M1176" s="8" t="n"/>
      <c r="N1176" s="8" t="n"/>
      <c r="O1176" s="8" t="n"/>
      <c r="P1176" s="8" t="n"/>
      <c r="Q1176" s="7" t="inlineStr">
        <is>
          <t>SEM COTAÇÃO</t>
        </is>
      </c>
      <c r="R1176" s="8" t="n"/>
      <c r="S1176" s="14" t="n"/>
      <c r="T1176" s="7" t="inlineStr"/>
      <c r="U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8" t="n"/>
      <c r="M1177" s="8" t="n"/>
      <c r="N1177" s="8" t="n"/>
      <c r="O1177" s="8" t="n"/>
      <c r="P1177" s="8" t="n"/>
      <c r="Q1177" s="7" t="inlineStr">
        <is>
          <t>SEM COTAÇÃO</t>
        </is>
      </c>
      <c r="R1177" s="8" t="n"/>
      <c r="S1177" s="14" t="n"/>
      <c r="T1177" s="7" t="inlineStr"/>
      <c r="U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8" t="n"/>
      <c r="M1178" s="8" t="n"/>
      <c r="N1178" s="8" t="n"/>
      <c r="O1178" s="8" t="n"/>
      <c r="P1178" s="8" t="n"/>
      <c r="Q1178" s="7" t="inlineStr">
        <is>
          <t>SEM COTAÇÃO</t>
        </is>
      </c>
      <c r="R1178" s="8" t="n"/>
      <c r="S1178" s="14" t="n"/>
      <c r="T1178" s="7" t="inlineStr"/>
      <c r="U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8" t="n"/>
      <c r="M1179" s="8" t="n"/>
      <c r="N1179" s="8" t="n"/>
      <c r="O1179" s="15" t="n">
        <v>8.08</v>
      </c>
      <c r="P1179" s="8" t="n"/>
      <c r="Q1179" s="7" t="inlineStr">
        <is>
          <t>NAZARIA</t>
        </is>
      </c>
      <c r="R1179" s="8" t="n">
        <v>8.08</v>
      </c>
      <c r="S1179" s="14">
        <f>R1179/H1179-1</f>
        <v/>
      </c>
      <c r="T1179" s="16" t="inlineStr">
        <is>
          <t>ACIMA +17.8%</t>
        </is>
      </c>
      <c r="U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8" t="n"/>
      <c r="M1180" s="8" t="n"/>
      <c r="N1180" s="8" t="n"/>
      <c r="O1180" s="15" t="n">
        <v>9.65</v>
      </c>
      <c r="P1180" s="8" t="n"/>
      <c r="Q1180" s="7" t="inlineStr">
        <is>
          <t>NAZARIA</t>
        </is>
      </c>
      <c r="R1180" s="8" t="n">
        <v>9.65</v>
      </c>
      <c r="S1180" s="14">
        <f>R1180/H1180-1</f>
        <v/>
      </c>
      <c r="T1180" s="16" t="inlineStr">
        <is>
          <t>ACIMA +6.4%</t>
        </is>
      </c>
      <c r="U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8" t="n"/>
      <c r="M1181" s="8" t="n"/>
      <c r="N1181" s="8" t="n"/>
      <c r="O1181" s="8" t="n"/>
      <c r="P1181" s="8" t="n"/>
      <c r="Q1181" s="7" t="inlineStr">
        <is>
          <t>SEM COTAÇÃO</t>
        </is>
      </c>
      <c r="R1181" s="8" t="n"/>
      <c r="S1181" s="14" t="n"/>
      <c r="T1181" s="7" t="inlineStr"/>
      <c r="U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8" t="n"/>
      <c r="M1182" s="8" t="n"/>
      <c r="N1182" s="8" t="n"/>
      <c r="O1182" s="8" t="n"/>
      <c r="P1182" s="8" t="n"/>
      <c r="Q1182" s="7" t="inlineStr">
        <is>
          <t>SEM COTAÇÃO</t>
        </is>
      </c>
      <c r="R1182" s="8" t="n"/>
      <c r="S1182" s="14" t="n"/>
      <c r="T1182" s="7" t="inlineStr"/>
      <c r="U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7" t="inlineStr">
        <is>
          <t>SEM COTAÇÃO</t>
        </is>
      </c>
      <c r="R1183" s="8" t="n"/>
      <c r="S1183" s="14" t="n"/>
      <c r="T1183" s="7" t="inlineStr"/>
      <c r="U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8" t="n"/>
      <c r="M1184" s="8" t="n"/>
      <c r="N1184" s="8" t="n"/>
      <c r="O1184" s="8" t="n"/>
      <c r="P1184" s="8" t="n"/>
      <c r="Q1184" s="7" t="inlineStr">
        <is>
          <t>SEM COTAÇÃO</t>
        </is>
      </c>
      <c r="R1184" s="8" t="n"/>
      <c r="S1184" s="14" t="n"/>
      <c r="T1184" s="7" t="inlineStr"/>
      <c r="U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8" t="n"/>
      <c r="M1185" s="8" t="n"/>
      <c r="N1185" s="15" t="n">
        <v>38.8</v>
      </c>
      <c r="O1185" s="8" t="n">
        <v>40.4544</v>
      </c>
      <c r="P1185" s="8" t="n"/>
      <c r="Q1185" s="7" t="inlineStr">
        <is>
          <t>TAPAJOS</t>
        </is>
      </c>
      <c r="R1185" s="8" t="n">
        <v>38.8</v>
      </c>
      <c r="S1185" s="14">
        <f>R1185/H1185-1</f>
        <v/>
      </c>
      <c r="T1185" s="17" t="inlineStr">
        <is>
          <t>OK (≤ últ. compra)</t>
        </is>
      </c>
      <c r="U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8" t="n"/>
      <c r="M1186" s="8" t="n"/>
      <c r="N1186" s="8" t="n"/>
      <c r="O1186" s="8" t="n"/>
      <c r="P1186" s="8" t="n"/>
      <c r="Q1186" s="7" t="inlineStr">
        <is>
          <t>SEM COTAÇÃO</t>
        </is>
      </c>
      <c r="R1186" s="8" t="n"/>
      <c r="S1186" s="14" t="n"/>
      <c r="T1186" s="7" t="inlineStr"/>
      <c r="U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8" t="n"/>
      <c r="M1187" s="8" t="n"/>
      <c r="N1187" s="8" t="n"/>
      <c r="O1187" s="8" t="n"/>
      <c r="P1187" s="8" t="n"/>
      <c r="Q1187" s="7" t="inlineStr">
        <is>
          <t>SEM COTAÇÃO</t>
        </is>
      </c>
      <c r="R1187" s="8" t="n"/>
      <c r="S1187" s="14" t="n"/>
      <c r="T1187" s="7" t="inlineStr"/>
      <c r="U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7" t="inlineStr">
        <is>
          <t>SEM COTAÇÃO</t>
        </is>
      </c>
      <c r="R1188" s="8" t="n"/>
      <c r="S1188" s="14" t="n"/>
      <c r="T1188" s="7" t="inlineStr"/>
      <c r="U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8" t="n"/>
      <c r="M1189" s="8" t="n"/>
      <c r="N1189" s="15" t="n">
        <v>12.15</v>
      </c>
      <c r="O1189" s="8" t="n">
        <v>12.85</v>
      </c>
      <c r="P1189" s="8" t="n"/>
      <c r="Q1189" s="7" t="inlineStr">
        <is>
          <t>TAPAJOS</t>
        </is>
      </c>
      <c r="R1189" s="8" t="n">
        <v>12.15</v>
      </c>
      <c r="S1189" s="14">
        <f>R1189/H1189-1</f>
        <v/>
      </c>
      <c r="T1189" s="16" t="inlineStr">
        <is>
          <t>ACIMA +5.1%</t>
        </is>
      </c>
      <c r="U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8" t="n"/>
      <c r="M1190" s="8" t="n"/>
      <c r="N1190" s="8" t="n"/>
      <c r="O1190" s="8" t="n"/>
      <c r="P1190" s="8" t="n"/>
      <c r="Q1190" s="7" t="inlineStr">
        <is>
          <t>SEM COTAÇÃO</t>
        </is>
      </c>
      <c r="R1190" s="8" t="n"/>
      <c r="S1190" s="14" t="n"/>
      <c r="T1190" s="7" t="inlineStr"/>
      <c r="U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8" t="n"/>
      <c r="M1191" s="8" t="n"/>
      <c r="N1191" s="8" t="n"/>
      <c r="O1191" s="8" t="n"/>
      <c r="P1191" s="8" t="n"/>
      <c r="Q1191" s="7" t="inlineStr">
        <is>
          <t>SEM COTAÇÃO</t>
        </is>
      </c>
      <c r="R1191" s="8" t="n"/>
      <c r="S1191" s="14" t="n"/>
      <c r="T1191" s="7" t="inlineStr"/>
      <c r="U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8" t="n"/>
      <c r="M1192" s="8" t="n"/>
      <c r="N1192" s="8" t="n"/>
      <c r="O1192" s="8" t="n"/>
      <c r="P1192" s="8" t="n"/>
      <c r="Q1192" s="7" t="inlineStr">
        <is>
          <t>SEM COTAÇÃO</t>
        </is>
      </c>
      <c r="R1192" s="8" t="n"/>
      <c r="S1192" s="14" t="n"/>
      <c r="T1192" s="7" t="inlineStr"/>
      <c r="U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15" t="n">
        <v>8.039999999999999</v>
      </c>
      <c r="M1193" s="8" t="n"/>
      <c r="N1193" s="8" t="n"/>
      <c r="O1193" s="8" t="n">
        <v>8.130000000000001</v>
      </c>
      <c r="P1193" s="8" t="n"/>
      <c r="Q1193" s="7" t="inlineStr">
        <is>
          <t>EPAN</t>
        </is>
      </c>
      <c r="R1193" s="8" t="n">
        <v>8.039999999999999</v>
      </c>
      <c r="S1193" s="14">
        <f>R1193/H1193-1</f>
        <v/>
      </c>
      <c r="T1193" s="17" t="inlineStr">
        <is>
          <t>OK (≤ últ. compra)</t>
        </is>
      </c>
      <c r="U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8" t="n"/>
      <c r="M1194" s="8" t="n"/>
      <c r="N1194" s="8" t="n"/>
      <c r="O1194" s="8" t="n"/>
      <c r="P1194" s="8" t="n"/>
      <c r="Q1194" s="7" t="inlineStr">
        <is>
          <t>SEM COTAÇÃO</t>
        </is>
      </c>
      <c r="R1194" s="8" t="n"/>
      <c r="S1194" s="14" t="n"/>
      <c r="T1194" s="7" t="inlineStr"/>
      <c r="U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8" t="n"/>
      <c r="M1195" s="8" t="n"/>
      <c r="N1195" s="8" t="n"/>
      <c r="O1195" s="8" t="n"/>
      <c r="P1195" s="8" t="n"/>
      <c r="Q1195" s="7" t="inlineStr">
        <is>
          <t>SEM COTAÇÃO</t>
        </is>
      </c>
      <c r="R1195" s="8" t="n"/>
      <c r="S1195" s="14" t="n"/>
      <c r="T1195" s="7" t="inlineStr"/>
      <c r="U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8" t="n"/>
      <c r="M1196" s="8" t="n"/>
      <c r="N1196" s="8" t="n"/>
      <c r="O1196" s="8" t="n"/>
      <c r="P1196" s="8" t="n"/>
      <c r="Q1196" s="7" t="inlineStr">
        <is>
          <t>SEM COTAÇÃO</t>
        </is>
      </c>
      <c r="R1196" s="8" t="n"/>
      <c r="S1196" s="14" t="n"/>
      <c r="T1196" s="7" t="inlineStr"/>
      <c r="U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8" t="n"/>
      <c r="M1197" s="8" t="n"/>
      <c r="N1197" s="8" t="n"/>
      <c r="O1197" s="8" t="n"/>
      <c r="P1197" s="8" t="n"/>
      <c r="Q1197" s="7" t="inlineStr">
        <is>
          <t>DIMEC</t>
        </is>
      </c>
      <c r="R1197" s="8" t="n">
        <v>1.42</v>
      </c>
      <c r="S1197" s="14">
        <f>R1197/H1197-1</f>
        <v/>
      </c>
      <c r="T1197" s="17" t="inlineStr">
        <is>
          <t>OK (≤ menor hist.)</t>
        </is>
      </c>
      <c r="U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8" t="n"/>
      <c r="M1198" s="8" t="n"/>
      <c r="N1198" s="8" t="n"/>
      <c r="O1198" s="8" t="n"/>
      <c r="P1198" s="8" t="n"/>
      <c r="Q1198" s="7" t="inlineStr">
        <is>
          <t>SEM COTAÇÃO</t>
        </is>
      </c>
      <c r="R1198" s="8" t="n"/>
      <c r="S1198" s="14" t="n"/>
      <c r="T1198" s="7" t="inlineStr"/>
      <c r="U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8" t="n"/>
      <c r="M1199" s="8" t="n"/>
      <c r="N1199" s="8" t="n"/>
      <c r="O1199" s="8" t="n"/>
      <c r="P1199" s="8" t="n"/>
      <c r="Q1199" s="7" t="inlineStr">
        <is>
          <t>SEM COTAÇÃO</t>
        </is>
      </c>
      <c r="R1199" s="8" t="n"/>
      <c r="S1199" s="14" t="n"/>
      <c r="T1199" s="7" t="inlineStr"/>
      <c r="U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5.42</v>
      </c>
      <c r="K1200" s="8" t="n">
        <v>5.95</v>
      </c>
      <c r="L1200" s="8" t="n"/>
      <c r="M1200" s="8" t="n">
        <v>5.6</v>
      </c>
      <c r="N1200" s="8" t="n"/>
      <c r="O1200" s="15" t="n">
        <v>5.016</v>
      </c>
      <c r="P1200" s="8" t="n"/>
      <c r="Q1200" s="7" t="inlineStr">
        <is>
          <t>NAZARIA</t>
        </is>
      </c>
      <c r="R1200" s="8" t="n">
        <v>5.016</v>
      </c>
      <c r="S1200" s="14">
        <f>R1200/H1200-1</f>
        <v/>
      </c>
      <c r="T1200" s="17" t="inlineStr">
        <is>
          <t>OK (≤ menor hist.)</t>
        </is>
      </c>
      <c r="U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8" t="n"/>
      <c r="M1201" s="8" t="n"/>
      <c r="N1201" s="8" t="n"/>
      <c r="O1201" s="8" t="n"/>
      <c r="P1201" s="8" t="n"/>
      <c r="Q1201" s="7" t="inlineStr">
        <is>
          <t>SEM COTAÇÃO</t>
        </is>
      </c>
      <c r="R1201" s="8" t="n"/>
      <c r="S1201" s="14" t="n"/>
      <c r="T1201" s="7" t="inlineStr"/>
      <c r="U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8" t="n"/>
      <c r="M1202" s="8" t="n"/>
      <c r="N1202" s="8" t="n"/>
      <c r="O1202" s="8" t="n"/>
      <c r="P1202" s="8" t="n"/>
      <c r="Q1202" s="7" t="inlineStr">
        <is>
          <t>SEM COTAÇÃO</t>
        </is>
      </c>
      <c r="R1202" s="8" t="n"/>
      <c r="S1202" s="14" t="n"/>
      <c r="T1202" s="7" t="inlineStr"/>
      <c r="U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8" t="n"/>
      <c r="M1203" s="8" t="n"/>
      <c r="N1203" s="8" t="n"/>
      <c r="O1203" s="8" t="n"/>
      <c r="P1203" s="8" t="n"/>
      <c r="Q1203" s="7" t="inlineStr">
        <is>
          <t>SEM COTAÇÃO</t>
        </is>
      </c>
      <c r="R1203" s="8" t="n"/>
      <c r="S1203" s="14" t="n"/>
      <c r="T1203" s="7" t="inlineStr"/>
      <c r="U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8" t="n"/>
      <c r="M1204" s="8" t="n"/>
      <c r="N1204" s="8" t="n"/>
      <c r="O1204" s="15" t="n">
        <v>10.5536</v>
      </c>
      <c r="P1204" s="8" t="n"/>
      <c r="Q1204" s="7" t="inlineStr">
        <is>
          <t>NAZARIA</t>
        </is>
      </c>
      <c r="R1204" s="8" t="n">
        <v>10.5536</v>
      </c>
      <c r="S1204" s="14">
        <f>R1204/H1204-1</f>
        <v/>
      </c>
      <c r="T1204" s="16" t="inlineStr">
        <is>
          <t>ACIMA +34.8%</t>
        </is>
      </c>
      <c r="U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8" t="n"/>
      <c r="M1205" s="8" t="n"/>
      <c r="N1205" s="8" t="n"/>
      <c r="O1205" s="15" t="n">
        <v>4.462</v>
      </c>
      <c r="P1205" s="8" t="n"/>
      <c r="Q1205" s="7" t="inlineStr">
        <is>
          <t>NAZARIA</t>
        </is>
      </c>
      <c r="R1205" s="8" t="n">
        <v>4.462</v>
      </c>
      <c r="S1205" s="14">
        <f>R1205/H1205-1</f>
        <v/>
      </c>
      <c r="T1205" s="17" t="inlineStr">
        <is>
          <t>OK (≤ menor hist.)</t>
        </is>
      </c>
      <c r="U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15" t="n">
        <v>2.68</v>
      </c>
      <c r="M1206" s="8" t="n"/>
      <c r="N1206" s="8" t="n"/>
      <c r="O1206" s="8" t="n">
        <v>3.5696</v>
      </c>
      <c r="P1206" s="8" t="n"/>
      <c r="Q1206" s="7" t="inlineStr">
        <is>
          <t>EPAN</t>
        </is>
      </c>
      <c r="R1206" s="8" t="n">
        <v>2.68</v>
      </c>
      <c r="S1206" s="14">
        <f>R1206/H1206-1</f>
        <v/>
      </c>
      <c r="T1206" s="17" t="inlineStr">
        <is>
          <t>OK (≤ menor hist.)</t>
        </is>
      </c>
      <c r="U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15" t="n">
        <v>2.58</v>
      </c>
      <c r="M1207" s="8" t="n"/>
      <c r="N1207" s="8" t="n"/>
      <c r="O1207" s="8" t="n">
        <v>4.2389</v>
      </c>
      <c r="P1207" s="8" t="n"/>
      <c r="Q1207" s="7" t="inlineStr">
        <is>
          <t>EPAN</t>
        </is>
      </c>
      <c r="R1207" s="8" t="n">
        <v>2.58</v>
      </c>
      <c r="S1207" s="14">
        <f>R1207/H1207-1</f>
        <v/>
      </c>
      <c r="T1207" s="17" t="inlineStr">
        <is>
          <t>OK (≤ menor hist.)</t>
        </is>
      </c>
      <c r="U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15" t="n">
        <v>2.62</v>
      </c>
      <c r="M1208" s="8" t="n"/>
      <c r="N1208" s="8" t="n"/>
      <c r="O1208" s="8" t="n">
        <v>3.5696</v>
      </c>
      <c r="P1208" s="8" t="n"/>
      <c r="Q1208" s="7" t="inlineStr">
        <is>
          <t>EPAN</t>
        </is>
      </c>
      <c r="R1208" s="8" t="n">
        <v>2.62</v>
      </c>
      <c r="S1208" s="14">
        <f>R1208/H1208-1</f>
        <v/>
      </c>
      <c r="T1208" s="17" t="inlineStr">
        <is>
          <t>OK (≤ menor hist.)</t>
        </is>
      </c>
      <c r="U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8" t="n"/>
      <c r="M1209" s="8" t="n">
        <v>3.69</v>
      </c>
      <c r="N1209" s="8" t="n"/>
      <c r="O1209" s="15" t="n">
        <v>3.06</v>
      </c>
      <c r="P1209" s="8" t="n"/>
      <c r="Q1209" s="7" t="inlineStr">
        <is>
          <t>NAZARIA</t>
        </is>
      </c>
      <c r="R1209" s="8" t="n">
        <v>3.06</v>
      </c>
      <c r="S1209" s="14">
        <f>R1209/H1209-1</f>
        <v/>
      </c>
      <c r="T1209" s="17" t="inlineStr">
        <is>
          <t>OK (≤ menor hist.)</t>
        </is>
      </c>
      <c r="U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8" t="n"/>
      <c r="M1210" s="8" t="n"/>
      <c r="N1210" s="8" t="n"/>
      <c r="O1210" s="8" t="n"/>
      <c r="P1210" s="15" t="n">
        <v>11.51</v>
      </c>
      <c r="Q1210" s="7" t="inlineStr">
        <is>
          <t>MEDCENTRO</t>
        </is>
      </c>
      <c r="R1210" s="8" t="n">
        <v>11.51</v>
      </c>
      <c r="S1210" s="14">
        <f>R1210/H1210-1</f>
        <v/>
      </c>
      <c r="T1210" s="16" t="inlineStr">
        <is>
          <t>ACIMA +38.3%</t>
        </is>
      </c>
      <c r="U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8" t="n"/>
      <c r="M1211" s="8" t="n"/>
      <c r="N1211" s="8" t="n"/>
      <c r="O1211" s="8" t="n">
        <v>15.922</v>
      </c>
      <c r="P1211" s="8" t="n"/>
      <c r="Q1211" s="7" t="inlineStr">
        <is>
          <t>DIMEC</t>
        </is>
      </c>
      <c r="R1211" s="8" t="n">
        <v>17.17</v>
      </c>
      <c r="S1211" s="14">
        <f>R1211/H1211-1</f>
        <v/>
      </c>
      <c r="T1211" s="16" t="inlineStr">
        <is>
          <t>ACIMA +15.0%</t>
        </is>
      </c>
      <c r="U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8" t="n"/>
      <c r="M1212" s="8" t="n"/>
      <c r="N1212" s="8" t="n"/>
      <c r="O1212" s="8" t="n">
        <v>2.9925</v>
      </c>
      <c r="P1212" s="15" t="n">
        <v>3.38</v>
      </c>
      <c r="Q1212" s="7" t="inlineStr">
        <is>
          <t>MEDCENTRO</t>
        </is>
      </c>
      <c r="R1212" s="8" t="n">
        <v>3.38</v>
      </c>
      <c r="S1212" s="14">
        <f>R1212/H1212-1</f>
        <v/>
      </c>
      <c r="T1212" s="16" t="inlineStr">
        <is>
          <t>ACIMA +15.0%</t>
        </is>
      </c>
      <c r="U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8" t="n"/>
      <c r="M1213" s="8" t="n"/>
      <c r="N1213" s="8" t="n"/>
      <c r="O1213" s="8" t="n"/>
      <c r="P1213" s="8" t="n"/>
      <c r="Q1213" s="7" t="inlineStr">
        <is>
          <t>DIMEC</t>
        </is>
      </c>
      <c r="R1213" s="8" t="n">
        <v>3.25</v>
      </c>
      <c r="S1213" s="14">
        <f>R1213/H1213-1</f>
        <v/>
      </c>
      <c r="T1213" s="17" t="inlineStr">
        <is>
          <t>OK (≤ menor hist.)</t>
        </is>
      </c>
      <c r="U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8" t="n"/>
      <c r="M1214" s="8" t="n"/>
      <c r="N1214" s="8" t="n"/>
      <c r="O1214" s="8" t="n">
        <v>31.67</v>
      </c>
      <c r="P1214" s="8" t="n"/>
      <c r="Q1214" s="7" t="inlineStr">
        <is>
          <t>SEM COTAÇÃO</t>
        </is>
      </c>
      <c r="R1214" s="8" t="n"/>
      <c r="S1214" s="14" t="n"/>
      <c r="T1214" s="7" t="inlineStr"/>
      <c r="U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8" t="n"/>
      <c r="M1215" s="8" t="n"/>
      <c r="N1215" s="8" t="n"/>
      <c r="O1215" s="8" t="n">
        <v>5.016</v>
      </c>
      <c r="P1215" s="8" t="n"/>
      <c r="Q1215" s="7" t="inlineStr">
        <is>
          <t>PLUSFARMA</t>
        </is>
      </c>
      <c r="R1215" s="8" t="n">
        <v>5.95</v>
      </c>
      <c r="S1215" s="14">
        <f>R1215/H1215-1</f>
        <v/>
      </c>
      <c r="T1215" s="16" t="inlineStr">
        <is>
          <t>ACIMA +2.3%</t>
        </is>
      </c>
      <c r="U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15" t="n">
        <v>6.3</v>
      </c>
      <c r="M1216" s="8" t="n"/>
      <c r="N1216" s="8" t="n"/>
      <c r="O1216" s="8" t="n">
        <v>6.36</v>
      </c>
      <c r="P1216" s="8" t="n"/>
      <c r="Q1216" s="7" t="inlineStr">
        <is>
          <t>EPAN</t>
        </is>
      </c>
      <c r="R1216" s="8" t="n">
        <v>6.3</v>
      </c>
      <c r="S1216" s="14">
        <f>R1216/H1216-1</f>
        <v/>
      </c>
      <c r="T1216" s="17" t="inlineStr">
        <is>
          <t>OK (≤ últ. compra)</t>
        </is>
      </c>
      <c r="U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8" t="n"/>
      <c r="M1217" s="8" t="n"/>
      <c r="N1217" s="8" t="n"/>
      <c r="O1217" s="8" t="n"/>
      <c r="P1217" s="8" t="n"/>
      <c r="Q1217" s="7" t="inlineStr">
        <is>
          <t>SEM COTAÇÃO</t>
        </is>
      </c>
      <c r="R1217" s="8" t="n"/>
      <c r="S1217" s="14" t="n"/>
      <c r="T1217" s="7" t="inlineStr"/>
      <c r="U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15" t="n">
        <v>15.03</v>
      </c>
      <c r="M1218" s="8" t="n"/>
      <c r="N1218" s="8" t="n"/>
      <c r="O1218" s="8" t="n">
        <v>17.73</v>
      </c>
      <c r="P1218" s="8" t="n"/>
      <c r="Q1218" s="7" t="inlineStr">
        <is>
          <t>EPAN</t>
        </is>
      </c>
      <c r="R1218" s="8" t="n">
        <v>15.03</v>
      </c>
      <c r="S1218" s="14">
        <f>R1218/H1218-1</f>
        <v/>
      </c>
      <c r="T1218" s="16" t="inlineStr">
        <is>
          <t>ACIMA +29.8%</t>
        </is>
      </c>
      <c r="U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8" t="n">
        <v>31.16</v>
      </c>
      <c r="M1219" s="8" t="n"/>
      <c r="N1219" s="8" t="n"/>
      <c r="O1219" s="15" t="n">
        <v>34.07</v>
      </c>
      <c r="P1219" s="8" t="n"/>
      <c r="Q1219" s="7" t="inlineStr">
        <is>
          <t>NAZARIA</t>
        </is>
      </c>
      <c r="R1219" s="8" t="n">
        <v>34.07</v>
      </c>
      <c r="S1219" s="14">
        <f>R1219/H1219-1</f>
        <v/>
      </c>
      <c r="T1219" s="16" t="inlineStr">
        <is>
          <t>ACIMA +21.8%</t>
        </is>
      </c>
      <c r="U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8" t="n"/>
      <c r="M1220" s="8" t="n"/>
      <c r="N1220" s="8" t="n"/>
      <c r="O1220" s="8" t="n"/>
      <c r="P1220" s="8" t="n"/>
      <c r="Q1220" s="7" t="inlineStr">
        <is>
          <t>SEM COTAÇÃO</t>
        </is>
      </c>
      <c r="R1220" s="8" t="n"/>
      <c r="S1220" s="14" t="n"/>
      <c r="T1220" s="7" t="inlineStr"/>
      <c r="U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8" t="n"/>
      <c r="M1221" s="8" t="n"/>
      <c r="N1221" s="8" t="n"/>
      <c r="O1221" s="8" t="n"/>
      <c r="P1221" s="8" t="n"/>
      <c r="Q1221" s="7" t="inlineStr">
        <is>
          <t>SEM COTAÇÃO</t>
        </is>
      </c>
      <c r="R1221" s="8" t="n"/>
      <c r="S1221" s="14" t="n"/>
      <c r="T1221" s="7" t="inlineStr"/>
      <c r="U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8" t="n"/>
      <c r="M1222" s="8" t="n"/>
      <c r="N1222" s="8" t="n"/>
      <c r="O1222" s="8" t="n"/>
      <c r="P1222" s="8" t="n"/>
      <c r="Q1222" s="7" t="inlineStr">
        <is>
          <t>SEM COTAÇÃO</t>
        </is>
      </c>
      <c r="R1222" s="8" t="n"/>
      <c r="S1222" s="14" t="n"/>
      <c r="T1222" s="7" t="inlineStr"/>
      <c r="U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8" t="n"/>
      <c r="M1223" s="8" t="n"/>
      <c r="N1223" s="8" t="n"/>
      <c r="O1223" s="8" t="n"/>
      <c r="P1223" s="8" t="n"/>
      <c r="Q1223" s="7" t="inlineStr">
        <is>
          <t>SEM COTAÇÃO</t>
        </is>
      </c>
      <c r="R1223" s="8" t="n"/>
      <c r="S1223" s="14" t="n"/>
      <c r="T1223" s="7" t="inlineStr"/>
      <c r="U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8" t="n"/>
      <c r="M1224" s="8" t="n"/>
      <c r="N1224" s="8" t="n"/>
      <c r="O1224" s="8" t="n"/>
      <c r="P1224" s="8" t="n"/>
      <c r="Q1224" s="7" t="inlineStr">
        <is>
          <t>SEM COTAÇÃO</t>
        </is>
      </c>
      <c r="R1224" s="8" t="n"/>
      <c r="S1224" s="14" t="n"/>
      <c r="T1224" s="7" t="inlineStr"/>
      <c r="U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8" t="n"/>
      <c r="M1225" s="8" t="n"/>
      <c r="N1225" s="8" t="n"/>
      <c r="O1225" s="8" t="n"/>
      <c r="P1225" s="8" t="n"/>
      <c r="Q1225" s="7" t="inlineStr">
        <is>
          <t>SEM COTAÇÃO</t>
        </is>
      </c>
      <c r="R1225" s="8" t="n"/>
      <c r="S1225" s="14" t="n"/>
      <c r="T1225" s="7" t="inlineStr"/>
      <c r="U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8" t="n"/>
      <c r="M1226" s="8" t="n"/>
      <c r="N1226" s="8" t="n"/>
      <c r="O1226" s="8" t="n"/>
      <c r="P1226" s="8" t="n"/>
      <c r="Q1226" s="7" t="inlineStr">
        <is>
          <t>SEM COTAÇÃO</t>
        </is>
      </c>
      <c r="R1226" s="8" t="n"/>
      <c r="S1226" s="14" t="n"/>
      <c r="T1226" s="7" t="inlineStr"/>
      <c r="U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8" t="n"/>
      <c r="M1227" s="8" t="n"/>
      <c r="N1227" s="8" t="n"/>
      <c r="O1227" s="8" t="n"/>
      <c r="P1227" s="8" t="n"/>
      <c r="Q1227" s="7" t="inlineStr">
        <is>
          <t>SEM COTAÇÃO</t>
        </is>
      </c>
      <c r="R1227" s="8" t="n"/>
      <c r="S1227" s="14" t="n"/>
      <c r="T1227" s="7" t="inlineStr"/>
      <c r="U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8" t="n"/>
      <c r="M1228" s="8" t="n"/>
      <c r="N1228" s="8" t="n"/>
      <c r="O1228" s="8" t="n"/>
      <c r="P1228" s="8" t="n"/>
      <c r="Q1228" s="7" t="inlineStr">
        <is>
          <t>SEM COTAÇÃO</t>
        </is>
      </c>
      <c r="R1228" s="8" t="n"/>
      <c r="S1228" s="14" t="n"/>
      <c r="T1228" s="7" t="inlineStr"/>
      <c r="U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8" t="n"/>
      <c r="M1229" s="8" t="n"/>
      <c r="N1229" s="8" t="n"/>
      <c r="O1229" s="8" t="n"/>
      <c r="P1229" s="8" t="n"/>
      <c r="Q1229" s="7" t="inlineStr">
        <is>
          <t>SEM COTAÇÃO</t>
        </is>
      </c>
      <c r="R1229" s="8" t="n"/>
      <c r="S1229" s="14" t="n"/>
      <c r="T1229" s="7" t="inlineStr"/>
      <c r="U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8" t="n"/>
      <c r="M1230" s="8" t="n"/>
      <c r="N1230" s="8" t="n"/>
      <c r="O1230" s="8" t="n"/>
      <c r="P1230" s="8" t="n"/>
      <c r="Q1230" s="7" t="inlineStr">
        <is>
          <t>SEM COTAÇÃO</t>
        </is>
      </c>
      <c r="R1230" s="8" t="n"/>
      <c r="S1230" s="14" t="n"/>
      <c r="T1230" s="7" t="inlineStr"/>
      <c r="U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8" t="n"/>
      <c r="M1231" s="8" t="n"/>
      <c r="N1231" s="8" t="n"/>
      <c r="O1231" s="8" t="n"/>
      <c r="P1231" s="8" t="n"/>
      <c r="Q1231" s="7" t="inlineStr">
        <is>
          <t>SEM COTAÇÃO</t>
        </is>
      </c>
      <c r="R1231" s="8" t="n"/>
      <c r="S1231" s="14" t="n"/>
      <c r="T1231" s="7" t="inlineStr"/>
      <c r="U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8" t="n"/>
      <c r="M1232" s="8" t="n"/>
      <c r="N1232" s="8" t="n"/>
      <c r="O1232" s="8" t="n"/>
      <c r="P1232" s="8" t="n"/>
      <c r="Q1232" s="7" t="inlineStr">
        <is>
          <t>SEM COTAÇÃO</t>
        </is>
      </c>
      <c r="R1232" s="8" t="n"/>
      <c r="S1232" s="14" t="n"/>
      <c r="T1232" s="7" t="inlineStr"/>
      <c r="U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8" t="n"/>
      <c r="M1233" s="8" t="n"/>
      <c r="N1233" s="8" t="n"/>
      <c r="O1233" s="8" t="n"/>
      <c r="P1233" s="8" t="n"/>
      <c r="Q1233" s="7" t="inlineStr">
        <is>
          <t>SEM COTAÇÃO</t>
        </is>
      </c>
      <c r="R1233" s="8" t="n"/>
      <c r="S1233" s="14" t="n"/>
      <c r="T1233" s="7" t="inlineStr"/>
      <c r="U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8" t="n"/>
      <c r="M1234" s="8" t="n"/>
      <c r="N1234" s="8" t="n"/>
      <c r="O1234" s="8" t="n"/>
      <c r="P1234" s="8" t="n"/>
      <c r="Q1234" s="7" t="inlineStr">
        <is>
          <t>SEM COTAÇÃO</t>
        </is>
      </c>
      <c r="R1234" s="8" t="n"/>
      <c r="S1234" s="14" t="n"/>
      <c r="T1234" s="7" t="inlineStr"/>
      <c r="U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8" t="n"/>
      <c r="M1235" s="8" t="n"/>
      <c r="N1235" s="8" t="n"/>
      <c r="O1235" s="8" t="n"/>
      <c r="P1235" s="8" t="n"/>
      <c r="Q1235" s="7" t="inlineStr">
        <is>
          <t>SEM COTAÇÃO</t>
        </is>
      </c>
      <c r="R1235" s="8" t="n"/>
      <c r="S1235" s="14" t="n"/>
      <c r="T1235" s="7" t="inlineStr"/>
      <c r="U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8" t="n"/>
      <c r="M1236" s="8" t="n"/>
      <c r="N1236" s="8" t="n"/>
      <c r="O1236" s="8" t="n"/>
      <c r="P1236" s="8" t="n"/>
      <c r="Q1236" s="7" t="inlineStr">
        <is>
          <t>SEM COTAÇÃO</t>
        </is>
      </c>
      <c r="R1236" s="8" t="n"/>
      <c r="S1236" s="14" t="n"/>
      <c r="T1236" s="7" t="inlineStr"/>
      <c r="U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8" t="n"/>
      <c r="M1237" s="8" t="n"/>
      <c r="N1237" s="8" t="n"/>
      <c r="O1237" s="8" t="n"/>
      <c r="P1237" s="8" t="n"/>
      <c r="Q1237" s="7" t="inlineStr">
        <is>
          <t>SEM COTAÇÃO</t>
        </is>
      </c>
      <c r="R1237" s="8" t="n"/>
      <c r="S1237" s="14" t="n"/>
      <c r="T1237" s="7" t="inlineStr"/>
      <c r="U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8" t="n"/>
      <c r="M1238" s="8" t="n"/>
      <c r="N1238" s="8" t="n"/>
      <c r="O1238" s="8" t="n"/>
      <c r="P1238" s="8" t="n"/>
      <c r="Q1238" s="7" t="inlineStr">
        <is>
          <t>SEM COTAÇÃO</t>
        </is>
      </c>
      <c r="R1238" s="8" t="n"/>
      <c r="S1238" s="14" t="n"/>
      <c r="T1238" s="7" t="inlineStr"/>
      <c r="U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8" t="n"/>
      <c r="M1239" s="8" t="n"/>
      <c r="N1239" s="8" t="n"/>
      <c r="O1239" s="8" t="n"/>
      <c r="P1239" s="8" t="n"/>
      <c r="Q1239" s="7" t="inlineStr">
        <is>
          <t>SEM COTAÇÃO</t>
        </is>
      </c>
      <c r="R1239" s="8" t="n"/>
      <c r="S1239" s="14" t="n"/>
      <c r="T1239" s="7" t="inlineStr"/>
      <c r="U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8" t="n"/>
      <c r="M1240" s="8" t="n"/>
      <c r="N1240" s="8" t="n"/>
      <c r="O1240" s="8" t="n"/>
      <c r="P1240" s="8" t="n"/>
      <c r="Q1240" s="7" t="inlineStr">
        <is>
          <t>SEM COTAÇÃO</t>
        </is>
      </c>
      <c r="R1240" s="8" t="n"/>
      <c r="S1240" s="14" t="n"/>
      <c r="T1240" s="7" t="inlineStr"/>
      <c r="U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8" t="n"/>
      <c r="M1241" s="8" t="n"/>
      <c r="N1241" s="8" t="n"/>
      <c r="O1241" s="8" t="n"/>
      <c r="P1241" s="8" t="n"/>
      <c r="Q1241" s="7" t="inlineStr">
        <is>
          <t>SEM COTAÇÃO</t>
        </is>
      </c>
      <c r="R1241" s="8" t="n"/>
      <c r="S1241" s="14" t="n"/>
      <c r="T1241" s="7" t="inlineStr"/>
      <c r="U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8" t="n"/>
      <c r="M1242" s="8" t="n"/>
      <c r="N1242" s="8" t="n"/>
      <c r="O1242" s="8" t="n"/>
      <c r="P1242" s="8" t="n"/>
      <c r="Q1242" s="7" t="inlineStr">
        <is>
          <t>SEM COTAÇÃO</t>
        </is>
      </c>
      <c r="R1242" s="8" t="n"/>
      <c r="S1242" s="14" t="n"/>
      <c r="T1242" s="7" t="inlineStr"/>
      <c r="U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8" t="n"/>
      <c r="M1243" s="8" t="n"/>
      <c r="N1243" s="8" t="n"/>
      <c r="O1243" s="15" t="n">
        <v>93.25875000000001</v>
      </c>
      <c r="P1243" s="8" t="n"/>
      <c r="Q1243" s="7" t="inlineStr">
        <is>
          <t>NAZARIA</t>
        </is>
      </c>
      <c r="R1243" s="8" t="n">
        <v>93.25875000000001</v>
      </c>
      <c r="S1243" s="14">
        <f>R1243/H1243-1</f>
        <v/>
      </c>
      <c r="T1243" s="16" t="inlineStr">
        <is>
          <t>ACIMA +196.3%</t>
        </is>
      </c>
      <c r="U1243" s="7" t="inlineStr">
        <is>
          <t>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15" t="n">
        <v>30.85</v>
      </c>
      <c r="M1244" s="8" t="n"/>
      <c r="N1244" s="8" t="n"/>
      <c r="O1244" s="8" t="n">
        <v>41.53</v>
      </c>
      <c r="P1244" s="8" t="n"/>
      <c r="Q1244" s="7" t="inlineStr">
        <is>
          <t>EPAN</t>
        </is>
      </c>
      <c r="R1244" s="8" t="n">
        <v>30.85</v>
      </c>
      <c r="S1244" s="14">
        <f>R1244/H1244-1</f>
        <v/>
      </c>
      <c r="T1244" s="17" t="inlineStr">
        <is>
          <t>OK (≤ menor hist.)</t>
        </is>
      </c>
      <c r="U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8" t="n"/>
      <c r="M1245" s="8" t="n"/>
      <c r="N1245" s="8" t="n"/>
      <c r="O1245" s="8" t="n"/>
      <c r="P1245" s="8" t="n"/>
      <c r="Q1245" s="7" t="inlineStr">
        <is>
          <t>SEM COTAÇÃO</t>
        </is>
      </c>
      <c r="R1245" s="8" t="n"/>
      <c r="S1245" s="14" t="n"/>
      <c r="T1245" s="7" t="inlineStr"/>
      <c r="U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8" t="n"/>
      <c r="M1246" s="8" t="n"/>
      <c r="N1246" s="8" t="n"/>
      <c r="O1246" s="8" t="n"/>
      <c r="P1246" s="8" t="n"/>
      <c r="Q1246" s="7" t="inlineStr">
        <is>
          <t>SEM COTAÇÃO</t>
        </is>
      </c>
      <c r="R1246" s="8" t="n"/>
      <c r="S1246" s="14" t="n"/>
      <c r="T1246" s="7" t="inlineStr"/>
      <c r="U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8" t="n"/>
      <c r="M1247" s="8" t="n"/>
      <c r="N1247" s="8" t="n"/>
      <c r="O1247" s="8" t="n"/>
      <c r="P1247" s="8" t="n"/>
      <c r="Q1247" s="7" t="inlineStr">
        <is>
          <t>SEM COTAÇÃO</t>
        </is>
      </c>
      <c r="R1247" s="8" t="n"/>
      <c r="S1247" s="14" t="n"/>
      <c r="T1247" s="7" t="inlineStr"/>
      <c r="U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8" t="n"/>
      <c r="M1248" s="8" t="n"/>
      <c r="N1248" s="8" t="n"/>
      <c r="O1248" s="8" t="n"/>
      <c r="P1248" s="8" t="n"/>
      <c r="Q1248" s="7" t="inlineStr">
        <is>
          <t>SEM COTAÇÃO</t>
        </is>
      </c>
      <c r="R1248" s="8" t="n"/>
      <c r="S1248" s="14" t="n"/>
      <c r="T1248" s="7" t="inlineStr"/>
      <c r="U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8" t="n"/>
      <c r="M1249" s="8" t="n"/>
      <c r="N1249" s="8" t="n"/>
      <c r="O1249" s="8" t="n"/>
      <c r="P1249" s="8" t="n"/>
      <c r="Q1249" s="7" t="inlineStr">
        <is>
          <t>SEM COTAÇÃO</t>
        </is>
      </c>
      <c r="R1249" s="8" t="n"/>
      <c r="S1249" s="14" t="n"/>
      <c r="T1249" s="7" t="inlineStr"/>
      <c r="U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8" t="n"/>
      <c r="M1250" s="8" t="n"/>
      <c r="N1250" s="8" t="n"/>
      <c r="O1250" s="15" t="n">
        <v>114.2658</v>
      </c>
      <c r="P1250" s="8" t="n"/>
      <c r="Q1250" s="7" t="inlineStr">
        <is>
          <t>NAZARIA</t>
        </is>
      </c>
      <c r="R1250" s="8" t="n">
        <v>114.2658</v>
      </c>
      <c r="S1250" s="14">
        <f>R1250/H1250-1</f>
        <v/>
      </c>
      <c r="T1250" s="16" t="inlineStr">
        <is>
          <t>ACIMA +90.5%</t>
        </is>
      </c>
      <c r="U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44.99</v>
      </c>
      <c r="K1251" s="8" t="n">
        <v>63.49</v>
      </c>
      <c r="L1251" s="8" t="n"/>
      <c r="M1251" s="8" t="n">
        <v>42.26</v>
      </c>
      <c r="N1251" s="8" t="n"/>
      <c r="O1251" s="8" t="n">
        <v>92.993619</v>
      </c>
      <c r="P1251" s="15" t="n">
        <v>31.97</v>
      </c>
      <c r="Q1251" s="7" t="inlineStr">
        <is>
          <t>MEDCENTRO</t>
        </is>
      </c>
      <c r="R1251" s="8" t="n">
        <v>31.97</v>
      </c>
      <c r="S1251" s="14">
        <f>R1251/H1251-1</f>
        <v/>
      </c>
      <c r="T1251" s="17" t="inlineStr">
        <is>
          <t>OK (≤ menor hist.)</t>
        </is>
      </c>
      <c r="U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8" t="n"/>
      <c r="M1252" s="8" t="n"/>
      <c r="N1252" s="8" t="n"/>
      <c r="O1252" s="8" t="n"/>
      <c r="P1252" s="8" t="n"/>
      <c r="Q1252" s="7" t="inlineStr">
        <is>
          <t>SEM COTAÇÃO</t>
        </is>
      </c>
      <c r="R1252" s="8" t="n"/>
      <c r="S1252" s="14" t="n"/>
      <c r="T1252" s="7" t="inlineStr"/>
      <c r="U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8" t="n"/>
      <c r="M1253" s="8" t="n"/>
      <c r="N1253" s="8" t="n"/>
      <c r="O1253" s="8" t="n"/>
      <c r="P1253" s="8" t="n"/>
      <c r="Q1253" s="7" t="inlineStr">
        <is>
          <t>SEM COTAÇÃO</t>
        </is>
      </c>
      <c r="R1253" s="8" t="n"/>
      <c r="S1253" s="14" t="n"/>
      <c r="T1253" s="7" t="inlineStr"/>
      <c r="U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8" t="n"/>
      <c r="M1254" s="8" t="n"/>
      <c r="N1254" s="8" t="n"/>
      <c r="O1254" s="8" t="n"/>
      <c r="P1254" s="8" t="n"/>
      <c r="Q1254" s="7" t="inlineStr">
        <is>
          <t>SEM COTAÇÃO</t>
        </is>
      </c>
      <c r="R1254" s="8" t="n"/>
      <c r="S1254" s="14" t="n"/>
      <c r="T1254" s="7" t="inlineStr"/>
      <c r="U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8" t="n"/>
      <c r="M1255" s="8" t="n"/>
      <c r="N1255" s="8" t="n"/>
      <c r="O1255" s="15" t="n">
        <v>8.449999999999999</v>
      </c>
      <c r="P1255" s="8" t="n"/>
      <c r="Q1255" s="7" t="inlineStr">
        <is>
          <t>NAZARIA</t>
        </is>
      </c>
      <c r="R1255" s="8" t="n">
        <v>8.449999999999999</v>
      </c>
      <c r="S1255" s="14">
        <f>R1255/H1255-1</f>
        <v/>
      </c>
      <c r="T1255" s="16" t="inlineStr">
        <is>
          <t>ACIMA +30.8%</t>
        </is>
      </c>
      <c r="U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8" t="n"/>
      <c r="M1256" s="8" t="n"/>
      <c r="N1256" s="8" t="n"/>
      <c r="O1256" s="8" t="n"/>
      <c r="P1256" s="8" t="n"/>
      <c r="Q1256" s="7" t="inlineStr">
        <is>
          <t>SEM COTAÇÃO</t>
        </is>
      </c>
      <c r="R1256" s="8" t="n"/>
      <c r="S1256" s="14" t="n"/>
      <c r="T1256" s="7" t="inlineStr"/>
      <c r="U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8" t="n"/>
      <c r="M1257" s="8" t="n"/>
      <c r="N1257" s="8" t="n"/>
      <c r="O1257" s="8" t="n">
        <v>9.140000000000001</v>
      </c>
      <c r="P1257" s="8" t="n"/>
      <c r="Q1257" s="7" t="inlineStr">
        <is>
          <t>SEM COTAÇÃO</t>
        </is>
      </c>
      <c r="R1257" s="8" t="n"/>
      <c r="S1257" s="14" t="n"/>
      <c r="T1257" s="7" t="inlineStr"/>
      <c r="U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8" t="n"/>
      <c r="M1258" s="8" t="n"/>
      <c r="N1258" s="8" t="n"/>
      <c r="O1258" s="8" t="n"/>
      <c r="P1258" s="8" t="n"/>
      <c r="Q1258" s="7" t="inlineStr">
        <is>
          <t>SEM COTAÇÃO</t>
        </is>
      </c>
      <c r="R1258" s="8" t="n"/>
      <c r="S1258" s="14" t="n"/>
      <c r="T1258" s="7" t="inlineStr"/>
      <c r="U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8" t="n"/>
      <c r="M1259" s="8" t="n"/>
      <c r="N1259" s="8" t="n"/>
      <c r="O1259" s="8" t="n"/>
      <c r="P1259" s="8" t="n"/>
      <c r="Q1259" s="7" t="inlineStr">
        <is>
          <t>SEM COTAÇÃO</t>
        </is>
      </c>
      <c r="R1259" s="8" t="n"/>
      <c r="S1259" s="14" t="n"/>
      <c r="T1259" s="7" t="inlineStr"/>
      <c r="U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8" t="n"/>
      <c r="M1260" s="8" t="n"/>
      <c r="N1260" s="8" t="n"/>
      <c r="O1260" s="8" t="n"/>
      <c r="P1260" s="8" t="n"/>
      <c r="Q1260" s="7" t="inlineStr">
        <is>
          <t>SEM COTAÇÃO</t>
        </is>
      </c>
      <c r="R1260" s="8" t="n"/>
      <c r="S1260" s="14" t="n"/>
      <c r="T1260" s="7" t="inlineStr"/>
      <c r="U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8" t="n"/>
      <c r="M1261" s="8" t="n"/>
      <c r="N1261" s="8" t="n"/>
      <c r="O1261" s="8" t="n"/>
      <c r="P1261" s="8" t="n"/>
      <c r="Q1261" s="7" t="inlineStr">
        <is>
          <t>SEM COTAÇÃO</t>
        </is>
      </c>
      <c r="R1261" s="8" t="n"/>
      <c r="S1261" s="14" t="n"/>
      <c r="T1261" s="7" t="inlineStr"/>
      <c r="U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8" t="n"/>
      <c r="M1262" s="8" t="n"/>
      <c r="N1262" s="8" t="n"/>
      <c r="O1262" s="8" t="n"/>
      <c r="P1262" s="8" t="n"/>
      <c r="Q1262" s="7" t="inlineStr">
        <is>
          <t>SEM COTAÇÃO</t>
        </is>
      </c>
      <c r="R1262" s="8" t="n"/>
      <c r="S1262" s="14" t="n"/>
      <c r="T1262" s="7" t="inlineStr"/>
      <c r="U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8" t="n"/>
      <c r="M1263" s="8" t="n"/>
      <c r="N1263" s="8" t="n"/>
      <c r="O1263" s="8" t="n"/>
      <c r="P1263" s="8" t="n"/>
      <c r="Q1263" s="7" t="inlineStr">
        <is>
          <t>SEM COTAÇÃO</t>
        </is>
      </c>
      <c r="R1263" s="8" t="n"/>
      <c r="S1263" s="14" t="n"/>
      <c r="T1263" s="7" t="inlineStr"/>
      <c r="U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8" t="n"/>
      <c r="M1264" s="8" t="n"/>
      <c r="N1264" s="8" t="n"/>
      <c r="O1264" s="15" t="n">
        <v>13.81</v>
      </c>
      <c r="P1264" s="8" t="n"/>
      <c r="Q1264" s="7" t="inlineStr">
        <is>
          <t>NAZARIA</t>
        </is>
      </c>
      <c r="R1264" s="8" t="n">
        <v>13.81</v>
      </c>
      <c r="S1264" s="14">
        <f>R1264/H1264-1</f>
        <v/>
      </c>
      <c r="T1264" s="16" t="inlineStr">
        <is>
          <t>ACIMA +30.0%</t>
        </is>
      </c>
      <c r="U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8" t="n">
        <v>23.3</v>
      </c>
      <c r="M1265" s="8" t="n"/>
      <c r="N1265" s="8" t="n"/>
      <c r="O1265" s="15" t="n">
        <v>23.128</v>
      </c>
      <c r="P1265" s="8" t="n"/>
      <c r="Q1265" s="7" t="inlineStr">
        <is>
          <t>NAZARIA</t>
        </is>
      </c>
      <c r="R1265" s="8" t="n">
        <v>23.128</v>
      </c>
      <c r="S1265" s="14">
        <f>R1265/H1265-1</f>
        <v/>
      </c>
      <c r="T1265" s="17" t="inlineStr">
        <is>
          <t>OK (≤ últ. compra)</t>
        </is>
      </c>
      <c r="U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8" t="n"/>
      <c r="M1266" s="8" t="n"/>
      <c r="N1266" s="8" t="n"/>
      <c r="O1266" s="8" t="n">
        <v>49.04</v>
      </c>
      <c r="P1266" s="8" t="n">
        <v>40.25</v>
      </c>
      <c r="Q1266" s="7" t="inlineStr">
        <is>
          <t>PLUSFARMA</t>
        </is>
      </c>
      <c r="R1266" s="8" t="n">
        <v>36.45</v>
      </c>
      <c r="S1266" s="14">
        <f>R1266/H1266-1</f>
        <v/>
      </c>
      <c r="T1266" s="16" t="inlineStr">
        <is>
          <t>ACIMA +6.0%</t>
        </is>
      </c>
      <c r="U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8" t="n"/>
      <c r="M1267" s="8" t="n"/>
      <c r="N1267" s="8" t="n"/>
      <c r="O1267" s="8" t="n"/>
      <c r="P1267" s="8" t="n"/>
      <c r="Q1267" s="7" t="inlineStr">
        <is>
          <t>SEM COTAÇÃO</t>
        </is>
      </c>
      <c r="R1267" s="8" t="n"/>
      <c r="S1267" s="14" t="n"/>
      <c r="T1267" s="7" t="inlineStr"/>
      <c r="U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8" t="n"/>
      <c r="M1268" s="8" t="n"/>
      <c r="N1268" s="8" t="n"/>
      <c r="O1268" s="8" t="n"/>
      <c r="P1268" s="8" t="n"/>
      <c r="Q1268" s="7" t="inlineStr">
        <is>
          <t>SEM COTAÇÃO</t>
        </is>
      </c>
      <c r="R1268" s="8" t="n"/>
      <c r="S1268" s="14" t="n"/>
      <c r="T1268" s="7" t="inlineStr"/>
      <c r="U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8" t="n"/>
      <c r="M1269" s="8" t="n"/>
      <c r="N1269" s="8" t="n"/>
      <c r="O1269" s="8" t="n"/>
      <c r="P1269" s="8" t="n"/>
      <c r="Q1269" s="7" t="inlineStr">
        <is>
          <t>SEM COTAÇÃO</t>
        </is>
      </c>
      <c r="R1269" s="8" t="n"/>
      <c r="S1269" s="14" t="n"/>
      <c r="T1269" s="7" t="inlineStr"/>
      <c r="U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8" t="n"/>
      <c r="M1270" s="8" t="n"/>
      <c r="N1270" s="8" t="n"/>
      <c r="O1270" s="8" t="n"/>
      <c r="P1270" s="8" t="n"/>
      <c r="Q1270" s="7" t="inlineStr">
        <is>
          <t>SEM COTAÇÃO</t>
        </is>
      </c>
      <c r="R1270" s="8" t="n"/>
      <c r="S1270" s="14" t="n"/>
      <c r="T1270" s="7" t="inlineStr"/>
      <c r="U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8" t="n"/>
      <c r="M1271" s="8" t="n"/>
      <c r="N1271" s="8" t="n"/>
      <c r="O1271" s="8" t="n"/>
      <c r="P1271" s="8" t="n"/>
      <c r="Q1271" s="7" t="inlineStr">
        <is>
          <t>SEM COTAÇÃO</t>
        </is>
      </c>
      <c r="R1271" s="8" t="n"/>
      <c r="S1271" s="14" t="n"/>
      <c r="T1271" s="7" t="inlineStr"/>
      <c r="U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8" t="n"/>
      <c r="M1272" s="8" t="n"/>
      <c r="N1272" s="8" t="n"/>
      <c r="O1272" s="8" t="n"/>
      <c r="P1272" s="8" t="n"/>
      <c r="Q1272" s="7" t="inlineStr">
        <is>
          <t>SEM COTAÇÃO</t>
        </is>
      </c>
      <c r="R1272" s="8" t="n"/>
      <c r="S1272" s="14" t="n"/>
      <c r="T1272" s="7" t="inlineStr"/>
      <c r="U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8" t="n"/>
      <c r="M1273" s="8" t="n"/>
      <c r="N1273" s="8" t="n"/>
      <c r="O1273" s="8" t="n"/>
      <c r="P1273" s="8" t="n"/>
      <c r="Q1273" s="7" t="inlineStr">
        <is>
          <t>SEM COTAÇÃO</t>
        </is>
      </c>
      <c r="R1273" s="8" t="n"/>
      <c r="S1273" s="14" t="n"/>
      <c r="T1273" s="7" t="inlineStr"/>
      <c r="U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8" t="n"/>
      <c r="M1274" s="15" t="n">
        <v>8.119999999999999</v>
      </c>
      <c r="N1274" s="8" t="n"/>
      <c r="O1274" s="8" t="n"/>
      <c r="P1274" s="8" t="n"/>
      <c r="Q1274" s="7" t="inlineStr">
        <is>
          <t>CENTROFARMA</t>
        </is>
      </c>
      <c r="R1274" s="8" t="n">
        <v>8.119999999999999</v>
      </c>
      <c r="S1274" s="14">
        <f>R1274/H1274-1</f>
        <v/>
      </c>
      <c r="T1274" s="17" t="inlineStr">
        <is>
          <t>OK (≤ menor hist.)</t>
        </is>
      </c>
      <c r="U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8" t="n"/>
      <c r="M1275" s="8" t="n"/>
      <c r="N1275" s="8" t="n"/>
      <c r="O1275" s="8" t="n"/>
      <c r="P1275" s="8" t="n"/>
      <c r="Q1275" s="7" t="inlineStr">
        <is>
          <t>SEM COTAÇÃO</t>
        </is>
      </c>
      <c r="R1275" s="8" t="n"/>
      <c r="S1275" s="14" t="n"/>
      <c r="T1275" s="7" t="inlineStr"/>
      <c r="U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8" t="n"/>
      <c r="M1276" s="8" t="n"/>
      <c r="N1276" s="8" t="n"/>
      <c r="O1276" s="8" t="n"/>
      <c r="P1276" s="8" t="n"/>
      <c r="Q1276" s="7" t="inlineStr">
        <is>
          <t>SEM COTAÇÃO</t>
        </is>
      </c>
      <c r="R1276" s="8" t="n"/>
      <c r="S1276" s="14" t="n"/>
      <c r="T1276" s="7" t="inlineStr"/>
      <c r="U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8" t="n"/>
      <c r="M1277" s="8" t="n"/>
      <c r="N1277" s="8" t="n"/>
      <c r="O1277" s="8" t="n"/>
      <c r="P1277" s="8" t="n"/>
      <c r="Q1277" s="7" t="inlineStr">
        <is>
          <t>SEM COTAÇÃO</t>
        </is>
      </c>
      <c r="R1277" s="8" t="n"/>
      <c r="S1277" s="14" t="n"/>
      <c r="T1277" s="7" t="inlineStr"/>
      <c r="U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8" t="n"/>
      <c r="M1278" s="8" t="n"/>
      <c r="N1278" s="8" t="n"/>
      <c r="O1278" s="8" t="n"/>
      <c r="P1278" s="8" t="n"/>
      <c r="Q1278" s="7" t="inlineStr">
        <is>
          <t>SEM COTAÇÃO</t>
        </is>
      </c>
      <c r="R1278" s="8" t="n"/>
      <c r="S1278" s="14" t="n"/>
      <c r="T1278" s="7" t="inlineStr"/>
      <c r="U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8" t="n"/>
      <c r="M1279" s="8" t="n"/>
      <c r="N1279" s="8" t="n"/>
      <c r="O1279" s="8" t="n"/>
      <c r="P1279" s="8" t="n"/>
      <c r="Q1279" s="7" t="inlineStr">
        <is>
          <t>SEM COTAÇÃO</t>
        </is>
      </c>
      <c r="R1279" s="8" t="n"/>
      <c r="S1279" s="14" t="n"/>
      <c r="T1279" s="7" t="inlineStr"/>
      <c r="U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8" t="n"/>
      <c r="M1280" s="8" t="n"/>
      <c r="N1280" s="8" t="n"/>
      <c r="O1280" s="8" t="n"/>
      <c r="P1280" s="8" t="n"/>
      <c r="Q1280" s="7" t="inlineStr">
        <is>
          <t>SEM COTAÇÃO</t>
        </is>
      </c>
      <c r="R1280" s="8" t="n"/>
      <c r="S1280" s="14" t="n"/>
      <c r="T1280" s="7" t="inlineStr"/>
      <c r="U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8" t="n"/>
      <c r="M1281" s="8" t="n"/>
      <c r="N1281" s="8" t="n"/>
      <c r="O1281" s="8" t="n"/>
      <c r="P1281" s="8" t="n"/>
      <c r="Q1281" s="7" t="inlineStr">
        <is>
          <t>SEM COTAÇÃO</t>
        </is>
      </c>
      <c r="R1281" s="8" t="n"/>
      <c r="S1281" s="14" t="n"/>
      <c r="T1281" s="7" t="inlineStr"/>
      <c r="U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8" t="n"/>
      <c r="M1282" s="8" t="n"/>
      <c r="N1282" s="8" t="n"/>
      <c r="O1282" s="8" t="n"/>
      <c r="P1282" s="8" t="n"/>
      <c r="Q1282" s="7" t="inlineStr">
        <is>
          <t>SEM COTAÇÃO</t>
        </is>
      </c>
      <c r="R1282" s="8" t="n"/>
      <c r="S1282" s="14" t="n"/>
      <c r="T1282" s="7" t="inlineStr"/>
      <c r="U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8" t="n"/>
      <c r="M1283" s="8" t="n"/>
      <c r="N1283" s="8" t="n"/>
      <c r="O1283" s="8" t="n"/>
      <c r="P1283" s="8" t="n"/>
      <c r="Q1283" s="7" t="inlineStr">
        <is>
          <t>SEM COTAÇÃO</t>
        </is>
      </c>
      <c r="R1283" s="8" t="n"/>
      <c r="S1283" s="14" t="n"/>
      <c r="T1283" s="7" t="inlineStr"/>
      <c r="U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8" t="n"/>
      <c r="M1284" s="8" t="n"/>
      <c r="N1284" s="8" t="n"/>
      <c r="O1284" s="8" t="n"/>
      <c r="P1284" s="8" t="n"/>
      <c r="Q1284" s="7" t="inlineStr">
        <is>
          <t>SEM COTAÇÃO</t>
        </is>
      </c>
      <c r="R1284" s="8" t="n"/>
      <c r="S1284" s="14" t="n"/>
      <c r="T1284" s="7" t="inlineStr"/>
      <c r="U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8" t="n"/>
      <c r="M1285" s="8" t="n"/>
      <c r="N1285" s="8" t="n"/>
      <c r="O1285" s="8" t="n"/>
      <c r="P1285" s="8" t="n"/>
      <c r="Q1285" s="7" t="inlineStr">
        <is>
          <t>SEM COTAÇÃO</t>
        </is>
      </c>
      <c r="R1285" s="8" t="n"/>
      <c r="S1285" s="14" t="n"/>
      <c r="T1285" s="7" t="inlineStr"/>
      <c r="U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8" t="n"/>
      <c r="M1286" s="8" t="n"/>
      <c r="N1286" s="8" t="n"/>
      <c r="O1286" s="8" t="n"/>
      <c r="P1286" s="8" t="n"/>
      <c r="Q1286" s="7" t="inlineStr">
        <is>
          <t>SEM COTAÇÃO</t>
        </is>
      </c>
      <c r="R1286" s="8" t="n"/>
      <c r="S1286" s="14" t="n"/>
      <c r="T1286" s="7" t="inlineStr"/>
      <c r="U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8" t="n"/>
      <c r="M1287" s="8" t="n"/>
      <c r="N1287" s="8" t="n"/>
      <c r="O1287" s="8" t="n"/>
      <c r="P1287" s="8" t="n"/>
      <c r="Q1287" s="7" t="inlineStr">
        <is>
          <t>SEM COTAÇÃO</t>
        </is>
      </c>
      <c r="R1287" s="8" t="n"/>
      <c r="S1287" s="14" t="n"/>
      <c r="T1287" s="7" t="inlineStr"/>
      <c r="U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8" t="n"/>
      <c r="M1288" s="8" t="n"/>
      <c r="N1288" s="8" t="n"/>
      <c r="O1288" s="8" t="n"/>
      <c r="P1288" s="8" t="n"/>
      <c r="Q1288" s="7" t="inlineStr">
        <is>
          <t>SEM COTAÇÃO</t>
        </is>
      </c>
      <c r="R1288" s="8" t="n"/>
      <c r="S1288" s="14" t="n"/>
      <c r="T1288" s="7" t="inlineStr"/>
      <c r="U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8" t="n"/>
      <c r="M1289" s="8" t="n"/>
      <c r="N1289" s="8" t="n"/>
      <c r="O1289" s="15" t="n">
        <v>20.92</v>
      </c>
      <c r="P1289" s="8" t="n"/>
      <c r="Q1289" s="7" t="inlineStr">
        <is>
          <t>NAZARIA</t>
        </is>
      </c>
      <c r="R1289" s="8" t="n">
        <v>20.92</v>
      </c>
      <c r="S1289" s="14">
        <f>R1289/H1289-1</f>
        <v/>
      </c>
      <c r="T1289" s="16" t="inlineStr">
        <is>
          <t>ACIMA +8.1%</t>
        </is>
      </c>
      <c r="U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8" t="n"/>
      <c r="M1290" s="8" t="n"/>
      <c r="N1290" s="8" t="n"/>
      <c r="O1290" s="15" t="n">
        <v>13.18</v>
      </c>
      <c r="P1290" s="8" t="n"/>
      <c r="Q1290" s="7" t="inlineStr">
        <is>
          <t>NAZARIA</t>
        </is>
      </c>
      <c r="R1290" s="8" t="n">
        <v>13.18</v>
      </c>
      <c r="S1290" s="14">
        <f>R1290/H1290-1</f>
        <v/>
      </c>
      <c r="T1290" s="17" t="inlineStr">
        <is>
          <t>OK (≤ últ. compra)</t>
        </is>
      </c>
      <c r="U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8" t="n"/>
      <c r="M1291" s="8" t="n"/>
      <c r="N1291" s="8" t="n"/>
      <c r="O1291" s="8" t="n">
        <v>13.18</v>
      </c>
      <c r="P1291" s="8" t="n"/>
      <c r="Q1291" s="7" t="inlineStr">
        <is>
          <t>SEM COTAÇÃO</t>
        </is>
      </c>
      <c r="R1291" s="8" t="n"/>
      <c r="S1291" s="14" t="n"/>
      <c r="T1291" s="7" t="inlineStr"/>
      <c r="U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8" t="n"/>
      <c r="M1292" s="8" t="n"/>
      <c r="N1292" s="8" t="n"/>
      <c r="O1292" s="8" t="n"/>
      <c r="P1292" s="8" t="n"/>
      <c r="Q1292" s="7" t="inlineStr">
        <is>
          <t>SEM COTAÇÃO</t>
        </is>
      </c>
      <c r="R1292" s="8" t="n"/>
      <c r="S1292" s="14" t="n"/>
      <c r="T1292" s="7" t="inlineStr"/>
      <c r="U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8" t="n"/>
      <c r="M1293" s="8" t="n"/>
      <c r="N1293" s="8" t="n"/>
      <c r="O1293" s="8" t="n"/>
      <c r="P1293" s="8" t="n"/>
      <c r="Q1293" s="7" t="inlineStr">
        <is>
          <t>SEM COTAÇÃO</t>
        </is>
      </c>
      <c r="R1293" s="8" t="n"/>
      <c r="S1293" s="14" t="n"/>
      <c r="T1293" s="7" t="inlineStr"/>
      <c r="U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8" t="n"/>
      <c r="M1294" s="8" t="n"/>
      <c r="N1294" s="8" t="n"/>
      <c r="O1294" s="8" t="n"/>
      <c r="P1294" s="8" t="n"/>
      <c r="Q1294" s="7" t="inlineStr">
        <is>
          <t>SEM COTAÇÃO</t>
        </is>
      </c>
      <c r="R1294" s="8" t="n"/>
      <c r="S1294" s="14" t="n"/>
      <c r="T1294" s="7" t="inlineStr"/>
      <c r="U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8" t="n"/>
      <c r="M1295" s="8" t="n"/>
      <c r="N1295" s="8" t="n"/>
      <c r="O1295" s="8" t="n"/>
      <c r="P1295" s="8" t="n"/>
      <c r="Q1295" s="7" t="inlineStr">
        <is>
          <t>SEM COTAÇÃO</t>
        </is>
      </c>
      <c r="R1295" s="8" t="n"/>
      <c r="S1295" s="14" t="n"/>
      <c r="T1295" s="7" t="inlineStr"/>
      <c r="U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8" t="n"/>
      <c r="M1296" s="8" t="n"/>
      <c r="N1296" s="8" t="n"/>
      <c r="O1296" s="8" t="n"/>
      <c r="P1296" s="8" t="n"/>
      <c r="Q1296" s="7" t="inlineStr">
        <is>
          <t>SEM COTAÇÃO</t>
        </is>
      </c>
      <c r="R1296" s="8" t="n"/>
      <c r="S1296" s="14" t="n"/>
      <c r="T1296" s="7" t="inlineStr"/>
      <c r="U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8" t="n"/>
      <c r="M1297" s="8" t="n"/>
      <c r="N1297" s="8" t="n"/>
      <c r="O1297" s="15" t="n">
        <v>23.4</v>
      </c>
      <c r="P1297" s="8" t="n"/>
      <c r="Q1297" s="7" t="inlineStr">
        <is>
          <t>NAZARIA</t>
        </is>
      </c>
      <c r="R1297" s="8" t="n">
        <v>23.4</v>
      </c>
      <c r="S1297" s="14">
        <f>R1297/H1297-1</f>
        <v/>
      </c>
      <c r="T1297" s="16" t="inlineStr">
        <is>
          <t>ACIMA +20.6%</t>
        </is>
      </c>
      <c r="U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8" t="n"/>
      <c r="M1298" s="8" t="n"/>
      <c r="N1298" s="8" t="n"/>
      <c r="O1298" s="8" t="n">
        <v>13.37</v>
      </c>
      <c r="P1298" s="8" t="n"/>
      <c r="Q1298" s="7" t="inlineStr">
        <is>
          <t>SEM COTAÇÃO</t>
        </is>
      </c>
      <c r="R1298" s="8" t="n"/>
      <c r="S1298" s="14" t="n"/>
      <c r="T1298" s="7" t="inlineStr"/>
      <c r="U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8" t="n"/>
      <c r="M1299" s="8" t="n"/>
      <c r="N1299" s="8" t="n"/>
      <c r="O1299" s="8" t="n"/>
      <c r="P1299" s="8" t="n"/>
      <c r="Q1299" s="7" t="inlineStr">
        <is>
          <t>SEM COTAÇÃO</t>
        </is>
      </c>
      <c r="R1299" s="8" t="n"/>
      <c r="S1299" s="14" t="n"/>
      <c r="T1299" s="7" t="inlineStr"/>
      <c r="U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8" t="n"/>
      <c r="M1300" s="8" t="n"/>
      <c r="N1300" s="8" t="n"/>
      <c r="O1300" s="15" t="n">
        <v>21.67</v>
      </c>
      <c r="P1300" s="8" t="n"/>
      <c r="Q1300" s="7" t="inlineStr">
        <is>
          <t>NAZARIA</t>
        </is>
      </c>
      <c r="R1300" s="8" t="n">
        <v>21.67</v>
      </c>
      <c r="S1300" s="14">
        <f>R1300/H1300-1</f>
        <v/>
      </c>
      <c r="T1300" s="16" t="inlineStr">
        <is>
          <t>ACIMA +25.5%</t>
        </is>
      </c>
      <c r="U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8" t="n"/>
      <c r="M1301" s="8" t="n"/>
      <c r="N1301" s="8" t="n"/>
      <c r="O1301" s="15" t="n">
        <v>21.67</v>
      </c>
      <c r="P1301" s="8" t="n"/>
      <c r="Q1301" s="7" t="inlineStr">
        <is>
          <t>NAZARIA</t>
        </is>
      </c>
      <c r="R1301" s="8" t="n">
        <v>21.67</v>
      </c>
      <c r="S1301" s="14">
        <f>R1301/H1301-1</f>
        <v/>
      </c>
      <c r="T1301" s="16" t="inlineStr">
        <is>
          <t>ACIMA +29.8%</t>
        </is>
      </c>
      <c r="U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8" t="n"/>
      <c r="M1302" s="8" t="n"/>
      <c r="N1302" s="8" t="n"/>
      <c r="O1302" s="15" t="n">
        <v>8.27</v>
      </c>
      <c r="P1302" s="8" t="n"/>
      <c r="Q1302" s="7" t="inlineStr">
        <is>
          <t>NAZARIA</t>
        </is>
      </c>
      <c r="R1302" s="8" t="n">
        <v>8.27</v>
      </c>
      <c r="S1302" s="14">
        <f>R1302/H1302-1</f>
        <v/>
      </c>
      <c r="T1302" s="16" t="inlineStr">
        <is>
          <t>ACIMA +29.6%</t>
        </is>
      </c>
      <c r="U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8" t="n"/>
      <c r="M1303" s="8" t="n"/>
      <c r="N1303" s="8" t="n"/>
      <c r="O1303" s="15" t="n">
        <v>8.27</v>
      </c>
      <c r="P1303" s="8" t="n"/>
      <c r="Q1303" s="7" t="inlineStr">
        <is>
          <t>NAZARIA</t>
        </is>
      </c>
      <c r="R1303" s="8" t="n">
        <v>8.27</v>
      </c>
      <c r="S1303" s="14">
        <f>R1303/H1303-1</f>
        <v/>
      </c>
      <c r="T1303" s="16" t="inlineStr">
        <is>
          <t>ACIMA +29.6%</t>
        </is>
      </c>
      <c r="U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8" t="n"/>
      <c r="M1304" s="8" t="n"/>
      <c r="N1304" s="8" t="n"/>
      <c r="O1304" s="15" t="n">
        <v>15.18</v>
      </c>
      <c r="P1304" s="8" t="n"/>
      <c r="Q1304" s="7" t="inlineStr">
        <is>
          <t>NAZARIA</t>
        </is>
      </c>
      <c r="R1304" s="8" t="n">
        <v>15.18</v>
      </c>
      <c r="S1304" s="14">
        <f>R1304/H1304-1</f>
        <v/>
      </c>
      <c r="T1304" s="17" t="inlineStr">
        <is>
          <t>OK (≤ últ. compra)</t>
        </is>
      </c>
      <c r="U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8" t="n"/>
      <c r="M1305" s="8" t="n"/>
      <c r="N1305" s="8" t="n"/>
      <c r="O1305" s="8" t="n"/>
      <c r="P1305" s="8" t="n"/>
      <c r="Q1305" s="7" t="inlineStr">
        <is>
          <t>SEM COTAÇÃO</t>
        </is>
      </c>
      <c r="R1305" s="8" t="n"/>
      <c r="S1305" s="14" t="n"/>
      <c r="T1305" s="7" t="inlineStr"/>
      <c r="U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8" t="n"/>
      <c r="M1306" s="8" t="n"/>
      <c r="N1306" s="8" t="n"/>
      <c r="O1306" s="8" t="n"/>
      <c r="P1306" s="8" t="n"/>
      <c r="Q1306" s="7" t="inlineStr">
        <is>
          <t>SEM COTAÇÃO</t>
        </is>
      </c>
      <c r="R1306" s="8" t="n"/>
      <c r="S1306" s="14" t="n"/>
      <c r="T1306" s="7" t="inlineStr"/>
      <c r="U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8" t="n">
        <v>36.87</v>
      </c>
      <c r="M1307" s="8" t="n"/>
      <c r="N1307" s="8" t="n"/>
      <c r="O1307" s="15" t="n">
        <v>35.4825</v>
      </c>
      <c r="P1307" s="8" t="n"/>
      <c r="Q1307" s="7" t="inlineStr">
        <is>
          <t>NAZARIA</t>
        </is>
      </c>
      <c r="R1307" s="8" t="n">
        <v>35.4825</v>
      </c>
      <c r="S1307" s="14">
        <f>R1307/H1307-1</f>
        <v/>
      </c>
      <c r="T1307" s="17" t="inlineStr">
        <is>
          <t>OK (≤ últ. compra)</t>
        </is>
      </c>
      <c r="U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8" t="n">
        <v>46.77</v>
      </c>
      <c r="M1308" s="8" t="n"/>
      <c r="N1308" s="8" t="n"/>
      <c r="O1308" s="15" t="n">
        <v>45.98</v>
      </c>
      <c r="P1308" s="8" t="n"/>
      <c r="Q1308" s="7" t="inlineStr">
        <is>
          <t>NAZARIA</t>
        </is>
      </c>
      <c r="R1308" s="8" t="n">
        <v>45.98</v>
      </c>
      <c r="S1308" s="14">
        <f>R1308/H1308-1</f>
        <v/>
      </c>
      <c r="T1308" s="17" t="inlineStr">
        <is>
          <t>OK (≤ últ. compra)</t>
        </is>
      </c>
      <c r="U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8" t="n"/>
      <c r="M1309" s="8" t="n"/>
      <c r="N1309" s="8" t="n"/>
      <c r="O1309" s="15" t="n">
        <v>20.02</v>
      </c>
      <c r="P1309" s="8" t="n">
        <v>20.84</v>
      </c>
      <c r="Q1309" s="7" t="inlineStr">
        <is>
          <t>NAZARIA</t>
        </is>
      </c>
      <c r="R1309" s="8" t="n">
        <v>20.02</v>
      </c>
      <c r="S1309" s="14">
        <f>R1309/H1309-1</f>
        <v/>
      </c>
      <c r="T1309" s="16" t="inlineStr">
        <is>
          <t>ACIMA +11.1%</t>
        </is>
      </c>
      <c r="U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8" t="n"/>
      <c r="M1310" s="8" t="n"/>
      <c r="N1310" s="8" t="n"/>
      <c r="O1310" s="15" t="n">
        <v>25.11</v>
      </c>
      <c r="P1310" s="8" t="n">
        <v>28.17</v>
      </c>
      <c r="Q1310" s="7" t="inlineStr">
        <is>
          <t>NAZARIA</t>
        </is>
      </c>
      <c r="R1310" s="8" t="n">
        <v>25.11</v>
      </c>
      <c r="S1310" s="14">
        <f>R1310/H1310-1</f>
        <v/>
      </c>
      <c r="T1310" s="17" t="inlineStr">
        <is>
          <t>OK (≤ últ. compra)</t>
        </is>
      </c>
      <c r="U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8" t="n"/>
      <c r="M1311" s="8" t="n"/>
      <c r="N1311" s="8" t="n"/>
      <c r="O1311" s="15" t="n">
        <v>20.02</v>
      </c>
      <c r="P1311" s="8" t="n">
        <v>20.38</v>
      </c>
      <c r="Q1311" s="7" t="inlineStr">
        <is>
          <t>NAZARIA</t>
        </is>
      </c>
      <c r="R1311" s="8" t="n">
        <v>20.02</v>
      </c>
      <c r="S1311" s="14">
        <f>R1311/H1311-1</f>
        <v/>
      </c>
      <c r="T1311" s="16" t="inlineStr">
        <is>
          <t>ACIMA +16.8%</t>
        </is>
      </c>
      <c r="U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8" t="n"/>
      <c r="M1312" s="8" t="n"/>
      <c r="N1312" s="8" t="n"/>
      <c r="O1312" s="15" t="n">
        <v>20.02</v>
      </c>
      <c r="P1312" s="8" t="n"/>
      <c r="Q1312" s="7" t="inlineStr">
        <is>
          <t>NAZARIA</t>
        </is>
      </c>
      <c r="R1312" s="8" t="n">
        <v>20.02</v>
      </c>
      <c r="S1312" s="14">
        <f>R1312/H1312-1</f>
        <v/>
      </c>
      <c r="T1312" s="16" t="inlineStr">
        <is>
          <t>ACIMA +5.8%</t>
        </is>
      </c>
      <c r="U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8" t="n"/>
      <c r="M1313" s="8" t="n"/>
      <c r="N1313" s="8" t="n"/>
      <c r="O1313" s="8" t="n"/>
      <c r="P1313" s="8" t="n"/>
      <c r="Q1313" s="7" t="inlineStr">
        <is>
          <t>SEM COTAÇÃO</t>
        </is>
      </c>
      <c r="R1313" s="8" t="n"/>
      <c r="S1313" s="14" t="n"/>
      <c r="T1313" s="7" t="inlineStr"/>
      <c r="U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8" t="n"/>
      <c r="M1314" s="8" t="n"/>
      <c r="N1314" s="8" t="n"/>
      <c r="O1314" s="15" t="n">
        <v>26.67</v>
      </c>
      <c r="P1314" s="8" t="n"/>
      <c r="Q1314" s="7" t="inlineStr">
        <is>
          <t>NAZARIA</t>
        </is>
      </c>
      <c r="R1314" s="8" t="n">
        <v>26.67</v>
      </c>
      <c r="S1314" s="14">
        <f>R1314/H1314-1</f>
        <v/>
      </c>
      <c r="T1314" s="16" t="inlineStr">
        <is>
          <t>ACIMA +224.5%</t>
        </is>
      </c>
      <c r="U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8" t="n"/>
      <c r="M1315" s="8" t="n"/>
      <c r="N1315" s="8" t="n"/>
      <c r="O1315" s="15" t="n">
        <v>25.63</v>
      </c>
      <c r="P1315" s="8" t="n"/>
      <c r="Q1315" s="7" t="inlineStr">
        <is>
          <t>NAZARIA</t>
        </is>
      </c>
      <c r="R1315" s="8" t="n">
        <v>25.63</v>
      </c>
      <c r="S1315" s="14">
        <f>R1315/H1315-1</f>
        <v/>
      </c>
      <c r="T1315" s="16" t="inlineStr">
        <is>
          <t>ACIMA +212.0%</t>
        </is>
      </c>
      <c r="U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8" t="n"/>
      <c r="M1316" s="8" t="n"/>
      <c r="N1316" s="8" t="n"/>
      <c r="O1316" s="8" t="n"/>
      <c r="P1316" s="8" t="n"/>
      <c r="Q1316" s="7" t="inlineStr">
        <is>
          <t>SEM COTAÇÃO</t>
        </is>
      </c>
      <c r="R1316" s="8" t="n"/>
      <c r="S1316" s="14" t="n"/>
      <c r="T1316" s="7" t="inlineStr"/>
      <c r="U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7" t="inlineStr">
        <is>
          <t>SEM COTAÇÃO</t>
        </is>
      </c>
      <c r="R1317" s="8" t="n"/>
      <c r="S1317" s="14" t="n"/>
      <c r="T1317" s="7" t="inlineStr"/>
      <c r="U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15" t="n">
        <v>20.36</v>
      </c>
      <c r="M1318" s="8" t="n"/>
      <c r="N1318" s="8" t="n"/>
      <c r="O1318" s="8" t="n">
        <v>23.43</v>
      </c>
      <c r="P1318" s="8" t="n"/>
      <c r="Q1318" s="7" t="inlineStr">
        <is>
          <t>EPAN</t>
        </is>
      </c>
      <c r="R1318" s="8" t="n">
        <v>20.36</v>
      </c>
      <c r="S1318" s="14">
        <f>R1318/H1318-1</f>
        <v/>
      </c>
      <c r="T1318" s="17" t="inlineStr">
        <is>
          <t>OK (≤ últ. compra)</t>
        </is>
      </c>
      <c r="U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7" t="inlineStr">
        <is>
          <t>SEM COTAÇÃO</t>
        </is>
      </c>
      <c r="R1319" s="8" t="n"/>
      <c r="S1319" s="14" t="n"/>
      <c r="T1319" s="7" t="inlineStr"/>
      <c r="U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8" t="n"/>
      <c r="M1320" s="8" t="n">
        <v>26.33</v>
      </c>
      <c r="N1320" s="8" t="n"/>
      <c r="O1320" s="8" t="n"/>
      <c r="P1320" s="8" t="n">
        <v>27.81</v>
      </c>
      <c r="Q1320" s="7" t="inlineStr">
        <is>
          <t>DIMEC</t>
        </is>
      </c>
      <c r="R1320" s="8" t="n">
        <v>25.99</v>
      </c>
      <c r="S1320" s="14">
        <f>R1320/H1320-1</f>
        <v/>
      </c>
      <c r="T1320" s="17" t="inlineStr">
        <is>
          <t>OK (≤ últ. compra)</t>
        </is>
      </c>
      <c r="U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10.76</v>
      </c>
      <c r="K1321" s="8" t="n"/>
      <c r="L1321" s="8" t="n"/>
      <c r="M1321" s="8" t="n">
        <v>10.91</v>
      </c>
      <c r="N1321" s="15" t="n">
        <v>10.46</v>
      </c>
      <c r="O1321" s="8" t="n"/>
      <c r="P1321" s="8" t="n"/>
      <c r="Q1321" s="7" t="inlineStr">
        <is>
          <t>TAPAJOS</t>
        </is>
      </c>
      <c r="R1321" s="8" t="n">
        <v>10.46</v>
      </c>
      <c r="S1321" s="14">
        <f>R1321/H1321-1</f>
        <v/>
      </c>
      <c r="T1321" s="16" t="inlineStr">
        <is>
          <t>ACIMA +1.0%</t>
        </is>
      </c>
      <c r="U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8" t="n"/>
      <c r="M1322" s="8" t="n"/>
      <c r="N1322" s="8" t="n"/>
      <c r="O1322" s="8" t="n"/>
      <c r="P1322" s="8" t="n"/>
      <c r="Q1322" s="7" t="inlineStr">
        <is>
          <t>SEM COTAÇÃO</t>
        </is>
      </c>
      <c r="R1322" s="8" t="n"/>
      <c r="S1322" s="14" t="n"/>
      <c r="T1322" s="7" t="inlineStr"/>
      <c r="U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8" t="n"/>
      <c r="M1323" s="8" t="n"/>
      <c r="N1323" s="8" t="n"/>
      <c r="O1323" s="8" t="n"/>
      <c r="P1323" s="8" t="n"/>
      <c r="Q1323" s="7" t="inlineStr">
        <is>
          <t>SEM COTAÇÃO</t>
        </is>
      </c>
      <c r="R1323" s="8" t="n"/>
      <c r="S1323" s="14" t="n"/>
      <c r="T1323" s="7" t="inlineStr"/>
      <c r="U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8" t="n"/>
      <c r="M1324" s="8" t="n">
        <v>45.22</v>
      </c>
      <c r="N1324" s="8" t="n"/>
      <c r="O1324" s="8" t="n">
        <v>48.83</v>
      </c>
      <c r="P1324" s="8" t="n"/>
      <c r="Q1324" s="7" t="inlineStr">
        <is>
          <t>DIMEC</t>
        </is>
      </c>
      <c r="R1324" s="8" t="n">
        <v>42.53</v>
      </c>
      <c r="S1324" s="14">
        <f>R1324/H1324-1</f>
        <v/>
      </c>
      <c r="T1324" s="16" t="inlineStr">
        <is>
          <t>ACIMA +1.6%</t>
        </is>
      </c>
      <c r="U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8" t="n"/>
      <c r="M1325" s="8" t="n"/>
      <c r="N1325" s="8" t="n"/>
      <c r="O1325" s="8" t="n"/>
      <c r="P1325" s="8" t="n"/>
      <c r="Q1325" s="7" t="inlineStr">
        <is>
          <t>SEM COTAÇÃO</t>
        </is>
      </c>
      <c r="R1325" s="8" t="n"/>
      <c r="S1325" s="14" t="n"/>
      <c r="T1325" s="7" t="inlineStr"/>
      <c r="U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8" t="n"/>
      <c r="M1326" s="8" t="n">
        <v>13.35</v>
      </c>
      <c r="N1326" s="8" t="n"/>
      <c r="O1326" s="8" t="n"/>
      <c r="P1326" s="8" t="n">
        <v>13.55</v>
      </c>
      <c r="Q1326" s="7" t="inlineStr">
        <is>
          <t>DIMEC</t>
        </is>
      </c>
      <c r="R1326" s="8" t="n">
        <v>11.41</v>
      </c>
      <c r="S1326" s="14">
        <f>R1326/H1326-1</f>
        <v/>
      </c>
      <c r="T1326" s="16" t="inlineStr">
        <is>
          <t>ACIMA +3.8%</t>
        </is>
      </c>
      <c r="U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8" t="n"/>
      <c r="M1327" s="8" t="n"/>
      <c r="N1327" s="8" t="n"/>
      <c r="O1327" s="8" t="n"/>
      <c r="P1327" s="8" t="n"/>
      <c r="Q1327" s="7" t="inlineStr">
        <is>
          <t>SEM COTAÇÃO</t>
        </is>
      </c>
      <c r="R1327" s="8" t="n"/>
      <c r="S1327" s="14" t="n"/>
      <c r="T1327" s="7" t="inlineStr"/>
      <c r="U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8" t="n"/>
      <c r="M1328" s="8" t="n"/>
      <c r="N1328" s="8" t="n"/>
      <c r="O1328" s="15" t="n">
        <v>13.16</v>
      </c>
      <c r="P1328" s="8" t="n"/>
      <c r="Q1328" s="7" t="inlineStr">
        <is>
          <t>NAZARIA</t>
        </is>
      </c>
      <c r="R1328" s="8" t="n">
        <v>13.16</v>
      </c>
      <c r="S1328" s="14">
        <f>R1328/H1328-1</f>
        <v/>
      </c>
      <c r="T1328" s="16" t="inlineStr">
        <is>
          <t>ACIMA +3.5%</t>
        </is>
      </c>
      <c r="U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8" t="n"/>
      <c r="M1329" s="8" t="n"/>
      <c r="N1329" s="8" t="n"/>
      <c r="O1329" s="8" t="n"/>
      <c r="P1329" s="8" t="n"/>
      <c r="Q1329" s="7" t="inlineStr">
        <is>
          <t>SEM COTAÇÃO</t>
        </is>
      </c>
      <c r="R1329" s="8" t="n"/>
      <c r="S1329" s="14" t="n"/>
      <c r="T1329" s="7" t="inlineStr"/>
      <c r="U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8" t="n"/>
      <c r="M1330" s="8" t="n"/>
      <c r="N1330" s="8" t="n"/>
      <c r="O1330" s="8" t="n"/>
      <c r="P1330" s="8" t="n"/>
      <c r="Q1330" s="7" t="inlineStr">
        <is>
          <t>SEM COTAÇÃO</t>
        </is>
      </c>
      <c r="R1330" s="8" t="n"/>
      <c r="S1330" s="14" t="n"/>
      <c r="T1330" s="7" t="inlineStr"/>
      <c r="U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8" t="n"/>
      <c r="M1331" s="8" t="n"/>
      <c r="N1331" s="8" t="n"/>
      <c r="O1331" s="15" t="n">
        <v>14.58</v>
      </c>
      <c r="P1331" s="8" t="n"/>
      <c r="Q1331" s="7" t="inlineStr">
        <is>
          <t>NAZARIA</t>
        </is>
      </c>
      <c r="R1331" s="8" t="n">
        <v>14.58</v>
      </c>
      <c r="S1331" s="14">
        <f>R1331/H1331-1</f>
        <v/>
      </c>
      <c r="T1331" s="16" t="inlineStr">
        <is>
          <t>ACIMA +2.2%</t>
        </is>
      </c>
      <c r="U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8" t="n"/>
      <c r="M1332" s="8" t="n"/>
      <c r="N1332" s="8" t="n"/>
      <c r="O1332" s="15" t="n">
        <v>13.16</v>
      </c>
      <c r="P1332" s="8" t="n"/>
      <c r="Q1332" s="7" t="inlineStr">
        <is>
          <t>NAZARIA</t>
        </is>
      </c>
      <c r="R1332" s="8" t="n">
        <v>13.16</v>
      </c>
      <c r="S1332" s="14">
        <f>R1332/H1332-1</f>
        <v/>
      </c>
      <c r="T1332" s="16" t="inlineStr">
        <is>
          <t>ACIMA +2.0%</t>
        </is>
      </c>
      <c r="U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8" t="n"/>
      <c r="M1333" s="8" t="n"/>
      <c r="N1333" s="8" t="n"/>
      <c r="O1333" s="8" t="n"/>
      <c r="P1333" s="8" t="n"/>
      <c r="Q1333" s="7" t="inlineStr">
        <is>
          <t>SEM COTAÇÃO</t>
        </is>
      </c>
      <c r="R1333" s="8" t="n"/>
      <c r="S1333" s="14" t="n"/>
      <c r="T1333" s="7" t="inlineStr"/>
      <c r="U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8" t="n"/>
      <c r="M1334" s="8" t="n"/>
      <c r="N1334" s="8" t="n"/>
      <c r="O1334" s="15" t="n">
        <v>13.16</v>
      </c>
      <c r="P1334" s="8" t="n"/>
      <c r="Q1334" s="7" t="inlineStr">
        <is>
          <t>NAZARIA</t>
        </is>
      </c>
      <c r="R1334" s="8" t="n">
        <v>13.16</v>
      </c>
      <c r="S1334" s="14">
        <f>R1334/H1334-1</f>
        <v/>
      </c>
      <c r="T1334" s="16" t="inlineStr">
        <is>
          <t>ACIMA +3.5%</t>
        </is>
      </c>
      <c r="U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8" t="n"/>
      <c r="M1335" s="8" t="n"/>
      <c r="N1335" s="8" t="n"/>
      <c r="O1335" s="8" t="n"/>
      <c r="P1335" s="8" t="n"/>
      <c r="Q1335" s="7" t="inlineStr">
        <is>
          <t>SEM COTAÇÃO</t>
        </is>
      </c>
      <c r="R1335" s="8" t="n"/>
      <c r="S1335" s="14" t="n"/>
      <c r="T1335" s="7" t="inlineStr"/>
      <c r="U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8" t="n"/>
      <c r="M1336" s="8" t="n"/>
      <c r="N1336" s="8" t="n"/>
      <c r="O1336" s="8" t="n"/>
      <c r="P1336" s="8" t="n"/>
      <c r="Q1336" s="7" t="inlineStr">
        <is>
          <t>SEM COTAÇÃO</t>
        </is>
      </c>
      <c r="R1336" s="8" t="n"/>
      <c r="S1336" s="14" t="n"/>
      <c r="T1336" s="7" t="inlineStr"/>
      <c r="U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8" t="n"/>
      <c r="M1337" s="8" t="n"/>
      <c r="N1337" s="8" t="n"/>
      <c r="O1337" s="15" t="n">
        <v>13.16</v>
      </c>
      <c r="P1337" s="8" t="n"/>
      <c r="Q1337" s="7" t="inlineStr">
        <is>
          <t>NAZARIA</t>
        </is>
      </c>
      <c r="R1337" s="8" t="n">
        <v>13.16</v>
      </c>
      <c r="S1337" s="14">
        <f>R1337/H1337-1</f>
        <v/>
      </c>
      <c r="T1337" s="16" t="inlineStr">
        <is>
          <t>ACIMA +3.5%</t>
        </is>
      </c>
      <c r="U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8" t="n"/>
      <c r="M1338" s="8" t="n"/>
      <c r="N1338" s="8" t="n"/>
      <c r="O1338" s="8" t="n"/>
      <c r="P1338" s="8" t="n"/>
      <c r="Q1338" s="7" t="inlineStr">
        <is>
          <t>SEM COTAÇÃO</t>
        </is>
      </c>
      <c r="R1338" s="8" t="n"/>
      <c r="S1338" s="14" t="n"/>
      <c r="T1338" s="7" t="inlineStr"/>
      <c r="U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8" t="n"/>
      <c r="M1339" s="8" t="n"/>
      <c r="N1339" s="8" t="n"/>
      <c r="O1339" s="15" t="n">
        <v>13.31</v>
      </c>
      <c r="P1339" s="8" t="n"/>
      <c r="Q1339" s="7" t="inlineStr">
        <is>
          <t>NAZARIA</t>
        </is>
      </c>
      <c r="R1339" s="8" t="n">
        <v>13.31</v>
      </c>
      <c r="S1339" s="14">
        <f>R1339/H1339-1</f>
        <v/>
      </c>
      <c r="T1339" s="16" t="inlineStr">
        <is>
          <t>ACIMA +4.6%</t>
        </is>
      </c>
      <c r="U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8" t="n"/>
      <c r="M1340" s="8" t="n"/>
      <c r="N1340" s="8" t="n"/>
      <c r="O1340" s="15" t="n">
        <v>15.18</v>
      </c>
      <c r="P1340" s="8" t="n"/>
      <c r="Q1340" s="7" t="inlineStr">
        <is>
          <t>NAZARIA</t>
        </is>
      </c>
      <c r="R1340" s="8" t="n">
        <v>15.18</v>
      </c>
      <c r="S1340" s="14">
        <f>R1340/H1340-1</f>
        <v/>
      </c>
      <c r="T1340" s="16" t="inlineStr">
        <is>
          <t>ACIMA +4.2%</t>
        </is>
      </c>
      <c r="U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8" t="n"/>
      <c r="M1341" s="8" t="n"/>
      <c r="N1341" s="8" t="n"/>
      <c r="O1341" s="8" t="n"/>
      <c r="P1341" s="8" t="n"/>
      <c r="Q1341" s="7" t="inlineStr">
        <is>
          <t>SEM COTAÇÃO</t>
        </is>
      </c>
      <c r="R1341" s="8" t="n"/>
      <c r="S1341" s="14" t="n"/>
      <c r="T1341" s="7" t="inlineStr"/>
      <c r="U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15" t="n">
        <v>10.89</v>
      </c>
      <c r="M1342" s="8" t="n"/>
      <c r="N1342" s="8" t="n"/>
      <c r="O1342" s="8" t="n">
        <v>13.16</v>
      </c>
      <c r="P1342" s="8" t="n"/>
      <c r="Q1342" s="7" t="inlineStr">
        <is>
          <t>EPAN</t>
        </is>
      </c>
      <c r="R1342" s="8" t="n">
        <v>10.89</v>
      </c>
      <c r="S1342" s="14">
        <f>R1342/H1342-1</f>
        <v/>
      </c>
      <c r="T1342" s="17" t="inlineStr">
        <is>
          <t>OK (≤ menor hist.)</t>
        </is>
      </c>
      <c r="U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8" t="n"/>
      <c r="M1343" s="8" t="n"/>
      <c r="N1343" s="8" t="n"/>
      <c r="O1343" s="8" t="n"/>
      <c r="P1343" s="8" t="n"/>
      <c r="Q1343" s="7" t="inlineStr">
        <is>
          <t>SEM COTAÇÃO</t>
        </is>
      </c>
      <c r="R1343" s="8" t="n"/>
      <c r="S1343" s="14" t="n"/>
      <c r="T1343" s="7" t="inlineStr"/>
      <c r="U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8" t="n"/>
      <c r="M1344" s="8" t="n"/>
      <c r="N1344" s="8" t="n"/>
      <c r="O1344" s="8" t="n"/>
      <c r="P1344" s="8" t="n"/>
      <c r="Q1344" s="7" t="inlineStr">
        <is>
          <t>SEM COTAÇÃO</t>
        </is>
      </c>
      <c r="R1344" s="8" t="n"/>
      <c r="S1344" s="14" t="n"/>
      <c r="T1344" s="7" t="inlineStr"/>
      <c r="U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8" t="n"/>
      <c r="M1345" s="8" t="n"/>
      <c r="N1345" s="8" t="n"/>
      <c r="O1345" s="8" t="n"/>
      <c r="P1345" s="8" t="n"/>
      <c r="Q1345" s="7" t="inlineStr">
        <is>
          <t>SEM COTAÇÃO</t>
        </is>
      </c>
      <c r="R1345" s="8" t="n"/>
      <c r="S1345" s="14" t="n"/>
      <c r="T1345" s="7" t="inlineStr"/>
      <c r="U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8" t="n"/>
      <c r="M1346" s="8" t="n"/>
      <c r="N1346" s="8" t="n"/>
      <c r="O1346" s="15" t="n">
        <v>13.79</v>
      </c>
      <c r="P1346" s="8" t="n"/>
      <c r="Q1346" s="7" t="inlineStr">
        <is>
          <t>NAZARIA</t>
        </is>
      </c>
      <c r="R1346" s="8" t="n">
        <v>13.79</v>
      </c>
      <c r="S1346" s="14">
        <f>R1346/H1346-1</f>
        <v/>
      </c>
      <c r="T1346" s="16" t="inlineStr">
        <is>
          <t>ACIMA +8.7%</t>
        </is>
      </c>
      <c r="U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8" t="n"/>
      <c r="M1347" s="8" t="n"/>
      <c r="N1347" s="8" t="n"/>
      <c r="O1347" s="15" t="n">
        <v>14.97</v>
      </c>
      <c r="P1347" s="8" t="n"/>
      <c r="Q1347" s="7" t="inlineStr">
        <is>
          <t>NAZARIA</t>
        </is>
      </c>
      <c r="R1347" s="8" t="n">
        <v>14.97</v>
      </c>
      <c r="S1347" s="14">
        <f>R1347/H1347-1</f>
        <v/>
      </c>
      <c r="T1347" s="16" t="inlineStr">
        <is>
          <t>ACIMA +18.4%</t>
        </is>
      </c>
      <c r="U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7" t="inlineStr">
        <is>
          <t>SEM COTAÇÃO</t>
        </is>
      </c>
      <c r="R1348" s="8" t="n"/>
      <c r="S1348" s="14" t="n"/>
      <c r="T1348" s="7" t="inlineStr"/>
      <c r="U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8" t="n"/>
      <c r="M1349" s="8" t="n"/>
      <c r="N1349" s="8" t="n"/>
      <c r="O1349" s="8" t="n"/>
      <c r="P1349" s="8" t="n"/>
      <c r="Q1349" s="7" t="inlineStr">
        <is>
          <t>SEM COTAÇÃO</t>
        </is>
      </c>
      <c r="R1349" s="8" t="n"/>
      <c r="S1349" s="14" t="n"/>
      <c r="T1349" s="7" t="inlineStr"/>
      <c r="U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8" t="n"/>
      <c r="M1350" s="8" t="n"/>
      <c r="N1350" s="8" t="n"/>
      <c r="O1350" s="8" t="n"/>
      <c r="P1350" s="8" t="n"/>
      <c r="Q1350" s="7" t="inlineStr">
        <is>
          <t>SEM COTAÇÃO</t>
        </is>
      </c>
      <c r="R1350" s="8" t="n"/>
      <c r="S1350" s="14" t="n"/>
      <c r="T1350" s="7" t="inlineStr"/>
      <c r="U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8" t="n"/>
      <c r="M1351" s="8" t="n"/>
      <c r="N1351" s="8" t="n"/>
      <c r="O1351" s="8" t="n"/>
      <c r="P1351" s="8" t="n"/>
      <c r="Q1351" s="7" t="inlineStr">
        <is>
          <t>SEM COTAÇÃO</t>
        </is>
      </c>
      <c r="R1351" s="8" t="n"/>
      <c r="S1351" s="14" t="n"/>
      <c r="T1351" s="7" t="inlineStr"/>
      <c r="U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8" t="n"/>
      <c r="M1352" s="8" t="n"/>
      <c r="N1352" s="8" t="n"/>
      <c r="O1352" s="15" t="n">
        <v>14.58</v>
      </c>
      <c r="P1352" s="8" t="n"/>
      <c r="Q1352" s="7" t="inlineStr">
        <is>
          <t>NAZARIA</t>
        </is>
      </c>
      <c r="R1352" s="8" t="n">
        <v>14.58</v>
      </c>
      <c r="S1352" s="14">
        <f>R1352/H1352-1</f>
        <v/>
      </c>
      <c r="T1352" s="16" t="inlineStr">
        <is>
          <t>ACIMA +2.2%</t>
        </is>
      </c>
      <c r="U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8" t="n"/>
      <c r="M1353" s="8" t="n"/>
      <c r="N1353" s="8" t="n"/>
      <c r="O1353" s="15" t="n">
        <v>14.58</v>
      </c>
      <c r="P1353" s="8" t="n"/>
      <c r="Q1353" s="7" t="inlineStr">
        <is>
          <t>NAZARIA</t>
        </is>
      </c>
      <c r="R1353" s="8" t="n">
        <v>14.58</v>
      </c>
      <c r="S1353" s="14">
        <f>R1353/H1353-1</f>
        <v/>
      </c>
      <c r="T1353" s="16" t="inlineStr">
        <is>
          <t>ACIMA +2.7%</t>
        </is>
      </c>
      <c r="U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8" t="n"/>
      <c r="M1354" s="8" t="n"/>
      <c r="N1354" s="8" t="n"/>
      <c r="O1354" s="15" t="n">
        <v>20.92</v>
      </c>
      <c r="P1354" s="8" t="n"/>
      <c r="Q1354" s="7" t="inlineStr">
        <is>
          <t>NAZARIA</t>
        </is>
      </c>
      <c r="R1354" s="8" t="n">
        <v>20.92</v>
      </c>
      <c r="S1354" s="14">
        <f>R1354/H1354-1</f>
        <v/>
      </c>
      <c r="T1354" s="16" t="inlineStr">
        <is>
          <t>ACIMA +8.1%</t>
        </is>
      </c>
      <c r="U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8" t="n"/>
      <c r="M1355" s="8" t="n"/>
      <c r="N1355" s="8" t="n"/>
      <c r="O1355" s="15" t="n">
        <v>9.289999999999999</v>
      </c>
      <c r="P1355" s="8" t="n"/>
      <c r="Q1355" s="7" t="inlineStr">
        <is>
          <t>NAZARIA</t>
        </is>
      </c>
      <c r="R1355" s="8" t="n">
        <v>9.289999999999999</v>
      </c>
      <c r="S1355" s="14">
        <f>R1355/H1355-1</f>
        <v/>
      </c>
      <c r="T1355" s="16" t="inlineStr">
        <is>
          <t>ACIMA +14.5%</t>
        </is>
      </c>
      <c r="U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8" t="n"/>
      <c r="M1356" s="8" t="n"/>
      <c r="N1356" s="8" t="n"/>
      <c r="O1356" s="8" t="n"/>
      <c r="P1356" s="8" t="n"/>
      <c r="Q1356" s="7" t="inlineStr">
        <is>
          <t>SEM COTAÇÃO</t>
        </is>
      </c>
      <c r="R1356" s="8" t="n"/>
      <c r="S1356" s="14" t="n"/>
      <c r="T1356" s="7" t="inlineStr"/>
      <c r="U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8" t="n"/>
      <c r="M1357" s="8" t="n"/>
      <c r="N1357" s="8" t="n"/>
      <c r="O1357" s="8" t="n"/>
      <c r="P1357" s="8" t="n"/>
      <c r="Q1357" s="7" t="inlineStr">
        <is>
          <t>SEM COTAÇÃO</t>
        </is>
      </c>
      <c r="R1357" s="8" t="n"/>
      <c r="S1357" s="14" t="n"/>
      <c r="T1357" s="7" t="inlineStr"/>
      <c r="U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8" t="n"/>
      <c r="M1358" s="8" t="n"/>
      <c r="N1358" s="8" t="n"/>
      <c r="O1358" s="8" t="n"/>
      <c r="P1358" s="8" t="n"/>
      <c r="Q1358" s="7" t="inlineStr">
        <is>
          <t>SEM COTAÇÃO</t>
        </is>
      </c>
      <c r="R1358" s="8" t="n"/>
      <c r="S1358" s="14" t="n"/>
      <c r="T1358" s="7" t="inlineStr"/>
      <c r="U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8" t="n"/>
      <c r="M1359" s="8" t="n"/>
      <c r="N1359" s="8" t="n"/>
      <c r="O1359" s="8" t="n"/>
      <c r="P1359" s="8" t="n"/>
      <c r="Q1359" s="7" t="inlineStr">
        <is>
          <t>SEM COTAÇÃO</t>
        </is>
      </c>
      <c r="R1359" s="8" t="n"/>
      <c r="S1359" s="14" t="n"/>
      <c r="T1359" s="7" t="inlineStr"/>
      <c r="U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8" t="n"/>
      <c r="M1360" s="8" t="n"/>
      <c r="N1360" s="8" t="n"/>
      <c r="O1360" s="8" t="n"/>
      <c r="P1360" s="8" t="n"/>
      <c r="Q1360" s="7" t="inlineStr">
        <is>
          <t>SEM COTAÇÃO</t>
        </is>
      </c>
      <c r="R1360" s="8" t="n"/>
      <c r="S1360" s="14" t="n"/>
      <c r="T1360" s="7" t="inlineStr"/>
      <c r="U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8" t="n"/>
      <c r="M1361" s="8" t="n"/>
      <c r="N1361" s="8" t="n"/>
      <c r="O1361" s="15" t="n">
        <v>8.27</v>
      </c>
      <c r="P1361" s="8" t="n"/>
      <c r="Q1361" s="7" t="inlineStr">
        <is>
          <t>NAZARIA</t>
        </is>
      </c>
      <c r="R1361" s="8" t="n">
        <v>8.27</v>
      </c>
      <c r="S1361" s="14">
        <f>R1361/H1361-1</f>
        <v/>
      </c>
      <c r="T1361" s="16" t="inlineStr">
        <is>
          <t>ACIMA +8.1%</t>
        </is>
      </c>
      <c r="U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8" t="n"/>
      <c r="M1362" s="8" t="n"/>
      <c r="N1362" s="8" t="n"/>
      <c r="O1362" s="8" t="n">
        <v>8.27</v>
      </c>
      <c r="P1362" s="8" t="n"/>
      <c r="Q1362" s="7" t="inlineStr">
        <is>
          <t>SEM COTAÇÃO</t>
        </is>
      </c>
      <c r="R1362" s="8" t="n"/>
      <c r="S1362" s="14" t="n"/>
      <c r="T1362" s="7" t="inlineStr"/>
      <c r="U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8" t="n"/>
      <c r="M1363" s="8" t="n"/>
      <c r="N1363" s="8" t="n"/>
      <c r="O1363" s="15" t="n">
        <v>8.27</v>
      </c>
      <c r="P1363" s="8" t="n"/>
      <c r="Q1363" s="7" t="inlineStr">
        <is>
          <t>NAZARIA</t>
        </is>
      </c>
      <c r="R1363" s="8" t="n">
        <v>8.27</v>
      </c>
      <c r="S1363" s="14">
        <f>R1363/H1363-1</f>
        <v/>
      </c>
      <c r="T1363" s="16" t="inlineStr">
        <is>
          <t>ACIMA +6.3%</t>
        </is>
      </c>
      <c r="U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8" t="n"/>
      <c r="M1364" s="8" t="n"/>
      <c r="N1364" s="8" t="n"/>
      <c r="O1364" s="15" t="n">
        <v>8.27</v>
      </c>
      <c r="P1364" s="8" t="n"/>
      <c r="Q1364" s="7" t="inlineStr">
        <is>
          <t>NAZARIA</t>
        </is>
      </c>
      <c r="R1364" s="8" t="n">
        <v>8.27</v>
      </c>
      <c r="S1364" s="14">
        <f>R1364/H1364-1</f>
        <v/>
      </c>
      <c r="T1364" s="16" t="inlineStr">
        <is>
          <t>ACIMA +3.4%</t>
        </is>
      </c>
      <c r="U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8" t="n"/>
      <c r="M1365" s="8" t="n"/>
      <c r="N1365" s="8" t="n"/>
      <c r="O1365" s="15" t="n">
        <v>15.18</v>
      </c>
      <c r="P1365" s="8" t="n"/>
      <c r="Q1365" s="7" t="inlineStr">
        <is>
          <t>NAZARIA</t>
        </is>
      </c>
      <c r="R1365" s="8" t="n">
        <v>15.18</v>
      </c>
      <c r="S1365" s="14">
        <f>R1365/H1365-1</f>
        <v/>
      </c>
      <c r="T1365" s="16" t="inlineStr">
        <is>
          <t>ACIMA +20.1%</t>
        </is>
      </c>
      <c r="U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8" t="n"/>
      <c r="M1366" s="8" t="n"/>
      <c r="N1366" s="8" t="n"/>
      <c r="O1366" s="15" t="n">
        <v>15.18</v>
      </c>
      <c r="P1366" s="8" t="n"/>
      <c r="Q1366" s="7" t="inlineStr">
        <is>
          <t>NAZARIA</t>
        </is>
      </c>
      <c r="R1366" s="8" t="n">
        <v>15.18</v>
      </c>
      <c r="S1366" s="14">
        <f>R1366/H1366-1</f>
        <v/>
      </c>
      <c r="T1366" s="16" t="inlineStr">
        <is>
          <t>ACIMA +3.1%</t>
        </is>
      </c>
      <c r="U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8" t="n"/>
      <c r="M1367" s="8" t="n"/>
      <c r="N1367" s="8" t="n"/>
      <c r="O1367" s="8" t="n"/>
      <c r="P1367" s="8" t="n"/>
      <c r="Q1367" s="7" t="inlineStr">
        <is>
          <t>SEM COTAÇÃO</t>
        </is>
      </c>
      <c r="R1367" s="8" t="n"/>
      <c r="S1367" s="14" t="n"/>
      <c r="T1367" s="7" t="inlineStr"/>
      <c r="U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8" t="n"/>
      <c r="M1368" s="8" t="n"/>
      <c r="N1368" s="8" t="n"/>
      <c r="O1368" s="15" t="n">
        <v>8.27</v>
      </c>
      <c r="P1368" s="8" t="n"/>
      <c r="Q1368" s="7" t="inlineStr">
        <is>
          <t>NAZARIA</t>
        </is>
      </c>
      <c r="R1368" s="8" t="n">
        <v>8.27</v>
      </c>
      <c r="S1368" s="14">
        <f>R1368/H1368-1</f>
        <v/>
      </c>
      <c r="T1368" s="16" t="inlineStr">
        <is>
          <t>ACIMA +5.5%</t>
        </is>
      </c>
      <c r="U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8" t="n"/>
      <c r="M1369" s="8" t="n"/>
      <c r="N1369" s="8" t="n"/>
      <c r="O1369" s="15" t="n">
        <v>8.27</v>
      </c>
      <c r="P1369" s="8" t="n"/>
      <c r="Q1369" s="7" t="inlineStr">
        <is>
          <t>NAZARIA</t>
        </is>
      </c>
      <c r="R1369" s="8" t="n">
        <v>8.27</v>
      </c>
      <c r="S1369" s="14">
        <f>R1369/H1369-1</f>
        <v/>
      </c>
      <c r="T1369" s="16" t="inlineStr">
        <is>
          <t>ACIMA +50.9%</t>
        </is>
      </c>
      <c r="U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8" t="n"/>
      <c r="M1370" s="8" t="n"/>
      <c r="N1370" s="8" t="n"/>
      <c r="O1370" s="8" t="n"/>
      <c r="P1370" s="8" t="n"/>
      <c r="Q1370" s="7" t="inlineStr">
        <is>
          <t>SEM COTAÇÃO</t>
        </is>
      </c>
      <c r="R1370" s="8" t="n"/>
      <c r="S1370" s="14" t="n"/>
      <c r="T1370" s="7" t="inlineStr"/>
      <c r="U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8" t="n"/>
      <c r="M1371" s="8" t="n"/>
      <c r="N1371" s="8" t="n"/>
      <c r="O1371" s="8" t="n"/>
      <c r="P1371" s="8" t="n"/>
      <c r="Q1371" s="7" t="inlineStr">
        <is>
          <t>SEM COTAÇÃO</t>
        </is>
      </c>
      <c r="R1371" s="8" t="n"/>
      <c r="S1371" s="14" t="n"/>
      <c r="T1371" s="7" t="inlineStr"/>
      <c r="U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8" t="n"/>
      <c r="M1372" s="8" t="n"/>
      <c r="N1372" s="8" t="n"/>
      <c r="O1372" s="8" t="n"/>
      <c r="P1372" s="8" t="n"/>
      <c r="Q1372" s="7" t="inlineStr">
        <is>
          <t>SEM COTAÇÃO</t>
        </is>
      </c>
      <c r="R1372" s="8" t="n"/>
      <c r="S1372" s="14" t="n"/>
      <c r="T1372" s="7" t="inlineStr"/>
      <c r="U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8" t="n"/>
      <c r="M1373" s="8" t="n"/>
      <c r="N1373" s="8" t="n"/>
      <c r="O1373" s="15" t="n">
        <v>15.78</v>
      </c>
      <c r="P1373" s="8" t="n"/>
      <c r="Q1373" s="7" t="inlineStr">
        <is>
          <t>NAZARIA</t>
        </is>
      </c>
      <c r="R1373" s="8" t="n">
        <v>15.78</v>
      </c>
      <c r="S1373" s="14">
        <f>R1373/H1373-1</f>
        <v/>
      </c>
      <c r="T1373" s="16" t="inlineStr">
        <is>
          <t>ACIMA +10.7%</t>
        </is>
      </c>
      <c r="U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8" t="n"/>
      <c r="M1374" s="8" t="n"/>
      <c r="N1374" s="8" t="n"/>
      <c r="O1374" s="8" t="n"/>
      <c r="P1374" s="8" t="n"/>
      <c r="Q1374" s="7" t="inlineStr">
        <is>
          <t>SEM COTAÇÃO</t>
        </is>
      </c>
      <c r="R1374" s="8" t="n"/>
      <c r="S1374" s="14" t="n"/>
      <c r="T1374" s="7" t="inlineStr"/>
      <c r="U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8" t="n"/>
      <c r="M1375" s="8" t="n"/>
      <c r="N1375" s="8" t="n"/>
      <c r="O1375" s="8" t="n"/>
      <c r="P1375" s="8" t="n"/>
      <c r="Q1375" s="7" t="inlineStr">
        <is>
          <t>SEM COTAÇÃO</t>
        </is>
      </c>
      <c r="R1375" s="8" t="n"/>
      <c r="S1375" s="14" t="n"/>
      <c r="T1375" s="7" t="inlineStr"/>
      <c r="U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8" t="n"/>
      <c r="M1376" s="8" t="n"/>
      <c r="N1376" s="8" t="n"/>
      <c r="O1376" s="8" t="n"/>
      <c r="P1376" s="8" t="n"/>
      <c r="Q1376" s="7" t="inlineStr">
        <is>
          <t>SEM COTAÇÃO</t>
        </is>
      </c>
      <c r="R1376" s="8" t="n"/>
      <c r="S1376" s="14" t="n"/>
      <c r="T1376" s="7" t="inlineStr"/>
      <c r="U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8" t="n"/>
      <c r="M1377" s="8" t="n"/>
      <c r="N1377" s="8" t="n"/>
      <c r="O1377" s="8" t="n"/>
      <c r="P1377" s="8" t="n"/>
      <c r="Q1377" s="7" t="inlineStr">
        <is>
          <t>SEM COTAÇÃO</t>
        </is>
      </c>
      <c r="R1377" s="8" t="n"/>
      <c r="S1377" s="14" t="n"/>
      <c r="T1377" s="7" t="inlineStr"/>
      <c r="U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8" t="n"/>
      <c r="M1378" s="8" t="n"/>
      <c r="N1378" s="8" t="n"/>
      <c r="O1378" s="15" t="n">
        <v>10.89</v>
      </c>
      <c r="P1378" s="8" t="n"/>
      <c r="Q1378" s="7" t="inlineStr">
        <is>
          <t>NAZARIA</t>
        </is>
      </c>
      <c r="R1378" s="8" t="n">
        <v>10.89</v>
      </c>
      <c r="S1378" s="14">
        <f>R1378/H1378-1</f>
        <v/>
      </c>
      <c r="T1378" s="16" t="inlineStr">
        <is>
          <t>ACIMA +3.3%</t>
        </is>
      </c>
      <c r="U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8" t="n"/>
      <c r="M1379" s="8" t="n"/>
      <c r="N1379" s="8" t="n"/>
      <c r="O1379" s="8" t="n">
        <v>10.89</v>
      </c>
      <c r="P1379" s="8" t="n"/>
      <c r="Q1379" s="7" t="inlineStr">
        <is>
          <t>SEM COTAÇÃO</t>
        </is>
      </c>
      <c r="R1379" s="8" t="n"/>
      <c r="S1379" s="14" t="n"/>
      <c r="T1379" s="7" t="inlineStr"/>
      <c r="U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8" t="n"/>
      <c r="M1380" s="8" t="n"/>
      <c r="N1380" s="8" t="n"/>
      <c r="O1380" s="15" t="n">
        <v>10.89</v>
      </c>
      <c r="P1380" s="8" t="n"/>
      <c r="Q1380" s="7" t="inlineStr">
        <is>
          <t>NAZARIA</t>
        </is>
      </c>
      <c r="R1380" s="8" t="n">
        <v>10.89</v>
      </c>
      <c r="S1380" s="14">
        <f>R1380/H1380-1</f>
        <v/>
      </c>
      <c r="T1380" s="16" t="inlineStr">
        <is>
          <t>ACIMA +8.9%</t>
        </is>
      </c>
      <c r="U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8" t="n"/>
      <c r="M1381" s="8" t="n"/>
      <c r="N1381" s="8" t="n"/>
      <c r="O1381" s="8" t="n"/>
      <c r="P1381" s="8" t="n"/>
      <c r="Q1381" s="7" t="inlineStr">
        <is>
          <t>SEM COTAÇÃO</t>
        </is>
      </c>
      <c r="R1381" s="8" t="n"/>
      <c r="S1381" s="14" t="n"/>
      <c r="T1381" s="7" t="inlineStr"/>
      <c r="U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8" t="n"/>
      <c r="M1382" s="8" t="n"/>
      <c r="N1382" s="8" t="n"/>
      <c r="O1382" s="8" t="n"/>
      <c r="P1382" s="8" t="n"/>
      <c r="Q1382" s="7" t="inlineStr">
        <is>
          <t>SEM COTAÇÃO</t>
        </is>
      </c>
      <c r="R1382" s="8" t="n"/>
      <c r="S1382" s="14" t="n"/>
      <c r="T1382" s="7" t="inlineStr"/>
      <c r="U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8" t="n"/>
      <c r="M1383" s="8" t="n"/>
      <c r="N1383" s="8" t="n"/>
      <c r="O1383" s="8" t="n"/>
      <c r="P1383" s="8" t="n"/>
      <c r="Q1383" s="7" t="inlineStr">
        <is>
          <t>SEM COTAÇÃO</t>
        </is>
      </c>
      <c r="R1383" s="8" t="n"/>
      <c r="S1383" s="14" t="n"/>
      <c r="T1383" s="7" t="inlineStr"/>
      <c r="U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8" t="n"/>
      <c r="M1384" s="8" t="n"/>
      <c r="N1384" s="8" t="n"/>
      <c r="O1384" s="8" t="n"/>
      <c r="P1384" s="8" t="n"/>
      <c r="Q1384" s="7" t="inlineStr">
        <is>
          <t>SEM COTAÇÃO</t>
        </is>
      </c>
      <c r="R1384" s="8" t="n"/>
      <c r="S1384" s="14" t="n"/>
      <c r="T1384" s="7" t="inlineStr"/>
      <c r="U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8" t="n"/>
      <c r="M1385" s="8" t="n"/>
      <c r="N1385" s="8" t="n"/>
      <c r="O1385" s="8" t="n"/>
      <c r="P1385" s="8" t="n"/>
      <c r="Q1385" s="7" t="inlineStr">
        <is>
          <t>SEM COTAÇÃO</t>
        </is>
      </c>
      <c r="R1385" s="8" t="n"/>
      <c r="S1385" s="14" t="n"/>
      <c r="T1385" s="7" t="inlineStr"/>
      <c r="U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8" t="n"/>
      <c r="M1386" s="8" t="n"/>
      <c r="N1386" s="8" t="n"/>
      <c r="O1386" s="8" t="n"/>
      <c r="P1386" s="8" t="n"/>
      <c r="Q1386" s="7" t="inlineStr">
        <is>
          <t>SEM COTAÇÃO</t>
        </is>
      </c>
      <c r="R1386" s="8" t="n"/>
      <c r="S1386" s="14" t="n"/>
      <c r="T1386" s="7" t="inlineStr"/>
      <c r="U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8" t="n"/>
      <c r="M1387" s="8" t="n"/>
      <c r="N1387" s="8" t="n"/>
      <c r="O1387" s="8" t="n"/>
      <c r="P1387" s="8" t="n"/>
      <c r="Q1387" s="7" t="inlineStr">
        <is>
          <t>SEM COTAÇÃO</t>
        </is>
      </c>
      <c r="R1387" s="8" t="n"/>
      <c r="S1387" s="14" t="n"/>
      <c r="T1387" s="7" t="inlineStr"/>
      <c r="U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8" t="n"/>
      <c r="M1388" s="8" t="n"/>
      <c r="N1388" s="8" t="n"/>
      <c r="O1388" s="8" t="n"/>
      <c r="P1388" s="8" t="n"/>
      <c r="Q1388" s="7" t="inlineStr">
        <is>
          <t>SEM COTAÇÃO</t>
        </is>
      </c>
      <c r="R1388" s="8" t="n"/>
      <c r="S1388" s="14" t="n"/>
      <c r="T1388" s="7" t="inlineStr"/>
      <c r="U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8" t="n"/>
      <c r="M1389" s="8" t="n"/>
      <c r="N1389" s="8" t="n"/>
      <c r="O1389" s="8" t="n">
        <v>13.25</v>
      </c>
      <c r="P1389" s="8" t="n"/>
      <c r="Q1389" s="7" t="inlineStr">
        <is>
          <t>SEM COTAÇÃO</t>
        </is>
      </c>
      <c r="R1389" s="8" t="n"/>
      <c r="S1389" s="14" t="n"/>
      <c r="T1389" s="7" t="inlineStr"/>
      <c r="U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15" t="n">
        <v>6.56</v>
      </c>
      <c r="M1390" s="8" t="n"/>
      <c r="N1390" s="8" t="n"/>
      <c r="O1390" s="8" t="n">
        <v>8.92</v>
      </c>
      <c r="P1390" s="8" t="n"/>
      <c r="Q1390" s="7" t="inlineStr">
        <is>
          <t>EPAN</t>
        </is>
      </c>
      <c r="R1390" s="8" t="n">
        <v>6.56</v>
      </c>
      <c r="S1390" s="14">
        <f>R1390/H1390-1</f>
        <v/>
      </c>
      <c r="T1390" s="17" t="inlineStr">
        <is>
          <t>OK (≤ menor hist.)</t>
        </is>
      </c>
      <c r="U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8" t="n"/>
      <c r="M1391" s="8" t="n"/>
      <c r="N1391" s="8" t="n"/>
      <c r="O1391" s="8" t="n"/>
      <c r="P1391" s="8" t="n"/>
      <c r="Q1391" s="7" t="inlineStr">
        <is>
          <t>SEM COTAÇÃO</t>
        </is>
      </c>
      <c r="R1391" s="8" t="n"/>
      <c r="S1391" s="14" t="n"/>
      <c r="T1391" s="7" t="inlineStr"/>
      <c r="U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8" t="n"/>
      <c r="M1392" s="8" t="n"/>
      <c r="N1392" s="8" t="n"/>
      <c r="O1392" s="8" t="n"/>
      <c r="P1392" s="8" t="n"/>
      <c r="Q1392" s="7" t="inlineStr">
        <is>
          <t>SEM COTAÇÃO</t>
        </is>
      </c>
      <c r="R1392" s="8" t="n"/>
      <c r="S1392" s="14" t="n"/>
      <c r="T1392" s="7" t="inlineStr"/>
      <c r="U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8" t="n"/>
      <c r="M1393" s="8" t="n"/>
      <c r="N1393" s="8" t="n"/>
      <c r="O1393" s="8" t="n"/>
      <c r="P1393" s="8" t="n"/>
      <c r="Q1393" s="7" t="inlineStr">
        <is>
          <t>SEM COTAÇÃO</t>
        </is>
      </c>
      <c r="R1393" s="8" t="n"/>
      <c r="S1393" s="14" t="n"/>
      <c r="T1393" s="7" t="inlineStr"/>
      <c r="U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7" t="inlineStr">
        <is>
          <t>SEM COTAÇÃO</t>
        </is>
      </c>
      <c r="R1394" s="8" t="n"/>
      <c r="S1394" s="14" t="n"/>
      <c r="T1394" s="7" t="inlineStr"/>
      <c r="U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8" t="n"/>
      <c r="M1395" s="8" t="n"/>
      <c r="N1395" s="8" t="n"/>
      <c r="O1395" s="8" t="n"/>
      <c r="P1395" s="8" t="n"/>
      <c r="Q1395" s="7" t="inlineStr">
        <is>
          <t>SEM COTAÇÃO</t>
        </is>
      </c>
      <c r="R1395" s="8" t="n"/>
      <c r="S1395" s="14" t="n"/>
      <c r="T1395" s="7" t="inlineStr"/>
      <c r="U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8" t="n"/>
      <c r="M1396" s="8" t="n"/>
      <c r="N1396" s="8" t="n"/>
      <c r="O1396" s="8" t="n"/>
      <c r="P1396" s="8" t="n"/>
      <c r="Q1396" s="7" t="inlineStr">
        <is>
          <t>SEM COTAÇÃO</t>
        </is>
      </c>
      <c r="R1396" s="8" t="n"/>
      <c r="S1396" s="14" t="n"/>
      <c r="T1396" s="7" t="inlineStr"/>
      <c r="U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8" t="n"/>
      <c r="M1397" s="8" t="n"/>
      <c r="N1397" s="8" t="n"/>
      <c r="O1397" s="8" t="n"/>
      <c r="P1397" s="8" t="n"/>
      <c r="Q1397" s="7" t="inlineStr">
        <is>
          <t>SEM COTAÇÃO</t>
        </is>
      </c>
      <c r="R1397" s="8" t="n"/>
      <c r="S1397" s="14" t="n"/>
      <c r="T1397" s="7" t="inlineStr"/>
      <c r="U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8" t="n"/>
      <c r="M1398" s="8" t="n"/>
      <c r="N1398" s="8" t="n"/>
      <c r="O1398" s="8" t="n"/>
      <c r="P1398" s="8" t="n"/>
      <c r="Q1398" s="7" t="inlineStr">
        <is>
          <t>SEM COTAÇÃO</t>
        </is>
      </c>
      <c r="R1398" s="8" t="n"/>
      <c r="S1398" s="14" t="n"/>
      <c r="T1398" s="7" t="inlineStr"/>
      <c r="U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8" t="n"/>
      <c r="M1399" s="8" t="n"/>
      <c r="N1399" s="8" t="n"/>
      <c r="O1399" s="8" t="n"/>
      <c r="P1399" s="8" t="n"/>
      <c r="Q1399" s="7" t="inlineStr">
        <is>
          <t>SEM COTAÇÃO</t>
        </is>
      </c>
      <c r="R1399" s="8" t="n"/>
      <c r="S1399" s="14" t="n"/>
      <c r="T1399" s="7" t="inlineStr"/>
      <c r="U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8" t="n"/>
      <c r="M1400" s="8" t="n"/>
      <c r="N1400" s="8" t="n"/>
      <c r="O1400" s="8" t="n"/>
      <c r="P1400" s="8" t="n"/>
      <c r="Q1400" s="7" t="inlineStr">
        <is>
          <t>SEM COTAÇÃO</t>
        </is>
      </c>
      <c r="R1400" s="8" t="n"/>
      <c r="S1400" s="14" t="n"/>
      <c r="T1400" s="7" t="inlineStr"/>
      <c r="U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8" t="n"/>
      <c r="M1401" s="8" t="n"/>
      <c r="N1401" s="8" t="n"/>
      <c r="O1401" s="8" t="n"/>
      <c r="P1401" s="8" t="n"/>
      <c r="Q1401" s="7" t="inlineStr">
        <is>
          <t>SEM COTAÇÃO</t>
        </is>
      </c>
      <c r="R1401" s="8" t="n"/>
      <c r="S1401" s="14" t="n"/>
      <c r="T1401" s="7" t="inlineStr"/>
      <c r="U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8" t="n"/>
      <c r="M1402" s="15" t="n">
        <v>2.37</v>
      </c>
      <c r="N1402" s="8" t="n"/>
      <c r="O1402" s="8" t="n"/>
      <c r="P1402" s="8" t="n"/>
      <c r="Q1402" s="7" t="inlineStr">
        <is>
          <t>CENTROFARMA</t>
        </is>
      </c>
      <c r="R1402" s="8" t="n">
        <v>2.37</v>
      </c>
      <c r="S1402" s="14">
        <f>R1402/H1402-1</f>
        <v/>
      </c>
      <c r="T1402" s="16" t="inlineStr">
        <is>
          <t>ACIMA +2.6%</t>
        </is>
      </c>
      <c r="U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8" t="n"/>
      <c r="M1403" s="15" t="n">
        <v>2.37</v>
      </c>
      <c r="N1403" s="8" t="n"/>
      <c r="O1403" s="8" t="n"/>
      <c r="P1403" s="8" t="n"/>
      <c r="Q1403" s="7" t="inlineStr">
        <is>
          <t>CENTROFARMA</t>
        </is>
      </c>
      <c r="R1403" s="8" t="n">
        <v>2.37</v>
      </c>
      <c r="S1403" s="14">
        <f>R1403/H1403-1</f>
        <v/>
      </c>
      <c r="T1403" s="16" t="inlineStr">
        <is>
          <t>ACIMA +5.3%</t>
        </is>
      </c>
      <c r="U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8" t="n"/>
      <c r="M1404" s="8" t="n"/>
      <c r="N1404" s="8" t="n"/>
      <c r="O1404" s="8" t="n"/>
      <c r="P1404" s="8" t="n"/>
      <c r="Q1404" s="7" t="inlineStr">
        <is>
          <t>SEM COTAÇÃO</t>
        </is>
      </c>
      <c r="R1404" s="8" t="n"/>
      <c r="S1404" s="14" t="n"/>
      <c r="T1404" s="7" t="inlineStr"/>
      <c r="U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8" t="n"/>
      <c r="M1405" s="8" t="n"/>
      <c r="N1405" s="8" t="n"/>
      <c r="O1405" s="8" t="n"/>
      <c r="P1405" s="8" t="n"/>
      <c r="Q1405" s="7" t="inlineStr">
        <is>
          <t>SEM COTAÇÃO</t>
        </is>
      </c>
      <c r="R1405" s="8" t="n"/>
      <c r="S1405" s="14" t="n"/>
      <c r="T1405" s="7" t="inlineStr"/>
      <c r="U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8" t="n"/>
      <c r="M1406" s="8" t="n"/>
      <c r="N1406" s="8" t="n"/>
      <c r="O1406" s="8" t="n"/>
      <c r="P1406" s="8" t="n"/>
      <c r="Q1406" s="7" t="inlineStr">
        <is>
          <t>SEM COTAÇÃO</t>
        </is>
      </c>
      <c r="R1406" s="8" t="n"/>
      <c r="S1406" s="14" t="n"/>
      <c r="T1406" s="7" t="inlineStr"/>
      <c r="U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8" t="n"/>
      <c r="M1407" s="8" t="n"/>
      <c r="N1407" s="8" t="n"/>
      <c r="O1407" s="8" t="n"/>
      <c r="P1407" s="8" t="n"/>
      <c r="Q1407" s="7" t="inlineStr">
        <is>
          <t>SEM COTAÇÃO</t>
        </is>
      </c>
      <c r="R1407" s="8" t="n"/>
      <c r="S1407" s="14" t="n"/>
      <c r="T1407" s="7" t="inlineStr"/>
      <c r="U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8" t="n"/>
      <c r="M1408" s="8" t="n"/>
      <c r="N1408" s="8" t="n"/>
      <c r="O1408" s="8" t="n"/>
      <c r="P1408" s="8" t="n"/>
      <c r="Q1408" s="7" t="inlineStr">
        <is>
          <t>SEM COTAÇÃO</t>
        </is>
      </c>
      <c r="R1408" s="8" t="n"/>
      <c r="S1408" s="14" t="n"/>
      <c r="T1408" s="7" t="inlineStr"/>
      <c r="U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8" t="n"/>
      <c r="M1409" s="8" t="n"/>
      <c r="N1409" s="8" t="n"/>
      <c r="O1409" s="8" t="n"/>
      <c r="P1409" s="8" t="n"/>
      <c r="Q1409" s="7" t="inlineStr">
        <is>
          <t>SEM COTAÇÃO</t>
        </is>
      </c>
      <c r="R1409" s="8" t="n"/>
      <c r="S1409" s="14" t="n"/>
      <c r="T1409" s="7" t="inlineStr"/>
      <c r="U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8" t="n"/>
      <c r="M1410" s="8" t="n"/>
      <c r="N1410" s="8" t="n"/>
      <c r="O1410" s="8" t="n"/>
      <c r="P1410" s="8" t="n"/>
      <c r="Q1410" s="7" t="inlineStr">
        <is>
          <t>SEM COTAÇÃO</t>
        </is>
      </c>
      <c r="R1410" s="8" t="n"/>
      <c r="S1410" s="14" t="n"/>
      <c r="T1410" s="7" t="inlineStr"/>
      <c r="U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8" t="n"/>
      <c r="M1411" s="8" t="n"/>
      <c r="N1411" s="8" t="n"/>
      <c r="O1411" s="8" t="n"/>
      <c r="P1411" s="8" t="n"/>
      <c r="Q1411" s="7" t="inlineStr">
        <is>
          <t>SEM COTAÇÃO</t>
        </is>
      </c>
      <c r="R1411" s="8" t="n"/>
      <c r="S1411" s="14" t="n"/>
      <c r="T1411" s="7" t="inlineStr"/>
      <c r="U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8" t="n"/>
      <c r="M1412" s="8" t="n"/>
      <c r="N1412" s="8" t="n"/>
      <c r="O1412" s="8" t="n"/>
      <c r="P1412" s="8" t="n"/>
      <c r="Q1412" s="7" t="inlineStr">
        <is>
          <t>SEM COTAÇÃO</t>
        </is>
      </c>
      <c r="R1412" s="8" t="n"/>
      <c r="S1412" s="14" t="n"/>
      <c r="T1412" s="7" t="inlineStr"/>
      <c r="U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8" t="n"/>
      <c r="M1413" s="8" t="n"/>
      <c r="N1413" s="8" t="n"/>
      <c r="O1413" s="8" t="n"/>
      <c r="P1413" s="8" t="n"/>
      <c r="Q1413" s="7" t="inlineStr">
        <is>
          <t>SEM COTAÇÃO</t>
        </is>
      </c>
      <c r="R1413" s="8" t="n"/>
      <c r="S1413" s="14" t="n"/>
      <c r="T1413" s="7" t="inlineStr"/>
      <c r="U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8" t="n"/>
      <c r="M1414" s="8" t="n"/>
      <c r="N1414" s="8" t="n"/>
      <c r="O1414" s="8" t="n"/>
      <c r="P1414" s="8" t="n"/>
      <c r="Q1414" s="7" t="inlineStr">
        <is>
          <t>SEM COTAÇÃO</t>
        </is>
      </c>
      <c r="R1414" s="8" t="n"/>
      <c r="S1414" s="14" t="n"/>
      <c r="T1414" s="7" t="inlineStr"/>
      <c r="U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8" t="n"/>
      <c r="M1415" s="8" t="n"/>
      <c r="N1415" s="8" t="n"/>
      <c r="O1415" s="8" t="n"/>
      <c r="P1415" s="8" t="n"/>
      <c r="Q1415" s="7" t="inlineStr">
        <is>
          <t>SEM COTAÇÃO</t>
        </is>
      </c>
      <c r="R1415" s="8" t="n"/>
      <c r="S1415" s="14" t="n"/>
      <c r="T1415" s="7" t="inlineStr"/>
      <c r="U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8" t="n"/>
      <c r="M1416" s="8" t="n"/>
      <c r="N1416" s="8" t="n"/>
      <c r="O1416" s="8" t="n"/>
      <c r="P1416" s="8" t="n"/>
      <c r="Q1416" s="7" t="inlineStr">
        <is>
          <t>SEM COTAÇÃO</t>
        </is>
      </c>
      <c r="R1416" s="8" t="n"/>
      <c r="S1416" s="14" t="n"/>
      <c r="T1416" s="7" t="inlineStr"/>
      <c r="U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8" t="n"/>
      <c r="M1417" s="8" t="n"/>
      <c r="N1417" s="8" t="n"/>
      <c r="O1417" s="8" t="n"/>
      <c r="P1417" s="8" t="n"/>
      <c r="Q1417" s="7" t="inlineStr">
        <is>
          <t>SEM COTAÇÃO</t>
        </is>
      </c>
      <c r="R1417" s="8" t="n"/>
      <c r="S1417" s="14" t="n"/>
      <c r="T1417" s="7" t="inlineStr"/>
      <c r="U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8" t="n"/>
      <c r="M1418" s="8" t="n"/>
      <c r="N1418" s="8" t="n"/>
      <c r="O1418" s="8" t="n"/>
      <c r="P1418" s="8" t="n"/>
      <c r="Q1418" s="7" t="inlineStr">
        <is>
          <t>SEM COTAÇÃO</t>
        </is>
      </c>
      <c r="R1418" s="8" t="n"/>
      <c r="S1418" s="14" t="n"/>
      <c r="T1418" s="7" t="inlineStr"/>
      <c r="U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8" t="n"/>
      <c r="M1419" s="8" t="n"/>
      <c r="N1419" s="8" t="n"/>
      <c r="O1419" s="8" t="n"/>
      <c r="P1419" s="8" t="n"/>
      <c r="Q1419" s="7" t="inlineStr">
        <is>
          <t>SEM COTAÇÃO</t>
        </is>
      </c>
      <c r="R1419" s="8" t="n"/>
      <c r="S1419" s="14" t="n"/>
      <c r="T1419" s="7" t="inlineStr"/>
      <c r="U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8" t="n"/>
      <c r="M1420" s="8" t="n"/>
      <c r="N1420" s="8" t="n"/>
      <c r="O1420" s="8" t="n"/>
      <c r="P1420" s="8" t="n">
        <v>5.1</v>
      </c>
      <c r="Q1420" s="7" t="inlineStr">
        <is>
          <t>DIMEC</t>
        </is>
      </c>
      <c r="R1420" s="8" t="n">
        <v>4.83</v>
      </c>
      <c r="S1420" s="14">
        <f>R1420/H1420-1</f>
        <v/>
      </c>
      <c r="T1420" s="17" t="inlineStr">
        <is>
          <t>OK (≤ menor hist.)</t>
        </is>
      </c>
      <c r="U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8" t="n"/>
      <c r="M1421" s="8" t="n"/>
      <c r="N1421" s="8" t="n"/>
      <c r="O1421" s="15" t="n">
        <v>10.4</v>
      </c>
      <c r="P1421" s="8" t="n"/>
      <c r="Q1421" s="7" t="inlineStr">
        <is>
          <t>NAZARIA</t>
        </is>
      </c>
      <c r="R1421" s="8" t="n">
        <v>10.4</v>
      </c>
      <c r="S1421" s="14">
        <f>R1421/H1421-1</f>
        <v/>
      </c>
      <c r="T1421" s="16" t="inlineStr">
        <is>
          <t>ACIMA +10.1%</t>
        </is>
      </c>
      <c r="U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8" t="n"/>
      <c r="M1422" s="8" t="n"/>
      <c r="N1422" s="8" t="n"/>
      <c r="O1422" s="15" t="n">
        <v>10.89</v>
      </c>
      <c r="P1422" s="8" t="n"/>
      <c r="Q1422" s="7" t="inlineStr">
        <is>
          <t>NAZARIA</t>
        </is>
      </c>
      <c r="R1422" s="8" t="n">
        <v>10.89</v>
      </c>
      <c r="S1422" s="14">
        <f>R1422/H1422-1</f>
        <v/>
      </c>
      <c r="T1422" s="16" t="inlineStr">
        <is>
          <t>ACIMA +14.3%</t>
        </is>
      </c>
      <c r="U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8" t="n"/>
      <c r="M1423" s="8" t="n"/>
      <c r="N1423" s="8" t="n"/>
      <c r="O1423" s="15" t="n">
        <v>9.289999999999999</v>
      </c>
      <c r="P1423" s="8" t="n"/>
      <c r="Q1423" s="7" t="inlineStr">
        <is>
          <t>NAZARIA</t>
        </is>
      </c>
      <c r="R1423" s="8" t="n">
        <v>9.289999999999999</v>
      </c>
      <c r="S1423" s="14">
        <f>R1423/H1423-1</f>
        <v/>
      </c>
      <c r="T1423" s="16" t="inlineStr">
        <is>
          <t>ACIMA +36.8%</t>
        </is>
      </c>
      <c r="U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8" t="n"/>
      <c r="M1424" s="8" t="n"/>
      <c r="N1424" s="8" t="n"/>
      <c r="O1424" s="8" t="n"/>
      <c r="P1424" s="8" t="n"/>
      <c r="Q1424" s="7" t="inlineStr">
        <is>
          <t>SEM COTAÇÃO</t>
        </is>
      </c>
      <c r="R1424" s="8" t="n"/>
      <c r="S1424" s="14" t="n"/>
      <c r="T1424" s="7" t="inlineStr"/>
      <c r="U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7" t="inlineStr">
        <is>
          <t>SEM COTAÇÃO</t>
        </is>
      </c>
      <c r="R1425" s="8" t="n"/>
      <c r="S1425" s="14" t="n"/>
      <c r="T1425" s="7" t="inlineStr"/>
      <c r="U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7" t="inlineStr">
        <is>
          <t>SEM COTAÇÃO</t>
        </is>
      </c>
      <c r="R1426" s="8" t="n"/>
      <c r="S1426" s="14" t="n"/>
      <c r="T1426" s="7" t="inlineStr"/>
      <c r="U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8" t="n"/>
      <c r="M1427" s="8" t="n"/>
      <c r="N1427" s="8" t="n"/>
      <c r="O1427" s="8" t="n"/>
      <c r="P1427" s="8" t="n"/>
      <c r="Q1427" s="7" t="inlineStr">
        <is>
          <t>SEM COTAÇÃO</t>
        </is>
      </c>
      <c r="R1427" s="8" t="n"/>
      <c r="S1427" s="14" t="n"/>
      <c r="T1427" s="7" t="inlineStr"/>
      <c r="U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8" t="n"/>
      <c r="M1428" s="8" t="n"/>
      <c r="N1428" s="8" t="n"/>
      <c r="O1428" s="8" t="n"/>
      <c r="P1428" s="8" t="n"/>
      <c r="Q1428" s="7" t="inlineStr">
        <is>
          <t>SEM COTAÇÃO</t>
        </is>
      </c>
      <c r="R1428" s="8" t="n"/>
      <c r="S1428" s="14" t="n"/>
      <c r="T1428" s="7" t="inlineStr"/>
      <c r="U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8" t="n"/>
      <c r="M1429" s="8" t="n"/>
      <c r="N1429" s="8" t="n"/>
      <c r="O1429" s="8" t="n"/>
      <c r="P1429" s="8" t="n"/>
      <c r="Q1429" s="7" t="inlineStr">
        <is>
          <t>SEM COTAÇÃO</t>
        </is>
      </c>
      <c r="R1429" s="8" t="n"/>
      <c r="S1429" s="14" t="n"/>
      <c r="T1429" s="7" t="inlineStr"/>
      <c r="U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8" t="n"/>
      <c r="M1430" s="8" t="n"/>
      <c r="N1430" s="8" t="n"/>
      <c r="O1430" s="8" t="n"/>
      <c r="P1430" s="8" t="n"/>
      <c r="Q1430" s="7" t="inlineStr">
        <is>
          <t>SEM COTAÇÃO</t>
        </is>
      </c>
      <c r="R1430" s="8" t="n"/>
      <c r="S1430" s="14" t="n"/>
      <c r="T1430" s="7" t="inlineStr"/>
      <c r="U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8" t="n"/>
      <c r="M1431" s="8" t="n"/>
      <c r="N1431" s="8" t="n"/>
      <c r="O1431" s="8" t="n"/>
      <c r="P1431" s="8" t="n"/>
      <c r="Q1431" s="7" t="inlineStr">
        <is>
          <t>SEM COTAÇÃO</t>
        </is>
      </c>
      <c r="R1431" s="8" t="n"/>
      <c r="S1431" s="14" t="n"/>
      <c r="T1431" s="7" t="inlineStr"/>
      <c r="U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8" t="n"/>
      <c r="M1432" s="8" t="n"/>
      <c r="N1432" s="8" t="n"/>
      <c r="O1432" s="8" t="n"/>
      <c r="P1432" s="8" t="n"/>
      <c r="Q1432" s="7" t="inlineStr">
        <is>
          <t>SEM COTAÇÃO</t>
        </is>
      </c>
      <c r="R1432" s="8" t="n"/>
      <c r="S1432" s="14" t="n"/>
      <c r="T1432" s="7" t="inlineStr"/>
      <c r="U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8" t="n"/>
      <c r="M1433" s="8" t="n"/>
      <c r="N1433" s="8" t="n"/>
      <c r="O1433" s="8" t="n"/>
      <c r="P1433" s="8" t="n"/>
      <c r="Q1433" s="7" t="inlineStr">
        <is>
          <t>SEM COTAÇÃO</t>
        </is>
      </c>
      <c r="R1433" s="8" t="n"/>
      <c r="S1433" s="14" t="n"/>
      <c r="T1433" s="7" t="inlineStr"/>
      <c r="U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8" t="n"/>
      <c r="M1434" s="8" t="n"/>
      <c r="N1434" s="8" t="n"/>
      <c r="O1434" s="8" t="n"/>
      <c r="P1434" s="8" t="n"/>
      <c r="Q1434" s="7" t="inlineStr">
        <is>
          <t>SEM COTAÇÃO</t>
        </is>
      </c>
      <c r="R1434" s="8" t="n"/>
      <c r="S1434" s="14" t="n"/>
      <c r="T1434" s="7" t="inlineStr"/>
      <c r="U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8" t="n"/>
      <c r="M1435" s="8" t="n"/>
      <c r="N1435" s="8" t="n"/>
      <c r="O1435" s="8" t="n"/>
      <c r="P1435" s="8" t="n"/>
      <c r="Q1435" s="7" t="inlineStr">
        <is>
          <t>SEM COTAÇÃO</t>
        </is>
      </c>
      <c r="R1435" s="8" t="n"/>
      <c r="S1435" s="14" t="n"/>
      <c r="T1435" s="7" t="inlineStr"/>
      <c r="U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8" t="n"/>
      <c r="M1436" s="8" t="n"/>
      <c r="N1436" s="8" t="n"/>
      <c r="O1436" s="8" t="n"/>
      <c r="P1436" s="8" t="n"/>
      <c r="Q1436" s="7" t="inlineStr">
        <is>
          <t>SEM COTAÇÃO</t>
        </is>
      </c>
      <c r="R1436" s="8" t="n"/>
      <c r="S1436" s="14" t="n"/>
      <c r="T1436" s="7" t="inlineStr"/>
      <c r="U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8" t="n"/>
      <c r="M1437" s="8" t="n"/>
      <c r="N1437" s="8" t="n"/>
      <c r="O1437" s="8" t="n"/>
      <c r="P1437" s="8" t="n"/>
      <c r="Q1437" s="7" t="inlineStr">
        <is>
          <t>SEM COTAÇÃO</t>
        </is>
      </c>
      <c r="R1437" s="8" t="n"/>
      <c r="S1437" s="14" t="n"/>
      <c r="T1437" s="7" t="inlineStr"/>
      <c r="U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8" t="n"/>
      <c r="M1438" s="8" t="n"/>
      <c r="N1438" s="8" t="n"/>
      <c r="O1438" s="8" t="n"/>
      <c r="P1438" s="8" t="n"/>
      <c r="Q1438" s="7" t="inlineStr">
        <is>
          <t>SEM COTAÇÃO</t>
        </is>
      </c>
      <c r="R1438" s="8" t="n"/>
      <c r="S1438" s="14" t="n"/>
      <c r="T1438" s="7" t="inlineStr"/>
      <c r="U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8" t="n"/>
      <c r="M1439" s="8" t="n"/>
      <c r="N1439" s="8" t="n"/>
      <c r="O1439" s="8" t="n"/>
      <c r="P1439" s="8" t="n"/>
      <c r="Q1439" s="7" t="inlineStr">
        <is>
          <t>SEM COTAÇÃO</t>
        </is>
      </c>
      <c r="R1439" s="8" t="n"/>
      <c r="S1439" s="14" t="n"/>
      <c r="T1439" s="7" t="inlineStr"/>
      <c r="U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8" t="n"/>
      <c r="M1440" s="8" t="n"/>
      <c r="N1440" s="8" t="n"/>
      <c r="O1440" s="8" t="n"/>
      <c r="P1440" s="8" t="n"/>
      <c r="Q1440" s="7" t="inlineStr">
        <is>
          <t>SEM COTAÇÃO</t>
        </is>
      </c>
      <c r="R1440" s="8" t="n"/>
      <c r="S1440" s="14" t="n"/>
      <c r="T1440" s="7" t="inlineStr"/>
      <c r="U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7" t="inlineStr">
        <is>
          <t>SEM COTAÇÃO</t>
        </is>
      </c>
      <c r="R1441" s="8" t="n"/>
      <c r="S1441" s="14" t="n"/>
      <c r="T1441" s="7" t="inlineStr"/>
      <c r="U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8" t="n"/>
      <c r="M1442" s="8" t="n"/>
      <c r="N1442" s="8" t="n"/>
      <c r="O1442" s="8" t="n"/>
      <c r="P1442" s="8" t="n"/>
      <c r="Q1442" s="7" t="inlineStr">
        <is>
          <t>SEM COTAÇÃO</t>
        </is>
      </c>
      <c r="R1442" s="8" t="n"/>
      <c r="S1442" s="14" t="n"/>
      <c r="T1442" s="7" t="inlineStr"/>
      <c r="U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8" t="n"/>
      <c r="M1443" s="8" t="n"/>
      <c r="N1443" s="8" t="n"/>
      <c r="O1443" s="8" t="n"/>
      <c r="P1443" s="8" t="n"/>
      <c r="Q1443" s="7" t="inlineStr">
        <is>
          <t>SEM COTAÇÃO</t>
        </is>
      </c>
      <c r="R1443" s="8" t="n"/>
      <c r="S1443" s="14" t="n"/>
      <c r="T1443" s="7" t="inlineStr"/>
      <c r="U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8" t="n"/>
      <c r="M1444" s="8" t="n"/>
      <c r="N1444" s="8" t="n"/>
      <c r="O1444" s="8" t="n">
        <v>34.08779</v>
      </c>
      <c r="P1444" s="8" t="n">
        <v>32.03</v>
      </c>
      <c r="Q1444" s="7" t="inlineStr">
        <is>
          <t>PLUSFARMA</t>
        </is>
      </c>
      <c r="R1444" s="8" t="n">
        <v>29.27</v>
      </c>
      <c r="S1444" s="14">
        <f>R1444/H1444-1</f>
        <v/>
      </c>
      <c r="T1444" s="16" t="inlineStr">
        <is>
          <t>ACIMA +19.2%</t>
        </is>
      </c>
      <c r="U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8" t="n"/>
      <c r="M1445" s="8" t="n"/>
      <c r="N1445" s="8" t="n"/>
      <c r="O1445" s="8" t="n"/>
      <c r="P1445" s="8" t="n"/>
      <c r="Q1445" s="7" t="inlineStr">
        <is>
          <t>SEM COTAÇÃO</t>
        </is>
      </c>
      <c r="R1445" s="8" t="n"/>
      <c r="S1445" s="14" t="n"/>
      <c r="T1445" s="7" t="inlineStr"/>
      <c r="U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15" t="n">
        <v>37.6</v>
      </c>
      <c r="M1446" s="8" t="n"/>
      <c r="N1446" s="8" t="n"/>
      <c r="O1446" s="8" t="n">
        <v>38.15009999999999</v>
      </c>
      <c r="P1446" s="8" t="n"/>
      <c r="Q1446" s="7" t="inlineStr">
        <is>
          <t>EPAN</t>
        </is>
      </c>
      <c r="R1446" s="8" t="n">
        <v>37.6</v>
      </c>
      <c r="S1446" s="14">
        <f>R1446/H1446-1</f>
        <v/>
      </c>
      <c r="T1446" s="17" t="inlineStr">
        <is>
          <t>OK (≤ últ. compra)</t>
        </is>
      </c>
      <c r="U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8" t="n"/>
      <c r="M1447" s="8" t="n"/>
      <c r="N1447" s="8" t="n"/>
      <c r="O1447" s="15" t="n">
        <v>101.65</v>
      </c>
      <c r="P1447" s="8" t="n"/>
      <c r="Q1447" s="7" t="inlineStr">
        <is>
          <t>NAZARIA</t>
        </is>
      </c>
      <c r="R1447" s="8" t="n">
        <v>101.65</v>
      </c>
      <c r="S1447" s="14">
        <f>R1447/H1447-1</f>
        <v/>
      </c>
      <c r="T1447" s="17" t="inlineStr">
        <is>
          <t>OK (≤ últ. compra)</t>
        </is>
      </c>
      <c r="U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8" t="n"/>
      <c r="M1448" s="8" t="n"/>
      <c r="N1448" s="8" t="n"/>
      <c r="O1448" s="15" t="n">
        <v>101.65</v>
      </c>
      <c r="P1448" s="8" t="n"/>
      <c r="Q1448" s="7" t="inlineStr">
        <is>
          <t>NAZARIA</t>
        </is>
      </c>
      <c r="R1448" s="8" t="n">
        <v>101.65</v>
      </c>
      <c r="S1448" s="14">
        <f>R1448/H1448-1</f>
        <v/>
      </c>
      <c r="T1448" s="16" t="inlineStr">
        <is>
          <t>ACIMA +14.1%</t>
        </is>
      </c>
      <c r="U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8" t="n"/>
      <c r="M1449" s="8" t="n"/>
      <c r="N1449" s="8" t="n"/>
      <c r="O1449" s="8" t="n"/>
      <c r="P1449" s="8" t="n"/>
      <c r="Q1449" s="7" t="inlineStr">
        <is>
          <t>SEM COTAÇÃO</t>
        </is>
      </c>
      <c r="R1449" s="8" t="n"/>
      <c r="S1449" s="14" t="n"/>
      <c r="T1449" s="7" t="inlineStr"/>
      <c r="U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8" t="n"/>
      <c r="M1450" s="8" t="n"/>
      <c r="N1450" s="8" t="n"/>
      <c r="O1450" s="8" t="n"/>
      <c r="P1450" s="8" t="n"/>
      <c r="Q1450" s="7" t="inlineStr">
        <is>
          <t>SEM COTAÇÃO</t>
        </is>
      </c>
      <c r="R1450" s="8" t="n"/>
      <c r="S1450" s="14" t="n"/>
      <c r="T1450" s="7" t="inlineStr"/>
      <c r="U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8" t="n"/>
      <c r="M1451" s="8" t="n"/>
      <c r="N1451" s="8" t="n"/>
      <c r="O1451" s="8" t="n"/>
      <c r="P1451" s="8" t="n"/>
      <c r="Q1451" s="7" t="inlineStr">
        <is>
          <t>SEM COTAÇÃO</t>
        </is>
      </c>
      <c r="R1451" s="8" t="n"/>
      <c r="S1451" s="14" t="n"/>
      <c r="T1451" s="7" t="inlineStr"/>
      <c r="U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8" t="n"/>
      <c r="M1452" s="8" t="n"/>
      <c r="N1452" s="8" t="n"/>
      <c r="O1452" s="8" t="n"/>
      <c r="P1452" s="8" t="n"/>
      <c r="Q1452" s="7" t="inlineStr">
        <is>
          <t>SEM COTAÇÃO</t>
        </is>
      </c>
      <c r="R1452" s="8" t="n"/>
      <c r="S1452" s="14" t="n"/>
      <c r="T1452" s="7" t="inlineStr"/>
      <c r="U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8" t="n"/>
      <c r="M1453" s="8" t="n"/>
      <c r="N1453" s="8" t="n"/>
      <c r="O1453" s="8" t="n"/>
      <c r="P1453" s="8" t="n"/>
      <c r="Q1453" s="7" t="inlineStr">
        <is>
          <t>SEM COTAÇÃO</t>
        </is>
      </c>
      <c r="R1453" s="8" t="n"/>
      <c r="S1453" s="14" t="n"/>
      <c r="T1453" s="7" t="inlineStr"/>
      <c r="U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8" t="n">
        <v>32.08</v>
      </c>
      <c r="M1454" s="8" t="n"/>
      <c r="N1454" s="8" t="n"/>
      <c r="O1454" s="15" t="n">
        <v>31.1904</v>
      </c>
      <c r="P1454" s="8" t="n"/>
      <c r="Q1454" s="7" t="inlineStr">
        <is>
          <t>NAZARIA</t>
        </is>
      </c>
      <c r="R1454" s="8" t="n">
        <v>31.1904</v>
      </c>
      <c r="S1454" s="14">
        <f>R1454/H1454-1</f>
        <v/>
      </c>
      <c r="T1454" s="17" t="inlineStr">
        <is>
          <t>OK (≤ últ. compra)</t>
        </is>
      </c>
      <c r="U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8" t="n"/>
      <c r="M1455" s="8" t="n"/>
      <c r="N1455" s="8" t="n"/>
      <c r="O1455" s="8" t="n"/>
      <c r="P1455" s="8" t="n"/>
      <c r="Q1455" s="7" t="inlineStr">
        <is>
          <t>SEM COTAÇÃO</t>
        </is>
      </c>
      <c r="R1455" s="8" t="n"/>
      <c r="S1455" s="14" t="n"/>
      <c r="T1455" s="7" t="inlineStr"/>
      <c r="U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8" t="n"/>
      <c r="M1456" s="8" t="n"/>
      <c r="N1456" s="8" t="n"/>
      <c r="O1456" s="8" t="n"/>
      <c r="P1456" s="8" t="n"/>
      <c r="Q1456" s="7" t="inlineStr">
        <is>
          <t>SEM COTAÇÃO</t>
        </is>
      </c>
      <c r="R1456" s="8" t="n"/>
      <c r="S1456" s="14" t="n"/>
      <c r="T1456" s="7" t="inlineStr"/>
      <c r="U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8" t="n"/>
      <c r="M1457" s="8" t="n"/>
      <c r="N1457" s="8" t="n"/>
      <c r="O1457" s="8" t="n"/>
      <c r="P1457" s="8" t="n">
        <v>2.2</v>
      </c>
      <c r="Q1457" s="7" t="inlineStr">
        <is>
          <t>DIMEC</t>
        </is>
      </c>
      <c r="R1457" s="8" t="n">
        <v>1.65</v>
      </c>
      <c r="S1457" s="14">
        <f>R1457/H1457-1</f>
        <v/>
      </c>
      <c r="T1457" s="17" t="inlineStr">
        <is>
          <t>OK (≤ menor hist.)</t>
        </is>
      </c>
      <c r="U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8" t="n"/>
      <c r="M1458" s="8" t="n"/>
      <c r="N1458" s="8" t="n"/>
      <c r="O1458" s="8" t="n"/>
      <c r="P1458" s="8" t="n">
        <v>30.06</v>
      </c>
      <c r="Q1458" s="7" t="inlineStr">
        <is>
          <t>PLUSFARMA</t>
        </is>
      </c>
      <c r="R1458" s="8" t="n">
        <v>28.55</v>
      </c>
      <c r="S1458" s="14">
        <f>R1458/H1458-1</f>
        <v/>
      </c>
      <c r="T1458" s="16" t="inlineStr">
        <is>
          <t>ACIMA +7.5%</t>
        </is>
      </c>
      <c r="U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15" t="n">
        <v>9.17</v>
      </c>
      <c r="K1459" s="8" t="n"/>
      <c r="L1459" s="8" t="n"/>
      <c r="M1459" s="8" t="n"/>
      <c r="N1459" s="8" t="n">
        <v>11.67</v>
      </c>
      <c r="O1459" s="8" t="n"/>
      <c r="P1459" s="8" t="n"/>
      <c r="Q1459" s="7" t="inlineStr">
        <is>
          <t>DIMEC</t>
        </is>
      </c>
      <c r="R1459" s="8" t="n">
        <v>9.17</v>
      </c>
      <c r="S1459" s="14">
        <f>R1459/H1459-1</f>
        <v/>
      </c>
      <c r="T1459" s="16" t="inlineStr">
        <is>
          <t>ACIMA +8.1%</t>
        </is>
      </c>
      <c r="U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8" t="n"/>
      <c r="M1460" s="8" t="n"/>
      <c r="N1460" s="8" t="n"/>
      <c r="O1460" s="8" t="n"/>
      <c r="P1460" s="8" t="n"/>
      <c r="Q1460" s="7" t="inlineStr">
        <is>
          <t>SEM COTAÇÃO</t>
        </is>
      </c>
      <c r="R1460" s="8" t="n"/>
      <c r="S1460" s="14" t="n"/>
      <c r="T1460" s="7" t="inlineStr"/>
      <c r="U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8" t="n"/>
      <c r="M1461" s="8" t="n"/>
      <c r="N1461" s="8" t="n"/>
      <c r="O1461" s="15" t="n">
        <v>37.81044</v>
      </c>
      <c r="P1461" s="8" t="n"/>
      <c r="Q1461" s="7" t="inlineStr">
        <is>
          <t>NAZARIA</t>
        </is>
      </c>
      <c r="R1461" s="8" t="n">
        <v>37.81044</v>
      </c>
      <c r="S1461" s="14">
        <f>R1461/H1461-1</f>
        <v/>
      </c>
      <c r="T1461" s="16" t="inlineStr">
        <is>
          <t>ACIMA +35.3%</t>
        </is>
      </c>
      <c r="U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8" t="n"/>
      <c r="M1462" s="8" t="n"/>
      <c r="N1462" s="8" t="n"/>
      <c r="O1462" s="8" t="n"/>
      <c r="P1462" s="8" t="n"/>
      <c r="Q1462" s="7" t="inlineStr">
        <is>
          <t>SEM COTAÇÃO</t>
        </is>
      </c>
      <c r="R1462" s="8" t="n"/>
      <c r="S1462" s="14" t="n"/>
      <c r="T1462" s="7" t="inlineStr"/>
      <c r="U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8" t="n"/>
      <c r="M1463" s="8" t="n"/>
      <c r="N1463" s="8" t="n"/>
      <c r="O1463" s="8" t="n"/>
      <c r="P1463" s="8" t="n"/>
      <c r="Q1463" s="7" t="inlineStr">
        <is>
          <t>DIMEC</t>
        </is>
      </c>
      <c r="R1463" s="8" t="n">
        <v>81</v>
      </c>
      <c r="S1463" s="14">
        <f>R1463/H1463-1</f>
        <v/>
      </c>
      <c r="T1463" s="16" t="inlineStr">
        <is>
          <t>ACIMA +3064.1%</t>
        </is>
      </c>
      <c r="U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8" t="n"/>
      <c r="M1464" s="8" t="n"/>
      <c r="N1464" s="8" t="n"/>
      <c r="O1464" s="15" t="n">
        <v>11.56</v>
      </c>
      <c r="P1464" s="8" t="n"/>
      <c r="Q1464" s="7" t="inlineStr">
        <is>
          <t>NAZARIA</t>
        </is>
      </c>
      <c r="R1464" s="8" t="n">
        <v>11.56</v>
      </c>
      <c r="S1464" s="14">
        <f>R1464/H1464-1</f>
        <v/>
      </c>
      <c r="T1464" s="16" t="inlineStr">
        <is>
          <t>ACIMA +189.7%</t>
        </is>
      </c>
      <c r="U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8" t="n"/>
      <c r="M1465" s="8" t="n"/>
      <c r="N1465" s="8" t="n"/>
      <c r="O1465" s="8" t="n"/>
      <c r="P1465" s="8" t="n"/>
      <c r="Q1465" s="7" t="inlineStr">
        <is>
          <t>DIMEC</t>
        </is>
      </c>
      <c r="R1465" s="8" t="n">
        <v>17.91</v>
      </c>
      <c r="S1465" s="14" t="n"/>
      <c r="T1465" s="7" t="inlineStr">
        <is>
          <t>SEM HISTÓRICO</t>
        </is>
      </c>
      <c r="U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8" t="n"/>
      <c r="M1466" s="8" t="n"/>
      <c r="N1466" s="8" t="n"/>
      <c r="O1466" s="15" t="n">
        <v>10.88472</v>
      </c>
      <c r="P1466" s="8" t="n"/>
      <c r="Q1466" s="7" t="inlineStr">
        <is>
          <t>NAZARIA</t>
        </is>
      </c>
      <c r="R1466" s="8" t="n">
        <v>10.88472</v>
      </c>
      <c r="S1466" s="14">
        <f>R1466/H1466-1</f>
        <v/>
      </c>
      <c r="T1466" s="16" t="inlineStr">
        <is>
          <t>ACIMA +55.9%</t>
        </is>
      </c>
      <c r="U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8" t="n"/>
      <c r="M1467" s="8" t="n"/>
      <c r="N1467" s="8" t="n"/>
      <c r="O1467" s="15" t="n">
        <v>15.631</v>
      </c>
      <c r="P1467" s="8" t="n"/>
      <c r="Q1467" s="7" t="inlineStr">
        <is>
          <t>NAZARIA</t>
        </is>
      </c>
      <c r="R1467" s="8" t="n">
        <v>15.631</v>
      </c>
      <c r="S1467" s="14">
        <f>R1467/H1467-1</f>
        <v/>
      </c>
      <c r="T1467" s="16" t="inlineStr">
        <is>
          <t>ACIMA +182.4%</t>
        </is>
      </c>
      <c r="U1467" s="7" t="inlineStr">
        <is>
          <t>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8" t="n"/>
      <c r="M1468" s="8" t="n"/>
      <c r="N1468" s="8" t="n"/>
      <c r="O1468" s="15" t="n">
        <v>5.4288</v>
      </c>
      <c r="P1468" s="8" t="n"/>
      <c r="Q1468" s="7" t="inlineStr">
        <is>
          <t>NAZARIA</t>
        </is>
      </c>
      <c r="R1468" s="8" t="n">
        <v>5.4288</v>
      </c>
      <c r="S1468" s="14">
        <f>R1468/H1468-1</f>
        <v/>
      </c>
      <c r="T1468" s="16" t="inlineStr">
        <is>
          <t>ACIMA +82.0%</t>
        </is>
      </c>
      <c r="U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8" t="n"/>
      <c r="M1469" s="8" t="n"/>
      <c r="N1469" s="8" t="n"/>
      <c r="O1469" s="15" t="n">
        <v>10.9604</v>
      </c>
      <c r="P1469" s="8" t="n"/>
      <c r="Q1469" s="7" t="inlineStr">
        <is>
          <t>NAZARIA</t>
        </is>
      </c>
      <c r="R1469" s="8" t="n">
        <v>10.9604</v>
      </c>
      <c r="S1469" s="14">
        <f>R1469/H1469-1</f>
        <v/>
      </c>
      <c r="T1469" s="16" t="inlineStr">
        <is>
          <t>ACIMA +61.9%</t>
        </is>
      </c>
      <c r="U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8" t="n"/>
      <c r="M1470" s="8" t="n"/>
      <c r="N1470" s="8" t="n"/>
      <c r="O1470" s="8" t="n"/>
      <c r="P1470" s="15" t="n">
        <v>14.99</v>
      </c>
      <c r="Q1470" s="7" t="inlineStr">
        <is>
          <t>MEDCENTRO</t>
        </is>
      </c>
      <c r="R1470" s="8" t="n">
        <v>14.99</v>
      </c>
      <c r="S1470" s="14">
        <f>R1470/H1470-1</f>
        <v/>
      </c>
      <c r="T1470" s="17" t="inlineStr">
        <is>
          <t>OK (≤ menor hist.)</t>
        </is>
      </c>
      <c r="U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8" t="n"/>
      <c r="M1471" s="8" t="n"/>
      <c r="N1471" s="8" t="n"/>
      <c r="O1471" s="8" t="n"/>
      <c r="P1471" s="8" t="n"/>
      <c r="Q1471" s="7" t="inlineStr">
        <is>
          <t>SEM COTAÇÃO</t>
        </is>
      </c>
      <c r="R1471" s="8" t="n"/>
      <c r="S1471" s="14" t="n"/>
      <c r="T1471" s="7" t="inlineStr"/>
      <c r="U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8" t="n"/>
      <c r="M1472" s="8" t="n"/>
      <c r="N1472" s="8" t="n"/>
      <c r="O1472" s="8" t="n"/>
      <c r="P1472" s="8" t="n"/>
      <c r="Q1472" s="7" t="inlineStr">
        <is>
          <t>SEM COTAÇÃO</t>
        </is>
      </c>
      <c r="R1472" s="8" t="n"/>
      <c r="S1472" s="14" t="n"/>
      <c r="T1472" s="7" t="inlineStr"/>
      <c r="U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8" t="n"/>
      <c r="M1473" s="8" t="n"/>
      <c r="N1473" s="8" t="n"/>
      <c r="O1473" s="8" t="n"/>
      <c r="P1473" s="8" t="n"/>
      <c r="Q1473" s="7" t="inlineStr">
        <is>
          <t>SEM COTAÇÃO</t>
        </is>
      </c>
      <c r="R1473" s="8" t="n"/>
      <c r="S1473" s="14" t="n"/>
      <c r="T1473" s="7" t="inlineStr"/>
      <c r="U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8" t="n"/>
      <c r="M1474" s="8" t="n"/>
      <c r="N1474" s="8" t="n"/>
      <c r="O1474" s="8" t="n"/>
      <c r="P1474" s="8" t="n"/>
      <c r="Q1474" s="7" t="inlineStr">
        <is>
          <t>SEM COTAÇÃO</t>
        </is>
      </c>
      <c r="R1474" s="8" t="n"/>
      <c r="S1474" s="14" t="n"/>
      <c r="T1474" s="7" t="inlineStr"/>
      <c r="U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8" t="n"/>
      <c r="M1475" s="8" t="n"/>
      <c r="N1475" s="8" t="n"/>
      <c r="O1475" s="8" t="n"/>
      <c r="P1475" s="8" t="n"/>
      <c r="Q1475" s="7" t="inlineStr">
        <is>
          <t>SEM COTAÇÃO</t>
        </is>
      </c>
      <c r="R1475" s="8" t="n"/>
      <c r="S1475" s="14" t="n"/>
      <c r="T1475" s="7" t="inlineStr"/>
      <c r="U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8" t="n"/>
      <c r="M1476" s="8" t="n"/>
      <c r="N1476" s="8" t="n"/>
      <c r="O1476" s="8" t="n"/>
      <c r="P1476" s="8" t="n"/>
      <c r="Q1476" s="7" t="inlineStr">
        <is>
          <t>SEM COTAÇÃO</t>
        </is>
      </c>
      <c r="R1476" s="8" t="n"/>
      <c r="S1476" s="14" t="n"/>
      <c r="T1476" s="7" t="inlineStr"/>
      <c r="U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8" t="n"/>
      <c r="M1477" s="8" t="n"/>
      <c r="N1477" s="8" t="n"/>
      <c r="O1477" s="8" t="n"/>
      <c r="P1477" s="8" t="n"/>
      <c r="Q1477" s="7" t="inlineStr">
        <is>
          <t>SEM COTAÇÃO</t>
        </is>
      </c>
      <c r="R1477" s="8" t="n"/>
      <c r="S1477" s="14" t="n"/>
      <c r="T1477" s="7" t="inlineStr"/>
      <c r="U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8" t="n"/>
      <c r="M1478" s="8" t="n"/>
      <c r="N1478" s="8" t="n"/>
      <c r="O1478" s="8" t="n"/>
      <c r="P1478" s="8" t="n"/>
      <c r="Q1478" s="7" t="inlineStr">
        <is>
          <t>SEM COTAÇÃO</t>
        </is>
      </c>
      <c r="R1478" s="8" t="n"/>
      <c r="S1478" s="14" t="n"/>
      <c r="T1478" s="7" t="inlineStr"/>
      <c r="U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8" t="n"/>
      <c r="M1479" s="8" t="n"/>
      <c r="N1479" s="8" t="n"/>
      <c r="O1479" s="15" t="n">
        <v>33.99619999999999</v>
      </c>
      <c r="P1479" s="8" t="n"/>
      <c r="Q1479" s="7" t="inlineStr">
        <is>
          <t>NAZARIA</t>
        </is>
      </c>
      <c r="R1479" s="8" t="n">
        <v>33.99619999999999</v>
      </c>
      <c r="S1479" s="14">
        <f>R1479/H1479-1</f>
        <v/>
      </c>
      <c r="T1479" s="16" t="inlineStr">
        <is>
          <t>ACIMA +4.3%</t>
        </is>
      </c>
      <c r="U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8" t="n"/>
      <c r="M1480" s="8" t="n"/>
      <c r="N1480" s="8" t="n"/>
      <c r="O1480" s="8" t="n"/>
      <c r="P1480" s="8" t="n"/>
      <c r="Q1480" s="7" t="inlineStr">
        <is>
          <t>SEM COTAÇÃO</t>
        </is>
      </c>
      <c r="R1480" s="8" t="n"/>
      <c r="S1480" s="14" t="n"/>
      <c r="T1480" s="7" t="inlineStr"/>
      <c r="U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8" t="n"/>
      <c r="M1481" s="8" t="n"/>
      <c r="N1481" s="8" t="n"/>
      <c r="O1481" s="8" t="n"/>
      <c r="P1481" s="8" t="n"/>
      <c r="Q1481" s="7" t="inlineStr">
        <is>
          <t>SEM COTAÇÃO</t>
        </is>
      </c>
      <c r="R1481" s="8" t="n"/>
      <c r="S1481" s="14" t="n"/>
      <c r="T1481" s="7" t="inlineStr"/>
      <c r="U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8" t="n"/>
      <c r="M1482" s="8" t="n"/>
      <c r="N1482" s="8" t="n"/>
      <c r="O1482" s="8" t="n"/>
      <c r="P1482" s="15" t="n">
        <v>4.11</v>
      </c>
      <c r="Q1482" s="7" t="inlineStr">
        <is>
          <t>MEDCENTRO</t>
        </is>
      </c>
      <c r="R1482" s="8" t="n">
        <v>4.11</v>
      </c>
      <c r="S1482" s="14">
        <f>R1482/H1482-1</f>
        <v/>
      </c>
      <c r="T1482" s="17" t="inlineStr">
        <is>
          <t>OK (≤ menor hist.)</t>
        </is>
      </c>
      <c r="U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8" t="n"/>
      <c r="M1483" s="8" t="n"/>
      <c r="N1483" s="8" t="n"/>
      <c r="O1483" s="8" t="n">
        <v>17.07</v>
      </c>
      <c r="P1483" s="8" t="n"/>
      <c r="Q1483" s="7" t="inlineStr">
        <is>
          <t>DIMEC</t>
        </is>
      </c>
      <c r="R1483" s="8" t="n">
        <v>3.23</v>
      </c>
      <c r="S1483" s="14">
        <f>R1483/H1483-1</f>
        <v/>
      </c>
      <c r="T1483" s="16" t="inlineStr">
        <is>
          <t>ACIMA +41.7%</t>
        </is>
      </c>
      <c r="U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8" t="n"/>
      <c r="M1484" s="8" t="n"/>
      <c r="N1484" s="8" t="n"/>
      <c r="O1484" s="8" t="n"/>
      <c r="P1484" s="8" t="n"/>
      <c r="Q1484" s="7" t="inlineStr">
        <is>
          <t>SEM COTAÇÃO</t>
        </is>
      </c>
      <c r="R1484" s="8" t="n"/>
      <c r="S1484" s="14" t="n"/>
      <c r="T1484" s="7" t="inlineStr"/>
      <c r="U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8" t="n"/>
      <c r="M1485" s="8" t="n"/>
      <c r="N1485" s="8" t="n"/>
      <c r="O1485" s="8" t="n"/>
      <c r="P1485" s="8" t="n"/>
      <c r="Q1485" s="7" t="inlineStr">
        <is>
          <t>SEM COTAÇÃO</t>
        </is>
      </c>
      <c r="R1485" s="8" t="n"/>
      <c r="S1485" s="14" t="n"/>
      <c r="T1485" s="7" t="inlineStr"/>
      <c r="U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8" t="n"/>
      <c r="M1486" s="8" t="n"/>
      <c r="N1486" s="8" t="n"/>
      <c r="O1486" s="8" t="n"/>
      <c r="P1486" s="8" t="n"/>
      <c r="Q1486" s="7" t="inlineStr">
        <is>
          <t>SEM COTAÇÃO</t>
        </is>
      </c>
      <c r="R1486" s="8" t="n"/>
      <c r="S1486" s="14" t="n"/>
      <c r="T1486" s="7" t="inlineStr"/>
      <c r="U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8" t="n"/>
      <c r="M1487" s="8" t="n"/>
      <c r="N1487" s="8" t="n"/>
      <c r="O1487" s="8" t="n"/>
      <c r="P1487" s="8" t="n"/>
      <c r="Q1487" s="7" t="inlineStr">
        <is>
          <t>SEM COTAÇÃO</t>
        </is>
      </c>
      <c r="R1487" s="8" t="n"/>
      <c r="S1487" s="14" t="n"/>
      <c r="T1487" s="7" t="inlineStr"/>
      <c r="U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8" t="n"/>
      <c r="M1488" s="8" t="n"/>
      <c r="N1488" s="8" t="n"/>
      <c r="O1488" s="8" t="n"/>
      <c r="P1488" s="8" t="n"/>
      <c r="Q1488" s="7" t="inlineStr">
        <is>
          <t>SEM COTAÇÃO</t>
        </is>
      </c>
      <c r="R1488" s="8" t="n"/>
      <c r="S1488" s="14" t="n"/>
      <c r="T1488" s="7" t="inlineStr"/>
      <c r="U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8" t="n"/>
      <c r="M1489" s="8" t="n"/>
      <c r="N1489" s="8" t="n"/>
      <c r="O1489" s="8" t="n"/>
      <c r="P1489" s="8" t="n"/>
      <c r="Q1489" s="7" t="inlineStr">
        <is>
          <t>SEM COTAÇÃO</t>
        </is>
      </c>
      <c r="R1489" s="8" t="n"/>
      <c r="S1489" s="14" t="n"/>
      <c r="T1489" s="7" t="inlineStr"/>
      <c r="U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8" t="n"/>
      <c r="M1490" s="8" t="n"/>
      <c r="N1490" s="8" t="n"/>
      <c r="O1490" s="8" t="n"/>
      <c r="P1490" s="8" t="n"/>
      <c r="Q1490" s="7" t="inlineStr">
        <is>
          <t>SEM COTAÇÃO</t>
        </is>
      </c>
      <c r="R1490" s="8" t="n"/>
      <c r="S1490" s="14" t="n"/>
      <c r="T1490" s="7" t="inlineStr"/>
      <c r="U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8" t="n"/>
      <c r="M1491" s="8" t="n"/>
      <c r="N1491" s="8" t="n"/>
      <c r="O1491" s="8" t="n"/>
      <c r="P1491" s="8" t="n"/>
      <c r="Q1491" s="7" t="inlineStr">
        <is>
          <t>SEM COTAÇÃO</t>
        </is>
      </c>
      <c r="R1491" s="8" t="n"/>
      <c r="S1491" s="14" t="n"/>
      <c r="T1491" s="7" t="inlineStr"/>
      <c r="U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8" t="n"/>
      <c r="M1492" s="8" t="n"/>
      <c r="N1492" s="8" t="n"/>
      <c r="O1492" s="8" t="n"/>
      <c r="P1492" s="8" t="n"/>
      <c r="Q1492" s="7" t="inlineStr">
        <is>
          <t>SEM COTAÇÃO</t>
        </is>
      </c>
      <c r="R1492" s="8" t="n"/>
      <c r="S1492" s="14" t="n"/>
      <c r="T1492" s="7" t="inlineStr"/>
      <c r="U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8" t="n"/>
      <c r="M1493" s="8" t="n"/>
      <c r="N1493" s="8" t="n"/>
      <c r="O1493" s="8" t="n"/>
      <c r="P1493" s="8" t="n"/>
      <c r="Q1493" s="7" t="inlineStr">
        <is>
          <t>SEM COTAÇÃO</t>
        </is>
      </c>
      <c r="R1493" s="8" t="n"/>
      <c r="S1493" s="14" t="n"/>
      <c r="T1493" s="7" t="inlineStr"/>
      <c r="U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8" t="n"/>
      <c r="M1494" s="8" t="n"/>
      <c r="N1494" s="8" t="n"/>
      <c r="O1494" s="8" t="n"/>
      <c r="P1494" s="8" t="n"/>
      <c r="Q1494" s="7" t="inlineStr">
        <is>
          <t>SEM COTAÇÃO</t>
        </is>
      </c>
      <c r="R1494" s="8" t="n"/>
      <c r="S1494" s="14" t="n"/>
      <c r="T1494" s="7" t="inlineStr"/>
      <c r="U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8" t="n"/>
      <c r="M1495" s="8" t="n"/>
      <c r="N1495" s="8" t="n"/>
      <c r="O1495" s="8" t="n"/>
      <c r="P1495" s="8" t="n"/>
      <c r="Q1495" s="7" t="inlineStr">
        <is>
          <t>SEM COTAÇÃO</t>
        </is>
      </c>
      <c r="R1495" s="8" t="n"/>
      <c r="S1495" s="14" t="n"/>
      <c r="T1495" s="7" t="inlineStr"/>
      <c r="U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8" t="n"/>
      <c r="M1496" s="8" t="n">
        <v>12.31</v>
      </c>
      <c r="N1496" s="8" t="n"/>
      <c r="O1496" s="8" t="n"/>
      <c r="P1496" s="8" t="n">
        <v>12.98</v>
      </c>
      <c r="Q1496" s="7" t="inlineStr">
        <is>
          <t>DIMEC</t>
        </is>
      </c>
      <c r="R1496" s="8" t="n">
        <v>0.606</v>
      </c>
      <c r="S1496" s="14">
        <f>R1496/H1496-1</f>
        <v/>
      </c>
      <c r="T1496" s="16" t="inlineStr">
        <is>
          <t>ACIMA +3.0%</t>
        </is>
      </c>
      <c r="U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8" t="n"/>
      <c r="M1497" s="8" t="n"/>
      <c r="N1497" s="8" t="n"/>
      <c r="O1497" s="8" t="n"/>
      <c r="P1497" s="8" t="n"/>
      <c r="Q1497" s="7" t="inlineStr">
        <is>
          <t>SEM COTAÇÃO</t>
        </is>
      </c>
      <c r="R1497" s="8" t="n"/>
      <c r="S1497" s="14" t="n"/>
      <c r="T1497" s="7" t="inlineStr"/>
      <c r="U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8" t="n"/>
      <c r="M1498" s="8" t="n"/>
      <c r="N1498" s="8" t="n"/>
      <c r="O1498" s="8" t="n"/>
      <c r="P1498" s="8" t="n"/>
      <c r="Q1498" s="7" t="inlineStr">
        <is>
          <t>SEM COTAÇÃO</t>
        </is>
      </c>
      <c r="R1498" s="8" t="n"/>
      <c r="S1498" s="14" t="n"/>
      <c r="T1498" s="7" t="inlineStr"/>
      <c r="U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8" t="n"/>
      <c r="M1499" s="8" t="n"/>
      <c r="N1499" s="8" t="n"/>
      <c r="O1499" s="8" t="n"/>
      <c r="P1499" s="8" t="n"/>
      <c r="Q1499" s="7" t="inlineStr">
        <is>
          <t>SEM COTAÇÃO</t>
        </is>
      </c>
      <c r="R1499" s="8" t="n"/>
      <c r="S1499" s="14" t="n"/>
      <c r="T1499" s="7" t="inlineStr"/>
      <c r="U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8" t="n"/>
      <c r="M1500" s="8" t="n"/>
      <c r="N1500" s="8" t="n"/>
      <c r="O1500" s="8" t="n"/>
      <c r="P1500" s="8" t="n"/>
      <c r="Q1500" s="7" t="inlineStr">
        <is>
          <t>SEM COTAÇÃO</t>
        </is>
      </c>
      <c r="R1500" s="8" t="n"/>
      <c r="S1500" s="14" t="n"/>
      <c r="T1500" s="7" t="inlineStr"/>
      <c r="U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8" t="n"/>
      <c r="M1501" s="8" t="n"/>
      <c r="N1501" s="8" t="n"/>
      <c r="O1501" s="8" t="n"/>
      <c r="P1501" s="8" t="n"/>
      <c r="Q1501" s="7" t="inlineStr">
        <is>
          <t>SEM COTAÇÃO</t>
        </is>
      </c>
      <c r="R1501" s="8" t="n"/>
      <c r="S1501" s="14" t="n"/>
      <c r="T1501" s="7" t="inlineStr"/>
      <c r="U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8" t="n"/>
      <c r="M1502" s="8" t="n"/>
      <c r="N1502" s="8" t="n"/>
      <c r="O1502" s="8" t="n">
        <v>21.86</v>
      </c>
      <c r="P1502" s="8" t="n"/>
      <c r="Q1502" s="7" t="inlineStr">
        <is>
          <t>SEM COTAÇÃO</t>
        </is>
      </c>
      <c r="R1502" s="8" t="n"/>
      <c r="S1502" s="14" t="n"/>
      <c r="T1502" s="7" t="inlineStr"/>
      <c r="U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8" t="n"/>
      <c r="M1503" s="8" t="n"/>
      <c r="N1503" s="8" t="n"/>
      <c r="O1503" s="15" t="n">
        <v>21.32</v>
      </c>
      <c r="P1503" s="8" t="n"/>
      <c r="Q1503" s="7" t="inlineStr">
        <is>
          <t>NAZARIA</t>
        </is>
      </c>
      <c r="R1503" s="8" t="n">
        <v>21.32</v>
      </c>
      <c r="S1503" s="14">
        <f>R1503/H1503-1</f>
        <v/>
      </c>
      <c r="T1503" s="16" t="inlineStr">
        <is>
          <t>ACIMA +35.1%</t>
        </is>
      </c>
      <c r="U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8" t="n"/>
      <c r="M1504" s="8" t="n"/>
      <c r="N1504" s="8" t="n"/>
      <c r="O1504" s="8" t="n"/>
      <c r="P1504" s="8" t="n"/>
      <c r="Q1504" s="7" t="inlineStr">
        <is>
          <t>SEM COTAÇÃO</t>
        </is>
      </c>
      <c r="R1504" s="8" t="n"/>
      <c r="S1504" s="14" t="n"/>
      <c r="T1504" s="7" t="inlineStr"/>
      <c r="U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8" t="n"/>
      <c r="M1505" s="8" t="n"/>
      <c r="N1505" s="8" t="n"/>
      <c r="O1505" s="15" t="n">
        <v>14.98</v>
      </c>
      <c r="P1505" s="8" t="n"/>
      <c r="Q1505" s="7" t="inlineStr">
        <is>
          <t>NAZARIA</t>
        </is>
      </c>
      <c r="R1505" s="8" t="n">
        <v>14.98</v>
      </c>
      <c r="S1505" s="14">
        <f>R1505/H1505-1</f>
        <v/>
      </c>
      <c r="T1505" s="16" t="inlineStr">
        <is>
          <t>ACIMA +2.3%</t>
        </is>
      </c>
      <c r="U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8" t="n"/>
      <c r="M1506" s="8" t="n"/>
      <c r="N1506" s="8" t="n"/>
      <c r="O1506" s="8" t="n">
        <v>14.48</v>
      </c>
      <c r="P1506" s="8" t="n"/>
      <c r="Q1506" s="7" t="inlineStr">
        <is>
          <t>SEM COTAÇÃO</t>
        </is>
      </c>
      <c r="R1506" s="8" t="n"/>
      <c r="S1506" s="14" t="n"/>
      <c r="T1506" s="7" t="inlineStr"/>
      <c r="U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8" t="n"/>
      <c r="M1507" s="8" t="n"/>
      <c r="N1507" s="8" t="n"/>
      <c r="O1507" s="8" t="n">
        <v>12.35</v>
      </c>
      <c r="P1507" s="8" t="n"/>
      <c r="Q1507" s="7" t="inlineStr">
        <is>
          <t>SEM COTAÇÃO</t>
        </is>
      </c>
      <c r="R1507" s="8" t="n"/>
      <c r="S1507" s="14" t="n"/>
      <c r="T1507" s="7" t="inlineStr"/>
      <c r="U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8" t="n"/>
      <c r="M1508" s="8" t="n"/>
      <c r="N1508" s="8" t="n"/>
      <c r="O1508" s="8" t="n"/>
      <c r="P1508" s="8" t="n"/>
      <c r="Q1508" s="7" t="inlineStr">
        <is>
          <t>SEM COTAÇÃO</t>
        </is>
      </c>
      <c r="R1508" s="8" t="n"/>
      <c r="S1508" s="14" t="n"/>
      <c r="T1508" s="7" t="inlineStr"/>
      <c r="U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8" t="n"/>
      <c r="M1509" s="8" t="n"/>
      <c r="N1509" s="8" t="n"/>
      <c r="O1509" s="8" t="n"/>
      <c r="P1509" s="8" t="n"/>
      <c r="Q1509" s="7" t="inlineStr">
        <is>
          <t>SEM COTAÇÃO</t>
        </is>
      </c>
      <c r="R1509" s="8" t="n"/>
      <c r="S1509" s="14" t="n"/>
      <c r="T1509" s="7" t="inlineStr"/>
      <c r="U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8" t="n"/>
      <c r="M1510" s="8" t="n"/>
      <c r="N1510" s="8" t="n"/>
      <c r="O1510" s="8" t="n"/>
      <c r="P1510" s="8" t="n"/>
      <c r="Q1510" s="7" t="inlineStr">
        <is>
          <t>SEM COTAÇÃO</t>
        </is>
      </c>
      <c r="R1510" s="8" t="n"/>
      <c r="S1510" s="14" t="n"/>
      <c r="T1510" s="7" t="inlineStr"/>
      <c r="U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8" t="n"/>
      <c r="M1511" s="8" t="n"/>
      <c r="N1511" s="8" t="n"/>
      <c r="O1511" s="8" t="n"/>
      <c r="P1511" s="8" t="n"/>
      <c r="Q1511" s="7" t="inlineStr">
        <is>
          <t>SEM COTAÇÃO</t>
        </is>
      </c>
      <c r="R1511" s="8" t="n"/>
      <c r="S1511" s="14" t="n"/>
      <c r="T1511" s="7" t="inlineStr"/>
      <c r="U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8" t="n"/>
      <c r="M1512" s="8" t="n"/>
      <c r="N1512" s="8" t="n"/>
      <c r="O1512" s="8" t="n"/>
      <c r="P1512" s="8" t="n"/>
      <c r="Q1512" s="7" t="inlineStr">
        <is>
          <t>SEM COTAÇÃO</t>
        </is>
      </c>
      <c r="R1512" s="8" t="n"/>
      <c r="S1512" s="14" t="n"/>
      <c r="T1512" s="7" t="inlineStr"/>
      <c r="U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8" t="n"/>
      <c r="M1513" s="8" t="n"/>
      <c r="N1513" s="8" t="n"/>
      <c r="O1513" s="15" t="n">
        <v>22.79</v>
      </c>
      <c r="P1513" s="8" t="n"/>
      <c r="Q1513" s="7" t="inlineStr">
        <is>
          <t>NAZARIA</t>
        </is>
      </c>
      <c r="R1513" s="8" t="n">
        <v>22.79</v>
      </c>
      <c r="S1513" s="14">
        <f>R1513/H1513-1</f>
        <v/>
      </c>
      <c r="T1513" s="16" t="inlineStr">
        <is>
          <t>ACIMA +12.0%</t>
        </is>
      </c>
      <c r="U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8" t="n"/>
      <c r="M1514" s="8" t="n"/>
      <c r="N1514" s="8" t="n"/>
      <c r="O1514" s="8" t="n"/>
      <c r="P1514" s="8" t="n"/>
      <c r="Q1514" s="7" t="inlineStr">
        <is>
          <t>SEM COTAÇÃO</t>
        </is>
      </c>
      <c r="R1514" s="8" t="n"/>
      <c r="S1514" s="14" t="n"/>
      <c r="T1514" s="7" t="inlineStr"/>
      <c r="U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8" t="n"/>
      <c r="M1515" s="8" t="n"/>
      <c r="N1515" s="8" t="n"/>
      <c r="O1515" s="8" t="n"/>
      <c r="P1515" s="8" t="n"/>
      <c r="Q1515" s="7" t="inlineStr">
        <is>
          <t>SEM COTAÇÃO</t>
        </is>
      </c>
      <c r="R1515" s="8" t="n"/>
      <c r="S1515" s="14" t="n"/>
      <c r="T1515" s="7" t="inlineStr"/>
      <c r="U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8" t="n"/>
      <c r="M1516" s="8" t="n"/>
      <c r="N1516" s="8" t="n"/>
      <c r="O1516" s="8" t="n">
        <v>22.79</v>
      </c>
      <c r="P1516" s="8" t="n"/>
      <c r="Q1516" s="7" t="inlineStr">
        <is>
          <t>SEM COTAÇÃO</t>
        </is>
      </c>
      <c r="R1516" s="8" t="n"/>
      <c r="S1516" s="14" t="n"/>
      <c r="T1516" s="7" t="inlineStr"/>
      <c r="U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15" t="n">
        <v>19.42</v>
      </c>
      <c r="M1517" s="8" t="n"/>
      <c r="N1517" s="8" t="n"/>
      <c r="O1517" s="8" t="n">
        <v>22.79</v>
      </c>
      <c r="P1517" s="8" t="n"/>
      <c r="Q1517" s="7" t="inlineStr">
        <is>
          <t>EPAN</t>
        </is>
      </c>
      <c r="R1517" s="8" t="n">
        <v>19.42</v>
      </c>
      <c r="S1517" s="14">
        <f>R1517/H1517-1</f>
        <v/>
      </c>
      <c r="T1517" s="17" t="inlineStr">
        <is>
          <t>OK (≤ menor hist.)</t>
        </is>
      </c>
      <c r="U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8" t="n"/>
      <c r="M1518" s="8" t="n"/>
      <c r="N1518" s="8" t="n"/>
      <c r="O1518" s="15" t="n">
        <v>15.97</v>
      </c>
      <c r="P1518" s="8" t="n"/>
      <c r="Q1518" s="7" t="inlineStr">
        <is>
          <t>NAZARIA</t>
        </is>
      </c>
      <c r="R1518" s="8" t="n">
        <v>15.97</v>
      </c>
      <c r="S1518" s="14">
        <f>R1518/H1518-1</f>
        <v/>
      </c>
      <c r="T1518" s="16" t="inlineStr">
        <is>
          <t>ACIMA +3.7%</t>
        </is>
      </c>
      <c r="U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8" t="n"/>
      <c r="M1519" s="8" t="n"/>
      <c r="N1519" s="8" t="n"/>
      <c r="O1519" s="8" t="n"/>
      <c r="P1519" s="8" t="n"/>
      <c r="Q1519" s="7" t="inlineStr">
        <is>
          <t>SEM COTAÇÃO</t>
        </is>
      </c>
      <c r="R1519" s="8" t="n"/>
      <c r="S1519" s="14" t="n"/>
      <c r="T1519" s="7" t="inlineStr"/>
      <c r="U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8" t="n"/>
      <c r="M1520" s="8" t="n"/>
      <c r="N1520" s="8" t="n"/>
      <c r="O1520" s="15" t="n">
        <v>15.97</v>
      </c>
      <c r="P1520" s="8" t="n"/>
      <c r="Q1520" s="7" t="inlineStr">
        <is>
          <t>NAZARIA</t>
        </is>
      </c>
      <c r="R1520" s="8" t="n">
        <v>15.97</v>
      </c>
      <c r="S1520" s="14">
        <f>R1520/H1520-1</f>
        <v/>
      </c>
      <c r="T1520" s="16" t="inlineStr">
        <is>
          <t>ACIMA +3.7%</t>
        </is>
      </c>
      <c r="U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8" t="n"/>
      <c r="M1521" s="8" t="n"/>
      <c r="N1521" s="8" t="n"/>
      <c r="O1521" s="15" t="n">
        <v>48.4903</v>
      </c>
      <c r="P1521" s="8" t="n"/>
      <c r="Q1521" s="7" t="inlineStr">
        <is>
          <t>NAZARIA</t>
        </is>
      </c>
      <c r="R1521" s="8" t="n">
        <v>48.4903</v>
      </c>
      <c r="S1521" s="14">
        <f>R1521/H1521-1</f>
        <v/>
      </c>
      <c r="T1521" s="16" t="inlineStr">
        <is>
          <t>ACIMA +6.6%</t>
        </is>
      </c>
      <c r="U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8" t="n">
        <v>22.99</v>
      </c>
      <c r="M1522" s="8" t="n"/>
      <c r="N1522" s="8" t="n"/>
      <c r="O1522" s="8" t="n"/>
      <c r="P1522" s="8" t="n"/>
      <c r="Q1522" s="7" t="inlineStr">
        <is>
          <t>SEM COTAÇÃO</t>
        </is>
      </c>
      <c r="R1522" s="8" t="n"/>
      <c r="S1522" s="14" t="n"/>
      <c r="T1522" s="7" t="inlineStr"/>
      <c r="U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7" t="inlineStr">
        <is>
          <t>SEM COTAÇÃO</t>
        </is>
      </c>
      <c r="R1523" s="8" t="n"/>
      <c r="S1523" s="14" t="n"/>
      <c r="T1523" s="7" t="inlineStr"/>
      <c r="U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8" t="n"/>
      <c r="M1524" s="15" t="n">
        <v>20.03</v>
      </c>
      <c r="N1524" s="8" t="n"/>
      <c r="O1524" s="8" t="n"/>
      <c r="P1524" s="8" t="n"/>
      <c r="Q1524" s="7" t="inlineStr">
        <is>
          <t>CENTROFARMA</t>
        </is>
      </c>
      <c r="R1524" s="8" t="n">
        <v>20.03</v>
      </c>
      <c r="S1524" s="14">
        <f>R1524/H1524-1</f>
        <v/>
      </c>
      <c r="T1524" s="16" t="inlineStr">
        <is>
          <t>ACIMA +2191.8%</t>
        </is>
      </c>
      <c r="U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8" t="n"/>
      <c r="M1525" s="8" t="n"/>
      <c r="N1525" s="8" t="n"/>
      <c r="O1525" s="8" t="n"/>
      <c r="P1525" s="8" t="n"/>
      <c r="Q1525" s="7" t="inlineStr">
        <is>
          <t>SEM COTAÇÃO</t>
        </is>
      </c>
      <c r="R1525" s="8" t="n"/>
      <c r="S1525" s="14" t="n"/>
      <c r="T1525" s="7" t="inlineStr"/>
      <c r="U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8" t="n"/>
      <c r="M1526" s="8" t="n"/>
      <c r="N1526" s="8" t="n"/>
      <c r="O1526" s="8" t="n"/>
      <c r="P1526" s="8" t="n"/>
      <c r="Q1526" s="7" t="inlineStr">
        <is>
          <t>SEM COTAÇÃO</t>
        </is>
      </c>
      <c r="R1526" s="8" t="n"/>
      <c r="S1526" s="14" t="n"/>
      <c r="T1526" s="7" t="inlineStr"/>
      <c r="U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8" t="n"/>
      <c r="M1527" s="8" t="n"/>
      <c r="N1527" s="8" t="n"/>
      <c r="O1527" s="8" t="n"/>
      <c r="P1527" s="8" t="n"/>
      <c r="Q1527" s="7" t="inlineStr">
        <is>
          <t>SEM COTAÇÃO</t>
        </is>
      </c>
      <c r="R1527" s="8" t="n"/>
      <c r="S1527" s="14" t="n"/>
      <c r="T1527" s="7" t="inlineStr"/>
      <c r="U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8" t="n"/>
      <c r="M1528" s="8" t="n"/>
      <c r="N1528" s="8" t="n"/>
      <c r="O1528" s="8" t="n"/>
      <c r="P1528" s="8" t="n"/>
      <c r="Q1528" s="7" t="inlineStr">
        <is>
          <t>SEM COTAÇÃO</t>
        </is>
      </c>
      <c r="R1528" s="8" t="n"/>
      <c r="S1528" s="14" t="n"/>
      <c r="T1528" s="7" t="inlineStr"/>
      <c r="U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8" t="n"/>
      <c r="M1529" s="8" t="n"/>
      <c r="N1529" s="8" t="n"/>
      <c r="O1529" s="8" t="n"/>
      <c r="P1529" s="8" t="n"/>
      <c r="Q1529" s="7" t="inlineStr">
        <is>
          <t>SEM COTAÇÃO</t>
        </is>
      </c>
      <c r="R1529" s="8" t="n"/>
      <c r="S1529" s="14" t="n"/>
      <c r="T1529" s="7" t="inlineStr"/>
      <c r="U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8" t="n"/>
      <c r="M1530" s="8" t="n"/>
      <c r="N1530" s="8" t="n"/>
      <c r="O1530" s="8" t="n"/>
      <c r="P1530" s="8" t="n"/>
      <c r="Q1530" s="7" t="inlineStr">
        <is>
          <t>SEM COTAÇÃO</t>
        </is>
      </c>
      <c r="R1530" s="8" t="n"/>
      <c r="S1530" s="14" t="n"/>
      <c r="T1530" s="7" t="inlineStr"/>
      <c r="U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8" t="n"/>
      <c r="M1531" s="8" t="n"/>
      <c r="N1531" s="8" t="n"/>
      <c r="O1531" s="8" t="n"/>
      <c r="P1531" s="8" t="n"/>
      <c r="Q1531" s="7" t="inlineStr">
        <is>
          <t>SEM COTAÇÃO</t>
        </is>
      </c>
      <c r="R1531" s="8" t="n"/>
      <c r="S1531" s="14" t="n"/>
      <c r="T1531" s="7" t="inlineStr"/>
      <c r="U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8" t="n"/>
      <c r="M1532" s="8" t="n"/>
      <c r="N1532" s="8" t="n"/>
      <c r="O1532" s="8" t="n"/>
      <c r="P1532" s="8" t="n"/>
      <c r="Q1532" s="7" t="inlineStr">
        <is>
          <t>SEM COTAÇÃO</t>
        </is>
      </c>
      <c r="R1532" s="8" t="n"/>
      <c r="S1532" s="14" t="n"/>
      <c r="T1532" s="7" t="inlineStr"/>
      <c r="U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8" t="n"/>
      <c r="M1533" s="8" t="n"/>
      <c r="N1533" s="8" t="n"/>
      <c r="O1533" s="8" t="n"/>
      <c r="P1533" s="8" t="n"/>
      <c r="Q1533" s="7" t="inlineStr">
        <is>
          <t>SEM COTAÇÃO</t>
        </is>
      </c>
      <c r="R1533" s="8" t="n"/>
      <c r="S1533" s="14" t="n"/>
      <c r="T1533" s="7" t="inlineStr"/>
      <c r="U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8" t="n"/>
      <c r="M1534" s="8" t="n"/>
      <c r="N1534" s="8" t="n"/>
      <c r="O1534" s="8" t="n"/>
      <c r="P1534" s="8" t="n"/>
      <c r="Q1534" s="7" t="inlineStr">
        <is>
          <t>SEM COTAÇÃO</t>
        </is>
      </c>
      <c r="R1534" s="8" t="n"/>
      <c r="S1534" s="14" t="n"/>
      <c r="T1534" s="7" t="inlineStr"/>
      <c r="U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8" t="n"/>
      <c r="M1535" s="8" t="n"/>
      <c r="N1535" s="8" t="n"/>
      <c r="O1535" s="8" t="n"/>
      <c r="P1535" s="8" t="n"/>
      <c r="Q1535" s="7" t="inlineStr">
        <is>
          <t>SEM COTAÇÃO</t>
        </is>
      </c>
      <c r="R1535" s="8" t="n"/>
      <c r="S1535" s="14" t="n"/>
      <c r="T1535" s="7" t="inlineStr"/>
      <c r="U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8" t="n"/>
      <c r="M1536" s="8" t="n"/>
      <c r="N1536" s="8" t="n"/>
      <c r="O1536" s="8" t="n"/>
      <c r="P1536" s="8" t="n"/>
      <c r="Q1536" s="7" t="inlineStr">
        <is>
          <t>SEM COTAÇÃO</t>
        </is>
      </c>
      <c r="R1536" s="8" t="n"/>
      <c r="S1536" s="14" t="n"/>
      <c r="T1536" s="7" t="inlineStr"/>
      <c r="U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8" t="n"/>
      <c r="M1537" s="8" t="n"/>
      <c r="N1537" s="8" t="n"/>
      <c r="O1537" s="8" t="n"/>
      <c r="P1537" s="8" t="n"/>
      <c r="Q1537" s="7" t="inlineStr">
        <is>
          <t>SEM COTAÇÃO</t>
        </is>
      </c>
      <c r="R1537" s="8" t="n"/>
      <c r="S1537" s="14" t="n"/>
      <c r="T1537" s="7" t="inlineStr"/>
      <c r="U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8" t="n"/>
      <c r="M1538" s="8" t="n"/>
      <c r="N1538" s="8" t="n"/>
      <c r="O1538" s="8" t="n">
        <v>52.88</v>
      </c>
      <c r="P1538" s="8" t="n"/>
      <c r="Q1538" s="7" t="inlineStr">
        <is>
          <t>PLUSFARMA</t>
        </is>
      </c>
      <c r="R1538" s="8" t="n">
        <v>10.39</v>
      </c>
      <c r="S1538" s="14">
        <f>R1538/H1538-1</f>
        <v/>
      </c>
      <c r="T1538" s="17" t="inlineStr">
        <is>
          <t>OK (≤ últ. compra)</t>
        </is>
      </c>
      <c r="U1538" s="7" t="inlineStr">
        <is>
          <t>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8" t="n"/>
      <c r="M1539" s="8" t="n"/>
      <c r="N1539" s="8" t="n"/>
      <c r="O1539" s="8" t="n"/>
      <c r="P1539" s="8" t="n"/>
      <c r="Q1539" s="7" t="inlineStr">
        <is>
          <t>SEM COTAÇÃO</t>
        </is>
      </c>
      <c r="R1539" s="8" t="n"/>
      <c r="S1539" s="14" t="n"/>
      <c r="T1539" s="7" t="inlineStr"/>
      <c r="U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8" t="n"/>
      <c r="M1540" s="8" t="n"/>
      <c r="N1540" s="8" t="n"/>
      <c r="O1540" s="8" t="n"/>
      <c r="P1540" s="8" t="n"/>
      <c r="Q1540" s="7" t="inlineStr">
        <is>
          <t>SEM COTAÇÃO</t>
        </is>
      </c>
      <c r="R1540" s="8" t="n"/>
      <c r="S1540" s="14" t="n"/>
      <c r="T1540" s="7" t="inlineStr"/>
      <c r="U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8" t="n"/>
      <c r="M1541" s="8" t="n"/>
      <c r="N1541" s="8" t="n"/>
      <c r="O1541" s="8" t="n"/>
      <c r="P1541" s="8" t="n"/>
      <c r="Q1541" s="7" t="inlineStr">
        <is>
          <t>SEM COTAÇÃO</t>
        </is>
      </c>
      <c r="R1541" s="8" t="n"/>
      <c r="S1541" s="14" t="n"/>
      <c r="T1541" s="7" t="inlineStr"/>
      <c r="U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8" t="n"/>
      <c r="M1542" s="8" t="n"/>
      <c r="N1542" s="8" t="n"/>
      <c r="O1542" s="8" t="n"/>
      <c r="P1542" s="8" t="n"/>
      <c r="Q1542" s="7" t="inlineStr">
        <is>
          <t>SEM COTAÇÃO</t>
        </is>
      </c>
      <c r="R1542" s="8" t="n"/>
      <c r="S1542" s="14" t="n"/>
      <c r="T1542" s="7" t="inlineStr"/>
      <c r="U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8" t="n"/>
      <c r="M1543" s="8" t="n"/>
      <c r="N1543" s="8" t="n"/>
      <c r="O1543" s="8" t="n"/>
      <c r="P1543" s="8" t="n"/>
      <c r="Q1543" s="7" t="inlineStr">
        <is>
          <t>SEM COTAÇÃO</t>
        </is>
      </c>
      <c r="R1543" s="8" t="n"/>
      <c r="S1543" s="14" t="n"/>
      <c r="T1543" s="7" t="inlineStr"/>
      <c r="U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8" t="n"/>
      <c r="M1544" s="8" t="n"/>
      <c r="N1544" s="8" t="n"/>
      <c r="O1544" s="8" t="n"/>
      <c r="P1544" s="8" t="n"/>
      <c r="Q1544" s="7" t="inlineStr">
        <is>
          <t>SEM COTAÇÃO</t>
        </is>
      </c>
      <c r="R1544" s="8" t="n"/>
      <c r="S1544" s="14" t="n"/>
      <c r="T1544" s="7" t="inlineStr"/>
      <c r="U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8" t="n"/>
      <c r="M1545" s="8" t="n"/>
      <c r="N1545" s="8" t="n"/>
      <c r="O1545" s="8" t="n"/>
      <c r="P1545" s="8" t="n"/>
      <c r="Q1545" s="7" t="inlineStr">
        <is>
          <t>SEM COTAÇÃO</t>
        </is>
      </c>
      <c r="R1545" s="8" t="n"/>
      <c r="S1545" s="14" t="n"/>
      <c r="T1545" s="7" t="inlineStr"/>
      <c r="U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8" t="n"/>
      <c r="M1546" s="8" t="n"/>
      <c r="N1546" s="8" t="n"/>
      <c r="O1546" s="8" t="n"/>
      <c r="P1546" s="8" t="n"/>
      <c r="Q1546" s="7" t="inlineStr">
        <is>
          <t>SEM COTAÇÃO</t>
        </is>
      </c>
      <c r="R1546" s="8" t="n"/>
      <c r="S1546" s="14" t="n"/>
      <c r="T1546" s="7" t="inlineStr"/>
      <c r="U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8" t="n"/>
      <c r="M1547" s="8" t="n"/>
      <c r="N1547" s="8" t="n"/>
      <c r="O1547" s="8" t="n"/>
      <c r="P1547" s="8" t="n"/>
      <c r="Q1547" s="7" t="inlineStr">
        <is>
          <t>SEM COTAÇÃO</t>
        </is>
      </c>
      <c r="R1547" s="8" t="n"/>
      <c r="S1547" s="14" t="n"/>
      <c r="T1547" s="7" t="inlineStr"/>
      <c r="U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7" t="inlineStr">
        <is>
          <t>SEM COTAÇÃO</t>
        </is>
      </c>
      <c r="R1548" s="8" t="n"/>
      <c r="S1548" s="14" t="n"/>
      <c r="T1548" s="7" t="inlineStr"/>
      <c r="U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7" t="inlineStr">
        <is>
          <t>SEM COTAÇÃO</t>
        </is>
      </c>
      <c r="R1549" s="8" t="n"/>
      <c r="S1549" s="14" t="n"/>
      <c r="T1549" s="7" t="inlineStr"/>
      <c r="U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8" t="n"/>
      <c r="M1550" s="8" t="n"/>
      <c r="N1550" s="8" t="n"/>
      <c r="O1550" s="8" t="n"/>
      <c r="P1550" s="8" t="n"/>
      <c r="Q1550" s="7" t="inlineStr">
        <is>
          <t>SEM COTAÇÃO</t>
        </is>
      </c>
      <c r="R1550" s="8" t="n"/>
      <c r="S1550" s="14" t="n"/>
      <c r="T1550" s="7" t="inlineStr"/>
      <c r="U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8" t="n"/>
      <c r="M1551" s="8" t="n"/>
      <c r="N1551" s="8" t="n"/>
      <c r="O1551" s="8" t="n"/>
      <c r="P1551" s="8" t="n"/>
      <c r="Q1551" s="7" t="inlineStr">
        <is>
          <t>SEM COTAÇÃO</t>
        </is>
      </c>
      <c r="R1551" s="8" t="n"/>
      <c r="S1551" s="14" t="n"/>
      <c r="T1551" s="7" t="inlineStr"/>
      <c r="U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8" t="n"/>
      <c r="M1552" s="8" t="n"/>
      <c r="N1552" s="8" t="n"/>
      <c r="O1552" s="8" t="n"/>
      <c r="P1552" s="8" t="n"/>
      <c r="Q1552" s="7" t="inlineStr">
        <is>
          <t>SEM COTAÇÃO</t>
        </is>
      </c>
      <c r="R1552" s="8" t="n"/>
      <c r="S1552" s="14" t="n"/>
      <c r="T1552" s="7" t="inlineStr"/>
      <c r="U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8" t="n"/>
      <c r="M1553" s="8" t="n"/>
      <c r="N1553" s="8" t="n"/>
      <c r="O1553" s="8" t="n"/>
      <c r="P1553" s="8" t="n"/>
      <c r="Q1553" s="7" t="inlineStr">
        <is>
          <t>SEM COTAÇÃO</t>
        </is>
      </c>
      <c r="R1553" s="8" t="n"/>
      <c r="S1553" s="14" t="n"/>
      <c r="T1553" s="7" t="inlineStr"/>
      <c r="U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8" t="n"/>
      <c r="M1554" s="8" t="n"/>
      <c r="N1554" s="8" t="n"/>
      <c r="O1554" s="8" t="n"/>
      <c r="P1554" s="8" t="n"/>
      <c r="Q1554" s="7" t="inlineStr">
        <is>
          <t>SEM COTAÇÃO</t>
        </is>
      </c>
      <c r="R1554" s="8" t="n"/>
      <c r="S1554" s="14" t="n"/>
      <c r="T1554" s="7" t="inlineStr"/>
      <c r="U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8" t="n"/>
      <c r="M1555" s="8" t="n"/>
      <c r="N1555" s="8" t="n"/>
      <c r="O1555" s="8" t="n"/>
      <c r="P1555" s="8" t="n"/>
      <c r="Q1555" s="7" t="inlineStr">
        <is>
          <t>SEM COTAÇÃO</t>
        </is>
      </c>
      <c r="R1555" s="8" t="n"/>
      <c r="S1555" s="14" t="n"/>
      <c r="T1555" s="7" t="inlineStr"/>
      <c r="U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8" t="n"/>
      <c r="M1556" s="8" t="n"/>
      <c r="N1556" s="8" t="n"/>
      <c r="O1556" s="8" t="n"/>
      <c r="P1556" s="8" t="n"/>
      <c r="Q1556" s="7" t="inlineStr">
        <is>
          <t>SEM COTAÇÃO</t>
        </is>
      </c>
      <c r="R1556" s="8" t="n"/>
      <c r="S1556" s="14" t="n"/>
      <c r="T1556" s="7" t="inlineStr"/>
      <c r="U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8" t="n"/>
      <c r="M1557" s="8" t="n"/>
      <c r="N1557" s="8" t="n"/>
      <c r="O1557" s="8" t="n"/>
      <c r="P1557" s="8" t="n"/>
      <c r="Q1557" s="7" t="inlineStr">
        <is>
          <t>SEM COTAÇÃO</t>
        </is>
      </c>
      <c r="R1557" s="8" t="n"/>
      <c r="S1557" s="14" t="n"/>
      <c r="T1557" s="7" t="inlineStr"/>
      <c r="U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8" t="n"/>
      <c r="M1558" s="8" t="n"/>
      <c r="N1558" s="8" t="n"/>
      <c r="O1558" s="8" t="n"/>
      <c r="P1558" s="8" t="n"/>
      <c r="Q1558" s="7" t="inlineStr">
        <is>
          <t>SEM COTAÇÃO</t>
        </is>
      </c>
      <c r="R1558" s="8" t="n"/>
      <c r="S1558" s="14" t="n"/>
      <c r="T1558" s="7" t="inlineStr"/>
      <c r="U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8" t="n"/>
      <c r="M1559" s="8" t="n"/>
      <c r="N1559" s="8" t="n"/>
      <c r="O1559" s="8" t="n"/>
      <c r="P1559" s="8" t="n"/>
      <c r="Q1559" s="7" t="inlineStr">
        <is>
          <t>SEM COTAÇÃO</t>
        </is>
      </c>
      <c r="R1559" s="8" t="n"/>
      <c r="S1559" s="14" t="n"/>
      <c r="T1559" s="7" t="inlineStr"/>
      <c r="U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8" t="n"/>
      <c r="M1560" s="8" t="n"/>
      <c r="N1560" s="8" t="n"/>
      <c r="O1560" s="8" t="n"/>
      <c r="P1560" s="8" t="n"/>
      <c r="Q1560" s="7" t="inlineStr">
        <is>
          <t>SEM COTAÇÃO</t>
        </is>
      </c>
      <c r="R1560" s="8" t="n"/>
      <c r="S1560" s="14" t="n"/>
      <c r="T1560" s="7" t="inlineStr"/>
      <c r="U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8" t="n"/>
      <c r="M1561" s="8" t="n"/>
      <c r="N1561" s="8" t="n"/>
      <c r="O1561" s="15" t="n">
        <v>21.36</v>
      </c>
      <c r="P1561" s="8" t="n"/>
      <c r="Q1561" s="7" t="inlineStr">
        <is>
          <t>NAZARIA</t>
        </is>
      </c>
      <c r="R1561" s="8" t="n">
        <v>21.36</v>
      </c>
      <c r="S1561" s="14">
        <f>R1561/H1561-1</f>
        <v/>
      </c>
      <c r="T1561" s="16" t="inlineStr">
        <is>
          <t>ACIMA +14.2%</t>
        </is>
      </c>
      <c r="U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8" t="n"/>
      <c r="M1562" s="8" t="n"/>
      <c r="N1562" s="8" t="n"/>
      <c r="O1562" s="15" t="n">
        <v>21.36</v>
      </c>
      <c r="P1562" s="8" t="n"/>
      <c r="Q1562" s="7" t="inlineStr">
        <is>
          <t>NAZARIA</t>
        </is>
      </c>
      <c r="R1562" s="8" t="n">
        <v>21.36</v>
      </c>
      <c r="S1562" s="14">
        <f>R1562/H1562-1</f>
        <v/>
      </c>
      <c r="T1562" s="16" t="inlineStr">
        <is>
          <t>ACIMA +17.7%</t>
        </is>
      </c>
      <c r="U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8" t="n"/>
      <c r="M1563" s="8" t="n"/>
      <c r="N1563" s="8" t="n"/>
      <c r="O1563" s="8" t="n"/>
      <c r="P1563" s="8" t="n"/>
      <c r="Q1563" s="7" t="inlineStr">
        <is>
          <t>SEM COTAÇÃO</t>
        </is>
      </c>
      <c r="R1563" s="8" t="n"/>
      <c r="S1563" s="14" t="n"/>
      <c r="T1563" s="7" t="inlineStr"/>
      <c r="U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8" t="n"/>
      <c r="M1564" s="8" t="n"/>
      <c r="N1564" s="8" t="n"/>
      <c r="O1564" s="8" t="n"/>
      <c r="P1564" s="8" t="n"/>
      <c r="Q1564" s="7" t="inlineStr">
        <is>
          <t>SEM COTAÇÃO</t>
        </is>
      </c>
      <c r="R1564" s="8" t="n"/>
      <c r="S1564" s="14" t="n"/>
      <c r="T1564" s="7" t="inlineStr"/>
      <c r="U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8" t="n"/>
      <c r="M1565" s="8" t="n"/>
      <c r="N1565" s="8" t="n"/>
      <c r="O1565" s="8" t="n"/>
      <c r="P1565" s="8" t="n"/>
      <c r="Q1565" s="7" t="inlineStr">
        <is>
          <t>SEM COTAÇÃO</t>
        </is>
      </c>
      <c r="R1565" s="8" t="n"/>
      <c r="S1565" s="14" t="n"/>
      <c r="T1565" s="7" t="inlineStr"/>
      <c r="U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8" t="n"/>
      <c r="M1566" s="8" t="n"/>
      <c r="N1566" s="8" t="n"/>
      <c r="O1566" s="8" t="n"/>
      <c r="P1566" s="8" t="n"/>
      <c r="Q1566" s="7" t="inlineStr">
        <is>
          <t>SEM COTAÇÃO</t>
        </is>
      </c>
      <c r="R1566" s="8" t="n"/>
      <c r="S1566" s="14" t="n"/>
      <c r="T1566" s="7" t="inlineStr"/>
      <c r="U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8" t="n"/>
      <c r="M1567" s="8" t="n"/>
      <c r="N1567" s="8" t="n"/>
      <c r="O1567" s="8" t="n"/>
      <c r="P1567" s="8" t="n"/>
      <c r="Q1567" s="7" t="inlineStr">
        <is>
          <t>SEM COTAÇÃO</t>
        </is>
      </c>
      <c r="R1567" s="8" t="n"/>
      <c r="S1567" s="14" t="n"/>
      <c r="T1567" s="7" t="inlineStr"/>
      <c r="U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8" t="n"/>
      <c r="M1568" s="8" t="n"/>
      <c r="N1568" s="8" t="n"/>
      <c r="O1568" s="8" t="n"/>
      <c r="P1568" s="8" t="n"/>
      <c r="Q1568" s="7" t="inlineStr">
        <is>
          <t>SEM COTAÇÃO</t>
        </is>
      </c>
      <c r="R1568" s="8" t="n"/>
      <c r="S1568" s="14" t="n"/>
      <c r="T1568" s="7" t="inlineStr"/>
      <c r="U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8" t="n"/>
      <c r="M1569" s="8" t="n"/>
      <c r="N1569" s="8" t="n"/>
      <c r="O1569" s="8" t="n"/>
      <c r="P1569" s="8" t="n"/>
      <c r="Q1569" s="7" t="inlineStr">
        <is>
          <t>SEM COTAÇÃO</t>
        </is>
      </c>
      <c r="R1569" s="8" t="n"/>
      <c r="S1569" s="14" t="n"/>
      <c r="T1569" s="7" t="inlineStr"/>
      <c r="U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8" t="n"/>
      <c r="M1570" s="8" t="n"/>
      <c r="N1570" s="8" t="n"/>
      <c r="O1570" s="8" t="n"/>
      <c r="P1570" s="8" t="n"/>
      <c r="Q1570" s="7" t="inlineStr">
        <is>
          <t>SEM COTAÇÃO</t>
        </is>
      </c>
      <c r="R1570" s="8" t="n"/>
      <c r="S1570" s="14" t="n"/>
      <c r="T1570" s="7" t="inlineStr"/>
      <c r="U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8" t="n">
        <v>26.68</v>
      </c>
      <c r="M1571" s="8" t="n"/>
      <c r="N1571" s="8" t="n"/>
      <c r="O1571" s="8" t="n">
        <v>27.048</v>
      </c>
      <c r="P1571" s="8" t="n"/>
      <c r="Q1571" s="7" t="inlineStr">
        <is>
          <t>SEM COTAÇÃO</t>
        </is>
      </c>
      <c r="R1571" s="8" t="n"/>
      <c r="S1571" s="14" t="n"/>
      <c r="T1571" s="7" t="inlineStr"/>
      <c r="U1571" s="7" t="inlineStr">
        <is>
          <t>EPAN: sem estoque; 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8" t="n"/>
      <c r="M1572" s="8" t="n"/>
      <c r="N1572" s="8" t="n"/>
      <c r="O1572" s="8" t="n"/>
      <c r="P1572" s="8" t="n"/>
      <c r="Q1572" s="7" t="inlineStr">
        <is>
          <t>SEM COTAÇÃO</t>
        </is>
      </c>
      <c r="R1572" s="8" t="n"/>
      <c r="S1572" s="14" t="n"/>
      <c r="T1572" s="7" t="inlineStr"/>
      <c r="U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8" t="n"/>
      <c r="M1573" s="8" t="n"/>
      <c r="N1573" s="15" t="n">
        <v>30.95</v>
      </c>
      <c r="O1573" s="8" t="n">
        <v>32.3008</v>
      </c>
      <c r="P1573" s="8" t="n"/>
      <c r="Q1573" s="7" t="inlineStr">
        <is>
          <t>TAPAJOS</t>
        </is>
      </c>
      <c r="R1573" s="8" t="n">
        <v>30.95</v>
      </c>
      <c r="S1573" s="14">
        <f>R1573/H1573-1</f>
        <v/>
      </c>
      <c r="T1573" s="16" t="inlineStr">
        <is>
          <t>ACIMA +1.1%</t>
        </is>
      </c>
      <c r="U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8" t="n"/>
      <c r="M1574" s="8" t="n"/>
      <c r="N1574" s="8" t="n"/>
      <c r="O1574" s="8" t="n"/>
      <c r="P1574" s="8" t="n"/>
      <c r="Q1574" s="7" t="inlineStr">
        <is>
          <t>SEM COTAÇÃO</t>
        </is>
      </c>
      <c r="R1574" s="8" t="n"/>
      <c r="S1574" s="14" t="n"/>
      <c r="T1574" s="7" t="inlineStr"/>
      <c r="U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8" t="n"/>
      <c r="M1575" s="8" t="n"/>
      <c r="N1575" s="8" t="n"/>
      <c r="O1575" s="15" t="n">
        <v>93.9918</v>
      </c>
      <c r="P1575" s="8" t="n"/>
      <c r="Q1575" s="7" t="inlineStr">
        <is>
          <t>NAZARIA</t>
        </is>
      </c>
      <c r="R1575" s="8" t="n">
        <v>93.9918</v>
      </c>
      <c r="S1575" s="14">
        <f>R1575/H1575-1</f>
        <v/>
      </c>
      <c r="T1575" s="16" t="inlineStr">
        <is>
          <t>ACIMA +16.4%</t>
        </is>
      </c>
      <c r="U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8" t="n"/>
      <c r="M1576" s="8" t="n"/>
      <c r="N1576" s="8" t="n"/>
      <c r="O1576" s="8" t="n"/>
      <c r="P1576" s="8" t="n"/>
      <c r="Q1576" s="7" t="inlineStr">
        <is>
          <t>SEM COTAÇÃO</t>
        </is>
      </c>
      <c r="R1576" s="8" t="n"/>
      <c r="S1576" s="14" t="n"/>
      <c r="T1576" s="7" t="inlineStr"/>
      <c r="U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8" t="n"/>
      <c r="M1577" s="8" t="n"/>
      <c r="N1577" s="8" t="n"/>
      <c r="O1577" s="8" t="n"/>
      <c r="P1577" s="8" t="n"/>
      <c r="Q1577" s="7" t="inlineStr">
        <is>
          <t>SEM COTAÇÃO</t>
        </is>
      </c>
      <c r="R1577" s="8" t="n"/>
      <c r="S1577" s="14" t="n"/>
      <c r="T1577" s="7" t="inlineStr"/>
      <c r="U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7" t="inlineStr">
        <is>
          <t>SEM COTAÇÃO</t>
        </is>
      </c>
      <c r="R1578" s="8" t="n"/>
      <c r="S1578" s="14" t="n"/>
      <c r="T1578" s="7" t="inlineStr"/>
      <c r="U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8" t="n"/>
      <c r="M1579" s="8" t="n"/>
      <c r="N1579" s="8" t="n"/>
      <c r="O1579" s="8" t="n"/>
      <c r="P1579" s="8" t="n"/>
      <c r="Q1579" s="7" t="inlineStr">
        <is>
          <t>SEM COTAÇÃO</t>
        </is>
      </c>
      <c r="R1579" s="8" t="n"/>
      <c r="S1579" s="14" t="n"/>
      <c r="T1579" s="7" t="inlineStr"/>
      <c r="U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15" t="n">
        <v>47.46</v>
      </c>
      <c r="M1580" s="8" t="n"/>
      <c r="N1580" s="8" t="n"/>
      <c r="O1580" s="8" t="n">
        <v>69.93000000000001</v>
      </c>
      <c r="P1580" s="8" t="n"/>
      <c r="Q1580" s="7" t="inlineStr">
        <is>
          <t>EPAN</t>
        </is>
      </c>
      <c r="R1580" s="8" t="n">
        <v>47.46</v>
      </c>
      <c r="S1580" s="14">
        <f>R1580/H1580-1</f>
        <v/>
      </c>
      <c r="T1580" s="17" t="inlineStr">
        <is>
          <t>OK (≤ menor hist.)</t>
        </is>
      </c>
      <c r="U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7" t="inlineStr">
        <is>
          <t>SEM COTAÇÃO</t>
        </is>
      </c>
      <c r="R1581" s="8" t="n"/>
      <c r="S1581" s="14" t="n"/>
      <c r="T1581" s="7" t="inlineStr"/>
      <c r="U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7" t="inlineStr">
        <is>
          <t>SEM COTAÇÃO</t>
        </is>
      </c>
      <c r="R1582" s="8" t="n"/>
      <c r="S1582" s="14" t="n"/>
      <c r="T1582" s="7" t="inlineStr"/>
      <c r="U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7" t="inlineStr">
        <is>
          <t>SEM COTAÇÃO</t>
        </is>
      </c>
      <c r="R1583" s="8" t="n"/>
      <c r="S1583" s="14" t="n"/>
      <c r="T1583" s="7" t="inlineStr"/>
      <c r="U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7" t="inlineStr">
        <is>
          <t>SEM COTAÇÃO</t>
        </is>
      </c>
      <c r="R1584" s="8" t="n"/>
      <c r="S1584" s="14" t="n"/>
      <c r="T1584" s="7" t="inlineStr"/>
      <c r="U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7" t="inlineStr">
        <is>
          <t>SEM COTAÇÃO</t>
        </is>
      </c>
      <c r="R1585" s="8" t="n"/>
      <c r="S1585" s="14" t="n"/>
      <c r="T1585" s="7" t="inlineStr"/>
      <c r="U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7" t="inlineStr">
        <is>
          <t>SEM COTAÇÃO</t>
        </is>
      </c>
      <c r="R1586" s="8" t="n"/>
      <c r="S1586" s="14" t="n"/>
      <c r="T1586" s="7" t="inlineStr"/>
      <c r="U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8" t="n"/>
      <c r="M1587" s="8" t="n"/>
      <c r="N1587" s="8" t="n"/>
      <c r="O1587" s="8" t="n"/>
      <c r="P1587" s="8" t="n"/>
      <c r="Q1587" s="7" t="inlineStr">
        <is>
          <t>SEM COTAÇÃO</t>
        </is>
      </c>
      <c r="R1587" s="8" t="n"/>
      <c r="S1587" s="14" t="n"/>
      <c r="T1587" s="7" t="inlineStr"/>
      <c r="U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8" t="n"/>
      <c r="M1588" s="8" t="n">
        <v>15.24</v>
      </c>
      <c r="N1588" s="8" t="n"/>
      <c r="O1588" s="8" t="n">
        <v>21.37</v>
      </c>
      <c r="P1588" s="8" t="n"/>
      <c r="Q1588" s="7" t="inlineStr">
        <is>
          <t>DIMEC</t>
        </is>
      </c>
      <c r="R1588" s="8" t="n">
        <v>10.65</v>
      </c>
      <c r="S1588" s="14">
        <f>R1588/H1588-1</f>
        <v/>
      </c>
      <c r="T1588" s="17" t="inlineStr">
        <is>
          <t>OK (≤ menor hist.)</t>
        </is>
      </c>
      <c r="U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8" t="n"/>
      <c r="M1589" s="8" t="n"/>
      <c r="N1589" s="8" t="n"/>
      <c r="O1589" s="15" t="n">
        <v>9.490500000000001</v>
      </c>
      <c r="P1589" s="8" t="n"/>
      <c r="Q1589" s="7" t="inlineStr">
        <is>
          <t>NAZARIA</t>
        </is>
      </c>
      <c r="R1589" s="8" t="n">
        <v>9.490500000000001</v>
      </c>
      <c r="S1589" s="14">
        <f>R1589/H1589-1</f>
        <v/>
      </c>
      <c r="T1589" s="16" t="inlineStr">
        <is>
          <t>ACIMA +5.6%</t>
        </is>
      </c>
      <c r="U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8" t="n"/>
      <c r="M1590" s="8" t="n"/>
      <c r="N1590" s="8" t="n"/>
      <c r="O1590" s="15" t="n">
        <v>42.19</v>
      </c>
      <c r="P1590" s="8" t="n"/>
      <c r="Q1590" s="7" t="inlineStr">
        <is>
          <t>NAZARIA</t>
        </is>
      </c>
      <c r="R1590" s="8" t="n">
        <v>42.19</v>
      </c>
      <c r="S1590" s="14">
        <f>R1590/H1590-1</f>
        <v/>
      </c>
      <c r="T1590" s="16" t="inlineStr">
        <is>
          <t>ACIMA +59.8%</t>
        </is>
      </c>
      <c r="U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8" t="n"/>
      <c r="M1591" s="8" t="n"/>
      <c r="N1591" s="8" t="n"/>
      <c r="O1591" s="8" t="n"/>
      <c r="P1591" s="8" t="n"/>
      <c r="Q1591" s="7" t="inlineStr">
        <is>
          <t>SEM COTAÇÃO</t>
        </is>
      </c>
      <c r="R1591" s="8" t="n"/>
      <c r="S1591" s="14" t="n"/>
      <c r="T1591" s="7" t="inlineStr"/>
      <c r="U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8" t="n"/>
      <c r="M1592" s="8" t="n"/>
      <c r="N1592" s="8" t="n"/>
      <c r="O1592" s="8" t="n"/>
      <c r="P1592" s="8" t="n"/>
      <c r="Q1592" s="7" t="inlineStr">
        <is>
          <t>SEM COTAÇÃO</t>
        </is>
      </c>
      <c r="R1592" s="8" t="n"/>
      <c r="S1592" s="14" t="n"/>
      <c r="T1592" s="7" t="inlineStr"/>
      <c r="U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8" t="n"/>
      <c r="M1593" s="8" t="n"/>
      <c r="N1593" s="8" t="n"/>
      <c r="O1593" s="8" t="n"/>
      <c r="P1593" s="8" t="n"/>
      <c r="Q1593" s="7" t="inlineStr">
        <is>
          <t>SEM COTAÇÃO</t>
        </is>
      </c>
      <c r="R1593" s="8" t="n"/>
      <c r="S1593" s="14" t="n"/>
      <c r="T1593" s="7" t="inlineStr"/>
      <c r="U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7" t="inlineStr">
        <is>
          <t>SEM COTAÇÃO</t>
        </is>
      </c>
      <c r="R1594" s="8" t="n"/>
      <c r="S1594" s="14" t="n"/>
      <c r="T1594" s="7" t="inlineStr"/>
      <c r="U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7" t="inlineStr">
        <is>
          <t>SEM COTAÇÃO</t>
        </is>
      </c>
      <c r="R1595" s="8" t="n"/>
      <c r="S1595" s="14" t="n"/>
      <c r="T1595" s="7" t="inlineStr"/>
      <c r="U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8" t="n"/>
      <c r="M1596" s="8" t="n"/>
      <c r="N1596" s="8" t="n"/>
      <c r="O1596" s="8" t="n"/>
      <c r="P1596" s="8" t="n"/>
      <c r="Q1596" s="7" t="inlineStr">
        <is>
          <t>SEM COTAÇÃO</t>
        </is>
      </c>
      <c r="R1596" s="8" t="n"/>
      <c r="S1596" s="14" t="n"/>
      <c r="T1596" s="7" t="inlineStr"/>
      <c r="U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8" t="n"/>
      <c r="M1597" s="8" t="n"/>
      <c r="N1597" s="8" t="n"/>
      <c r="O1597" s="8" t="n"/>
      <c r="P1597" s="8" t="n"/>
      <c r="Q1597" s="7" t="inlineStr">
        <is>
          <t>SEM COTAÇÃO</t>
        </is>
      </c>
      <c r="R1597" s="8" t="n"/>
      <c r="S1597" s="14" t="n"/>
      <c r="T1597" s="7" t="inlineStr"/>
      <c r="U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8" t="n"/>
      <c r="M1598" s="8" t="n"/>
      <c r="N1598" s="8" t="n"/>
      <c r="O1598" s="8" t="n"/>
      <c r="P1598" s="8" t="n"/>
      <c r="Q1598" s="7" t="inlineStr">
        <is>
          <t>SEM COTAÇÃO</t>
        </is>
      </c>
      <c r="R1598" s="8" t="n"/>
      <c r="S1598" s="14" t="n"/>
      <c r="T1598" s="7" t="inlineStr"/>
      <c r="U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8" t="n"/>
      <c r="M1599" s="8" t="n"/>
      <c r="N1599" s="8" t="n"/>
      <c r="O1599" s="8" t="n"/>
      <c r="P1599" s="8" t="n"/>
      <c r="Q1599" s="7" t="inlineStr">
        <is>
          <t>SEM COTAÇÃO</t>
        </is>
      </c>
      <c r="R1599" s="8" t="n"/>
      <c r="S1599" s="14" t="n"/>
      <c r="T1599" s="7" t="inlineStr"/>
      <c r="U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8" t="n"/>
      <c r="M1600" s="8" t="n"/>
      <c r="N1600" s="8" t="n"/>
      <c r="O1600" s="8" t="n"/>
      <c r="P1600" s="8" t="n"/>
      <c r="Q1600" s="7" t="inlineStr">
        <is>
          <t>SEM COTAÇÃO</t>
        </is>
      </c>
      <c r="R1600" s="8" t="n"/>
      <c r="S1600" s="14" t="n"/>
      <c r="T1600" s="7" t="inlineStr"/>
      <c r="U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8" t="n"/>
      <c r="M1601" s="8" t="n"/>
      <c r="N1601" s="8" t="n"/>
      <c r="O1601" s="8" t="n"/>
      <c r="P1601" s="8" t="n"/>
      <c r="Q1601" s="7" t="inlineStr">
        <is>
          <t>SEM COTAÇÃO</t>
        </is>
      </c>
      <c r="R1601" s="8" t="n"/>
      <c r="S1601" s="14" t="n"/>
      <c r="T1601" s="7" t="inlineStr"/>
      <c r="U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8" t="n"/>
      <c r="M1602" s="8" t="n"/>
      <c r="N1602" s="8" t="n"/>
      <c r="O1602" s="8" t="n"/>
      <c r="P1602" s="8" t="n"/>
      <c r="Q1602" s="7" t="inlineStr">
        <is>
          <t>SEM COTAÇÃO</t>
        </is>
      </c>
      <c r="R1602" s="8" t="n"/>
      <c r="S1602" s="14" t="n"/>
      <c r="T1602" s="7" t="inlineStr"/>
      <c r="U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8" t="n"/>
      <c r="M1603" s="8" t="n"/>
      <c r="N1603" s="8" t="n"/>
      <c r="O1603" s="8" t="n"/>
      <c r="P1603" s="8" t="n"/>
      <c r="Q1603" s="7" t="inlineStr">
        <is>
          <t>SEM COTAÇÃO</t>
        </is>
      </c>
      <c r="R1603" s="8" t="n"/>
      <c r="S1603" s="14" t="n"/>
      <c r="T1603" s="7" t="inlineStr"/>
      <c r="U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8" t="n"/>
      <c r="M1604" s="8" t="n"/>
      <c r="N1604" s="8" t="n"/>
      <c r="O1604" s="8" t="n"/>
      <c r="P1604" s="8" t="n"/>
      <c r="Q1604" s="7" t="inlineStr">
        <is>
          <t>SEM COTAÇÃO</t>
        </is>
      </c>
      <c r="R1604" s="8" t="n"/>
      <c r="S1604" s="14" t="n"/>
      <c r="T1604" s="7" t="inlineStr"/>
      <c r="U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8" t="n"/>
      <c r="M1605" s="8" t="n"/>
      <c r="N1605" s="8" t="n"/>
      <c r="O1605" s="8" t="n"/>
      <c r="P1605" s="8" t="n"/>
      <c r="Q1605" s="7" t="inlineStr">
        <is>
          <t>SEM COTAÇÃO</t>
        </is>
      </c>
      <c r="R1605" s="8" t="n"/>
      <c r="S1605" s="14" t="n"/>
      <c r="T1605" s="7" t="inlineStr"/>
      <c r="U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8" t="n"/>
      <c r="M1606" s="8" t="n"/>
      <c r="N1606" s="8" t="n"/>
      <c r="O1606" s="8" t="n"/>
      <c r="P1606" s="8" t="n"/>
      <c r="Q1606" s="7" t="inlineStr">
        <is>
          <t>SEM COTAÇÃO</t>
        </is>
      </c>
      <c r="R1606" s="8" t="n"/>
      <c r="S1606" s="14" t="n"/>
      <c r="T1606" s="7" t="inlineStr"/>
      <c r="U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8" t="n"/>
      <c r="M1607" s="8" t="n"/>
      <c r="N1607" s="8" t="n"/>
      <c r="O1607" s="8" t="n"/>
      <c r="P1607" s="8" t="n"/>
      <c r="Q1607" s="7" t="inlineStr">
        <is>
          <t>SEM COTAÇÃO</t>
        </is>
      </c>
      <c r="R1607" s="8" t="n"/>
      <c r="S1607" s="14" t="n"/>
      <c r="T1607" s="7" t="inlineStr"/>
      <c r="U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8" t="n"/>
      <c r="M1608" s="8" t="n"/>
      <c r="N1608" s="8" t="n"/>
      <c r="O1608" s="8" t="n"/>
      <c r="P1608" s="8" t="n"/>
      <c r="Q1608" s="7" t="inlineStr">
        <is>
          <t>SEM COTAÇÃO</t>
        </is>
      </c>
      <c r="R1608" s="8" t="n"/>
      <c r="S1608" s="14" t="n"/>
      <c r="T1608" s="7" t="inlineStr"/>
      <c r="U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8" t="n"/>
      <c r="M1609" s="8" t="n"/>
      <c r="N1609" s="8" t="n"/>
      <c r="O1609" s="8" t="n"/>
      <c r="P1609" s="8" t="n"/>
      <c r="Q1609" s="7" t="inlineStr">
        <is>
          <t>SEM COTAÇÃO</t>
        </is>
      </c>
      <c r="R1609" s="8" t="n"/>
      <c r="S1609" s="14" t="n"/>
      <c r="T1609" s="7" t="inlineStr"/>
      <c r="U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8" t="n"/>
      <c r="M1610" s="8" t="n"/>
      <c r="N1610" s="8" t="n"/>
      <c r="O1610" s="8" t="n"/>
      <c r="P1610" s="8" t="n"/>
      <c r="Q1610" s="7" t="inlineStr">
        <is>
          <t>SEM COTAÇÃO</t>
        </is>
      </c>
      <c r="R1610" s="8" t="n"/>
      <c r="S1610" s="14" t="n"/>
      <c r="T1610" s="7" t="inlineStr"/>
      <c r="U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8" t="n"/>
      <c r="M1611" s="8" t="n"/>
      <c r="N1611" s="8" t="n"/>
      <c r="O1611" s="8" t="n"/>
      <c r="P1611" s="8" t="n"/>
      <c r="Q1611" s="7" t="inlineStr">
        <is>
          <t>SEM COTAÇÃO</t>
        </is>
      </c>
      <c r="R1611" s="8" t="n"/>
      <c r="S1611" s="14" t="n"/>
      <c r="T1611" s="7" t="inlineStr"/>
      <c r="U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8" t="n"/>
      <c r="M1612" s="8" t="n"/>
      <c r="N1612" s="8" t="n"/>
      <c r="O1612" s="8" t="n"/>
      <c r="P1612" s="8" t="n"/>
      <c r="Q1612" s="7" t="inlineStr">
        <is>
          <t>SEM COTAÇÃO</t>
        </is>
      </c>
      <c r="R1612" s="8" t="n"/>
      <c r="S1612" s="14" t="n"/>
      <c r="T1612" s="7" t="inlineStr"/>
      <c r="U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8" t="n"/>
      <c r="M1613" s="8" t="n"/>
      <c r="N1613" s="8" t="n"/>
      <c r="O1613" s="8" t="n"/>
      <c r="P1613" s="8" t="n"/>
      <c r="Q1613" s="7" t="inlineStr">
        <is>
          <t>SEM COTAÇÃO</t>
        </is>
      </c>
      <c r="R1613" s="8" t="n"/>
      <c r="S1613" s="14" t="n"/>
      <c r="T1613" s="7" t="inlineStr"/>
      <c r="U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7" t="inlineStr">
        <is>
          <t>SEM COTAÇÃO</t>
        </is>
      </c>
      <c r="R1614" s="8" t="n"/>
      <c r="S1614" s="14" t="n"/>
      <c r="T1614" s="7" t="inlineStr"/>
      <c r="U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8" t="n"/>
      <c r="M1615" s="8" t="n"/>
      <c r="N1615" s="8" t="n"/>
      <c r="O1615" s="8" t="n"/>
      <c r="P1615" s="8" t="n"/>
      <c r="Q1615" s="7" t="inlineStr">
        <is>
          <t>SEM COTAÇÃO</t>
        </is>
      </c>
      <c r="R1615" s="8" t="n"/>
      <c r="S1615" s="14" t="n"/>
      <c r="T1615" s="7" t="inlineStr"/>
      <c r="U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8" t="n"/>
      <c r="M1616" s="8" t="n"/>
      <c r="N1616" s="8" t="n"/>
      <c r="O1616" s="8" t="n"/>
      <c r="P1616" s="8" t="n"/>
      <c r="Q1616" s="7" t="inlineStr">
        <is>
          <t>SEM COTAÇÃO</t>
        </is>
      </c>
      <c r="R1616" s="8" t="n"/>
      <c r="S1616" s="14" t="n"/>
      <c r="T1616" s="7" t="inlineStr"/>
      <c r="U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8" t="n"/>
      <c r="M1617" s="8" t="n"/>
      <c r="N1617" s="8" t="n"/>
      <c r="O1617" s="15" t="n">
        <v>26.4</v>
      </c>
      <c r="P1617" s="8" t="n"/>
      <c r="Q1617" s="7" t="inlineStr">
        <is>
          <t>NAZARIA</t>
        </is>
      </c>
      <c r="R1617" s="8" t="n">
        <v>26.4</v>
      </c>
      <c r="S1617" s="14">
        <f>R1617/H1617-1</f>
        <v/>
      </c>
      <c r="T1617" s="16" t="inlineStr">
        <is>
          <t>ACIMA +11.1%</t>
        </is>
      </c>
      <c r="U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8" t="n"/>
      <c r="M1618" s="8" t="n"/>
      <c r="N1618" s="8" t="n"/>
      <c r="O1618" s="8" t="n"/>
      <c r="P1618" s="8" t="n"/>
      <c r="Q1618" s="7" t="inlineStr">
        <is>
          <t>SEM COTAÇÃO</t>
        </is>
      </c>
      <c r="R1618" s="8" t="n"/>
      <c r="S1618" s="14" t="n"/>
      <c r="T1618" s="7" t="inlineStr"/>
      <c r="U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8" t="n"/>
      <c r="M1619" s="8" t="n"/>
      <c r="N1619" s="8" t="n"/>
      <c r="O1619" s="8" t="n"/>
      <c r="P1619" s="8" t="n"/>
      <c r="Q1619" s="7" t="inlineStr">
        <is>
          <t>SEM COTAÇÃO</t>
        </is>
      </c>
      <c r="R1619" s="8" t="n"/>
      <c r="S1619" s="14" t="n"/>
      <c r="T1619" s="7" t="inlineStr"/>
      <c r="U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8" t="n"/>
      <c r="M1620" s="8" t="n"/>
      <c r="N1620" s="8" t="n"/>
      <c r="O1620" s="8" t="n"/>
      <c r="P1620" s="8" t="n"/>
      <c r="Q1620" s="7" t="inlineStr">
        <is>
          <t>SEM COTAÇÃO</t>
        </is>
      </c>
      <c r="R1620" s="8" t="n"/>
      <c r="S1620" s="14" t="n"/>
      <c r="T1620" s="7" t="inlineStr"/>
      <c r="U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8" t="n"/>
      <c r="M1621" s="8" t="n"/>
      <c r="N1621" s="8" t="n"/>
      <c r="O1621" s="8" t="n"/>
      <c r="P1621" s="8" t="n"/>
      <c r="Q1621" s="7" t="inlineStr">
        <is>
          <t>SEM COTAÇÃO</t>
        </is>
      </c>
      <c r="R1621" s="8" t="n"/>
      <c r="S1621" s="14" t="n"/>
      <c r="T1621" s="7" t="inlineStr"/>
      <c r="U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8" t="n"/>
      <c r="M1622" s="8" t="n"/>
      <c r="N1622" s="8" t="n"/>
      <c r="O1622" s="8" t="n"/>
      <c r="P1622" s="8" t="n"/>
      <c r="Q1622" s="7" t="inlineStr">
        <is>
          <t>SEM COTAÇÃO</t>
        </is>
      </c>
      <c r="R1622" s="8" t="n"/>
      <c r="S1622" s="14" t="n"/>
      <c r="T1622" s="7" t="inlineStr"/>
      <c r="U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8" t="n"/>
      <c r="M1623" s="8" t="n"/>
      <c r="N1623" s="8" t="n"/>
      <c r="O1623" s="15" t="n">
        <v>15.08</v>
      </c>
      <c r="P1623" s="8" t="n"/>
      <c r="Q1623" s="7" t="inlineStr">
        <is>
          <t>NAZARIA</t>
        </is>
      </c>
      <c r="R1623" s="8" t="n">
        <v>15.08</v>
      </c>
      <c r="S1623" s="14">
        <f>R1623/H1623-1</f>
        <v/>
      </c>
      <c r="T1623" s="16" t="inlineStr">
        <is>
          <t>ACIMA +12.3%</t>
        </is>
      </c>
      <c r="U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8" t="n"/>
      <c r="M1624" s="8" t="n"/>
      <c r="N1624" s="8" t="n"/>
      <c r="O1624" s="8" t="n"/>
      <c r="P1624" s="8" t="n"/>
      <c r="Q1624" s="7" t="inlineStr">
        <is>
          <t>SEM COTAÇÃO</t>
        </is>
      </c>
      <c r="R1624" s="8" t="n"/>
      <c r="S1624" s="14" t="n"/>
      <c r="T1624" s="7" t="inlineStr"/>
      <c r="U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15" t="n">
        <v>22.24</v>
      </c>
      <c r="M1625" s="8" t="n"/>
      <c r="N1625" s="8" t="n"/>
      <c r="O1625" s="8" t="n">
        <v>25.4604</v>
      </c>
      <c r="P1625" s="8" t="n"/>
      <c r="Q1625" s="7" t="inlineStr">
        <is>
          <t>EPAN</t>
        </is>
      </c>
      <c r="R1625" s="8" t="n">
        <v>22.24</v>
      </c>
      <c r="S1625" s="14">
        <f>R1625/H1625-1</f>
        <v/>
      </c>
      <c r="T1625" s="17" t="inlineStr">
        <is>
          <t>OK (≤ menor hist.)</t>
        </is>
      </c>
      <c r="U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8" t="n">
        <v>15.5</v>
      </c>
      <c r="M1626" s="8" t="n"/>
      <c r="N1626" s="8" t="n"/>
      <c r="O1626" s="8" t="n"/>
      <c r="P1626" s="8" t="n"/>
      <c r="Q1626" s="7" t="inlineStr">
        <is>
          <t>SEM COTAÇÃO</t>
        </is>
      </c>
      <c r="R1626" s="8" t="n"/>
      <c r="S1626" s="14" t="n"/>
      <c r="T1626" s="7" t="inlineStr"/>
      <c r="U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15" t="n">
        <v>35.68</v>
      </c>
      <c r="O1627" s="8" t="n">
        <v>37.1542</v>
      </c>
      <c r="P1627" s="8" t="n"/>
      <c r="Q1627" s="7" t="inlineStr">
        <is>
          <t>TAPAJOS</t>
        </is>
      </c>
      <c r="R1627" s="8" t="n">
        <v>35.68</v>
      </c>
      <c r="S1627" s="14" t="n"/>
      <c r="T1627" s="7" t="inlineStr">
        <is>
          <t>SEM HISTÓRICO</t>
        </is>
      </c>
      <c r="U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8" t="n"/>
      <c r="M1628" s="8" t="n"/>
      <c r="N1628" s="8" t="n"/>
      <c r="O1628" s="8" t="n"/>
      <c r="P1628" s="8" t="n"/>
      <c r="Q1628" s="7" t="inlineStr">
        <is>
          <t>SEM COTAÇÃO</t>
        </is>
      </c>
      <c r="R1628" s="8" t="n"/>
      <c r="S1628" s="14" t="n"/>
      <c r="T1628" s="7" t="inlineStr"/>
      <c r="U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8" t="n"/>
      <c r="M1629" s="8" t="n"/>
      <c r="N1629" s="8" t="n"/>
      <c r="O1629" s="8" t="n"/>
      <c r="P1629" s="8" t="n"/>
      <c r="Q1629" s="7" t="inlineStr">
        <is>
          <t>DIMEC</t>
        </is>
      </c>
      <c r="R1629" s="8" t="n">
        <v>23.73</v>
      </c>
      <c r="S1629" s="14">
        <f>R1629/H1629-1</f>
        <v/>
      </c>
      <c r="T1629" s="16" t="inlineStr">
        <is>
          <t>ACIMA +24.9%</t>
        </is>
      </c>
      <c r="U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8" t="n"/>
      <c r="M1630" s="8" t="n"/>
      <c r="N1630" s="8" t="n"/>
      <c r="O1630" s="8" t="n"/>
      <c r="P1630" s="8" t="n"/>
      <c r="Q1630" s="7" t="inlineStr">
        <is>
          <t>SEM COTAÇÃO</t>
        </is>
      </c>
      <c r="R1630" s="8" t="n"/>
      <c r="S1630" s="14" t="n"/>
      <c r="T1630" s="7" t="inlineStr"/>
      <c r="U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8" t="n"/>
      <c r="M1631" s="8" t="n"/>
      <c r="N1631" s="8" t="n"/>
      <c r="O1631" s="15" t="n">
        <v>68.25</v>
      </c>
      <c r="P1631" s="8" t="n"/>
      <c r="Q1631" s="7" t="inlineStr">
        <is>
          <t>NAZARIA</t>
        </is>
      </c>
      <c r="R1631" s="8" t="n">
        <v>68.25</v>
      </c>
      <c r="S1631" s="14">
        <f>R1631/H1631-1</f>
        <v/>
      </c>
      <c r="T1631" s="16" t="inlineStr">
        <is>
          <t>ACIMA +42.6%</t>
        </is>
      </c>
      <c r="U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8" t="n"/>
      <c r="M1632" s="8" t="n"/>
      <c r="N1632" s="8" t="n"/>
      <c r="O1632" s="8" t="n"/>
      <c r="P1632" s="8" t="n"/>
      <c r="Q1632" s="7" t="inlineStr">
        <is>
          <t>SEM COTAÇÃO</t>
        </is>
      </c>
      <c r="R1632" s="8" t="n"/>
      <c r="S1632" s="14" t="n"/>
      <c r="T1632" s="7" t="inlineStr"/>
      <c r="U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8" t="n"/>
      <c r="M1633" s="8" t="n"/>
      <c r="N1633" s="8" t="n"/>
      <c r="O1633" s="15" t="n">
        <v>167.75</v>
      </c>
      <c r="P1633" s="8" t="n"/>
      <c r="Q1633" s="7" t="inlineStr">
        <is>
          <t>NAZARIA</t>
        </is>
      </c>
      <c r="R1633" s="8" t="n">
        <v>167.75</v>
      </c>
      <c r="S1633" s="14">
        <f>R1633/H1633-1</f>
        <v/>
      </c>
      <c r="T1633" s="16" t="inlineStr">
        <is>
          <t>ACIMA +117.4%</t>
        </is>
      </c>
      <c r="U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8" t="n"/>
      <c r="M1634" s="8" t="n"/>
      <c r="N1634" s="8" t="n"/>
      <c r="O1634" s="8" t="n"/>
      <c r="P1634" s="8" t="n"/>
      <c r="Q1634" s="7" t="inlineStr">
        <is>
          <t>SEM COTAÇÃO</t>
        </is>
      </c>
      <c r="R1634" s="8" t="n"/>
      <c r="S1634" s="14" t="n"/>
      <c r="T1634" s="7" t="inlineStr"/>
      <c r="U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8" t="n"/>
      <c r="M1635" s="8" t="n"/>
      <c r="N1635" s="8" t="n"/>
      <c r="O1635" s="8" t="n"/>
      <c r="P1635" s="8" t="n"/>
      <c r="Q1635" s="7" t="inlineStr">
        <is>
          <t>SEM COTAÇÃO</t>
        </is>
      </c>
      <c r="R1635" s="8" t="n"/>
      <c r="S1635" s="14" t="n"/>
      <c r="T1635" s="7" t="inlineStr"/>
      <c r="U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8" t="n"/>
      <c r="M1636" s="8" t="n"/>
      <c r="N1636" s="8" t="n"/>
      <c r="O1636" s="8" t="n"/>
      <c r="P1636" s="8" t="n"/>
      <c r="Q1636" s="7" t="inlineStr">
        <is>
          <t>SEM COTAÇÃO</t>
        </is>
      </c>
      <c r="R1636" s="8" t="n"/>
      <c r="S1636" s="14" t="n"/>
      <c r="T1636" s="7" t="inlineStr"/>
      <c r="U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8" t="n"/>
      <c r="M1637" s="8" t="n"/>
      <c r="N1637" s="8" t="n"/>
      <c r="O1637" s="8" t="n"/>
      <c r="P1637" s="8" t="n"/>
      <c r="Q1637" s="7" t="inlineStr">
        <is>
          <t>SEM COTAÇÃO</t>
        </is>
      </c>
      <c r="R1637" s="8" t="n"/>
      <c r="S1637" s="14" t="n"/>
      <c r="T1637" s="7" t="inlineStr"/>
      <c r="U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8" t="n"/>
      <c r="M1638" s="8" t="n"/>
      <c r="N1638" s="8" t="n"/>
      <c r="O1638" s="8" t="n"/>
      <c r="P1638" s="8" t="n"/>
      <c r="Q1638" s="7" t="inlineStr">
        <is>
          <t>SEM COTAÇÃO</t>
        </is>
      </c>
      <c r="R1638" s="8" t="n"/>
      <c r="S1638" s="14" t="n"/>
      <c r="T1638" s="7" t="inlineStr"/>
      <c r="U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8" t="n"/>
      <c r="M1639" s="8" t="n"/>
      <c r="N1639" s="8" t="n"/>
      <c r="O1639" s="8" t="n"/>
      <c r="P1639" s="15" t="n">
        <v>35</v>
      </c>
      <c r="Q1639" s="7" t="inlineStr">
        <is>
          <t>MEDCENTRO</t>
        </is>
      </c>
      <c r="R1639" s="8" t="n">
        <v>35</v>
      </c>
      <c r="S1639" s="14">
        <f>R1639/H1639-1</f>
        <v/>
      </c>
      <c r="T1639" s="16" t="inlineStr">
        <is>
          <t>ACIMA +67.5%</t>
        </is>
      </c>
      <c r="U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8" t="n"/>
      <c r="M1640" s="8" t="n"/>
      <c r="N1640" s="8" t="n"/>
      <c r="O1640" s="8" t="n"/>
      <c r="P1640" s="8" t="n"/>
      <c r="Q1640" s="7" t="inlineStr">
        <is>
          <t>SEM COTAÇÃO</t>
        </is>
      </c>
      <c r="R1640" s="8" t="n"/>
      <c r="S1640" s="14" t="n"/>
      <c r="T1640" s="7" t="inlineStr"/>
      <c r="U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8" t="n"/>
      <c r="M1641" s="8" t="n"/>
      <c r="N1641" s="15" t="n">
        <v>9.81</v>
      </c>
      <c r="O1641" s="8" t="n"/>
      <c r="P1641" s="8" t="n"/>
      <c r="Q1641" s="7" t="inlineStr">
        <is>
          <t>TAPAJOS</t>
        </is>
      </c>
      <c r="R1641" s="8" t="n">
        <v>9.81</v>
      </c>
      <c r="S1641" s="14">
        <f>R1641/H1641-1</f>
        <v/>
      </c>
      <c r="T1641" s="17" t="inlineStr">
        <is>
          <t>OK (≤ últ. compra)</t>
        </is>
      </c>
      <c r="U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8" t="n"/>
      <c r="M1642" s="8" t="n"/>
      <c r="N1642" s="8" t="n"/>
      <c r="O1642" s="8" t="n"/>
      <c r="P1642" s="8" t="n"/>
      <c r="Q1642" s="7" t="inlineStr">
        <is>
          <t>DIMEC</t>
        </is>
      </c>
      <c r="R1642" s="8" t="n">
        <v>0.9</v>
      </c>
      <c r="S1642" s="14">
        <f>R1642/H1642-1</f>
        <v/>
      </c>
      <c r="T1642" s="17" t="inlineStr">
        <is>
          <t>OK (≤ menor hist.)</t>
        </is>
      </c>
      <c r="U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8" t="n"/>
      <c r="M1643" s="8" t="n"/>
      <c r="N1643" s="8" t="n"/>
      <c r="O1643" s="15" t="n">
        <v>20.71</v>
      </c>
      <c r="P1643" s="8" t="n"/>
      <c r="Q1643" s="7" t="inlineStr">
        <is>
          <t>NAZARIA</t>
        </is>
      </c>
      <c r="R1643" s="8" t="n">
        <v>20.71</v>
      </c>
      <c r="S1643" s="14">
        <f>R1643/H1643-1</f>
        <v/>
      </c>
      <c r="T1643" s="16" t="inlineStr">
        <is>
          <t>ACIMA +3.2%</t>
        </is>
      </c>
      <c r="U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8" t="n"/>
      <c r="M1644" s="8" t="n"/>
      <c r="N1644" s="8" t="n"/>
      <c r="O1644" s="8" t="n"/>
      <c r="P1644" s="8" t="n"/>
      <c r="Q1644" s="7" t="inlineStr">
        <is>
          <t>SEM COTAÇÃO</t>
        </is>
      </c>
      <c r="R1644" s="8" t="n"/>
      <c r="S1644" s="14" t="n"/>
      <c r="T1644" s="7" t="inlineStr"/>
      <c r="U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8" t="n"/>
      <c r="M1645" s="8" t="n"/>
      <c r="N1645" s="8" t="n"/>
      <c r="O1645" s="8" t="n"/>
      <c r="P1645" s="8" t="n"/>
      <c r="Q1645" s="7" t="inlineStr">
        <is>
          <t>SEM COTAÇÃO</t>
        </is>
      </c>
      <c r="R1645" s="8" t="n"/>
      <c r="S1645" s="14" t="n"/>
      <c r="T1645" s="7" t="inlineStr"/>
      <c r="U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8" t="n"/>
      <c r="M1646" s="8" t="n"/>
      <c r="N1646" s="8" t="n"/>
      <c r="O1646" s="8" t="n"/>
      <c r="P1646" s="8" t="n"/>
      <c r="Q1646" s="7" t="inlineStr">
        <is>
          <t>SEM COTAÇÃO</t>
        </is>
      </c>
      <c r="R1646" s="8" t="n"/>
      <c r="S1646" s="14" t="n"/>
      <c r="T1646" s="7" t="inlineStr"/>
      <c r="U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8" t="n"/>
      <c r="M1647" s="8" t="n"/>
      <c r="N1647" s="8" t="n"/>
      <c r="O1647" s="8" t="n"/>
      <c r="P1647" s="8" t="n"/>
      <c r="Q1647" s="7" t="inlineStr">
        <is>
          <t>SEM COTAÇÃO</t>
        </is>
      </c>
      <c r="R1647" s="8" t="n"/>
      <c r="S1647" s="14" t="n"/>
      <c r="T1647" s="7" t="inlineStr"/>
      <c r="U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8" t="n"/>
      <c r="M1648" s="8" t="n"/>
      <c r="N1648" s="8" t="n"/>
      <c r="O1648" s="8" t="n"/>
      <c r="P1648" s="8" t="n"/>
      <c r="Q1648" s="7" t="inlineStr">
        <is>
          <t>SEM COTAÇÃO</t>
        </is>
      </c>
      <c r="R1648" s="8" t="n"/>
      <c r="S1648" s="14" t="n"/>
      <c r="T1648" s="7" t="inlineStr"/>
      <c r="U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8" t="n"/>
      <c r="M1649" s="8" t="n"/>
      <c r="N1649" s="8" t="n"/>
      <c r="O1649" s="8" t="n"/>
      <c r="P1649" s="8" t="n"/>
      <c r="Q1649" s="7" t="inlineStr">
        <is>
          <t>SEM COTAÇÃO</t>
        </is>
      </c>
      <c r="R1649" s="8" t="n"/>
      <c r="S1649" s="14" t="n"/>
      <c r="T1649" s="7" t="inlineStr"/>
      <c r="U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8" t="n"/>
      <c r="M1650" s="8" t="n"/>
      <c r="N1650" s="8" t="n"/>
      <c r="O1650" s="15" t="n">
        <v>21.5616</v>
      </c>
      <c r="P1650" s="8" t="n"/>
      <c r="Q1650" s="7" t="inlineStr">
        <is>
          <t>NAZARIA</t>
        </is>
      </c>
      <c r="R1650" s="8" t="n">
        <v>21.5616</v>
      </c>
      <c r="S1650" s="14">
        <f>R1650/H1650-1</f>
        <v/>
      </c>
      <c r="T1650" s="17" t="inlineStr">
        <is>
          <t>OK (≤ menor hist.)</t>
        </is>
      </c>
      <c r="U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8" t="n"/>
      <c r="M1651" s="8" t="n"/>
      <c r="N1651" s="8" t="n"/>
      <c r="O1651" s="8" t="n"/>
      <c r="P1651" s="8" t="n"/>
      <c r="Q1651" s="7" t="inlineStr">
        <is>
          <t>SEM COTAÇÃO</t>
        </is>
      </c>
      <c r="R1651" s="8" t="n"/>
      <c r="S1651" s="14" t="n"/>
      <c r="T1651" s="7" t="inlineStr"/>
      <c r="U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8" t="n"/>
      <c r="M1652" s="8" t="n"/>
      <c r="N1652" s="8" t="n"/>
      <c r="O1652" s="8" t="n"/>
      <c r="P1652" s="8" t="n"/>
      <c r="Q1652" s="7" t="inlineStr">
        <is>
          <t>SEM COTAÇÃO</t>
        </is>
      </c>
      <c r="R1652" s="8" t="n"/>
      <c r="S1652" s="14" t="n"/>
      <c r="T1652" s="7" t="inlineStr"/>
      <c r="U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8" t="n"/>
      <c r="M1653" s="8" t="n"/>
      <c r="N1653" s="8" t="n"/>
      <c r="O1653" s="8" t="n"/>
      <c r="P1653" s="8" t="n"/>
      <c r="Q1653" s="7" t="inlineStr">
        <is>
          <t>SEM COTAÇÃO</t>
        </is>
      </c>
      <c r="R1653" s="8" t="n"/>
      <c r="S1653" s="14" t="n"/>
      <c r="T1653" s="7" t="inlineStr"/>
      <c r="U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8" t="n"/>
      <c r="M1654" s="8" t="n"/>
      <c r="N1654" s="8" t="n"/>
      <c r="O1654" s="15" t="n">
        <v>19.16</v>
      </c>
      <c r="P1654" s="8" t="n"/>
      <c r="Q1654" s="7" t="inlineStr">
        <is>
          <t>NAZARIA</t>
        </is>
      </c>
      <c r="R1654" s="8" t="n">
        <v>19.16</v>
      </c>
      <c r="S1654" s="14">
        <f>R1654/H1654-1</f>
        <v/>
      </c>
      <c r="T1654" s="16" t="inlineStr">
        <is>
          <t>ACIMA +52.0%</t>
        </is>
      </c>
      <c r="U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8" t="n"/>
      <c r="M1655" s="8" t="n"/>
      <c r="N1655" s="8" t="n"/>
      <c r="O1655" s="8" t="n"/>
      <c r="P1655" s="8" t="n"/>
      <c r="Q1655" s="7" t="inlineStr">
        <is>
          <t>SEM COTAÇÃO</t>
        </is>
      </c>
      <c r="R1655" s="8" t="n"/>
      <c r="S1655" s="14" t="n"/>
      <c r="T1655" s="7" t="inlineStr"/>
      <c r="U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8" t="n"/>
      <c r="M1656" s="8" t="n"/>
      <c r="N1656" s="8" t="n"/>
      <c r="O1656" s="8" t="n"/>
      <c r="P1656" s="8" t="n"/>
      <c r="Q1656" s="7" t="inlineStr">
        <is>
          <t>SEM COTAÇÃO</t>
        </is>
      </c>
      <c r="R1656" s="8" t="n"/>
      <c r="S1656" s="14" t="n"/>
      <c r="T1656" s="7" t="inlineStr"/>
      <c r="U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8" t="n"/>
      <c r="M1657" s="8" t="n"/>
      <c r="N1657" s="8" t="n"/>
      <c r="O1657" s="8" t="n"/>
      <c r="P1657" s="8" t="n"/>
      <c r="Q1657" s="7" t="inlineStr">
        <is>
          <t>SEM COTAÇÃO</t>
        </is>
      </c>
      <c r="R1657" s="8" t="n"/>
      <c r="S1657" s="14" t="n"/>
      <c r="T1657" s="7" t="inlineStr"/>
      <c r="U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8" t="n"/>
      <c r="M1658" s="8" t="n"/>
      <c r="N1658" s="8" t="n"/>
      <c r="O1658" s="8" t="n"/>
      <c r="P1658" s="8" t="n"/>
      <c r="Q1658" s="7" t="inlineStr">
        <is>
          <t>SEM COTAÇÃO</t>
        </is>
      </c>
      <c r="R1658" s="8" t="n"/>
      <c r="S1658" s="14" t="n"/>
      <c r="T1658" s="7" t="inlineStr"/>
      <c r="U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8" t="n"/>
      <c r="M1659" s="8" t="n"/>
      <c r="N1659" s="8" t="n"/>
      <c r="O1659" s="8" t="n"/>
      <c r="P1659" s="8" t="n"/>
      <c r="Q1659" s="7" t="inlineStr">
        <is>
          <t>SEM COTAÇÃO</t>
        </is>
      </c>
      <c r="R1659" s="8" t="n"/>
      <c r="S1659" s="14" t="n"/>
      <c r="T1659" s="7" t="inlineStr"/>
      <c r="U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8" t="n"/>
      <c r="M1660" s="8" t="n"/>
      <c r="N1660" s="8" t="n"/>
      <c r="O1660" s="8" t="n"/>
      <c r="P1660" s="8" t="n"/>
      <c r="Q1660" s="7" t="inlineStr">
        <is>
          <t>SEM COTAÇÃO</t>
        </is>
      </c>
      <c r="R1660" s="8" t="n"/>
      <c r="S1660" s="14" t="n"/>
      <c r="T1660" s="7" t="inlineStr"/>
      <c r="U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8" t="n"/>
      <c r="M1661" s="8" t="n"/>
      <c r="N1661" s="8" t="n"/>
      <c r="O1661" s="8" t="n"/>
      <c r="P1661" s="8" t="n"/>
      <c r="Q1661" s="7" t="inlineStr">
        <is>
          <t>SEM COTAÇÃO</t>
        </is>
      </c>
      <c r="R1661" s="8" t="n"/>
      <c r="S1661" s="14" t="n"/>
      <c r="T1661" s="7" t="inlineStr"/>
      <c r="U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8" t="n"/>
      <c r="M1662" s="8" t="n"/>
      <c r="N1662" s="8" t="n"/>
      <c r="O1662" s="8" t="n"/>
      <c r="P1662" s="8" t="n"/>
      <c r="Q1662" s="7" t="inlineStr">
        <is>
          <t>SEM COTAÇÃO</t>
        </is>
      </c>
      <c r="R1662" s="8" t="n"/>
      <c r="S1662" s="14" t="n"/>
      <c r="T1662" s="7" t="inlineStr"/>
      <c r="U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8" t="n"/>
      <c r="M1663" s="8" t="n"/>
      <c r="N1663" s="8" t="n"/>
      <c r="O1663" s="8" t="n">
        <v>7.78</v>
      </c>
      <c r="P1663" s="8" t="n"/>
      <c r="Q1663" s="7" t="inlineStr">
        <is>
          <t>SEM COTAÇÃO</t>
        </is>
      </c>
      <c r="R1663" s="8" t="n"/>
      <c r="S1663" s="14" t="n"/>
      <c r="T1663" s="7" t="inlineStr"/>
      <c r="U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7" t="inlineStr">
        <is>
          <t>SEM COTAÇÃO</t>
        </is>
      </c>
      <c r="R1664" s="8" t="n"/>
      <c r="S1664" s="14" t="n"/>
      <c r="T1664" s="7" t="inlineStr"/>
      <c r="U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8" t="n"/>
      <c r="M1665" s="8" t="n"/>
      <c r="N1665" s="8" t="n"/>
      <c r="O1665" s="8" t="n"/>
      <c r="P1665" s="8" t="n"/>
      <c r="Q1665" s="7" t="inlineStr">
        <is>
          <t>SEM COTAÇÃO</t>
        </is>
      </c>
      <c r="R1665" s="8" t="n"/>
      <c r="S1665" s="14" t="n"/>
      <c r="T1665" s="7" t="inlineStr"/>
      <c r="U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8" t="n"/>
      <c r="M1666" s="8" t="n"/>
      <c r="N1666" s="8" t="n"/>
      <c r="O1666" s="8" t="n"/>
      <c r="P1666" s="8" t="n"/>
      <c r="Q1666" s="7" t="inlineStr">
        <is>
          <t>SEM COTAÇÃO</t>
        </is>
      </c>
      <c r="R1666" s="8" t="n"/>
      <c r="S1666" s="14" t="n"/>
      <c r="T1666" s="7" t="inlineStr"/>
      <c r="U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8" t="n"/>
      <c r="M1667" s="8" t="n"/>
      <c r="N1667" s="8" t="n"/>
      <c r="O1667" s="8" t="n">
        <v>12.5376</v>
      </c>
      <c r="P1667" s="8" t="n"/>
      <c r="Q1667" s="7" t="inlineStr">
        <is>
          <t>SEM COTAÇÃO</t>
        </is>
      </c>
      <c r="R1667" s="8" t="n"/>
      <c r="S1667" s="14" t="n"/>
      <c r="T1667" s="7" t="inlineStr"/>
      <c r="U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8" t="n"/>
      <c r="M1668" s="8" t="n"/>
      <c r="N1668" s="8" t="n"/>
      <c r="O1668" s="8" t="n"/>
      <c r="P1668" s="8" t="n"/>
      <c r="Q1668" s="7" t="inlineStr">
        <is>
          <t>SEM COTAÇÃO</t>
        </is>
      </c>
      <c r="R1668" s="8" t="n"/>
      <c r="S1668" s="14" t="n"/>
      <c r="T1668" s="7" t="inlineStr"/>
      <c r="U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8" t="n"/>
      <c r="M1669" s="8" t="n"/>
      <c r="N1669" s="8" t="n"/>
      <c r="O1669" s="8" t="n"/>
      <c r="P1669" s="8" t="n"/>
      <c r="Q1669" s="7" t="inlineStr">
        <is>
          <t>SEM COTAÇÃO</t>
        </is>
      </c>
      <c r="R1669" s="8" t="n"/>
      <c r="S1669" s="14" t="n"/>
      <c r="T1669" s="7" t="inlineStr"/>
      <c r="U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8" t="n"/>
      <c r="M1670" s="8" t="n"/>
      <c r="N1670" s="8" t="n"/>
      <c r="O1670" s="8" t="n"/>
      <c r="P1670" s="8" t="n"/>
      <c r="Q1670" s="7" t="inlineStr">
        <is>
          <t>SEM COTAÇÃO</t>
        </is>
      </c>
      <c r="R1670" s="8" t="n"/>
      <c r="S1670" s="14" t="n"/>
      <c r="T1670" s="7" t="inlineStr"/>
      <c r="U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8" t="n"/>
      <c r="M1671" s="8" t="n"/>
      <c r="N1671" s="8" t="n"/>
      <c r="O1671" s="8" t="n"/>
      <c r="P1671" s="8" t="n"/>
      <c r="Q1671" s="7" t="inlineStr">
        <is>
          <t>SEM COTAÇÃO</t>
        </is>
      </c>
      <c r="R1671" s="8" t="n"/>
      <c r="S1671" s="14" t="n"/>
      <c r="T1671" s="7" t="inlineStr"/>
      <c r="U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8" t="n"/>
      <c r="M1672" s="8" t="n"/>
      <c r="N1672" s="8" t="n"/>
      <c r="O1672" s="8" t="n"/>
      <c r="P1672" s="8" t="n"/>
      <c r="Q1672" s="7" t="inlineStr">
        <is>
          <t>SEM COTAÇÃO</t>
        </is>
      </c>
      <c r="R1672" s="8" t="n"/>
      <c r="S1672" s="14" t="n"/>
      <c r="T1672" s="7" t="inlineStr"/>
      <c r="U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8" t="n"/>
      <c r="M1673" s="8" t="n"/>
      <c r="N1673" s="8" t="n"/>
      <c r="O1673" s="8" t="n"/>
      <c r="P1673" s="8" t="n"/>
      <c r="Q1673" s="7" t="inlineStr">
        <is>
          <t>SEM COTAÇÃO</t>
        </is>
      </c>
      <c r="R1673" s="8" t="n"/>
      <c r="S1673" s="14" t="n"/>
      <c r="T1673" s="7" t="inlineStr"/>
      <c r="U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8" t="n"/>
      <c r="M1674" s="8" t="n"/>
      <c r="N1674" s="8" t="n"/>
      <c r="O1674" s="8" t="n"/>
      <c r="P1674" s="8" t="n"/>
      <c r="Q1674" s="7" t="inlineStr">
        <is>
          <t>SEM COTAÇÃO</t>
        </is>
      </c>
      <c r="R1674" s="8" t="n"/>
      <c r="S1674" s="14" t="n"/>
      <c r="T1674" s="7" t="inlineStr"/>
      <c r="U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8" t="n"/>
      <c r="M1675" s="8" t="n"/>
      <c r="N1675" s="8" t="n"/>
      <c r="O1675" s="8" t="n"/>
      <c r="P1675" s="8" t="n"/>
      <c r="Q1675" s="7" t="inlineStr">
        <is>
          <t>SEM COTAÇÃO</t>
        </is>
      </c>
      <c r="R1675" s="8" t="n"/>
      <c r="S1675" s="14" t="n"/>
      <c r="T1675" s="7" t="inlineStr"/>
      <c r="U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8" t="n"/>
      <c r="M1676" s="8" t="n"/>
      <c r="N1676" s="8" t="n"/>
      <c r="O1676" s="8" t="n"/>
      <c r="P1676" s="8" t="n"/>
      <c r="Q1676" s="7" t="inlineStr">
        <is>
          <t>SEM COTAÇÃO</t>
        </is>
      </c>
      <c r="R1676" s="8" t="n"/>
      <c r="S1676" s="14" t="n"/>
      <c r="T1676" s="7" t="inlineStr"/>
      <c r="U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8" t="n"/>
      <c r="M1677" s="8" t="n"/>
      <c r="N1677" s="8" t="n"/>
      <c r="O1677" s="8" t="n"/>
      <c r="P1677" s="8" t="n"/>
      <c r="Q1677" s="7" t="inlineStr">
        <is>
          <t>SEM COTAÇÃO</t>
        </is>
      </c>
      <c r="R1677" s="8" t="n"/>
      <c r="S1677" s="14" t="n"/>
      <c r="T1677" s="7" t="inlineStr"/>
      <c r="U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8" t="n"/>
      <c r="M1678" s="8" t="n"/>
      <c r="N1678" s="8" t="n"/>
      <c r="O1678" s="8" t="n"/>
      <c r="P1678" s="8" t="n"/>
      <c r="Q1678" s="7" t="inlineStr">
        <is>
          <t>SEM COTAÇÃO</t>
        </is>
      </c>
      <c r="R1678" s="8" t="n"/>
      <c r="S1678" s="14" t="n"/>
      <c r="T1678" s="7" t="inlineStr"/>
      <c r="U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8" t="n"/>
      <c r="M1679" s="8" t="n"/>
      <c r="N1679" s="8" t="n"/>
      <c r="O1679" s="8" t="n"/>
      <c r="P1679" s="8" t="n"/>
      <c r="Q1679" s="7" t="inlineStr">
        <is>
          <t>SEM COTAÇÃO</t>
        </is>
      </c>
      <c r="R1679" s="8" t="n"/>
      <c r="S1679" s="14" t="n"/>
      <c r="T1679" s="7" t="inlineStr"/>
      <c r="U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8" t="n"/>
      <c r="M1680" s="8" t="n"/>
      <c r="N1680" s="8" t="n"/>
      <c r="O1680" s="8" t="n"/>
      <c r="P1680" s="8" t="n"/>
      <c r="Q1680" s="7" t="inlineStr">
        <is>
          <t>SEM COTAÇÃO</t>
        </is>
      </c>
      <c r="R1680" s="8" t="n"/>
      <c r="S1680" s="14" t="n"/>
      <c r="T1680" s="7" t="inlineStr"/>
      <c r="U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8" t="n"/>
      <c r="M1681" s="8" t="n"/>
      <c r="N1681" s="8" t="n"/>
      <c r="O1681" s="8" t="n"/>
      <c r="P1681" s="8" t="n"/>
      <c r="Q1681" s="7" t="inlineStr">
        <is>
          <t>SEM COTAÇÃO</t>
        </is>
      </c>
      <c r="R1681" s="8" t="n"/>
      <c r="S1681" s="14" t="n"/>
      <c r="T1681" s="7" t="inlineStr"/>
      <c r="U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8" t="n"/>
      <c r="M1682" s="8" t="n"/>
      <c r="N1682" s="8" t="n"/>
      <c r="O1682" s="15" t="n">
        <v>18.95</v>
      </c>
      <c r="P1682" s="8" t="n"/>
      <c r="Q1682" s="7" t="inlineStr">
        <is>
          <t>NAZARIA</t>
        </is>
      </c>
      <c r="R1682" s="8" t="n">
        <v>18.95</v>
      </c>
      <c r="S1682" s="14">
        <f>R1682/H1682-1</f>
        <v/>
      </c>
      <c r="T1682" s="16" t="inlineStr">
        <is>
          <t>ACIMA +27.9%</t>
        </is>
      </c>
      <c r="U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8" t="n"/>
      <c r="M1683" s="8" t="n"/>
      <c r="N1683" s="8" t="n"/>
      <c r="O1683" s="8" t="n">
        <v>6.87</v>
      </c>
      <c r="P1683" s="8" t="n"/>
      <c r="Q1683" s="7" t="inlineStr">
        <is>
          <t>SEM COTAÇÃO</t>
        </is>
      </c>
      <c r="R1683" s="8" t="n"/>
      <c r="S1683" s="14" t="n"/>
      <c r="T1683" s="7" t="inlineStr"/>
      <c r="U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8" t="n"/>
      <c r="M1684" s="8" t="n"/>
      <c r="N1684" s="8" t="n"/>
      <c r="O1684" s="8" t="n">
        <v>6.87</v>
      </c>
      <c r="P1684" s="8" t="n"/>
      <c r="Q1684" s="7" t="inlineStr">
        <is>
          <t>SEM COTAÇÃO</t>
        </is>
      </c>
      <c r="R1684" s="8" t="n"/>
      <c r="S1684" s="14" t="n"/>
      <c r="T1684" s="7" t="inlineStr"/>
      <c r="U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8" t="n"/>
      <c r="M1685" s="8" t="n"/>
      <c r="N1685" s="8" t="n"/>
      <c r="O1685" s="8" t="n"/>
      <c r="P1685" s="8" t="n"/>
      <c r="Q1685" s="7" t="inlineStr">
        <is>
          <t>SEM COTAÇÃO</t>
        </is>
      </c>
      <c r="R1685" s="8" t="n"/>
      <c r="S1685" s="14" t="n"/>
      <c r="T1685" s="7" t="inlineStr"/>
      <c r="U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8" t="n"/>
      <c r="M1686" s="8" t="n"/>
      <c r="N1686" s="8" t="n"/>
      <c r="O1686" s="8" t="n"/>
      <c r="P1686" s="8" t="n"/>
      <c r="Q1686" s="7" t="inlineStr">
        <is>
          <t>SEM COTAÇÃO</t>
        </is>
      </c>
      <c r="R1686" s="8" t="n"/>
      <c r="S1686" s="14" t="n"/>
      <c r="T1686" s="7" t="inlineStr"/>
      <c r="U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8" t="n"/>
      <c r="M1687" s="8" t="n"/>
      <c r="N1687" s="8" t="n"/>
      <c r="O1687" s="8" t="n"/>
      <c r="P1687" s="8" t="n"/>
      <c r="Q1687" s="7" t="inlineStr">
        <is>
          <t>SEM COTAÇÃO</t>
        </is>
      </c>
      <c r="R1687" s="8" t="n"/>
      <c r="S1687" s="14" t="n"/>
      <c r="T1687" s="7" t="inlineStr"/>
      <c r="U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8" t="n"/>
      <c r="M1688" s="8" t="n"/>
      <c r="N1688" s="8" t="n"/>
      <c r="O1688" s="8" t="n"/>
      <c r="P1688" s="8" t="n"/>
      <c r="Q1688" s="7" t="inlineStr">
        <is>
          <t>SEM COTAÇÃO</t>
        </is>
      </c>
      <c r="R1688" s="8" t="n"/>
      <c r="S1688" s="14" t="n"/>
      <c r="T1688" s="7" t="inlineStr"/>
      <c r="U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8" t="n"/>
      <c r="M1689" s="8" t="n"/>
      <c r="N1689" s="8" t="n"/>
      <c r="O1689" s="8" t="n"/>
      <c r="P1689" s="8" t="n"/>
      <c r="Q1689" s="7" t="inlineStr">
        <is>
          <t>SEM COTAÇÃO</t>
        </is>
      </c>
      <c r="R1689" s="8" t="n"/>
      <c r="S1689" s="14" t="n"/>
      <c r="T1689" s="7" t="inlineStr"/>
      <c r="U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8" t="n"/>
      <c r="M1690" s="8" t="n"/>
      <c r="N1690" s="8" t="n"/>
      <c r="O1690" s="8" t="n"/>
      <c r="P1690" s="8" t="n"/>
      <c r="Q1690" s="7" t="inlineStr">
        <is>
          <t>SEM COTAÇÃO</t>
        </is>
      </c>
      <c r="R1690" s="8" t="n"/>
      <c r="S1690" s="14" t="n"/>
      <c r="T1690" s="7" t="inlineStr"/>
      <c r="U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8" t="n"/>
      <c r="M1691" s="8" t="n"/>
      <c r="N1691" s="8" t="n"/>
      <c r="O1691" s="8" t="n"/>
      <c r="P1691" s="8" t="n"/>
      <c r="Q1691" s="7" t="inlineStr">
        <is>
          <t>SEM COTAÇÃO</t>
        </is>
      </c>
      <c r="R1691" s="8" t="n"/>
      <c r="S1691" s="14" t="n"/>
      <c r="T1691" s="7" t="inlineStr"/>
      <c r="U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8" t="n"/>
      <c r="M1692" s="8" t="n"/>
      <c r="N1692" s="8" t="n"/>
      <c r="O1692" s="8" t="n"/>
      <c r="P1692" s="8" t="n"/>
      <c r="Q1692" s="7" t="inlineStr">
        <is>
          <t>SEM COTAÇÃO</t>
        </is>
      </c>
      <c r="R1692" s="8" t="n"/>
      <c r="S1692" s="14" t="n"/>
      <c r="T1692" s="7" t="inlineStr"/>
      <c r="U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8" t="n"/>
      <c r="M1693" s="8" t="n"/>
      <c r="N1693" s="8" t="n"/>
      <c r="O1693" s="8" t="n"/>
      <c r="P1693" s="8" t="n"/>
      <c r="Q1693" s="7" t="inlineStr">
        <is>
          <t>SEM COTAÇÃO</t>
        </is>
      </c>
      <c r="R1693" s="8" t="n"/>
      <c r="S1693" s="14" t="n"/>
      <c r="T1693" s="7" t="inlineStr"/>
      <c r="U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8" t="n"/>
      <c r="M1694" s="8" t="n"/>
      <c r="N1694" s="8" t="n"/>
      <c r="O1694" s="8" t="n"/>
      <c r="P1694" s="8" t="n"/>
      <c r="Q1694" s="7" t="inlineStr">
        <is>
          <t>SEM COTAÇÃO</t>
        </is>
      </c>
      <c r="R1694" s="8" t="n"/>
      <c r="S1694" s="14" t="n"/>
      <c r="T1694" s="7" t="inlineStr"/>
      <c r="U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8" t="n"/>
      <c r="M1695" s="8" t="n"/>
      <c r="N1695" s="8" t="n"/>
      <c r="O1695" s="8" t="n"/>
      <c r="P1695" s="8" t="n"/>
      <c r="Q1695" s="7" t="inlineStr">
        <is>
          <t>SEM COTAÇÃO</t>
        </is>
      </c>
      <c r="R1695" s="8" t="n"/>
      <c r="S1695" s="14" t="n"/>
      <c r="T1695" s="7" t="inlineStr"/>
      <c r="U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8" t="n"/>
      <c r="M1696" s="8" t="n"/>
      <c r="N1696" s="8" t="n"/>
      <c r="O1696" s="15" t="n">
        <v>6.87</v>
      </c>
      <c r="P1696" s="8" t="n"/>
      <c r="Q1696" s="7" t="inlineStr">
        <is>
          <t>NAZARIA</t>
        </is>
      </c>
      <c r="R1696" s="8" t="n">
        <v>6.87</v>
      </c>
      <c r="S1696" s="14">
        <f>R1696/H1696-1</f>
        <v/>
      </c>
      <c r="T1696" s="16" t="inlineStr">
        <is>
          <t>ACIMA +17.5%</t>
        </is>
      </c>
      <c r="U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8" t="n"/>
      <c r="M1697" s="8" t="n"/>
      <c r="N1697" s="8" t="n"/>
      <c r="O1697" s="8" t="n"/>
      <c r="P1697" s="8" t="n"/>
      <c r="Q1697" s="7" t="inlineStr">
        <is>
          <t>SEM COTAÇÃO</t>
        </is>
      </c>
      <c r="R1697" s="8" t="n"/>
      <c r="S1697" s="14" t="n"/>
      <c r="T1697" s="7" t="inlineStr"/>
      <c r="U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8" t="n"/>
      <c r="M1698" s="8" t="n"/>
      <c r="N1698" s="8" t="n"/>
      <c r="O1698" s="8" t="n"/>
      <c r="P1698" s="8" t="n"/>
      <c r="Q1698" s="7" t="inlineStr">
        <is>
          <t>SEM COTAÇÃO</t>
        </is>
      </c>
      <c r="R1698" s="8" t="n"/>
      <c r="S1698" s="14" t="n"/>
      <c r="T1698" s="7" t="inlineStr"/>
      <c r="U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8" t="n"/>
      <c r="M1699" s="8" t="n"/>
      <c r="N1699" s="8" t="n"/>
      <c r="O1699" s="8" t="n"/>
      <c r="P1699" s="8" t="n"/>
      <c r="Q1699" s="7" t="inlineStr">
        <is>
          <t>SEM COTAÇÃO</t>
        </is>
      </c>
      <c r="R1699" s="8" t="n"/>
      <c r="S1699" s="14" t="n"/>
      <c r="T1699" s="7" t="inlineStr"/>
      <c r="U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8" t="n"/>
      <c r="M1700" s="8" t="n"/>
      <c r="N1700" s="8" t="n"/>
      <c r="O1700" s="8" t="n"/>
      <c r="P1700" s="8" t="n"/>
      <c r="Q1700" s="7" t="inlineStr">
        <is>
          <t>SEM COTAÇÃO</t>
        </is>
      </c>
      <c r="R1700" s="8" t="n"/>
      <c r="S1700" s="14" t="n"/>
      <c r="T1700" s="7" t="inlineStr"/>
      <c r="U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8" t="n"/>
      <c r="M1701" s="8" t="n"/>
      <c r="N1701" s="8" t="n"/>
      <c r="O1701" s="8" t="n"/>
      <c r="P1701" s="8" t="n"/>
      <c r="Q1701" s="7" t="inlineStr">
        <is>
          <t>SEM COTAÇÃO</t>
        </is>
      </c>
      <c r="R1701" s="8" t="n"/>
      <c r="S1701" s="14" t="n"/>
      <c r="T1701" s="7" t="inlineStr"/>
      <c r="U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8" t="n"/>
      <c r="M1702" s="8" t="n"/>
      <c r="N1702" s="8" t="n"/>
      <c r="O1702" s="8" t="n"/>
      <c r="P1702" s="8" t="n"/>
      <c r="Q1702" s="7" t="inlineStr">
        <is>
          <t>SEM COTAÇÃO</t>
        </is>
      </c>
      <c r="R1702" s="8" t="n"/>
      <c r="S1702" s="14" t="n"/>
      <c r="T1702" s="7" t="inlineStr"/>
      <c r="U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8" t="n"/>
      <c r="M1703" s="8" t="n"/>
      <c r="N1703" s="8" t="n"/>
      <c r="O1703" s="15" t="n">
        <v>5.35</v>
      </c>
      <c r="P1703" s="8" t="n"/>
      <c r="Q1703" s="7" t="inlineStr">
        <is>
          <t>NAZARIA</t>
        </is>
      </c>
      <c r="R1703" s="8" t="n">
        <v>5.35</v>
      </c>
      <c r="S1703" s="14">
        <f>R1703/H1703-1</f>
        <v/>
      </c>
      <c r="T1703" s="17" t="inlineStr">
        <is>
          <t>OK (≤ menor hist.)</t>
        </is>
      </c>
      <c r="U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8" t="n"/>
      <c r="M1704" s="8" t="n"/>
      <c r="N1704" s="8" t="n"/>
      <c r="O1704" s="8" t="n"/>
      <c r="P1704" s="8" t="n"/>
      <c r="Q1704" s="7" t="inlineStr">
        <is>
          <t>SEM COTAÇÃO</t>
        </is>
      </c>
      <c r="R1704" s="8" t="n"/>
      <c r="S1704" s="14" t="n"/>
      <c r="T1704" s="7" t="inlineStr"/>
      <c r="U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8" t="n"/>
      <c r="M1705" s="8" t="n"/>
      <c r="N1705" s="8" t="n"/>
      <c r="O1705" s="8" t="n"/>
      <c r="P1705" s="8" t="n"/>
      <c r="Q1705" s="7" t="inlineStr">
        <is>
          <t>SEM COTAÇÃO</t>
        </is>
      </c>
      <c r="R1705" s="8" t="n"/>
      <c r="S1705" s="14" t="n"/>
      <c r="T1705" s="7" t="inlineStr"/>
      <c r="U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8" t="n"/>
      <c r="M1706" s="8" t="n"/>
      <c r="N1706" s="8" t="n"/>
      <c r="O1706" s="8" t="n"/>
      <c r="P1706" s="8" t="n"/>
      <c r="Q1706" s="7" t="inlineStr">
        <is>
          <t>SEM COTAÇÃO</t>
        </is>
      </c>
      <c r="R1706" s="8" t="n"/>
      <c r="S1706" s="14" t="n"/>
      <c r="T1706" s="7" t="inlineStr"/>
      <c r="U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8" t="n"/>
      <c r="M1707" s="8" t="n"/>
      <c r="N1707" s="8" t="n"/>
      <c r="O1707" s="8" t="n"/>
      <c r="P1707" s="8" t="n"/>
      <c r="Q1707" s="7" t="inlineStr">
        <is>
          <t>SEM COTAÇÃO</t>
        </is>
      </c>
      <c r="R1707" s="8" t="n"/>
      <c r="S1707" s="14" t="n"/>
      <c r="T1707" s="7" t="inlineStr"/>
      <c r="U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8" t="n"/>
      <c r="M1708" s="8" t="n"/>
      <c r="N1708" s="8" t="n"/>
      <c r="O1708" s="8" t="n"/>
      <c r="P1708" s="8" t="n"/>
      <c r="Q1708" s="7" t="inlineStr">
        <is>
          <t>SEM COTAÇÃO</t>
        </is>
      </c>
      <c r="R1708" s="8" t="n"/>
      <c r="S1708" s="14" t="n"/>
      <c r="T1708" s="7" t="inlineStr"/>
      <c r="U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8" t="n"/>
      <c r="M1709" s="8" t="n"/>
      <c r="N1709" s="8" t="n"/>
      <c r="O1709" s="8" t="n"/>
      <c r="P1709" s="8" t="n"/>
      <c r="Q1709" s="7" t="inlineStr">
        <is>
          <t>SEM COTAÇÃO</t>
        </is>
      </c>
      <c r="R1709" s="8" t="n"/>
      <c r="S1709" s="14" t="n"/>
      <c r="T1709" s="7" t="inlineStr"/>
      <c r="U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8" t="n"/>
      <c r="M1710" s="8" t="n"/>
      <c r="N1710" s="8" t="n"/>
      <c r="O1710" s="8" t="n"/>
      <c r="P1710" s="8" t="n"/>
      <c r="Q1710" s="7" t="inlineStr">
        <is>
          <t>SEM COTAÇÃO</t>
        </is>
      </c>
      <c r="R1710" s="8" t="n"/>
      <c r="S1710" s="14" t="n"/>
      <c r="T1710" s="7" t="inlineStr"/>
      <c r="U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8" t="n"/>
      <c r="M1711" s="8" t="n"/>
      <c r="N1711" s="8" t="n"/>
      <c r="O1711" s="8" t="n"/>
      <c r="P1711" s="8" t="n"/>
      <c r="Q1711" s="7" t="inlineStr">
        <is>
          <t>SEM COTAÇÃO</t>
        </is>
      </c>
      <c r="R1711" s="8" t="n"/>
      <c r="S1711" s="14" t="n"/>
      <c r="T1711" s="7" t="inlineStr"/>
      <c r="U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8" t="n"/>
      <c r="M1712" s="8" t="n"/>
      <c r="N1712" s="8" t="n"/>
      <c r="O1712" s="8" t="n"/>
      <c r="P1712" s="8" t="n"/>
      <c r="Q1712" s="7" t="inlineStr">
        <is>
          <t>SEM COTAÇÃO</t>
        </is>
      </c>
      <c r="R1712" s="8" t="n"/>
      <c r="S1712" s="14" t="n"/>
      <c r="T1712" s="7" t="inlineStr"/>
      <c r="U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8" t="n"/>
      <c r="M1713" s="8" t="n"/>
      <c r="N1713" s="8" t="n"/>
      <c r="O1713" s="8" t="n"/>
      <c r="P1713" s="8" t="n"/>
      <c r="Q1713" s="7" t="inlineStr">
        <is>
          <t>SEM COTAÇÃO</t>
        </is>
      </c>
      <c r="R1713" s="8" t="n"/>
      <c r="S1713" s="14" t="n"/>
      <c r="T1713" s="7" t="inlineStr"/>
      <c r="U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8" t="n"/>
      <c r="M1714" s="8" t="n"/>
      <c r="N1714" s="8" t="n"/>
      <c r="O1714" s="8" t="n"/>
      <c r="P1714" s="8" t="n"/>
      <c r="Q1714" s="7" t="inlineStr">
        <is>
          <t>SEM COTAÇÃO</t>
        </is>
      </c>
      <c r="R1714" s="8" t="n"/>
      <c r="S1714" s="14" t="n"/>
      <c r="T1714" s="7" t="inlineStr"/>
      <c r="U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8" t="n"/>
      <c r="M1715" s="8" t="n"/>
      <c r="N1715" s="8" t="n"/>
      <c r="O1715" s="8" t="n"/>
      <c r="P1715" s="8" t="n"/>
      <c r="Q1715" s="7" t="inlineStr">
        <is>
          <t>SEM COTAÇÃO</t>
        </is>
      </c>
      <c r="R1715" s="8" t="n"/>
      <c r="S1715" s="14" t="n"/>
      <c r="T1715" s="7" t="inlineStr"/>
      <c r="U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8" t="n"/>
      <c r="M1716" s="8" t="n"/>
      <c r="N1716" s="8" t="n"/>
      <c r="O1716" s="8" t="n"/>
      <c r="P1716" s="8" t="n"/>
      <c r="Q1716" s="7" t="inlineStr">
        <is>
          <t>SEM COTAÇÃO</t>
        </is>
      </c>
      <c r="R1716" s="8" t="n"/>
      <c r="S1716" s="14" t="n"/>
      <c r="T1716" s="7" t="inlineStr"/>
      <c r="U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8" t="n"/>
      <c r="M1717" s="8" t="n"/>
      <c r="N1717" s="8" t="n"/>
      <c r="O1717" s="8" t="n"/>
      <c r="P1717" s="8" t="n"/>
      <c r="Q1717" s="7" t="inlineStr">
        <is>
          <t>SEM COTAÇÃO</t>
        </is>
      </c>
      <c r="R1717" s="8" t="n"/>
      <c r="S1717" s="14" t="n"/>
      <c r="T1717" s="7" t="inlineStr"/>
      <c r="U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8" t="n"/>
      <c r="M1718" s="8" t="n"/>
      <c r="N1718" s="8" t="n"/>
      <c r="O1718" s="8" t="n"/>
      <c r="P1718" s="8" t="n"/>
      <c r="Q1718" s="7" t="inlineStr">
        <is>
          <t>SEM COTAÇÃO</t>
        </is>
      </c>
      <c r="R1718" s="8" t="n"/>
      <c r="S1718" s="14" t="n"/>
      <c r="T1718" s="7" t="inlineStr"/>
      <c r="U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8" t="n"/>
      <c r="M1719" s="8" t="n"/>
      <c r="N1719" s="8" t="n"/>
      <c r="O1719" s="8" t="n"/>
      <c r="P1719" s="8" t="n"/>
      <c r="Q1719" s="7" t="inlineStr">
        <is>
          <t>SEM COTAÇÃO</t>
        </is>
      </c>
      <c r="R1719" s="8" t="n"/>
      <c r="S1719" s="14" t="n"/>
      <c r="T1719" s="7" t="inlineStr"/>
      <c r="U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8" t="n"/>
      <c r="M1720" s="8" t="n"/>
      <c r="N1720" s="8" t="n"/>
      <c r="O1720" s="8" t="n"/>
      <c r="P1720" s="8" t="n"/>
      <c r="Q1720" s="7" t="inlineStr">
        <is>
          <t>SEM COTAÇÃO</t>
        </is>
      </c>
      <c r="R1720" s="8" t="n"/>
      <c r="S1720" s="14" t="n"/>
      <c r="T1720" s="7" t="inlineStr"/>
      <c r="U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8" t="n"/>
      <c r="M1721" s="8" t="n"/>
      <c r="N1721" s="8" t="n"/>
      <c r="O1721" s="8" t="n"/>
      <c r="P1721" s="8" t="n"/>
      <c r="Q1721" s="7" t="inlineStr">
        <is>
          <t>SEM COTAÇÃO</t>
        </is>
      </c>
      <c r="R1721" s="8" t="n"/>
      <c r="S1721" s="14" t="n"/>
      <c r="T1721" s="7" t="inlineStr"/>
      <c r="U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8" t="n"/>
      <c r="M1722" s="8" t="n"/>
      <c r="N1722" s="8" t="n"/>
      <c r="O1722" s="8" t="n"/>
      <c r="P1722" s="8" t="n"/>
      <c r="Q1722" s="7" t="inlineStr">
        <is>
          <t>SEM COTAÇÃO</t>
        </is>
      </c>
      <c r="R1722" s="8" t="n"/>
      <c r="S1722" s="14" t="n"/>
      <c r="T1722" s="7" t="inlineStr"/>
      <c r="U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8" t="n"/>
      <c r="M1723" s="8" t="n"/>
      <c r="N1723" s="8" t="n"/>
      <c r="O1723" s="8" t="n"/>
      <c r="P1723" s="8" t="n"/>
      <c r="Q1723" s="7" t="inlineStr">
        <is>
          <t>SEM COTAÇÃO</t>
        </is>
      </c>
      <c r="R1723" s="8" t="n"/>
      <c r="S1723" s="14" t="n"/>
      <c r="T1723" s="7" t="inlineStr"/>
      <c r="U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8" t="n"/>
      <c r="M1724" s="8" t="n"/>
      <c r="N1724" s="8" t="n"/>
      <c r="O1724" s="8" t="n"/>
      <c r="P1724" s="8" t="n"/>
      <c r="Q1724" s="7" t="inlineStr">
        <is>
          <t>SEM COTAÇÃO</t>
        </is>
      </c>
      <c r="R1724" s="8" t="n"/>
      <c r="S1724" s="14" t="n"/>
      <c r="T1724" s="7" t="inlineStr"/>
      <c r="U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8" t="n"/>
      <c r="M1725" s="8" t="n"/>
      <c r="N1725" s="8" t="n"/>
      <c r="O1725" s="8" t="n"/>
      <c r="P1725" s="8" t="n"/>
      <c r="Q1725" s="7" t="inlineStr">
        <is>
          <t>SEM COTAÇÃO</t>
        </is>
      </c>
      <c r="R1725" s="8" t="n"/>
      <c r="S1725" s="14" t="n"/>
      <c r="T1725" s="7" t="inlineStr"/>
      <c r="U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7" t="inlineStr">
        <is>
          <t>SEM COTAÇÃO</t>
        </is>
      </c>
      <c r="R1726" s="8" t="n"/>
      <c r="S1726" s="14" t="n"/>
      <c r="T1726" s="7" t="inlineStr"/>
      <c r="U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7" t="inlineStr">
        <is>
          <t>SEM COTAÇÃO</t>
        </is>
      </c>
      <c r="R1727" s="8" t="n"/>
      <c r="S1727" s="14" t="n"/>
      <c r="T1727" s="7" t="inlineStr"/>
      <c r="U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8" t="n"/>
      <c r="M1728" s="8" t="n"/>
      <c r="N1728" s="8" t="n"/>
      <c r="O1728" s="8" t="n"/>
      <c r="P1728" s="8" t="n"/>
      <c r="Q1728" s="7" t="inlineStr">
        <is>
          <t>SEM COTAÇÃO</t>
        </is>
      </c>
      <c r="R1728" s="8" t="n"/>
      <c r="S1728" s="14" t="n"/>
      <c r="T1728" s="7" t="inlineStr"/>
      <c r="U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8" t="n"/>
      <c r="M1729" s="8" t="n"/>
      <c r="N1729" s="8" t="n"/>
      <c r="O1729" s="8" t="n"/>
      <c r="P1729" s="8" t="n"/>
      <c r="Q1729" s="7" t="inlineStr">
        <is>
          <t>SEM COTAÇÃO</t>
        </is>
      </c>
      <c r="R1729" s="8" t="n"/>
      <c r="S1729" s="14" t="n"/>
      <c r="T1729" s="7" t="inlineStr"/>
      <c r="U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8" t="n"/>
      <c r="M1730" s="8" t="n"/>
      <c r="N1730" s="8" t="n"/>
      <c r="O1730" s="8" t="n"/>
      <c r="P1730" s="8" t="n"/>
      <c r="Q1730" s="7" t="inlineStr">
        <is>
          <t>SEM COTAÇÃO</t>
        </is>
      </c>
      <c r="R1730" s="8" t="n"/>
      <c r="S1730" s="14" t="n"/>
      <c r="T1730" s="7" t="inlineStr"/>
      <c r="U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8" t="n"/>
      <c r="M1731" s="8" t="n"/>
      <c r="N1731" s="8" t="n"/>
      <c r="O1731" s="8" t="n"/>
      <c r="P1731" s="8" t="n"/>
      <c r="Q1731" s="7" t="inlineStr">
        <is>
          <t>SEM COTAÇÃO</t>
        </is>
      </c>
      <c r="R1731" s="8" t="n"/>
      <c r="S1731" s="14" t="n"/>
      <c r="T1731" s="7" t="inlineStr"/>
      <c r="U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8" t="n"/>
      <c r="M1732" s="8" t="n"/>
      <c r="N1732" s="8" t="n"/>
      <c r="O1732" s="8" t="n"/>
      <c r="P1732" s="8" t="n"/>
      <c r="Q1732" s="7" t="inlineStr">
        <is>
          <t>SEM COTAÇÃO</t>
        </is>
      </c>
      <c r="R1732" s="8" t="n"/>
      <c r="S1732" s="14" t="n"/>
      <c r="T1732" s="7" t="inlineStr"/>
      <c r="U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8" t="n"/>
      <c r="M1733" s="8" t="n"/>
      <c r="N1733" s="8" t="n"/>
      <c r="O1733" s="8" t="n"/>
      <c r="P1733" s="8" t="n"/>
      <c r="Q1733" s="7" t="inlineStr">
        <is>
          <t>SEM COTAÇÃO</t>
        </is>
      </c>
      <c r="R1733" s="8" t="n"/>
      <c r="S1733" s="14" t="n"/>
      <c r="T1733" s="7" t="inlineStr"/>
      <c r="U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8" t="n"/>
      <c r="M1734" s="8" t="n"/>
      <c r="N1734" s="8" t="n"/>
      <c r="O1734" s="8" t="n"/>
      <c r="P1734" s="8" t="n"/>
      <c r="Q1734" s="7" t="inlineStr">
        <is>
          <t>SEM COTAÇÃO</t>
        </is>
      </c>
      <c r="R1734" s="8" t="n"/>
      <c r="S1734" s="14" t="n"/>
      <c r="T1734" s="7" t="inlineStr"/>
      <c r="U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8" t="n"/>
      <c r="M1735" s="8" t="n"/>
      <c r="N1735" s="8" t="n"/>
      <c r="O1735" s="8" t="n"/>
      <c r="P1735" s="8" t="n"/>
      <c r="Q1735" s="7" t="inlineStr">
        <is>
          <t>SEM COTAÇÃO</t>
        </is>
      </c>
      <c r="R1735" s="8" t="n"/>
      <c r="S1735" s="14" t="n"/>
      <c r="T1735" s="7" t="inlineStr"/>
      <c r="U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8" t="n"/>
      <c r="M1736" s="8" t="n"/>
      <c r="N1736" s="8" t="n"/>
      <c r="O1736" s="8" t="n"/>
      <c r="P1736" s="8" t="n"/>
      <c r="Q1736" s="7" t="inlineStr">
        <is>
          <t>SEM COTAÇÃO</t>
        </is>
      </c>
      <c r="R1736" s="8" t="n"/>
      <c r="S1736" s="14" t="n"/>
      <c r="T1736" s="7" t="inlineStr"/>
      <c r="U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8" t="n"/>
      <c r="M1737" s="8" t="n"/>
      <c r="N1737" s="8" t="n"/>
      <c r="O1737" s="8" t="n"/>
      <c r="P1737" s="8" t="n"/>
      <c r="Q1737" s="7" t="inlineStr">
        <is>
          <t>SEM COTAÇÃO</t>
        </is>
      </c>
      <c r="R1737" s="8" t="n"/>
      <c r="S1737" s="14" t="n"/>
      <c r="T1737" s="7" t="inlineStr"/>
      <c r="U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8" t="n"/>
      <c r="M1738" s="8" t="n"/>
      <c r="N1738" s="8" t="n"/>
      <c r="O1738" s="8" t="n"/>
      <c r="P1738" s="8" t="n"/>
      <c r="Q1738" s="7" t="inlineStr">
        <is>
          <t>SEM COTAÇÃO</t>
        </is>
      </c>
      <c r="R1738" s="8" t="n"/>
      <c r="S1738" s="14" t="n"/>
      <c r="T1738" s="7" t="inlineStr"/>
      <c r="U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8" t="n"/>
      <c r="M1739" s="8" t="n"/>
      <c r="N1739" s="8" t="n"/>
      <c r="O1739" s="8" t="n"/>
      <c r="P1739" s="8" t="n"/>
      <c r="Q1739" s="7" t="inlineStr">
        <is>
          <t>SEM COTAÇÃO</t>
        </is>
      </c>
      <c r="R1739" s="8" t="n"/>
      <c r="S1739" s="14" t="n"/>
      <c r="T1739" s="7" t="inlineStr"/>
      <c r="U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8" t="n"/>
      <c r="M1740" s="8" t="n"/>
      <c r="N1740" s="8" t="n"/>
      <c r="O1740" s="8" t="n"/>
      <c r="P1740" s="8" t="n"/>
      <c r="Q1740" s="7" t="inlineStr">
        <is>
          <t>SEM COTAÇÃO</t>
        </is>
      </c>
      <c r="R1740" s="8" t="n"/>
      <c r="S1740" s="14" t="n"/>
      <c r="T1740" s="7" t="inlineStr"/>
      <c r="U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8" t="n"/>
      <c r="M1741" s="8" t="n"/>
      <c r="N1741" s="8" t="n"/>
      <c r="O1741" s="8" t="n"/>
      <c r="P1741" s="8" t="n"/>
      <c r="Q1741" s="7" t="inlineStr">
        <is>
          <t>SEM COTAÇÃO</t>
        </is>
      </c>
      <c r="R1741" s="8" t="n"/>
      <c r="S1741" s="14" t="n"/>
      <c r="T1741" s="7" t="inlineStr"/>
      <c r="U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7" t="inlineStr">
        <is>
          <t>SEM COTAÇÃO</t>
        </is>
      </c>
      <c r="R1742" s="8" t="n"/>
      <c r="S1742" s="14" t="n"/>
      <c r="T1742" s="7" t="inlineStr"/>
      <c r="U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8" t="n"/>
      <c r="M1743" s="8" t="n"/>
      <c r="N1743" s="8" t="n"/>
      <c r="O1743" s="8" t="n"/>
      <c r="P1743" s="8" t="n"/>
      <c r="Q1743" s="7" t="inlineStr">
        <is>
          <t>SEM COTAÇÃO</t>
        </is>
      </c>
      <c r="R1743" s="8" t="n"/>
      <c r="S1743" s="14" t="n"/>
      <c r="T1743" s="7" t="inlineStr"/>
      <c r="U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8" t="n"/>
      <c r="M1744" s="8" t="n"/>
      <c r="N1744" s="8" t="n"/>
      <c r="O1744" s="8" t="n"/>
      <c r="P1744" s="8" t="n"/>
      <c r="Q1744" s="7" t="inlineStr">
        <is>
          <t>SEM COTAÇÃO</t>
        </is>
      </c>
      <c r="R1744" s="8" t="n"/>
      <c r="S1744" s="14" t="n"/>
      <c r="T1744" s="7" t="inlineStr"/>
      <c r="U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8" t="n"/>
      <c r="M1745" s="8" t="n"/>
      <c r="N1745" s="8" t="n"/>
      <c r="O1745" s="8" t="n"/>
      <c r="P1745" s="8" t="n"/>
      <c r="Q1745" s="7" t="inlineStr">
        <is>
          <t>SEM COTAÇÃO</t>
        </is>
      </c>
      <c r="R1745" s="8" t="n"/>
      <c r="S1745" s="14" t="n"/>
      <c r="T1745" s="7" t="inlineStr"/>
      <c r="U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8" t="n"/>
      <c r="M1746" s="8" t="n"/>
      <c r="N1746" s="8" t="n"/>
      <c r="O1746" s="8" t="n"/>
      <c r="P1746" s="8" t="n"/>
      <c r="Q1746" s="7" t="inlineStr">
        <is>
          <t>SEM COTAÇÃO</t>
        </is>
      </c>
      <c r="R1746" s="8" t="n"/>
      <c r="S1746" s="14" t="n"/>
      <c r="T1746" s="7" t="inlineStr"/>
      <c r="U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8" t="n"/>
      <c r="M1747" s="8" t="n"/>
      <c r="N1747" s="8" t="n"/>
      <c r="O1747" s="8" t="n"/>
      <c r="P1747" s="8" t="n"/>
      <c r="Q1747" s="7" t="inlineStr">
        <is>
          <t>SEM COTAÇÃO</t>
        </is>
      </c>
      <c r="R1747" s="8" t="n"/>
      <c r="S1747" s="14" t="n"/>
      <c r="T1747" s="7" t="inlineStr"/>
      <c r="U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8" t="n"/>
      <c r="M1748" s="8" t="n"/>
      <c r="N1748" s="8" t="n"/>
      <c r="O1748" s="8" t="n"/>
      <c r="P1748" s="8" t="n"/>
      <c r="Q1748" s="7" t="inlineStr">
        <is>
          <t>SEM COTAÇÃO</t>
        </is>
      </c>
      <c r="R1748" s="8" t="n"/>
      <c r="S1748" s="14" t="n"/>
      <c r="T1748" s="7" t="inlineStr"/>
      <c r="U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8" t="n"/>
      <c r="M1749" s="8" t="n"/>
      <c r="N1749" s="8" t="n"/>
      <c r="O1749" s="8" t="n"/>
      <c r="P1749" s="8" t="n"/>
      <c r="Q1749" s="7" t="inlineStr">
        <is>
          <t>SEM COTAÇÃO</t>
        </is>
      </c>
      <c r="R1749" s="8" t="n"/>
      <c r="S1749" s="14" t="n"/>
      <c r="T1749" s="7" t="inlineStr"/>
      <c r="U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8" t="n"/>
      <c r="M1750" s="8" t="n"/>
      <c r="N1750" s="8" t="n"/>
      <c r="O1750" s="8" t="n"/>
      <c r="P1750" s="8" t="n"/>
      <c r="Q1750" s="7" t="inlineStr">
        <is>
          <t>SEM COTAÇÃO</t>
        </is>
      </c>
      <c r="R1750" s="8" t="n"/>
      <c r="S1750" s="14" t="n"/>
      <c r="T1750" s="7" t="inlineStr"/>
      <c r="U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8" t="n"/>
      <c r="M1751" s="8" t="n"/>
      <c r="N1751" s="8" t="n"/>
      <c r="O1751" s="8" t="n"/>
      <c r="P1751" s="8" t="n"/>
      <c r="Q1751" s="7" t="inlineStr">
        <is>
          <t>SEM COTAÇÃO</t>
        </is>
      </c>
      <c r="R1751" s="8" t="n"/>
      <c r="S1751" s="14" t="n"/>
      <c r="T1751" s="7" t="inlineStr"/>
      <c r="U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8" t="n"/>
      <c r="M1752" s="8" t="n"/>
      <c r="N1752" s="8" t="n"/>
      <c r="O1752" s="8" t="n"/>
      <c r="P1752" s="8" t="n"/>
      <c r="Q1752" s="7" t="inlineStr">
        <is>
          <t>SEM COTAÇÃO</t>
        </is>
      </c>
      <c r="R1752" s="8" t="n"/>
      <c r="S1752" s="14" t="n"/>
      <c r="T1752" s="7" t="inlineStr"/>
      <c r="U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8" t="n"/>
      <c r="M1753" s="8" t="n"/>
      <c r="N1753" s="8" t="n"/>
      <c r="O1753" s="8" t="n"/>
      <c r="P1753" s="8" t="n"/>
      <c r="Q1753" s="7" t="inlineStr">
        <is>
          <t>SEM COTAÇÃO</t>
        </is>
      </c>
      <c r="R1753" s="8" t="n"/>
      <c r="S1753" s="14" t="n"/>
      <c r="T1753" s="7" t="inlineStr"/>
      <c r="U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8" t="n"/>
      <c r="M1754" s="8" t="n"/>
      <c r="N1754" s="8" t="n"/>
      <c r="O1754" s="8" t="n"/>
      <c r="P1754" s="8" t="n"/>
      <c r="Q1754" s="7" t="inlineStr">
        <is>
          <t>SEM COTAÇÃO</t>
        </is>
      </c>
      <c r="R1754" s="8" t="n"/>
      <c r="S1754" s="14" t="n"/>
      <c r="T1754" s="7" t="inlineStr"/>
      <c r="U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8" t="n"/>
      <c r="M1755" s="8" t="n"/>
      <c r="N1755" s="8" t="n"/>
      <c r="O1755" s="8" t="n"/>
      <c r="P1755" s="8" t="n"/>
      <c r="Q1755" s="7" t="inlineStr">
        <is>
          <t>SEM COTAÇÃO</t>
        </is>
      </c>
      <c r="R1755" s="8" t="n"/>
      <c r="S1755" s="14" t="n"/>
      <c r="T1755" s="7" t="inlineStr"/>
      <c r="U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8" t="n"/>
      <c r="M1756" s="8" t="n"/>
      <c r="N1756" s="8" t="n"/>
      <c r="O1756" s="8" t="n"/>
      <c r="P1756" s="8" t="n"/>
      <c r="Q1756" s="7" t="inlineStr">
        <is>
          <t>SEM COTAÇÃO</t>
        </is>
      </c>
      <c r="R1756" s="8" t="n"/>
      <c r="S1756" s="14" t="n"/>
      <c r="T1756" s="7" t="inlineStr"/>
      <c r="U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7" t="inlineStr">
        <is>
          <t>SEM COTAÇÃO</t>
        </is>
      </c>
      <c r="R1757" s="8" t="n"/>
      <c r="S1757" s="14" t="n"/>
      <c r="T1757" s="7" t="inlineStr"/>
      <c r="U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8" t="n"/>
      <c r="M1758" s="8" t="n"/>
      <c r="N1758" s="8" t="n"/>
      <c r="O1758" s="8" t="n"/>
      <c r="P1758" s="8" t="n"/>
      <c r="Q1758" s="7" t="inlineStr">
        <is>
          <t>SEM COTAÇÃO</t>
        </is>
      </c>
      <c r="R1758" s="8" t="n"/>
      <c r="S1758" s="14" t="n"/>
      <c r="T1758" s="7" t="inlineStr"/>
      <c r="U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8" t="n"/>
      <c r="M1759" s="8" t="n"/>
      <c r="N1759" s="8" t="n"/>
      <c r="O1759" s="8" t="n"/>
      <c r="P1759" s="8" t="n"/>
      <c r="Q1759" s="7" t="inlineStr">
        <is>
          <t>SEM COTAÇÃO</t>
        </is>
      </c>
      <c r="R1759" s="8" t="n"/>
      <c r="S1759" s="14" t="n"/>
      <c r="T1759" s="7" t="inlineStr"/>
      <c r="U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8" t="n"/>
      <c r="M1760" s="8" t="n"/>
      <c r="N1760" s="8" t="n"/>
      <c r="O1760" s="8" t="n"/>
      <c r="P1760" s="8" t="n"/>
      <c r="Q1760" s="7" t="inlineStr">
        <is>
          <t>SEM COTAÇÃO</t>
        </is>
      </c>
      <c r="R1760" s="8" t="n"/>
      <c r="S1760" s="14" t="n"/>
      <c r="T1760" s="7" t="inlineStr"/>
      <c r="U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8" t="n"/>
      <c r="M1761" s="8" t="n"/>
      <c r="N1761" s="8" t="n"/>
      <c r="O1761" s="8" t="n"/>
      <c r="P1761" s="8" t="n"/>
      <c r="Q1761" s="7" t="inlineStr">
        <is>
          <t>SEM COTAÇÃO</t>
        </is>
      </c>
      <c r="R1761" s="8" t="n"/>
      <c r="S1761" s="14" t="n"/>
      <c r="T1761" s="7" t="inlineStr"/>
      <c r="U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8" t="n"/>
      <c r="M1762" s="8" t="n"/>
      <c r="N1762" s="8" t="n"/>
      <c r="O1762" s="8" t="n"/>
      <c r="P1762" s="8" t="n"/>
      <c r="Q1762" s="7" t="inlineStr">
        <is>
          <t>SEM COTAÇÃO</t>
        </is>
      </c>
      <c r="R1762" s="8" t="n"/>
      <c r="S1762" s="14" t="n"/>
      <c r="T1762" s="7" t="inlineStr"/>
      <c r="U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8" t="n"/>
      <c r="M1763" s="8" t="n"/>
      <c r="N1763" s="8" t="n"/>
      <c r="O1763" s="8" t="n"/>
      <c r="P1763" s="8" t="n"/>
      <c r="Q1763" s="7" t="inlineStr">
        <is>
          <t>SEM COTAÇÃO</t>
        </is>
      </c>
      <c r="R1763" s="8" t="n"/>
      <c r="S1763" s="14" t="n"/>
      <c r="T1763" s="7" t="inlineStr"/>
      <c r="U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8" t="n"/>
      <c r="M1764" s="8" t="n"/>
      <c r="N1764" s="8" t="n"/>
      <c r="O1764" s="8" t="n"/>
      <c r="P1764" s="8" t="n"/>
      <c r="Q1764" s="7" t="inlineStr">
        <is>
          <t>SEM COTAÇÃO</t>
        </is>
      </c>
      <c r="R1764" s="8" t="n"/>
      <c r="S1764" s="14" t="n"/>
      <c r="T1764" s="7" t="inlineStr"/>
      <c r="U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8" t="n"/>
      <c r="M1765" s="8" t="n"/>
      <c r="N1765" s="8" t="n"/>
      <c r="O1765" s="8" t="n"/>
      <c r="P1765" s="8" t="n"/>
      <c r="Q1765" s="7" t="inlineStr">
        <is>
          <t>SEM COTAÇÃO</t>
        </is>
      </c>
      <c r="R1765" s="8" t="n"/>
      <c r="S1765" s="14" t="n"/>
      <c r="T1765" s="7" t="inlineStr"/>
      <c r="U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8" t="n"/>
      <c r="M1766" s="8" t="n"/>
      <c r="N1766" s="8" t="n"/>
      <c r="O1766" s="8" t="n"/>
      <c r="P1766" s="8" t="n"/>
      <c r="Q1766" s="7" t="inlineStr">
        <is>
          <t>SEM COTAÇÃO</t>
        </is>
      </c>
      <c r="R1766" s="8" t="n"/>
      <c r="S1766" s="14" t="n"/>
      <c r="T1766" s="7" t="inlineStr"/>
      <c r="U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8" t="n"/>
      <c r="M1767" s="8" t="n"/>
      <c r="N1767" s="8" t="n"/>
      <c r="O1767" s="8" t="n"/>
      <c r="P1767" s="8" t="n"/>
      <c r="Q1767" s="7" t="inlineStr">
        <is>
          <t>SEM COTAÇÃO</t>
        </is>
      </c>
      <c r="R1767" s="8" t="n"/>
      <c r="S1767" s="14" t="n"/>
      <c r="T1767" s="7" t="inlineStr"/>
      <c r="U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8" t="n"/>
      <c r="M1768" s="8" t="n"/>
      <c r="N1768" s="8" t="n"/>
      <c r="O1768" s="8" t="n"/>
      <c r="P1768" s="8" t="n"/>
      <c r="Q1768" s="7" t="inlineStr">
        <is>
          <t>SEM COTAÇÃO</t>
        </is>
      </c>
      <c r="R1768" s="8" t="n"/>
      <c r="S1768" s="14" t="n"/>
      <c r="T1768" s="7" t="inlineStr"/>
      <c r="U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8" t="n"/>
      <c r="M1769" s="8" t="n"/>
      <c r="N1769" s="8" t="n"/>
      <c r="O1769" s="8" t="n"/>
      <c r="P1769" s="8" t="n"/>
      <c r="Q1769" s="7" t="inlineStr">
        <is>
          <t>SEM COTAÇÃO</t>
        </is>
      </c>
      <c r="R1769" s="8" t="n"/>
      <c r="S1769" s="14" t="n"/>
      <c r="T1769" s="7" t="inlineStr"/>
      <c r="U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8" t="n"/>
      <c r="M1770" s="8" t="n"/>
      <c r="N1770" s="8" t="n"/>
      <c r="O1770" s="8" t="n"/>
      <c r="P1770" s="8" t="n"/>
      <c r="Q1770" s="7" t="inlineStr">
        <is>
          <t>SEM COTAÇÃO</t>
        </is>
      </c>
      <c r="R1770" s="8" t="n"/>
      <c r="S1770" s="14" t="n"/>
      <c r="T1770" s="7" t="inlineStr"/>
      <c r="U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8" t="n"/>
      <c r="M1771" s="8" t="n"/>
      <c r="N1771" s="8" t="n"/>
      <c r="O1771" s="8" t="n"/>
      <c r="P1771" s="8" t="n"/>
      <c r="Q1771" s="7" t="inlineStr">
        <is>
          <t>SEM COTAÇÃO</t>
        </is>
      </c>
      <c r="R1771" s="8" t="n"/>
      <c r="S1771" s="14" t="n"/>
      <c r="T1771" s="7" t="inlineStr"/>
      <c r="U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8" t="n"/>
      <c r="M1772" s="8" t="n"/>
      <c r="N1772" s="8" t="n"/>
      <c r="O1772" s="8" t="n"/>
      <c r="P1772" s="8" t="n"/>
      <c r="Q1772" s="7" t="inlineStr">
        <is>
          <t>SEM COTAÇÃO</t>
        </is>
      </c>
      <c r="R1772" s="8" t="n"/>
      <c r="S1772" s="14" t="n"/>
      <c r="T1772" s="7" t="inlineStr"/>
      <c r="U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8" t="n"/>
      <c r="M1773" s="8" t="n"/>
      <c r="N1773" s="8" t="n"/>
      <c r="O1773" s="8" t="n"/>
      <c r="P1773" s="8" t="n"/>
      <c r="Q1773" s="7" t="inlineStr">
        <is>
          <t>SEM COTAÇÃO</t>
        </is>
      </c>
      <c r="R1773" s="8" t="n"/>
      <c r="S1773" s="14" t="n"/>
      <c r="T1773" s="7" t="inlineStr"/>
      <c r="U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8" t="n"/>
      <c r="M1774" s="8" t="n"/>
      <c r="N1774" s="8" t="n"/>
      <c r="O1774" s="8" t="n"/>
      <c r="P1774" s="8" t="n"/>
      <c r="Q1774" s="7" t="inlineStr">
        <is>
          <t>SEM COTAÇÃO</t>
        </is>
      </c>
      <c r="R1774" s="8" t="n"/>
      <c r="S1774" s="14" t="n"/>
      <c r="T1774" s="7" t="inlineStr"/>
      <c r="U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8" t="n"/>
      <c r="M1775" s="8" t="n"/>
      <c r="N1775" s="8" t="n"/>
      <c r="O1775" s="8" t="n"/>
      <c r="P1775" s="8" t="n"/>
      <c r="Q1775" s="7" t="inlineStr">
        <is>
          <t>SEM COTAÇÃO</t>
        </is>
      </c>
      <c r="R1775" s="8" t="n"/>
      <c r="S1775" s="14" t="n"/>
      <c r="T1775" s="7" t="inlineStr"/>
      <c r="U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8" t="n"/>
      <c r="M1776" s="8" t="n"/>
      <c r="N1776" s="8" t="n"/>
      <c r="O1776" s="15" t="n">
        <v>272.07375</v>
      </c>
      <c r="P1776" s="8" t="n"/>
      <c r="Q1776" s="7" t="inlineStr">
        <is>
          <t>NAZARIA</t>
        </is>
      </c>
      <c r="R1776" s="8" t="n">
        <v>272.07375</v>
      </c>
      <c r="S1776" s="14">
        <f>R1776/H1776-1</f>
        <v/>
      </c>
      <c r="T1776" s="17" t="inlineStr">
        <is>
          <t>OK (≤ últ. compra)</t>
        </is>
      </c>
      <c r="U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8" t="n"/>
      <c r="M1777" s="8" t="n"/>
      <c r="N1777" s="8" t="n"/>
      <c r="O1777" s="15" t="n">
        <v>54.008</v>
      </c>
      <c r="P1777" s="8" t="n"/>
      <c r="Q1777" s="7" t="inlineStr">
        <is>
          <t>NAZARIA</t>
        </is>
      </c>
      <c r="R1777" s="8" t="n">
        <v>54.008</v>
      </c>
      <c r="S1777" s="14">
        <f>R1777/H1777-1</f>
        <v/>
      </c>
      <c r="T1777" s="16" t="inlineStr">
        <is>
          <t>ACIMA +98.9%</t>
        </is>
      </c>
      <c r="U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8" t="n"/>
      <c r="M1778" s="8" t="n"/>
      <c r="N1778" s="8" t="n"/>
      <c r="O1778" s="8" t="n"/>
      <c r="P1778" s="8" t="n"/>
      <c r="Q1778" s="7" t="inlineStr">
        <is>
          <t>DIMEC</t>
        </is>
      </c>
      <c r="R1778" s="8" t="n">
        <v>24.96</v>
      </c>
      <c r="S1778" s="14">
        <f>R1778/H1778-1</f>
        <v/>
      </c>
      <c r="T1778" s="16" t="inlineStr">
        <is>
          <t>ACIMA +15.0%</t>
        </is>
      </c>
      <c r="U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8" t="n"/>
      <c r="M1779" s="8" t="n">
        <v>43.92</v>
      </c>
      <c r="N1779" s="8" t="n"/>
      <c r="O1779" s="8" t="n"/>
      <c r="P1779" s="8" t="n"/>
      <c r="Q1779" s="7" t="inlineStr">
        <is>
          <t>DIMEC</t>
        </is>
      </c>
      <c r="R1779" s="8" t="n">
        <v>43.2</v>
      </c>
      <c r="S1779" s="14">
        <f>R1779/H1779-1</f>
        <v/>
      </c>
      <c r="T1779" s="16" t="inlineStr">
        <is>
          <t>ACIMA +3.5%</t>
        </is>
      </c>
      <c r="U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8" t="n"/>
      <c r="M1780" s="8" t="n"/>
      <c r="N1780" s="8" t="n"/>
      <c r="O1780" s="15" t="n">
        <v>49.31</v>
      </c>
      <c r="P1780" s="8" t="n"/>
      <c r="Q1780" s="7" t="inlineStr">
        <is>
          <t>NAZARIA</t>
        </is>
      </c>
      <c r="R1780" s="8" t="n">
        <v>49.31</v>
      </c>
      <c r="S1780" s="14">
        <f>R1780/H1780-1</f>
        <v/>
      </c>
      <c r="T1780" s="16" t="inlineStr">
        <is>
          <t>ACIMA +47.6%</t>
        </is>
      </c>
      <c r="U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8" t="n"/>
      <c r="M1781" s="8" t="n"/>
      <c r="N1781" s="8" t="n"/>
      <c r="O1781" s="8" t="n"/>
      <c r="P1781" s="8" t="n"/>
      <c r="Q1781" s="7" t="inlineStr">
        <is>
          <t>SEM COTAÇÃO</t>
        </is>
      </c>
      <c r="R1781" s="8" t="n"/>
      <c r="S1781" s="14" t="n"/>
      <c r="T1781" s="7" t="inlineStr"/>
      <c r="U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8" t="n"/>
      <c r="M1782" s="8" t="n"/>
      <c r="N1782" s="8" t="n"/>
      <c r="O1782" s="8" t="n">
        <v>3.02</v>
      </c>
      <c r="P1782" s="8" t="n">
        <v>3.83</v>
      </c>
      <c r="Q1782" s="7" t="inlineStr">
        <is>
          <t>DIMEC</t>
        </is>
      </c>
      <c r="R1782" s="8" t="n">
        <v>2.83</v>
      </c>
      <c r="S1782" s="14">
        <f>R1782/H1782-1</f>
        <v/>
      </c>
      <c r="T1782" s="17" t="inlineStr">
        <is>
          <t>OK (≤ menor hist.)</t>
        </is>
      </c>
      <c r="U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8" t="n">
        <v>13.85</v>
      </c>
      <c r="L1783" s="8" t="n"/>
      <c r="M1783" s="8" t="n"/>
      <c r="N1783" s="8" t="n"/>
      <c r="O1783" s="15" t="n">
        <v>11.761</v>
      </c>
      <c r="P1783" s="8" t="n"/>
      <c r="Q1783" s="7" t="inlineStr">
        <is>
          <t>NAZARIA</t>
        </is>
      </c>
      <c r="R1783" s="8" t="n">
        <v>11.761</v>
      </c>
      <c r="S1783" s="14">
        <f>R1783/H1783-1</f>
        <v/>
      </c>
      <c r="T1783" s="16" t="inlineStr">
        <is>
          <t>ACIMA +3.2%</t>
        </is>
      </c>
      <c r="U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8" t="n"/>
      <c r="M1784" s="8" t="n"/>
      <c r="N1784" s="8" t="n"/>
      <c r="O1784" s="8" t="n"/>
      <c r="P1784" s="8" t="n"/>
      <c r="Q1784" s="7" t="inlineStr">
        <is>
          <t>SEM COTAÇÃO</t>
        </is>
      </c>
      <c r="R1784" s="8" t="n"/>
      <c r="S1784" s="14" t="n"/>
      <c r="T1784" s="7" t="inlineStr"/>
      <c r="U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8" t="n"/>
      <c r="M1785" s="8" t="n">
        <v>13.97</v>
      </c>
      <c r="N1785" s="8" t="n"/>
      <c r="O1785" s="8" t="n">
        <v>13.37</v>
      </c>
      <c r="P1785" s="8" t="n"/>
      <c r="Q1785" s="7" t="inlineStr">
        <is>
          <t>DIMEC</t>
        </is>
      </c>
      <c r="R1785" s="8" t="n">
        <v>12.33</v>
      </c>
      <c r="S1785" s="14">
        <f>R1785/H1785-1</f>
        <v/>
      </c>
      <c r="T1785" s="16" t="inlineStr">
        <is>
          <t>ACIMA +0.1%</t>
        </is>
      </c>
      <c r="U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8" t="n"/>
      <c r="M1786" s="8" t="n"/>
      <c r="N1786" s="8" t="n"/>
      <c r="O1786" s="15" t="n">
        <v>3.492</v>
      </c>
      <c r="P1786" s="8" t="n"/>
      <c r="Q1786" s="7" t="inlineStr">
        <is>
          <t>NAZARIA</t>
        </is>
      </c>
      <c r="R1786" s="8" t="n">
        <v>3.492</v>
      </c>
      <c r="S1786" s="14">
        <f>R1786/H1786-1</f>
        <v/>
      </c>
      <c r="T1786" s="17" t="inlineStr">
        <is>
          <t>OK (≤ menor hist.)</t>
        </is>
      </c>
      <c r="U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8" t="n"/>
      <c r="M1787" s="8" t="n">
        <v>2.58</v>
      </c>
      <c r="N1787" s="8" t="n"/>
      <c r="O1787" s="8" t="n">
        <v>2.35</v>
      </c>
      <c r="P1787" s="8" t="n"/>
      <c r="Q1787" s="7" t="inlineStr">
        <is>
          <t>DIMEC</t>
        </is>
      </c>
      <c r="R1787" s="8" t="n">
        <v>2.15</v>
      </c>
      <c r="S1787" s="14">
        <f>R1787/H1787-1</f>
        <v/>
      </c>
      <c r="T1787" s="17" t="inlineStr">
        <is>
          <t>OK (≤ menor hist.)</t>
        </is>
      </c>
      <c r="U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8" t="n"/>
      <c r="M1788" s="8" t="n">
        <v>4.37</v>
      </c>
      <c r="N1788" s="8" t="n"/>
      <c r="O1788" s="8" t="n">
        <v>4.05</v>
      </c>
      <c r="P1788" s="8" t="n"/>
      <c r="Q1788" s="7" t="inlineStr">
        <is>
          <t>DIMEC</t>
        </is>
      </c>
      <c r="R1788" s="8" t="n">
        <v>3.71</v>
      </c>
      <c r="S1788" s="14">
        <f>R1788/H1788-1</f>
        <v/>
      </c>
      <c r="T1788" s="17" t="inlineStr">
        <is>
          <t>OK (≤ menor hist.)</t>
        </is>
      </c>
      <c r="U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8" t="n"/>
      <c r="M1789" s="8" t="n">
        <v>6.9</v>
      </c>
      <c r="N1789" s="8" t="n"/>
      <c r="O1789" s="8" t="n">
        <v>6.49</v>
      </c>
      <c r="P1789" s="8" t="n"/>
      <c r="Q1789" s="7" t="inlineStr">
        <is>
          <t>DIMEC</t>
        </is>
      </c>
      <c r="R1789" s="8" t="n">
        <v>5.98</v>
      </c>
      <c r="S1789" s="14">
        <f>R1789/H1789-1</f>
        <v/>
      </c>
      <c r="T1789" s="17" t="inlineStr">
        <is>
          <t>OK (≤ últ. compra)</t>
        </is>
      </c>
      <c r="U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8" t="n"/>
      <c r="M1790" s="8" t="n"/>
      <c r="N1790" s="8" t="n"/>
      <c r="O1790" s="15" t="n">
        <v>2.8712</v>
      </c>
      <c r="P1790" s="8" t="n"/>
      <c r="Q1790" s="7" t="inlineStr">
        <is>
          <t>NAZARIA</t>
        </is>
      </c>
      <c r="R1790" s="8" t="n">
        <v>2.8712</v>
      </c>
      <c r="S1790" s="14">
        <f>R1790/H1790-1</f>
        <v/>
      </c>
      <c r="T1790" s="16" t="inlineStr">
        <is>
          <t>ACIMA +10.9%</t>
        </is>
      </c>
      <c r="U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8" t="n"/>
      <c r="M1791" s="8" t="n"/>
      <c r="N1791" s="8" t="n"/>
      <c r="O1791" s="15" t="n">
        <v>1.843</v>
      </c>
      <c r="P1791" s="8" t="n"/>
      <c r="Q1791" s="7" t="inlineStr">
        <is>
          <t>NAZARIA</t>
        </is>
      </c>
      <c r="R1791" s="8" t="n">
        <v>1.843</v>
      </c>
      <c r="S1791" s="14">
        <f>R1791/H1791-1</f>
        <v/>
      </c>
      <c r="T1791" s="16" t="inlineStr">
        <is>
          <t>ACIMA +19.5%</t>
        </is>
      </c>
      <c r="U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8" t="n"/>
      <c r="M1792" s="8" t="n"/>
      <c r="N1792" s="8" t="n"/>
      <c r="O1792" s="15" t="n">
        <v>6.6542</v>
      </c>
      <c r="P1792" s="8" t="n"/>
      <c r="Q1792" s="7" t="inlineStr">
        <is>
          <t>NAZARIA</t>
        </is>
      </c>
      <c r="R1792" s="8" t="n">
        <v>6.6542</v>
      </c>
      <c r="S1792" s="14">
        <f>R1792/H1792-1</f>
        <v/>
      </c>
      <c r="T1792" s="17" t="inlineStr">
        <is>
          <t>OK (≤ últ. compra)</t>
        </is>
      </c>
      <c r="U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8" t="n"/>
      <c r="M1793" s="8" t="n"/>
      <c r="N1793" s="8" t="n"/>
      <c r="O1793" s="8" t="n"/>
      <c r="P1793" s="8" t="n"/>
      <c r="Q1793" s="7" t="inlineStr">
        <is>
          <t>SEM COTAÇÃO</t>
        </is>
      </c>
      <c r="R1793" s="8" t="n"/>
      <c r="S1793" s="14" t="n"/>
      <c r="T1793" s="7" t="inlineStr"/>
      <c r="U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8" t="n"/>
      <c r="M1794" s="8" t="n"/>
      <c r="N1794" s="8" t="n"/>
      <c r="O1794" s="8" t="n"/>
      <c r="P1794" s="8" t="n"/>
      <c r="Q1794" s="7" t="inlineStr">
        <is>
          <t>SEM COTAÇÃO</t>
        </is>
      </c>
      <c r="R1794" s="8" t="n"/>
      <c r="S1794" s="14" t="n"/>
      <c r="T1794" s="7" t="inlineStr"/>
      <c r="U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8" t="n"/>
      <c r="M1795" s="8" t="n"/>
      <c r="N1795" s="8" t="n"/>
      <c r="O1795" s="8" t="n"/>
      <c r="P1795" s="8" t="n"/>
      <c r="Q1795" s="7" t="inlineStr">
        <is>
          <t>SEM COTAÇÃO</t>
        </is>
      </c>
      <c r="R1795" s="8" t="n"/>
      <c r="S1795" s="14" t="n"/>
      <c r="T1795" s="7" t="inlineStr"/>
      <c r="U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8" t="n"/>
      <c r="M1796" s="8" t="n"/>
      <c r="N1796" s="8" t="n"/>
      <c r="O1796" s="8" t="n"/>
      <c r="P1796" s="8" t="n"/>
      <c r="Q1796" s="7" t="inlineStr">
        <is>
          <t>SEM COTAÇÃO</t>
        </is>
      </c>
      <c r="R1796" s="8" t="n"/>
      <c r="S1796" s="14" t="n"/>
      <c r="T1796" s="7" t="inlineStr"/>
      <c r="U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8" t="n"/>
      <c r="M1797" s="8" t="n"/>
      <c r="N1797" s="8" t="n"/>
      <c r="O1797" s="15" t="n">
        <v>32.58</v>
      </c>
      <c r="P1797" s="8" t="n"/>
      <c r="Q1797" s="7" t="inlineStr">
        <is>
          <t>NAZARIA</t>
        </is>
      </c>
      <c r="R1797" s="8" t="n">
        <v>32.58</v>
      </c>
      <c r="S1797" s="14">
        <f>R1797/H1797-1</f>
        <v/>
      </c>
      <c r="T1797" s="16" t="inlineStr">
        <is>
          <t>ACIMA +13.4%</t>
        </is>
      </c>
      <c r="U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8" t="n"/>
      <c r="M1798" s="8" t="n"/>
      <c r="N1798" s="8" t="n"/>
      <c r="O1798" s="15" t="n">
        <v>32.58</v>
      </c>
      <c r="P1798" s="8" t="n"/>
      <c r="Q1798" s="7" t="inlineStr">
        <is>
          <t>NAZARIA</t>
        </is>
      </c>
      <c r="R1798" s="8" t="n">
        <v>32.58</v>
      </c>
      <c r="S1798" s="14">
        <f>R1798/H1798-1</f>
        <v/>
      </c>
      <c r="T1798" s="16" t="inlineStr">
        <is>
          <t>ACIMA +22.2%</t>
        </is>
      </c>
      <c r="U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8" t="n"/>
      <c r="M1799" s="15" t="n">
        <v>57.04</v>
      </c>
      <c r="N1799" s="8" t="n"/>
      <c r="O1799" s="8" t="n"/>
      <c r="P1799" s="8" t="n"/>
      <c r="Q1799" s="7" t="inlineStr">
        <is>
          <t>CENTROFARMA</t>
        </is>
      </c>
      <c r="R1799" s="8" t="n">
        <v>57.04</v>
      </c>
      <c r="S1799" s="14">
        <f>R1799/H1799-1</f>
        <v/>
      </c>
      <c r="T1799" s="16" t="inlineStr">
        <is>
          <t>ACIMA +29.6%</t>
        </is>
      </c>
      <c r="U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8" t="n"/>
      <c r="M1800" s="8" t="n"/>
      <c r="N1800" s="8" t="n"/>
      <c r="O1800" s="8" t="n"/>
      <c r="P1800" s="8" t="n"/>
      <c r="Q1800" s="7" t="inlineStr">
        <is>
          <t>SEM COTAÇÃO</t>
        </is>
      </c>
      <c r="R1800" s="8" t="n"/>
      <c r="S1800" s="14" t="n"/>
      <c r="T1800" s="7" t="inlineStr"/>
      <c r="U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8" t="n"/>
      <c r="M1801" s="8" t="n"/>
      <c r="N1801" s="8" t="n"/>
      <c r="O1801" s="8" t="n"/>
      <c r="P1801" s="8" t="n"/>
      <c r="Q1801" s="7" t="inlineStr">
        <is>
          <t>SEM COTAÇÃO</t>
        </is>
      </c>
      <c r="R1801" s="8" t="n"/>
      <c r="S1801" s="14" t="n"/>
      <c r="T1801" s="7" t="inlineStr"/>
      <c r="U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8" t="n"/>
      <c r="M1802" s="8" t="n">
        <v>20.09</v>
      </c>
      <c r="N1802" s="8" t="n"/>
      <c r="O1802" s="8" t="n">
        <v>20.129958</v>
      </c>
      <c r="P1802" s="8" t="n">
        <v>20.27</v>
      </c>
      <c r="Q1802" s="7" t="inlineStr">
        <is>
          <t>DIMEC</t>
        </is>
      </c>
      <c r="R1802" s="8" t="n">
        <v>19.83</v>
      </c>
      <c r="S1802" s="14">
        <f>R1802/H1802-1</f>
        <v/>
      </c>
      <c r="T1802" s="16" t="inlineStr">
        <is>
          <t>ACIMA +21.3%</t>
        </is>
      </c>
      <c r="U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8" t="n"/>
      <c r="M1803" s="8" t="n"/>
      <c r="N1803" s="8" t="n"/>
      <c r="O1803" s="8" t="n">
        <v>75.47</v>
      </c>
      <c r="P1803" s="8" t="n"/>
      <c r="Q1803" s="7" t="inlineStr">
        <is>
          <t>SEM COTAÇÃO</t>
        </is>
      </c>
      <c r="R1803" s="8" t="n"/>
      <c r="S1803" s="14" t="n"/>
      <c r="T1803" s="7" t="inlineStr"/>
      <c r="U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8" t="n"/>
      <c r="M1804" s="8" t="n"/>
      <c r="N1804" s="8" t="n"/>
      <c r="O1804" s="8" t="n"/>
      <c r="P1804" s="8" t="n"/>
      <c r="Q1804" s="7" t="inlineStr">
        <is>
          <t>SEM COTAÇÃO</t>
        </is>
      </c>
      <c r="R1804" s="8" t="n"/>
      <c r="S1804" s="14" t="n"/>
      <c r="T1804" s="7" t="inlineStr"/>
      <c r="U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8" t="n"/>
      <c r="M1805" s="15" t="n">
        <v>13.82</v>
      </c>
      <c r="N1805" s="8" t="n"/>
      <c r="O1805" s="8" t="n"/>
      <c r="P1805" s="8" t="n"/>
      <c r="Q1805" s="7" t="inlineStr">
        <is>
          <t>CENTROFARMA</t>
        </is>
      </c>
      <c r="R1805" s="8" t="n">
        <v>13.82</v>
      </c>
      <c r="S1805" s="14">
        <f>R1805/H1805-1</f>
        <v/>
      </c>
      <c r="T1805" s="17" t="inlineStr">
        <is>
          <t>OK (≤ menor hist.)</t>
        </is>
      </c>
      <c r="U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8" t="n"/>
      <c r="M1806" s="8" t="n">
        <v>24.82</v>
      </c>
      <c r="N1806" s="8" t="n">
        <v>25</v>
      </c>
      <c r="O1806" s="8" t="n">
        <v>40.62</v>
      </c>
      <c r="P1806" s="15" t="n">
        <v>24.09</v>
      </c>
      <c r="Q1806" s="7" t="inlineStr">
        <is>
          <t>MEDCENTRO</t>
        </is>
      </c>
      <c r="R1806" s="8" t="n">
        <v>24.09</v>
      </c>
      <c r="S1806" s="14">
        <f>R1806/H1806-1</f>
        <v/>
      </c>
      <c r="T1806" s="16" t="inlineStr">
        <is>
          <t>ACIMA +42.9%</t>
        </is>
      </c>
      <c r="U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8" t="n"/>
      <c r="M1807" s="8" t="n"/>
      <c r="N1807" s="8" t="n"/>
      <c r="O1807" s="8" t="n"/>
      <c r="P1807" s="8" t="n"/>
      <c r="Q1807" s="7" t="inlineStr">
        <is>
          <t>SEM COTAÇÃO</t>
        </is>
      </c>
      <c r="R1807" s="8" t="n"/>
      <c r="S1807" s="14" t="n"/>
      <c r="T1807" s="7" t="inlineStr"/>
      <c r="U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8" t="n"/>
      <c r="M1808" s="8" t="n"/>
      <c r="N1808" s="8" t="n"/>
      <c r="O1808" s="8" t="n"/>
      <c r="P1808" s="8" t="n"/>
      <c r="Q1808" s="7" t="inlineStr">
        <is>
          <t>SEM COTAÇÃO</t>
        </is>
      </c>
      <c r="R1808" s="8" t="n"/>
      <c r="S1808" s="14" t="n"/>
      <c r="T1808" s="7" t="inlineStr"/>
      <c r="U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8" t="n"/>
      <c r="M1809" s="8" t="n"/>
      <c r="N1809" s="8" t="n"/>
      <c r="O1809" s="8" t="n"/>
      <c r="P1809" s="8" t="n"/>
      <c r="Q1809" s="7" t="inlineStr">
        <is>
          <t>SEM COTAÇÃO</t>
        </is>
      </c>
      <c r="R1809" s="8" t="n"/>
      <c r="S1809" s="14" t="n"/>
      <c r="T1809" s="7" t="inlineStr"/>
      <c r="U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8" t="n"/>
      <c r="M1810" s="8" t="n">
        <v>10.01</v>
      </c>
      <c r="N1810" s="8" t="n"/>
      <c r="O1810" s="8" t="n">
        <v>11.13</v>
      </c>
      <c r="P1810" s="8" t="n">
        <v>11.88</v>
      </c>
      <c r="Q1810" s="7" t="inlineStr">
        <is>
          <t>DIMEC</t>
        </is>
      </c>
      <c r="R1810" s="8" t="n">
        <v>9.76</v>
      </c>
      <c r="S1810" s="14">
        <f>R1810/H1810-1</f>
        <v/>
      </c>
      <c r="T1810" s="16" t="inlineStr">
        <is>
          <t>ACIMA +2.6%</t>
        </is>
      </c>
      <c r="U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8" t="n"/>
      <c r="M1811" s="8" t="n"/>
      <c r="N1811" s="8" t="n"/>
      <c r="O1811" s="8" t="n"/>
      <c r="P1811" s="8" t="n">
        <v>17.73</v>
      </c>
      <c r="Q1811" s="7" t="inlineStr">
        <is>
          <t>PLUSFARMA</t>
        </is>
      </c>
      <c r="R1811" s="8" t="n">
        <v>16.49</v>
      </c>
      <c r="S1811" s="14">
        <f>R1811/H1811-1</f>
        <v/>
      </c>
      <c r="T1811" s="16" t="inlineStr">
        <is>
          <t>ACIMA +3.1%</t>
        </is>
      </c>
      <c r="U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16.45</v>
      </c>
      <c r="K1812" s="8" t="n">
        <v>17.1</v>
      </c>
      <c r="L1812" s="8" t="n"/>
      <c r="M1812" s="15" t="n">
        <v>16.4</v>
      </c>
      <c r="N1812" s="8" t="n"/>
      <c r="O1812" s="8" t="n">
        <v>23.426449</v>
      </c>
      <c r="P1812" s="8" t="n">
        <v>17.66</v>
      </c>
      <c r="Q1812" s="7" t="inlineStr">
        <is>
          <t>CENTROFARMA</t>
        </is>
      </c>
      <c r="R1812" s="8" t="n">
        <v>16.4</v>
      </c>
      <c r="S1812" s="14">
        <f>R1812/H1812-1</f>
        <v/>
      </c>
      <c r="T1812" s="16" t="inlineStr">
        <is>
          <t>ACIMA +5.3%</t>
        </is>
      </c>
      <c r="U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8" t="n"/>
      <c r="M1813" s="15" t="n">
        <v>15.49</v>
      </c>
      <c r="N1813" s="8" t="n"/>
      <c r="O1813" s="8" t="n"/>
      <c r="P1813" s="8" t="n"/>
      <c r="Q1813" s="7" t="inlineStr">
        <is>
          <t>CENTROFARMA</t>
        </is>
      </c>
      <c r="R1813" s="8" t="n">
        <v>15.49</v>
      </c>
      <c r="S1813" s="14">
        <f>R1813/H1813-1</f>
        <v/>
      </c>
      <c r="T1813" s="17" t="inlineStr">
        <is>
          <t>OK (≤ menor hist.)</t>
        </is>
      </c>
      <c r="U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8" t="n"/>
      <c r="M1814" s="8" t="n"/>
      <c r="N1814" s="8" t="n"/>
      <c r="O1814" s="15" t="n">
        <v>35.78</v>
      </c>
      <c r="P1814" s="8" t="n"/>
      <c r="Q1814" s="7" t="inlineStr">
        <is>
          <t>NAZARIA</t>
        </is>
      </c>
      <c r="R1814" s="8" t="n">
        <v>35.78</v>
      </c>
      <c r="S1814" s="14">
        <f>R1814/H1814-1</f>
        <v/>
      </c>
      <c r="T1814" s="17" t="inlineStr">
        <is>
          <t>OK (≤ últ. compra)</t>
        </is>
      </c>
      <c r="U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7" t="inlineStr">
        <is>
          <t>SEM COTAÇÃO</t>
        </is>
      </c>
      <c r="R1815" s="8" t="n"/>
      <c r="S1815" s="14" t="n"/>
      <c r="T1815" s="7" t="inlineStr"/>
      <c r="U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8" t="n"/>
      <c r="M1816" s="8" t="n"/>
      <c r="N1816" s="8" t="n"/>
      <c r="O1816" s="8" t="n"/>
      <c r="P1816" s="8" t="n"/>
      <c r="Q1816" s="7" t="inlineStr">
        <is>
          <t>SEM COTAÇÃO</t>
        </is>
      </c>
      <c r="R1816" s="8" t="n"/>
      <c r="S1816" s="14" t="n"/>
      <c r="T1816" s="7" t="inlineStr"/>
      <c r="U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8" t="n"/>
      <c r="M1817" s="8" t="n"/>
      <c r="N1817" s="8" t="n"/>
      <c r="O1817" s="8" t="n"/>
      <c r="P1817" s="8" t="n"/>
      <c r="Q1817" s="7" t="inlineStr">
        <is>
          <t>SEM COTAÇÃO</t>
        </is>
      </c>
      <c r="R1817" s="8" t="n"/>
      <c r="S1817" s="14" t="n"/>
      <c r="T1817" s="7" t="inlineStr"/>
      <c r="U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8" t="n"/>
      <c r="M1818" s="8" t="n"/>
      <c r="N1818" s="8" t="n"/>
      <c r="O1818" s="8" t="n"/>
      <c r="P1818" s="8" t="n"/>
      <c r="Q1818" s="7" t="inlineStr">
        <is>
          <t>SEM COTAÇÃO</t>
        </is>
      </c>
      <c r="R1818" s="8" t="n"/>
      <c r="S1818" s="14" t="n"/>
      <c r="T1818" s="7" t="inlineStr"/>
      <c r="U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8" t="n"/>
      <c r="M1819" s="8" t="n"/>
      <c r="N1819" s="8" t="n"/>
      <c r="O1819" s="8" t="n"/>
      <c r="P1819" s="8" t="n"/>
      <c r="Q1819" s="7" t="inlineStr">
        <is>
          <t>DIMEC</t>
        </is>
      </c>
      <c r="R1819" s="8" t="n">
        <v>0.32</v>
      </c>
      <c r="S1819" s="14">
        <f>R1819/H1819-1</f>
        <v/>
      </c>
      <c r="T1819" s="17" t="inlineStr">
        <is>
          <t>OK (≤ menor hist.)</t>
        </is>
      </c>
      <c r="U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7.42</v>
      </c>
      <c r="K1820" s="8" t="n">
        <v>99999999</v>
      </c>
      <c r="L1820" s="8" t="n"/>
      <c r="M1820" s="8" t="n">
        <v>7.41</v>
      </c>
      <c r="N1820" s="8" t="n"/>
      <c r="O1820" s="15" t="n">
        <v>6.27</v>
      </c>
      <c r="P1820" s="8" t="n"/>
      <c r="Q1820" s="7" t="inlineStr">
        <is>
          <t>NAZARIA</t>
        </is>
      </c>
      <c r="R1820" s="8" t="n">
        <v>6.27</v>
      </c>
      <c r="S1820" s="14">
        <f>R1820/H1820-1</f>
        <v/>
      </c>
      <c r="T1820" s="17" t="inlineStr">
        <is>
          <t>OK (≤ menor hist.)</t>
        </is>
      </c>
      <c r="U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8" t="n"/>
      <c r="M1821" s="15" t="n">
        <v>2.01</v>
      </c>
      <c r="N1821" s="8" t="n"/>
      <c r="O1821" s="8" t="n"/>
      <c r="P1821" s="8" t="n"/>
      <c r="Q1821" s="7" t="inlineStr">
        <is>
          <t>CENTROFARMA</t>
        </is>
      </c>
      <c r="R1821" s="8" t="n">
        <v>2.01</v>
      </c>
      <c r="S1821" s="14">
        <f>R1821/H1821-1</f>
        <v/>
      </c>
      <c r="T1821" s="16" t="inlineStr">
        <is>
          <t>ACIMA +9.2%</t>
        </is>
      </c>
      <c r="U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8" t="n"/>
      <c r="M1822" s="15" t="n">
        <v>2.14</v>
      </c>
      <c r="N1822" s="8" t="n"/>
      <c r="O1822" s="8" t="n"/>
      <c r="P1822" s="8" t="n"/>
      <c r="Q1822" s="7" t="inlineStr">
        <is>
          <t>CENTROFARMA</t>
        </is>
      </c>
      <c r="R1822" s="8" t="n">
        <v>2.14</v>
      </c>
      <c r="S1822" s="14">
        <f>R1822/H1822-1</f>
        <v/>
      </c>
      <c r="T1822" s="16" t="inlineStr">
        <is>
          <t>ACIMA +19.6%</t>
        </is>
      </c>
      <c r="U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8" t="n"/>
      <c r="M1823" s="8" t="n">
        <v>4.41</v>
      </c>
      <c r="N1823" s="8" t="n"/>
      <c r="O1823" s="8" t="n"/>
      <c r="P1823" s="8" t="n"/>
      <c r="Q1823" s="7" t="inlineStr">
        <is>
          <t>DIMEC</t>
        </is>
      </c>
      <c r="R1823" s="8" t="n">
        <v>4.4</v>
      </c>
      <c r="S1823" s="14">
        <f>R1823/H1823-1</f>
        <v/>
      </c>
      <c r="T1823" s="16" t="inlineStr">
        <is>
          <t>ACIMA +25.0%</t>
        </is>
      </c>
      <c r="U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8" t="n"/>
      <c r="M1824" s="8" t="n"/>
      <c r="N1824" s="8" t="n"/>
      <c r="O1824" s="15" t="n">
        <v>102.5525</v>
      </c>
      <c r="P1824" s="8" t="n"/>
      <c r="Q1824" s="7" t="inlineStr">
        <is>
          <t>NAZARIA</t>
        </is>
      </c>
      <c r="R1824" s="8" t="n">
        <v>102.5525</v>
      </c>
      <c r="S1824" s="14">
        <f>R1824/H1824-1</f>
        <v/>
      </c>
      <c r="T1824" s="16" t="inlineStr">
        <is>
          <t>ACIMA +47.7%</t>
        </is>
      </c>
      <c r="U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8" t="n"/>
      <c r="M1825" s="8" t="n"/>
      <c r="N1825" s="8" t="n"/>
      <c r="O1825" s="15" t="n">
        <v>136.8665</v>
      </c>
      <c r="P1825" s="8" t="n"/>
      <c r="Q1825" s="7" t="inlineStr">
        <is>
          <t>NAZARIA</t>
        </is>
      </c>
      <c r="R1825" s="8" t="n">
        <v>136.8665</v>
      </c>
      <c r="S1825" s="14">
        <f>R1825/H1825-1</f>
        <v/>
      </c>
      <c r="T1825" s="16" t="inlineStr">
        <is>
          <t>ACIMA +7.3%</t>
        </is>
      </c>
      <c r="U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8" t="n"/>
      <c r="M1826" s="8" t="n"/>
      <c r="N1826" s="8" t="n"/>
      <c r="O1826" s="8" t="n"/>
      <c r="P1826" s="8" t="n"/>
      <c r="Q1826" s="7" t="inlineStr">
        <is>
          <t>SEM COTAÇÃO</t>
        </is>
      </c>
      <c r="R1826" s="8" t="n"/>
      <c r="S1826" s="14" t="n"/>
      <c r="T1826" s="7" t="inlineStr"/>
      <c r="U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8" t="n"/>
      <c r="M1827" s="8" t="n"/>
      <c r="N1827" s="8" t="n"/>
      <c r="O1827" s="8" t="n"/>
      <c r="P1827" s="8" t="n"/>
      <c r="Q1827" s="7" t="inlineStr">
        <is>
          <t>SEM COTAÇÃO</t>
        </is>
      </c>
      <c r="R1827" s="8" t="n"/>
      <c r="S1827" s="14" t="n"/>
      <c r="T1827" s="7" t="inlineStr"/>
      <c r="U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8" t="n"/>
      <c r="M1828" s="8" t="n"/>
      <c r="N1828" s="8" t="n"/>
      <c r="O1828" s="8" t="n"/>
      <c r="P1828" s="8" t="n"/>
      <c r="Q1828" s="7" t="inlineStr">
        <is>
          <t>SEM COTAÇÃO</t>
        </is>
      </c>
      <c r="R1828" s="8" t="n"/>
      <c r="S1828" s="14" t="n"/>
      <c r="T1828" s="7" t="inlineStr"/>
      <c r="U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8" t="n"/>
      <c r="M1829" s="8" t="n"/>
      <c r="N1829" s="8" t="n"/>
      <c r="O1829" s="8" t="n"/>
      <c r="P1829" s="8" t="n"/>
      <c r="Q1829" s="7" t="inlineStr">
        <is>
          <t>SEM COTAÇÃO</t>
        </is>
      </c>
      <c r="R1829" s="8" t="n"/>
      <c r="S1829" s="14" t="n"/>
      <c r="T1829" s="7" t="inlineStr"/>
      <c r="U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8" t="n"/>
      <c r="M1830" s="8" t="n"/>
      <c r="N1830" s="8" t="n"/>
      <c r="O1830" s="15" t="n">
        <v>67.81409699999999</v>
      </c>
      <c r="P1830" s="8" t="n">
        <v>68.76000000000001</v>
      </c>
      <c r="Q1830" s="7" t="inlineStr">
        <is>
          <t>NAZARIA</t>
        </is>
      </c>
      <c r="R1830" s="8" t="n">
        <v>67.81409699999999</v>
      </c>
      <c r="S1830" s="14">
        <f>R1830/H1830-1</f>
        <v/>
      </c>
      <c r="T1830" s="17" t="inlineStr">
        <is>
          <t>OK (≤ últ. compra)</t>
        </is>
      </c>
      <c r="U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8" t="n"/>
      <c r="M1831" s="8" t="n"/>
      <c r="N1831" s="8" t="n"/>
      <c r="O1831" s="8" t="n"/>
      <c r="P1831" s="8" t="n"/>
      <c r="Q1831" s="7" t="inlineStr">
        <is>
          <t>SEM COTAÇÃO</t>
        </is>
      </c>
      <c r="R1831" s="8" t="n"/>
      <c r="S1831" s="14" t="n"/>
      <c r="T1831" s="7" t="inlineStr"/>
      <c r="U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2.256458333333333</v>
      </c>
      <c r="K1832" s="8" t="n"/>
      <c r="L1832" s="8" t="n">
        <v>5.723958333333333</v>
      </c>
      <c r="M1832" s="15" t="n">
        <v>1.959583333333333</v>
      </c>
      <c r="N1832" s="8" t="n"/>
      <c r="O1832" s="8" t="n"/>
      <c r="P1832" s="8" t="n"/>
      <c r="Q1832" s="7" t="inlineStr">
        <is>
          <t>CENTROFARMA</t>
        </is>
      </c>
      <c r="R1832" s="8" t="n">
        <v>1.959583333333333</v>
      </c>
      <c r="S1832" s="14">
        <f>R1832/H1832-1</f>
        <v/>
      </c>
      <c r="T1832" s="17" t="inlineStr">
        <is>
          <t>OK (≤ últ. compra)</t>
        </is>
      </c>
      <c r="U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7" t="inlineStr">
        <is>
          <t>SEM COTAÇÃO</t>
        </is>
      </c>
      <c r="R1833" s="8" t="n"/>
      <c r="S1833" s="14" t="n"/>
      <c r="T1833" s="7" t="inlineStr"/>
      <c r="U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8" t="n"/>
      <c r="M1834" s="8" t="n"/>
      <c r="N1834" s="8" t="n"/>
      <c r="O1834" s="15" t="n">
        <v>30.53</v>
      </c>
      <c r="P1834" s="8" t="n"/>
      <c r="Q1834" s="7" t="inlineStr">
        <is>
          <t>NAZARIA</t>
        </is>
      </c>
      <c r="R1834" s="8" t="n">
        <v>30.53</v>
      </c>
      <c r="S1834" s="14">
        <f>R1834/H1834-1</f>
        <v/>
      </c>
      <c r="T1834" s="17" t="inlineStr">
        <is>
          <t>OK (≤ menor hist.)</t>
        </is>
      </c>
      <c r="U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8" t="n"/>
      <c r="M1835" s="8" t="n"/>
      <c r="N1835" s="8" t="n"/>
      <c r="O1835" s="8" t="n">
        <v>18.85</v>
      </c>
      <c r="P1835" s="8" t="n"/>
      <c r="Q1835" s="7" t="inlineStr">
        <is>
          <t>SEM COTAÇÃO</t>
        </is>
      </c>
      <c r="R1835" s="8" t="n"/>
      <c r="S1835" s="14" t="n"/>
      <c r="T1835" s="7" t="inlineStr"/>
      <c r="U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8" t="n"/>
      <c r="M1836" s="8" t="n"/>
      <c r="N1836" s="8" t="n"/>
      <c r="O1836" s="8" t="n"/>
      <c r="P1836" s="8" t="n"/>
      <c r="Q1836" s="7" t="inlineStr">
        <is>
          <t>SEM COTAÇÃO</t>
        </is>
      </c>
      <c r="R1836" s="8" t="n"/>
      <c r="S1836" s="14" t="n"/>
      <c r="T1836" s="7" t="inlineStr"/>
      <c r="U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8" t="n"/>
      <c r="M1837" s="8" t="n"/>
      <c r="N1837" s="8" t="n"/>
      <c r="O1837" s="8" t="n"/>
      <c r="P1837" s="8" t="n"/>
      <c r="Q1837" s="7" t="inlineStr">
        <is>
          <t>SEM COTAÇÃO</t>
        </is>
      </c>
      <c r="R1837" s="8" t="n"/>
      <c r="S1837" s="14" t="n"/>
      <c r="T1837" s="7" t="inlineStr"/>
      <c r="U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8" t="n"/>
      <c r="M1838" s="8" t="n"/>
      <c r="N1838" s="8" t="n"/>
      <c r="O1838" s="8" t="n"/>
      <c r="P1838" s="8" t="n"/>
      <c r="Q1838" s="7" t="inlineStr">
        <is>
          <t>SEM COTAÇÃO</t>
        </is>
      </c>
      <c r="R1838" s="8" t="n"/>
      <c r="S1838" s="14" t="n"/>
      <c r="T1838" s="7" t="inlineStr"/>
      <c r="U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8" t="n"/>
      <c r="M1839" s="8" t="n"/>
      <c r="N1839" s="8" t="n"/>
      <c r="O1839" s="8" t="n"/>
      <c r="P1839" s="8" t="n"/>
      <c r="Q1839" s="7" t="inlineStr">
        <is>
          <t>SEM COTAÇÃO</t>
        </is>
      </c>
      <c r="R1839" s="8" t="n"/>
      <c r="S1839" s="14" t="n"/>
      <c r="T1839" s="7" t="inlineStr"/>
      <c r="U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8" t="n"/>
      <c r="M1840" s="8" t="n"/>
      <c r="N1840" s="8" t="n"/>
      <c r="O1840" s="8" t="n"/>
      <c r="P1840" s="8" t="n"/>
      <c r="Q1840" s="7" t="inlineStr">
        <is>
          <t>SEM COTAÇÃO</t>
        </is>
      </c>
      <c r="R1840" s="8" t="n"/>
      <c r="S1840" s="14" t="n"/>
      <c r="T1840" s="7" t="inlineStr"/>
      <c r="U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8" t="n"/>
      <c r="M1841" s="8" t="n"/>
      <c r="N1841" s="8" t="n"/>
      <c r="O1841" s="8" t="n"/>
      <c r="P1841" s="8" t="n"/>
      <c r="Q1841" s="7" t="inlineStr">
        <is>
          <t>SEM COTAÇÃO</t>
        </is>
      </c>
      <c r="R1841" s="8" t="n"/>
      <c r="S1841" s="14" t="n"/>
      <c r="T1841" s="7" t="inlineStr"/>
      <c r="U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8" t="n"/>
      <c r="M1842" s="8" t="n"/>
      <c r="N1842" s="8" t="n"/>
      <c r="O1842" s="8" t="n"/>
      <c r="P1842" s="8" t="n"/>
      <c r="Q1842" s="7" t="inlineStr">
        <is>
          <t>SEM COTAÇÃO</t>
        </is>
      </c>
      <c r="R1842" s="8" t="n"/>
      <c r="S1842" s="14" t="n"/>
      <c r="T1842" s="7" t="inlineStr"/>
      <c r="U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8" t="n"/>
      <c r="M1843" s="8" t="n"/>
      <c r="N1843" s="8" t="n"/>
      <c r="O1843" s="8" t="n"/>
      <c r="P1843" s="8" t="n"/>
      <c r="Q1843" s="7" t="inlineStr">
        <is>
          <t>SEM COTAÇÃO</t>
        </is>
      </c>
      <c r="R1843" s="8" t="n"/>
      <c r="S1843" s="14" t="n"/>
      <c r="T1843" s="7" t="inlineStr"/>
      <c r="U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15" t="n">
        <v>62.28</v>
      </c>
      <c r="P1844" s="8" t="n"/>
      <c r="Q1844" s="7" t="inlineStr">
        <is>
          <t>NAZARIA</t>
        </is>
      </c>
      <c r="R1844" s="8" t="n">
        <v>62.28</v>
      </c>
      <c r="S1844" s="14" t="n"/>
      <c r="T1844" s="7" t="inlineStr">
        <is>
          <t>SEM HISTÓRICO</t>
        </is>
      </c>
      <c r="U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8" t="n"/>
      <c r="M1845" s="8" t="n"/>
      <c r="N1845" s="8" t="n"/>
      <c r="O1845" s="15" t="n">
        <v>95.7</v>
      </c>
      <c r="P1845" s="8" t="n"/>
      <c r="Q1845" s="7" t="inlineStr">
        <is>
          <t>NAZARIA</t>
        </is>
      </c>
      <c r="R1845" s="8" t="n">
        <v>95.7</v>
      </c>
      <c r="S1845" s="14">
        <f>R1845/H1845-1</f>
        <v/>
      </c>
      <c r="T1845" s="16" t="inlineStr">
        <is>
          <t>ACIMA +770.8%</t>
        </is>
      </c>
      <c r="U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8" t="n"/>
      <c r="M1846" s="8" t="n"/>
      <c r="N1846" s="8" t="n"/>
      <c r="O1846" s="8" t="n"/>
      <c r="P1846" s="15" t="n">
        <v>13.44</v>
      </c>
      <c r="Q1846" s="7" t="inlineStr">
        <is>
          <t>MEDCENTRO</t>
        </is>
      </c>
      <c r="R1846" s="8" t="n">
        <v>13.44</v>
      </c>
      <c r="S1846" s="14">
        <f>R1846/H1846-1</f>
        <v/>
      </c>
      <c r="T1846" s="17" t="inlineStr">
        <is>
          <t>OK (≤ menor hist.)</t>
        </is>
      </c>
      <c r="U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8" t="n"/>
      <c r="M1847" s="8" t="n"/>
      <c r="N1847" s="8" t="n"/>
      <c r="O1847" s="8" t="n">
        <v>107.19</v>
      </c>
      <c r="P1847" s="8" t="n">
        <v>21.48</v>
      </c>
      <c r="Q1847" s="7" t="inlineStr">
        <is>
          <t>PLUSFARMA</t>
        </is>
      </c>
      <c r="R1847" s="8" t="n">
        <v>19.99</v>
      </c>
      <c r="S1847" s="14">
        <f>R1847/H1847-1</f>
        <v/>
      </c>
      <c r="T1847" s="16" t="inlineStr">
        <is>
          <t>ACIMA +6.4%</t>
        </is>
      </c>
      <c r="U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8" t="n"/>
      <c r="M1848" s="8" t="n"/>
      <c r="N1848" s="8" t="n"/>
      <c r="O1848" s="8" t="n"/>
      <c r="P1848" s="8" t="n"/>
      <c r="Q1848" s="7" t="inlineStr">
        <is>
          <t>SEM COTAÇÃO</t>
        </is>
      </c>
      <c r="R1848" s="8" t="n"/>
      <c r="S1848" s="14" t="n"/>
      <c r="T1848" s="7" t="inlineStr"/>
      <c r="U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8" t="n"/>
      <c r="M1849" s="8" t="n"/>
      <c r="N1849" s="8" t="n"/>
      <c r="O1849" s="8" t="n"/>
      <c r="P1849" s="8" t="n"/>
      <c r="Q1849" s="7" t="inlineStr">
        <is>
          <t>SEM COTAÇÃO</t>
        </is>
      </c>
      <c r="R1849" s="8" t="n"/>
      <c r="S1849" s="14" t="n"/>
      <c r="T1849" s="7" t="inlineStr"/>
      <c r="U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8" t="n"/>
      <c r="M1850" s="8" t="n"/>
      <c r="N1850" s="8" t="n"/>
      <c r="O1850" s="8" t="n"/>
      <c r="P1850" s="8" t="n"/>
      <c r="Q1850" s="7" t="inlineStr">
        <is>
          <t>SEM COTAÇÃO</t>
        </is>
      </c>
      <c r="R1850" s="8" t="n"/>
      <c r="S1850" s="14" t="n"/>
      <c r="T1850" s="7" t="inlineStr"/>
      <c r="U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8" t="n"/>
      <c r="M1851" s="8" t="n"/>
      <c r="N1851" s="8" t="n"/>
      <c r="O1851" s="8" t="n"/>
      <c r="P1851" s="8" t="n"/>
      <c r="Q1851" s="7" t="inlineStr">
        <is>
          <t>SEM COTAÇÃO</t>
        </is>
      </c>
      <c r="R1851" s="8" t="n"/>
      <c r="S1851" s="14" t="n"/>
      <c r="T1851" s="7" t="inlineStr"/>
      <c r="U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8" t="n"/>
      <c r="M1852" s="8" t="n"/>
      <c r="N1852" s="8" t="n"/>
      <c r="O1852" s="8" t="n"/>
      <c r="P1852" s="8" t="n"/>
      <c r="Q1852" s="7" t="inlineStr">
        <is>
          <t>SEM COTAÇÃO</t>
        </is>
      </c>
      <c r="R1852" s="8" t="n"/>
      <c r="S1852" s="14" t="n"/>
      <c r="T1852" s="7" t="inlineStr"/>
      <c r="U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8" t="n"/>
      <c r="M1853" s="8" t="n"/>
      <c r="N1853" s="8" t="n"/>
      <c r="O1853" s="8" t="n"/>
      <c r="P1853" s="8" t="n"/>
      <c r="Q1853" s="7" t="inlineStr">
        <is>
          <t>SEM COTAÇÃO</t>
        </is>
      </c>
      <c r="R1853" s="8" t="n"/>
      <c r="S1853" s="14" t="n"/>
      <c r="T1853" s="7" t="inlineStr"/>
      <c r="U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8" t="n"/>
      <c r="M1854" s="8" t="n"/>
      <c r="N1854" s="8" t="n"/>
      <c r="O1854" s="8" t="n"/>
      <c r="P1854" s="8" t="n"/>
      <c r="Q1854" s="7" t="inlineStr">
        <is>
          <t>SEM COTAÇÃO</t>
        </is>
      </c>
      <c r="R1854" s="8" t="n"/>
      <c r="S1854" s="14" t="n"/>
      <c r="T1854" s="7" t="inlineStr"/>
      <c r="U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8" t="n"/>
      <c r="M1855" s="8" t="n"/>
      <c r="N1855" s="8" t="n"/>
      <c r="O1855" s="8" t="n"/>
      <c r="P1855" s="8" t="n"/>
      <c r="Q1855" s="7" t="inlineStr">
        <is>
          <t>SEM COTAÇÃO</t>
        </is>
      </c>
      <c r="R1855" s="8" t="n"/>
      <c r="S1855" s="14" t="n"/>
      <c r="T1855" s="7" t="inlineStr"/>
      <c r="U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8" t="n"/>
      <c r="M1856" s="8" t="n"/>
      <c r="N1856" s="8" t="n"/>
      <c r="O1856" s="8" t="n"/>
      <c r="P1856" s="8" t="n"/>
      <c r="Q1856" s="7" t="inlineStr">
        <is>
          <t>SEM COTAÇÃO</t>
        </is>
      </c>
      <c r="R1856" s="8" t="n"/>
      <c r="S1856" s="14" t="n"/>
      <c r="T1856" s="7" t="inlineStr"/>
      <c r="U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8" t="n"/>
      <c r="M1857" s="8" t="n"/>
      <c r="N1857" s="8" t="n"/>
      <c r="O1857" s="8" t="n"/>
      <c r="P1857" s="8" t="n"/>
      <c r="Q1857" s="7" t="inlineStr">
        <is>
          <t>SEM COTAÇÃO</t>
        </is>
      </c>
      <c r="R1857" s="8" t="n"/>
      <c r="S1857" s="14" t="n"/>
      <c r="T1857" s="7" t="inlineStr"/>
      <c r="U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8" t="n"/>
      <c r="M1858" s="8" t="n"/>
      <c r="N1858" s="8" t="n"/>
      <c r="O1858" s="8" t="n"/>
      <c r="P1858" s="8" t="n"/>
      <c r="Q1858" s="7" t="inlineStr">
        <is>
          <t>SEM COTAÇÃO</t>
        </is>
      </c>
      <c r="R1858" s="8" t="n"/>
      <c r="S1858" s="14" t="n"/>
      <c r="T1858" s="7" t="inlineStr"/>
      <c r="U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8" t="n"/>
      <c r="M1859" s="8" t="n"/>
      <c r="N1859" s="8" t="n"/>
      <c r="O1859" s="8" t="n"/>
      <c r="P1859" s="8" t="n"/>
      <c r="Q1859" s="7" t="inlineStr">
        <is>
          <t>SEM COTAÇÃO</t>
        </is>
      </c>
      <c r="R1859" s="8" t="n"/>
      <c r="S1859" s="14" t="n"/>
      <c r="T1859" s="7" t="inlineStr"/>
      <c r="U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8" t="n"/>
      <c r="M1860" s="8" t="n"/>
      <c r="N1860" s="8" t="n"/>
      <c r="O1860" s="8" t="n"/>
      <c r="P1860" s="8" t="n"/>
      <c r="Q1860" s="7" t="inlineStr">
        <is>
          <t>SEM COTAÇÃO</t>
        </is>
      </c>
      <c r="R1860" s="8" t="n"/>
      <c r="S1860" s="14" t="n"/>
      <c r="T1860" s="7" t="inlineStr"/>
      <c r="U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8" t="n"/>
      <c r="M1861" s="8" t="n"/>
      <c r="N1861" s="8" t="n"/>
      <c r="O1861" s="8" t="n"/>
      <c r="P1861" s="8" t="n"/>
      <c r="Q1861" s="7" t="inlineStr">
        <is>
          <t>SEM COTAÇÃO</t>
        </is>
      </c>
      <c r="R1861" s="8" t="n"/>
      <c r="S1861" s="14" t="n"/>
      <c r="T1861" s="7" t="inlineStr"/>
      <c r="U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8" t="n"/>
      <c r="M1862" s="8" t="n"/>
      <c r="N1862" s="8" t="n"/>
      <c r="O1862" s="8" t="n"/>
      <c r="P1862" s="8" t="n"/>
      <c r="Q1862" s="7" t="inlineStr">
        <is>
          <t>SEM COTAÇÃO</t>
        </is>
      </c>
      <c r="R1862" s="8" t="n"/>
      <c r="S1862" s="14" t="n"/>
      <c r="T1862" s="7" t="inlineStr"/>
      <c r="U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8" t="n"/>
      <c r="M1863" s="8" t="n"/>
      <c r="N1863" s="8" t="n"/>
      <c r="O1863" s="8" t="n"/>
      <c r="P1863" s="8" t="n"/>
      <c r="Q1863" s="7" t="inlineStr">
        <is>
          <t>SEM COTAÇÃO</t>
        </is>
      </c>
      <c r="R1863" s="8" t="n"/>
      <c r="S1863" s="14" t="n"/>
      <c r="T1863" s="7" t="inlineStr"/>
      <c r="U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8" t="n"/>
      <c r="M1864" s="8" t="n"/>
      <c r="N1864" s="8" t="n"/>
      <c r="O1864" s="8" t="n"/>
      <c r="P1864" s="8" t="n"/>
      <c r="Q1864" s="7" t="inlineStr">
        <is>
          <t>SEM COTAÇÃO</t>
        </is>
      </c>
      <c r="R1864" s="8" t="n"/>
      <c r="S1864" s="14" t="n"/>
      <c r="T1864" s="7" t="inlineStr"/>
      <c r="U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8" t="n"/>
      <c r="M1865" s="8" t="n"/>
      <c r="N1865" s="8" t="n"/>
      <c r="O1865" s="8" t="n"/>
      <c r="P1865" s="8" t="n"/>
      <c r="Q1865" s="7" t="inlineStr">
        <is>
          <t>SEM COTAÇÃO</t>
        </is>
      </c>
      <c r="R1865" s="8" t="n"/>
      <c r="S1865" s="14" t="n"/>
      <c r="T1865" s="7" t="inlineStr"/>
      <c r="U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8" t="n"/>
      <c r="M1866" s="8" t="n"/>
      <c r="N1866" s="8" t="n"/>
      <c r="O1866" s="8" t="n"/>
      <c r="P1866" s="8" t="n"/>
      <c r="Q1866" s="7" t="inlineStr">
        <is>
          <t>SEM COTAÇÃO</t>
        </is>
      </c>
      <c r="R1866" s="8" t="n"/>
      <c r="S1866" s="14" t="n"/>
      <c r="T1866" s="7" t="inlineStr"/>
      <c r="U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8" t="n"/>
      <c r="M1867" s="8" t="n"/>
      <c r="N1867" s="8" t="n"/>
      <c r="O1867" s="8" t="n"/>
      <c r="P1867" s="8" t="n"/>
      <c r="Q1867" s="7" t="inlineStr">
        <is>
          <t>SEM COTAÇÃO</t>
        </is>
      </c>
      <c r="R1867" s="8" t="n"/>
      <c r="S1867" s="14" t="n"/>
      <c r="T1867" s="7" t="inlineStr"/>
      <c r="U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8" t="n"/>
      <c r="M1868" s="8" t="n"/>
      <c r="N1868" s="8" t="n"/>
      <c r="O1868" s="8" t="n"/>
      <c r="P1868" s="8" t="n"/>
      <c r="Q1868" s="7" t="inlineStr">
        <is>
          <t>SEM COTAÇÃO</t>
        </is>
      </c>
      <c r="R1868" s="8" t="n"/>
      <c r="S1868" s="14" t="n"/>
      <c r="T1868" s="7" t="inlineStr"/>
      <c r="U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8" t="n"/>
      <c r="M1869" s="8" t="n"/>
      <c r="N1869" s="8" t="n"/>
      <c r="O1869" s="8" t="n"/>
      <c r="P1869" s="8" t="n"/>
      <c r="Q1869" s="7" t="inlineStr">
        <is>
          <t>SEM COTAÇÃO</t>
        </is>
      </c>
      <c r="R1869" s="8" t="n"/>
      <c r="S1869" s="14" t="n"/>
      <c r="T1869" s="7" t="inlineStr"/>
      <c r="U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8" t="n"/>
      <c r="M1870" s="8" t="n"/>
      <c r="N1870" s="8" t="n"/>
      <c r="O1870" s="8" t="n"/>
      <c r="P1870" s="8" t="n"/>
      <c r="Q1870" s="7" t="inlineStr">
        <is>
          <t>SEM COTAÇÃO</t>
        </is>
      </c>
      <c r="R1870" s="8" t="n"/>
      <c r="S1870" s="14" t="n"/>
      <c r="T1870" s="7" t="inlineStr"/>
      <c r="U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8" t="n"/>
      <c r="M1871" s="8" t="n"/>
      <c r="N1871" s="8" t="n"/>
      <c r="O1871" s="8" t="n"/>
      <c r="P1871" s="8" t="n"/>
      <c r="Q1871" s="7" t="inlineStr">
        <is>
          <t>SEM COTAÇÃO</t>
        </is>
      </c>
      <c r="R1871" s="8" t="n"/>
      <c r="S1871" s="14" t="n"/>
      <c r="T1871" s="7" t="inlineStr"/>
      <c r="U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8" t="n"/>
      <c r="M1872" s="8" t="n"/>
      <c r="N1872" s="8" t="n"/>
      <c r="O1872" s="8" t="n"/>
      <c r="P1872" s="8" t="n"/>
      <c r="Q1872" s="7" t="inlineStr">
        <is>
          <t>SEM COTAÇÃO</t>
        </is>
      </c>
      <c r="R1872" s="8" t="n"/>
      <c r="S1872" s="14" t="n"/>
      <c r="T1872" s="7" t="inlineStr"/>
      <c r="U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8" t="n"/>
      <c r="M1873" s="8" t="n"/>
      <c r="N1873" s="8" t="n"/>
      <c r="O1873" s="8" t="n"/>
      <c r="P1873" s="8" t="n"/>
      <c r="Q1873" s="7" t="inlineStr">
        <is>
          <t>SEM COTAÇÃO</t>
        </is>
      </c>
      <c r="R1873" s="8" t="n"/>
      <c r="S1873" s="14" t="n"/>
      <c r="T1873" s="7" t="inlineStr"/>
      <c r="U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8" t="n"/>
      <c r="M1874" s="8" t="n"/>
      <c r="N1874" s="8" t="n"/>
      <c r="O1874" s="15" t="n">
        <v>15.07</v>
      </c>
      <c r="P1874" s="8" t="n"/>
      <c r="Q1874" s="7" t="inlineStr">
        <is>
          <t>NAZARIA</t>
        </is>
      </c>
      <c r="R1874" s="8" t="n">
        <v>15.07</v>
      </c>
      <c r="S1874" s="14">
        <f>R1874/H1874-1</f>
        <v/>
      </c>
      <c r="T1874" s="16" t="inlineStr">
        <is>
          <t>ACIMA +4.5%</t>
        </is>
      </c>
      <c r="U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8" t="n"/>
      <c r="M1875" s="8" t="n"/>
      <c r="N1875" s="8" t="n"/>
      <c r="O1875" s="8" t="n"/>
      <c r="P1875" s="8" t="n"/>
      <c r="Q1875" s="7" t="inlineStr">
        <is>
          <t>SEM COTAÇÃO</t>
        </is>
      </c>
      <c r="R1875" s="8" t="n"/>
      <c r="S1875" s="14" t="n"/>
      <c r="T1875" s="7" t="inlineStr"/>
      <c r="U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8" t="n"/>
      <c r="M1876" s="8" t="n"/>
      <c r="N1876" s="8" t="n"/>
      <c r="O1876" s="8" t="n"/>
      <c r="P1876" s="8" t="n"/>
      <c r="Q1876" s="7" t="inlineStr">
        <is>
          <t>SEM COTAÇÃO</t>
        </is>
      </c>
      <c r="R1876" s="8" t="n"/>
      <c r="S1876" s="14" t="n"/>
      <c r="T1876" s="7" t="inlineStr"/>
      <c r="U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8" t="n"/>
      <c r="M1877" s="8" t="n"/>
      <c r="N1877" s="8" t="n"/>
      <c r="O1877" s="8" t="n"/>
      <c r="P1877" s="8" t="n"/>
      <c r="Q1877" s="7" t="inlineStr">
        <is>
          <t>SEM COTAÇÃO</t>
        </is>
      </c>
      <c r="R1877" s="8" t="n"/>
      <c r="S1877" s="14" t="n"/>
      <c r="T1877" s="7" t="inlineStr"/>
      <c r="U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8" t="n"/>
      <c r="M1878" s="8" t="n"/>
      <c r="N1878" s="8" t="n"/>
      <c r="O1878" s="15" t="n">
        <v>11.99</v>
      </c>
      <c r="P1878" s="8" t="n"/>
      <c r="Q1878" s="7" t="inlineStr">
        <is>
          <t>NAZARIA</t>
        </is>
      </c>
      <c r="R1878" s="8" t="n">
        <v>11.99</v>
      </c>
      <c r="S1878" s="14">
        <f>R1878/H1878-1</f>
        <v/>
      </c>
      <c r="T1878" s="16" t="inlineStr">
        <is>
          <t>ACIMA +2.9%</t>
        </is>
      </c>
      <c r="U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8" t="n"/>
      <c r="M1879" s="8" t="n"/>
      <c r="N1879" s="8" t="n"/>
      <c r="O1879" s="8" t="n"/>
      <c r="P1879" s="8" t="n"/>
      <c r="Q1879" s="7" t="inlineStr">
        <is>
          <t>SEM COTAÇÃO</t>
        </is>
      </c>
      <c r="R1879" s="8" t="n"/>
      <c r="S1879" s="14" t="n"/>
      <c r="T1879" s="7" t="inlineStr"/>
      <c r="U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8" t="n"/>
      <c r="M1880" s="8" t="n"/>
      <c r="N1880" s="8" t="n"/>
      <c r="O1880" s="8" t="n"/>
      <c r="P1880" s="8" t="n"/>
      <c r="Q1880" s="7" t="inlineStr">
        <is>
          <t>SEM COTAÇÃO</t>
        </is>
      </c>
      <c r="R1880" s="8" t="n"/>
      <c r="S1880" s="14" t="n"/>
      <c r="T1880" s="7" t="inlineStr"/>
      <c r="U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8" t="n"/>
      <c r="M1881" s="8" t="n"/>
      <c r="N1881" s="8" t="n"/>
      <c r="O1881" s="8" t="n"/>
      <c r="P1881" s="8" t="n"/>
      <c r="Q1881" s="7" t="inlineStr">
        <is>
          <t>SEM COTAÇÃO</t>
        </is>
      </c>
      <c r="R1881" s="8" t="n"/>
      <c r="S1881" s="14" t="n"/>
      <c r="T1881" s="7" t="inlineStr"/>
      <c r="U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8" t="n"/>
      <c r="M1882" s="8" t="n"/>
      <c r="N1882" s="8" t="n"/>
      <c r="O1882" s="8" t="n"/>
      <c r="P1882" s="8" t="n"/>
      <c r="Q1882" s="7" t="inlineStr">
        <is>
          <t>SEM COTAÇÃO</t>
        </is>
      </c>
      <c r="R1882" s="8" t="n"/>
      <c r="S1882" s="14" t="n"/>
      <c r="T1882" s="7" t="inlineStr"/>
      <c r="U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8" t="n"/>
      <c r="M1883" s="8" t="n"/>
      <c r="N1883" s="8" t="n"/>
      <c r="O1883" s="8" t="n"/>
      <c r="P1883" s="8" t="n"/>
      <c r="Q1883" s="7" t="inlineStr">
        <is>
          <t>SEM COTAÇÃO</t>
        </is>
      </c>
      <c r="R1883" s="8" t="n"/>
      <c r="S1883" s="14" t="n"/>
      <c r="T1883" s="7" t="inlineStr"/>
      <c r="U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8" t="n"/>
      <c r="M1884" s="8" t="n"/>
      <c r="N1884" s="8" t="n"/>
      <c r="O1884" s="8" t="n"/>
      <c r="P1884" s="8" t="n"/>
      <c r="Q1884" s="7" t="inlineStr">
        <is>
          <t>SEM COTAÇÃO</t>
        </is>
      </c>
      <c r="R1884" s="8" t="n"/>
      <c r="S1884" s="14" t="n"/>
      <c r="T1884" s="7" t="inlineStr"/>
      <c r="U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8" t="n"/>
      <c r="M1885" s="8" t="n"/>
      <c r="N1885" s="8" t="n"/>
      <c r="O1885" s="15" t="n">
        <v>13.91</v>
      </c>
      <c r="P1885" s="8" t="n"/>
      <c r="Q1885" s="7" t="inlineStr">
        <is>
          <t>NAZARIA</t>
        </is>
      </c>
      <c r="R1885" s="8" t="n">
        <v>13.91</v>
      </c>
      <c r="S1885" s="14">
        <f>R1885/H1885-1</f>
        <v/>
      </c>
      <c r="T1885" s="16" t="inlineStr">
        <is>
          <t>ACIMA +2.4%</t>
        </is>
      </c>
      <c r="U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7" t="inlineStr">
        <is>
          <t>SEM COTAÇÃO</t>
        </is>
      </c>
      <c r="R1886" s="8" t="n"/>
      <c r="S1886" s="14" t="n"/>
      <c r="T1886" s="7" t="inlineStr"/>
      <c r="U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15" t="n">
        <v>41.94</v>
      </c>
      <c r="M1887" s="8" t="n"/>
      <c r="N1887" s="8" t="n"/>
      <c r="O1887" s="8" t="n">
        <v>48.5388</v>
      </c>
      <c r="P1887" s="8" t="n"/>
      <c r="Q1887" s="7" t="inlineStr">
        <is>
          <t>EPAN</t>
        </is>
      </c>
      <c r="R1887" s="8" t="n">
        <v>41.94</v>
      </c>
      <c r="S1887" s="14">
        <f>R1887/H1887-1</f>
        <v/>
      </c>
      <c r="T1887" s="16" t="inlineStr">
        <is>
          <t>ACIMA +4.9%</t>
        </is>
      </c>
      <c r="U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8" t="n"/>
      <c r="M1888" s="8" t="n">
        <v>2.7</v>
      </c>
      <c r="N1888" s="8" t="n"/>
      <c r="O1888" s="8" t="n">
        <v>2.39</v>
      </c>
      <c r="P1888" s="8" t="n">
        <v>3.01</v>
      </c>
      <c r="Q1888" s="7" t="inlineStr">
        <is>
          <t>DIMEC</t>
        </is>
      </c>
      <c r="R1888" s="8" t="n">
        <v>2.23</v>
      </c>
      <c r="S1888" s="14">
        <f>R1888/H1888-1</f>
        <v/>
      </c>
      <c r="T1888" s="17" t="inlineStr">
        <is>
          <t>OK (≤ menor hist.)</t>
        </is>
      </c>
      <c r="U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8" t="n"/>
      <c r="M1889" s="8" t="n"/>
      <c r="N1889" s="8" t="n"/>
      <c r="O1889" s="8" t="n">
        <v>3.41</v>
      </c>
      <c r="P1889" s="8" t="n">
        <v>4.38</v>
      </c>
      <c r="Q1889" s="7" t="inlineStr">
        <is>
          <t>DIMEC</t>
        </is>
      </c>
      <c r="R1889" s="8" t="n">
        <v>3.14</v>
      </c>
      <c r="S1889" s="14">
        <f>R1889/H1889-1</f>
        <v/>
      </c>
      <c r="T1889" s="17" t="inlineStr">
        <is>
          <t>OK (≤ menor hist.)</t>
        </is>
      </c>
      <c r="U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8" t="n"/>
      <c r="M1890" s="8" t="n"/>
      <c r="N1890" s="8" t="n"/>
      <c r="O1890" s="8" t="n"/>
      <c r="P1890" s="8" t="n"/>
      <c r="Q1890" s="7" t="inlineStr">
        <is>
          <t>SEM COTAÇÃO</t>
        </is>
      </c>
      <c r="R1890" s="8" t="n"/>
      <c r="S1890" s="14" t="n"/>
      <c r="T1890" s="7" t="inlineStr"/>
      <c r="U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8" t="n"/>
      <c r="M1891" s="8" t="n">
        <v>22.02</v>
      </c>
      <c r="N1891" s="8" t="n"/>
      <c r="O1891" s="8" t="n"/>
      <c r="P1891" s="8" t="n"/>
      <c r="Q1891" s="7" t="inlineStr">
        <is>
          <t>DIMEC</t>
        </is>
      </c>
      <c r="R1891" s="8" t="n">
        <v>20.48</v>
      </c>
      <c r="S1891" s="14">
        <f>R1891/H1891-1</f>
        <v/>
      </c>
      <c r="T1891" s="17" t="inlineStr">
        <is>
          <t>OK (≤ menor hist.)</t>
        </is>
      </c>
      <c r="U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8" t="n"/>
      <c r="M1892" s="8" t="n"/>
      <c r="N1892" s="8" t="n"/>
      <c r="O1892" s="8" t="n"/>
      <c r="P1892" s="8" t="n"/>
      <c r="Q1892" s="7" t="inlineStr">
        <is>
          <t>SEM COTAÇÃO</t>
        </is>
      </c>
      <c r="R1892" s="8" t="n"/>
      <c r="S1892" s="14" t="n"/>
      <c r="T1892" s="7" t="inlineStr"/>
      <c r="U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8" t="n"/>
      <c r="M1893" s="8" t="n"/>
      <c r="N1893" s="8" t="n"/>
      <c r="O1893" s="8" t="n"/>
      <c r="P1893" s="8" t="n"/>
      <c r="Q1893" s="7" t="inlineStr">
        <is>
          <t>SEM COTAÇÃO</t>
        </is>
      </c>
      <c r="R1893" s="8" t="n"/>
      <c r="S1893" s="14" t="n"/>
      <c r="T1893" s="7" t="inlineStr"/>
      <c r="U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8" t="n"/>
      <c r="M1894" s="8" t="n"/>
      <c r="N1894" s="8" t="n"/>
      <c r="O1894" s="8" t="n"/>
      <c r="P1894" s="8" t="n"/>
      <c r="Q1894" s="7" t="inlineStr">
        <is>
          <t>SEM COTAÇÃO</t>
        </is>
      </c>
      <c r="R1894" s="8" t="n"/>
      <c r="S1894" s="14" t="n"/>
      <c r="T1894" s="7" t="inlineStr"/>
      <c r="U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8" t="n"/>
      <c r="M1895" s="8" t="n"/>
      <c r="N1895" s="8" t="n"/>
      <c r="O1895" s="8" t="n"/>
      <c r="P1895" s="8" t="n"/>
      <c r="Q1895" s="7" t="inlineStr">
        <is>
          <t>SEM COTAÇÃO</t>
        </is>
      </c>
      <c r="R1895" s="8" t="n"/>
      <c r="S1895" s="14" t="n"/>
      <c r="T1895" s="7" t="inlineStr"/>
      <c r="U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19.89</v>
      </c>
      <c r="K1896" s="8" t="n"/>
      <c r="L1896" s="8" t="n"/>
      <c r="M1896" s="15" t="n">
        <v>19.67</v>
      </c>
      <c r="N1896" s="8" t="n"/>
      <c r="O1896" s="8" t="n"/>
      <c r="P1896" s="8" t="n"/>
      <c r="Q1896" s="7" t="inlineStr">
        <is>
          <t>CENTROFARMA</t>
        </is>
      </c>
      <c r="R1896" s="8" t="n">
        <v>19.67</v>
      </c>
      <c r="S1896" s="14">
        <f>R1896/H1896-1</f>
        <v/>
      </c>
      <c r="T1896" s="16" t="inlineStr">
        <is>
          <t>ACIMA +5.2%</t>
        </is>
      </c>
      <c r="U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8" t="n"/>
      <c r="M1897" s="8" t="n">
        <v>27.32</v>
      </c>
      <c r="N1897" s="8" t="n"/>
      <c r="O1897" s="15" t="n">
        <v>24.46</v>
      </c>
      <c r="P1897" s="8" t="n"/>
      <c r="Q1897" s="7" t="inlineStr">
        <is>
          <t>NAZARIA</t>
        </is>
      </c>
      <c r="R1897" s="8" t="n">
        <v>24.46</v>
      </c>
      <c r="S1897" s="14">
        <f>R1897/H1897-1</f>
        <v/>
      </c>
      <c r="T1897" s="16" t="inlineStr">
        <is>
          <t>ACIMA +11.2%</t>
        </is>
      </c>
      <c r="U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8" t="n"/>
      <c r="M1898" s="8" t="n"/>
      <c r="N1898" s="8" t="n"/>
      <c r="O1898" s="8" t="n"/>
      <c r="P1898" s="8" t="n"/>
      <c r="Q1898" s="7" t="inlineStr">
        <is>
          <t>DIMEC</t>
        </is>
      </c>
      <c r="R1898" s="8" t="n">
        <v>20.43</v>
      </c>
      <c r="S1898" s="14">
        <f>R1898/H1898-1</f>
        <v/>
      </c>
      <c r="T1898" s="17" t="inlineStr">
        <is>
          <t>OK (≤ últ. compra)</t>
        </is>
      </c>
      <c r="U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8" t="n"/>
      <c r="M1899" s="8" t="n">
        <v>22.56</v>
      </c>
      <c r="N1899" s="8" t="n"/>
      <c r="O1899" s="8" t="n"/>
      <c r="P1899" s="8" t="n"/>
      <c r="Q1899" s="7" t="inlineStr">
        <is>
          <t>DIMEC</t>
        </is>
      </c>
      <c r="R1899" s="8" t="n">
        <v>20.48</v>
      </c>
      <c r="S1899" s="14">
        <f>R1899/H1899-1</f>
        <v/>
      </c>
      <c r="T1899" s="17" t="inlineStr">
        <is>
          <t>OK (≤ menor hist.)</t>
        </is>
      </c>
      <c r="U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8" t="n"/>
      <c r="M1900" s="8" t="n"/>
      <c r="N1900" s="8" t="n"/>
      <c r="O1900" s="8" t="n">
        <v>7.4</v>
      </c>
      <c r="P1900" s="8" t="n"/>
      <c r="Q1900" s="7" t="inlineStr">
        <is>
          <t>SEM COTAÇÃO</t>
        </is>
      </c>
      <c r="R1900" s="8" t="n"/>
      <c r="S1900" s="14" t="n"/>
      <c r="T1900" s="7" t="inlineStr"/>
      <c r="U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8" t="n"/>
      <c r="M1901" s="8" t="n"/>
      <c r="N1901" s="8" t="n"/>
      <c r="O1901" s="8" t="n">
        <v>6.59</v>
      </c>
      <c r="P1901" s="8" t="n"/>
      <c r="Q1901" s="7" t="inlineStr">
        <is>
          <t>SEM COTAÇÃO</t>
        </is>
      </c>
      <c r="R1901" s="8" t="n"/>
      <c r="S1901" s="14" t="n"/>
      <c r="T1901" s="7" t="inlineStr"/>
      <c r="U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8" t="n"/>
      <c r="M1902" s="8" t="n">
        <v>2.14</v>
      </c>
      <c r="N1902" s="8" t="n"/>
      <c r="O1902" s="8" t="n">
        <v>1.98</v>
      </c>
      <c r="P1902" s="8" t="n">
        <v>2.63</v>
      </c>
      <c r="Q1902" s="7" t="inlineStr">
        <is>
          <t>DIMEC</t>
        </is>
      </c>
      <c r="R1902" s="8" t="n">
        <v>1.86</v>
      </c>
      <c r="S1902" s="14">
        <f>R1902/H1902-1</f>
        <v/>
      </c>
      <c r="T1902" s="17" t="inlineStr">
        <is>
          <t>OK (≤ menor hist.)</t>
        </is>
      </c>
      <c r="U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8" t="n"/>
      <c r="M1903" s="8" t="n">
        <v>9.880000000000001</v>
      </c>
      <c r="N1903" s="8" t="n"/>
      <c r="O1903" s="8" t="n">
        <v>8.720000000000001</v>
      </c>
      <c r="P1903" s="8" t="n">
        <v>10.52</v>
      </c>
      <c r="Q1903" s="7" t="inlineStr">
        <is>
          <t>DIMEC</t>
        </is>
      </c>
      <c r="R1903" s="8" t="n">
        <v>8.1</v>
      </c>
      <c r="S1903" s="14">
        <f>R1903/H1903-1</f>
        <v/>
      </c>
      <c r="T1903" s="17" t="inlineStr">
        <is>
          <t>OK (≤ menor hist.)</t>
        </is>
      </c>
      <c r="U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8" t="n"/>
      <c r="M1904" s="8" t="n">
        <v>5.66</v>
      </c>
      <c r="N1904" s="8" t="n"/>
      <c r="O1904" s="8" t="n">
        <v>5.4</v>
      </c>
      <c r="P1904" s="8" t="n">
        <v>6.51</v>
      </c>
      <c r="Q1904" s="7" t="inlineStr">
        <is>
          <t>DIMEC</t>
        </is>
      </c>
      <c r="R1904" s="8" t="n">
        <v>5.02</v>
      </c>
      <c r="S1904" s="14">
        <f>R1904/H1904-1</f>
        <v/>
      </c>
      <c r="T1904" s="17" t="inlineStr">
        <is>
          <t>OK (≤ menor hist.)</t>
        </is>
      </c>
      <c r="U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8" t="n"/>
      <c r="M1905" s="8" t="n"/>
      <c r="N1905" s="8" t="n"/>
      <c r="O1905" s="8" t="n"/>
      <c r="P1905" s="8" t="n"/>
      <c r="Q1905" s="7" t="inlineStr">
        <is>
          <t>SEM COTAÇÃO</t>
        </is>
      </c>
      <c r="R1905" s="8" t="n"/>
      <c r="S1905" s="14" t="n"/>
      <c r="T1905" s="7" t="inlineStr"/>
      <c r="U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8" t="n"/>
      <c r="M1906" s="8" t="n"/>
      <c r="N1906" s="8" t="n"/>
      <c r="O1906" s="15" t="n">
        <v>2.7257</v>
      </c>
      <c r="P1906" s="8" t="n"/>
      <c r="Q1906" s="7" t="inlineStr">
        <is>
          <t>NAZARIA</t>
        </is>
      </c>
      <c r="R1906" s="8" t="n">
        <v>2.7257</v>
      </c>
      <c r="S1906" s="14">
        <f>R1906/H1906-1</f>
        <v/>
      </c>
      <c r="T1906" s="17" t="inlineStr">
        <is>
          <t>OK (≤ últ. compra)</t>
        </is>
      </c>
      <c r="U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8" t="n"/>
      <c r="M1907" s="8" t="n"/>
      <c r="N1907" s="8" t="n"/>
      <c r="O1907" s="8" t="n"/>
      <c r="P1907" s="8" t="n"/>
      <c r="Q1907" s="7" t="inlineStr">
        <is>
          <t>SEM COTAÇÃO</t>
        </is>
      </c>
      <c r="R1907" s="8" t="n"/>
      <c r="S1907" s="14" t="n"/>
      <c r="T1907" s="7" t="inlineStr"/>
      <c r="U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8" t="n"/>
      <c r="M1908" s="8" t="n"/>
      <c r="N1908" s="8" t="n"/>
      <c r="O1908" s="15" t="n">
        <v>3.8606</v>
      </c>
      <c r="P1908" s="8" t="n"/>
      <c r="Q1908" s="7" t="inlineStr">
        <is>
          <t>NAZARIA</t>
        </is>
      </c>
      <c r="R1908" s="8" t="n">
        <v>3.8606</v>
      </c>
      <c r="S1908" s="14">
        <f>R1908/H1908-1</f>
        <v/>
      </c>
      <c r="T1908" s="16" t="inlineStr">
        <is>
          <t>ACIMA +19.7%</t>
        </is>
      </c>
      <c r="U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8" t="n"/>
      <c r="M1909" s="8" t="n"/>
      <c r="N1909" s="8" t="n"/>
      <c r="O1909" s="15" t="n">
        <v>6.2662</v>
      </c>
      <c r="P1909" s="8" t="n"/>
      <c r="Q1909" s="7" t="inlineStr">
        <is>
          <t>NAZARIA</t>
        </is>
      </c>
      <c r="R1909" s="8" t="n">
        <v>6.2662</v>
      </c>
      <c r="S1909" s="14">
        <f>R1909/H1909-1</f>
        <v/>
      </c>
      <c r="T1909" s="16" t="inlineStr">
        <is>
          <t>ACIMA +19.8%</t>
        </is>
      </c>
      <c r="U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15" t="n">
        <v>4.65</v>
      </c>
      <c r="L1910" s="8" t="n"/>
      <c r="M1910" s="8" t="n"/>
      <c r="N1910" s="8" t="n"/>
      <c r="O1910" s="8" t="n">
        <v>3.952</v>
      </c>
      <c r="P1910" s="8" t="n"/>
      <c r="Q1910" s="7" t="inlineStr">
        <is>
          <t>PLUSFARMA</t>
        </is>
      </c>
      <c r="R1910" s="8" t="n">
        <v>4.65</v>
      </c>
      <c r="S1910" s="14">
        <f>R1910/H1910-1</f>
        <v/>
      </c>
      <c r="T1910" s="16" t="inlineStr">
        <is>
          <t>ACIMA +13.7%</t>
        </is>
      </c>
      <c r="U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8" t="n"/>
      <c r="M1911" s="8" t="n"/>
      <c r="N1911" s="8" t="n"/>
      <c r="O1911" s="15" t="n">
        <v>6.4505</v>
      </c>
      <c r="P1911" s="8" t="n"/>
      <c r="Q1911" s="7" t="inlineStr">
        <is>
          <t>NAZARIA</t>
        </is>
      </c>
      <c r="R1911" s="8" t="n">
        <v>6.4505</v>
      </c>
      <c r="S1911" s="14">
        <f>R1911/H1911-1</f>
        <v/>
      </c>
      <c r="T1911" s="16" t="inlineStr">
        <is>
          <t>ACIMA +10.5%</t>
        </is>
      </c>
      <c r="U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8" t="n"/>
      <c r="M1912" s="8" t="n"/>
      <c r="N1912" s="8" t="n"/>
      <c r="O1912" s="8" t="n"/>
      <c r="P1912" s="8" t="n"/>
      <c r="Q1912" s="7" t="inlineStr">
        <is>
          <t>SEM COTAÇÃO</t>
        </is>
      </c>
      <c r="R1912" s="8" t="n"/>
      <c r="S1912" s="14" t="n"/>
      <c r="T1912" s="7" t="inlineStr"/>
      <c r="U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8" t="n"/>
      <c r="M1913" s="8" t="n"/>
      <c r="N1913" s="8" t="n"/>
      <c r="O1913" s="8" t="n"/>
      <c r="P1913" s="8" t="n"/>
      <c r="Q1913" s="7" t="inlineStr">
        <is>
          <t>SEM COTAÇÃO</t>
        </is>
      </c>
      <c r="R1913" s="8" t="n"/>
      <c r="S1913" s="14" t="n"/>
      <c r="T1913" s="7" t="inlineStr"/>
      <c r="U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8" t="n"/>
      <c r="M1914" s="8" t="n"/>
      <c r="N1914" s="8" t="n"/>
      <c r="O1914" s="8" t="n"/>
      <c r="P1914" s="8" t="n"/>
      <c r="Q1914" s="7" t="inlineStr">
        <is>
          <t>SEM COTAÇÃO</t>
        </is>
      </c>
      <c r="R1914" s="8" t="n"/>
      <c r="S1914" s="14" t="n"/>
      <c r="T1914" s="7" t="inlineStr"/>
      <c r="U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8" t="n"/>
      <c r="M1915" s="8" t="n"/>
      <c r="N1915" s="8" t="n"/>
      <c r="O1915" s="8" t="n"/>
      <c r="P1915" s="8" t="n"/>
      <c r="Q1915" s="7" t="inlineStr">
        <is>
          <t>SEM COTAÇÃO</t>
        </is>
      </c>
      <c r="R1915" s="8" t="n"/>
      <c r="S1915" s="14" t="n"/>
      <c r="T1915" s="7" t="inlineStr"/>
      <c r="U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8" t="n"/>
      <c r="M1916" s="8" t="n"/>
      <c r="N1916" s="8" t="n"/>
      <c r="O1916" s="8" t="n"/>
      <c r="P1916" s="8" t="n"/>
      <c r="Q1916" s="7" t="inlineStr">
        <is>
          <t>SEM COTAÇÃO</t>
        </is>
      </c>
      <c r="R1916" s="8" t="n"/>
      <c r="S1916" s="14" t="n"/>
      <c r="T1916" s="7" t="inlineStr"/>
      <c r="U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8" t="n"/>
      <c r="M1917" s="8" t="n"/>
      <c r="N1917" s="15" t="n">
        <v>56.02</v>
      </c>
      <c r="O1917" s="8" t="n">
        <v>57.8217</v>
      </c>
      <c r="P1917" s="8" t="n"/>
      <c r="Q1917" s="7" t="inlineStr">
        <is>
          <t>TAPAJOS</t>
        </is>
      </c>
      <c r="R1917" s="8" t="n">
        <v>56.02</v>
      </c>
      <c r="S1917" s="14">
        <f>R1917/H1917-1</f>
        <v/>
      </c>
      <c r="T1917" s="16" t="inlineStr">
        <is>
          <t>ACIMA +1167.4%</t>
        </is>
      </c>
      <c r="U1917" s="7" t="inlineStr">
        <is>
          <t>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8" t="n"/>
      <c r="M1918" s="8" t="n"/>
      <c r="N1918" s="8" t="n"/>
      <c r="O1918" s="8" t="n"/>
      <c r="P1918" s="8" t="n"/>
      <c r="Q1918" s="7" t="inlineStr">
        <is>
          <t>SEM COTAÇÃO</t>
        </is>
      </c>
      <c r="R1918" s="8" t="n"/>
      <c r="S1918" s="14" t="n"/>
      <c r="T1918" s="7" t="inlineStr"/>
      <c r="U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8" t="n"/>
      <c r="M1919" s="8" t="n"/>
      <c r="N1919" s="8" t="n"/>
      <c r="O1919" s="8" t="n"/>
      <c r="P1919" s="8" t="n"/>
      <c r="Q1919" s="7" t="inlineStr">
        <is>
          <t>SEM COTAÇÃO</t>
        </is>
      </c>
      <c r="R1919" s="8" t="n"/>
      <c r="S1919" s="14" t="n"/>
      <c r="T1919" s="7" t="inlineStr"/>
      <c r="U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15" t="n">
        <v>27.92</v>
      </c>
      <c r="M1920" s="8" t="n"/>
      <c r="N1920" s="8" t="n">
        <v>37.71</v>
      </c>
      <c r="O1920" s="8" t="n">
        <v>39.50835</v>
      </c>
      <c r="P1920" s="8" t="n"/>
      <c r="Q1920" s="7" t="inlineStr">
        <is>
          <t>EPAN</t>
        </is>
      </c>
      <c r="R1920" s="8" t="n">
        <v>27.92</v>
      </c>
      <c r="S1920" s="14">
        <f>R1920/H1920-1</f>
        <v/>
      </c>
      <c r="T1920" s="17" t="inlineStr">
        <is>
          <t>OK (≤ últ. compra)</t>
        </is>
      </c>
      <c r="U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8" t="n"/>
      <c r="M1921" s="8" t="n"/>
      <c r="N1921" s="15" t="n">
        <v>46.73999999999999</v>
      </c>
      <c r="O1921" s="8" t="n">
        <v>49.47655</v>
      </c>
      <c r="P1921" s="8" t="n"/>
      <c r="Q1921" s="7" t="inlineStr">
        <is>
          <t>TAPAJOS</t>
        </is>
      </c>
      <c r="R1921" s="8" t="n">
        <v>46.73999999999999</v>
      </c>
      <c r="S1921" s="14">
        <f>R1921/H1921-1</f>
        <v/>
      </c>
      <c r="T1921" s="17" t="inlineStr">
        <is>
          <t>OK (≤ últ. compra)</t>
        </is>
      </c>
      <c r="U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15" t="n">
        <v>49.13</v>
      </c>
      <c r="M1922" s="8" t="n"/>
      <c r="N1922" s="8" t="n"/>
      <c r="O1922" s="8" t="n">
        <v>58.3358</v>
      </c>
      <c r="P1922" s="8" t="n"/>
      <c r="Q1922" s="7" t="inlineStr">
        <is>
          <t>EPAN</t>
        </is>
      </c>
      <c r="R1922" s="8" t="n">
        <v>49.13</v>
      </c>
      <c r="S1922" s="14">
        <f>R1922/H1922-1</f>
        <v/>
      </c>
      <c r="T1922" s="17" t="inlineStr">
        <is>
          <t>OK (≤ últ. compra)</t>
        </is>
      </c>
      <c r="U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8" t="n"/>
      <c r="M1923" s="8" t="n">
        <v>14.67</v>
      </c>
      <c r="N1923" s="8" t="n"/>
      <c r="O1923" s="8" t="n"/>
      <c r="P1923" s="8" t="n"/>
      <c r="Q1923" s="7" t="inlineStr">
        <is>
          <t>DIMEC</t>
        </is>
      </c>
      <c r="R1923" s="8" t="n">
        <v>14.17</v>
      </c>
      <c r="S1923" s="14">
        <f>R1923/H1923-1</f>
        <v/>
      </c>
      <c r="T1923" s="16" t="inlineStr">
        <is>
          <t>ACIMA +5.0%</t>
        </is>
      </c>
      <c r="U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8" t="n"/>
      <c r="M1924" s="8" t="n"/>
      <c r="N1924" s="8" t="n"/>
      <c r="O1924" s="8" t="n"/>
      <c r="P1924" s="8" t="n"/>
      <c r="Q1924" s="7" t="inlineStr">
        <is>
          <t>SEM COTAÇÃO</t>
        </is>
      </c>
      <c r="R1924" s="8" t="n"/>
      <c r="S1924" s="14" t="n"/>
      <c r="T1924" s="7" t="inlineStr"/>
      <c r="U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8" t="n"/>
      <c r="M1925" s="8" t="n"/>
      <c r="N1925" s="8" t="n"/>
      <c r="O1925" s="8" t="n"/>
      <c r="P1925" s="8" t="n"/>
      <c r="Q1925" s="7" t="inlineStr">
        <is>
          <t>SEM COTAÇÃO</t>
        </is>
      </c>
      <c r="R1925" s="8" t="n"/>
      <c r="S1925" s="14" t="n"/>
      <c r="T1925" s="7" t="inlineStr"/>
      <c r="U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8" t="n"/>
      <c r="M1926" s="8" t="n"/>
      <c r="N1926" s="8" t="n"/>
      <c r="O1926" s="8" t="n"/>
      <c r="P1926" s="8" t="n"/>
      <c r="Q1926" s="7" t="inlineStr">
        <is>
          <t>DIMEC</t>
        </is>
      </c>
      <c r="R1926" s="8" t="n">
        <v>1.35</v>
      </c>
      <c r="S1926" s="14">
        <f>R1926/H1926-1</f>
        <v/>
      </c>
      <c r="T1926" s="17" t="inlineStr">
        <is>
          <t>OK (≤ menor hist.)</t>
        </is>
      </c>
      <c r="U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7" t="inlineStr">
        <is>
          <t>SEM COTAÇÃO</t>
        </is>
      </c>
      <c r="R1927" s="8" t="n"/>
      <c r="S1927" s="14" t="n"/>
      <c r="T1927" s="7" t="inlineStr"/>
      <c r="U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8" t="n"/>
      <c r="M1928" s="8" t="n"/>
      <c r="N1928" s="8" t="n"/>
      <c r="O1928" s="8" t="n"/>
      <c r="P1928" s="15" t="n">
        <v>19.85</v>
      </c>
      <c r="Q1928" s="7" t="inlineStr">
        <is>
          <t>MEDCENTRO</t>
        </is>
      </c>
      <c r="R1928" s="8" t="n">
        <v>19.85</v>
      </c>
      <c r="S1928" s="14">
        <f>R1928/H1928-1</f>
        <v/>
      </c>
      <c r="T1928" s="17" t="inlineStr">
        <is>
          <t>OK (≤ menor hist.)</t>
        </is>
      </c>
      <c r="U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8" t="n">
        <v>37.34</v>
      </c>
      <c r="M1929" s="8" t="n"/>
      <c r="N1929" s="15" t="n">
        <v>36.79</v>
      </c>
      <c r="O1929" s="8" t="n">
        <v>37.5744</v>
      </c>
      <c r="P1929" s="8" t="n"/>
      <c r="Q1929" s="7" t="inlineStr">
        <is>
          <t>TAPAJOS</t>
        </is>
      </c>
      <c r="R1929" s="8" t="n">
        <v>36.79</v>
      </c>
      <c r="S1929" s="14">
        <f>R1929/H1929-1</f>
        <v/>
      </c>
      <c r="T1929" s="17" t="inlineStr">
        <is>
          <t>OK (≤ últ. compra)</t>
        </is>
      </c>
      <c r="U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15" t="n">
        <v>28</v>
      </c>
      <c r="M1930" s="8" t="n"/>
      <c r="N1930" s="8" t="n">
        <v>28.2</v>
      </c>
      <c r="O1930" s="8" t="n">
        <v>28.8</v>
      </c>
      <c r="P1930" s="8" t="n"/>
      <c r="Q1930" s="7" t="inlineStr">
        <is>
          <t>EPAN</t>
        </is>
      </c>
      <c r="R1930" s="8" t="n">
        <v>28</v>
      </c>
      <c r="S1930" s="14">
        <f>R1930/H1930-1</f>
        <v/>
      </c>
      <c r="T1930" s="17" t="inlineStr">
        <is>
          <t>OK (≤ últ. compra)</t>
        </is>
      </c>
      <c r="U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15" t="n">
        <v>36.53</v>
      </c>
      <c r="M1931" s="8" t="n"/>
      <c r="N1931" s="8" t="n">
        <v>36.79</v>
      </c>
      <c r="O1931" s="8" t="n">
        <v>37.5744</v>
      </c>
      <c r="P1931" s="8" t="n"/>
      <c r="Q1931" s="7" t="inlineStr">
        <is>
          <t>EPAN</t>
        </is>
      </c>
      <c r="R1931" s="8" t="n">
        <v>36.53</v>
      </c>
      <c r="S1931" s="14">
        <f>R1931/H1931-1</f>
        <v/>
      </c>
      <c r="T1931" s="17" t="inlineStr">
        <is>
          <t>OK (≤ últ. compra)</t>
        </is>
      </c>
      <c r="U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8" t="n"/>
      <c r="M1932" s="8" t="n"/>
      <c r="N1932" s="15" t="n">
        <v>36.79</v>
      </c>
      <c r="O1932" s="8" t="n">
        <v>37.5744</v>
      </c>
      <c r="P1932" s="8" t="n"/>
      <c r="Q1932" s="7" t="inlineStr">
        <is>
          <t>TAPAJOS</t>
        </is>
      </c>
      <c r="R1932" s="8" t="n">
        <v>36.79</v>
      </c>
      <c r="S1932" s="14">
        <f>R1932/H1932-1</f>
        <v/>
      </c>
      <c r="T1932" s="17" t="inlineStr">
        <is>
          <t>OK (≤ últ. compra)</t>
        </is>
      </c>
      <c r="U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8" t="n"/>
      <c r="M1933" s="8" t="n"/>
      <c r="N1933" s="8" t="n"/>
      <c r="O1933" s="15" t="n">
        <v>39.6</v>
      </c>
      <c r="P1933" s="8" t="n"/>
      <c r="Q1933" s="7" t="inlineStr">
        <is>
          <t>NAZARIA</t>
        </is>
      </c>
      <c r="R1933" s="8" t="n">
        <v>39.6</v>
      </c>
      <c r="S1933" s="14">
        <f>R1933/H1933-1</f>
        <v/>
      </c>
      <c r="T1933" s="16" t="inlineStr">
        <is>
          <t>ACIMA +306.6%</t>
        </is>
      </c>
      <c r="U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8" t="n"/>
      <c r="M1934" s="8" t="n"/>
      <c r="N1934" s="8" t="n"/>
      <c r="O1934" s="15" t="n">
        <v>39.6</v>
      </c>
      <c r="P1934" s="8" t="n"/>
      <c r="Q1934" s="7" t="inlineStr">
        <is>
          <t>NAZARIA</t>
        </is>
      </c>
      <c r="R1934" s="8" t="n">
        <v>39.6</v>
      </c>
      <c r="S1934" s="14">
        <f>R1934/H1934-1</f>
        <v/>
      </c>
      <c r="T1934" s="16" t="inlineStr">
        <is>
          <t>ACIMA +314.7%</t>
        </is>
      </c>
      <c r="U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8" t="n"/>
      <c r="M1935" s="8" t="n"/>
      <c r="N1935" s="8" t="n"/>
      <c r="O1935" s="15" t="n">
        <v>26.86</v>
      </c>
      <c r="P1935" s="8" t="n"/>
      <c r="Q1935" s="7" t="inlineStr">
        <is>
          <t>NAZARIA</t>
        </is>
      </c>
      <c r="R1935" s="8" t="n">
        <v>26.86</v>
      </c>
      <c r="S1935" s="14">
        <f>R1935/H1935-1</f>
        <v/>
      </c>
      <c r="T1935" s="16" t="inlineStr">
        <is>
          <t>ACIMA +282.6%</t>
        </is>
      </c>
      <c r="U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8" t="n"/>
      <c r="M1936" s="8" t="n"/>
      <c r="N1936" s="8" t="n"/>
      <c r="O1936" s="8" t="n"/>
      <c r="P1936" s="8" t="n"/>
      <c r="Q1936" s="7" t="inlineStr">
        <is>
          <t>SEM COTAÇÃO</t>
        </is>
      </c>
      <c r="R1936" s="8" t="n"/>
      <c r="S1936" s="14" t="n"/>
      <c r="T1936" s="7" t="inlineStr"/>
      <c r="U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8" t="n"/>
      <c r="M1937" s="8" t="n"/>
      <c r="N1937" s="8" t="n"/>
      <c r="O1937" s="8" t="n"/>
      <c r="P1937" s="8" t="n"/>
      <c r="Q1937" s="7" t="inlineStr">
        <is>
          <t>SEM COTAÇÃO</t>
        </is>
      </c>
      <c r="R1937" s="8" t="n"/>
      <c r="S1937" s="14" t="n"/>
      <c r="T1937" s="7" t="inlineStr"/>
      <c r="U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8" t="n"/>
      <c r="M1938" s="8" t="n"/>
      <c r="N1938" s="8" t="n"/>
      <c r="O1938" s="8" t="n">
        <v>10.67</v>
      </c>
      <c r="P1938" s="8" t="n"/>
      <c r="Q1938" s="7" t="inlineStr">
        <is>
          <t>SEM COTAÇÃO</t>
        </is>
      </c>
      <c r="R1938" s="8" t="n"/>
      <c r="S1938" s="14" t="n"/>
      <c r="T1938" s="7" t="inlineStr"/>
      <c r="U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8" t="n"/>
      <c r="M1939" s="8" t="n"/>
      <c r="N1939" s="8" t="n"/>
      <c r="O1939" s="15" t="n">
        <v>32.41</v>
      </c>
      <c r="P1939" s="8" t="n"/>
      <c r="Q1939" s="7" t="inlineStr">
        <is>
          <t>NAZARIA</t>
        </is>
      </c>
      <c r="R1939" s="8" t="n">
        <v>32.41</v>
      </c>
      <c r="S1939" s="14">
        <f>R1939/H1939-1</f>
        <v/>
      </c>
      <c r="T1939" s="16" t="inlineStr">
        <is>
          <t>ACIMA +590.1%</t>
        </is>
      </c>
      <c r="U1939" s="7" t="inlineStr">
        <is>
          <t>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8" t="n"/>
      <c r="M1940" s="8" t="n"/>
      <c r="N1940" s="8" t="n"/>
      <c r="O1940" s="8" t="n"/>
      <c r="P1940" s="8" t="n"/>
      <c r="Q1940" s="7" t="inlineStr">
        <is>
          <t>SEM COTAÇÃO</t>
        </is>
      </c>
      <c r="R1940" s="8" t="n"/>
      <c r="S1940" s="14" t="n"/>
      <c r="T1940" s="7" t="inlineStr"/>
      <c r="U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8" t="n"/>
      <c r="M1941" s="8" t="n"/>
      <c r="N1941" s="8" t="n"/>
      <c r="O1941" s="8" t="n"/>
      <c r="P1941" s="8" t="n"/>
      <c r="Q1941" s="7" t="inlineStr">
        <is>
          <t>SEM COTAÇÃO</t>
        </is>
      </c>
      <c r="R1941" s="8" t="n"/>
      <c r="S1941" s="14" t="n"/>
      <c r="T1941" s="7" t="inlineStr"/>
      <c r="U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8" t="n"/>
      <c r="M1942" s="8" t="n"/>
      <c r="N1942" s="15" t="n">
        <v>112.26</v>
      </c>
      <c r="O1942" s="8" t="n">
        <v>117.0414</v>
      </c>
      <c r="P1942" s="8" t="n"/>
      <c r="Q1942" s="7" t="inlineStr">
        <is>
          <t>TAPAJOS</t>
        </is>
      </c>
      <c r="R1942" s="8" t="n">
        <v>112.26</v>
      </c>
      <c r="S1942" s="14">
        <f>R1942/H1942-1</f>
        <v/>
      </c>
      <c r="T1942" s="17" t="inlineStr">
        <is>
          <t>OK (≤ últ. compra)</t>
        </is>
      </c>
      <c r="U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8" t="n"/>
      <c r="M1943" s="8" t="n"/>
      <c r="N1943" s="8" t="n">
        <v>91.48999999999999</v>
      </c>
      <c r="O1943" s="15" t="n">
        <v>68.25</v>
      </c>
      <c r="P1943" s="8" t="n"/>
      <c r="Q1943" s="7" t="inlineStr">
        <is>
          <t>NAZARIA</t>
        </is>
      </c>
      <c r="R1943" s="8" t="n">
        <v>68.25</v>
      </c>
      <c r="S1943" s="14">
        <f>R1943/H1943-1</f>
        <v/>
      </c>
      <c r="T1943" s="16" t="inlineStr">
        <is>
          <t>ACIMA +33.6%</t>
        </is>
      </c>
      <c r="U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8" t="n"/>
      <c r="M1944" s="15" t="n">
        <v>64.67</v>
      </c>
      <c r="N1944" s="8" t="n"/>
      <c r="O1944" s="8" t="n"/>
      <c r="P1944" s="8" t="n"/>
      <c r="Q1944" s="7" t="inlineStr">
        <is>
          <t>CENTROFARMA</t>
        </is>
      </c>
      <c r="R1944" s="8" t="n">
        <v>64.67</v>
      </c>
      <c r="S1944" s="14">
        <f>R1944/H1944-1</f>
        <v/>
      </c>
      <c r="T1944" s="17" t="inlineStr">
        <is>
          <t>OK (≤ menor hist.)</t>
        </is>
      </c>
      <c r="U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8" t="n"/>
      <c r="M1945" s="8" t="n"/>
      <c r="N1945" s="8" t="n"/>
      <c r="O1945" s="8" t="n"/>
      <c r="P1945" s="8" t="n"/>
      <c r="Q1945" s="7" t="inlineStr">
        <is>
          <t>SEM COTAÇÃO</t>
        </is>
      </c>
      <c r="R1945" s="8" t="n"/>
      <c r="S1945" s="14" t="n"/>
      <c r="T1945" s="7" t="inlineStr"/>
      <c r="U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8" t="n"/>
      <c r="M1946" s="8" t="n"/>
      <c r="N1946" s="8" t="n"/>
      <c r="O1946" s="8" t="n"/>
      <c r="P1946" s="8" t="n"/>
      <c r="Q1946" s="7" t="inlineStr">
        <is>
          <t>SEM COTAÇÃO</t>
        </is>
      </c>
      <c r="R1946" s="8" t="n"/>
      <c r="S1946" s="14" t="n"/>
      <c r="T1946" s="7" t="inlineStr"/>
      <c r="U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8" t="n"/>
      <c r="M1947" s="8" t="n"/>
      <c r="N1947" s="8" t="n"/>
      <c r="O1947" s="8" t="n"/>
      <c r="P1947" s="8" t="n"/>
      <c r="Q1947" s="7" t="inlineStr">
        <is>
          <t>SEM COTAÇÃO</t>
        </is>
      </c>
      <c r="R1947" s="8" t="n"/>
      <c r="S1947" s="14" t="n"/>
      <c r="T1947" s="7" t="inlineStr"/>
      <c r="U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8" t="n"/>
      <c r="M1948" s="8" t="n"/>
      <c r="N1948" s="8" t="n"/>
      <c r="O1948" s="8" t="n">
        <v>38.12</v>
      </c>
      <c r="P1948" s="8" t="n"/>
      <c r="Q1948" s="7" t="inlineStr">
        <is>
          <t>SEM COTAÇÃO</t>
        </is>
      </c>
      <c r="R1948" s="8" t="n"/>
      <c r="S1948" s="14" t="n"/>
      <c r="T1948" s="7" t="inlineStr"/>
      <c r="U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8" t="n"/>
      <c r="M1949" s="8" t="n"/>
      <c r="N1949" s="8" t="n"/>
      <c r="O1949" s="8" t="n">
        <v>38.12</v>
      </c>
      <c r="P1949" s="8" t="n"/>
      <c r="Q1949" s="7" t="inlineStr">
        <is>
          <t>SEM COTAÇÃO</t>
        </is>
      </c>
      <c r="R1949" s="8" t="n"/>
      <c r="S1949" s="14" t="n"/>
      <c r="T1949" s="7" t="inlineStr"/>
      <c r="U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8" t="n"/>
      <c r="M1950" s="8" t="n"/>
      <c r="N1950" s="8" t="n"/>
      <c r="O1950" s="8" t="n">
        <v>38.12</v>
      </c>
      <c r="P1950" s="8" t="n"/>
      <c r="Q1950" s="7" t="inlineStr">
        <is>
          <t>SEM COTAÇÃO</t>
        </is>
      </c>
      <c r="R1950" s="8" t="n"/>
      <c r="S1950" s="14" t="n"/>
      <c r="T1950" s="7" t="inlineStr"/>
      <c r="U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8" t="n"/>
      <c r="M1951" s="8" t="n"/>
      <c r="N1951" s="8" t="n"/>
      <c r="O1951" s="8" t="n"/>
      <c r="P1951" s="8" t="n"/>
      <c r="Q1951" s="7" t="inlineStr">
        <is>
          <t>SEM COTAÇÃO</t>
        </is>
      </c>
      <c r="R1951" s="8" t="n"/>
      <c r="S1951" s="14" t="n"/>
      <c r="T1951" s="7" t="inlineStr"/>
      <c r="U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8" t="n"/>
      <c r="M1952" s="8" t="n"/>
      <c r="N1952" s="8" t="n"/>
      <c r="O1952" s="8" t="n"/>
      <c r="P1952" s="8" t="n"/>
      <c r="Q1952" s="7" t="inlineStr">
        <is>
          <t>SEM COTAÇÃO</t>
        </is>
      </c>
      <c r="R1952" s="8" t="n"/>
      <c r="S1952" s="14" t="n"/>
      <c r="T1952" s="7" t="inlineStr"/>
      <c r="U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8" t="n"/>
      <c r="M1953" s="8" t="n"/>
      <c r="N1953" s="8" t="n"/>
      <c r="O1953" s="8" t="n"/>
      <c r="P1953" s="8" t="n"/>
      <c r="Q1953" s="7" t="inlineStr">
        <is>
          <t>SEM COTAÇÃO</t>
        </is>
      </c>
      <c r="R1953" s="8" t="n"/>
      <c r="S1953" s="14" t="n"/>
      <c r="T1953" s="7" t="inlineStr"/>
      <c r="U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8" t="n"/>
      <c r="M1954" s="8" t="n"/>
      <c r="N1954" s="8" t="n"/>
      <c r="O1954" s="8" t="n"/>
      <c r="P1954" s="8" t="n"/>
      <c r="Q1954" s="7" t="inlineStr">
        <is>
          <t>SEM COTAÇÃO</t>
        </is>
      </c>
      <c r="R1954" s="8" t="n"/>
      <c r="S1954" s="14" t="n"/>
      <c r="T1954" s="7" t="inlineStr"/>
      <c r="U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8" t="n"/>
      <c r="M1955" s="8" t="n"/>
      <c r="N1955" s="8" t="n"/>
      <c r="O1955" s="8" t="n"/>
      <c r="P1955" s="8" t="n"/>
      <c r="Q1955" s="7" t="inlineStr">
        <is>
          <t>SEM COTAÇÃO</t>
        </is>
      </c>
      <c r="R1955" s="8" t="n"/>
      <c r="S1955" s="14" t="n"/>
      <c r="T1955" s="7" t="inlineStr"/>
      <c r="U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8" t="n"/>
      <c r="M1956" s="8" t="n"/>
      <c r="N1956" s="8" t="n"/>
      <c r="O1956" s="8" t="n"/>
      <c r="P1956" s="8" t="n"/>
      <c r="Q1956" s="7" t="inlineStr">
        <is>
          <t>SEM COTAÇÃO</t>
        </is>
      </c>
      <c r="R1956" s="8" t="n"/>
      <c r="S1956" s="14" t="n"/>
      <c r="T1956" s="7" t="inlineStr"/>
      <c r="U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8" t="n"/>
      <c r="M1957" s="8" t="n"/>
      <c r="N1957" s="8" t="n"/>
      <c r="O1957" s="8" t="n">
        <v>45.42</v>
      </c>
      <c r="P1957" s="8" t="n"/>
      <c r="Q1957" s="7" t="inlineStr">
        <is>
          <t>SEM COTAÇÃO</t>
        </is>
      </c>
      <c r="R1957" s="8" t="n"/>
      <c r="S1957" s="14" t="n"/>
      <c r="T1957" s="7" t="inlineStr"/>
      <c r="U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8" t="n"/>
      <c r="M1958" s="8" t="n"/>
      <c r="N1958" s="8" t="n"/>
      <c r="O1958" s="15" t="n">
        <v>89.83</v>
      </c>
      <c r="P1958" s="8" t="n"/>
      <c r="Q1958" s="7" t="inlineStr">
        <is>
          <t>NAZARIA</t>
        </is>
      </c>
      <c r="R1958" s="8" t="n">
        <v>89.83</v>
      </c>
      <c r="S1958" s="14">
        <f>R1958/H1958-1</f>
        <v/>
      </c>
      <c r="T1958" s="16" t="inlineStr">
        <is>
          <t>ACIMA +2.6%</t>
        </is>
      </c>
      <c r="U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8" t="n"/>
      <c r="M1959" s="8" t="n"/>
      <c r="N1959" s="8" t="n"/>
      <c r="O1959" s="15" t="n">
        <v>45.57</v>
      </c>
      <c r="P1959" s="8" t="n"/>
      <c r="Q1959" s="7" t="inlineStr">
        <is>
          <t>NAZARIA</t>
        </is>
      </c>
      <c r="R1959" s="8" t="n">
        <v>45.57</v>
      </c>
      <c r="S1959" s="14">
        <f>R1959/H1959-1</f>
        <v/>
      </c>
      <c r="T1959" s="16" t="inlineStr">
        <is>
          <t>ACIMA +24.3%</t>
        </is>
      </c>
      <c r="U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8" t="n"/>
      <c r="M1960" s="8" t="n"/>
      <c r="N1960" s="8" t="n"/>
      <c r="O1960" s="8" t="n"/>
      <c r="P1960" s="8" t="n"/>
      <c r="Q1960" s="7" t="inlineStr">
        <is>
          <t>SEM COTAÇÃO</t>
        </is>
      </c>
      <c r="R1960" s="8" t="n"/>
      <c r="S1960" s="14" t="n"/>
      <c r="T1960" s="7" t="inlineStr"/>
      <c r="U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8" t="n"/>
      <c r="M1961" s="8" t="n"/>
      <c r="N1961" s="8" t="n"/>
      <c r="O1961" s="15" t="n">
        <v>89.83</v>
      </c>
      <c r="P1961" s="8" t="n"/>
      <c r="Q1961" s="7" t="inlineStr">
        <is>
          <t>NAZARIA</t>
        </is>
      </c>
      <c r="R1961" s="8" t="n">
        <v>89.83</v>
      </c>
      <c r="S1961" s="14">
        <f>R1961/H1961-1</f>
        <v/>
      </c>
      <c r="T1961" s="16" t="inlineStr">
        <is>
          <t>ACIMA +2.6%</t>
        </is>
      </c>
      <c r="U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8" t="n"/>
      <c r="M1962" s="8" t="n"/>
      <c r="N1962" s="8" t="n"/>
      <c r="O1962" s="15" t="n">
        <v>89.83</v>
      </c>
      <c r="P1962" s="8" t="n"/>
      <c r="Q1962" s="7" t="inlineStr">
        <is>
          <t>NAZARIA</t>
        </is>
      </c>
      <c r="R1962" s="8" t="n">
        <v>89.83</v>
      </c>
      <c r="S1962" s="14">
        <f>R1962/H1962-1</f>
        <v/>
      </c>
      <c r="T1962" s="16" t="inlineStr">
        <is>
          <t>ACIMA +2.6%</t>
        </is>
      </c>
      <c r="U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8" t="n"/>
      <c r="M1963" s="8" t="n"/>
      <c r="N1963" s="8" t="n"/>
      <c r="O1963" s="15" t="n">
        <v>37.88</v>
      </c>
      <c r="P1963" s="8" t="n"/>
      <c r="Q1963" s="7" t="inlineStr">
        <is>
          <t>NAZARIA</t>
        </is>
      </c>
      <c r="R1963" s="8" t="n">
        <v>37.88</v>
      </c>
      <c r="S1963" s="14">
        <f>R1963/H1963-1</f>
        <v/>
      </c>
      <c r="T1963" s="16" t="inlineStr">
        <is>
          <t>ACIMA +2.4%</t>
        </is>
      </c>
      <c r="U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8" t="n"/>
      <c r="M1964" s="8" t="n"/>
      <c r="N1964" s="8" t="n"/>
      <c r="O1964" s="15" t="n">
        <v>37.88</v>
      </c>
      <c r="P1964" s="8" t="n"/>
      <c r="Q1964" s="7" t="inlineStr">
        <is>
          <t>NAZARIA</t>
        </is>
      </c>
      <c r="R1964" s="8" t="n">
        <v>37.88</v>
      </c>
      <c r="S1964" s="14">
        <f>R1964/H1964-1</f>
        <v/>
      </c>
      <c r="T1964" s="16" t="inlineStr">
        <is>
          <t>ACIMA +2.4%</t>
        </is>
      </c>
      <c r="U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8" t="n"/>
      <c r="M1965" s="8" t="n"/>
      <c r="N1965" s="8" t="n"/>
      <c r="O1965" s="8" t="n"/>
      <c r="P1965" s="8" t="n"/>
      <c r="Q1965" s="7" t="inlineStr">
        <is>
          <t>SEM COTAÇÃO</t>
        </is>
      </c>
      <c r="R1965" s="8" t="n"/>
      <c r="S1965" s="14" t="n"/>
      <c r="T1965" s="7" t="inlineStr"/>
      <c r="U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8" t="n"/>
      <c r="M1966" s="8" t="n"/>
      <c r="N1966" s="8" t="n"/>
      <c r="O1966" s="8" t="n"/>
      <c r="P1966" s="8" t="n"/>
      <c r="Q1966" s="7" t="inlineStr">
        <is>
          <t>SEM COTAÇÃO</t>
        </is>
      </c>
      <c r="R1966" s="8" t="n"/>
      <c r="S1966" s="14" t="n"/>
      <c r="T1966" s="7" t="inlineStr"/>
      <c r="U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8" t="n"/>
      <c r="M1967" s="8" t="n"/>
      <c r="N1967" s="8" t="n"/>
      <c r="O1967" s="8" t="n"/>
      <c r="P1967" s="8" t="n"/>
      <c r="Q1967" s="7" t="inlineStr">
        <is>
          <t>SEM COTAÇÃO</t>
        </is>
      </c>
      <c r="R1967" s="8" t="n"/>
      <c r="S1967" s="14" t="n"/>
      <c r="T1967" s="7" t="inlineStr"/>
      <c r="U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8" t="n"/>
      <c r="M1968" s="8" t="n"/>
      <c r="N1968" s="8" t="n"/>
      <c r="O1968" s="8" t="n"/>
      <c r="P1968" s="8" t="n"/>
      <c r="Q1968" s="7" t="inlineStr">
        <is>
          <t>SEM COTAÇÃO</t>
        </is>
      </c>
      <c r="R1968" s="8" t="n"/>
      <c r="S1968" s="14" t="n"/>
      <c r="T1968" s="7" t="inlineStr"/>
      <c r="U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8" t="n"/>
      <c r="M1969" s="8" t="n"/>
      <c r="N1969" s="8" t="n"/>
      <c r="O1969" s="8" t="n"/>
      <c r="P1969" s="8" t="n"/>
      <c r="Q1969" s="7" t="inlineStr">
        <is>
          <t>SEM COTAÇÃO</t>
        </is>
      </c>
      <c r="R1969" s="8" t="n"/>
      <c r="S1969" s="14" t="n"/>
      <c r="T1969" s="7" t="inlineStr"/>
      <c r="U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8" t="n"/>
      <c r="M1970" s="8" t="n"/>
      <c r="N1970" s="8" t="n"/>
      <c r="O1970" s="8" t="n"/>
      <c r="P1970" s="8" t="n"/>
      <c r="Q1970" s="7" t="inlineStr">
        <is>
          <t>SEM COTAÇÃO</t>
        </is>
      </c>
      <c r="R1970" s="8" t="n"/>
      <c r="S1970" s="14" t="n"/>
      <c r="T1970" s="7" t="inlineStr"/>
      <c r="U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8" t="n"/>
      <c r="M1971" s="8" t="n"/>
      <c r="N1971" s="8" t="n"/>
      <c r="O1971" s="8" t="n"/>
      <c r="P1971" s="8" t="n"/>
      <c r="Q1971" s="7" t="inlineStr">
        <is>
          <t>SEM COTAÇÃO</t>
        </is>
      </c>
      <c r="R1971" s="8" t="n"/>
      <c r="S1971" s="14" t="n"/>
      <c r="T1971" s="7" t="inlineStr"/>
      <c r="U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8" t="n"/>
      <c r="M1972" s="8" t="n"/>
      <c r="N1972" s="8" t="n"/>
      <c r="O1972" s="8" t="n"/>
      <c r="P1972" s="8" t="n"/>
      <c r="Q1972" s="7" t="inlineStr">
        <is>
          <t>SEM COTAÇÃO</t>
        </is>
      </c>
      <c r="R1972" s="8" t="n"/>
      <c r="S1972" s="14" t="n"/>
      <c r="T1972" s="7" t="inlineStr"/>
      <c r="U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8" t="n"/>
      <c r="M1973" s="8" t="n"/>
      <c r="N1973" s="8" t="n"/>
      <c r="O1973" s="8" t="n"/>
      <c r="P1973" s="8" t="n"/>
      <c r="Q1973" s="7" t="inlineStr">
        <is>
          <t>SEM COTAÇÃO</t>
        </is>
      </c>
      <c r="R1973" s="8" t="n"/>
      <c r="S1973" s="14" t="n"/>
      <c r="T1973" s="7" t="inlineStr"/>
      <c r="U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8" t="n"/>
      <c r="M1974" s="8" t="n"/>
      <c r="N1974" s="8" t="n"/>
      <c r="O1974" s="8" t="n"/>
      <c r="P1974" s="8" t="n"/>
      <c r="Q1974" s="7" t="inlineStr">
        <is>
          <t>SEM COTAÇÃO</t>
        </is>
      </c>
      <c r="R1974" s="8" t="n"/>
      <c r="S1974" s="14" t="n"/>
      <c r="T1974" s="7" t="inlineStr"/>
      <c r="U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8" t="n"/>
      <c r="M1975" s="8" t="n"/>
      <c r="N1975" s="8" t="n"/>
      <c r="O1975" s="8" t="n"/>
      <c r="P1975" s="8" t="n"/>
      <c r="Q1975" s="7" t="inlineStr">
        <is>
          <t>SEM COTAÇÃO</t>
        </is>
      </c>
      <c r="R1975" s="8" t="n"/>
      <c r="S1975" s="14" t="n"/>
      <c r="T1975" s="7" t="inlineStr"/>
      <c r="U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8" t="n"/>
      <c r="M1976" s="8" t="n"/>
      <c r="N1976" s="8" t="n"/>
      <c r="O1976" s="8" t="n"/>
      <c r="P1976" s="8" t="n"/>
      <c r="Q1976" s="7" t="inlineStr">
        <is>
          <t>SEM COTAÇÃO</t>
        </is>
      </c>
      <c r="R1976" s="8" t="n"/>
      <c r="S1976" s="14" t="n"/>
      <c r="T1976" s="7" t="inlineStr"/>
      <c r="U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8" t="n"/>
      <c r="M1977" s="8" t="n"/>
      <c r="N1977" s="8" t="n"/>
      <c r="O1977" s="8" t="n"/>
      <c r="P1977" s="8" t="n"/>
      <c r="Q1977" s="7" t="inlineStr">
        <is>
          <t>SEM COTAÇÃO</t>
        </is>
      </c>
      <c r="R1977" s="8" t="n"/>
      <c r="S1977" s="14" t="n"/>
      <c r="T1977" s="7" t="inlineStr"/>
      <c r="U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8" t="n"/>
      <c r="M1978" s="8" t="n"/>
      <c r="N1978" s="8" t="n"/>
      <c r="O1978" s="8" t="n"/>
      <c r="P1978" s="8" t="n"/>
      <c r="Q1978" s="7" t="inlineStr">
        <is>
          <t>SEM COTAÇÃO</t>
        </is>
      </c>
      <c r="R1978" s="8" t="n"/>
      <c r="S1978" s="14" t="n"/>
      <c r="T1978" s="7" t="inlineStr"/>
      <c r="U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8" t="n"/>
      <c r="M1979" s="8" t="n"/>
      <c r="N1979" s="8" t="n"/>
      <c r="O1979" s="8" t="n"/>
      <c r="P1979" s="8" t="n"/>
      <c r="Q1979" s="7" t="inlineStr">
        <is>
          <t>SEM COTAÇÃO</t>
        </is>
      </c>
      <c r="R1979" s="8" t="n"/>
      <c r="S1979" s="14" t="n"/>
      <c r="T1979" s="7" t="inlineStr"/>
      <c r="U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8" t="n"/>
      <c r="M1980" s="8" t="n"/>
      <c r="N1980" s="8" t="n"/>
      <c r="O1980" s="8" t="n"/>
      <c r="P1980" s="8" t="n"/>
      <c r="Q1980" s="7" t="inlineStr">
        <is>
          <t>SEM COTAÇÃO</t>
        </is>
      </c>
      <c r="R1980" s="8" t="n"/>
      <c r="S1980" s="14" t="n"/>
      <c r="T1980" s="7" t="inlineStr"/>
      <c r="U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8" t="n"/>
      <c r="M1981" s="8" t="n"/>
      <c r="N1981" s="8" t="n"/>
      <c r="O1981" s="8" t="n"/>
      <c r="P1981" s="8" t="n"/>
      <c r="Q1981" s="7" t="inlineStr">
        <is>
          <t>SEM COTAÇÃO</t>
        </is>
      </c>
      <c r="R1981" s="8" t="n"/>
      <c r="S1981" s="14" t="n"/>
      <c r="T1981" s="7" t="inlineStr"/>
      <c r="U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8" t="n"/>
      <c r="M1982" s="8" t="n"/>
      <c r="N1982" s="8" t="n"/>
      <c r="O1982" s="8" t="n"/>
      <c r="P1982" s="8" t="n"/>
      <c r="Q1982" s="7" t="inlineStr">
        <is>
          <t>SEM COTAÇÃO</t>
        </is>
      </c>
      <c r="R1982" s="8" t="n"/>
      <c r="S1982" s="14" t="n"/>
      <c r="T1982" s="7" t="inlineStr"/>
      <c r="U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8" t="n"/>
      <c r="M1983" s="8" t="n"/>
      <c r="N1983" s="8" t="n"/>
      <c r="O1983" s="8" t="n"/>
      <c r="P1983" s="8" t="n"/>
      <c r="Q1983" s="7" t="inlineStr">
        <is>
          <t>SEM COTAÇÃO</t>
        </is>
      </c>
      <c r="R1983" s="8" t="n"/>
      <c r="S1983" s="14" t="n"/>
      <c r="T1983" s="7" t="inlineStr"/>
      <c r="U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8" t="n"/>
      <c r="M1984" s="8" t="n"/>
      <c r="N1984" s="8" t="n"/>
      <c r="O1984" s="8" t="n"/>
      <c r="P1984" s="8" t="n"/>
      <c r="Q1984" s="7" t="inlineStr">
        <is>
          <t>SEM COTAÇÃO</t>
        </is>
      </c>
      <c r="R1984" s="8" t="n"/>
      <c r="S1984" s="14" t="n"/>
      <c r="T1984" s="7" t="inlineStr"/>
      <c r="U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8" t="n"/>
      <c r="M1985" s="8" t="n"/>
      <c r="N1985" s="8" t="n"/>
      <c r="O1985" s="8" t="n"/>
      <c r="P1985" s="8" t="n"/>
      <c r="Q1985" s="7" t="inlineStr">
        <is>
          <t>SEM COTAÇÃO</t>
        </is>
      </c>
      <c r="R1985" s="8" t="n"/>
      <c r="S1985" s="14" t="n"/>
      <c r="T1985" s="7" t="inlineStr"/>
      <c r="U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8" t="n"/>
      <c r="M1986" s="8" t="n"/>
      <c r="N1986" s="8" t="n"/>
      <c r="O1986" s="8" t="n"/>
      <c r="P1986" s="8" t="n"/>
      <c r="Q1986" s="7" t="inlineStr">
        <is>
          <t>SEM COTAÇÃO</t>
        </is>
      </c>
      <c r="R1986" s="8" t="n"/>
      <c r="S1986" s="14" t="n"/>
      <c r="T1986" s="7" t="inlineStr"/>
      <c r="U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8" t="n"/>
      <c r="M1987" s="8" t="n"/>
      <c r="N1987" s="8" t="n"/>
      <c r="O1987" s="8" t="n"/>
      <c r="P1987" s="8" t="n"/>
      <c r="Q1987" s="7" t="inlineStr">
        <is>
          <t>SEM COTAÇÃO</t>
        </is>
      </c>
      <c r="R1987" s="8" t="n"/>
      <c r="S1987" s="14" t="n"/>
      <c r="T1987" s="7" t="inlineStr"/>
      <c r="U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8" t="n"/>
      <c r="M1988" s="8" t="n"/>
      <c r="N1988" s="8" t="n"/>
      <c r="O1988" s="8" t="n"/>
      <c r="P1988" s="8" t="n"/>
      <c r="Q1988" s="7" t="inlineStr">
        <is>
          <t>SEM COTAÇÃO</t>
        </is>
      </c>
      <c r="R1988" s="8" t="n"/>
      <c r="S1988" s="14" t="n"/>
      <c r="T1988" s="7" t="inlineStr"/>
      <c r="U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8" t="n"/>
      <c r="M1989" s="8" t="n"/>
      <c r="N1989" s="8" t="n"/>
      <c r="O1989" s="8" t="n"/>
      <c r="P1989" s="8" t="n"/>
      <c r="Q1989" s="7" t="inlineStr">
        <is>
          <t>SEM COTAÇÃO</t>
        </is>
      </c>
      <c r="R1989" s="8" t="n"/>
      <c r="S1989" s="14" t="n"/>
      <c r="T1989" s="7" t="inlineStr"/>
      <c r="U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8" t="n"/>
      <c r="M1990" s="8" t="n"/>
      <c r="N1990" s="8" t="n"/>
      <c r="O1990" s="8" t="n"/>
      <c r="P1990" s="8" t="n"/>
      <c r="Q1990" s="7" t="inlineStr">
        <is>
          <t>SEM COTAÇÃO</t>
        </is>
      </c>
      <c r="R1990" s="8" t="n"/>
      <c r="S1990" s="14" t="n"/>
      <c r="T1990" s="7" t="inlineStr"/>
      <c r="U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8" t="n"/>
      <c r="M1991" s="8" t="n"/>
      <c r="N1991" s="8" t="n"/>
      <c r="O1991" s="8" t="n"/>
      <c r="P1991" s="8" t="n"/>
      <c r="Q1991" s="7" t="inlineStr">
        <is>
          <t>SEM COTAÇÃO</t>
        </is>
      </c>
      <c r="R1991" s="8" t="n"/>
      <c r="S1991" s="14" t="n"/>
      <c r="T1991" s="7" t="inlineStr"/>
      <c r="U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8" t="n"/>
      <c r="M1992" s="8" t="n"/>
      <c r="N1992" s="8" t="n"/>
      <c r="O1992" s="8" t="n"/>
      <c r="P1992" s="8" t="n"/>
      <c r="Q1992" s="7" t="inlineStr">
        <is>
          <t>SEM COTAÇÃO</t>
        </is>
      </c>
      <c r="R1992" s="8" t="n"/>
      <c r="S1992" s="14" t="n"/>
      <c r="T1992" s="7" t="inlineStr"/>
      <c r="U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8" t="n"/>
      <c r="M1993" s="8" t="n"/>
      <c r="N1993" s="8" t="n"/>
      <c r="O1993" s="15" t="n">
        <v>16.36</v>
      </c>
      <c r="P1993" s="8" t="n"/>
      <c r="Q1993" s="7" t="inlineStr">
        <is>
          <t>NAZARIA</t>
        </is>
      </c>
      <c r="R1993" s="8" t="n">
        <v>16.36</v>
      </c>
      <c r="S1993" s="14">
        <f>R1993/H1993-1</f>
        <v/>
      </c>
      <c r="T1993" s="17" t="inlineStr">
        <is>
          <t>OK (≤ menor hist.)</t>
        </is>
      </c>
      <c r="U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8" t="n"/>
      <c r="M1994" s="8" t="n"/>
      <c r="N1994" s="8" t="n"/>
      <c r="O1994" s="15" t="n">
        <v>16.36</v>
      </c>
      <c r="P1994" s="8" t="n"/>
      <c r="Q1994" s="7" t="inlineStr">
        <is>
          <t>NAZARIA</t>
        </is>
      </c>
      <c r="R1994" s="8" t="n">
        <v>16.36</v>
      </c>
      <c r="S1994" s="14">
        <f>R1994/H1994-1</f>
        <v/>
      </c>
      <c r="T1994" s="17" t="inlineStr">
        <is>
          <t>OK (≤ menor hist.)</t>
        </is>
      </c>
      <c r="U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8" t="n"/>
      <c r="M1995" s="8" t="n"/>
      <c r="N1995" s="8" t="n"/>
      <c r="O1995" s="8" t="n"/>
      <c r="P1995" s="8" t="n"/>
      <c r="Q1995" s="7" t="inlineStr">
        <is>
          <t>SEM COTAÇÃO</t>
        </is>
      </c>
      <c r="R1995" s="8" t="n"/>
      <c r="S1995" s="14" t="n"/>
      <c r="T1995" s="7" t="inlineStr"/>
      <c r="U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8" t="n"/>
      <c r="M1996" s="8" t="n"/>
      <c r="N1996" s="8" t="n"/>
      <c r="O1996" s="8" t="n">
        <v>45.42</v>
      </c>
      <c r="P1996" s="8" t="n"/>
      <c r="Q1996" s="7" t="inlineStr">
        <is>
          <t>SEM COTAÇÃO</t>
        </is>
      </c>
      <c r="R1996" s="8" t="n"/>
      <c r="S1996" s="14" t="n"/>
      <c r="T1996" s="7" t="inlineStr"/>
      <c r="U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8" t="n"/>
      <c r="M1997" s="8" t="n"/>
      <c r="N1997" s="8" t="n"/>
      <c r="O1997" s="8" t="n">
        <v>45.42</v>
      </c>
      <c r="P1997" s="8" t="n"/>
      <c r="Q1997" s="7" t="inlineStr">
        <is>
          <t>SEM COTAÇÃO</t>
        </is>
      </c>
      <c r="R1997" s="8" t="n"/>
      <c r="S1997" s="14" t="n"/>
      <c r="T1997" s="7" t="inlineStr"/>
      <c r="U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8" t="n"/>
      <c r="M1998" s="8" t="n"/>
      <c r="N1998" s="8" t="n"/>
      <c r="O1998" s="8" t="n"/>
      <c r="P1998" s="8" t="n"/>
      <c r="Q1998" s="7" t="inlineStr">
        <is>
          <t>SEM COTAÇÃO</t>
        </is>
      </c>
      <c r="R1998" s="8" t="n"/>
      <c r="S1998" s="14" t="n"/>
      <c r="T1998" s="7" t="inlineStr"/>
      <c r="U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8" t="n"/>
      <c r="M1999" s="8" t="n"/>
      <c r="N1999" s="8" t="n"/>
      <c r="O1999" s="8" t="n">
        <v>114.84</v>
      </c>
      <c r="P1999" s="8" t="n"/>
      <c r="Q1999" s="7" t="inlineStr">
        <is>
          <t>SEM COTAÇÃO</t>
        </is>
      </c>
      <c r="R1999" s="8" t="n"/>
      <c r="S1999" s="14" t="n"/>
      <c r="T1999" s="7" t="inlineStr"/>
      <c r="U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8" t="n"/>
      <c r="M2000" s="8" t="n"/>
      <c r="N2000" s="8" t="n"/>
      <c r="O2000" s="8" t="n">
        <v>114.84</v>
      </c>
      <c r="P2000" s="8" t="n"/>
      <c r="Q2000" s="7" t="inlineStr">
        <is>
          <t>SEM COTAÇÃO</t>
        </is>
      </c>
      <c r="R2000" s="8" t="n"/>
      <c r="S2000" s="14" t="n"/>
      <c r="T2000" s="7" t="inlineStr"/>
      <c r="U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8" t="n"/>
      <c r="M2001" s="8" t="n"/>
      <c r="N2001" s="8" t="n"/>
      <c r="O2001" s="8" t="n">
        <v>85.18000000000001</v>
      </c>
      <c r="P2001" s="8" t="n"/>
      <c r="Q2001" s="7" t="inlineStr">
        <is>
          <t>SEM COTAÇÃO</t>
        </is>
      </c>
      <c r="R2001" s="8" t="n"/>
      <c r="S2001" s="14" t="n"/>
      <c r="T2001" s="7" t="inlineStr"/>
      <c r="U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8" t="n"/>
      <c r="M2002" s="8" t="n"/>
      <c r="N2002" s="8" t="n"/>
      <c r="O2002" s="15" t="n">
        <v>51.34</v>
      </c>
      <c r="P2002" s="8" t="n"/>
      <c r="Q2002" s="7" t="inlineStr">
        <is>
          <t>NAZARIA</t>
        </is>
      </c>
      <c r="R2002" s="8" t="n">
        <v>51.34</v>
      </c>
      <c r="S2002" s="14">
        <f>R2002/H2002-1</f>
        <v/>
      </c>
      <c r="T2002" s="16" t="inlineStr">
        <is>
          <t>ACIMA +7.6%</t>
        </is>
      </c>
      <c r="U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8" t="n"/>
      <c r="M2003" s="8" t="n"/>
      <c r="N2003" s="8" t="n"/>
      <c r="O2003" s="15" t="n">
        <v>56.4</v>
      </c>
      <c r="P2003" s="8" t="n"/>
      <c r="Q2003" s="7" t="inlineStr">
        <is>
          <t>NAZARIA</t>
        </is>
      </c>
      <c r="R2003" s="8" t="n">
        <v>56.4</v>
      </c>
      <c r="S2003" s="14">
        <f>R2003/H2003-1</f>
        <v/>
      </c>
      <c r="T2003" s="16" t="inlineStr">
        <is>
          <t>ACIMA +61.0%</t>
        </is>
      </c>
      <c r="U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8" t="n"/>
      <c r="M2004" s="8" t="n"/>
      <c r="N2004" s="8" t="n"/>
      <c r="O2004" s="8" t="n">
        <v>56.4</v>
      </c>
      <c r="P2004" s="8" t="n"/>
      <c r="Q2004" s="7" t="inlineStr">
        <is>
          <t>SEM COTAÇÃO</t>
        </is>
      </c>
      <c r="R2004" s="8" t="n"/>
      <c r="S2004" s="14" t="n"/>
      <c r="T2004" s="7" t="inlineStr"/>
      <c r="U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8" t="n"/>
      <c r="M2005" s="8" t="n"/>
      <c r="N2005" s="8" t="n"/>
      <c r="O2005" s="15" t="n">
        <v>86.56999999999999</v>
      </c>
      <c r="P2005" s="8" t="n"/>
      <c r="Q2005" s="7" t="inlineStr">
        <is>
          <t>NAZARIA</t>
        </is>
      </c>
      <c r="R2005" s="8" t="n">
        <v>86.56999999999999</v>
      </c>
      <c r="S2005" s="14">
        <f>R2005/H2005-1</f>
        <v/>
      </c>
      <c r="T2005" s="17" t="inlineStr">
        <is>
          <t>OK (≤ menor hist.)</t>
        </is>
      </c>
      <c r="U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8" t="n"/>
      <c r="M2006" s="8" t="n"/>
      <c r="N2006" s="8" t="n"/>
      <c r="O2006" s="15" t="n">
        <v>86.56999999999999</v>
      </c>
      <c r="P2006" s="8" t="n"/>
      <c r="Q2006" s="7" t="inlineStr">
        <is>
          <t>NAZARIA</t>
        </is>
      </c>
      <c r="R2006" s="8" t="n">
        <v>86.56999999999999</v>
      </c>
      <c r="S2006" s="14">
        <f>R2006/H2006-1</f>
        <v/>
      </c>
      <c r="T2006" s="16" t="inlineStr">
        <is>
          <t>ACIMA +7.2%</t>
        </is>
      </c>
      <c r="U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8" t="n"/>
      <c r="M2007" s="8" t="n"/>
      <c r="N2007" s="8" t="n"/>
      <c r="O2007" s="15" t="n">
        <v>86.56999999999999</v>
      </c>
      <c r="P2007" s="8" t="n"/>
      <c r="Q2007" s="7" t="inlineStr">
        <is>
          <t>NAZARIA</t>
        </is>
      </c>
      <c r="R2007" s="8" t="n">
        <v>86.56999999999999</v>
      </c>
      <c r="S2007" s="14">
        <f>R2007/H2007-1</f>
        <v/>
      </c>
      <c r="T2007" s="16" t="inlineStr">
        <is>
          <t>ACIMA +7.2%</t>
        </is>
      </c>
      <c r="U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8" t="n"/>
      <c r="M2008" s="8" t="n"/>
      <c r="N2008" s="8" t="n"/>
      <c r="O2008" s="8" t="n"/>
      <c r="P2008" s="8" t="n"/>
      <c r="Q2008" s="7" t="inlineStr">
        <is>
          <t>SEM COTAÇÃO</t>
        </is>
      </c>
      <c r="R2008" s="8" t="n"/>
      <c r="S2008" s="14" t="n"/>
      <c r="T2008" s="7" t="inlineStr"/>
      <c r="U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8" t="n"/>
      <c r="M2009" s="8" t="n"/>
      <c r="N2009" s="8" t="n"/>
      <c r="O2009" s="8" t="n"/>
      <c r="P2009" s="8" t="n"/>
      <c r="Q2009" s="7" t="inlineStr">
        <is>
          <t>SEM COTAÇÃO</t>
        </is>
      </c>
      <c r="R2009" s="8" t="n"/>
      <c r="S2009" s="14" t="n"/>
      <c r="T2009" s="7" t="inlineStr"/>
      <c r="U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8" t="n"/>
      <c r="M2010" s="8" t="n"/>
      <c r="N2010" s="8" t="n"/>
      <c r="O2010" s="8" t="n"/>
      <c r="P2010" s="8" t="n"/>
      <c r="Q2010" s="7" t="inlineStr">
        <is>
          <t>SEM COTAÇÃO</t>
        </is>
      </c>
      <c r="R2010" s="8" t="n"/>
      <c r="S2010" s="14" t="n"/>
      <c r="T2010" s="7" t="inlineStr"/>
      <c r="U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8" t="n"/>
      <c r="M2011" s="8" t="n"/>
      <c r="N2011" s="8" t="n"/>
      <c r="O2011" s="8" t="n"/>
      <c r="P2011" s="8" t="n"/>
      <c r="Q2011" s="7" t="inlineStr">
        <is>
          <t>SEM COTAÇÃO</t>
        </is>
      </c>
      <c r="R2011" s="8" t="n"/>
      <c r="S2011" s="14" t="n"/>
      <c r="T2011" s="7" t="inlineStr"/>
      <c r="U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8" t="n"/>
      <c r="M2012" s="8" t="n"/>
      <c r="N2012" s="8" t="n"/>
      <c r="O2012" s="8" t="n"/>
      <c r="P2012" s="8" t="n"/>
      <c r="Q2012" s="7" t="inlineStr">
        <is>
          <t>SEM COTAÇÃO</t>
        </is>
      </c>
      <c r="R2012" s="8" t="n"/>
      <c r="S2012" s="14" t="n"/>
      <c r="T2012" s="7" t="inlineStr"/>
      <c r="U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7" t="inlineStr">
        <is>
          <t>SEM COTAÇÃO</t>
        </is>
      </c>
      <c r="R2013" s="8" t="n"/>
      <c r="S2013" s="14" t="n"/>
      <c r="T2013" s="7" t="inlineStr"/>
      <c r="U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8" t="n"/>
      <c r="M2014" s="8" t="n"/>
      <c r="N2014" s="8" t="n"/>
      <c r="O2014" s="8" t="n"/>
      <c r="P2014" s="8" t="n"/>
      <c r="Q2014" s="7" t="inlineStr">
        <is>
          <t>SEM COTAÇÃO</t>
        </is>
      </c>
      <c r="R2014" s="8" t="n"/>
      <c r="S2014" s="14" t="n"/>
      <c r="T2014" s="7" t="inlineStr"/>
      <c r="U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8" t="n"/>
      <c r="M2015" s="8" t="n"/>
      <c r="N2015" s="8" t="n"/>
      <c r="O2015" s="8" t="n"/>
      <c r="P2015" s="8" t="n"/>
      <c r="Q2015" s="7" t="inlineStr">
        <is>
          <t>SEM COTAÇÃO</t>
        </is>
      </c>
      <c r="R2015" s="8" t="n"/>
      <c r="S2015" s="14" t="n"/>
      <c r="T2015" s="7" t="inlineStr"/>
      <c r="U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8" t="n"/>
      <c r="M2016" s="8" t="n"/>
      <c r="N2016" s="8" t="n"/>
      <c r="O2016" s="8" t="n"/>
      <c r="P2016" s="8" t="n"/>
      <c r="Q2016" s="7" t="inlineStr">
        <is>
          <t>SEM COTAÇÃO</t>
        </is>
      </c>
      <c r="R2016" s="8" t="n"/>
      <c r="S2016" s="14" t="n"/>
      <c r="T2016" s="7" t="inlineStr"/>
      <c r="U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8" t="n"/>
      <c r="M2017" s="8" t="n"/>
      <c r="N2017" s="8" t="n"/>
      <c r="O2017" s="8" t="n"/>
      <c r="P2017" s="8" t="n"/>
      <c r="Q2017" s="7" t="inlineStr">
        <is>
          <t>SEM COTAÇÃO</t>
        </is>
      </c>
      <c r="R2017" s="8" t="n"/>
      <c r="S2017" s="14" t="n"/>
      <c r="T2017" s="7" t="inlineStr"/>
      <c r="U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8" t="n"/>
      <c r="M2018" s="8" t="n"/>
      <c r="N2018" s="8" t="n"/>
      <c r="O2018" s="15" t="n">
        <v>51.34</v>
      </c>
      <c r="P2018" s="8" t="n"/>
      <c r="Q2018" s="7" t="inlineStr">
        <is>
          <t>NAZARIA</t>
        </is>
      </c>
      <c r="R2018" s="8" t="n">
        <v>51.34</v>
      </c>
      <c r="S2018" s="14">
        <f>R2018/H2018-1</f>
        <v/>
      </c>
      <c r="T2018" s="16" t="inlineStr">
        <is>
          <t>ACIMA +7.6%</t>
        </is>
      </c>
      <c r="U2018" s="7" t="inlineStr">
        <is>
          <t>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8" t="n"/>
      <c r="M2019" s="8" t="n"/>
      <c r="N2019" s="8" t="n"/>
      <c r="O2019" s="15" t="n">
        <v>51.34</v>
      </c>
      <c r="P2019" s="8" t="n"/>
      <c r="Q2019" s="7" t="inlineStr">
        <is>
          <t>NAZARIA</t>
        </is>
      </c>
      <c r="R2019" s="8" t="n">
        <v>51.34</v>
      </c>
      <c r="S2019" s="14">
        <f>R2019/H2019-1</f>
        <v/>
      </c>
      <c r="T2019" s="16" t="inlineStr">
        <is>
          <t>ACIMA +2.6%</t>
        </is>
      </c>
      <c r="U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8" t="n"/>
      <c r="M2020" s="8" t="n"/>
      <c r="N2020" s="8" t="n"/>
      <c r="O2020" s="8" t="n"/>
      <c r="P2020" s="8" t="n"/>
      <c r="Q2020" s="7" t="inlineStr">
        <is>
          <t>SEM COTAÇÃO</t>
        </is>
      </c>
      <c r="R2020" s="8" t="n"/>
      <c r="S2020" s="14" t="n"/>
      <c r="T2020" s="7" t="inlineStr"/>
      <c r="U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8" t="n"/>
      <c r="M2021" s="8" t="n"/>
      <c r="N2021" s="8" t="n"/>
      <c r="O2021" s="8" t="n"/>
      <c r="P2021" s="8" t="n"/>
      <c r="Q2021" s="7" t="inlineStr">
        <is>
          <t>SEM COTAÇÃO</t>
        </is>
      </c>
      <c r="R2021" s="8" t="n"/>
      <c r="S2021" s="14" t="n"/>
      <c r="T2021" s="7" t="inlineStr"/>
      <c r="U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8" t="n"/>
      <c r="M2022" s="8" t="n"/>
      <c r="N2022" s="8" t="n"/>
      <c r="O2022" s="8" t="n"/>
      <c r="P2022" s="8" t="n"/>
      <c r="Q2022" s="7" t="inlineStr">
        <is>
          <t>SEM COTAÇÃO</t>
        </is>
      </c>
      <c r="R2022" s="8" t="n"/>
      <c r="S2022" s="14" t="n"/>
      <c r="T2022" s="7" t="inlineStr"/>
      <c r="U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8" t="n"/>
      <c r="M2023" s="8" t="n"/>
      <c r="N2023" s="8" t="n"/>
      <c r="O2023" s="8" t="n"/>
      <c r="P2023" s="8" t="n"/>
      <c r="Q2023" s="7" t="inlineStr">
        <is>
          <t>SEM COTAÇÃO</t>
        </is>
      </c>
      <c r="R2023" s="8" t="n"/>
      <c r="S2023" s="14" t="n"/>
      <c r="T2023" s="7" t="inlineStr"/>
      <c r="U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7" t="inlineStr">
        <is>
          <t>SEM COTAÇÃO</t>
        </is>
      </c>
      <c r="R2024" s="8" t="n"/>
      <c r="S2024" s="14" t="n"/>
      <c r="T2024" s="7" t="inlineStr"/>
      <c r="U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8" t="n"/>
      <c r="M2025" s="8" t="n"/>
      <c r="N2025" s="8" t="n"/>
      <c r="O2025" s="8" t="n"/>
      <c r="P2025" s="8" t="n"/>
      <c r="Q2025" s="7" t="inlineStr">
        <is>
          <t>SEM COTAÇÃO</t>
        </is>
      </c>
      <c r="R2025" s="8" t="n"/>
      <c r="S2025" s="14" t="n"/>
      <c r="T2025" s="7" t="inlineStr"/>
      <c r="U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8" t="n"/>
      <c r="M2026" s="8" t="n"/>
      <c r="N2026" s="8" t="n"/>
      <c r="O2026" s="8" t="n"/>
      <c r="P2026" s="8" t="n"/>
      <c r="Q2026" s="7" t="inlineStr">
        <is>
          <t>SEM COTAÇÃO</t>
        </is>
      </c>
      <c r="R2026" s="8" t="n"/>
      <c r="S2026" s="14" t="n"/>
      <c r="T2026" s="7" t="inlineStr"/>
      <c r="U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8" t="n"/>
      <c r="M2027" s="8" t="n"/>
      <c r="N2027" s="8" t="n"/>
      <c r="O2027" s="8" t="n"/>
      <c r="P2027" s="8" t="n"/>
      <c r="Q2027" s="7" t="inlineStr">
        <is>
          <t>SEM COTAÇÃO</t>
        </is>
      </c>
      <c r="R2027" s="8" t="n"/>
      <c r="S2027" s="14" t="n"/>
      <c r="T2027" s="7" t="inlineStr"/>
      <c r="U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8" t="n"/>
      <c r="M2028" s="8" t="n"/>
      <c r="N2028" s="8" t="n"/>
      <c r="O2028" s="8" t="n"/>
      <c r="P2028" s="8" t="n"/>
      <c r="Q2028" s="7" t="inlineStr">
        <is>
          <t>SEM COTAÇÃO</t>
        </is>
      </c>
      <c r="R2028" s="8" t="n"/>
      <c r="S2028" s="14" t="n"/>
      <c r="T2028" s="7" t="inlineStr"/>
      <c r="U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8" t="n"/>
      <c r="M2029" s="8" t="n"/>
      <c r="N2029" s="8" t="n"/>
      <c r="O2029" s="8" t="n"/>
      <c r="P2029" s="8" t="n"/>
      <c r="Q2029" s="7" t="inlineStr">
        <is>
          <t>SEM COTAÇÃO</t>
        </is>
      </c>
      <c r="R2029" s="8" t="n"/>
      <c r="S2029" s="14" t="n"/>
      <c r="T2029" s="7" t="inlineStr"/>
      <c r="U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8" t="n"/>
      <c r="M2030" s="8" t="n"/>
      <c r="N2030" s="8" t="n"/>
      <c r="O2030" s="8" t="n"/>
      <c r="P2030" s="8" t="n"/>
      <c r="Q2030" s="7" t="inlineStr">
        <is>
          <t>SEM COTAÇÃO</t>
        </is>
      </c>
      <c r="R2030" s="8" t="n"/>
      <c r="S2030" s="14" t="n"/>
      <c r="T2030" s="7" t="inlineStr"/>
      <c r="U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8" t="n"/>
      <c r="M2031" s="8" t="n"/>
      <c r="N2031" s="8" t="n"/>
      <c r="O2031" s="15" t="n">
        <v>61.09059999999999</v>
      </c>
      <c r="P2031" s="8" t="n"/>
      <c r="Q2031" s="7" t="inlineStr">
        <is>
          <t>NAZARIA</t>
        </is>
      </c>
      <c r="R2031" s="8" t="n">
        <v>61.09059999999999</v>
      </c>
      <c r="S2031" s="14">
        <f>R2031/H2031-1</f>
        <v/>
      </c>
      <c r="T2031" s="16" t="inlineStr">
        <is>
          <t>ACIMA +30.0%</t>
        </is>
      </c>
      <c r="U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8" t="n"/>
      <c r="M2032" s="8" t="n"/>
      <c r="N2032" s="8" t="n"/>
      <c r="O2032" s="15" t="n">
        <v>61.09059999999999</v>
      </c>
      <c r="P2032" s="8" t="n"/>
      <c r="Q2032" s="7" t="inlineStr">
        <is>
          <t>NAZARIA</t>
        </is>
      </c>
      <c r="R2032" s="8" t="n">
        <v>61.09059999999999</v>
      </c>
      <c r="S2032" s="14">
        <f>R2032/H2032-1</f>
        <v/>
      </c>
      <c r="T2032" s="16" t="inlineStr">
        <is>
          <t>ACIMA +37.5%</t>
        </is>
      </c>
      <c r="U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8" t="n"/>
      <c r="M2033" s="8" t="n"/>
      <c r="N2033" s="8" t="n"/>
      <c r="O2033" s="15" t="n">
        <v>61.28</v>
      </c>
      <c r="P2033" s="8" t="n"/>
      <c r="Q2033" s="7" t="inlineStr">
        <is>
          <t>NAZARIA</t>
        </is>
      </c>
      <c r="R2033" s="8" t="n">
        <v>61.28</v>
      </c>
      <c r="S2033" s="14">
        <f>R2033/H2033-1</f>
        <v/>
      </c>
      <c r="T2033" s="16" t="inlineStr">
        <is>
          <t>ACIMA +34.0%</t>
        </is>
      </c>
      <c r="U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8" t="n"/>
      <c r="M2034" s="8" t="n"/>
      <c r="N2034" s="8" t="n"/>
      <c r="O2034" s="15" t="n">
        <v>105.245</v>
      </c>
      <c r="P2034" s="8" t="n"/>
      <c r="Q2034" s="7" t="inlineStr">
        <is>
          <t>NAZARIA</t>
        </is>
      </c>
      <c r="R2034" s="8" t="n">
        <v>105.245</v>
      </c>
      <c r="S2034" s="14">
        <f>R2034/H2034-1</f>
        <v/>
      </c>
      <c r="T2034" s="16" t="inlineStr">
        <is>
          <t>ACIMA +62.1%</t>
        </is>
      </c>
      <c r="U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8" t="n"/>
      <c r="M2035" s="8" t="n"/>
      <c r="N2035" s="8" t="n"/>
      <c r="O2035" s="15" t="n">
        <v>86.47550000000001</v>
      </c>
      <c r="P2035" s="8" t="n"/>
      <c r="Q2035" s="7" t="inlineStr">
        <is>
          <t>NAZARIA</t>
        </is>
      </c>
      <c r="R2035" s="8" t="n">
        <v>86.47550000000001</v>
      </c>
      <c r="S2035" s="14">
        <f>R2035/H2035-1</f>
        <v/>
      </c>
      <c r="T2035" s="16" t="inlineStr">
        <is>
          <t>ACIMA +30.0%</t>
        </is>
      </c>
      <c r="U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8" t="n"/>
      <c r="M2036" s="8" t="n"/>
      <c r="N2036" s="8" t="n"/>
      <c r="O2036" s="8" t="n"/>
      <c r="P2036" s="8" t="n"/>
      <c r="Q2036" s="7" t="inlineStr">
        <is>
          <t>SEM COTAÇÃO</t>
        </is>
      </c>
      <c r="R2036" s="8" t="n"/>
      <c r="S2036" s="14" t="n"/>
      <c r="T2036" s="7" t="inlineStr"/>
      <c r="U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8" t="n"/>
      <c r="M2037" s="8" t="n"/>
      <c r="N2037" s="8" t="n"/>
      <c r="O2037" s="8" t="n"/>
      <c r="P2037" s="8" t="n"/>
      <c r="Q2037" s="7" t="inlineStr">
        <is>
          <t>SEM COTAÇÃO</t>
        </is>
      </c>
      <c r="R2037" s="8" t="n"/>
      <c r="S2037" s="14" t="n"/>
      <c r="T2037" s="7" t="inlineStr"/>
      <c r="U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8" t="n"/>
      <c r="M2038" s="8" t="n"/>
      <c r="N2038" s="8" t="n"/>
      <c r="O2038" s="8" t="n"/>
      <c r="P2038" s="8" t="n"/>
      <c r="Q2038" s="7" t="inlineStr">
        <is>
          <t>SEM COTAÇÃO</t>
        </is>
      </c>
      <c r="R2038" s="8" t="n"/>
      <c r="S2038" s="14" t="n"/>
      <c r="T2038" s="7" t="inlineStr"/>
      <c r="U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8" t="n"/>
      <c r="M2039" s="8" t="n"/>
      <c r="N2039" s="8" t="n"/>
      <c r="O2039" s="15" t="n">
        <v>33.95</v>
      </c>
      <c r="P2039" s="8" t="n"/>
      <c r="Q2039" s="7" t="inlineStr">
        <is>
          <t>NAZARIA</t>
        </is>
      </c>
      <c r="R2039" s="8" t="n">
        <v>33.95</v>
      </c>
      <c r="S2039" s="14">
        <f>R2039/H2039-1</f>
        <v/>
      </c>
      <c r="T2039" s="16" t="inlineStr">
        <is>
          <t>ACIMA +14.7%</t>
        </is>
      </c>
      <c r="U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8" t="n"/>
      <c r="M2040" s="8" t="n"/>
      <c r="N2040" s="8" t="n"/>
      <c r="O2040" s="8" t="n"/>
      <c r="P2040" s="8" t="n"/>
      <c r="Q2040" s="7" t="inlineStr">
        <is>
          <t>SEM COTAÇÃO</t>
        </is>
      </c>
      <c r="R2040" s="8" t="n"/>
      <c r="S2040" s="14" t="n"/>
      <c r="T2040" s="7" t="inlineStr"/>
      <c r="U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8" t="n"/>
      <c r="M2041" s="8" t="n"/>
      <c r="N2041" s="8" t="n"/>
      <c r="O2041" s="8" t="n"/>
      <c r="P2041" s="8" t="n"/>
      <c r="Q2041" s="7" t="inlineStr">
        <is>
          <t>SEM COTAÇÃO</t>
        </is>
      </c>
      <c r="R2041" s="8" t="n"/>
      <c r="S2041" s="14" t="n"/>
      <c r="T2041" s="7" t="inlineStr"/>
      <c r="U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8" t="n"/>
      <c r="M2042" s="8" t="n"/>
      <c r="N2042" s="8" t="n"/>
      <c r="O2042" s="8" t="n"/>
      <c r="P2042" s="8" t="n"/>
      <c r="Q2042" s="7" t="inlineStr">
        <is>
          <t>SEM COTAÇÃO</t>
        </is>
      </c>
      <c r="R2042" s="8" t="n"/>
      <c r="S2042" s="14" t="n"/>
      <c r="T2042" s="7" t="inlineStr"/>
      <c r="U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8" t="n"/>
      <c r="M2043" s="8" t="n"/>
      <c r="N2043" s="8" t="n"/>
      <c r="O2043" s="8" t="n"/>
      <c r="P2043" s="8" t="n"/>
      <c r="Q2043" s="7" t="inlineStr">
        <is>
          <t>SEM COTAÇÃO</t>
        </is>
      </c>
      <c r="R2043" s="8" t="n"/>
      <c r="S2043" s="14" t="n"/>
      <c r="T2043" s="7" t="inlineStr"/>
      <c r="U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8" t="n"/>
      <c r="M2044" s="8" t="n"/>
      <c r="N2044" s="8" t="n"/>
      <c r="O2044" s="8" t="n"/>
      <c r="P2044" s="8" t="n"/>
      <c r="Q2044" s="7" t="inlineStr">
        <is>
          <t>SEM COTAÇÃO</t>
        </is>
      </c>
      <c r="R2044" s="8" t="n"/>
      <c r="S2044" s="14" t="n"/>
      <c r="T2044" s="7" t="inlineStr"/>
      <c r="U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8" t="n"/>
      <c r="M2045" s="8" t="n"/>
      <c r="N2045" s="8" t="n"/>
      <c r="O2045" s="8" t="n"/>
      <c r="P2045" s="8" t="n"/>
      <c r="Q2045" s="7" t="inlineStr">
        <is>
          <t>SEM COTAÇÃO</t>
        </is>
      </c>
      <c r="R2045" s="8" t="n"/>
      <c r="S2045" s="14" t="n"/>
      <c r="T2045" s="7" t="inlineStr"/>
      <c r="U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8" t="n"/>
      <c r="M2046" s="8" t="n"/>
      <c r="N2046" s="8" t="n"/>
      <c r="O2046" s="8" t="n"/>
      <c r="P2046" s="8" t="n"/>
      <c r="Q2046" s="7" t="inlineStr">
        <is>
          <t>SEM COTAÇÃO</t>
        </is>
      </c>
      <c r="R2046" s="8" t="n"/>
      <c r="S2046" s="14" t="n"/>
      <c r="T2046" s="7" t="inlineStr"/>
      <c r="U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8" t="n"/>
      <c r="M2047" s="8" t="n"/>
      <c r="N2047" s="8" t="n"/>
      <c r="O2047" s="8" t="n"/>
      <c r="P2047" s="8" t="n"/>
      <c r="Q2047" s="7" t="inlineStr">
        <is>
          <t>SEM COTAÇÃO</t>
        </is>
      </c>
      <c r="R2047" s="8" t="n"/>
      <c r="S2047" s="14" t="n"/>
      <c r="T2047" s="7" t="inlineStr"/>
      <c r="U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8" t="n"/>
      <c r="M2048" s="8" t="n"/>
      <c r="N2048" s="8" t="n"/>
      <c r="O2048" s="8" t="n"/>
      <c r="P2048" s="8" t="n"/>
      <c r="Q2048" s="7" t="inlineStr">
        <is>
          <t>SEM COTAÇÃO</t>
        </is>
      </c>
      <c r="R2048" s="8" t="n"/>
      <c r="S2048" s="14" t="n"/>
      <c r="T2048" s="7" t="inlineStr"/>
      <c r="U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8" t="n"/>
      <c r="M2049" s="8" t="n"/>
      <c r="N2049" s="8" t="n"/>
      <c r="O2049" s="8" t="n"/>
      <c r="P2049" s="8" t="n"/>
      <c r="Q2049" s="7" t="inlineStr">
        <is>
          <t>SEM COTAÇÃO</t>
        </is>
      </c>
      <c r="R2049" s="8" t="n"/>
      <c r="S2049" s="14" t="n"/>
      <c r="T2049" s="7" t="inlineStr"/>
      <c r="U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8" t="n"/>
      <c r="M2050" s="8" t="n"/>
      <c r="N2050" s="8" t="n"/>
      <c r="O2050" s="8" t="n"/>
      <c r="P2050" s="8" t="n"/>
      <c r="Q2050" s="7" t="inlineStr">
        <is>
          <t>SEM COTAÇÃO</t>
        </is>
      </c>
      <c r="R2050" s="8" t="n"/>
      <c r="S2050" s="14" t="n"/>
      <c r="T2050" s="7" t="inlineStr"/>
      <c r="U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8" t="n"/>
      <c r="M2051" s="8" t="n"/>
      <c r="N2051" s="8" t="n"/>
      <c r="O2051" s="8" t="n"/>
      <c r="P2051" s="8" t="n"/>
      <c r="Q2051" s="7" t="inlineStr">
        <is>
          <t>SEM COTAÇÃO</t>
        </is>
      </c>
      <c r="R2051" s="8" t="n"/>
      <c r="S2051" s="14" t="n"/>
      <c r="T2051" s="7" t="inlineStr"/>
      <c r="U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8" t="n"/>
      <c r="M2052" s="8" t="n"/>
      <c r="N2052" s="8" t="n"/>
      <c r="O2052" s="8" t="n"/>
      <c r="P2052" s="8" t="n"/>
      <c r="Q2052" s="7" t="inlineStr">
        <is>
          <t>SEM COTAÇÃO</t>
        </is>
      </c>
      <c r="R2052" s="8" t="n"/>
      <c r="S2052" s="14" t="n"/>
      <c r="T2052" s="7" t="inlineStr"/>
      <c r="U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8" t="n"/>
      <c r="M2053" s="8" t="n"/>
      <c r="N2053" s="8" t="n"/>
      <c r="O2053" s="8" t="n">
        <v>65.22279999999999</v>
      </c>
      <c r="P2053" s="8" t="n"/>
      <c r="Q2053" s="7" t="inlineStr">
        <is>
          <t>SEM COTAÇÃO</t>
        </is>
      </c>
      <c r="R2053" s="8" t="n"/>
      <c r="S2053" s="14" t="n"/>
      <c r="T2053" s="7" t="inlineStr"/>
      <c r="U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8" t="n"/>
      <c r="M2054" s="8" t="n"/>
      <c r="N2054" s="8" t="n"/>
      <c r="O2054" s="15" t="n">
        <v>65.22279999999999</v>
      </c>
      <c r="P2054" s="8" t="n"/>
      <c r="Q2054" s="7" t="inlineStr">
        <is>
          <t>NAZARIA</t>
        </is>
      </c>
      <c r="R2054" s="8" t="n">
        <v>65.22279999999999</v>
      </c>
      <c r="S2054" s="14">
        <f>R2054/H2054-1</f>
        <v/>
      </c>
      <c r="T2054" s="16" t="inlineStr">
        <is>
          <t>ACIMA +32.9%</t>
        </is>
      </c>
      <c r="U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8" t="n"/>
      <c r="M2055" s="8" t="n"/>
      <c r="N2055" s="8" t="n"/>
      <c r="O2055" s="8" t="n"/>
      <c r="P2055" s="8" t="n"/>
      <c r="Q2055" s="7" t="inlineStr">
        <is>
          <t>SEM COTAÇÃO</t>
        </is>
      </c>
      <c r="R2055" s="8" t="n"/>
      <c r="S2055" s="14" t="n"/>
      <c r="T2055" s="7" t="inlineStr"/>
      <c r="U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8" t="n"/>
      <c r="M2056" s="8" t="n"/>
      <c r="N2056" s="8" t="n"/>
      <c r="O2056" s="8" t="n"/>
      <c r="P2056" s="8" t="n"/>
      <c r="Q2056" s="7" t="inlineStr">
        <is>
          <t>SEM COTAÇÃO</t>
        </is>
      </c>
      <c r="R2056" s="8" t="n"/>
      <c r="S2056" s="14" t="n"/>
      <c r="T2056" s="7" t="inlineStr"/>
      <c r="U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8" t="n"/>
      <c r="M2057" s="8" t="n"/>
      <c r="N2057" s="8" t="n"/>
      <c r="O2057" s="8" t="n"/>
      <c r="P2057" s="8" t="n"/>
      <c r="Q2057" s="7" t="inlineStr">
        <is>
          <t>SEM COTAÇÃO</t>
        </is>
      </c>
      <c r="R2057" s="8" t="n"/>
      <c r="S2057" s="14" t="n"/>
      <c r="T2057" s="7" t="inlineStr"/>
      <c r="U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8" t="n"/>
      <c r="M2058" s="8" t="n"/>
      <c r="N2058" s="8" t="n"/>
      <c r="O2058" s="8" t="n"/>
      <c r="P2058" s="8" t="n"/>
      <c r="Q2058" s="7" t="inlineStr">
        <is>
          <t>SEM COTAÇÃO</t>
        </is>
      </c>
      <c r="R2058" s="8" t="n"/>
      <c r="S2058" s="14" t="n"/>
      <c r="T2058" s="7" t="inlineStr"/>
      <c r="U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7" t="inlineStr">
        <is>
          <t>SEM COTAÇÃO</t>
        </is>
      </c>
      <c r="R2059" s="8" t="n"/>
      <c r="S2059" s="14" t="n"/>
      <c r="T2059" s="7" t="inlineStr"/>
      <c r="U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8" t="n"/>
      <c r="M2060" s="8" t="n"/>
      <c r="N2060" s="8" t="n"/>
      <c r="O2060" s="8" t="n"/>
      <c r="P2060" s="8" t="n"/>
      <c r="Q2060" s="7" t="inlineStr">
        <is>
          <t>SEM COTAÇÃO</t>
        </is>
      </c>
      <c r="R2060" s="8" t="n"/>
      <c r="S2060" s="14" t="n"/>
      <c r="T2060" s="7" t="inlineStr"/>
      <c r="U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8" t="n"/>
      <c r="M2061" s="8" t="n"/>
      <c r="N2061" s="8" t="n"/>
      <c r="O2061" s="8" t="n"/>
      <c r="P2061" s="8" t="n"/>
      <c r="Q2061" s="7" t="inlineStr">
        <is>
          <t>SEM COTAÇÃO</t>
        </is>
      </c>
      <c r="R2061" s="8" t="n"/>
      <c r="S2061" s="14" t="n"/>
      <c r="T2061" s="7" t="inlineStr"/>
      <c r="U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8" t="n"/>
      <c r="M2062" s="8" t="n"/>
      <c r="N2062" s="8" t="n"/>
      <c r="O2062" s="8" t="n"/>
      <c r="P2062" s="8" t="n"/>
      <c r="Q2062" s="7" t="inlineStr">
        <is>
          <t>SEM COTAÇÃO</t>
        </is>
      </c>
      <c r="R2062" s="8" t="n"/>
      <c r="S2062" s="14" t="n"/>
      <c r="T2062" s="7" t="inlineStr"/>
      <c r="U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8" t="n"/>
      <c r="M2063" s="8" t="n"/>
      <c r="N2063" s="8" t="n"/>
      <c r="O2063" s="8" t="n"/>
      <c r="P2063" s="8" t="n"/>
      <c r="Q2063" s="7" t="inlineStr">
        <is>
          <t>SEM COTAÇÃO</t>
        </is>
      </c>
      <c r="R2063" s="8" t="n"/>
      <c r="S2063" s="14" t="n"/>
      <c r="T2063" s="7" t="inlineStr"/>
      <c r="U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8" t="n"/>
      <c r="M2064" s="8" t="n"/>
      <c r="N2064" s="8" t="n"/>
      <c r="O2064" s="8" t="n"/>
      <c r="P2064" s="8" t="n"/>
      <c r="Q2064" s="7" t="inlineStr">
        <is>
          <t>SEM COTAÇÃO</t>
        </is>
      </c>
      <c r="R2064" s="8" t="n"/>
      <c r="S2064" s="14" t="n"/>
      <c r="T2064" s="7" t="inlineStr"/>
      <c r="U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8" t="n"/>
      <c r="M2065" s="8" t="n"/>
      <c r="N2065" s="8" t="n"/>
      <c r="O2065" s="8" t="n"/>
      <c r="P2065" s="8" t="n"/>
      <c r="Q2065" s="7" t="inlineStr">
        <is>
          <t>SEM COTAÇÃO</t>
        </is>
      </c>
      <c r="R2065" s="8" t="n"/>
      <c r="S2065" s="14" t="n"/>
      <c r="T2065" s="7" t="inlineStr"/>
      <c r="U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8" t="n"/>
      <c r="M2066" s="8" t="n"/>
      <c r="N2066" s="8" t="n"/>
      <c r="O2066" s="8" t="n"/>
      <c r="P2066" s="8" t="n"/>
      <c r="Q2066" s="7" t="inlineStr">
        <is>
          <t>SEM COTAÇÃO</t>
        </is>
      </c>
      <c r="R2066" s="8" t="n"/>
      <c r="S2066" s="14" t="n"/>
      <c r="T2066" s="7" t="inlineStr"/>
      <c r="U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8" t="n"/>
      <c r="M2067" s="8" t="n"/>
      <c r="N2067" s="8" t="n"/>
      <c r="O2067" s="8" t="n"/>
      <c r="P2067" s="8" t="n"/>
      <c r="Q2067" s="7" t="inlineStr">
        <is>
          <t>SEM COTAÇÃO</t>
        </is>
      </c>
      <c r="R2067" s="8" t="n"/>
      <c r="S2067" s="14" t="n"/>
      <c r="T2067" s="7" t="inlineStr"/>
      <c r="U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8" t="n"/>
      <c r="M2068" s="8" t="n"/>
      <c r="N2068" s="8" t="n"/>
      <c r="O2068" s="8" t="n"/>
      <c r="P2068" s="8" t="n"/>
      <c r="Q2068" s="7" t="inlineStr">
        <is>
          <t>SEM COTAÇÃO</t>
        </is>
      </c>
      <c r="R2068" s="8" t="n"/>
      <c r="S2068" s="14" t="n"/>
      <c r="T2068" s="7" t="inlineStr"/>
      <c r="U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8" t="n"/>
      <c r="M2069" s="8" t="n"/>
      <c r="N2069" s="8" t="n"/>
      <c r="O2069" s="8" t="n"/>
      <c r="P2069" s="8" t="n"/>
      <c r="Q2069" s="7" t="inlineStr">
        <is>
          <t>SEM COTAÇÃO</t>
        </is>
      </c>
      <c r="R2069" s="8" t="n"/>
      <c r="S2069" s="14" t="n"/>
      <c r="T2069" s="7" t="inlineStr"/>
      <c r="U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8" t="n"/>
      <c r="M2070" s="8" t="n"/>
      <c r="N2070" s="8" t="n"/>
      <c r="O2070" s="8" t="n"/>
      <c r="P2070" s="8" t="n"/>
      <c r="Q2070" s="7" t="inlineStr">
        <is>
          <t>SEM COTAÇÃO</t>
        </is>
      </c>
      <c r="R2070" s="8" t="n"/>
      <c r="S2070" s="14" t="n"/>
      <c r="T2070" s="7" t="inlineStr"/>
      <c r="U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8" t="n"/>
      <c r="M2071" s="8" t="n"/>
      <c r="N2071" s="8" t="n"/>
      <c r="O2071" s="15" t="n">
        <v>35.9967</v>
      </c>
      <c r="P2071" s="8" t="n"/>
      <c r="Q2071" s="7" t="inlineStr">
        <is>
          <t>NAZARIA</t>
        </is>
      </c>
      <c r="R2071" s="8" t="n">
        <v>35.9967</v>
      </c>
      <c r="S2071" s="14">
        <f>R2071/H2071-1</f>
        <v/>
      </c>
      <c r="T2071" s="16" t="inlineStr">
        <is>
          <t>ACIMA +29.0%</t>
        </is>
      </c>
      <c r="U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8" t="n"/>
      <c r="M2072" s="8" t="n"/>
      <c r="N2072" s="8" t="n"/>
      <c r="O2072" s="8" t="n"/>
      <c r="P2072" s="8" t="n"/>
      <c r="Q2072" s="7" t="inlineStr">
        <is>
          <t>SEM COTAÇÃO</t>
        </is>
      </c>
      <c r="R2072" s="8" t="n"/>
      <c r="S2072" s="14" t="n"/>
      <c r="T2072" s="7" t="inlineStr"/>
      <c r="U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8" t="n"/>
      <c r="M2073" s="8" t="n"/>
      <c r="N2073" s="8" t="n"/>
      <c r="O2073" s="8" t="n"/>
      <c r="P2073" s="8" t="n"/>
      <c r="Q2073" s="7" t="inlineStr">
        <is>
          <t>SEM COTAÇÃO</t>
        </is>
      </c>
      <c r="R2073" s="8" t="n"/>
      <c r="S2073" s="14" t="n"/>
      <c r="T2073" s="7" t="inlineStr"/>
      <c r="U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8" t="n"/>
      <c r="M2074" s="8" t="n"/>
      <c r="N2074" s="8" t="n"/>
      <c r="O2074" s="8" t="n"/>
      <c r="P2074" s="8" t="n"/>
      <c r="Q2074" s="7" t="inlineStr">
        <is>
          <t>SEM COTAÇÃO</t>
        </is>
      </c>
      <c r="R2074" s="8" t="n"/>
      <c r="S2074" s="14" t="n"/>
      <c r="T2074" s="7" t="inlineStr"/>
      <c r="U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8" t="n"/>
      <c r="M2075" s="8" t="n"/>
      <c r="N2075" s="8" t="n"/>
      <c r="O2075" s="8" t="n"/>
      <c r="P2075" s="8" t="n"/>
      <c r="Q2075" s="7" t="inlineStr">
        <is>
          <t>SEM COTAÇÃO</t>
        </is>
      </c>
      <c r="R2075" s="8" t="n"/>
      <c r="S2075" s="14" t="n"/>
      <c r="T2075" s="7" t="inlineStr"/>
      <c r="U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8" t="n"/>
      <c r="M2076" s="8" t="n"/>
      <c r="N2076" s="8" t="n"/>
      <c r="O2076" s="8" t="n"/>
      <c r="P2076" s="8" t="n"/>
      <c r="Q2076" s="7" t="inlineStr">
        <is>
          <t>SEM COTAÇÃO</t>
        </is>
      </c>
      <c r="R2076" s="8" t="n"/>
      <c r="S2076" s="14" t="n"/>
      <c r="T2076" s="7" t="inlineStr"/>
      <c r="U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8" t="n"/>
      <c r="M2077" s="8" t="n"/>
      <c r="N2077" s="8" t="n"/>
      <c r="O2077" s="8" t="n"/>
      <c r="P2077" s="8" t="n"/>
      <c r="Q2077" s="7" t="inlineStr">
        <is>
          <t>SEM COTAÇÃO</t>
        </is>
      </c>
      <c r="R2077" s="8" t="n"/>
      <c r="S2077" s="14" t="n"/>
      <c r="T2077" s="7" t="inlineStr"/>
      <c r="U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8" t="n"/>
      <c r="M2078" s="8" t="n"/>
      <c r="N2078" s="8" t="n"/>
      <c r="O2078" s="15" t="n">
        <v>56.4</v>
      </c>
      <c r="P2078" s="8" t="n"/>
      <c r="Q2078" s="7" t="inlineStr">
        <is>
          <t>NAZARIA</t>
        </is>
      </c>
      <c r="R2078" s="8" t="n">
        <v>56.4</v>
      </c>
      <c r="S2078" s="14">
        <f>R2078/H2078-1</f>
        <v/>
      </c>
      <c r="T2078" s="16" t="inlineStr">
        <is>
          <t>ACIMA +8.7%</t>
        </is>
      </c>
      <c r="U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8" t="n"/>
      <c r="M2079" s="8" t="n"/>
      <c r="N2079" s="8" t="n"/>
      <c r="O2079" s="8" t="n"/>
      <c r="P2079" s="8" t="n"/>
      <c r="Q2079" s="7" t="inlineStr">
        <is>
          <t>SEM COTAÇÃO</t>
        </is>
      </c>
      <c r="R2079" s="8" t="n"/>
      <c r="S2079" s="14" t="n"/>
      <c r="T2079" s="7" t="inlineStr"/>
      <c r="U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8" t="n"/>
      <c r="M2080" s="8" t="n"/>
      <c r="N2080" s="8" t="n"/>
      <c r="O2080" s="8" t="n"/>
      <c r="P2080" s="8" t="n"/>
      <c r="Q2080" s="7" t="inlineStr">
        <is>
          <t>SEM COTAÇÃO</t>
        </is>
      </c>
      <c r="R2080" s="8" t="n"/>
      <c r="S2080" s="14" t="n"/>
      <c r="T2080" s="7" t="inlineStr"/>
      <c r="U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8" t="n"/>
      <c r="M2081" s="8" t="n"/>
      <c r="N2081" s="8" t="n"/>
      <c r="O2081" s="8" t="n"/>
      <c r="P2081" s="8" t="n"/>
      <c r="Q2081" s="7" t="inlineStr">
        <is>
          <t>SEM COTAÇÃO</t>
        </is>
      </c>
      <c r="R2081" s="8" t="n"/>
      <c r="S2081" s="14" t="n"/>
      <c r="T2081" s="7" t="inlineStr"/>
      <c r="U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8" t="n"/>
      <c r="M2082" s="8" t="n"/>
      <c r="N2082" s="8" t="n"/>
      <c r="O2082" s="8" t="n"/>
      <c r="P2082" s="8" t="n"/>
      <c r="Q2082" s="7" t="inlineStr">
        <is>
          <t>SEM COTAÇÃO</t>
        </is>
      </c>
      <c r="R2082" s="8" t="n"/>
      <c r="S2082" s="14" t="n"/>
      <c r="T2082" s="7" t="inlineStr"/>
      <c r="U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8" t="n"/>
      <c r="M2083" s="8" t="n"/>
      <c r="N2083" s="8" t="n"/>
      <c r="O2083" s="8" t="n"/>
      <c r="P2083" s="8" t="n"/>
      <c r="Q2083" s="7" t="inlineStr">
        <is>
          <t>SEM COTAÇÃO</t>
        </is>
      </c>
      <c r="R2083" s="8" t="n"/>
      <c r="S2083" s="14" t="n"/>
      <c r="T2083" s="7" t="inlineStr"/>
      <c r="U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8" t="n"/>
      <c r="M2084" s="8" t="n"/>
      <c r="N2084" s="8" t="n"/>
      <c r="O2084" s="8" t="n"/>
      <c r="P2084" s="8" t="n"/>
      <c r="Q2084" s="7" t="inlineStr">
        <is>
          <t>SEM COTAÇÃO</t>
        </is>
      </c>
      <c r="R2084" s="8" t="n"/>
      <c r="S2084" s="14" t="n"/>
      <c r="T2084" s="7" t="inlineStr"/>
      <c r="U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8" t="n"/>
      <c r="M2085" s="8" t="n"/>
      <c r="N2085" s="8" t="n"/>
      <c r="O2085" s="8" t="n"/>
      <c r="P2085" s="8" t="n"/>
      <c r="Q2085" s="7" t="inlineStr">
        <is>
          <t>SEM COTAÇÃO</t>
        </is>
      </c>
      <c r="R2085" s="8" t="n"/>
      <c r="S2085" s="14" t="n"/>
      <c r="T2085" s="7" t="inlineStr"/>
      <c r="U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8" t="n"/>
      <c r="M2086" s="8" t="n"/>
      <c r="N2086" s="8" t="n"/>
      <c r="O2086" s="8" t="n"/>
      <c r="P2086" s="8" t="n"/>
      <c r="Q2086" s="7" t="inlineStr">
        <is>
          <t>SEM COTAÇÃO</t>
        </is>
      </c>
      <c r="R2086" s="8" t="n"/>
      <c r="S2086" s="14" t="n"/>
      <c r="T2086" s="7" t="inlineStr"/>
      <c r="U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8" t="n"/>
      <c r="M2087" s="8" t="n"/>
      <c r="N2087" s="8" t="n"/>
      <c r="O2087" s="8" t="n"/>
      <c r="P2087" s="8" t="n"/>
      <c r="Q2087" s="7" t="inlineStr">
        <is>
          <t>SEM COTAÇÃO</t>
        </is>
      </c>
      <c r="R2087" s="8" t="n"/>
      <c r="S2087" s="14" t="n"/>
      <c r="T2087" s="7" t="inlineStr"/>
      <c r="U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8" t="n"/>
      <c r="M2088" s="8" t="n"/>
      <c r="N2088" s="8" t="n"/>
      <c r="O2088" s="8" t="n"/>
      <c r="P2088" s="8" t="n"/>
      <c r="Q2088" s="7" t="inlineStr">
        <is>
          <t>SEM COTAÇÃO</t>
        </is>
      </c>
      <c r="R2088" s="8" t="n"/>
      <c r="S2088" s="14" t="n"/>
      <c r="T2088" s="7" t="inlineStr"/>
      <c r="U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8" t="n"/>
      <c r="M2089" s="8" t="n"/>
      <c r="N2089" s="8" t="n"/>
      <c r="O2089" s="8" t="n"/>
      <c r="P2089" s="8" t="n"/>
      <c r="Q2089" s="7" t="inlineStr">
        <is>
          <t>SEM COTAÇÃO</t>
        </is>
      </c>
      <c r="R2089" s="8" t="n"/>
      <c r="S2089" s="14" t="n"/>
      <c r="T2089" s="7" t="inlineStr"/>
      <c r="U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8" t="n"/>
      <c r="M2090" s="8" t="n"/>
      <c r="N2090" s="8" t="n"/>
      <c r="O2090" s="8" t="n"/>
      <c r="P2090" s="8" t="n"/>
      <c r="Q2090" s="7" t="inlineStr">
        <is>
          <t>SEM COTAÇÃO</t>
        </is>
      </c>
      <c r="R2090" s="8" t="n"/>
      <c r="S2090" s="14" t="n"/>
      <c r="T2090" s="7" t="inlineStr"/>
      <c r="U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8" t="n"/>
      <c r="M2091" s="8" t="n"/>
      <c r="N2091" s="8" t="n"/>
      <c r="O2091" s="8" t="n"/>
      <c r="P2091" s="8" t="n"/>
      <c r="Q2091" s="7" t="inlineStr">
        <is>
          <t>SEM COTAÇÃO</t>
        </is>
      </c>
      <c r="R2091" s="8" t="n"/>
      <c r="S2091" s="14" t="n"/>
      <c r="T2091" s="7" t="inlineStr"/>
      <c r="U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8" t="n"/>
      <c r="M2092" s="8" t="n"/>
      <c r="N2092" s="8" t="n"/>
      <c r="O2092" s="8" t="n"/>
      <c r="P2092" s="8" t="n"/>
      <c r="Q2092" s="7" t="inlineStr">
        <is>
          <t>SEM COTAÇÃO</t>
        </is>
      </c>
      <c r="R2092" s="8" t="n"/>
      <c r="S2092" s="14" t="n"/>
      <c r="T2092" s="7" t="inlineStr"/>
      <c r="U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8" t="n"/>
      <c r="M2093" s="8" t="n"/>
      <c r="N2093" s="8" t="n"/>
      <c r="O2093" s="8" t="n"/>
      <c r="P2093" s="8" t="n"/>
      <c r="Q2093" s="7" t="inlineStr">
        <is>
          <t>SEM COTAÇÃO</t>
        </is>
      </c>
      <c r="R2093" s="8" t="n"/>
      <c r="S2093" s="14" t="n"/>
      <c r="T2093" s="7" t="inlineStr"/>
      <c r="U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8" t="n"/>
      <c r="M2094" s="8" t="n"/>
      <c r="N2094" s="8" t="n"/>
      <c r="O2094" s="8" t="n"/>
      <c r="P2094" s="8" t="n"/>
      <c r="Q2094" s="7" t="inlineStr">
        <is>
          <t>SEM COTAÇÃO</t>
        </is>
      </c>
      <c r="R2094" s="8" t="n"/>
      <c r="S2094" s="14" t="n"/>
      <c r="T2094" s="7" t="inlineStr"/>
      <c r="U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8" t="n"/>
      <c r="M2095" s="8" t="n"/>
      <c r="N2095" s="8" t="n"/>
      <c r="O2095" s="8" t="n"/>
      <c r="P2095" s="8" t="n"/>
      <c r="Q2095" s="7" t="inlineStr">
        <is>
          <t>SEM COTAÇÃO</t>
        </is>
      </c>
      <c r="R2095" s="8" t="n"/>
      <c r="S2095" s="14" t="n"/>
      <c r="T2095" s="7" t="inlineStr"/>
      <c r="U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8" t="n"/>
      <c r="M2096" s="8" t="n"/>
      <c r="N2096" s="8" t="n"/>
      <c r="O2096" s="8" t="n"/>
      <c r="P2096" s="8" t="n"/>
      <c r="Q2096" s="7" t="inlineStr">
        <is>
          <t>SEM COTAÇÃO</t>
        </is>
      </c>
      <c r="R2096" s="8" t="n"/>
      <c r="S2096" s="14" t="n"/>
      <c r="T2096" s="7" t="inlineStr"/>
      <c r="U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8" t="n"/>
      <c r="M2097" s="8" t="n"/>
      <c r="N2097" s="8" t="n"/>
      <c r="O2097" s="8" t="n"/>
      <c r="P2097" s="8" t="n"/>
      <c r="Q2097" s="7" t="inlineStr">
        <is>
          <t>SEM COTAÇÃO</t>
        </is>
      </c>
      <c r="R2097" s="8" t="n"/>
      <c r="S2097" s="14" t="n"/>
      <c r="T2097" s="7" t="inlineStr"/>
      <c r="U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8" t="n"/>
      <c r="M2098" s="8" t="n"/>
      <c r="N2098" s="8" t="n"/>
      <c r="O2098" s="8" t="n"/>
      <c r="P2098" s="8" t="n"/>
      <c r="Q2098" s="7" t="inlineStr">
        <is>
          <t>SEM COTAÇÃO</t>
        </is>
      </c>
      <c r="R2098" s="8" t="n"/>
      <c r="S2098" s="14" t="n"/>
      <c r="T2098" s="7" t="inlineStr"/>
      <c r="U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8" t="n"/>
      <c r="M2099" s="8" t="n"/>
      <c r="N2099" s="8" t="n"/>
      <c r="O2099" s="8" t="n"/>
      <c r="P2099" s="8" t="n"/>
      <c r="Q2099" s="7" t="inlineStr">
        <is>
          <t>SEM COTAÇÃO</t>
        </is>
      </c>
      <c r="R2099" s="8" t="n"/>
      <c r="S2099" s="14" t="n"/>
      <c r="T2099" s="7" t="inlineStr"/>
      <c r="U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8" t="n"/>
      <c r="M2100" s="8" t="n"/>
      <c r="N2100" s="8" t="n"/>
      <c r="O2100" s="8" t="n"/>
      <c r="P2100" s="8" t="n"/>
      <c r="Q2100" s="7" t="inlineStr">
        <is>
          <t>SEM COTAÇÃO</t>
        </is>
      </c>
      <c r="R2100" s="8" t="n"/>
      <c r="S2100" s="14" t="n"/>
      <c r="T2100" s="7" t="inlineStr"/>
      <c r="U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8" t="n"/>
      <c r="M2101" s="8" t="n"/>
      <c r="N2101" s="8" t="n"/>
      <c r="O2101" s="8" t="n"/>
      <c r="P2101" s="8" t="n"/>
      <c r="Q2101" s="7" t="inlineStr">
        <is>
          <t>SEM COTAÇÃO</t>
        </is>
      </c>
      <c r="R2101" s="8" t="n"/>
      <c r="S2101" s="14" t="n"/>
      <c r="T2101" s="7" t="inlineStr"/>
      <c r="U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8" t="n"/>
      <c r="M2102" s="8" t="n"/>
      <c r="N2102" s="8" t="n"/>
      <c r="O2102" s="8" t="n"/>
      <c r="P2102" s="8" t="n"/>
      <c r="Q2102" s="7" t="inlineStr">
        <is>
          <t>SEM COTAÇÃO</t>
        </is>
      </c>
      <c r="R2102" s="8" t="n"/>
      <c r="S2102" s="14" t="n"/>
      <c r="T2102" s="7" t="inlineStr"/>
      <c r="U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8" t="n"/>
      <c r="M2103" s="8" t="n"/>
      <c r="N2103" s="8" t="n"/>
      <c r="O2103" s="8" t="n"/>
      <c r="P2103" s="8" t="n"/>
      <c r="Q2103" s="7" t="inlineStr">
        <is>
          <t>SEM COTAÇÃO</t>
        </is>
      </c>
      <c r="R2103" s="8" t="n"/>
      <c r="S2103" s="14" t="n"/>
      <c r="T2103" s="7" t="inlineStr"/>
      <c r="U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8" t="n"/>
      <c r="M2104" s="8" t="n"/>
      <c r="N2104" s="8" t="n"/>
      <c r="O2104" s="8" t="n"/>
      <c r="P2104" s="8" t="n"/>
      <c r="Q2104" s="7" t="inlineStr">
        <is>
          <t>SEM COTAÇÃO</t>
        </is>
      </c>
      <c r="R2104" s="8" t="n"/>
      <c r="S2104" s="14" t="n"/>
      <c r="T2104" s="7" t="inlineStr"/>
      <c r="U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8" t="n"/>
      <c r="M2105" s="8" t="n"/>
      <c r="N2105" s="8" t="n"/>
      <c r="O2105" s="8" t="n"/>
      <c r="P2105" s="8" t="n"/>
      <c r="Q2105" s="7" t="inlineStr">
        <is>
          <t>SEM COTAÇÃO</t>
        </is>
      </c>
      <c r="R2105" s="8" t="n"/>
      <c r="S2105" s="14" t="n"/>
      <c r="T2105" s="7" t="inlineStr"/>
      <c r="U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8" t="n"/>
      <c r="M2106" s="8" t="n"/>
      <c r="N2106" s="8" t="n"/>
      <c r="O2106" s="8" t="n"/>
      <c r="P2106" s="8" t="n"/>
      <c r="Q2106" s="7" t="inlineStr">
        <is>
          <t>SEM COTAÇÃO</t>
        </is>
      </c>
      <c r="R2106" s="8" t="n"/>
      <c r="S2106" s="14" t="n"/>
      <c r="T2106" s="7" t="inlineStr"/>
      <c r="U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8" t="n"/>
      <c r="M2107" s="8" t="n"/>
      <c r="N2107" s="8" t="n"/>
      <c r="O2107" s="8" t="n"/>
      <c r="P2107" s="8" t="n"/>
      <c r="Q2107" s="7" t="inlineStr">
        <is>
          <t>SEM COTAÇÃO</t>
        </is>
      </c>
      <c r="R2107" s="8" t="n"/>
      <c r="S2107" s="14" t="n"/>
      <c r="T2107" s="7" t="inlineStr"/>
      <c r="U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8" t="n"/>
      <c r="M2108" s="8" t="n"/>
      <c r="N2108" s="8" t="n"/>
      <c r="O2108" s="8" t="n"/>
      <c r="P2108" s="8" t="n"/>
      <c r="Q2108" s="7" t="inlineStr">
        <is>
          <t>SEM COTAÇÃO</t>
        </is>
      </c>
      <c r="R2108" s="8" t="n"/>
      <c r="S2108" s="14" t="n"/>
      <c r="T2108" s="7" t="inlineStr"/>
      <c r="U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8" t="n"/>
      <c r="M2109" s="8" t="n"/>
      <c r="N2109" s="8" t="n"/>
      <c r="O2109" s="8" t="n"/>
      <c r="P2109" s="8" t="n"/>
      <c r="Q2109" s="7" t="inlineStr">
        <is>
          <t>SEM COTAÇÃO</t>
        </is>
      </c>
      <c r="R2109" s="8" t="n"/>
      <c r="S2109" s="14" t="n"/>
      <c r="T2109" s="7" t="inlineStr"/>
      <c r="U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8" t="n"/>
      <c r="M2110" s="8" t="n"/>
      <c r="N2110" s="8" t="n"/>
      <c r="O2110" s="8" t="n"/>
      <c r="P2110" s="8" t="n"/>
      <c r="Q2110" s="7" t="inlineStr">
        <is>
          <t>SEM COTAÇÃO</t>
        </is>
      </c>
      <c r="R2110" s="8" t="n"/>
      <c r="S2110" s="14" t="n"/>
      <c r="T2110" s="7" t="inlineStr"/>
      <c r="U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8" t="n"/>
      <c r="M2111" s="8" t="n"/>
      <c r="N2111" s="8" t="n"/>
      <c r="O2111" s="8" t="n"/>
      <c r="P2111" s="8" t="n"/>
      <c r="Q2111" s="7" t="inlineStr">
        <is>
          <t>SEM COTAÇÃO</t>
        </is>
      </c>
      <c r="R2111" s="8" t="n"/>
      <c r="S2111" s="14" t="n"/>
      <c r="T2111" s="7" t="inlineStr"/>
      <c r="U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8" t="n"/>
      <c r="M2112" s="8" t="n"/>
      <c r="N2112" s="8" t="n"/>
      <c r="O2112" s="8" t="n"/>
      <c r="P2112" s="8" t="n"/>
      <c r="Q2112" s="7" t="inlineStr">
        <is>
          <t>SEM COTAÇÃO</t>
        </is>
      </c>
      <c r="R2112" s="8" t="n"/>
      <c r="S2112" s="14" t="n"/>
      <c r="T2112" s="7" t="inlineStr"/>
      <c r="U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8" t="n"/>
      <c r="M2113" s="8" t="n"/>
      <c r="N2113" s="8" t="n"/>
      <c r="O2113" s="8" t="n"/>
      <c r="P2113" s="8" t="n"/>
      <c r="Q2113" s="7" t="inlineStr">
        <is>
          <t>SEM COTAÇÃO</t>
        </is>
      </c>
      <c r="R2113" s="8" t="n"/>
      <c r="S2113" s="14" t="n"/>
      <c r="T2113" s="7" t="inlineStr"/>
      <c r="U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8" t="n"/>
      <c r="M2114" s="8" t="n"/>
      <c r="N2114" s="8" t="n"/>
      <c r="O2114" s="8" t="n"/>
      <c r="P2114" s="8" t="n"/>
      <c r="Q2114" s="7" t="inlineStr">
        <is>
          <t>SEM COTAÇÃO</t>
        </is>
      </c>
      <c r="R2114" s="8" t="n"/>
      <c r="S2114" s="14" t="n"/>
      <c r="T2114" s="7" t="inlineStr"/>
      <c r="U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8" t="n"/>
      <c r="M2115" s="8" t="n"/>
      <c r="N2115" s="8" t="n"/>
      <c r="O2115" s="8" t="n"/>
      <c r="P2115" s="8" t="n"/>
      <c r="Q2115" s="7" t="inlineStr">
        <is>
          <t>SEM COTAÇÃO</t>
        </is>
      </c>
      <c r="R2115" s="8" t="n"/>
      <c r="S2115" s="14" t="n"/>
      <c r="T2115" s="7" t="inlineStr"/>
      <c r="U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8" t="n"/>
      <c r="M2116" s="8" t="n"/>
      <c r="N2116" s="8" t="n"/>
      <c r="O2116" s="8" t="n"/>
      <c r="P2116" s="8" t="n"/>
      <c r="Q2116" s="7" t="inlineStr">
        <is>
          <t>SEM COTAÇÃO</t>
        </is>
      </c>
      <c r="R2116" s="8" t="n"/>
      <c r="S2116" s="14" t="n"/>
      <c r="T2116" s="7" t="inlineStr"/>
      <c r="U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8" t="n"/>
      <c r="M2117" s="8" t="n"/>
      <c r="N2117" s="8" t="n"/>
      <c r="O2117" s="8" t="n"/>
      <c r="P2117" s="8" t="n"/>
      <c r="Q2117" s="7" t="inlineStr">
        <is>
          <t>SEM COTAÇÃO</t>
        </is>
      </c>
      <c r="R2117" s="8" t="n"/>
      <c r="S2117" s="14" t="n"/>
      <c r="T2117" s="7" t="inlineStr"/>
      <c r="U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8" t="n"/>
      <c r="M2118" s="8" t="n"/>
      <c r="N2118" s="8" t="n"/>
      <c r="O2118" s="8" t="n"/>
      <c r="P2118" s="8" t="n"/>
      <c r="Q2118" s="7" t="inlineStr">
        <is>
          <t>SEM COTAÇÃO</t>
        </is>
      </c>
      <c r="R2118" s="8" t="n"/>
      <c r="S2118" s="14" t="n"/>
      <c r="T2118" s="7" t="inlineStr"/>
      <c r="U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8" t="n"/>
      <c r="M2119" s="8" t="n"/>
      <c r="N2119" s="8" t="n"/>
      <c r="O2119" s="8" t="n"/>
      <c r="P2119" s="8" t="n"/>
      <c r="Q2119" s="7" t="inlineStr">
        <is>
          <t>SEM COTAÇÃO</t>
        </is>
      </c>
      <c r="R2119" s="8" t="n"/>
      <c r="S2119" s="14" t="n"/>
      <c r="T2119" s="7" t="inlineStr"/>
      <c r="U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8" t="n"/>
      <c r="M2120" s="8" t="n"/>
      <c r="N2120" s="8" t="n"/>
      <c r="O2120" s="8" t="n"/>
      <c r="P2120" s="8" t="n"/>
      <c r="Q2120" s="7" t="inlineStr">
        <is>
          <t>SEM COTAÇÃO</t>
        </is>
      </c>
      <c r="R2120" s="8" t="n"/>
      <c r="S2120" s="14" t="n"/>
      <c r="T2120" s="7" t="inlineStr"/>
      <c r="U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8" t="n"/>
      <c r="M2121" s="8" t="n"/>
      <c r="N2121" s="8" t="n"/>
      <c r="O2121" s="8" t="n"/>
      <c r="P2121" s="8" t="n"/>
      <c r="Q2121" s="7" t="inlineStr">
        <is>
          <t>SEM COTAÇÃO</t>
        </is>
      </c>
      <c r="R2121" s="8" t="n"/>
      <c r="S2121" s="14" t="n"/>
      <c r="T2121" s="7" t="inlineStr"/>
      <c r="U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8" t="n"/>
      <c r="M2122" s="8" t="n"/>
      <c r="N2122" s="8" t="n"/>
      <c r="O2122" s="8" t="n"/>
      <c r="P2122" s="8" t="n"/>
      <c r="Q2122" s="7" t="inlineStr">
        <is>
          <t>SEM COTAÇÃO</t>
        </is>
      </c>
      <c r="R2122" s="8" t="n"/>
      <c r="S2122" s="14" t="n"/>
      <c r="T2122" s="7" t="inlineStr"/>
      <c r="U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8" t="n"/>
      <c r="M2123" s="8" t="n"/>
      <c r="N2123" s="8" t="n"/>
      <c r="O2123" s="8" t="n"/>
      <c r="P2123" s="8" t="n"/>
      <c r="Q2123" s="7" t="inlineStr">
        <is>
          <t>SEM COTAÇÃO</t>
        </is>
      </c>
      <c r="R2123" s="8" t="n"/>
      <c r="S2123" s="14" t="n"/>
      <c r="T2123" s="7" t="inlineStr"/>
      <c r="U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8" t="n"/>
      <c r="M2124" s="8" t="n"/>
      <c r="N2124" s="8" t="n"/>
      <c r="O2124" s="8" t="n"/>
      <c r="P2124" s="8" t="n"/>
      <c r="Q2124" s="7" t="inlineStr">
        <is>
          <t>SEM COTAÇÃO</t>
        </is>
      </c>
      <c r="R2124" s="8" t="n"/>
      <c r="S2124" s="14" t="n"/>
      <c r="T2124" s="7" t="inlineStr"/>
      <c r="U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8" t="n"/>
      <c r="M2125" s="8" t="n"/>
      <c r="N2125" s="8" t="n"/>
      <c r="O2125" s="8" t="n"/>
      <c r="P2125" s="8" t="n"/>
      <c r="Q2125" s="7" t="inlineStr">
        <is>
          <t>SEM COTAÇÃO</t>
        </is>
      </c>
      <c r="R2125" s="8" t="n"/>
      <c r="S2125" s="14" t="n"/>
      <c r="T2125" s="7" t="inlineStr"/>
      <c r="U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8" t="n"/>
      <c r="M2126" s="8" t="n"/>
      <c r="N2126" s="8" t="n"/>
      <c r="O2126" s="8" t="n"/>
      <c r="P2126" s="8" t="n"/>
      <c r="Q2126" s="7" t="inlineStr">
        <is>
          <t>SEM COTAÇÃO</t>
        </is>
      </c>
      <c r="R2126" s="8" t="n"/>
      <c r="S2126" s="14" t="n"/>
      <c r="T2126" s="7" t="inlineStr"/>
      <c r="U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8" t="n"/>
      <c r="M2127" s="8" t="n"/>
      <c r="N2127" s="8" t="n"/>
      <c r="O2127" s="8" t="n"/>
      <c r="P2127" s="8" t="n"/>
      <c r="Q2127" s="7" t="inlineStr">
        <is>
          <t>SEM COTAÇÃO</t>
        </is>
      </c>
      <c r="R2127" s="8" t="n"/>
      <c r="S2127" s="14" t="n"/>
      <c r="T2127" s="7" t="inlineStr"/>
      <c r="U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8" t="n"/>
      <c r="M2128" s="8" t="n"/>
      <c r="N2128" s="8" t="n"/>
      <c r="O2128" s="8" t="n"/>
      <c r="P2128" s="8" t="n"/>
      <c r="Q2128" s="7" t="inlineStr">
        <is>
          <t>SEM COTAÇÃO</t>
        </is>
      </c>
      <c r="R2128" s="8" t="n"/>
      <c r="S2128" s="14" t="n"/>
      <c r="T2128" s="7" t="inlineStr"/>
      <c r="U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8" t="n"/>
      <c r="M2129" s="8" t="n"/>
      <c r="N2129" s="8" t="n"/>
      <c r="O2129" s="8" t="n"/>
      <c r="P2129" s="8" t="n"/>
      <c r="Q2129" s="7" t="inlineStr">
        <is>
          <t>SEM COTAÇÃO</t>
        </is>
      </c>
      <c r="R2129" s="8" t="n"/>
      <c r="S2129" s="14" t="n"/>
      <c r="T2129" s="7" t="inlineStr"/>
      <c r="U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8" t="n"/>
      <c r="M2130" s="8" t="n"/>
      <c r="N2130" s="8" t="n"/>
      <c r="O2130" s="8" t="n"/>
      <c r="P2130" s="8" t="n"/>
      <c r="Q2130" s="7" t="inlineStr">
        <is>
          <t>SEM COTAÇÃO</t>
        </is>
      </c>
      <c r="R2130" s="8" t="n"/>
      <c r="S2130" s="14" t="n"/>
      <c r="T2130" s="7" t="inlineStr"/>
      <c r="U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8" t="n"/>
      <c r="M2131" s="8" t="n"/>
      <c r="N2131" s="8" t="n"/>
      <c r="O2131" s="8" t="n"/>
      <c r="P2131" s="8" t="n"/>
      <c r="Q2131" s="7" t="inlineStr">
        <is>
          <t>SEM COTAÇÃO</t>
        </is>
      </c>
      <c r="R2131" s="8" t="n"/>
      <c r="S2131" s="14" t="n"/>
      <c r="T2131" s="7" t="inlineStr"/>
      <c r="U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8" t="n"/>
      <c r="M2132" s="8" t="n"/>
      <c r="N2132" s="8" t="n"/>
      <c r="O2132" s="8" t="n"/>
      <c r="P2132" s="8" t="n"/>
      <c r="Q2132" s="7" t="inlineStr">
        <is>
          <t>SEM COTAÇÃO</t>
        </is>
      </c>
      <c r="R2132" s="8" t="n"/>
      <c r="S2132" s="14" t="n"/>
      <c r="T2132" s="7" t="inlineStr"/>
      <c r="U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8" t="n"/>
      <c r="M2133" s="8" t="n"/>
      <c r="N2133" s="8" t="n"/>
      <c r="O2133" s="8" t="n"/>
      <c r="P2133" s="8" t="n"/>
      <c r="Q2133" s="7" t="inlineStr">
        <is>
          <t>SEM COTAÇÃO</t>
        </is>
      </c>
      <c r="R2133" s="8" t="n"/>
      <c r="S2133" s="14" t="n"/>
      <c r="T2133" s="7" t="inlineStr"/>
      <c r="U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8" t="n"/>
      <c r="M2134" s="8" t="n"/>
      <c r="N2134" s="8" t="n"/>
      <c r="O2134" s="8" t="n"/>
      <c r="P2134" s="8" t="n"/>
      <c r="Q2134" s="7" t="inlineStr">
        <is>
          <t>SEM COTAÇÃO</t>
        </is>
      </c>
      <c r="R2134" s="8" t="n"/>
      <c r="S2134" s="14" t="n"/>
      <c r="T2134" s="7" t="inlineStr"/>
      <c r="U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8" t="n"/>
      <c r="M2135" s="8" t="n"/>
      <c r="N2135" s="8" t="n"/>
      <c r="O2135" s="8" t="n"/>
      <c r="P2135" s="8" t="n"/>
      <c r="Q2135" s="7" t="inlineStr">
        <is>
          <t>SEM COTAÇÃO</t>
        </is>
      </c>
      <c r="R2135" s="8" t="n"/>
      <c r="S2135" s="14" t="n"/>
      <c r="T2135" s="7" t="inlineStr"/>
      <c r="U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8" t="n"/>
      <c r="M2136" s="8" t="n"/>
      <c r="N2136" s="8" t="n"/>
      <c r="O2136" s="8" t="n"/>
      <c r="P2136" s="8" t="n"/>
      <c r="Q2136" s="7" t="inlineStr">
        <is>
          <t>SEM COTAÇÃO</t>
        </is>
      </c>
      <c r="R2136" s="8" t="n"/>
      <c r="S2136" s="14" t="n"/>
      <c r="T2136" s="7" t="inlineStr"/>
      <c r="U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8" t="n"/>
      <c r="M2137" s="8" t="n"/>
      <c r="N2137" s="8" t="n"/>
      <c r="O2137" s="8" t="n"/>
      <c r="P2137" s="8" t="n"/>
      <c r="Q2137" s="7" t="inlineStr">
        <is>
          <t>SEM COTAÇÃO</t>
        </is>
      </c>
      <c r="R2137" s="8" t="n"/>
      <c r="S2137" s="14" t="n"/>
      <c r="T2137" s="7" t="inlineStr"/>
      <c r="U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8" t="n"/>
      <c r="M2138" s="8" t="n"/>
      <c r="N2138" s="8" t="n"/>
      <c r="O2138" s="8" t="n"/>
      <c r="P2138" s="8" t="n"/>
      <c r="Q2138" s="7" t="inlineStr">
        <is>
          <t>SEM COTAÇÃO</t>
        </is>
      </c>
      <c r="R2138" s="8" t="n"/>
      <c r="S2138" s="14" t="n"/>
      <c r="T2138" s="7" t="inlineStr"/>
      <c r="U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7" t="inlineStr">
        <is>
          <t>SEM COTAÇÃO</t>
        </is>
      </c>
      <c r="R2139" s="8" t="n"/>
      <c r="S2139" s="14" t="n"/>
      <c r="T2139" s="7" t="inlineStr"/>
      <c r="U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8" t="n"/>
      <c r="M2140" s="8" t="n"/>
      <c r="N2140" s="8" t="n"/>
      <c r="O2140" s="8" t="n"/>
      <c r="P2140" s="8" t="n"/>
      <c r="Q2140" s="7" t="inlineStr">
        <is>
          <t>SEM COTAÇÃO</t>
        </is>
      </c>
      <c r="R2140" s="8" t="n"/>
      <c r="S2140" s="14" t="n"/>
      <c r="T2140" s="7" t="inlineStr"/>
      <c r="U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8" t="n"/>
      <c r="M2141" s="8" t="n"/>
      <c r="N2141" s="8" t="n"/>
      <c r="O2141" s="8" t="n"/>
      <c r="P2141" s="8" t="n"/>
      <c r="Q2141" s="7" t="inlineStr">
        <is>
          <t>SEM COTAÇÃO</t>
        </is>
      </c>
      <c r="R2141" s="8" t="n"/>
      <c r="S2141" s="14" t="n"/>
      <c r="T2141" s="7" t="inlineStr"/>
      <c r="U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8" t="n"/>
      <c r="M2142" s="8" t="n"/>
      <c r="N2142" s="8" t="n"/>
      <c r="O2142" s="8" t="n"/>
      <c r="P2142" s="8" t="n"/>
      <c r="Q2142" s="7" t="inlineStr">
        <is>
          <t>SEM COTAÇÃO</t>
        </is>
      </c>
      <c r="R2142" s="8" t="n"/>
      <c r="S2142" s="14" t="n"/>
      <c r="T2142" s="7" t="inlineStr"/>
      <c r="U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8" t="n"/>
      <c r="M2143" s="8" t="n"/>
      <c r="N2143" s="8" t="n"/>
      <c r="O2143" s="15" t="n">
        <v>59.83</v>
      </c>
      <c r="P2143" s="8" t="n"/>
      <c r="Q2143" s="7" t="inlineStr">
        <is>
          <t>NAZARIA</t>
        </is>
      </c>
      <c r="R2143" s="8" t="n">
        <v>59.83</v>
      </c>
      <c r="S2143" s="14">
        <f>R2143/H2143-1</f>
        <v/>
      </c>
      <c r="T2143" s="16" t="inlineStr">
        <is>
          <t>ACIMA +41.6%</t>
        </is>
      </c>
      <c r="U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8" t="n"/>
      <c r="M2144" s="8" t="n"/>
      <c r="N2144" s="8" t="n"/>
      <c r="O2144" s="15" t="n">
        <v>31.35</v>
      </c>
      <c r="P2144" s="8" t="n"/>
      <c r="Q2144" s="7" t="inlineStr">
        <is>
          <t>NAZARIA</t>
        </is>
      </c>
      <c r="R2144" s="8" t="n">
        <v>31.35</v>
      </c>
      <c r="S2144" s="14">
        <f>R2144/H2144-1</f>
        <v/>
      </c>
      <c r="T2144" s="16" t="inlineStr">
        <is>
          <t>ACIMA +39.6%</t>
        </is>
      </c>
      <c r="U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8" t="n"/>
      <c r="M2145" s="8" t="n"/>
      <c r="N2145" s="8" t="n"/>
      <c r="O2145" s="15" t="n">
        <v>59.83</v>
      </c>
      <c r="P2145" s="8" t="n"/>
      <c r="Q2145" s="7" t="inlineStr">
        <is>
          <t>NAZARIA</t>
        </is>
      </c>
      <c r="R2145" s="8" t="n">
        <v>59.83</v>
      </c>
      <c r="S2145" s="14">
        <f>R2145/H2145-1</f>
        <v/>
      </c>
      <c r="T2145" s="16" t="inlineStr">
        <is>
          <t>ACIMA +64.5%</t>
        </is>
      </c>
      <c r="U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8" t="n"/>
      <c r="M2146" s="8" t="n"/>
      <c r="N2146" s="8" t="n"/>
      <c r="O2146" s="8" t="n">
        <v>94.98999999999999</v>
      </c>
      <c r="P2146" s="8" t="n"/>
      <c r="Q2146" s="7" t="inlineStr">
        <is>
          <t>SEM COTAÇÃO</t>
        </is>
      </c>
      <c r="R2146" s="8" t="n"/>
      <c r="S2146" s="14" t="n"/>
      <c r="T2146" s="7" t="inlineStr"/>
      <c r="U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8" t="n"/>
      <c r="M2147" s="8" t="n"/>
      <c r="N2147" s="8" t="n"/>
      <c r="O2147" s="15" t="n">
        <v>34.83</v>
      </c>
      <c r="P2147" s="8" t="n"/>
      <c r="Q2147" s="7" t="inlineStr">
        <is>
          <t>NAZARIA</t>
        </is>
      </c>
      <c r="R2147" s="8" t="n">
        <v>34.83</v>
      </c>
      <c r="S2147" s="14">
        <f>R2147/H2147-1</f>
        <v/>
      </c>
      <c r="T2147" s="16" t="inlineStr">
        <is>
          <t>ACIMA +39.1%</t>
        </is>
      </c>
      <c r="U2147" s="7" t="inlineStr">
        <is>
          <t>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8" t="n"/>
      <c r="M2148" s="8" t="n"/>
      <c r="N2148" s="8" t="n"/>
      <c r="O2148" s="8" t="n">
        <v>72.98999999999999</v>
      </c>
      <c r="P2148" s="8" t="n"/>
      <c r="Q2148" s="7" t="inlineStr">
        <is>
          <t>SEM COTAÇÃO</t>
        </is>
      </c>
      <c r="R2148" s="8" t="n"/>
      <c r="S2148" s="14" t="n"/>
      <c r="T2148" s="7" t="inlineStr"/>
      <c r="U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8" t="n"/>
      <c r="M2149" s="8" t="n"/>
      <c r="N2149" s="8" t="n"/>
      <c r="O2149" s="8" t="n"/>
      <c r="P2149" s="8" t="n"/>
      <c r="Q2149" s="7" t="inlineStr">
        <is>
          <t>SEM COTAÇÃO</t>
        </is>
      </c>
      <c r="R2149" s="8" t="n"/>
      <c r="S2149" s="14" t="n"/>
      <c r="T2149" s="7" t="inlineStr"/>
      <c r="U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8" t="n"/>
      <c r="M2150" s="8" t="n"/>
      <c r="N2150" s="8" t="n"/>
      <c r="O2150" s="8" t="n"/>
      <c r="P2150" s="8" t="n"/>
      <c r="Q2150" s="7" t="inlineStr">
        <is>
          <t>SEM COTAÇÃO</t>
        </is>
      </c>
      <c r="R2150" s="8" t="n"/>
      <c r="S2150" s="14" t="n"/>
      <c r="T2150" s="7" t="inlineStr"/>
      <c r="U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8" t="n"/>
      <c r="M2151" s="8" t="n"/>
      <c r="N2151" s="8" t="n"/>
      <c r="O2151" s="8" t="n"/>
      <c r="P2151" s="8" t="n"/>
      <c r="Q2151" s="7" t="inlineStr">
        <is>
          <t>SEM COTAÇÃO</t>
        </is>
      </c>
      <c r="R2151" s="8" t="n"/>
      <c r="S2151" s="14" t="n"/>
      <c r="T2151" s="7" t="inlineStr"/>
      <c r="U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8" t="n"/>
      <c r="M2152" s="8" t="n"/>
      <c r="N2152" s="8" t="n"/>
      <c r="O2152" s="8" t="n"/>
      <c r="P2152" s="8" t="n"/>
      <c r="Q2152" s="7" t="inlineStr">
        <is>
          <t>SEM COTAÇÃO</t>
        </is>
      </c>
      <c r="R2152" s="8" t="n"/>
      <c r="S2152" s="14" t="n"/>
      <c r="T2152" s="7" t="inlineStr"/>
      <c r="U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8" t="n"/>
      <c r="M2153" s="8" t="n"/>
      <c r="N2153" s="8" t="n"/>
      <c r="O2153" s="8" t="n"/>
      <c r="P2153" s="8" t="n"/>
      <c r="Q2153" s="7" t="inlineStr">
        <is>
          <t>SEM COTAÇÃO</t>
        </is>
      </c>
      <c r="R2153" s="8" t="n"/>
      <c r="S2153" s="14" t="n"/>
      <c r="T2153" s="7" t="inlineStr"/>
      <c r="U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8" t="n"/>
      <c r="M2154" s="8" t="n"/>
      <c r="N2154" s="8" t="n"/>
      <c r="O2154" s="8" t="n"/>
      <c r="P2154" s="8" t="n"/>
      <c r="Q2154" s="7" t="inlineStr">
        <is>
          <t>SEM COTAÇÃO</t>
        </is>
      </c>
      <c r="R2154" s="8" t="n"/>
      <c r="S2154" s="14" t="n"/>
      <c r="T2154" s="7" t="inlineStr"/>
      <c r="U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8" t="n"/>
      <c r="M2155" s="8" t="n"/>
      <c r="N2155" s="8" t="n"/>
      <c r="O2155" s="8" t="n"/>
      <c r="P2155" s="8" t="n"/>
      <c r="Q2155" s="7" t="inlineStr">
        <is>
          <t>SEM COTAÇÃO</t>
        </is>
      </c>
      <c r="R2155" s="8" t="n"/>
      <c r="S2155" s="14" t="n"/>
      <c r="T2155" s="7" t="inlineStr"/>
      <c r="U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8" t="n"/>
      <c r="M2156" s="8" t="n"/>
      <c r="N2156" s="8" t="n"/>
      <c r="O2156" s="8" t="n"/>
      <c r="P2156" s="8" t="n"/>
      <c r="Q2156" s="7" t="inlineStr">
        <is>
          <t>SEM COTAÇÃO</t>
        </is>
      </c>
      <c r="R2156" s="8" t="n"/>
      <c r="S2156" s="14" t="n"/>
      <c r="T2156" s="7" t="inlineStr"/>
      <c r="U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8" t="n"/>
      <c r="M2157" s="8" t="n"/>
      <c r="N2157" s="8" t="n"/>
      <c r="O2157" s="15" t="n">
        <v>61.09059999999999</v>
      </c>
      <c r="P2157" s="8" t="n"/>
      <c r="Q2157" s="7" t="inlineStr">
        <is>
          <t>NAZARIA</t>
        </is>
      </c>
      <c r="R2157" s="8" t="n">
        <v>61.09059999999999</v>
      </c>
      <c r="S2157" s="14">
        <f>R2157/H2157-1</f>
        <v/>
      </c>
      <c r="T2157" s="16" t="inlineStr">
        <is>
          <t>ACIMA +37.5%</t>
        </is>
      </c>
      <c r="U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8" t="n"/>
      <c r="M2158" s="8" t="n"/>
      <c r="N2158" s="8" t="n"/>
      <c r="O2158" s="8" t="n"/>
      <c r="P2158" s="8" t="n"/>
      <c r="Q2158" s="7" t="inlineStr">
        <is>
          <t>SEM COTAÇÃO</t>
        </is>
      </c>
      <c r="R2158" s="8" t="n"/>
      <c r="S2158" s="14" t="n"/>
      <c r="T2158" s="7" t="inlineStr"/>
      <c r="U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8" t="n"/>
      <c r="M2159" s="8" t="n"/>
      <c r="N2159" s="8" t="n"/>
      <c r="O2159" s="8" t="n"/>
      <c r="P2159" s="8" t="n"/>
      <c r="Q2159" s="7" t="inlineStr">
        <is>
          <t>SEM COTAÇÃO</t>
        </is>
      </c>
      <c r="R2159" s="8" t="n"/>
      <c r="S2159" s="14" t="n"/>
      <c r="T2159" s="7" t="inlineStr"/>
      <c r="U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8" t="n"/>
      <c r="M2160" s="8" t="n"/>
      <c r="N2160" s="8" t="n"/>
      <c r="O2160" s="8" t="n"/>
      <c r="P2160" s="8" t="n"/>
      <c r="Q2160" s="7" t="inlineStr">
        <is>
          <t>SEM COTAÇÃO</t>
        </is>
      </c>
      <c r="R2160" s="8" t="n"/>
      <c r="S2160" s="14" t="n"/>
      <c r="T2160" s="7" t="inlineStr"/>
      <c r="U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8" t="n"/>
      <c r="M2161" s="8" t="n"/>
      <c r="N2161" s="8" t="n"/>
      <c r="O2161" s="8" t="n"/>
      <c r="P2161" s="8" t="n"/>
      <c r="Q2161" s="7" t="inlineStr">
        <is>
          <t>SEM COTAÇÃO</t>
        </is>
      </c>
      <c r="R2161" s="8" t="n"/>
      <c r="S2161" s="14" t="n"/>
      <c r="T2161" s="7" t="inlineStr"/>
      <c r="U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8" t="n"/>
      <c r="M2162" s="8" t="n"/>
      <c r="N2162" s="8" t="n"/>
      <c r="O2162" s="8" t="n"/>
      <c r="P2162" s="8" t="n"/>
      <c r="Q2162" s="7" t="inlineStr">
        <is>
          <t>SEM COTAÇÃO</t>
        </is>
      </c>
      <c r="R2162" s="8" t="n"/>
      <c r="S2162" s="14" t="n"/>
      <c r="T2162" s="7" t="inlineStr"/>
      <c r="U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8" t="n"/>
      <c r="M2163" s="8" t="n"/>
      <c r="N2163" s="8" t="n"/>
      <c r="O2163" s="8" t="n"/>
      <c r="P2163" s="8" t="n"/>
      <c r="Q2163" s="7" t="inlineStr">
        <is>
          <t>SEM COTAÇÃO</t>
        </is>
      </c>
      <c r="R2163" s="8" t="n"/>
      <c r="S2163" s="14" t="n"/>
      <c r="T2163" s="7" t="inlineStr"/>
      <c r="U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8" t="n"/>
      <c r="M2164" s="8" t="n"/>
      <c r="N2164" s="8" t="n"/>
      <c r="O2164" s="8" t="n">
        <v>66.48999999999999</v>
      </c>
      <c r="P2164" s="8" t="n"/>
      <c r="Q2164" s="7" t="inlineStr">
        <is>
          <t>SEM COTAÇÃO</t>
        </is>
      </c>
      <c r="R2164" s="8" t="n"/>
      <c r="S2164" s="14" t="n"/>
      <c r="T2164" s="7" t="inlineStr"/>
      <c r="U2164" s="7" t="inlineStr">
        <is>
          <t>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8" t="n"/>
      <c r="M2165" s="8" t="n"/>
      <c r="N2165" s="8" t="n"/>
      <c r="O2165" s="8" t="n"/>
      <c r="P2165" s="8" t="n"/>
      <c r="Q2165" s="7" t="inlineStr">
        <is>
          <t>SEM COTAÇÃO</t>
        </is>
      </c>
      <c r="R2165" s="8" t="n"/>
      <c r="S2165" s="14" t="n"/>
      <c r="T2165" s="7" t="inlineStr"/>
      <c r="U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8" t="n"/>
      <c r="M2166" s="8" t="n"/>
      <c r="N2166" s="8" t="n"/>
      <c r="O2166" s="8" t="n"/>
      <c r="P2166" s="8" t="n"/>
      <c r="Q2166" s="7" t="inlineStr">
        <is>
          <t>SEM COTAÇÃO</t>
        </is>
      </c>
      <c r="R2166" s="8" t="n"/>
      <c r="S2166" s="14" t="n"/>
      <c r="T2166" s="7" t="inlineStr"/>
      <c r="U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8" t="n"/>
      <c r="M2167" s="8" t="n"/>
      <c r="N2167" s="8" t="n"/>
      <c r="O2167" s="8" t="n"/>
      <c r="P2167" s="8" t="n"/>
      <c r="Q2167" s="7" t="inlineStr">
        <is>
          <t>SEM COTAÇÃO</t>
        </is>
      </c>
      <c r="R2167" s="8" t="n"/>
      <c r="S2167" s="14" t="n"/>
      <c r="T2167" s="7" t="inlineStr"/>
      <c r="U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8" t="n"/>
      <c r="M2168" s="8" t="n"/>
      <c r="N2168" s="8" t="n"/>
      <c r="O2168" s="8" t="n"/>
      <c r="P2168" s="8" t="n"/>
      <c r="Q2168" s="7" t="inlineStr">
        <is>
          <t>SEM COTAÇÃO</t>
        </is>
      </c>
      <c r="R2168" s="8" t="n"/>
      <c r="S2168" s="14" t="n"/>
      <c r="T2168" s="7" t="inlineStr"/>
      <c r="U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8" t="n"/>
      <c r="M2169" s="8" t="n"/>
      <c r="N2169" s="8" t="n"/>
      <c r="O2169" s="8" t="n"/>
      <c r="P2169" s="8" t="n"/>
      <c r="Q2169" s="7" t="inlineStr">
        <is>
          <t>SEM COTAÇÃO</t>
        </is>
      </c>
      <c r="R2169" s="8" t="n"/>
      <c r="S2169" s="14" t="n"/>
      <c r="T2169" s="7" t="inlineStr"/>
      <c r="U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8" t="n"/>
      <c r="M2170" s="8" t="n"/>
      <c r="N2170" s="8" t="n"/>
      <c r="O2170" s="8" t="n"/>
      <c r="P2170" s="8" t="n"/>
      <c r="Q2170" s="7" t="inlineStr">
        <is>
          <t>SEM COTAÇÃO</t>
        </is>
      </c>
      <c r="R2170" s="8" t="n"/>
      <c r="S2170" s="14" t="n"/>
      <c r="T2170" s="7" t="inlineStr"/>
      <c r="U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8" t="n"/>
      <c r="M2171" s="8" t="n"/>
      <c r="N2171" s="8" t="n"/>
      <c r="O2171" s="8" t="n"/>
      <c r="P2171" s="8" t="n"/>
      <c r="Q2171" s="7" t="inlineStr">
        <is>
          <t>SEM COTAÇÃO</t>
        </is>
      </c>
      <c r="R2171" s="8" t="n"/>
      <c r="S2171" s="14" t="n"/>
      <c r="T2171" s="7" t="inlineStr"/>
      <c r="U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8" t="n"/>
      <c r="M2172" s="8" t="n"/>
      <c r="N2172" s="8" t="n"/>
      <c r="O2172" s="8" t="n"/>
      <c r="P2172" s="8" t="n"/>
      <c r="Q2172" s="7" t="inlineStr">
        <is>
          <t>SEM COTAÇÃO</t>
        </is>
      </c>
      <c r="R2172" s="8" t="n"/>
      <c r="S2172" s="14" t="n"/>
      <c r="T2172" s="7" t="inlineStr"/>
      <c r="U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8" t="n"/>
      <c r="M2173" s="8" t="n"/>
      <c r="N2173" s="8" t="n"/>
      <c r="O2173" s="8" t="n"/>
      <c r="P2173" s="8" t="n"/>
      <c r="Q2173" s="7" t="inlineStr">
        <is>
          <t>SEM COTAÇÃO</t>
        </is>
      </c>
      <c r="R2173" s="8" t="n"/>
      <c r="S2173" s="14" t="n"/>
      <c r="T2173" s="7" t="inlineStr"/>
      <c r="U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8" t="n"/>
      <c r="M2174" s="8" t="n"/>
      <c r="N2174" s="8" t="n"/>
      <c r="O2174" s="8" t="n"/>
      <c r="P2174" s="8" t="n"/>
      <c r="Q2174" s="7" t="inlineStr">
        <is>
          <t>SEM COTAÇÃO</t>
        </is>
      </c>
      <c r="R2174" s="8" t="n"/>
      <c r="S2174" s="14" t="n"/>
      <c r="T2174" s="7" t="inlineStr"/>
      <c r="U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8" t="n"/>
      <c r="M2175" s="8" t="n"/>
      <c r="N2175" s="8" t="n"/>
      <c r="O2175" s="8" t="n"/>
      <c r="P2175" s="8" t="n"/>
      <c r="Q2175" s="7" t="inlineStr">
        <is>
          <t>SEM COTAÇÃO</t>
        </is>
      </c>
      <c r="R2175" s="8" t="n"/>
      <c r="S2175" s="14" t="n"/>
      <c r="T2175" s="7" t="inlineStr"/>
      <c r="U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8" t="n"/>
      <c r="M2176" s="8" t="n"/>
      <c r="N2176" s="8" t="n"/>
      <c r="O2176" s="8" t="n"/>
      <c r="P2176" s="8" t="n"/>
      <c r="Q2176" s="7" t="inlineStr">
        <is>
          <t>SEM COTAÇÃO</t>
        </is>
      </c>
      <c r="R2176" s="8" t="n"/>
      <c r="S2176" s="14" t="n"/>
      <c r="T2176" s="7" t="inlineStr"/>
      <c r="U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8" t="n"/>
      <c r="M2177" s="8" t="n"/>
      <c r="N2177" s="8" t="n"/>
      <c r="O2177" s="8" t="n"/>
      <c r="P2177" s="8" t="n"/>
      <c r="Q2177" s="7" t="inlineStr">
        <is>
          <t>SEM COTAÇÃO</t>
        </is>
      </c>
      <c r="R2177" s="8" t="n"/>
      <c r="S2177" s="14" t="n"/>
      <c r="T2177" s="7" t="inlineStr"/>
      <c r="U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8" t="n"/>
      <c r="M2178" s="8" t="n"/>
      <c r="N2178" s="8" t="n"/>
      <c r="O2178" s="8" t="n"/>
      <c r="P2178" s="8" t="n"/>
      <c r="Q2178" s="7" t="inlineStr">
        <is>
          <t>SEM COTAÇÃO</t>
        </is>
      </c>
      <c r="R2178" s="8" t="n"/>
      <c r="S2178" s="14" t="n"/>
      <c r="T2178" s="7" t="inlineStr"/>
      <c r="U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8" t="n"/>
      <c r="M2179" s="8" t="n"/>
      <c r="N2179" s="8" t="n"/>
      <c r="O2179" s="15" t="n">
        <v>59.9266</v>
      </c>
      <c r="P2179" s="8" t="n"/>
      <c r="Q2179" s="7" t="inlineStr">
        <is>
          <t>NAZARIA</t>
        </is>
      </c>
      <c r="R2179" s="8" t="n">
        <v>59.9266</v>
      </c>
      <c r="S2179" s="14">
        <f>R2179/H2179-1</f>
        <v/>
      </c>
      <c r="T2179" s="16" t="inlineStr">
        <is>
          <t>ACIMA +53.4%</t>
        </is>
      </c>
      <c r="U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8" t="n"/>
      <c r="M2180" s="8" t="n"/>
      <c r="N2180" s="8" t="n"/>
      <c r="O2180" s="8" t="n"/>
      <c r="P2180" s="8" t="n"/>
      <c r="Q2180" s="7" t="inlineStr">
        <is>
          <t>SEM COTAÇÃO</t>
        </is>
      </c>
      <c r="R2180" s="8" t="n"/>
      <c r="S2180" s="14" t="n"/>
      <c r="T2180" s="7" t="inlineStr"/>
      <c r="U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8" t="n"/>
      <c r="M2181" s="8" t="n"/>
      <c r="N2181" s="8" t="n"/>
      <c r="O2181" s="8" t="n"/>
      <c r="P2181" s="8" t="n"/>
      <c r="Q2181" s="7" t="inlineStr">
        <is>
          <t>SEM COTAÇÃO</t>
        </is>
      </c>
      <c r="R2181" s="8" t="n"/>
      <c r="S2181" s="14" t="n"/>
      <c r="T2181" s="7" t="inlineStr"/>
      <c r="U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8" t="n"/>
      <c r="M2182" s="8" t="n"/>
      <c r="N2182" s="8" t="n"/>
      <c r="O2182" s="8" t="n"/>
      <c r="P2182" s="8" t="n"/>
      <c r="Q2182" s="7" t="inlineStr">
        <is>
          <t>SEM COTAÇÃO</t>
        </is>
      </c>
      <c r="R2182" s="8" t="n"/>
      <c r="S2182" s="14" t="n"/>
      <c r="T2182" s="7" t="inlineStr"/>
      <c r="U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8" t="n"/>
      <c r="M2183" s="8" t="n"/>
      <c r="N2183" s="8" t="n"/>
      <c r="O2183" s="8" t="n"/>
      <c r="P2183" s="8" t="n"/>
      <c r="Q2183" s="7" t="inlineStr">
        <is>
          <t>SEM COTAÇÃO</t>
        </is>
      </c>
      <c r="R2183" s="8" t="n"/>
      <c r="S2183" s="14" t="n"/>
      <c r="T2183" s="7" t="inlineStr"/>
      <c r="U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8" t="n"/>
      <c r="M2184" s="8" t="n"/>
      <c r="N2184" s="8" t="n"/>
      <c r="O2184" s="8" t="n"/>
      <c r="P2184" s="8" t="n"/>
      <c r="Q2184" s="7" t="inlineStr">
        <is>
          <t>SEM COTAÇÃO</t>
        </is>
      </c>
      <c r="R2184" s="8" t="n"/>
      <c r="S2184" s="14" t="n"/>
      <c r="T2184" s="7" t="inlineStr"/>
      <c r="U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8" t="n"/>
      <c r="M2185" s="8" t="n"/>
      <c r="N2185" s="8" t="n"/>
      <c r="O2185" s="8" t="n"/>
      <c r="P2185" s="8" t="n"/>
      <c r="Q2185" s="7" t="inlineStr">
        <is>
          <t>SEM COTAÇÃO</t>
        </is>
      </c>
      <c r="R2185" s="8" t="n"/>
      <c r="S2185" s="14" t="n"/>
      <c r="T2185" s="7" t="inlineStr"/>
      <c r="U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8" t="n"/>
      <c r="M2186" s="8" t="n"/>
      <c r="N2186" s="8" t="n"/>
      <c r="O2186" s="8" t="n"/>
      <c r="P2186" s="8" t="n"/>
      <c r="Q2186" s="7" t="inlineStr">
        <is>
          <t>SEM COTAÇÃO</t>
        </is>
      </c>
      <c r="R2186" s="8" t="n"/>
      <c r="S2186" s="14" t="n"/>
      <c r="T2186" s="7" t="inlineStr"/>
      <c r="U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8" t="n"/>
      <c r="M2187" s="8" t="n"/>
      <c r="N2187" s="8" t="n"/>
      <c r="O2187" s="8" t="n"/>
      <c r="P2187" s="8" t="n"/>
      <c r="Q2187" s="7" t="inlineStr">
        <is>
          <t>SEM COTAÇÃO</t>
        </is>
      </c>
      <c r="R2187" s="8" t="n"/>
      <c r="S2187" s="14" t="n"/>
      <c r="T2187" s="7" t="inlineStr"/>
      <c r="U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8" t="n"/>
      <c r="M2188" s="8" t="n"/>
      <c r="N2188" s="8" t="n"/>
      <c r="O2188" s="8" t="n"/>
      <c r="P2188" s="8" t="n"/>
      <c r="Q2188" s="7" t="inlineStr">
        <is>
          <t>SEM COTAÇÃO</t>
        </is>
      </c>
      <c r="R2188" s="8" t="n"/>
      <c r="S2188" s="14" t="n"/>
      <c r="T2188" s="7" t="inlineStr"/>
      <c r="U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8" t="n"/>
      <c r="M2189" s="8" t="n"/>
      <c r="N2189" s="8" t="n"/>
      <c r="O2189" s="8" t="n"/>
      <c r="P2189" s="8" t="n"/>
      <c r="Q2189" s="7" t="inlineStr">
        <is>
          <t>SEM COTAÇÃO</t>
        </is>
      </c>
      <c r="R2189" s="8" t="n"/>
      <c r="S2189" s="14" t="n"/>
      <c r="T2189" s="7" t="inlineStr"/>
      <c r="U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8" t="n"/>
      <c r="M2190" s="8" t="n"/>
      <c r="N2190" s="8" t="n"/>
      <c r="O2190" s="8" t="n"/>
      <c r="P2190" s="8" t="n"/>
      <c r="Q2190" s="7" t="inlineStr">
        <is>
          <t>SEM COTAÇÃO</t>
        </is>
      </c>
      <c r="R2190" s="8" t="n"/>
      <c r="S2190" s="14" t="n"/>
      <c r="T2190" s="7" t="inlineStr"/>
      <c r="U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8" t="n"/>
      <c r="M2191" s="8" t="n"/>
      <c r="N2191" s="8" t="n"/>
      <c r="O2191" s="8" t="n"/>
      <c r="P2191" s="8" t="n"/>
      <c r="Q2191" s="7" t="inlineStr">
        <is>
          <t>SEM COTAÇÃO</t>
        </is>
      </c>
      <c r="R2191" s="8" t="n"/>
      <c r="S2191" s="14" t="n"/>
      <c r="T2191" s="7" t="inlineStr"/>
      <c r="U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8" t="n"/>
      <c r="M2192" s="8" t="n"/>
      <c r="N2192" s="8" t="n"/>
      <c r="O2192" s="8" t="n"/>
      <c r="P2192" s="8" t="n"/>
      <c r="Q2192" s="7" t="inlineStr">
        <is>
          <t>SEM COTAÇÃO</t>
        </is>
      </c>
      <c r="R2192" s="8" t="n"/>
      <c r="S2192" s="14" t="n"/>
      <c r="T2192" s="7" t="inlineStr"/>
      <c r="U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8" t="n"/>
      <c r="M2193" s="8" t="n"/>
      <c r="N2193" s="8" t="n"/>
      <c r="O2193" s="8" t="n"/>
      <c r="P2193" s="8" t="n"/>
      <c r="Q2193" s="7" t="inlineStr">
        <is>
          <t>SEM COTAÇÃO</t>
        </is>
      </c>
      <c r="R2193" s="8" t="n"/>
      <c r="S2193" s="14" t="n"/>
      <c r="T2193" s="7" t="inlineStr"/>
      <c r="U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8" t="n"/>
      <c r="M2194" s="8" t="n"/>
      <c r="N2194" s="8" t="n"/>
      <c r="O2194" s="8" t="n"/>
      <c r="P2194" s="8" t="n"/>
      <c r="Q2194" s="7" t="inlineStr">
        <is>
          <t>SEM COTAÇÃO</t>
        </is>
      </c>
      <c r="R2194" s="8" t="n"/>
      <c r="S2194" s="14" t="n"/>
      <c r="T2194" s="7" t="inlineStr"/>
      <c r="U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8" t="n"/>
      <c r="M2195" s="8" t="n"/>
      <c r="N2195" s="8" t="n"/>
      <c r="O2195" s="8" t="n"/>
      <c r="P2195" s="8" t="n"/>
      <c r="Q2195" s="7" t="inlineStr">
        <is>
          <t>SEM COTAÇÃO</t>
        </is>
      </c>
      <c r="R2195" s="8" t="n"/>
      <c r="S2195" s="14" t="n"/>
      <c r="T2195" s="7" t="inlineStr"/>
      <c r="U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8" t="n"/>
      <c r="M2196" s="8" t="n"/>
      <c r="N2196" s="8" t="n"/>
      <c r="O2196" s="8" t="n"/>
      <c r="P2196" s="8" t="n"/>
      <c r="Q2196" s="7" t="inlineStr">
        <is>
          <t>SEM COTAÇÃO</t>
        </is>
      </c>
      <c r="R2196" s="8" t="n"/>
      <c r="S2196" s="14" t="n"/>
      <c r="T2196" s="7" t="inlineStr"/>
      <c r="U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8" t="n"/>
      <c r="M2197" s="8" t="n"/>
      <c r="N2197" s="8" t="n"/>
      <c r="O2197" s="8" t="n"/>
      <c r="P2197" s="8" t="n"/>
      <c r="Q2197" s="7" t="inlineStr">
        <is>
          <t>SEM COTAÇÃO</t>
        </is>
      </c>
      <c r="R2197" s="8" t="n"/>
      <c r="S2197" s="14" t="n"/>
      <c r="T2197" s="7" t="inlineStr"/>
      <c r="U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8" t="n"/>
      <c r="M2198" s="8" t="n"/>
      <c r="N2198" s="8" t="n"/>
      <c r="O2198" s="8" t="n"/>
      <c r="P2198" s="8" t="n"/>
      <c r="Q2198" s="7" t="inlineStr">
        <is>
          <t>SEM COTAÇÃO</t>
        </is>
      </c>
      <c r="R2198" s="8" t="n"/>
      <c r="S2198" s="14" t="n"/>
      <c r="T2198" s="7" t="inlineStr"/>
      <c r="U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8" t="n"/>
      <c r="M2199" s="8" t="n"/>
      <c r="N2199" s="8" t="n"/>
      <c r="O2199" s="8" t="n"/>
      <c r="P2199" s="8" t="n"/>
      <c r="Q2199" s="7" t="inlineStr">
        <is>
          <t>SEM COTAÇÃO</t>
        </is>
      </c>
      <c r="R2199" s="8" t="n"/>
      <c r="S2199" s="14" t="n"/>
      <c r="T2199" s="7" t="inlineStr"/>
      <c r="U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8" t="n"/>
      <c r="M2200" s="8" t="n"/>
      <c r="N2200" s="8" t="n"/>
      <c r="O2200" s="8" t="n"/>
      <c r="P2200" s="8" t="n"/>
      <c r="Q2200" s="7" t="inlineStr">
        <is>
          <t>SEM COTAÇÃO</t>
        </is>
      </c>
      <c r="R2200" s="8" t="n"/>
      <c r="S2200" s="14" t="n"/>
      <c r="T2200" s="7" t="inlineStr"/>
      <c r="U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8" t="n"/>
      <c r="M2201" s="8" t="n"/>
      <c r="N2201" s="8" t="n"/>
      <c r="O2201" s="8" t="n"/>
      <c r="P2201" s="8" t="n"/>
      <c r="Q2201" s="7" t="inlineStr">
        <is>
          <t>SEM COTAÇÃO</t>
        </is>
      </c>
      <c r="R2201" s="8" t="n"/>
      <c r="S2201" s="14" t="n"/>
      <c r="T2201" s="7" t="inlineStr"/>
      <c r="U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8" t="n"/>
      <c r="M2202" s="8" t="n"/>
      <c r="N2202" s="8" t="n"/>
      <c r="O2202" s="8" t="n"/>
      <c r="P2202" s="8" t="n"/>
      <c r="Q2202" s="7" t="inlineStr">
        <is>
          <t>SEM COTAÇÃO</t>
        </is>
      </c>
      <c r="R2202" s="8" t="n"/>
      <c r="S2202" s="14" t="n"/>
      <c r="T2202" s="7" t="inlineStr"/>
      <c r="U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8" t="n"/>
      <c r="M2203" s="8" t="n"/>
      <c r="N2203" s="8" t="n"/>
      <c r="O2203" s="8" t="n"/>
      <c r="P2203" s="8" t="n"/>
      <c r="Q2203" s="7" t="inlineStr">
        <is>
          <t>SEM COTAÇÃO</t>
        </is>
      </c>
      <c r="R2203" s="8" t="n"/>
      <c r="S2203" s="14" t="n"/>
      <c r="T2203" s="7" t="inlineStr"/>
      <c r="U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8" t="n"/>
      <c r="M2204" s="8" t="n"/>
      <c r="N2204" s="8" t="n"/>
      <c r="O2204" s="8" t="n"/>
      <c r="P2204" s="8" t="n"/>
      <c r="Q2204" s="7" t="inlineStr">
        <is>
          <t>SEM COTAÇÃO</t>
        </is>
      </c>
      <c r="R2204" s="8" t="n"/>
      <c r="S2204" s="14" t="n"/>
      <c r="T2204" s="7" t="inlineStr"/>
      <c r="U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8" t="n"/>
      <c r="M2205" s="8" t="n"/>
      <c r="N2205" s="8" t="n"/>
      <c r="O2205" s="8" t="n"/>
      <c r="P2205" s="8" t="n"/>
      <c r="Q2205" s="7" t="inlineStr">
        <is>
          <t>SEM COTAÇÃO</t>
        </is>
      </c>
      <c r="R2205" s="8" t="n"/>
      <c r="S2205" s="14" t="n"/>
      <c r="T2205" s="7" t="inlineStr"/>
      <c r="U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8" t="n"/>
      <c r="M2206" s="8" t="n"/>
      <c r="N2206" s="8" t="n"/>
      <c r="O2206" s="8" t="n"/>
      <c r="P2206" s="8" t="n"/>
      <c r="Q2206" s="7" t="inlineStr">
        <is>
          <t>SEM COTAÇÃO</t>
        </is>
      </c>
      <c r="R2206" s="8" t="n"/>
      <c r="S2206" s="14" t="n"/>
      <c r="T2206" s="7" t="inlineStr"/>
      <c r="U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8" t="n"/>
      <c r="M2207" s="8" t="n"/>
      <c r="N2207" s="8" t="n"/>
      <c r="O2207" s="8" t="n"/>
      <c r="P2207" s="8" t="n"/>
      <c r="Q2207" s="7" t="inlineStr">
        <is>
          <t>SEM COTAÇÃO</t>
        </is>
      </c>
      <c r="R2207" s="8" t="n"/>
      <c r="S2207" s="14" t="n"/>
      <c r="T2207" s="7" t="inlineStr"/>
      <c r="U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8" t="n"/>
      <c r="M2208" s="8" t="n"/>
      <c r="N2208" s="15" t="n">
        <v>25.01</v>
      </c>
      <c r="O2208" s="8" t="n"/>
      <c r="P2208" s="8" t="n">
        <v>25.88</v>
      </c>
      <c r="Q2208" s="7" t="inlineStr">
        <is>
          <t>TAPAJOS</t>
        </is>
      </c>
      <c r="R2208" s="8" t="n">
        <v>25.01</v>
      </c>
      <c r="S2208" s="14">
        <f>R2208/H2208-1</f>
        <v/>
      </c>
      <c r="T2208" s="17" t="inlineStr">
        <is>
          <t>OK (≤ menor hist.)</t>
        </is>
      </c>
      <c r="U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8" t="n"/>
      <c r="M2209" s="8" t="n"/>
      <c r="N2209" s="15" t="n">
        <v>17.95</v>
      </c>
      <c r="O2209" s="8" t="n"/>
      <c r="P2209" s="8" t="n">
        <v>19.04</v>
      </c>
      <c r="Q2209" s="7" t="inlineStr">
        <is>
          <t>TAPAJOS</t>
        </is>
      </c>
      <c r="R2209" s="8" t="n">
        <v>17.95</v>
      </c>
      <c r="S2209" s="14">
        <f>R2209/H2209-1</f>
        <v/>
      </c>
      <c r="T2209" s="17" t="inlineStr">
        <is>
          <t>OK (≤ menor hist.)</t>
        </is>
      </c>
      <c r="U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8" t="n"/>
      <c r="M2210" s="8" t="n"/>
      <c r="N2210" s="8" t="n"/>
      <c r="O2210" s="15" t="n">
        <v>9.468</v>
      </c>
      <c r="P2210" s="8" t="n"/>
      <c r="Q2210" s="7" t="inlineStr">
        <is>
          <t>NAZARIA</t>
        </is>
      </c>
      <c r="R2210" s="8" t="n">
        <v>9.468</v>
      </c>
      <c r="S2210" s="14">
        <f>R2210/H2210-1</f>
        <v/>
      </c>
      <c r="T2210" s="16" t="inlineStr">
        <is>
          <t>ACIMA +0.6%</t>
        </is>
      </c>
      <c r="U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8" t="n"/>
      <c r="M2211" s="8" t="n"/>
      <c r="N2211" s="8" t="n"/>
      <c r="O2211" s="15" t="n">
        <v>45.67</v>
      </c>
      <c r="P2211" s="8" t="n"/>
      <c r="Q2211" s="7" t="inlineStr">
        <is>
          <t>NAZARIA</t>
        </is>
      </c>
      <c r="R2211" s="8" t="n">
        <v>45.67</v>
      </c>
      <c r="S2211" s="14">
        <f>R2211/H2211-1</f>
        <v/>
      </c>
      <c r="T2211" s="16" t="inlineStr">
        <is>
          <t>ACIMA +2.2%</t>
        </is>
      </c>
      <c r="U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8" t="n"/>
      <c r="M2212" s="8" t="n"/>
      <c r="N2212" s="8" t="n"/>
      <c r="O2212" s="15" t="n">
        <v>30.21</v>
      </c>
      <c r="P2212" s="8" t="n"/>
      <c r="Q2212" s="7" t="inlineStr">
        <is>
          <t>NAZARIA</t>
        </is>
      </c>
      <c r="R2212" s="8" t="n">
        <v>30.21</v>
      </c>
      <c r="S2212" s="14">
        <f>R2212/H2212-1</f>
        <v/>
      </c>
      <c r="T2212" s="16" t="inlineStr">
        <is>
          <t>ACIMA +23.8%</t>
        </is>
      </c>
      <c r="U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8" t="n"/>
      <c r="M2213" s="8" t="n"/>
      <c r="N2213" s="8" t="n"/>
      <c r="O2213" s="8" t="n"/>
      <c r="P2213" s="8" t="n"/>
      <c r="Q2213" s="7" t="inlineStr">
        <is>
          <t>SEM COTAÇÃO</t>
        </is>
      </c>
      <c r="R2213" s="8" t="n"/>
      <c r="S2213" s="14" t="n"/>
      <c r="T2213" s="7" t="inlineStr"/>
      <c r="U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8" t="n"/>
      <c r="M2214" s="8" t="n"/>
      <c r="N2214" s="8" t="n"/>
      <c r="O2214" s="8" t="n"/>
      <c r="P2214" s="8" t="n"/>
      <c r="Q2214" s="7" t="inlineStr">
        <is>
          <t>SEM COTAÇÃO</t>
        </is>
      </c>
      <c r="R2214" s="8" t="n"/>
      <c r="S2214" s="14" t="n"/>
      <c r="T2214" s="7" t="inlineStr"/>
      <c r="U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8" t="n"/>
      <c r="M2215" s="8" t="n"/>
      <c r="N2215" s="8" t="n"/>
      <c r="O2215" s="8" t="n"/>
      <c r="P2215" s="8" t="n"/>
      <c r="Q2215" s="7" t="inlineStr">
        <is>
          <t>SEM COTAÇÃO</t>
        </is>
      </c>
      <c r="R2215" s="8" t="n"/>
      <c r="S2215" s="14" t="n"/>
      <c r="T2215" s="7" t="inlineStr"/>
      <c r="U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8" t="n"/>
      <c r="M2216" s="8" t="n"/>
      <c r="N2216" s="8" t="n"/>
      <c r="O2216" s="8" t="n"/>
      <c r="P2216" s="8" t="n"/>
      <c r="Q2216" s="7" t="inlineStr">
        <is>
          <t>SEM COTAÇÃO</t>
        </is>
      </c>
      <c r="R2216" s="8" t="n"/>
      <c r="S2216" s="14" t="n"/>
      <c r="T2216" s="7" t="inlineStr"/>
      <c r="U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8" t="n"/>
      <c r="M2217" s="8" t="n"/>
      <c r="N2217" s="8" t="n"/>
      <c r="O2217" s="8" t="n"/>
      <c r="P2217" s="8" t="n"/>
      <c r="Q2217" s="7" t="inlineStr">
        <is>
          <t>SEM COTAÇÃO</t>
        </is>
      </c>
      <c r="R2217" s="8" t="n"/>
      <c r="S2217" s="14" t="n"/>
      <c r="T2217" s="7" t="inlineStr"/>
      <c r="U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8" t="n"/>
      <c r="M2218" s="8" t="n"/>
      <c r="N2218" s="8" t="n"/>
      <c r="O2218" s="8" t="n"/>
      <c r="P2218" s="8" t="n"/>
      <c r="Q2218" s="7" t="inlineStr">
        <is>
          <t>SEM COTAÇÃO</t>
        </is>
      </c>
      <c r="R2218" s="8" t="n"/>
      <c r="S2218" s="14" t="n"/>
      <c r="T2218" s="7" t="inlineStr"/>
      <c r="U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8" t="n"/>
      <c r="M2219" s="8" t="n"/>
      <c r="N2219" s="8" t="n"/>
      <c r="O2219" s="8" t="n"/>
      <c r="P2219" s="8" t="n"/>
      <c r="Q2219" s="7" t="inlineStr">
        <is>
          <t>SEM COTAÇÃO</t>
        </is>
      </c>
      <c r="R2219" s="8" t="n"/>
      <c r="S2219" s="14" t="n"/>
      <c r="T2219" s="7" t="inlineStr"/>
      <c r="U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8" t="n"/>
      <c r="M2220" s="8" t="n"/>
      <c r="N2220" s="8" t="n"/>
      <c r="O2220" s="8" t="n"/>
      <c r="P2220" s="8" t="n"/>
      <c r="Q2220" s="7" t="inlineStr">
        <is>
          <t>SEM COTAÇÃO</t>
        </is>
      </c>
      <c r="R2220" s="8" t="n"/>
      <c r="S2220" s="14" t="n"/>
      <c r="T2220" s="7" t="inlineStr"/>
      <c r="U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8" t="n"/>
      <c r="M2221" s="8" t="n"/>
      <c r="N2221" s="8" t="n"/>
      <c r="O2221" s="8" t="n"/>
      <c r="P2221" s="8" t="n"/>
      <c r="Q2221" s="7" t="inlineStr">
        <is>
          <t>SEM COTAÇÃO</t>
        </is>
      </c>
      <c r="R2221" s="8" t="n"/>
      <c r="S2221" s="14" t="n"/>
      <c r="T2221" s="7" t="inlineStr"/>
      <c r="U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8" t="n"/>
      <c r="M2222" s="8" t="n"/>
      <c r="N2222" s="8" t="n"/>
      <c r="O2222" s="8" t="n"/>
      <c r="P2222" s="8" t="n"/>
      <c r="Q2222" s="7" t="inlineStr">
        <is>
          <t>SEM COTAÇÃO</t>
        </is>
      </c>
      <c r="R2222" s="8" t="n"/>
      <c r="S2222" s="14" t="n"/>
      <c r="T2222" s="7" t="inlineStr"/>
      <c r="U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8.529999999999999</v>
      </c>
      <c r="K2223" s="8" t="n">
        <v>8.99</v>
      </c>
      <c r="L2223" s="8" t="n"/>
      <c r="M2223" s="8" t="n"/>
      <c r="N2223" s="15" t="n">
        <v>8.460000000000001</v>
      </c>
      <c r="O2223" s="8" t="n">
        <v>8.887455000000001</v>
      </c>
      <c r="P2223" s="8" t="n">
        <v>8.970000000000001</v>
      </c>
      <c r="Q2223" s="7" t="inlineStr">
        <is>
          <t>TAPAJOS</t>
        </is>
      </c>
      <c r="R2223" s="8" t="n">
        <v>8.460000000000001</v>
      </c>
      <c r="S2223" s="14">
        <f>R2223/H2223-1</f>
        <v/>
      </c>
      <c r="T2223" s="16" t="inlineStr">
        <is>
          <t>ACIMA +5.9%</t>
        </is>
      </c>
      <c r="U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8" t="n"/>
      <c r="M2224" s="8" t="n"/>
      <c r="N2224" s="8" t="n"/>
      <c r="O2224" s="8" t="n"/>
      <c r="P2224" s="8" t="n"/>
      <c r="Q2224" s="7" t="inlineStr">
        <is>
          <t>SEM COTAÇÃO</t>
        </is>
      </c>
      <c r="R2224" s="8" t="n"/>
      <c r="S2224" s="14" t="n"/>
      <c r="T2224" s="7" t="inlineStr"/>
      <c r="U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8" t="n"/>
      <c r="M2225" s="8" t="n"/>
      <c r="N2225" s="8" t="n"/>
      <c r="O2225" s="8" t="n"/>
      <c r="P2225" s="8" t="n"/>
      <c r="Q2225" s="7" t="inlineStr">
        <is>
          <t>SEM COTAÇÃO</t>
        </is>
      </c>
      <c r="R2225" s="8" t="n"/>
      <c r="S2225" s="14" t="n"/>
      <c r="T2225" s="7" t="inlineStr"/>
      <c r="U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8" t="n"/>
      <c r="M2226" s="8" t="n"/>
      <c r="N2226" s="8" t="n"/>
      <c r="O2226" s="8" t="n"/>
      <c r="P2226" s="8" t="n"/>
      <c r="Q2226" s="7" t="inlineStr">
        <is>
          <t>SEM COTAÇÃO</t>
        </is>
      </c>
      <c r="R2226" s="8" t="n"/>
      <c r="S2226" s="14" t="n"/>
      <c r="T2226" s="7" t="inlineStr"/>
      <c r="U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7" t="inlineStr">
        <is>
          <t>SEM COTAÇÃO</t>
        </is>
      </c>
      <c r="R2227" s="8" t="n"/>
      <c r="S2227" s="14" t="n"/>
      <c r="T2227" s="7" t="inlineStr"/>
      <c r="U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8" t="n"/>
      <c r="M2228" s="8" t="n"/>
      <c r="N2228" s="8" t="n"/>
      <c r="O2228" s="8" t="n"/>
      <c r="P2228" s="8" t="n"/>
      <c r="Q2228" s="7" t="inlineStr">
        <is>
          <t>SEM COTAÇÃO</t>
        </is>
      </c>
      <c r="R2228" s="8" t="n"/>
      <c r="S2228" s="14" t="n"/>
      <c r="T2228" s="7" t="inlineStr"/>
      <c r="U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8" t="n"/>
      <c r="M2229" s="8" t="n"/>
      <c r="N2229" s="8" t="n"/>
      <c r="O2229" s="8" t="n"/>
      <c r="P2229" s="8" t="n"/>
      <c r="Q2229" s="7" t="inlineStr">
        <is>
          <t>SEM COTAÇÃO</t>
        </is>
      </c>
      <c r="R2229" s="8" t="n"/>
      <c r="S2229" s="14" t="n"/>
      <c r="T2229" s="7" t="inlineStr"/>
      <c r="U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8" t="n"/>
      <c r="M2230" s="8" t="n"/>
      <c r="N2230" s="8" t="n"/>
      <c r="O2230" s="8" t="n"/>
      <c r="P2230" s="8" t="n"/>
      <c r="Q2230" s="7" t="inlineStr">
        <is>
          <t>SEM COTAÇÃO</t>
        </is>
      </c>
      <c r="R2230" s="8" t="n"/>
      <c r="S2230" s="14" t="n"/>
      <c r="T2230" s="7" t="inlineStr"/>
      <c r="U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8" t="n"/>
      <c r="M2231" s="8" t="n"/>
      <c r="N2231" s="8" t="n"/>
      <c r="O2231" s="8" t="n"/>
      <c r="P2231" s="8" t="n"/>
      <c r="Q2231" s="7" t="inlineStr">
        <is>
          <t>SEM COTAÇÃO</t>
        </is>
      </c>
      <c r="R2231" s="8" t="n"/>
      <c r="S2231" s="14" t="n"/>
      <c r="T2231" s="7" t="inlineStr"/>
      <c r="U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7" t="inlineStr">
        <is>
          <t>SEM COTAÇÃO</t>
        </is>
      </c>
      <c r="R2232" s="8" t="n"/>
      <c r="S2232" s="14" t="n"/>
      <c r="T2232" s="7" t="inlineStr"/>
      <c r="U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8" t="n"/>
      <c r="M2233" s="8" t="n"/>
      <c r="N2233" s="8" t="n"/>
      <c r="O2233" s="8" t="n"/>
      <c r="P2233" s="8" t="n"/>
      <c r="Q2233" s="7" t="inlineStr">
        <is>
          <t>SEM COTAÇÃO</t>
        </is>
      </c>
      <c r="R2233" s="8" t="n"/>
      <c r="S2233" s="14" t="n"/>
      <c r="T2233" s="7" t="inlineStr"/>
      <c r="U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8" t="n"/>
      <c r="M2234" s="8" t="n"/>
      <c r="N2234" s="8" t="n"/>
      <c r="O2234" s="8" t="n"/>
      <c r="P2234" s="8" t="n"/>
      <c r="Q2234" s="7" t="inlineStr">
        <is>
          <t>SEM COTAÇÃO</t>
        </is>
      </c>
      <c r="R2234" s="8" t="n"/>
      <c r="S2234" s="14" t="n"/>
      <c r="T2234" s="7" t="inlineStr"/>
      <c r="U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7" t="inlineStr">
        <is>
          <t>SEM COTAÇÃO</t>
        </is>
      </c>
      <c r="R2235" s="8" t="n"/>
      <c r="S2235" s="14" t="n"/>
      <c r="T2235" s="7" t="inlineStr"/>
      <c r="U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8" t="n"/>
      <c r="M2236" s="8" t="n"/>
      <c r="N2236" s="8" t="n"/>
      <c r="O2236" s="8" t="n"/>
      <c r="P2236" s="8" t="n"/>
      <c r="Q2236" s="7" t="inlineStr">
        <is>
          <t>SEM COTAÇÃO</t>
        </is>
      </c>
      <c r="R2236" s="8" t="n"/>
      <c r="S2236" s="14" t="n"/>
      <c r="T2236" s="7" t="inlineStr"/>
      <c r="U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8" t="n"/>
      <c r="M2237" s="8" t="n"/>
      <c r="N2237" s="8" t="n"/>
      <c r="O2237" s="8" t="n"/>
      <c r="P2237" s="8" t="n"/>
      <c r="Q2237" s="7" t="inlineStr">
        <is>
          <t>SEM COTAÇÃO</t>
        </is>
      </c>
      <c r="R2237" s="8" t="n"/>
      <c r="S2237" s="14" t="n"/>
      <c r="T2237" s="7" t="inlineStr"/>
      <c r="U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8" t="n"/>
      <c r="M2238" s="8" t="n"/>
      <c r="N2238" s="8" t="n"/>
      <c r="O2238" s="8" t="n"/>
      <c r="P2238" s="8" t="n"/>
      <c r="Q2238" s="7" t="inlineStr">
        <is>
          <t>SEM COTAÇÃO</t>
        </is>
      </c>
      <c r="R2238" s="8" t="n"/>
      <c r="S2238" s="14" t="n"/>
      <c r="T2238" s="7" t="inlineStr"/>
      <c r="U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8" t="n"/>
      <c r="M2239" s="8" t="n"/>
      <c r="N2239" s="8" t="n"/>
      <c r="O2239" s="8" t="n"/>
      <c r="P2239" s="8" t="n"/>
      <c r="Q2239" s="7" t="inlineStr">
        <is>
          <t>SEM COTAÇÃO</t>
        </is>
      </c>
      <c r="R2239" s="8" t="n"/>
      <c r="S2239" s="14" t="n"/>
      <c r="T2239" s="7" t="inlineStr"/>
      <c r="U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8" t="n"/>
      <c r="M2240" s="8" t="n"/>
      <c r="N2240" s="8" t="n"/>
      <c r="O2240" s="8" t="n"/>
      <c r="P2240" s="8" t="n"/>
      <c r="Q2240" s="7" t="inlineStr">
        <is>
          <t>SEM COTAÇÃO</t>
        </is>
      </c>
      <c r="R2240" s="8" t="n"/>
      <c r="S2240" s="14" t="n"/>
      <c r="T2240" s="7" t="inlineStr"/>
      <c r="U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8" t="n"/>
      <c r="M2241" s="8" t="n"/>
      <c r="N2241" s="8" t="n"/>
      <c r="O2241" s="8" t="n"/>
      <c r="P2241" s="8" t="n"/>
      <c r="Q2241" s="7" t="inlineStr">
        <is>
          <t>SEM COTAÇÃO</t>
        </is>
      </c>
      <c r="R2241" s="8" t="n"/>
      <c r="S2241" s="14" t="n"/>
      <c r="T2241" s="7" t="inlineStr"/>
      <c r="U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8" t="n"/>
      <c r="M2242" s="8" t="n"/>
      <c r="N2242" s="8" t="n"/>
      <c r="O2242" s="8" t="n"/>
      <c r="P2242" s="8" t="n"/>
      <c r="Q2242" s="7" t="inlineStr">
        <is>
          <t>SEM COTAÇÃO</t>
        </is>
      </c>
      <c r="R2242" s="8" t="n"/>
      <c r="S2242" s="14" t="n"/>
      <c r="T2242" s="7" t="inlineStr"/>
      <c r="U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8" t="n"/>
      <c r="M2243" s="8" t="n"/>
      <c r="N2243" s="8" t="n"/>
      <c r="O2243" s="8" t="n"/>
      <c r="P2243" s="8" t="n"/>
      <c r="Q2243" s="7" t="inlineStr">
        <is>
          <t>SEM COTAÇÃO</t>
        </is>
      </c>
      <c r="R2243" s="8" t="n"/>
      <c r="S2243" s="14" t="n"/>
      <c r="T2243" s="7" t="inlineStr"/>
      <c r="U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8" t="n"/>
      <c r="M2244" s="8" t="n"/>
      <c r="N2244" s="8" t="n"/>
      <c r="O2244" s="8" t="n"/>
      <c r="P2244" s="8" t="n"/>
      <c r="Q2244" s="7" t="inlineStr">
        <is>
          <t>SEM COTAÇÃO</t>
        </is>
      </c>
      <c r="R2244" s="8" t="n"/>
      <c r="S2244" s="14" t="n"/>
      <c r="T2244" s="7" t="inlineStr"/>
      <c r="U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8" t="n"/>
      <c r="M2245" s="8" t="n"/>
      <c r="N2245" s="8" t="n"/>
      <c r="O2245" s="8" t="n"/>
      <c r="P2245" s="8" t="n"/>
      <c r="Q2245" s="7" t="inlineStr">
        <is>
          <t>SEM COTAÇÃO</t>
        </is>
      </c>
      <c r="R2245" s="8" t="n"/>
      <c r="S2245" s="14" t="n"/>
      <c r="T2245" s="7" t="inlineStr"/>
      <c r="U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8" t="n"/>
      <c r="M2246" s="8" t="n"/>
      <c r="N2246" s="8" t="n"/>
      <c r="O2246" s="8" t="n"/>
      <c r="P2246" s="8" t="n"/>
      <c r="Q2246" s="7" t="inlineStr">
        <is>
          <t>SEM COTAÇÃO</t>
        </is>
      </c>
      <c r="R2246" s="8" t="n"/>
      <c r="S2246" s="14" t="n"/>
      <c r="T2246" s="7" t="inlineStr"/>
      <c r="U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8" t="n"/>
      <c r="M2247" s="8" t="n">
        <v>7.55</v>
      </c>
      <c r="N2247" s="8" t="n"/>
      <c r="O2247" s="8" t="n"/>
      <c r="P2247" s="8" t="n">
        <v>8.31</v>
      </c>
      <c r="Q2247" s="7" t="inlineStr">
        <is>
          <t>DIMEC</t>
        </is>
      </c>
      <c r="R2247" s="8" t="n">
        <v>7.05</v>
      </c>
      <c r="S2247" s="14">
        <f>R2247/H2247-1</f>
        <v/>
      </c>
      <c r="T2247" s="16" t="inlineStr">
        <is>
          <t>ACIMA +12.8%</t>
        </is>
      </c>
      <c r="U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8" t="n"/>
      <c r="M2248" s="8" t="n">
        <v>16.35</v>
      </c>
      <c r="N2248" s="8" t="n"/>
      <c r="O2248" s="8" t="n"/>
      <c r="P2248" s="8" t="n"/>
      <c r="Q2248" s="7" t="inlineStr">
        <is>
          <t>DIMEC</t>
        </is>
      </c>
      <c r="R2248" s="8" t="n">
        <v>15.36</v>
      </c>
      <c r="S2248" s="14">
        <f>R2248/H2248-1</f>
        <v/>
      </c>
      <c r="T2248" s="16" t="inlineStr">
        <is>
          <t>ACIMA +13.4%</t>
        </is>
      </c>
      <c r="U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8" t="n"/>
      <c r="M2249" s="8" t="n"/>
      <c r="N2249" s="8" t="n"/>
      <c r="O2249" s="8" t="n"/>
      <c r="P2249" s="8" t="n"/>
      <c r="Q2249" s="7" t="inlineStr">
        <is>
          <t>DIMEC</t>
        </is>
      </c>
      <c r="R2249" s="8" t="n">
        <v>23.26</v>
      </c>
      <c r="S2249" s="14">
        <f>R2249/H2249-1</f>
        <v/>
      </c>
      <c r="T2249" s="17" t="inlineStr">
        <is>
          <t>OK (≤ menor hist.)</t>
        </is>
      </c>
      <c r="U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8" t="n"/>
      <c r="M2250" s="8" t="n"/>
      <c r="N2250" s="8" t="n"/>
      <c r="O2250" s="8" t="n"/>
      <c r="P2250" s="8" t="n"/>
      <c r="Q2250" s="7" t="inlineStr">
        <is>
          <t>SEM COTAÇÃO</t>
        </is>
      </c>
      <c r="R2250" s="8" t="n"/>
      <c r="S2250" s="14" t="n"/>
      <c r="T2250" s="7" t="inlineStr"/>
      <c r="U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8" t="n"/>
      <c r="M2251" s="8" t="n">
        <v>7.55</v>
      </c>
      <c r="N2251" s="8" t="n"/>
      <c r="O2251" s="8" t="n"/>
      <c r="P2251" s="8" t="n">
        <v>8.380000000000001</v>
      </c>
      <c r="Q2251" s="7" t="inlineStr">
        <is>
          <t>DIMEC</t>
        </is>
      </c>
      <c r="R2251" s="8" t="n">
        <v>7.07</v>
      </c>
      <c r="S2251" s="14">
        <f>R2251/H2251-1</f>
        <v/>
      </c>
      <c r="T2251" s="16" t="inlineStr">
        <is>
          <t>ACIMA +13.1%</t>
        </is>
      </c>
      <c r="U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8" t="n"/>
      <c r="M2252" s="8" t="n">
        <v>7.09</v>
      </c>
      <c r="N2252" s="8" t="n"/>
      <c r="O2252" s="8" t="n"/>
      <c r="P2252" s="8" t="n">
        <v>7.85</v>
      </c>
      <c r="Q2252" s="7" t="inlineStr">
        <is>
          <t>DIMEC</t>
        </is>
      </c>
      <c r="R2252" s="8" t="n">
        <v>6.64</v>
      </c>
      <c r="S2252" s="14">
        <f>R2252/H2252-1</f>
        <v/>
      </c>
      <c r="T2252" s="16" t="inlineStr">
        <is>
          <t>ACIMA +1.1%</t>
        </is>
      </c>
      <c r="U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8" t="n"/>
      <c r="M2253" s="8" t="n"/>
      <c r="N2253" s="8" t="n"/>
      <c r="O2253" s="8" t="n"/>
      <c r="P2253" s="8" t="n"/>
      <c r="Q2253" s="7" t="inlineStr">
        <is>
          <t>SEM COTAÇÃO</t>
        </is>
      </c>
      <c r="R2253" s="8" t="n"/>
      <c r="S2253" s="14" t="n"/>
      <c r="T2253" s="7" t="inlineStr"/>
      <c r="U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8" t="n"/>
      <c r="M2254" s="8" t="n"/>
      <c r="N2254" s="8" t="n"/>
      <c r="O2254" s="8" t="n"/>
      <c r="P2254" s="8" t="n"/>
      <c r="Q2254" s="7" t="inlineStr">
        <is>
          <t>SEM COTAÇÃO</t>
        </is>
      </c>
      <c r="R2254" s="8" t="n"/>
      <c r="S2254" s="14" t="n"/>
      <c r="T2254" s="7" t="inlineStr"/>
      <c r="U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8" t="n"/>
      <c r="M2255" s="8" t="n"/>
      <c r="N2255" s="8" t="n"/>
      <c r="O2255" s="8" t="n"/>
      <c r="P2255" s="8" t="n"/>
      <c r="Q2255" s="7" t="inlineStr">
        <is>
          <t>SEM COTAÇÃO</t>
        </is>
      </c>
      <c r="R2255" s="8" t="n"/>
      <c r="S2255" s="14" t="n"/>
      <c r="T2255" s="7" t="inlineStr"/>
      <c r="U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8" t="n"/>
      <c r="M2256" s="8" t="n"/>
      <c r="N2256" s="8" t="n"/>
      <c r="O2256" s="8" t="n"/>
      <c r="P2256" s="8" t="n"/>
      <c r="Q2256" s="7" t="inlineStr">
        <is>
          <t>DIMEC</t>
        </is>
      </c>
      <c r="R2256" s="8" t="n">
        <v>6.15</v>
      </c>
      <c r="S2256" s="14">
        <f>R2256/H2256-1</f>
        <v/>
      </c>
      <c r="T2256" s="17" t="inlineStr">
        <is>
          <t>OK (≤ menor hist.)</t>
        </is>
      </c>
      <c r="U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8" t="n"/>
      <c r="M2257" s="8" t="n"/>
      <c r="N2257" s="8" t="n"/>
      <c r="O2257" s="8" t="n"/>
      <c r="P2257" s="8" t="n"/>
      <c r="Q2257" s="7" t="inlineStr">
        <is>
          <t>SEM COTAÇÃO</t>
        </is>
      </c>
      <c r="R2257" s="8" t="n"/>
      <c r="S2257" s="14" t="n"/>
      <c r="T2257" s="7" t="inlineStr"/>
      <c r="U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8" t="n"/>
      <c r="M2258" s="8" t="n"/>
      <c r="N2258" s="8" t="n"/>
      <c r="O2258" s="8" t="n"/>
      <c r="P2258" s="8" t="n"/>
      <c r="Q2258" s="7" t="inlineStr">
        <is>
          <t>DIMEC</t>
        </is>
      </c>
      <c r="R2258" s="8" t="n">
        <v>4.19</v>
      </c>
      <c r="S2258" s="14">
        <f>R2258/H2258-1</f>
        <v/>
      </c>
      <c r="T2258" s="17" t="inlineStr">
        <is>
          <t>OK (≤ menor hist.)</t>
        </is>
      </c>
      <c r="U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8" t="n"/>
      <c r="M2259" s="8" t="n"/>
      <c r="N2259" s="8" t="n"/>
      <c r="O2259" s="8" t="n"/>
      <c r="P2259" s="8" t="n"/>
      <c r="Q2259" s="7" t="inlineStr">
        <is>
          <t>SEM COTAÇÃO</t>
        </is>
      </c>
      <c r="R2259" s="8" t="n"/>
      <c r="S2259" s="14" t="n"/>
      <c r="T2259" s="7" t="inlineStr"/>
      <c r="U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8" t="n"/>
      <c r="M2260" s="8" t="n"/>
      <c r="N2260" s="8" t="n"/>
      <c r="O2260" s="8" t="n"/>
      <c r="P2260" s="8" t="n"/>
      <c r="Q2260" s="7" t="inlineStr">
        <is>
          <t>DIMEC</t>
        </is>
      </c>
      <c r="R2260" s="8" t="n">
        <v>3.67</v>
      </c>
      <c r="S2260" s="14">
        <f>R2260/H2260-1</f>
        <v/>
      </c>
      <c r="T2260" s="17" t="inlineStr">
        <is>
          <t>OK (≤ menor hist.)</t>
        </is>
      </c>
      <c r="U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8" t="n"/>
      <c r="M2261" s="8" t="n"/>
      <c r="N2261" s="8" t="n"/>
      <c r="O2261" s="8" t="n"/>
      <c r="P2261" s="8" t="n"/>
      <c r="Q2261" s="7" t="inlineStr">
        <is>
          <t>SEM COTAÇÃO</t>
        </is>
      </c>
      <c r="R2261" s="8" t="n"/>
      <c r="S2261" s="14" t="n"/>
      <c r="T2261" s="7" t="inlineStr"/>
      <c r="U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8" t="n"/>
      <c r="M2262" s="8" t="n"/>
      <c r="N2262" s="8" t="n"/>
      <c r="O2262" s="8" t="n"/>
      <c r="P2262" s="8" t="n"/>
      <c r="Q2262" s="7" t="inlineStr">
        <is>
          <t>SEM COTAÇÃO</t>
        </is>
      </c>
      <c r="R2262" s="8" t="n"/>
      <c r="S2262" s="14" t="n"/>
      <c r="T2262" s="7" t="inlineStr"/>
      <c r="U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8" t="n"/>
      <c r="M2263" s="8" t="n"/>
      <c r="N2263" s="8" t="n"/>
      <c r="O2263" s="8" t="n"/>
      <c r="P2263" s="8" t="n"/>
      <c r="Q2263" s="7" t="inlineStr">
        <is>
          <t>DIMEC</t>
        </is>
      </c>
      <c r="R2263" s="8" t="n">
        <v>4.36</v>
      </c>
      <c r="S2263" s="14">
        <f>R2263/H2263-1</f>
        <v/>
      </c>
      <c r="T2263" s="17" t="inlineStr">
        <is>
          <t>OK (≤ menor hist.)</t>
        </is>
      </c>
      <c r="U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8" t="n"/>
      <c r="M2264" s="8" t="n"/>
      <c r="N2264" s="8" t="n"/>
      <c r="O2264" s="8" t="n"/>
      <c r="P2264" s="8" t="n"/>
      <c r="Q2264" s="7" t="inlineStr">
        <is>
          <t>DIMEC</t>
        </is>
      </c>
      <c r="R2264" s="8" t="n">
        <v>4.39</v>
      </c>
      <c r="S2264" s="14">
        <f>R2264/H2264-1</f>
        <v/>
      </c>
      <c r="T2264" s="17" t="inlineStr">
        <is>
          <t>OK (≤ menor hist.)</t>
        </is>
      </c>
      <c r="U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8" t="n"/>
      <c r="M2265" s="8" t="n"/>
      <c r="N2265" s="8" t="n"/>
      <c r="O2265" s="8" t="n"/>
      <c r="P2265" s="8" t="n"/>
      <c r="Q2265" s="7" t="inlineStr">
        <is>
          <t>DIMEC</t>
        </is>
      </c>
      <c r="R2265" s="8" t="n">
        <v>3.7</v>
      </c>
      <c r="S2265" s="14">
        <f>R2265/H2265-1</f>
        <v/>
      </c>
      <c r="T2265" s="17" t="inlineStr">
        <is>
          <t>OK (≤ menor hist.)</t>
        </is>
      </c>
      <c r="U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8" t="n"/>
      <c r="M2266" s="8" t="n"/>
      <c r="N2266" s="8" t="n"/>
      <c r="O2266" s="8" t="n"/>
      <c r="P2266" s="8" t="n"/>
      <c r="Q2266" s="7" t="inlineStr">
        <is>
          <t>SEM COTAÇÃO</t>
        </is>
      </c>
      <c r="R2266" s="8" t="n"/>
      <c r="S2266" s="14" t="n"/>
      <c r="T2266" s="7" t="inlineStr"/>
      <c r="U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8" t="n"/>
      <c r="M2267" s="8" t="n"/>
      <c r="N2267" s="8" t="n"/>
      <c r="O2267" s="8" t="n"/>
      <c r="P2267" s="8" t="n"/>
      <c r="Q2267" s="7" t="inlineStr">
        <is>
          <t>SEM COTAÇÃO</t>
        </is>
      </c>
      <c r="R2267" s="8" t="n"/>
      <c r="S2267" s="14" t="n"/>
      <c r="T2267" s="7" t="inlineStr"/>
      <c r="U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8" t="n"/>
      <c r="M2268" s="8" t="n"/>
      <c r="N2268" s="8" t="n"/>
      <c r="O2268" s="8" t="n"/>
      <c r="P2268" s="8" t="n"/>
      <c r="Q2268" s="7" t="inlineStr">
        <is>
          <t>SEM COTAÇÃO</t>
        </is>
      </c>
      <c r="R2268" s="8" t="n"/>
      <c r="S2268" s="14" t="n"/>
      <c r="T2268" s="7" t="inlineStr"/>
      <c r="U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8" t="n"/>
      <c r="M2269" s="8" t="n"/>
      <c r="N2269" s="8" t="n"/>
      <c r="O2269" s="8" t="n"/>
      <c r="P2269" s="8" t="n"/>
      <c r="Q2269" s="7" t="inlineStr">
        <is>
          <t>SEM COTAÇÃO</t>
        </is>
      </c>
      <c r="R2269" s="8" t="n"/>
      <c r="S2269" s="14" t="n"/>
      <c r="T2269" s="7" t="inlineStr"/>
      <c r="U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8" t="n"/>
      <c r="M2270" s="8" t="n"/>
      <c r="N2270" s="8" t="n"/>
      <c r="O2270" s="8" t="n"/>
      <c r="P2270" s="8" t="n"/>
      <c r="Q2270" s="7" t="inlineStr">
        <is>
          <t>SEM COTAÇÃO</t>
        </is>
      </c>
      <c r="R2270" s="8" t="n"/>
      <c r="S2270" s="14" t="n"/>
      <c r="T2270" s="7" t="inlineStr"/>
      <c r="U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8" t="n"/>
      <c r="M2271" s="8" t="n"/>
      <c r="N2271" s="8" t="n"/>
      <c r="O2271" s="8" t="n"/>
      <c r="P2271" s="8" t="n"/>
      <c r="Q2271" s="7" t="inlineStr">
        <is>
          <t>SEM COTAÇÃO</t>
        </is>
      </c>
      <c r="R2271" s="8" t="n"/>
      <c r="S2271" s="14" t="n"/>
      <c r="T2271" s="7" t="inlineStr"/>
      <c r="U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8" t="n"/>
      <c r="M2272" s="8" t="n"/>
      <c r="N2272" s="8" t="n"/>
      <c r="O2272" s="8" t="n"/>
      <c r="P2272" s="8" t="n"/>
      <c r="Q2272" s="7" t="inlineStr">
        <is>
          <t>SEM COTAÇÃO</t>
        </is>
      </c>
      <c r="R2272" s="8" t="n"/>
      <c r="S2272" s="14" t="n"/>
      <c r="T2272" s="7" t="inlineStr"/>
      <c r="U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8" t="n"/>
      <c r="M2273" s="8" t="n"/>
      <c r="N2273" s="8" t="n"/>
      <c r="O2273" s="8" t="n"/>
      <c r="P2273" s="8" t="n"/>
      <c r="Q2273" s="7" t="inlineStr">
        <is>
          <t>SEM COTAÇÃO</t>
        </is>
      </c>
      <c r="R2273" s="8" t="n"/>
      <c r="S2273" s="14" t="n"/>
      <c r="T2273" s="7" t="inlineStr"/>
      <c r="U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8" t="n"/>
      <c r="M2274" s="8" t="n"/>
      <c r="N2274" s="8" t="n"/>
      <c r="O2274" s="8" t="n"/>
      <c r="P2274" s="8" t="n"/>
      <c r="Q2274" s="7" t="inlineStr">
        <is>
          <t>SEM COTAÇÃO</t>
        </is>
      </c>
      <c r="R2274" s="8" t="n"/>
      <c r="S2274" s="14" t="n"/>
      <c r="T2274" s="7" t="inlineStr"/>
      <c r="U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8" t="n"/>
      <c r="M2275" s="8" t="n"/>
      <c r="N2275" s="8" t="n"/>
      <c r="O2275" s="8" t="n"/>
      <c r="P2275" s="8" t="n"/>
      <c r="Q2275" s="7" t="inlineStr">
        <is>
          <t>SEM COTAÇÃO</t>
        </is>
      </c>
      <c r="R2275" s="8" t="n"/>
      <c r="S2275" s="14" t="n"/>
      <c r="T2275" s="7" t="inlineStr"/>
      <c r="U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8" t="n"/>
      <c r="M2276" s="8" t="n"/>
      <c r="N2276" s="8" t="n"/>
      <c r="O2276" s="8" t="n"/>
      <c r="P2276" s="8" t="n"/>
      <c r="Q2276" s="7" t="inlineStr">
        <is>
          <t>SEM COTAÇÃO</t>
        </is>
      </c>
      <c r="R2276" s="8" t="n"/>
      <c r="S2276" s="14" t="n"/>
      <c r="T2276" s="7" t="inlineStr"/>
      <c r="U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8" t="n"/>
      <c r="M2277" s="8" t="n"/>
      <c r="N2277" s="8" t="n"/>
      <c r="O2277" s="8" t="n"/>
      <c r="P2277" s="8" t="n"/>
      <c r="Q2277" s="7" t="inlineStr">
        <is>
          <t>SEM COTAÇÃO</t>
        </is>
      </c>
      <c r="R2277" s="8" t="n"/>
      <c r="S2277" s="14" t="n"/>
      <c r="T2277" s="7" t="inlineStr"/>
      <c r="U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8" t="n"/>
      <c r="M2278" s="8" t="n"/>
      <c r="N2278" s="8" t="n"/>
      <c r="O2278" s="8" t="n"/>
      <c r="P2278" s="8" t="n"/>
      <c r="Q2278" s="7" t="inlineStr">
        <is>
          <t>SEM COTAÇÃO</t>
        </is>
      </c>
      <c r="R2278" s="8" t="n"/>
      <c r="S2278" s="14" t="n"/>
      <c r="T2278" s="7" t="inlineStr"/>
      <c r="U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8" t="n"/>
      <c r="M2279" s="8" t="n"/>
      <c r="N2279" s="8" t="n"/>
      <c r="O2279" s="8" t="n"/>
      <c r="P2279" s="8" t="n"/>
      <c r="Q2279" s="7" t="inlineStr">
        <is>
          <t>SEM COTAÇÃO</t>
        </is>
      </c>
      <c r="R2279" s="8" t="n"/>
      <c r="S2279" s="14" t="n"/>
      <c r="T2279" s="7" t="inlineStr"/>
      <c r="U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15" t="n">
        <v>12.1</v>
      </c>
      <c r="K2280" s="8" t="n"/>
      <c r="L2280" s="8" t="n"/>
      <c r="M2280" s="8" t="n"/>
      <c r="N2280" s="8" t="n"/>
      <c r="O2280" s="8" t="n"/>
      <c r="P2280" s="8" t="n"/>
      <c r="Q2280" s="7" t="inlineStr">
        <is>
          <t>DIMEC</t>
        </is>
      </c>
      <c r="R2280" s="8" t="n">
        <v>12.1</v>
      </c>
      <c r="S2280" s="14">
        <f>R2280/H2280-1</f>
        <v/>
      </c>
      <c r="T2280" s="17" t="inlineStr">
        <is>
          <t>OK (≤ menor hist.)</t>
        </is>
      </c>
      <c r="U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8" t="n"/>
      <c r="M2281" s="8" t="n"/>
      <c r="N2281" s="8" t="n"/>
      <c r="O2281" s="8" t="n"/>
      <c r="P2281" s="8" t="n"/>
      <c r="Q2281" s="7" t="inlineStr">
        <is>
          <t>DIMEC</t>
        </is>
      </c>
      <c r="R2281" s="8" t="n">
        <v>42.612902</v>
      </c>
      <c r="S2281" s="14">
        <f>R2281/H2281-1</f>
        <v/>
      </c>
      <c r="T2281" s="16" t="inlineStr">
        <is>
          <t>ACIMA +13.7%</t>
        </is>
      </c>
      <c r="U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8" t="n"/>
      <c r="M2282" s="8" t="n"/>
      <c r="N2282" s="8" t="n"/>
      <c r="O2282" s="8" t="n"/>
      <c r="P2282" s="8" t="n"/>
      <c r="Q2282" s="7" t="inlineStr">
        <is>
          <t>SEM COTAÇÃO</t>
        </is>
      </c>
      <c r="R2282" s="8" t="n"/>
      <c r="S2282" s="14" t="n"/>
      <c r="T2282" s="7" t="inlineStr"/>
      <c r="U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8" t="n"/>
      <c r="M2283" s="8" t="n"/>
      <c r="N2283" s="8" t="n"/>
      <c r="O2283" s="15" t="n">
        <v>37.99460000000001</v>
      </c>
      <c r="P2283" s="8" t="n"/>
      <c r="Q2283" s="7" t="inlineStr">
        <is>
          <t>NAZARIA</t>
        </is>
      </c>
      <c r="R2283" s="8" t="n">
        <v>37.99460000000001</v>
      </c>
      <c r="S2283" s="14">
        <f>R2283/H2283-1</f>
        <v/>
      </c>
      <c r="T2283" s="16" t="inlineStr">
        <is>
          <t>ACIMA +1.5%</t>
        </is>
      </c>
      <c r="U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15" t="n">
        <v>72.45</v>
      </c>
      <c r="M2284" s="8" t="n"/>
      <c r="N2284" s="8" t="n">
        <v>78.02</v>
      </c>
      <c r="O2284" s="8" t="n">
        <v>80.51000000000001</v>
      </c>
      <c r="P2284" s="8" t="n"/>
      <c r="Q2284" s="7" t="inlineStr">
        <is>
          <t>EPAN</t>
        </is>
      </c>
      <c r="R2284" s="8" t="n">
        <v>72.45</v>
      </c>
      <c r="S2284" s="14">
        <f>R2284/H2284-1</f>
        <v/>
      </c>
      <c r="T2284" s="17" t="inlineStr">
        <is>
          <t>OK (≤ últ. compra)</t>
        </is>
      </c>
      <c r="U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15" t="n">
        <v>72.78</v>
      </c>
      <c r="M2285" s="8" t="n"/>
      <c r="N2285" s="8" t="n"/>
      <c r="O2285" s="8" t="n">
        <v>73.19619999999999</v>
      </c>
      <c r="P2285" s="8" t="n"/>
      <c r="Q2285" s="7" t="inlineStr">
        <is>
          <t>EPAN</t>
        </is>
      </c>
      <c r="R2285" s="8" t="n">
        <v>72.78</v>
      </c>
      <c r="S2285" s="14">
        <f>R2285/H2285-1</f>
        <v/>
      </c>
      <c r="T2285" s="16" t="inlineStr">
        <is>
          <t>ACIMA +2.6%</t>
        </is>
      </c>
      <c r="U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8" t="n"/>
      <c r="M2286" s="8" t="n"/>
      <c r="N2286" s="8" t="n"/>
      <c r="O2286" s="8" t="n"/>
      <c r="P2286" s="8" t="n"/>
      <c r="Q2286" s="7" t="inlineStr">
        <is>
          <t>SEM COTAÇÃO</t>
        </is>
      </c>
      <c r="R2286" s="8" t="n"/>
      <c r="S2286" s="14" t="n"/>
      <c r="T2286" s="7" t="inlineStr"/>
      <c r="U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8" t="n"/>
      <c r="M2287" s="8" t="n"/>
      <c r="N2287" s="8" t="n"/>
      <c r="O2287" s="15" t="n">
        <v>23.086</v>
      </c>
      <c r="P2287" s="8" t="n"/>
      <c r="Q2287" s="7" t="inlineStr">
        <is>
          <t>NAZARIA</t>
        </is>
      </c>
      <c r="R2287" s="8" t="n">
        <v>23.086</v>
      </c>
      <c r="S2287" s="14">
        <f>R2287/H2287-1</f>
        <v/>
      </c>
      <c r="T2287" s="16" t="inlineStr">
        <is>
          <t>ACIMA +25.9%</t>
        </is>
      </c>
      <c r="U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8" t="n"/>
      <c r="M2288" s="8" t="n"/>
      <c r="N2288" s="8" t="n"/>
      <c r="O2288" s="8" t="n"/>
      <c r="P2288" s="8" t="n"/>
      <c r="Q2288" s="7" t="inlineStr">
        <is>
          <t>SEM COTAÇÃO</t>
        </is>
      </c>
      <c r="R2288" s="8" t="n"/>
      <c r="S2288" s="14" t="n"/>
      <c r="T2288" s="7" t="inlineStr"/>
      <c r="U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8" t="n"/>
      <c r="M2289" s="8" t="n"/>
      <c r="N2289" s="8" t="n"/>
      <c r="O2289" s="8" t="n"/>
      <c r="P2289" s="8" t="n"/>
      <c r="Q2289" s="7" t="inlineStr">
        <is>
          <t>SEM COTAÇÃO</t>
        </is>
      </c>
      <c r="R2289" s="8" t="n"/>
      <c r="S2289" s="14" t="n"/>
      <c r="T2289" s="7" t="inlineStr"/>
      <c r="U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8" t="n"/>
      <c r="M2290" s="8" t="n"/>
      <c r="N2290" s="8" t="n"/>
      <c r="O2290" s="8" t="n"/>
      <c r="P2290" s="8" t="n"/>
      <c r="Q2290" s="7" t="inlineStr">
        <is>
          <t>SEM COTAÇÃO</t>
        </is>
      </c>
      <c r="R2290" s="8" t="n"/>
      <c r="S2290" s="14" t="n"/>
      <c r="T2290" s="7" t="inlineStr"/>
      <c r="U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8" t="n"/>
      <c r="M2291" s="8" t="n"/>
      <c r="N2291" s="8" t="n"/>
      <c r="O2291" s="8" t="n"/>
      <c r="P2291" s="15" t="n">
        <v>7.47</v>
      </c>
      <c r="Q2291" s="7" t="inlineStr">
        <is>
          <t>MEDCENTRO</t>
        </is>
      </c>
      <c r="R2291" s="8" t="n">
        <v>7.47</v>
      </c>
      <c r="S2291" s="14">
        <f>R2291/H2291-1</f>
        <v/>
      </c>
      <c r="T2291" s="16" t="inlineStr">
        <is>
          <t>ACIMA +11.7%</t>
        </is>
      </c>
      <c r="U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8" t="n"/>
      <c r="M2292" s="8" t="n"/>
      <c r="N2292" s="8" t="n"/>
      <c r="O2292" s="8" t="n"/>
      <c r="P2292" s="8" t="n"/>
      <c r="Q2292" s="7" t="inlineStr">
        <is>
          <t>DIMEC</t>
        </is>
      </c>
      <c r="R2292" s="8" t="n">
        <v>5.94</v>
      </c>
      <c r="S2292" s="14">
        <f>R2292/H2292-1</f>
        <v/>
      </c>
      <c r="T2292" s="16" t="inlineStr">
        <is>
          <t>ACIMA +2.6%</t>
        </is>
      </c>
      <c r="U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6.05</v>
      </c>
      <c r="K2293" s="8" t="n"/>
      <c r="L2293" s="8" t="n"/>
      <c r="M2293" s="8" t="n">
        <v>5.98</v>
      </c>
      <c r="N2293" s="15" t="n">
        <v>5.75</v>
      </c>
      <c r="O2293" s="8" t="n"/>
      <c r="P2293" s="8" t="n"/>
      <c r="Q2293" s="7" t="inlineStr">
        <is>
          <t>TAPAJOS</t>
        </is>
      </c>
      <c r="R2293" s="8" t="n">
        <v>5.75</v>
      </c>
      <c r="S2293" s="14">
        <f>R2293/H2293-1</f>
        <v/>
      </c>
      <c r="T2293" s="16" t="inlineStr">
        <is>
          <t>ACIMA +1.2%</t>
        </is>
      </c>
      <c r="U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8" t="n"/>
      <c r="M2294" s="8" t="n"/>
      <c r="N2294" s="8" t="n"/>
      <c r="O2294" s="8" t="n"/>
      <c r="P2294" s="8" t="n"/>
      <c r="Q2294" s="7" t="inlineStr">
        <is>
          <t>SEM COTAÇÃO</t>
        </is>
      </c>
      <c r="R2294" s="8" t="n"/>
      <c r="S2294" s="14" t="n"/>
      <c r="T2294" s="7" t="inlineStr"/>
      <c r="U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6.76</v>
      </c>
      <c r="K2295" s="8" t="n"/>
      <c r="L2295" s="8" t="n"/>
      <c r="M2295" s="8" t="n">
        <v>6.71</v>
      </c>
      <c r="N2295" s="8" t="n"/>
      <c r="O2295" s="15" t="n">
        <v>6.42</v>
      </c>
      <c r="P2295" s="8" t="n"/>
      <c r="Q2295" s="7" t="inlineStr">
        <is>
          <t>NAZARIA</t>
        </is>
      </c>
      <c r="R2295" s="8" t="n">
        <v>6.42</v>
      </c>
      <c r="S2295" s="14">
        <f>R2295/H2295-1</f>
        <v/>
      </c>
      <c r="T2295" s="16" t="inlineStr">
        <is>
          <t>ACIMA +6.3%</t>
        </is>
      </c>
      <c r="U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15" t="n">
        <v>11.56</v>
      </c>
      <c r="M2296" s="8" t="n"/>
      <c r="N2296" s="8" t="n"/>
      <c r="O2296" s="8" t="n">
        <v>42.76</v>
      </c>
      <c r="P2296" s="8" t="n"/>
      <c r="Q2296" s="7" t="inlineStr">
        <is>
          <t>EPAN</t>
        </is>
      </c>
      <c r="R2296" s="8" t="n">
        <v>11.56</v>
      </c>
      <c r="S2296" s="14">
        <f>R2296/H2296-1</f>
        <v/>
      </c>
      <c r="T2296" s="16" t="inlineStr">
        <is>
          <t>ACIMA +0.1%</t>
        </is>
      </c>
      <c r="U2296" s="7" t="inlineStr">
        <is>
          <t>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8" t="n"/>
      <c r="M2297" s="8" t="n"/>
      <c r="N2297" s="15" t="n">
        <v>7.56</v>
      </c>
      <c r="O2297" s="8" t="n"/>
      <c r="P2297" s="8" t="n">
        <v>7.92</v>
      </c>
      <c r="Q2297" s="7" t="inlineStr">
        <is>
          <t>TAPAJOS</t>
        </is>
      </c>
      <c r="R2297" s="8" t="n">
        <v>7.56</v>
      </c>
      <c r="S2297" s="14">
        <f>R2297/H2297-1</f>
        <v/>
      </c>
      <c r="T2297" s="16" t="inlineStr">
        <is>
          <t>ACIMA +5.7%</t>
        </is>
      </c>
      <c r="U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15" t="n">
        <v>9.67</v>
      </c>
      <c r="K2298" s="8" t="n"/>
      <c r="L2298" s="8" t="n"/>
      <c r="M2298" s="8" t="n">
        <v>9.789999999999999</v>
      </c>
      <c r="N2298" s="8" t="n"/>
      <c r="O2298" s="8" t="n"/>
      <c r="P2298" s="8" t="n"/>
      <c r="Q2298" s="7" t="inlineStr">
        <is>
          <t>DIMEC</t>
        </is>
      </c>
      <c r="R2298" s="8" t="n">
        <v>9.67</v>
      </c>
      <c r="S2298" s="14">
        <f>R2298/H2298-1</f>
        <v/>
      </c>
      <c r="T2298" s="16" t="inlineStr">
        <is>
          <t>ACIMA +16.5%</t>
        </is>
      </c>
      <c r="U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8" t="n"/>
      <c r="M2299" s="8" t="n"/>
      <c r="N2299" s="8" t="n"/>
      <c r="O2299" s="8" t="n"/>
      <c r="P2299" s="8" t="n"/>
      <c r="Q2299" s="7" t="inlineStr">
        <is>
          <t>SEM COTAÇÃO</t>
        </is>
      </c>
      <c r="R2299" s="8" t="n"/>
      <c r="S2299" s="14" t="n"/>
      <c r="T2299" s="7" t="inlineStr"/>
      <c r="U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8" t="n"/>
      <c r="M2300" s="8" t="n"/>
      <c r="N2300" s="8" t="n"/>
      <c r="O2300" s="8" t="n"/>
      <c r="P2300" s="8" t="n"/>
      <c r="Q2300" s="7" t="inlineStr">
        <is>
          <t>SEM COTAÇÃO</t>
        </is>
      </c>
      <c r="R2300" s="8" t="n"/>
      <c r="S2300" s="14" t="n"/>
      <c r="T2300" s="7" t="inlineStr"/>
      <c r="U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15" t="n">
        <v>7.42</v>
      </c>
      <c r="M2301" s="8" t="n"/>
      <c r="N2301" s="8" t="n">
        <v>7.62</v>
      </c>
      <c r="O2301" s="8" t="n">
        <v>7.436800000000001</v>
      </c>
      <c r="P2301" s="8" t="n"/>
      <c r="Q2301" s="7" t="inlineStr">
        <is>
          <t>EPAN</t>
        </is>
      </c>
      <c r="R2301" s="8" t="n">
        <v>7.42</v>
      </c>
      <c r="S2301" s="14">
        <f>R2301/H2301-1</f>
        <v/>
      </c>
      <c r="T2301" s="16" t="inlineStr">
        <is>
          <t>ACIMA +2.2%</t>
        </is>
      </c>
      <c r="U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8" t="n"/>
      <c r="M2302" s="8" t="n"/>
      <c r="N2302" s="8" t="n"/>
      <c r="O2302" s="15" t="n">
        <v>28.04</v>
      </c>
      <c r="P2302" s="8" t="n"/>
      <c r="Q2302" s="7" t="inlineStr">
        <is>
          <t>NAZARIA</t>
        </is>
      </c>
      <c r="R2302" s="8" t="n">
        <v>28.04</v>
      </c>
      <c r="S2302" s="14">
        <f>R2302/H2302-1</f>
        <v/>
      </c>
      <c r="T2302" s="16" t="inlineStr">
        <is>
          <t>ACIMA +1026.1%</t>
        </is>
      </c>
      <c r="U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8" t="n"/>
      <c r="M2303" s="8" t="n"/>
      <c r="N2303" s="8" t="n"/>
      <c r="O2303" s="8" t="n"/>
      <c r="P2303" s="8" t="n"/>
      <c r="Q2303" s="7" t="inlineStr">
        <is>
          <t>SEM COTAÇÃO</t>
        </is>
      </c>
      <c r="R2303" s="8" t="n"/>
      <c r="S2303" s="14" t="n"/>
      <c r="T2303" s="7" t="inlineStr"/>
      <c r="U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8" t="n"/>
      <c r="M2304" s="8" t="n"/>
      <c r="N2304" s="8" t="n"/>
      <c r="O2304" s="15" t="n">
        <v>16.9302</v>
      </c>
      <c r="P2304" s="8" t="n"/>
      <c r="Q2304" s="7" t="inlineStr">
        <is>
          <t>NAZARIA</t>
        </is>
      </c>
      <c r="R2304" s="8" t="n">
        <v>16.9302</v>
      </c>
      <c r="S2304" s="14">
        <f>R2304/H2304-1</f>
        <v/>
      </c>
      <c r="T2304" s="16" t="inlineStr">
        <is>
          <t>ACIMA +14.0%</t>
        </is>
      </c>
      <c r="U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8" t="n"/>
      <c r="M2305" s="8" t="n"/>
      <c r="N2305" s="8" t="n"/>
      <c r="O2305" s="15" t="n">
        <v>16.9302</v>
      </c>
      <c r="P2305" s="8" t="n"/>
      <c r="Q2305" s="7" t="inlineStr">
        <is>
          <t>NAZARIA</t>
        </is>
      </c>
      <c r="R2305" s="8" t="n">
        <v>16.9302</v>
      </c>
      <c r="S2305" s="14">
        <f>R2305/H2305-1</f>
        <v/>
      </c>
      <c r="T2305" s="16" t="inlineStr">
        <is>
          <t>ACIMA +19.9%</t>
        </is>
      </c>
      <c r="U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8" t="n">
        <v>41.36</v>
      </c>
      <c r="M2306" s="8" t="n"/>
      <c r="N2306" s="15" t="n">
        <v>40.76</v>
      </c>
      <c r="O2306" s="8" t="n">
        <v>42.4928</v>
      </c>
      <c r="P2306" s="8" t="n"/>
      <c r="Q2306" s="7" t="inlineStr">
        <is>
          <t>TAPAJOS</t>
        </is>
      </c>
      <c r="R2306" s="8" t="n">
        <v>40.76</v>
      </c>
      <c r="S2306" s="14">
        <f>R2306/H2306-1</f>
        <v/>
      </c>
      <c r="T2306" s="17" t="inlineStr">
        <is>
          <t>OK (≤ menor hist.)</t>
        </is>
      </c>
      <c r="U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8" t="n"/>
      <c r="M2307" s="15" t="n">
        <v>16.67</v>
      </c>
      <c r="N2307" s="8" t="n"/>
      <c r="O2307" s="8" t="n"/>
      <c r="P2307" s="8" t="n"/>
      <c r="Q2307" s="7" t="inlineStr">
        <is>
          <t>CENTROFARMA</t>
        </is>
      </c>
      <c r="R2307" s="8" t="n">
        <v>16.67</v>
      </c>
      <c r="S2307" s="14">
        <f>R2307/H2307-1</f>
        <v/>
      </c>
      <c r="T2307" s="17" t="inlineStr">
        <is>
          <t>OK (≤ menor hist.)</t>
        </is>
      </c>
      <c r="U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8" t="n"/>
      <c r="M2308" s="8" t="n"/>
      <c r="N2308" s="8" t="n"/>
      <c r="O2308" s="8" t="n"/>
      <c r="P2308" s="8" t="n"/>
      <c r="Q2308" s="7" t="inlineStr">
        <is>
          <t>SEM COTAÇÃO</t>
        </is>
      </c>
      <c r="R2308" s="8" t="n"/>
      <c r="S2308" s="14" t="n"/>
      <c r="T2308" s="7" t="inlineStr"/>
      <c r="U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8" t="n"/>
      <c r="M2309" s="8" t="n"/>
      <c r="N2309" s="8" t="n"/>
      <c r="O2309" s="8" t="n"/>
      <c r="P2309" s="8" t="n"/>
      <c r="Q2309" s="7" t="inlineStr">
        <is>
          <t>SEM COTAÇÃO</t>
        </is>
      </c>
      <c r="R2309" s="8" t="n"/>
      <c r="S2309" s="14" t="n"/>
      <c r="T2309" s="7" t="inlineStr"/>
      <c r="U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8" t="n"/>
      <c r="M2310" s="8" t="n"/>
      <c r="N2310" s="8" t="n"/>
      <c r="O2310" s="8" t="n"/>
      <c r="P2310" s="8" t="n"/>
      <c r="Q2310" s="7" t="inlineStr">
        <is>
          <t>SEM COTAÇÃO</t>
        </is>
      </c>
      <c r="R2310" s="8" t="n"/>
      <c r="S2310" s="14" t="n"/>
      <c r="T2310" s="7" t="inlineStr"/>
      <c r="U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8" t="n"/>
      <c r="M2311" s="8" t="n"/>
      <c r="N2311" s="8" t="n"/>
      <c r="O2311" s="8" t="n"/>
      <c r="P2311" s="8" t="n"/>
      <c r="Q2311" s="7" t="inlineStr">
        <is>
          <t>SEM COTAÇÃO</t>
        </is>
      </c>
      <c r="R2311" s="8" t="n"/>
      <c r="S2311" s="14" t="n"/>
      <c r="T2311" s="7" t="inlineStr"/>
      <c r="U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8" t="n"/>
      <c r="M2312" s="8" t="n"/>
      <c r="N2312" s="8" t="n"/>
      <c r="O2312" s="8" t="n"/>
      <c r="P2312" s="8" t="n"/>
      <c r="Q2312" s="7" t="inlineStr">
        <is>
          <t>SEM COTAÇÃO</t>
        </is>
      </c>
      <c r="R2312" s="8" t="n"/>
      <c r="S2312" s="14" t="n"/>
      <c r="T2312" s="7" t="inlineStr"/>
      <c r="U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8" t="n"/>
      <c r="M2313" s="8" t="n"/>
      <c r="N2313" s="8" t="n"/>
      <c r="O2313" s="8" t="n"/>
      <c r="P2313" s="8" t="n"/>
      <c r="Q2313" s="7" t="inlineStr">
        <is>
          <t>SEM COTAÇÃO</t>
        </is>
      </c>
      <c r="R2313" s="8" t="n"/>
      <c r="S2313" s="14" t="n"/>
      <c r="T2313" s="7" t="inlineStr"/>
      <c r="U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7" t="inlineStr">
        <is>
          <t>SEM COTAÇÃO</t>
        </is>
      </c>
      <c r="R2314" s="8" t="n"/>
      <c r="S2314" s="14" t="n"/>
      <c r="T2314" s="7" t="inlineStr"/>
      <c r="U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8" t="n"/>
      <c r="M2315" s="8" t="n"/>
      <c r="N2315" s="8" t="n"/>
      <c r="O2315" s="8" t="n"/>
      <c r="P2315" s="8" t="n"/>
      <c r="Q2315" s="7" t="inlineStr">
        <is>
          <t>SEM COTAÇÃO</t>
        </is>
      </c>
      <c r="R2315" s="8" t="n"/>
      <c r="S2315" s="14" t="n"/>
      <c r="T2315" s="7" t="inlineStr"/>
      <c r="U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8" t="n"/>
      <c r="M2316" s="8" t="n"/>
      <c r="N2316" s="8" t="n"/>
      <c r="O2316" s="8" t="n"/>
      <c r="P2316" s="8" t="n"/>
      <c r="Q2316" s="7" t="inlineStr">
        <is>
          <t>SEM COTAÇÃO</t>
        </is>
      </c>
      <c r="R2316" s="8" t="n"/>
      <c r="S2316" s="14" t="n"/>
      <c r="T2316" s="7" t="inlineStr"/>
      <c r="U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8" t="n"/>
      <c r="M2317" s="8" t="n"/>
      <c r="N2317" s="8" t="n"/>
      <c r="O2317" s="8" t="n"/>
      <c r="P2317" s="8" t="n"/>
      <c r="Q2317" s="7" t="inlineStr">
        <is>
          <t>SEM COTAÇÃO</t>
        </is>
      </c>
      <c r="R2317" s="8" t="n"/>
      <c r="S2317" s="14" t="n"/>
      <c r="T2317" s="7" t="inlineStr"/>
      <c r="U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8" t="n"/>
      <c r="M2318" s="8" t="n"/>
      <c r="N2318" s="8" t="n"/>
      <c r="O2318" s="8" t="n"/>
      <c r="P2318" s="8" t="n"/>
      <c r="Q2318" s="7" t="inlineStr">
        <is>
          <t>SEM COTAÇÃO</t>
        </is>
      </c>
      <c r="R2318" s="8" t="n"/>
      <c r="S2318" s="14" t="n"/>
      <c r="T2318" s="7" t="inlineStr"/>
      <c r="U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8" t="n"/>
      <c r="M2319" s="8" t="n"/>
      <c r="N2319" s="8" t="n"/>
      <c r="O2319" s="8" t="n"/>
      <c r="P2319" s="8" t="n"/>
      <c r="Q2319" s="7" t="inlineStr">
        <is>
          <t>SEM COTAÇÃO</t>
        </is>
      </c>
      <c r="R2319" s="8" t="n"/>
      <c r="S2319" s="14" t="n"/>
      <c r="T2319" s="7" t="inlineStr"/>
      <c r="U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8" t="n"/>
      <c r="M2320" s="8" t="n"/>
      <c r="N2320" s="8" t="n"/>
      <c r="O2320" s="8" t="n"/>
      <c r="P2320" s="8" t="n"/>
      <c r="Q2320" s="7" t="inlineStr">
        <is>
          <t>SEM COTAÇÃO</t>
        </is>
      </c>
      <c r="R2320" s="8" t="n"/>
      <c r="S2320" s="14" t="n"/>
      <c r="T2320" s="7" t="inlineStr"/>
      <c r="U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8" t="n"/>
      <c r="M2321" s="8" t="n"/>
      <c r="N2321" s="8" t="n"/>
      <c r="O2321" s="8" t="n"/>
      <c r="P2321" s="8" t="n"/>
      <c r="Q2321" s="7" t="inlineStr">
        <is>
          <t>SEM COTAÇÃO</t>
        </is>
      </c>
      <c r="R2321" s="8" t="n"/>
      <c r="S2321" s="14" t="n"/>
      <c r="T2321" s="7" t="inlineStr"/>
      <c r="U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8" t="n"/>
      <c r="M2322" s="8" t="n"/>
      <c r="N2322" s="8" t="n"/>
      <c r="O2322" s="8" t="n"/>
      <c r="P2322" s="8" t="n"/>
      <c r="Q2322" s="7" t="inlineStr">
        <is>
          <t>SEM COTAÇÃO</t>
        </is>
      </c>
      <c r="R2322" s="8" t="n"/>
      <c r="S2322" s="14" t="n"/>
      <c r="T2322" s="7" t="inlineStr"/>
      <c r="U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8" t="n"/>
      <c r="M2323" s="8" t="n"/>
      <c r="N2323" s="8" t="n"/>
      <c r="O2323" s="8" t="n"/>
      <c r="P2323" s="8" t="n"/>
      <c r="Q2323" s="7" t="inlineStr">
        <is>
          <t>SEM COTAÇÃO</t>
        </is>
      </c>
      <c r="R2323" s="8" t="n"/>
      <c r="S2323" s="14" t="n"/>
      <c r="T2323" s="7" t="inlineStr"/>
      <c r="U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8" t="n"/>
      <c r="M2324" s="8" t="n"/>
      <c r="N2324" s="8" t="n"/>
      <c r="O2324" s="8" t="n"/>
      <c r="P2324" s="8" t="n"/>
      <c r="Q2324" s="7" t="inlineStr">
        <is>
          <t>SEM COTAÇÃO</t>
        </is>
      </c>
      <c r="R2324" s="8" t="n"/>
      <c r="S2324" s="14" t="n"/>
      <c r="T2324" s="7" t="inlineStr"/>
      <c r="U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8" t="n"/>
      <c r="M2325" s="8" t="n"/>
      <c r="N2325" s="8" t="n"/>
      <c r="O2325" s="8" t="n"/>
      <c r="P2325" s="8" t="n"/>
      <c r="Q2325" s="7" t="inlineStr">
        <is>
          <t>SEM COTAÇÃO</t>
        </is>
      </c>
      <c r="R2325" s="8" t="n"/>
      <c r="S2325" s="14" t="n"/>
      <c r="T2325" s="7" t="inlineStr"/>
      <c r="U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8" t="n"/>
      <c r="M2326" s="8" t="n"/>
      <c r="N2326" s="8" t="n"/>
      <c r="O2326" s="8" t="n"/>
      <c r="P2326" s="8" t="n"/>
      <c r="Q2326" s="7" t="inlineStr">
        <is>
          <t>SEM COTAÇÃO</t>
        </is>
      </c>
      <c r="R2326" s="8" t="n"/>
      <c r="S2326" s="14" t="n"/>
      <c r="T2326" s="7" t="inlineStr"/>
      <c r="U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8" t="n"/>
      <c r="M2327" s="8" t="n"/>
      <c r="N2327" s="8" t="n"/>
      <c r="O2327" s="8" t="n"/>
      <c r="P2327" s="8" t="n"/>
      <c r="Q2327" s="7" t="inlineStr">
        <is>
          <t>SEM COTAÇÃO</t>
        </is>
      </c>
      <c r="R2327" s="8" t="n"/>
      <c r="S2327" s="14" t="n"/>
      <c r="T2327" s="7" t="inlineStr"/>
      <c r="U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8" t="n"/>
      <c r="M2328" s="8" t="n"/>
      <c r="N2328" s="8" t="n"/>
      <c r="O2328" s="8" t="n"/>
      <c r="P2328" s="8" t="n"/>
      <c r="Q2328" s="7" t="inlineStr">
        <is>
          <t>SEM COTAÇÃO</t>
        </is>
      </c>
      <c r="R2328" s="8" t="n"/>
      <c r="S2328" s="14" t="n"/>
      <c r="T2328" s="7" t="inlineStr"/>
      <c r="U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8" t="n"/>
      <c r="M2329" s="8" t="n"/>
      <c r="N2329" s="8" t="n"/>
      <c r="O2329" s="15" t="n">
        <v>21.32</v>
      </c>
      <c r="P2329" s="8" t="n"/>
      <c r="Q2329" s="7" t="inlineStr">
        <is>
          <t>NAZARIA</t>
        </is>
      </c>
      <c r="R2329" s="8" t="n">
        <v>21.32</v>
      </c>
      <c r="S2329" s="14">
        <f>R2329/H2329-1</f>
        <v/>
      </c>
      <c r="T2329" s="17" t="inlineStr">
        <is>
          <t>OK (≤ menor hist.)</t>
        </is>
      </c>
      <c r="U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15" t="n">
        <v>9.06</v>
      </c>
      <c r="M2330" s="8" t="n"/>
      <c r="N2330" s="8" t="n"/>
      <c r="O2330" s="8" t="n">
        <v>12.87</v>
      </c>
      <c r="P2330" s="8" t="n"/>
      <c r="Q2330" s="7" t="inlineStr">
        <is>
          <t>EPAN</t>
        </is>
      </c>
      <c r="R2330" s="8" t="n">
        <v>9.06</v>
      </c>
      <c r="S2330" s="14">
        <f>R2330/H2330-1</f>
        <v/>
      </c>
      <c r="T2330" s="17" t="inlineStr">
        <is>
          <t>OK (≤ menor hist.)</t>
        </is>
      </c>
      <c r="U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8" t="n"/>
      <c r="M2331" s="8" t="n"/>
      <c r="N2331" s="8" t="n"/>
      <c r="O2331" s="15" t="n">
        <v>10.41</v>
      </c>
      <c r="P2331" s="8" t="n"/>
      <c r="Q2331" s="7" t="inlineStr">
        <is>
          <t>NAZARIA</t>
        </is>
      </c>
      <c r="R2331" s="8" t="n">
        <v>10.41</v>
      </c>
      <c r="S2331" s="14">
        <f>R2331/H2331-1</f>
        <v/>
      </c>
      <c r="T2331" s="16" t="inlineStr">
        <is>
          <t>ACIMA +14.5%</t>
        </is>
      </c>
      <c r="U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8" t="n"/>
      <c r="M2332" s="8" t="n"/>
      <c r="N2332" s="8" t="n"/>
      <c r="O2332" s="15" t="n">
        <v>3.63</v>
      </c>
      <c r="P2332" s="8" t="n"/>
      <c r="Q2332" s="7" t="inlineStr">
        <is>
          <t>NAZARIA</t>
        </is>
      </c>
      <c r="R2332" s="8" t="n">
        <v>3.63</v>
      </c>
      <c r="S2332" s="14">
        <f>R2332/H2332-1</f>
        <v/>
      </c>
      <c r="T2332" s="16" t="inlineStr">
        <is>
          <t>ACIMA +34.9%</t>
        </is>
      </c>
      <c r="U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8" t="n"/>
      <c r="M2333" s="8" t="n"/>
      <c r="N2333" s="8" t="n"/>
      <c r="O2333" s="8" t="n"/>
      <c r="P2333" s="8" t="n"/>
      <c r="Q2333" s="7" t="inlineStr">
        <is>
          <t>SEM COTAÇÃO</t>
        </is>
      </c>
      <c r="R2333" s="8" t="n"/>
      <c r="S2333" s="14" t="n"/>
      <c r="T2333" s="7" t="inlineStr"/>
      <c r="U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8" t="n"/>
      <c r="M2334" s="8" t="n">
        <v>43.63</v>
      </c>
      <c r="N2334" s="8" t="n">
        <v>46.77</v>
      </c>
      <c r="O2334" s="8" t="n"/>
      <c r="P2334" s="8" t="n">
        <v>46.97</v>
      </c>
      <c r="Q2334" s="7" t="inlineStr">
        <is>
          <t>DIMEC</t>
        </is>
      </c>
      <c r="R2334" s="8" t="n">
        <v>2.2485</v>
      </c>
      <c r="S2334" s="14">
        <f>R2334/H2334-1</f>
        <v/>
      </c>
      <c r="T2334" s="16" t="inlineStr">
        <is>
          <t>ACIMA +13.3%</t>
        </is>
      </c>
      <c r="U2334" s="7" t="inlineStr">
        <is>
          <t>DIMEC: 1 emb = 20 un; CENTROFARMA: conferir emb.; TAPAJOS: conferir emb.; MEDCENTRO: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8" t="n"/>
      <c r="M2335" s="8" t="n">
        <v>28.67</v>
      </c>
      <c r="N2335" s="8" t="n">
        <v>26.59</v>
      </c>
      <c r="O2335" s="8" t="n"/>
      <c r="P2335" s="8" t="n"/>
      <c r="Q2335" s="7" t="inlineStr">
        <is>
          <t>DIMEC</t>
        </is>
      </c>
      <c r="R2335" s="8" t="n">
        <v>1.3495</v>
      </c>
      <c r="S2335" s="14">
        <f>R2335/H2335-1</f>
        <v/>
      </c>
      <c r="T2335" s="16" t="inlineStr">
        <is>
          <t>ACIMA +29.4%</t>
        </is>
      </c>
      <c r="U2335" s="7" t="inlineStr">
        <is>
          <t>DIMEC: 1 emb = 20 un; CENTROFARMA: conferir emb.; TAPAJOS: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8" t="n"/>
      <c r="M2336" s="8" t="n"/>
      <c r="N2336" s="8" t="n"/>
      <c r="O2336" s="8" t="n"/>
      <c r="P2336" s="8" t="n"/>
      <c r="Q2336" s="7" t="inlineStr">
        <is>
          <t>SEM COTAÇÃO</t>
        </is>
      </c>
      <c r="R2336" s="8" t="n"/>
      <c r="S2336" s="14" t="n"/>
      <c r="T2336" s="7" t="inlineStr"/>
      <c r="U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8" t="n"/>
      <c r="M2337" s="8" t="n"/>
      <c r="N2337" s="8" t="n"/>
      <c r="O2337" s="8" t="n"/>
      <c r="P2337" s="8" t="n"/>
      <c r="Q2337" s="7" t="inlineStr">
        <is>
          <t>SEM COTAÇÃO</t>
        </is>
      </c>
      <c r="R2337" s="8" t="n"/>
      <c r="S2337" s="14" t="n"/>
      <c r="T2337" s="7" t="inlineStr"/>
      <c r="U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8" t="n"/>
      <c r="M2338" s="8" t="n"/>
      <c r="N2338" s="8" t="n"/>
      <c r="O2338" s="8" t="n">
        <v>62.5262</v>
      </c>
      <c r="P2338" s="8" t="n"/>
      <c r="Q2338" s="7" t="inlineStr">
        <is>
          <t>SEM COTAÇÃO</t>
        </is>
      </c>
      <c r="R2338" s="8" t="n"/>
      <c r="S2338" s="14" t="n"/>
      <c r="T2338" s="7" t="inlineStr"/>
      <c r="U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8" t="n"/>
      <c r="M2339" s="8" t="n"/>
      <c r="N2339" s="8" t="n"/>
      <c r="O2339" s="8" t="n">
        <v>55.8235</v>
      </c>
      <c r="P2339" s="8" t="n"/>
      <c r="Q2339" s="7" t="inlineStr">
        <is>
          <t>SEM COTAÇÃO</t>
        </is>
      </c>
      <c r="R2339" s="8" t="n"/>
      <c r="S2339" s="14" t="n"/>
      <c r="T2339" s="7" t="inlineStr"/>
      <c r="U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8" t="n"/>
      <c r="M2340" s="8" t="n"/>
      <c r="N2340" s="8" t="n"/>
      <c r="O2340" s="8" t="n"/>
      <c r="P2340" s="8" t="n"/>
      <c r="Q2340" s="7" t="inlineStr">
        <is>
          <t>SEM COTAÇÃO</t>
        </is>
      </c>
      <c r="R2340" s="8" t="n"/>
      <c r="S2340" s="14" t="n"/>
      <c r="T2340" s="7" t="inlineStr"/>
      <c r="U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8" t="n"/>
      <c r="M2341" s="8" t="n"/>
      <c r="N2341" s="8" t="n"/>
      <c r="O2341" s="8" t="n"/>
      <c r="P2341" s="8" t="n"/>
      <c r="Q2341" s="7" t="inlineStr">
        <is>
          <t>SEM COTAÇÃO</t>
        </is>
      </c>
      <c r="R2341" s="8" t="n"/>
      <c r="S2341" s="14" t="n"/>
      <c r="T2341" s="7" t="inlineStr"/>
      <c r="U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8" t="n"/>
      <c r="M2342" s="8" t="n"/>
      <c r="N2342" s="8" t="n"/>
      <c r="O2342" s="8" t="n"/>
      <c r="P2342" s="8" t="n"/>
      <c r="Q2342" s="7" t="inlineStr">
        <is>
          <t>SEM COTAÇÃO</t>
        </is>
      </c>
      <c r="R2342" s="8" t="n"/>
      <c r="S2342" s="14" t="n"/>
      <c r="T2342" s="7" t="inlineStr"/>
      <c r="U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8" t="n"/>
      <c r="M2343" s="8" t="n"/>
      <c r="N2343" s="8" t="n"/>
      <c r="O2343" s="8" t="n"/>
      <c r="P2343" s="8" t="n"/>
      <c r="Q2343" s="7" t="inlineStr">
        <is>
          <t>SEM COTAÇÃO</t>
        </is>
      </c>
      <c r="R2343" s="8" t="n"/>
      <c r="S2343" s="14" t="n"/>
      <c r="T2343" s="7" t="inlineStr"/>
      <c r="U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8" t="n"/>
      <c r="M2344" s="8" t="n"/>
      <c r="N2344" s="8" t="n"/>
      <c r="O2344" s="8" t="n"/>
      <c r="P2344" s="8" t="n"/>
      <c r="Q2344" s="7" t="inlineStr">
        <is>
          <t>SEM COTAÇÃO</t>
        </is>
      </c>
      <c r="R2344" s="8" t="n"/>
      <c r="S2344" s="14" t="n"/>
      <c r="T2344" s="7" t="inlineStr"/>
      <c r="U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8" t="n"/>
      <c r="M2345" s="8" t="n"/>
      <c r="N2345" s="8" t="n"/>
      <c r="O2345" s="8" t="n"/>
      <c r="P2345" s="8" t="n"/>
      <c r="Q2345" s="7" t="inlineStr">
        <is>
          <t>SEM COTAÇÃO</t>
        </is>
      </c>
      <c r="R2345" s="8" t="n"/>
      <c r="S2345" s="14" t="n"/>
      <c r="T2345" s="7" t="inlineStr"/>
      <c r="U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8" t="n"/>
      <c r="M2346" s="8" t="n"/>
      <c r="N2346" s="8" t="n"/>
      <c r="O2346" s="8" t="n">
        <v>8.6304</v>
      </c>
      <c r="P2346" s="8" t="n"/>
      <c r="Q2346" s="7" t="inlineStr">
        <is>
          <t>SEM COTAÇÃO</t>
        </is>
      </c>
      <c r="R2346" s="8" t="n"/>
      <c r="S2346" s="14" t="n"/>
      <c r="T2346" s="7" t="inlineStr"/>
      <c r="U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8" t="n"/>
      <c r="M2347" s="8" t="n"/>
      <c r="N2347" s="8" t="n"/>
      <c r="O2347" s="15" t="n">
        <v>13.1712</v>
      </c>
      <c r="P2347" s="8" t="n"/>
      <c r="Q2347" s="7" t="inlineStr">
        <is>
          <t>NAZARIA</t>
        </is>
      </c>
      <c r="R2347" s="8" t="n">
        <v>13.1712</v>
      </c>
      <c r="S2347" s="14">
        <f>R2347/H2347-1</f>
        <v/>
      </c>
      <c r="T2347" s="16" t="inlineStr">
        <is>
          <t>ACIMA +17.1%</t>
        </is>
      </c>
      <c r="U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8" t="n"/>
      <c r="M2348" s="8" t="n"/>
      <c r="N2348" s="8" t="n"/>
      <c r="O2348" s="15" t="n">
        <v>14.2176</v>
      </c>
      <c r="P2348" s="8" t="n"/>
      <c r="Q2348" s="7" t="inlineStr">
        <is>
          <t>NAZARIA</t>
        </is>
      </c>
      <c r="R2348" s="8" t="n">
        <v>14.2176</v>
      </c>
      <c r="S2348" s="14">
        <f>R2348/H2348-1</f>
        <v/>
      </c>
      <c r="T2348" s="17" t="inlineStr">
        <is>
          <t>OK (≤ menor hist.)</t>
        </is>
      </c>
      <c r="U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8" t="n"/>
      <c r="M2349" s="8" t="n"/>
      <c r="N2349" s="8" t="n"/>
      <c r="O2349" s="8" t="n">
        <v>5.529599999999999</v>
      </c>
      <c r="P2349" s="8" t="n"/>
      <c r="Q2349" s="7" t="inlineStr">
        <is>
          <t>SEM COTAÇÃO</t>
        </is>
      </c>
      <c r="R2349" s="8" t="n"/>
      <c r="S2349" s="14" t="n"/>
      <c r="T2349" s="7" t="inlineStr"/>
      <c r="U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8" t="n"/>
      <c r="M2350" s="8" t="n"/>
      <c r="N2350" s="8" t="n"/>
      <c r="O2350" s="8" t="n">
        <v>7.228800000000001</v>
      </c>
      <c r="P2350" s="8" t="n"/>
      <c r="Q2350" s="7" t="inlineStr">
        <is>
          <t>SEM COTAÇÃO</t>
        </is>
      </c>
      <c r="R2350" s="8" t="n"/>
      <c r="S2350" s="14" t="n"/>
      <c r="T2350" s="7" t="inlineStr"/>
      <c r="U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8" t="n"/>
      <c r="M2351" s="8" t="n"/>
      <c r="N2351" s="8" t="n"/>
      <c r="O2351" s="8" t="n">
        <v>10.5696</v>
      </c>
      <c r="P2351" s="8" t="n"/>
      <c r="Q2351" s="7" t="inlineStr">
        <is>
          <t>SEM COTAÇÃO</t>
        </is>
      </c>
      <c r="R2351" s="8" t="n"/>
      <c r="S2351" s="14" t="n"/>
      <c r="T2351" s="7" t="inlineStr"/>
      <c r="U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8" t="n"/>
      <c r="M2352" s="15" t="n">
        <v>72.22</v>
      </c>
      <c r="N2352" s="8" t="n"/>
      <c r="O2352" s="8" t="n"/>
      <c r="P2352" s="8" t="n"/>
      <c r="Q2352" s="7" t="inlineStr">
        <is>
          <t>CENTROFARMA</t>
        </is>
      </c>
      <c r="R2352" s="8" t="n">
        <v>72.22</v>
      </c>
      <c r="S2352" s="14">
        <f>R2352/H2352-1</f>
        <v/>
      </c>
      <c r="T2352" s="16" t="inlineStr">
        <is>
          <t>ACIMA +22.5%</t>
        </is>
      </c>
      <c r="U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8" t="n"/>
      <c r="M2353" s="15" t="n">
        <v>72.22</v>
      </c>
      <c r="N2353" s="8" t="n"/>
      <c r="O2353" s="8" t="n"/>
      <c r="P2353" s="8" t="n"/>
      <c r="Q2353" s="7" t="inlineStr">
        <is>
          <t>CENTROFARMA</t>
        </is>
      </c>
      <c r="R2353" s="8" t="n">
        <v>72.22</v>
      </c>
      <c r="S2353" s="14">
        <f>R2353/H2353-1</f>
        <v/>
      </c>
      <c r="T2353" s="16" t="inlineStr">
        <is>
          <t>ACIMA +39.7%</t>
        </is>
      </c>
      <c r="U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8" t="n"/>
      <c r="M2354" s="8" t="n"/>
      <c r="N2354" s="8" t="n"/>
      <c r="O2354" s="8" t="n"/>
      <c r="P2354" s="8" t="n"/>
      <c r="Q2354" s="7" t="inlineStr">
        <is>
          <t>SEM COTAÇÃO</t>
        </is>
      </c>
      <c r="R2354" s="8" t="n"/>
      <c r="S2354" s="14" t="n"/>
      <c r="T2354" s="7" t="inlineStr"/>
      <c r="U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8" t="n"/>
      <c r="M2355" s="8" t="n"/>
      <c r="N2355" s="8" t="n">
        <v>90.3</v>
      </c>
      <c r="O2355" s="15" t="n">
        <v>87.41460000000001</v>
      </c>
      <c r="P2355" s="8" t="n"/>
      <c r="Q2355" s="7" t="inlineStr">
        <is>
          <t>NAZARIA</t>
        </is>
      </c>
      <c r="R2355" s="8" t="n">
        <v>87.41460000000001</v>
      </c>
      <c r="S2355" s="14">
        <f>R2355/H2355-1</f>
        <v/>
      </c>
      <c r="T2355" s="17" t="inlineStr">
        <is>
          <t>OK (≤ últ. compra)</t>
        </is>
      </c>
      <c r="U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8" t="n"/>
      <c r="M2356" s="8" t="n"/>
      <c r="N2356" s="8" t="n"/>
      <c r="O2356" s="8" t="n"/>
      <c r="P2356" s="8" t="n"/>
      <c r="Q2356" s="7" t="inlineStr">
        <is>
          <t>SEM COTAÇÃO</t>
        </is>
      </c>
      <c r="R2356" s="8" t="n"/>
      <c r="S2356" s="14" t="n"/>
      <c r="T2356" s="7" t="inlineStr"/>
      <c r="U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8" t="n"/>
      <c r="M2357" s="8" t="n"/>
      <c r="N2357" s="8" t="n"/>
      <c r="O2357" s="8" t="n"/>
      <c r="P2357" s="8" t="n"/>
      <c r="Q2357" s="7" t="inlineStr">
        <is>
          <t>SEM COTAÇÃO</t>
        </is>
      </c>
      <c r="R2357" s="8" t="n"/>
      <c r="S2357" s="14" t="n"/>
      <c r="T2357" s="7" t="inlineStr"/>
      <c r="U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8" t="n"/>
      <c r="M2358" s="8" t="n"/>
      <c r="N2358" s="8" t="n"/>
      <c r="O2358" s="8" t="n"/>
      <c r="P2358" s="8" t="n"/>
      <c r="Q2358" s="7" t="inlineStr">
        <is>
          <t>SEM COTAÇÃO</t>
        </is>
      </c>
      <c r="R2358" s="8" t="n"/>
      <c r="S2358" s="14" t="n"/>
      <c r="T2358" s="7" t="inlineStr"/>
      <c r="U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8" t="n"/>
      <c r="M2359" s="8" t="n"/>
      <c r="N2359" s="8" t="n"/>
      <c r="O2359" s="8" t="n"/>
      <c r="P2359" s="8" t="n"/>
      <c r="Q2359" s="7" t="inlineStr">
        <is>
          <t>SEM COTAÇÃO</t>
        </is>
      </c>
      <c r="R2359" s="8" t="n"/>
      <c r="S2359" s="14" t="n"/>
      <c r="T2359" s="7" t="inlineStr"/>
      <c r="U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8" t="n"/>
      <c r="M2360" s="8" t="n"/>
      <c r="N2360" s="8" t="n"/>
      <c r="O2360" s="8" t="n"/>
      <c r="P2360" s="8" t="n"/>
      <c r="Q2360" s="7" t="inlineStr">
        <is>
          <t>SEM COTAÇÃO</t>
        </is>
      </c>
      <c r="R2360" s="8" t="n"/>
      <c r="S2360" s="14" t="n"/>
      <c r="T2360" s="7" t="inlineStr"/>
      <c r="U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8" t="n"/>
      <c r="M2361" s="8" t="n"/>
      <c r="N2361" s="8" t="n"/>
      <c r="O2361" s="8" t="n"/>
      <c r="P2361" s="8" t="n"/>
      <c r="Q2361" s="7" t="inlineStr">
        <is>
          <t>SEM COTAÇÃO</t>
        </is>
      </c>
      <c r="R2361" s="8" t="n"/>
      <c r="S2361" s="14" t="n"/>
      <c r="T2361" s="7" t="inlineStr"/>
      <c r="U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8" t="n"/>
      <c r="M2362" s="8" t="n"/>
      <c r="N2362" s="8" t="n"/>
      <c r="O2362" s="8" t="n"/>
      <c r="P2362" s="8" t="n"/>
      <c r="Q2362" s="7" t="inlineStr">
        <is>
          <t>SEM COTAÇÃO</t>
        </is>
      </c>
      <c r="R2362" s="8" t="n"/>
      <c r="S2362" s="14" t="n"/>
      <c r="T2362" s="7" t="inlineStr"/>
      <c r="U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8" t="n"/>
      <c r="M2363" s="8" t="n"/>
      <c r="N2363" s="8" t="n"/>
      <c r="O2363" s="8" t="n"/>
      <c r="P2363" s="8" t="n"/>
      <c r="Q2363" s="7" t="inlineStr">
        <is>
          <t>SEM COTAÇÃO</t>
        </is>
      </c>
      <c r="R2363" s="8" t="n"/>
      <c r="S2363" s="14" t="n"/>
      <c r="T2363" s="7" t="inlineStr"/>
      <c r="U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1.78</v>
      </c>
      <c r="K2364" s="8" t="n">
        <v>1.95</v>
      </c>
      <c r="L2364" s="8" t="n"/>
      <c r="M2364" s="8" t="n">
        <v>1.82</v>
      </c>
      <c r="N2364" s="8" t="n"/>
      <c r="O2364" s="15" t="n">
        <v>1.767</v>
      </c>
      <c r="P2364" s="8" t="n"/>
      <c r="Q2364" s="7" t="inlineStr">
        <is>
          <t>NAZARIA</t>
        </is>
      </c>
      <c r="R2364" s="8" t="n">
        <v>1.767</v>
      </c>
      <c r="S2364" s="14">
        <f>R2364/H2364-1</f>
        <v/>
      </c>
      <c r="T2364" s="17" t="inlineStr">
        <is>
          <t>OK (≤ menor hist.)</t>
        </is>
      </c>
      <c r="U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8" t="n"/>
      <c r="M2365" s="8" t="n"/>
      <c r="N2365" s="8" t="n"/>
      <c r="O2365" s="8" t="n"/>
      <c r="P2365" s="8" t="n"/>
      <c r="Q2365" s="7" t="inlineStr">
        <is>
          <t>SEM COTAÇÃO</t>
        </is>
      </c>
      <c r="R2365" s="8" t="n"/>
      <c r="S2365" s="14" t="n"/>
      <c r="T2365" s="7" t="inlineStr"/>
      <c r="U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8" t="n"/>
      <c r="M2366" s="8" t="n"/>
      <c r="N2366" s="8" t="n"/>
      <c r="O2366" s="8" t="n"/>
      <c r="P2366" s="8" t="n"/>
      <c r="Q2366" s="7" t="inlineStr">
        <is>
          <t>SEM COTAÇÃO</t>
        </is>
      </c>
      <c r="R2366" s="8" t="n"/>
      <c r="S2366" s="14" t="n"/>
      <c r="T2366" s="7" t="inlineStr"/>
      <c r="U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8" t="n"/>
      <c r="M2367" s="8" t="n"/>
      <c r="N2367" s="8" t="n"/>
      <c r="O2367" s="8" t="n"/>
      <c r="P2367" s="8" t="n"/>
      <c r="Q2367" s="7" t="inlineStr">
        <is>
          <t>SEM COTAÇÃO</t>
        </is>
      </c>
      <c r="R2367" s="8" t="n"/>
      <c r="S2367" s="14" t="n"/>
      <c r="T2367" s="7" t="inlineStr"/>
      <c r="U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8" t="n"/>
      <c r="M2368" s="8" t="n"/>
      <c r="N2368" s="8" t="n"/>
      <c r="O2368" s="8" t="n"/>
      <c r="P2368" s="8" t="n"/>
      <c r="Q2368" s="7" t="inlineStr">
        <is>
          <t>SEM COTAÇÃO</t>
        </is>
      </c>
      <c r="R2368" s="8" t="n"/>
      <c r="S2368" s="14" t="n"/>
      <c r="T2368" s="7" t="inlineStr"/>
      <c r="U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8" t="n"/>
      <c r="M2369" s="8" t="n"/>
      <c r="N2369" s="8" t="n"/>
      <c r="O2369" s="8" t="n"/>
      <c r="P2369" s="8" t="n"/>
      <c r="Q2369" s="7" t="inlineStr">
        <is>
          <t>SEM COTAÇÃO</t>
        </is>
      </c>
      <c r="R2369" s="8" t="n"/>
      <c r="S2369" s="14" t="n"/>
      <c r="T2369" s="7" t="inlineStr"/>
      <c r="U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8" t="n"/>
      <c r="M2370" s="8" t="n"/>
      <c r="N2370" s="8" t="n"/>
      <c r="O2370" s="8" t="n"/>
      <c r="P2370" s="8" t="n"/>
      <c r="Q2370" s="7" t="inlineStr">
        <is>
          <t>SEM COTAÇÃO</t>
        </is>
      </c>
      <c r="R2370" s="8" t="n"/>
      <c r="S2370" s="14" t="n"/>
      <c r="T2370" s="7" t="inlineStr"/>
      <c r="U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8" t="n"/>
      <c r="M2371" s="8" t="n"/>
      <c r="N2371" s="8" t="n"/>
      <c r="O2371" s="8" t="n"/>
      <c r="P2371" s="8" t="n"/>
      <c r="Q2371" s="7" t="inlineStr">
        <is>
          <t>SEM COTAÇÃO</t>
        </is>
      </c>
      <c r="R2371" s="8" t="n"/>
      <c r="S2371" s="14" t="n"/>
      <c r="T2371" s="7" t="inlineStr"/>
      <c r="U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8" t="n"/>
      <c r="M2372" s="8" t="n">
        <v>14.51</v>
      </c>
      <c r="N2372" s="8" t="n">
        <v>13.51</v>
      </c>
      <c r="O2372" s="8" t="n">
        <v>24.41</v>
      </c>
      <c r="P2372" s="15" t="n">
        <v>13.24</v>
      </c>
      <c r="Q2372" s="7" t="inlineStr">
        <is>
          <t>MEDCENTRO</t>
        </is>
      </c>
      <c r="R2372" s="8" t="n">
        <v>13.24</v>
      </c>
      <c r="S2372" s="14">
        <f>R2372/H2372-1</f>
        <v/>
      </c>
      <c r="T2372" s="16" t="inlineStr">
        <is>
          <t>ACIMA +1.6%</t>
        </is>
      </c>
      <c r="U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8" t="n"/>
      <c r="M2373" s="8" t="n"/>
      <c r="N2373" s="8" t="n"/>
      <c r="O2373" s="8" t="n"/>
      <c r="P2373" s="8" t="n"/>
      <c r="Q2373" s="7" t="inlineStr">
        <is>
          <t>SEM COTAÇÃO</t>
        </is>
      </c>
      <c r="R2373" s="8" t="n"/>
      <c r="S2373" s="14" t="n"/>
      <c r="T2373" s="7" t="inlineStr"/>
      <c r="U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8" t="n"/>
      <c r="M2374" s="15" t="n">
        <v>11.81</v>
      </c>
      <c r="N2374" s="8" t="n"/>
      <c r="O2374" s="8" t="n">
        <v>36.55</v>
      </c>
      <c r="P2374" s="8" t="n"/>
      <c r="Q2374" s="7" t="inlineStr">
        <is>
          <t>CENTROFARMA</t>
        </is>
      </c>
      <c r="R2374" s="8" t="n">
        <v>11.81</v>
      </c>
      <c r="S2374" s="14">
        <f>R2374/H2374-1</f>
        <v/>
      </c>
      <c r="T2374" s="17" t="inlineStr">
        <is>
          <t>OK (≤ menor hist.)</t>
        </is>
      </c>
      <c r="U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8" t="n"/>
      <c r="M2375" s="8" t="n"/>
      <c r="N2375" s="8" t="n"/>
      <c r="O2375" s="15" t="n">
        <v>55.44</v>
      </c>
      <c r="P2375" s="8" t="n"/>
      <c r="Q2375" s="7" t="inlineStr">
        <is>
          <t>NAZARIA</t>
        </is>
      </c>
      <c r="R2375" s="8" t="n">
        <v>55.44</v>
      </c>
      <c r="S2375" s="14">
        <f>R2375/H2375-1</f>
        <v/>
      </c>
      <c r="T2375" s="16" t="inlineStr">
        <is>
          <t>ACIMA +100.0%</t>
        </is>
      </c>
      <c r="U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8" t="n"/>
      <c r="M2376" s="8" t="n"/>
      <c r="N2376" s="8" t="n"/>
      <c r="O2376" s="8" t="n">
        <v>58.39</v>
      </c>
      <c r="P2376" s="15" t="n">
        <v>31.45</v>
      </c>
      <c r="Q2376" s="7" t="inlineStr">
        <is>
          <t>MEDCENTRO</t>
        </is>
      </c>
      <c r="R2376" s="8" t="n">
        <v>31.45</v>
      </c>
      <c r="S2376" s="14">
        <f>R2376/H2376-1</f>
        <v/>
      </c>
      <c r="T2376" s="16" t="inlineStr">
        <is>
          <t>ACIMA +227.6%</t>
        </is>
      </c>
      <c r="U2376" s="7" t="inlineStr">
        <is>
          <t>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8" t="n"/>
      <c r="M2377" s="15" t="n">
        <v>7.29</v>
      </c>
      <c r="N2377" s="8" t="n"/>
      <c r="O2377" s="8" t="n">
        <v>42.1</v>
      </c>
      <c r="P2377" s="8" t="n">
        <v>9.98</v>
      </c>
      <c r="Q2377" s="7" t="inlineStr">
        <is>
          <t>CENTROFARMA</t>
        </is>
      </c>
      <c r="R2377" s="8" t="n">
        <v>7.29</v>
      </c>
      <c r="S2377" s="14">
        <f>R2377/H2377-1</f>
        <v/>
      </c>
      <c r="T2377" s="16" t="inlineStr">
        <is>
          <t>ACIMA +5.3%</t>
        </is>
      </c>
      <c r="U2377" s="7" t="inlineStr">
        <is>
          <t>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8" t="n"/>
      <c r="M2378" s="8" t="n"/>
      <c r="N2378" s="8" t="n"/>
      <c r="O2378" s="15" t="n">
        <v>46.942124</v>
      </c>
      <c r="P2378" s="8" t="n"/>
      <c r="Q2378" s="7" t="inlineStr">
        <is>
          <t>NAZARIA</t>
        </is>
      </c>
      <c r="R2378" s="8" t="n">
        <v>46.942124</v>
      </c>
      <c r="S2378" s="14">
        <f>R2378/H2378-1</f>
        <v/>
      </c>
      <c r="T2378" s="16" t="inlineStr">
        <is>
          <t>ACIMA +90.2%</t>
        </is>
      </c>
      <c r="U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8" t="n"/>
      <c r="M2379" s="8" t="n"/>
      <c r="N2379" s="8" t="n"/>
      <c r="O2379" s="8" t="n"/>
      <c r="P2379" s="8" t="n"/>
      <c r="Q2379" s="7" t="inlineStr">
        <is>
          <t>SEM COTAÇÃO</t>
        </is>
      </c>
      <c r="R2379" s="8" t="n"/>
      <c r="S2379" s="14" t="n"/>
      <c r="T2379" s="7" t="inlineStr"/>
      <c r="U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8" t="n"/>
      <c r="M2380" s="8" t="n"/>
      <c r="N2380" s="8" t="n"/>
      <c r="O2380" s="15" t="n">
        <v>21.32</v>
      </c>
      <c r="P2380" s="8" t="n"/>
      <c r="Q2380" s="7" t="inlineStr">
        <is>
          <t>NAZARIA</t>
        </is>
      </c>
      <c r="R2380" s="8" t="n">
        <v>21.32</v>
      </c>
      <c r="S2380" s="14">
        <f>R2380/H2380-1</f>
        <v/>
      </c>
      <c r="T2380" s="17" t="inlineStr">
        <is>
          <t>OK (≤ menor hist.)</t>
        </is>
      </c>
      <c r="U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8" t="n"/>
      <c r="M2381" s="8" t="n"/>
      <c r="N2381" s="8" t="n"/>
      <c r="O2381" s="8" t="n"/>
      <c r="P2381" s="8" t="n"/>
      <c r="Q2381" s="7" t="inlineStr">
        <is>
          <t>SEM COTAÇÃO</t>
        </is>
      </c>
      <c r="R2381" s="8" t="n"/>
      <c r="S2381" s="14" t="n"/>
      <c r="T2381" s="7" t="inlineStr"/>
      <c r="U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8" t="n"/>
      <c r="M2382" s="8" t="n"/>
      <c r="N2382" s="8" t="n"/>
      <c r="O2382" s="8" t="n"/>
      <c r="P2382" s="8" t="n"/>
      <c r="Q2382" s="7" t="inlineStr">
        <is>
          <t>SEM COTAÇÃO</t>
        </is>
      </c>
      <c r="R2382" s="8" t="n"/>
      <c r="S2382" s="14" t="n"/>
      <c r="T2382" s="7" t="inlineStr"/>
      <c r="U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8" t="n"/>
      <c r="M2383" s="8" t="n"/>
      <c r="N2383" s="8" t="n"/>
      <c r="O2383" s="8" t="n"/>
      <c r="P2383" s="8" t="n"/>
      <c r="Q2383" s="7" t="inlineStr">
        <is>
          <t>SEM COTAÇÃO</t>
        </is>
      </c>
      <c r="R2383" s="8" t="n"/>
      <c r="S2383" s="14" t="n"/>
      <c r="T2383" s="7" t="inlineStr"/>
      <c r="U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8" t="n"/>
      <c r="M2384" s="8" t="n"/>
      <c r="N2384" s="8" t="n"/>
      <c r="O2384" s="8" t="n"/>
      <c r="P2384" s="8" t="n"/>
      <c r="Q2384" s="7" t="inlineStr">
        <is>
          <t>SEM COTAÇÃO</t>
        </is>
      </c>
      <c r="R2384" s="8" t="n"/>
      <c r="S2384" s="14" t="n"/>
      <c r="T2384" s="7" t="inlineStr"/>
      <c r="U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7" t="inlineStr">
        <is>
          <t>SEM COTAÇÃO</t>
        </is>
      </c>
      <c r="R2385" s="8" t="n"/>
      <c r="S2385" s="14" t="n"/>
      <c r="T2385" s="7" t="inlineStr"/>
      <c r="U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8" t="n"/>
      <c r="M2386" s="8" t="n"/>
      <c r="N2386" s="8" t="n"/>
      <c r="O2386" s="8" t="n"/>
      <c r="P2386" s="8" t="n"/>
      <c r="Q2386" s="7" t="inlineStr">
        <is>
          <t>SEM COTAÇÃO</t>
        </is>
      </c>
      <c r="R2386" s="8" t="n"/>
      <c r="S2386" s="14" t="n"/>
      <c r="T2386" s="7" t="inlineStr"/>
      <c r="U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8" t="n"/>
      <c r="M2387" s="8" t="n"/>
      <c r="N2387" s="8" t="n"/>
      <c r="O2387" s="8" t="n"/>
      <c r="P2387" s="8" t="n"/>
      <c r="Q2387" s="7" t="inlineStr">
        <is>
          <t>SEM COTAÇÃO</t>
        </is>
      </c>
      <c r="R2387" s="8" t="n"/>
      <c r="S2387" s="14" t="n"/>
      <c r="T2387" s="7" t="inlineStr"/>
      <c r="U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8" t="n"/>
      <c r="M2388" s="8" t="n"/>
      <c r="N2388" s="8" t="n"/>
      <c r="O2388" s="8" t="n"/>
      <c r="P2388" s="8" t="n"/>
      <c r="Q2388" s="7" t="inlineStr">
        <is>
          <t>SEM COTAÇÃO</t>
        </is>
      </c>
      <c r="R2388" s="8" t="n"/>
      <c r="S2388" s="14" t="n"/>
      <c r="T2388" s="7" t="inlineStr"/>
      <c r="U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8" t="n"/>
      <c r="M2389" s="8" t="n"/>
      <c r="N2389" s="8" t="n"/>
      <c r="O2389" s="8" t="n"/>
      <c r="P2389" s="8" t="n"/>
      <c r="Q2389" s="7" t="inlineStr">
        <is>
          <t>SEM COTAÇÃO</t>
        </is>
      </c>
      <c r="R2389" s="8" t="n"/>
      <c r="S2389" s="14" t="n"/>
      <c r="T2389" s="7" t="inlineStr"/>
      <c r="U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8" t="n"/>
      <c r="M2390" s="8" t="n"/>
      <c r="N2390" s="8" t="n"/>
      <c r="O2390" s="8" t="n"/>
      <c r="P2390" s="8" t="n"/>
      <c r="Q2390" s="7" t="inlineStr">
        <is>
          <t>SEM COTAÇÃO</t>
        </is>
      </c>
      <c r="R2390" s="8" t="n"/>
      <c r="S2390" s="14" t="n"/>
      <c r="T2390" s="7" t="inlineStr"/>
      <c r="U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7" t="inlineStr">
        <is>
          <t>SEM COTAÇÃO</t>
        </is>
      </c>
      <c r="R2391" s="8" t="n"/>
      <c r="S2391" s="14" t="n"/>
      <c r="T2391" s="7" t="inlineStr"/>
      <c r="U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7" t="inlineStr">
        <is>
          <t>SEM COTAÇÃO</t>
        </is>
      </c>
      <c r="R2392" s="8" t="n"/>
      <c r="S2392" s="14" t="n"/>
      <c r="T2392" s="7" t="inlineStr"/>
      <c r="U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7" t="inlineStr">
        <is>
          <t>SEM COTAÇÃO</t>
        </is>
      </c>
      <c r="R2393" s="8" t="n"/>
      <c r="S2393" s="14" t="n"/>
      <c r="T2393" s="7" t="inlineStr"/>
      <c r="U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7" t="inlineStr">
        <is>
          <t>SEM COTAÇÃO</t>
        </is>
      </c>
      <c r="R2394" s="8" t="n"/>
      <c r="S2394" s="14" t="n"/>
      <c r="T2394" s="7" t="inlineStr"/>
      <c r="U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7" t="inlineStr">
        <is>
          <t>SEM COTAÇÃO</t>
        </is>
      </c>
      <c r="R2395" s="8" t="n"/>
      <c r="S2395" s="14" t="n"/>
      <c r="T2395" s="7" t="inlineStr"/>
      <c r="U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7" t="inlineStr">
        <is>
          <t>SEM COTAÇÃO</t>
        </is>
      </c>
      <c r="R2396" s="8" t="n"/>
      <c r="S2396" s="14" t="n"/>
      <c r="T2396" s="7" t="inlineStr"/>
      <c r="U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7" t="inlineStr">
        <is>
          <t>SEM COTAÇÃO</t>
        </is>
      </c>
      <c r="R2397" s="8" t="n"/>
      <c r="S2397" s="14" t="n"/>
      <c r="T2397" s="7" t="inlineStr"/>
      <c r="U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8" t="n"/>
      <c r="M2398" s="8" t="n"/>
      <c r="N2398" s="8" t="n"/>
      <c r="O2398" s="15" t="n">
        <v>75.2041</v>
      </c>
      <c r="P2398" s="8" t="n"/>
      <c r="Q2398" s="7" t="inlineStr">
        <is>
          <t>NAZARIA</t>
        </is>
      </c>
      <c r="R2398" s="8" t="n">
        <v>75.2041</v>
      </c>
      <c r="S2398" s="14">
        <f>R2398/H2398-1</f>
        <v/>
      </c>
      <c r="T2398" s="16" t="inlineStr">
        <is>
          <t>ACIMA +7.7%</t>
        </is>
      </c>
      <c r="U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8" t="n"/>
      <c r="M2399" s="15" t="n">
        <v>9.050000000000001</v>
      </c>
      <c r="N2399" s="8" t="n"/>
      <c r="O2399" s="8" t="n"/>
      <c r="P2399" s="8" t="n">
        <v>9.720000000000001</v>
      </c>
      <c r="Q2399" s="7" t="inlineStr">
        <is>
          <t>CENTROFARMA</t>
        </is>
      </c>
      <c r="R2399" s="8" t="n">
        <v>9.050000000000001</v>
      </c>
      <c r="S2399" s="14">
        <f>R2399/H2399-1</f>
        <v/>
      </c>
      <c r="T2399" s="16" t="inlineStr">
        <is>
          <t>ACIMA +285.5%</t>
        </is>
      </c>
      <c r="U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15" t="n">
        <v>8.359999999999999</v>
      </c>
      <c r="K2400" s="8" t="n"/>
      <c r="L2400" s="8" t="n"/>
      <c r="M2400" s="8" t="n"/>
      <c r="N2400" s="8" t="n"/>
      <c r="O2400" s="8" t="n"/>
      <c r="P2400" s="8" t="n">
        <v>9.27</v>
      </c>
      <c r="Q2400" s="7" t="inlineStr">
        <is>
          <t>DIMEC</t>
        </is>
      </c>
      <c r="R2400" s="8" t="n">
        <v>8.359999999999999</v>
      </c>
      <c r="S2400" s="14">
        <f>R2400/H2400-1</f>
        <v/>
      </c>
      <c r="T2400" s="16" t="inlineStr">
        <is>
          <t>ACIMA +0.7%</t>
        </is>
      </c>
      <c r="U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8" t="n"/>
      <c r="M2401" s="8" t="n"/>
      <c r="N2401" s="8" t="n"/>
      <c r="O2401" s="8" t="n"/>
      <c r="P2401" s="8" t="n"/>
      <c r="Q2401" s="7" t="inlineStr">
        <is>
          <t>SEM COTAÇÃO</t>
        </is>
      </c>
      <c r="R2401" s="8" t="n"/>
      <c r="S2401" s="14" t="n"/>
      <c r="T2401" s="7" t="inlineStr"/>
      <c r="U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8" t="n"/>
      <c r="M2402" s="8" t="n"/>
      <c r="N2402" s="8" t="n"/>
      <c r="O2402" s="8" t="n"/>
      <c r="P2402" s="8" t="n">
        <v>9.27</v>
      </c>
      <c r="Q2402" s="7" t="inlineStr">
        <is>
          <t>DIMEC</t>
        </is>
      </c>
      <c r="R2402" s="8" t="n">
        <v>8.359999999999999</v>
      </c>
      <c r="S2402" s="14">
        <f>R2402/H2402-1</f>
        <v/>
      </c>
      <c r="T2402" s="16" t="inlineStr">
        <is>
          <t>ACIMA +0.7%</t>
        </is>
      </c>
      <c r="U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8" t="n"/>
      <c r="M2403" s="8" t="n"/>
      <c r="N2403" s="8" t="n"/>
      <c r="O2403" s="8" t="n"/>
      <c r="P2403" s="8" t="n"/>
      <c r="Q2403" s="7" t="inlineStr">
        <is>
          <t>SEM COTAÇÃO</t>
        </is>
      </c>
      <c r="R2403" s="8" t="n"/>
      <c r="S2403" s="14" t="n"/>
      <c r="T2403" s="7" t="inlineStr"/>
      <c r="U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8" t="n"/>
      <c r="M2404" s="8" t="n"/>
      <c r="N2404" s="8" t="n"/>
      <c r="O2404" s="8" t="n"/>
      <c r="P2404" s="8" t="n">
        <v>9.720000000000001</v>
      </c>
      <c r="Q2404" s="7" t="inlineStr">
        <is>
          <t>DIMEC</t>
        </is>
      </c>
      <c r="R2404" s="8" t="n">
        <v>8.94</v>
      </c>
      <c r="S2404" s="14">
        <f>R2404/H2404-1</f>
        <v/>
      </c>
      <c r="T2404" s="17" t="inlineStr">
        <is>
          <t>OK (≤ últ. compra)</t>
        </is>
      </c>
      <c r="U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8" t="n"/>
      <c r="M2405" s="8" t="n"/>
      <c r="N2405" s="8" t="n"/>
      <c r="O2405" s="8" t="n"/>
      <c r="P2405" s="8" t="n">
        <v>9.720000000000001</v>
      </c>
      <c r="Q2405" s="7" t="inlineStr">
        <is>
          <t>DIMEC</t>
        </is>
      </c>
      <c r="R2405" s="8" t="n">
        <v>8.94</v>
      </c>
      <c r="S2405" s="14">
        <f>R2405/H2405-1</f>
        <v/>
      </c>
      <c r="T2405" s="16" t="inlineStr">
        <is>
          <t>ACIMA +4.0%</t>
        </is>
      </c>
      <c r="U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8" t="n"/>
      <c r="M2406" s="8" t="n"/>
      <c r="N2406" s="8" t="n"/>
      <c r="O2406" s="8" t="n"/>
      <c r="P2406" s="8" t="n"/>
      <c r="Q2406" s="7" t="inlineStr">
        <is>
          <t>SEM COTAÇÃO</t>
        </is>
      </c>
      <c r="R2406" s="8" t="n"/>
      <c r="S2406" s="14" t="n"/>
      <c r="T2406" s="7" t="inlineStr"/>
      <c r="U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8" t="n"/>
      <c r="M2407" s="8" t="n">
        <v>9.050000000000001</v>
      </c>
      <c r="N2407" s="8" t="n"/>
      <c r="O2407" s="8" t="n"/>
      <c r="P2407" s="8" t="n">
        <v>10.02</v>
      </c>
      <c r="Q2407" s="7" t="inlineStr">
        <is>
          <t>DIMEC</t>
        </is>
      </c>
      <c r="R2407" s="8" t="n">
        <v>8.94</v>
      </c>
      <c r="S2407" s="14">
        <f>R2407/H2407-1</f>
        <v/>
      </c>
      <c r="T2407" s="16" t="inlineStr">
        <is>
          <t>ACIMA +0.6%</t>
        </is>
      </c>
      <c r="U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7" t="inlineStr">
        <is>
          <t>SEM COTAÇÃO</t>
        </is>
      </c>
      <c r="R2408" s="8" t="n"/>
      <c r="S2408" s="14" t="n"/>
      <c r="T2408" s="7" t="inlineStr"/>
      <c r="U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8" t="n"/>
      <c r="M2409" s="8" t="n"/>
      <c r="N2409" s="8" t="n"/>
      <c r="O2409" s="8" t="n"/>
      <c r="P2409" s="8" t="n"/>
      <c r="Q2409" s="7" t="inlineStr">
        <is>
          <t>SEM COTAÇÃO</t>
        </is>
      </c>
      <c r="R2409" s="8" t="n"/>
      <c r="S2409" s="14" t="n"/>
      <c r="T2409" s="7" t="inlineStr"/>
      <c r="U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8" t="n"/>
      <c r="M2410" s="8" t="n"/>
      <c r="N2410" s="8" t="n"/>
      <c r="O2410" s="8" t="n"/>
      <c r="P2410" s="8" t="n"/>
      <c r="Q2410" s="7" t="inlineStr">
        <is>
          <t>SEM COTAÇÃO</t>
        </is>
      </c>
      <c r="R2410" s="8" t="n"/>
      <c r="S2410" s="14" t="n"/>
      <c r="T2410" s="7" t="inlineStr"/>
      <c r="U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8" t="n"/>
      <c r="M2411" s="8" t="n"/>
      <c r="N2411" s="8" t="n"/>
      <c r="O2411" s="8" t="n"/>
      <c r="P2411" s="8" t="n"/>
      <c r="Q2411" s="7" t="inlineStr">
        <is>
          <t>SEM COTAÇÃO</t>
        </is>
      </c>
      <c r="R2411" s="8" t="n"/>
      <c r="S2411" s="14" t="n"/>
      <c r="T2411" s="7" t="inlineStr"/>
      <c r="U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8" t="n"/>
      <c r="M2412" s="8" t="n"/>
      <c r="N2412" s="8" t="n"/>
      <c r="O2412" s="8" t="n"/>
      <c r="P2412" s="8" t="n"/>
      <c r="Q2412" s="7" t="inlineStr">
        <is>
          <t>DIMEC</t>
        </is>
      </c>
      <c r="R2412" s="8" t="n">
        <v>11.41</v>
      </c>
      <c r="S2412" s="14">
        <f>R2412/H2412-1</f>
        <v/>
      </c>
      <c r="T2412" s="16" t="inlineStr">
        <is>
          <t>ACIMA +361.0%</t>
        </is>
      </c>
      <c r="U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8" t="n"/>
      <c r="M2413" s="8" t="n"/>
      <c r="N2413" s="8" t="n"/>
      <c r="O2413" s="8" t="n"/>
      <c r="P2413" s="8" t="n"/>
      <c r="Q2413" s="7" t="inlineStr">
        <is>
          <t>SEM COTAÇÃO</t>
        </is>
      </c>
      <c r="R2413" s="8" t="n"/>
      <c r="S2413" s="14" t="n"/>
      <c r="T2413" s="7" t="inlineStr"/>
      <c r="U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8" t="n"/>
      <c r="M2414" s="8" t="n"/>
      <c r="N2414" s="8" t="n"/>
      <c r="O2414" s="8" t="n"/>
      <c r="P2414" s="8" t="n"/>
      <c r="Q2414" s="7" t="inlineStr">
        <is>
          <t>SEM COTAÇÃO</t>
        </is>
      </c>
      <c r="R2414" s="8" t="n"/>
      <c r="S2414" s="14" t="n"/>
      <c r="T2414" s="7" t="inlineStr"/>
      <c r="U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8" t="n"/>
      <c r="M2415" s="8" t="n"/>
      <c r="N2415" s="8" t="n"/>
      <c r="O2415" s="8" t="n"/>
      <c r="P2415" s="8" t="n"/>
      <c r="Q2415" s="7" t="inlineStr">
        <is>
          <t>SEM COTAÇÃO</t>
        </is>
      </c>
      <c r="R2415" s="8" t="n"/>
      <c r="S2415" s="14" t="n"/>
      <c r="T2415" s="7" t="inlineStr"/>
      <c r="U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8" t="n"/>
      <c r="M2416" s="8" t="n"/>
      <c r="N2416" s="8" t="n"/>
      <c r="O2416" s="8" t="n"/>
      <c r="P2416" s="8" t="n"/>
      <c r="Q2416" s="7" t="inlineStr">
        <is>
          <t>SEM COTAÇÃO</t>
        </is>
      </c>
      <c r="R2416" s="8" t="n"/>
      <c r="S2416" s="14" t="n"/>
      <c r="T2416" s="7" t="inlineStr"/>
      <c r="U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8" t="n"/>
      <c r="M2417" s="8" t="n"/>
      <c r="N2417" s="8" t="n"/>
      <c r="O2417" s="8" t="n"/>
      <c r="P2417" s="8" t="n"/>
      <c r="Q2417" s="7" t="inlineStr">
        <is>
          <t>SEM COTAÇÃO</t>
        </is>
      </c>
      <c r="R2417" s="8" t="n"/>
      <c r="S2417" s="14" t="n"/>
      <c r="T2417" s="7" t="inlineStr"/>
      <c r="U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8" t="n"/>
      <c r="M2418" s="8" t="n"/>
      <c r="N2418" s="8" t="n"/>
      <c r="O2418" s="15" t="n">
        <v>2.434242</v>
      </c>
      <c r="P2418" s="8" t="n"/>
      <c r="Q2418" s="7" t="inlineStr">
        <is>
          <t>NAZARIA</t>
        </is>
      </c>
      <c r="R2418" s="8" t="n">
        <v>2.434242</v>
      </c>
      <c r="S2418" s="14">
        <f>R2418/H2418-1</f>
        <v/>
      </c>
      <c r="T2418" s="16" t="inlineStr">
        <is>
          <t>ACIMA +2.3%</t>
        </is>
      </c>
      <c r="U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8" t="n"/>
      <c r="M2419" s="8" t="n"/>
      <c r="N2419" s="8" t="n"/>
      <c r="O2419" s="15" t="n">
        <v>5.09</v>
      </c>
      <c r="P2419" s="8" t="n"/>
      <c r="Q2419" s="7" t="inlineStr">
        <is>
          <t>NAZARIA</t>
        </is>
      </c>
      <c r="R2419" s="8" t="n">
        <v>5.09</v>
      </c>
      <c r="S2419" s="14">
        <f>R2419/H2419-1</f>
        <v/>
      </c>
      <c r="T2419" s="16" t="inlineStr">
        <is>
          <t>ACIMA +307.2%</t>
        </is>
      </c>
      <c r="U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8" t="n"/>
      <c r="M2420" s="8" t="n"/>
      <c r="N2420" s="8" t="n"/>
      <c r="O2420" s="8" t="n"/>
      <c r="P2420" s="8" t="n"/>
      <c r="Q2420" s="7" t="inlineStr">
        <is>
          <t>SEM COTAÇÃO</t>
        </is>
      </c>
      <c r="R2420" s="8" t="n"/>
      <c r="S2420" s="14" t="n"/>
      <c r="T2420" s="7" t="inlineStr"/>
      <c r="U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8" t="n"/>
      <c r="M2421" s="8" t="n"/>
      <c r="N2421" s="8" t="n"/>
      <c r="O2421" s="8" t="n"/>
      <c r="P2421" s="8" t="n"/>
      <c r="Q2421" s="7" t="inlineStr">
        <is>
          <t>SEM COTAÇÃO</t>
        </is>
      </c>
      <c r="R2421" s="8" t="n"/>
      <c r="S2421" s="14" t="n"/>
      <c r="T2421" s="7" t="inlineStr"/>
      <c r="U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15" t="n">
        <v>6.08</v>
      </c>
      <c r="K2422" s="8" t="n"/>
      <c r="L2422" s="8" t="n"/>
      <c r="M2422" s="8" t="n">
        <v>6.17</v>
      </c>
      <c r="N2422" s="8" t="n"/>
      <c r="O2422" s="8" t="n"/>
      <c r="P2422" s="8" t="n">
        <v>6.36</v>
      </c>
      <c r="Q2422" s="7" t="inlineStr">
        <is>
          <t>DIMEC</t>
        </is>
      </c>
      <c r="R2422" s="8" t="n">
        <v>6.08</v>
      </c>
      <c r="S2422" s="14">
        <f>R2422/H2422-1</f>
        <v/>
      </c>
      <c r="T2422" s="16" t="inlineStr">
        <is>
          <t>ACIMA +15.2%</t>
        </is>
      </c>
      <c r="U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8" t="n"/>
      <c r="M2423" s="8" t="n">
        <v>7.86</v>
      </c>
      <c r="N2423" s="8" t="n"/>
      <c r="O2423" s="8" t="n"/>
      <c r="P2423" s="8" t="n">
        <v>8.109999999999999</v>
      </c>
      <c r="Q2423" s="7" t="inlineStr">
        <is>
          <t>DIMEC</t>
        </is>
      </c>
      <c r="R2423" s="8" t="n">
        <v>7.25</v>
      </c>
      <c r="S2423" s="14">
        <f>R2423/H2423-1</f>
        <v/>
      </c>
      <c r="T2423" s="17" t="inlineStr">
        <is>
          <t>OK (≤ menor hist.)</t>
        </is>
      </c>
      <c r="U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15" t="n">
        <v>36.09</v>
      </c>
      <c r="M2424" s="8" t="n"/>
      <c r="N2424" s="8" t="n"/>
      <c r="O2424" s="8" t="n">
        <v>39.55</v>
      </c>
      <c r="P2424" s="8" t="n"/>
      <c r="Q2424" s="7" t="inlineStr">
        <is>
          <t>EPAN</t>
        </is>
      </c>
      <c r="R2424" s="8" t="n">
        <v>36.09</v>
      </c>
      <c r="S2424" s="14">
        <f>R2424/H2424-1</f>
        <v/>
      </c>
      <c r="T2424" s="17" t="inlineStr">
        <is>
          <t>OK (≤ últ. compra)</t>
        </is>
      </c>
      <c r="U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8" t="n"/>
      <c r="M2425" s="8" t="n"/>
      <c r="N2425" s="8" t="n"/>
      <c r="O2425" s="8" t="n"/>
      <c r="P2425" s="8" t="n"/>
      <c r="Q2425" s="7" t="inlineStr">
        <is>
          <t>SEM COTAÇÃO</t>
        </is>
      </c>
      <c r="R2425" s="8" t="n"/>
      <c r="S2425" s="14" t="n"/>
      <c r="T2425" s="7" t="inlineStr"/>
      <c r="U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15" t="n">
        <v>19.49</v>
      </c>
      <c r="M2426" s="8" t="n"/>
      <c r="N2426" s="8" t="n"/>
      <c r="O2426" s="8" t="n">
        <v>22.73</v>
      </c>
      <c r="P2426" s="8" t="n"/>
      <c r="Q2426" s="7" t="inlineStr">
        <is>
          <t>EPAN</t>
        </is>
      </c>
      <c r="R2426" s="8" t="n">
        <v>19.49</v>
      </c>
      <c r="S2426" s="14">
        <f>R2426/H2426-1</f>
        <v/>
      </c>
      <c r="T2426" s="17" t="inlineStr">
        <is>
          <t>OK (≤ últ. compra)</t>
        </is>
      </c>
      <c r="U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8" t="n"/>
      <c r="M2427" s="8" t="n"/>
      <c r="N2427" s="8" t="n"/>
      <c r="O2427" s="8" t="n"/>
      <c r="P2427" s="8" t="n"/>
      <c r="Q2427" s="7" t="inlineStr">
        <is>
          <t>SEM COTAÇÃO</t>
        </is>
      </c>
      <c r="R2427" s="8" t="n"/>
      <c r="S2427" s="14" t="n"/>
      <c r="T2427" s="7" t="inlineStr"/>
      <c r="U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8" t="n">
        <v>32.92</v>
      </c>
      <c r="M2428" s="8" t="n"/>
      <c r="N2428" s="8" t="n"/>
      <c r="O2428" s="15" t="n">
        <v>32.016</v>
      </c>
      <c r="P2428" s="8" t="n"/>
      <c r="Q2428" s="7" t="inlineStr">
        <is>
          <t>NAZARIA</t>
        </is>
      </c>
      <c r="R2428" s="8" t="n">
        <v>32.016</v>
      </c>
      <c r="S2428" s="14">
        <f>R2428/H2428-1</f>
        <v/>
      </c>
      <c r="T2428" s="17" t="inlineStr">
        <is>
          <t>OK (≤ últ. compra)</t>
        </is>
      </c>
      <c r="U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8" t="n">
        <v>36.05</v>
      </c>
      <c r="M2429" s="8" t="n"/>
      <c r="N2429" s="8" t="n"/>
      <c r="O2429" s="15" t="n">
        <v>35.0592</v>
      </c>
      <c r="P2429" s="8" t="n"/>
      <c r="Q2429" s="7" t="inlineStr">
        <is>
          <t>NAZARIA</t>
        </is>
      </c>
      <c r="R2429" s="8" t="n">
        <v>35.0592</v>
      </c>
      <c r="S2429" s="14">
        <f>R2429/H2429-1</f>
        <v/>
      </c>
      <c r="T2429" s="17" t="inlineStr">
        <is>
          <t>OK (≤ últ. compra)</t>
        </is>
      </c>
      <c r="U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8" t="n"/>
      <c r="M2430" s="8" t="n"/>
      <c r="N2430" s="15" t="n">
        <v>47.38</v>
      </c>
      <c r="O2430" s="8" t="n">
        <v>49.3822</v>
      </c>
      <c r="P2430" s="8" t="n"/>
      <c r="Q2430" s="7" t="inlineStr">
        <is>
          <t>TAPAJOS</t>
        </is>
      </c>
      <c r="R2430" s="8" t="n">
        <v>47.38</v>
      </c>
      <c r="S2430" s="14">
        <f>R2430/H2430-1</f>
        <v/>
      </c>
      <c r="T2430" s="17" t="inlineStr">
        <is>
          <t>OK (≤ últ. compra)</t>
        </is>
      </c>
      <c r="U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8" t="n"/>
      <c r="M2431" s="8" t="n"/>
      <c r="N2431" s="8" t="n"/>
      <c r="O2431" s="8" t="n"/>
      <c r="P2431" s="8" t="n"/>
      <c r="Q2431" s="7" t="inlineStr">
        <is>
          <t>SEM COTAÇÃO</t>
        </is>
      </c>
      <c r="R2431" s="8" t="n"/>
      <c r="S2431" s="14" t="n"/>
      <c r="T2431" s="7" t="inlineStr"/>
      <c r="U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8" t="n"/>
      <c r="M2432" s="15" t="n">
        <v>41.64</v>
      </c>
      <c r="N2432" s="8" t="n"/>
      <c r="O2432" s="8" t="n">
        <v>38.09</v>
      </c>
      <c r="P2432" s="8" t="n"/>
      <c r="Q2432" s="7" t="inlineStr">
        <is>
          <t>CENTROFARMA</t>
        </is>
      </c>
      <c r="R2432" s="8" t="n">
        <v>41.64</v>
      </c>
      <c r="S2432" s="14">
        <f>R2432/H2432-1</f>
        <v/>
      </c>
      <c r="T2432" s="17" t="inlineStr">
        <is>
          <t>OK (≤ menor hist.)</t>
        </is>
      </c>
      <c r="U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8" t="n"/>
      <c r="M2433" s="15" t="n">
        <v>41.64</v>
      </c>
      <c r="N2433" s="8" t="n"/>
      <c r="O2433" s="8" t="n"/>
      <c r="P2433" s="8" t="n"/>
      <c r="Q2433" s="7" t="inlineStr">
        <is>
          <t>CENTROFARMA</t>
        </is>
      </c>
      <c r="R2433" s="8" t="n">
        <v>41.64</v>
      </c>
      <c r="S2433" s="14">
        <f>R2433/H2433-1</f>
        <v/>
      </c>
      <c r="T2433" s="17" t="inlineStr">
        <is>
          <t>OK (≤ menor hist.)</t>
        </is>
      </c>
      <c r="U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8" t="n"/>
      <c r="M2434" s="8" t="n">
        <v>41.64</v>
      </c>
      <c r="N2434" s="8" t="n"/>
      <c r="O2434" s="15" t="n">
        <v>38.09</v>
      </c>
      <c r="P2434" s="8" t="n"/>
      <c r="Q2434" s="7" t="inlineStr">
        <is>
          <t>NAZARIA</t>
        </is>
      </c>
      <c r="R2434" s="8" t="n">
        <v>38.09</v>
      </c>
      <c r="S2434" s="14">
        <f>R2434/H2434-1</f>
        <v/>
      </c>
      <c r="T2434" s="17" t="inlineStr">
        <is>
          <t>OK (≤ menor hist.)</t>
        </is>
      </c>
      <c r="U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8" t="n"/>
      <c r="M2435" s="8" t="n"/>
      <c r="N2435" s="8" t="n"/>
      <c r="O2435" s="8" t="n">
        <v>15.73</v>
      </c>
      <c r="P2435" s="8" t="n"/>
      <c r="Q2435" s="7" t="inlineStr">
        <is>
          <t>SEM COTAÇÃO</t>
        </is>
      </c>
      <c r="R2435" s="8" t="n"/>
      <c r="S2435" s="14" t="n"/>
      <c r="T2435" s="7" t="inlineStr"/>
      <c r="U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8" t="n"/>
      <c r="M2436" s="8" t="n"/>
      <c r="N2436" s="8" t="n"/>
      <c r="O2436" s="8" t="n"/>
      <c r="P2436" s="8" t="n"/>
      <c r="Q2436" s="7" t="inlineStr">
        <is>
          <t>SEM COTAÇÃO</t>
        </is>
      </c>
      <c r="R2436" s="8" t="n"/>
      <c r="S2436" s="14" t="n"/>
      <c r="T2436" s="7" t="inlineStr"/>
      <c r="U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8" t="n"/>
      <c r="M2437" s="8" t="n"/>
      <c r="N2437" s="8" t="n"/>
      <c r="O2437" s="8" t="n"/>
      <c r="P2437" s="8" t="n"/>
      <c r="Q2437" s="7" t="inlineStr">
        <is>
          <t>SEM COTAÇÃO</t>
        </is>
      </c>
      <c r="R2437" s="8" t="n"/>
      <c r="S2437" s="14" t="n"/>
      <c r="T2437" s="7" t="inlineStr"/>
      <c r="U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8" t="n"/>
      <c r="M2438" s="8" t="n"/>
      <c r="N2438" s="8" t="n"/>
      <c r="O2438" s="8" t="n"/>
      <c r="P2438" s="8" t="n"/>
      <c r="Q2438" s="7" t="inlineStr">
        <is>
          <t>SEM COTAÇÃO</t>
        </is>
      </c>
      <c r="R2438" s="8" t="n"/>
      <c r="S2438" s="14" t="n"/>
      <c r="T2438" s="7" t="inlineStr"/>
      <c r="U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8" t="n"/>
      <c r="M2439" s="8" t="n"/>
      <c r="N2439" s="8" t="n"/>
      <c r="O2439" s="8" t="n"/>
      <c r="P2439" s="8" t="n"/>
      <c r="Q2439" s="7" t="inlineStr">
        <is>
          <t>SEM COTAÇÃO</t>
        </is>
      </c>
      <c r="R2439" s="8" t="n"/>
      <c r="S2439" s="14" t="n"/>
      <c r="T2439" s="7" t="inlineStr"/>
      <c r="U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8" t="n"/>
      <c r="M2440" s="8" t="n"/>
      <c r="N2440" s="8" t="n"/>
      <c r="O2440" s="8" t="n"/>
      <c r="P2440" s="8" t="n"/>
      <c r="Q2440" s="7" t="inlineStr">
        <is>
          <t>SEM COTAÇÃO</t>
        </is>
      </c>
      <c r="R2440" s="8" t="n"/>
      <c r="S2440" s="14" t="n"/>
      <c r="T2440" s="7" t="inlineStr"/>
      <c r="U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8" t="n"/>
      <c r="M2441" s="8" t="n"/>
      <c r="N2441" s="8" t="n"/>
      <c r="O2441" s="8" t="n"/>
      <c r="P2441" s="8" t="n"/>
      <c r="Q2441" s="7" t="inlineStr">
        <is>
          <t>DIMEC</t>
        </is>
      </c>
      <c r="R2441" s="8" t="n">
        <v>126.14</v>
      </c>
      <c r="S2441" s="14">
        <f>R2441/H2441-1</f>
        <v/>
      </c>
      <c r="T2441" s="16" t="inlineStr">
        <is>
          <t>ACIMA +8876.7%</t>
        </is>
      </c>
      <c r="U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8" t="n"/>
      <c r="M2442" s="8" t="n"/>
      <c r="N2442" s="8" t="n"/>
      <c r="O2442" s="8" t="n">
        <v>22.94</v>
      </c>
      <c r="P2442" s="8" t="n"/>
      <c r="Q2442" s="7" t="inlineStr">
        <is>
          <t>SEM COTAÇÃO</t>
        </is>
      </c>
      <c r="R2442" s="8" t="n"/>
      <c r="S2442" s="14" t="n"/>
      <c r="T2442" s="7" t="inlineStr"/>
      <c r="U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8" t="n"/>
      <c r="M2443" s="8" t="n"/>
      <c r="N2443" s="8" t="n"/>
      <c r="O2443" s="8" t="n">
        <v>26.5088</v>
      </c>
      <c r="P2443" s="8" t="n"/>
      <c r="Q2443" s="7" t="inlineStr">
        <is>
          <t>PLUSFARMA</t>
        </is>
      </c>
      <c r="R2443" s="8" t="n">
        <v>24.46</v>
      </c>
      <c r="S2443" s="14">
        <f>R2443/H2443-1</f>
        <v/>
      </c>
      <c r="T2443" s="16" t="inlineStr">
        <is>
          <t>ACIMA +25.4%</t>
        </is>
      </c>
      <c r="U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8" t="n"/>
      <c r="M2444" s="8" t="n">
        <v>33.56</v>
      </c>
      <c r="N2444" s="8" t="n">
        <v>32.8</v>
      </c>
      <c r="O2444" s="8" t="n">
        <v>113.96</v>
      </c>
      <c r="P2444" s="15" t="n">
        <v>31.3</v>
      </c>
      <c r="Q2444" s="7" t="inlineStr">
        <is>
          <t>MEDCENTRO</t>
        </is>
      </c>
      <c r="R2444" s="8" t="n">
        <v>31.3</v>
      </c>
      <c r="S2444" s="14">
        <f>R2444/H2444-1</f>
        <v/>
      </c>
      <c r="T2444" s="16" t="inlineStr">
        <is>
          <t>ACIMA +938.3%</t>
        </is>
      </c>
      <c r="U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8" t="n"/>
      <c r="M2445" s="8" t="n"/>
      <c r="N2445" s="8" t="n"/>
      <c r="O2445" s="8" t="n">
        <v>113.4</v>
      </c>
      <c r="P2445" s="15" t="n">
        <v>38.73</v>
      </c>
      <c r="Q2445" s="7" t="inlineStr">
        <is>
          <t>MEDCENTRO</t>
        </is>
      </c>
      <c r="R2445" s="8" t="n">
        <v>38.73</v>
      </c>
      <c r="S2445" s="14">
        <f>R2445/H2445-1</f>
        <v/>
      </c>
      <c r="T2445" s="16" t="inlineStr">
        <is>
          <t>ACIMA +979.4%</t>
        </is>
      </c>
      <c r="U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8" t="n">
        <v>3.25</v>
      </c>
      <c r="L2446" s="8" t="n"/>
      <c r="M2446" s="8" t="n">
        <v>3.19</v>
      </c>
      <c r="N2446" s="15" t="n">
        <v>3.11</v>
      </c>
      <c r="O2446" s="8" t="n"/>
      <c r="P2446" s="8" t="n"/>
      <c r="Q2446" s="7" t="inlineStr">
        <is>
          <t>TAPAJOS</t>
        </is>
      </c>
      <c r="R2446" s="8" t="n">
        <v>3.11</v>
      </c>
      <c r="S2446" s="14">
        <f>R2446/H2446-1</f>
        <v/>
      </c>
      <c r="T2446" s="16" t="inlineStr">
        <is>
          <t>ACIMA +17.8%</t>
        </is>
      </c>
      <c r="U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8" t="n"/>
      <c r="M2447" s="8" t="n"/>
      <c r="N2447" s="8" t="n"/>
      <c r="O2447" s="8" t="n">
        <v>12.96</v>
      </c>
      <c r="P2447" s="8" t="n"/>
      <c r="Q2447" s="7" t="inlineStr">
        <is>
          <t>SEM COTAÇÃO</t>
        </is>
      </c>
      <c r="R2447" s="8" t="n"/>
      <c r="S2447" s="14" t="n"/>
      <c r="T2447" s="7" t="inlineStr"/>
      <c r="U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8" t="n"/>
      <c r="M2448" s="15" t="n">
        <v>15.04</v>
      </c>
      <c r="N2448" s="8" t="n"/>
      <c r="O2448" s="8" t="n">
        <v>15.542912</v>
      </c>
      <c r="P2448" s="8" t="n">
        <v>15.82</v>
      </c>
      <c r="Q2448" s="7" t="inlineStr">
        <is>
          <t>CENTROFARMA</t>
        </is>
      </c>
      <c r="R2448" s="8" t="n">
        <v>15.04</v>
      </c>
      <c r="S2448" s="14">
        <f>R2448/H2448-1</f>
        <v/>
      </c>
      <c r="T2448" s="16" t="inlineStr">
        <is>
          <t>ACIMA +15.2%</t>
        </is>
      </c>
      <c r="U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8" t="n"/>
      <c r="M2449" s="8" t="n"/>
      <c r="N2449" s="8" t="n"/>
      <c r="O2449" s="8" t="n"/>
      <c r="P2449" s="8" t="n"/>
      <c r="Q2449" s="7" t="inlineStr">
        <is>
          <t>DIMEC</t>
        </is>
      </c>
      <c r="R2449" s="8" t="n">
        <v>8.1</v>
      </c>
      <c r="S2449" s="14">
        <f>R2449/H2449-1</f>
        <v/>
      </c>
      <c r="T2449" s="17" t="inlineStr">
        <is>
          <t>OK (≤ menor hist.)</t>
        </is>
      </c>
      <c r="U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8" t="n"/>
      <c r="M2450" s="8" t="n"/>
      <c r="N2450" s="8" t="n"/>
      <c r="O2450" s="8" t="n">
        <v>61.789</v>
      </c>
      <c r="P2450" s="8" t="n"/>
      <c r="Q2450" s="7" t="inlineStr">
        <is>
          <t>SEM COTAÇÃO</t>
        </is>
      </c>
      <c r="R2450" s="8" t="n"/>
      <c r="S2450" s="14" t="n"/>
      <c r="T2450" s="7" t="inlineStr"/>
      <c r="U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8" t="n"/>
      <c r="M2451" s="8" t="n"/>
      <c r="N2451" s="8" t="n"/>
      <c r="O2451" s="15" t="n">
        <v>91.3061</v>
      </c>
      <c r="P2451" s="8" t="n"/>
      <c r="Q2451" s="7" t="inlineStr">
        <is>
          <t>NAZARIA</t>
        </is>
      </c>
      <c r="R2451" s="8" t="n">
        <v>91.3061</v>
      </c>
      <c r="S2451" s="14">
        <f>R2451/H2451-1</f>
        <v/>
      </c>
      <c r="T2451" s="16" t="inlineStr">
        <is>
          <t>ACIMA +35.5%</t>
        </is>
      </c>
      <c r="U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8" t="n"/>
      <c r="M2452" s="8" t="n"/>
      <c r="N2452" s="8" t="n"/>
      <c r="O2452" s="8" t="n"/>
      <c r="P2452" s="8" t="n"/>
      <c r="Q2452" s="7" t="inlineStr">
        <is>
          <t>SEM COTAÇÃO</t>
        </is>
      </c>
      <c r="R2452" s="8" t="n"/>
      <c r="S2452" s="14" t="n"/>
      <c r="T2452" s="7" t="inlineStr"/>
      <c r="U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8" t="n"/>
      <c r="M2453" s="8" t="n"/>
      <c r="N2453" s="8" t="n"/>
      <c r="O2453" s="8" t="n"/>
      <c r="P2453" s="8" t="n"/>
      <c r="Q2453" s="7" t="inlineStr">
        <is>
          <t>SEM COTAÇÃO</t>
        </is>
      </c>
      <c r="R2453" s="8" t="n"/>
      <c r="S2453" s="14" t="n"/>
      <c r="T2453" s="7" t="inlineStr"/>
      <c r="U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15" t="n">
        <v>117.53</v>
      </c>
      <c r="M2454" s="8" t="n">
        <v>160.39</v>
      </c>
      <c r="N2454" s="8" t="n"/>
      <c r="O2454" s="8" t="n"/>
      <c r="P2454" s="8" t="n"/>
      <c r="Q2454" s="7" t="inlineStr">
        <is>
          <t>EPAN</t>
        </is>
      </c>
      <c r="R2454" s="8" t="n">
        <v>117.53</v>
      </c>
      <c r="S2454" s="14">
        <f>R2454/H2454-1</f>
        <v/>
      </c>
      <c r="T2454" s="17" t="inlineStr">
        <is>
          <t>OK (≤ menor hist.)</t>
        </is>
      </c>
      <c r="U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8" t="n"/>
      <c r="M2455" s="8" t="n"/>
      <c r="N2455" s="8" t="n"/>
      <c r="O2455" s="8" t="n"/>
      <c r="P2455" s="8" t="n"/>
      <c r="Q2455" s="7" t="inlineStr">
        <is>
          <t>SEM COTAÇÃO</t>
        </is>
      </c>
      <c r="R2455" s="8" t="n"/>
      <c r="S2455" s="14" t="n"/>
      <c r="T2455" s="7" t="inlineStr"/>
      <c r="U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8" t="n"/>
      <c r="M2456" s="8" t="n"/>
      <c r="N2456" s="8" t="n"/>
      <c r="O2456" s="8" t="n"/>
      <c r="P2456" s="8" t="n"/>
      <c r="Q2456" s="7" t="inlineStr">
        <is>
          <t>SEM COTAÇÃO</t>
        </is>
      </c>
      <c r="R2456" s="8" t="n"/>
      <c r="S2456" s="14" t="n"/>
      <c r="T2456" s="7" t="inlineStr"/>
      <c r="U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8" t="n"/>
      <c r="M2457" s="8" t="n"/>
      <c r="N2457" s="8" t="n"/>
      <c r="O2457" s="8" t="n"/>
      <c r="P2457" s="8" t="n"/>
      <c r="Q2457" s="7" t="inlineStr">
        <is>
          <t>SEM COTAÇÃO</t>
        </is>
      </c>
      <c r="R2457" s="8" t="n"/>
      <c r="S2457" s="14" t="n"/>
      <c r="T2457" s="7" t="inlineStr"/>
      <c r="U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8" t="n"/>
      <c r="M2458" s="8" t="n">
        <v>2.13</v>
      </c>
      <c r="N2458" s="8" t="n">
        <v>2.09</v>
      </c>
      <c r="O2458" s="8" t="n"/>
      <c r="P2458" s="8" t="n"/>
      <c r="Q2458" s="7" t="inlineStr">
        <is>
          <t>DIMEC</t>
        </is>
      </c>
      <c r="R2458" s="8" t="n">
        <v>2.08</v>
      </c>
      <c r="S2458" s="14">
        <f>R2458/H2458-1</f>
        <v/>
      </c>
      <c r="T2458" s="16" t="inlineStr">
        <is>
          <t>ACIMA +3.0%</t>
        </is>
      </c>
      <c r="U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8" t="n"/>
      <c r="M2459" s="8" t="n"/>
      <c r="N2459" s="8" t="n"/>
      <c r="O2459" s="8" t="n"/>
      <c r="P2459" s="8" t="n">
        <v>16.58</v>
      </c>
      <c r="Q2459" s="7" t="inlineStr">
        <is>
          <t>PLUSFARMA</t>
        </is>
      </c>
      <c r="R2459" s="8" t="n">
        <v>15.11</v>
      </c>
      <c r="S2459" s="14">
        <f>R2459/H2459-1</f>
        <v/>
      </c>
      <c r="T2459" s="16" t="inlineStr">
        <is>
          <t>ACIMA +3.8%</t>
        </is>
      </c>
      <c r="U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7.85</v>
      </c>
      <c r="K2460" s="8" t="n"/>
      <c r="L2460" s="8" t="n"/>
      <c r="M2460" s="8" t="n"/>
      <c r="N2460" s="8" t="n"/>
      <c r="O2460" s="8" t="n"/>
      <c r="P2460" s="15" t="n">
        <v>7.79</v>
      </c>
      <c r="Q2460" s="7" t="inlineStr">
        <is>
          <t>MEDCENTRO</t>
        </is>
      </c>
      <c r="R2460" s="8" t="n">
        <v>7.79</v>
      </c>
      <c r="S2460" s="14">
        <f>R2460/H2460-1</f>
        <v/>
      </c>
      <c r="T2460" s="16" t="inlineStr">
        <is>
          <t>ACIMA +6.4%</t>
        </is>
      </c>
      <c r="U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8" t="n"/>
      <c r="M2461" s="8" t="n"/>
      <c r="N2461" s="8" t="n"/>
      <c r="O2461" s="8" t="n"/>
      <c r="P2461" s="8" t="n"/>
      <c r="Q2461" s="7" t="inlineStr">
        <is>
          <t>SEM COTAÇÃO</t>
        </is>
      </c>
      <c r="R2461" s="8" t="n"/>
      <c r="S2461" s="14" t="n"/>
      <c r="T2461" s="7" t="inlineStr"/>
      <c r="U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8" t="n"/>
      <c r="M2462" s="8" t="n"/>
      <c r="N2462" s="8" t="n"/>
      <c r="O2462" s="8" t="n"/>
      <c r="P2462" s="8" t="n"/>
      <c r="Q2462" s="7" t="inlineStr">
        <is>
          <t>SEM COTAÇÃO</t>
        </is>
      </c>
      <c r="R2462" s="8" t="n"/>
      <c r="S2462" s="14" t="n"/>
      <c r="T2462" s="7" t="inlineStr"/>
      <c r="U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8" t="n"/>
      <c r="M2463" s="8" t="n"/>
      <c r="N2463" s="8" t="n"/>
      <c r="O2463" s="8" t="n"/>
      <c r="P2463" s="8" t="n"/>
      <c r="Q2463" s="7" t="inlineStr">
        <is>
          <t>SEM COTAÇÃO</t>
        </is>
      </c>
      <c r="R2463" s="8" t="n"/>
      <c r="S2463" s="14" t="n"/>
      <c r="T2463" s="7" t="inlineStr"/>
      <c r="U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8" t="n"/>
      <c r="M2464" s="8" t="n"/>
      <c r="N2464" s="8" t="n"/>
      <c r="O2464" s="8" t="n"/>
      <c r="P2464" s="8" t="n"/>
      <c r="Q2464" s="7" t="inlineStr">
        <is>
          <t>SEM COTAÇÃO</t>
        </is>
      </c>
      <c r="R2464" s="8" t="n"/>
      <c r="S2464" s="14" t="n"/>
      <c r="T2464" s="7" t="inlineStr"/>
      <c r="U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8" t="n"/>
      <c r="M2465" s="8" t="n"/>
      <c r="N2465" s="8" t="n"/>
      <c r="O2465" s="8" t="n"/>
      <c r="P2465" s="8" t="n"/>
      <c r="Q2465" s="7" t="inlineStr">
        <is>
          <t>SEM COTAÇÃO</t>
        </is>
      </c>
      <c r="R2465" s="8" t="n"/>
      <c r="S2465" s="14" t="n"/>
      <c r="T2465" s="7" t="inlineStr"/>
      <c r="U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8" t="n"/>
      <c r="M2466" s="8" t="n"/>
      <c r="N2466" s="8" t="n"/>
      <c r="O2466" s="8" t="n"/>
      <c r="P2466" s="8" t="n"/>
      <c r="Q2466" s="7" t="inlineStr">
        <is>
          <t>SEM COTAÇÃO</t>
        </is>
      </c>
      <c r="R2466" s="8" t="n"/>
      <c r="S2466" s="14" t="n"/>
      <c r="T2466" s="7" t="inlineStr"/>
      <c r="U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8" t="n"/>
      <c r="M2467" s="8" t="n"/>
      <c r="N2467" s="8" t="n"/>
      <c r="O2467" s="8" t="n"/>
      <c r="P2467" s="8" t="n"/>
      <c r="Q2467" s="7" t="inlineStr">
        <is>
          <t>SEM COTAÇÃO</t>
        </is>
      </c>
      <c r="R2467" s="8" t="n"/>
      <c r="S2467" s="14" t="n"/>
      <c r="T2467" s="7" t="inlineStr"/>
      <c r="U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8" t="n"/>
      <c r="M2468" s="8" t="n"/>
      <c r="N2468" s="8" t="n"/>
      <c r="O2468" s="8" t="n"/>
      <c r="P2468" s="8" t="n"/>
      <c r="Q2468" s="7" t="inlineStr">
        <is>
          <t>SEM COTAÇÃO</t>
        </is>
      </c>
      <c r="R2468" s="8" t="n"/>
      <c r="S2468" s="14" t="n"/>
      <c r="T2468" s="7" t="inlineStr"/>
      <c r="U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8" t="n"/>
      <c r="M2469" s="8" t="n"/>
      <c r="N2469" s="8" t="n"/>
      <c r="O2469" s="8" t="n"/>
      <c r="P2469" s="8" t="n"/>
      <c r="Q2469" s="7" t="inlineStr">
        <is>
          <t>SEM COTAÇÃO</t>
        </is>
      </c>
      <c r="R2469" s="8" t="n"/>
      <c r="S2469" s="14" t="n"/>
      <c r="T2469" s="7" t="inlineStr"/>
      <c r="U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8" t="n"/>
      <c r="M2470" s="8" t="n"/>
      <c r="N2470" s="8" t="n"/>
      <c r="O2470" s="8" t="n"/>
      <c r="P2470" s="8" t="n"/>
      <c r="Q2470" s="7" t="inlineStr">
        <is>
          <t>SEM COTAÇÃO</t>
        </is>
      </c>
      <c r="R2470" s="8" t="n"/>
      <c r="S2470" s="14" t="n"/>
      <c r="T2470" s="7" t="inlineStr"/>
      <c r="U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8" t="n"/>
      <c r="M2471" s="8" t="n"/>
      <c r="N2471" s="8" t="n"/>
      <c r="O2471" s="8" t="n"/>
      <c r="P2471" s="8" t="n"/>
      <c r="Q2471" s="7" t="inlineStr">
        <is>
          <t>SEM COTAÇÃO</t>
        </is>
      </c>
      <c r="R2471" s="8" t="n"/>
      <c r="S2471" s="14" t="n"/>
      <c r="T2471" s="7" t="inlineStr"/>
      <c r="U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8" t="n"/>
      <c r="M2472" s="8" t="n"/>
      <c r="N2472" s="8" t="n"/>
      <c r="O2472" s="8" t="n"/>
      <c r="P2472" s="8" t="n"/>
      <c r="Q2472" s="7" t="inlineStr">
        <is>
          <t>SEM COTAÇÃO</t>
        </is>
      </c>
      <c r="R2472" s="8" t="n"/>
      <c r="S2472" s="14" t="n"/>
      <c r="T2472" s="7" t="inlineStr"/>
      <c r="U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7" t="inlineStr">
        <is>
          <t>SEM COTAÇÃO</t>
        </is>
      </c>
      <c r="R2473" s="8" t="n"/>
      <c r="S2473" s="14" t="n"/>
      <c r="T2473" s="7" t="inlineStr"/>
      <c r="U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8" t="n"/>
      <c r="M2474" s="8" t="n"/>
      <c r="N2474" s="8" t="n"/>
      <c r="O2474" s="8" t="n"/>
      <c r="P2474" s="8" t="n"/>
      <c r="Q2474" s="7" t="inlineStr">
        <is>
          <t>SEM COTAÇÃO</t>
        </is>
      </c>
      <c r="R2474" s="8" t="n"/>
      <c r="S2474" s="14" t="n"/>
      <c r="T2474" s="7" t="inlineStr"/>
      <c r="U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8" t="n"/>
      <c r="M2475" s="8" t="n"/>
      <c r="N2475" s="8" t="n"/>
      <c r="O2475" s="8" t="n"/>
      <c r="P2475" s="8" t="n"/>
      <c r="Q2475" s="7" t="inlineStr">
        <is>
          <t>SEM COTAÇÃO</t>
        </is>
      </c>
      <c r="R2475" s="8" t="n"/>
      <c r="S2475" s="14" t="n"/>
      <c r="T2475" s="7" t="inlineStr"/>
      <c r="U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8" t="n"/>
      <c r="M2476" s="8" t="n"/>
      <c r="N2476" s="8" t="n"/>
      <c r="O2476" s="8" t="n"/>
      <c r="P2476" s="8" t="n"/>
      <c r="Q2476" s="7" t="inlineStr">
        <is>
          <t>SEM COTAÇÃO</t>
        </is>
      </c>
      <c r="R2476" s="8" t="n"/>
      <c r="S2476" s="14" t="n"/>
      <c r="T2476" s="7" t="inlineStr"/>
      <c r="U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8" t="n"/>
      <c r="M2477" s="8" t="n"/>
      <c r="N2477" s="8" t="n"/>
      <c r="O2477" s="8" t="n"/>
      <c r="P2477" s="8" t="n"/>
      <c r="Q2477" s="7" t="inlineStr">
        <is>
          <t>SEM COTAÇÃO</t>
        </is>
      </c>
      <c r="R2477" s="8" t="n"/>
      <c r="S2477" s="14" t="n"/>
      <c r="T2477" s="7" t="inlineStr"/>
      <c r="U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8" t="n"/>
      <c r="M2478" s="8" t="n"/>
      <c r="N2478" s="8" t="n"/>
      <c r="O2478" s="8" t="n"/>
      <c r="P2478" s="8" t="n"/>
      <c r="Q2478" s="7" t="inlineStr">
        <is>
          <t>SEM COTAÇÃO</t>
        </is>
      </c>
      <c r="R2478" s="8" t="n"/>
      <c r="S2478" s="14" t="n"/>
      <c r="T2478" s="7" t="inlineStr"/>
      <c r="U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8" t="n"/>
      <c r="M2479" s="8" t="n"/>
      <c r="N2479" s="8" t="n"/>
      <c r="O2479" s="8" t="n"/>
      <c r="P2479" s="8" t="n"/>
      <c r="Q2479" s="7" t="inlineStr">
        <is>
          <t>SEM COTAÇÃO</t>
        </is>
      </c>
      <c r="R2479" s="8" t="n"/>
      <c r="S2479" s="14" t="n"/>
      <c r="T2479" s="7" t="inlineStr"/>
      <c r="U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8" t="n"/>
      <c r="M2480" s="8" t="n"/>
      <c r="N2480" s="8" t="n"/>
      <c r="O2480" s="8" t="n"/>
      <c r="P2480" s="8" t="n"/>
      <c r="Q2480" s="7" t="inlineStr">
        <is>
          <t>SEM COTAÇÃO</t>
        </is>
      </c>
      <c r="R2480" s="8" t="n"/>
      <c r="S2480" s="14" t="n"/>
      <c r="T2480" s="7" t="inlineStr"/>
      <c r="U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8" t="n"/>
      <c r="M2481" s="8" t="n"/>
      <c r="N2481" s="8" t="n"/>
      <c r="O2481" s="8" t="n"/>
      <c r="P2481" s="8" t="n"/>
      <c r="Q2481" s="7" t="inlineStr">
        <is>
          <t>SEM COTAÇÃO</t>
        </is>
      </c>
      <c r="R2481" s="8" t="n"/>
      <c r="S2481" s="14" t="n"/>
      <c r="T2481" s="7" t="inlineStr"/>
      <c r="U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8" t="n"/>
      <c r="M2482" s="8" t="n"/>
      <c r="N2482" s="8" t="n"/>
      <c r="O2482" s="8" t="n"/>
      <c r="P2482" s="8" t="n">
        <v>37.85</v>
      </c>
      <c r="Q2482" s="7" t="inlineStr">
        <is>
          <t>PLUSFARMA</t>
        </is>
      </c>
      <c r="R2482" s="8" t="n">
        <v>36.39</v>
      </c>
      <c r="S2482" s="14">
        <f>R2482/H2482-1</f>
        <v/>
      </c>
      <c r="T2482" s="16" t="inlineStr">
        <is>
          <t>ACIMA +17.0%</t>
        </is>
      </c>
      <c r="U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8" t="n"/>
      <c r="M2483" s="8" t="n"/>
      <c r="N2483" s="8" t="n"/>
      <c r="O2483" s="8" t="n"/>
      <c r="P2483" s="15" t="n">
        <v>19.91</v>
      </c>
      <c r="Q2483" s="7" t="inlineStr">
        <is>
          <t>MEDCENTRO</t>
        </is>
      </c>
      <c r="R2483" s="8" t="n">
        <v>19.91</v>
      </c>
      <c r="S2483" s="14">
        <f>R2483/H2483-1</f>
        <v/>
      </c>
      <c r="T2483" s="16" t="inlineStr">
        <is>
          <t>ACIMA +13.8%</t>
        </is>
      </c>
      <c r="U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8" t="n">
        <v>58.84</v>
      </c>
      <c r="M2484" s="8" t="n"/>
      <c r="N2484" s="8" t="n"/>
      <c r="O2484" s="15" t="n">
        <v>57.7764</v>
      </c>
      <c r="P2484" s="8" t="n"/>
      <c r="Q2484" s="7" t="inlineStr">
        <is>
          <t>NAZARIA</t>
        </is>
      </c>
      <c r="R2484" s="8" t="n">
        <v>57.7764</v>
      </c>
      <c r="S2484" s="14">
        <f>R2484/H2484-1</f>
        <v/>
      </c>
      <c r="T2484" s="17" t="inlineStr">
        <is>
          <t>OK (≤ últ. compra)</t>
        </is>
      </c>
      <c r="U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8" t="n"/>
      <c r="M2485" s="8" t="n"/>
      <c r="N2485" s="8" t="n"/>
      <c r="O2485" s="8" t="n"/>
      <c r="P2485" s="8" t="n"/>
      <c r="Q2485" s="7" t="inlineStr">
        <is>
          <t>SEM COTAÇÃO</t>
        </is>
      </c>
      <c r="R2485" s="8" t="n"/>
      <c r="S2485" s="14" t="n"/>
      <c r="T2485" s="7" t="inlineStr"/>
      <c r="U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8" t="n"/>
      <c r="M2486" s="8" t="n"/>
      <c r="N2486" s="8" t="n"/>
      <c r="O2486" s="15" t="n">
        <v>124.0767</v>
      </c>
      <c r="P2486" s="8" t="n"/>
      <c r="Q2486" s="7" t="inlineStr">
        <is>
          <t>NAZARIA</t>
        </is>
      </c>
      <c r="R2486" s="8" t="n">
        <v>124.0767</v>
      </c>
      <c r="S2486" s="14">
        <f>R2486/H2486-1</f>
        <v/>
      </c>
      <c r="T2486" s="16" t="inlineStr">
        <is>
          <t>ACIMA +194.6%</t>
        </is>
      </c>
      <c r="U2486" s="7" t="inlineStr">
        <is>
          <t>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8" t="n"/>
      <c r="M2487" s="8" t="n"/>
      <c r="N2487" s="8" t="n"/>
      <c r="O2487" s="8" t="n">
        <v>12.89</v>
      </c>
      <c r="P2487" s="8" t="n"/>
      <c r="Q2487" s="7" t="inlineStr">
        <is>
          <t>SEM COTAÇÃO</t>
        </is>
      </c>
      <c r="R2487" s="8" t="n"/>
      <c r="S2487" s="14" t="n"/>
      <c r="T2487" s="7" t="inlineStr"/>
      <c r="U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8" t="n"/>
      <c r="M2488" s="8" t="n"/>
      <c r="N2488" s="8" t="n"/>
      <c r="O2488" s="8" t="n"/>
      <c r="P2488" s="8" t="n"/>
      <c r="Q2488" s="7" t="inlineStr">
        <is>
          <t>SEM COTAÇÃO</t>
        </is>
      </c>
      <c r="R2488" s="8" t="n"/>
      <c r="S2488" s="14" t="n"/>
      <c r="T2488" s="7" t="inlineStr"/>
      <c r="U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8" t="n"/>
      <c r="M2489" s="8" t="n"/>
      <c r="N2489" s="8" t="n"/>
      <c r="O2489" s="15" t="n">
        <v>16.21</v>
      </c>
      <c r="P2489" s="8" t="n"/>
      <c r="Q2489" s="7" t="inlineStr">
        <is>
          <t>NAZARIA</t>
        </is>
      </c>
      <c r="R2489" s="8" t="n">
        <v>16.21</v>
      </c>
      <c r="S2489" s="14">
        <f>R2489/H2489-1</f>
        <v/>
      </c>
      <c r="T2489" s="16" t="inlineStr">
        <is>
          <t>ACIMA +17.2%</t>
        </is>
      </c>
      <c r="U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8" t="n"/>
      <c r="M2490" s="8" t="n"/>
      <c r="N2490" s="8" t="n"/>
      <c r="O2490" s="8" t="n"/>
      <c r="P2490" s="8" t="n"/>
      <c r="Q2490" s="7" t="inlineStr">
        <is>
          <t>SEM COTAÇÃO</t>
        </is>
      </c>
      <c r="R2490" s="8" t="n"/>
      <c r="S2490" s="14" t="n"/>
      <c r="T2490" s="7" t="inlineStr"/>
      <c r="U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8" t="n"/>
      <c r="M2491" s="8" t="n"/>
      <c r="N2491" s="8" t="n"/>
      <c r="O2491" s="15" t="n">
        <v>15.1998</v>
      </c>
      <c r="P2491" s="8" t="n"/>
      <c r="Q2491" s="7" t="inlineStr">
        <is>
          <t>NAZARIA</t>
        </is>
      </c>
      <c r="R2491" s="8" t="n">
        <v>15.1998</v>
      </c>
      <c r="S2491" s="14">
        <f>R2491/H2491-1</f>
        <v/>
      </c>
      <c r="T2491" s="16" t="inlineStr">
        <is>
          <t>ACIMA +10.6%</t>
        </is>
      </c>
      <c r="U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8" t="n"/>
      <c r="M2492" s="8" t="n"/>
      <c r="N2492" s="8" t="n"/>
      <c r="O2492" s="8" t="n"/>
      <c r="P2492" s="8" t="n"/>
      <c r="Q2492" s="7" t="inlineStr">
        <is>
          <t>SEM COTAÇÃO</t>
        </is>
      </c>
      <c r="R2492" s="8" t="n"/>
      <c r="S2492" s="14" t="n"/>
      <c r="T2492" s="7" t="inlineStr"/>
      <c r="U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8" t="n"/>
      <c r="M2493" s="8" t="n"/>
      <c r="N2493" s="8" t="n"/>
      <c r="O2493" s="8" t="n"/>
      <c r="P2493" s="8" t="n"/>
      <c r="Q2493" s="7" t="inlineStr">
        <is>
          <t>SEM COTAÇÃO</t>
        </is>
      </c>
      <c r="R2493" s="8" t="n"/>
      <c r="S2493" s="14" t="n"/>
      <c r="T2493" s="7" t="inlineStr"/>
      <c r="U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8" t="n"/>
      <c r="M2494" s="8" t="n"/>
      <c r="N2494" s="8" t="n"/>
      <c r="O2494" s="8" t="n"/>
      <c r="P2494" s="8" t="n"/>
      <c r="Q2494" s="7" t="inlineStr">
        <is>
          <t>SEM COTAÇÃO</t>
        </is>
      </c>
      <c r="R2494" s="8" t="n"/>
      <c r="S2494" s="14" t="n"/>
      <c r="T2494" s="7" t="inlineStr"/>
      <c r="U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8" t="n"/>
      <c r="M2495" s="8" t="n"/>
      <c r="N2495" s="8" t="n"/>
      <c r="O2495" s="15" t="n">
        <v>30.61</v>
      </c>
      <c r="P2495" s="8" t="n"/>
      <c r="Q2495" s="7" t="inlineStr">
        <is>
          <t>NAZARIA</t>
        </is>
      </c>
      <c r="R2495" s="8" t="n">
        <v>30.61</v>
      </c>
      <c r="S2495" s="14">
        <f>R2495/H2495-1</f>
        <v/>
      </c>
      <c r="T2495" s="16" t="inlineStr">
        <is>
          <t>ACIMA +10.0%</t>
        </is>
      </c>
      <c r="U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8" t="n"/>
      <c r="M2496" s="8" t="n"/>
      <c r="N2496" s="8" t="n"/>
      <c r="O2496" s="15" t="n">
        <v>30.45</v>
      </c>
      <c r="P2496" s="8" t="n"/>
      <c r="Q2496" s="7" t="inlineStr">
        <is>
          <t>NAZARIA</t>
        </is>
      </c>
      <c r="R2496" s="8" t="n">
        <v>30.45</v>
      </c>
      <c r="S2496" s="14">
        <f>R2496/H2496-1</f>
        <v/>
      </c>
      <c r="T2496" s="16" t="inlineStr">
        <is>
          <t>ACIMA +14.0%</t>
        </is>
      </c>
      <c r="U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8" t="n"/>
      <c r="M2497" s="8" t="n"/>
      <c r="N2497" s="8" t="n"/>
      <c r="O2497" s="15" t="n">
        <v>17.48</v>
      </c>
      <c r="P2497" s="8" t="n"/>
      <c r="Q2497" s="7" t="inlineStr">
        <is>
          <t>NAZARIA</t>
        </is>
      </c>
      <c r="R2497" s="8" t="n">
        <v>17.48</v>
      </c>
      <c r="S2497" s="14">
        <f>R2497/H2497-1</f>
        <v/>
      </c>
      <c r="T2497" s="16" t="inlineStr">
        <is>
          <t>ACIMA +31.4%</t>
        </is>
      </c>
      <c r="U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8" t="n"/>
      <c r="M2498" s="8" t="n"/>
      <c r="N2498" s="8" t="n"/>
      <c r="O2498" s="8" t="n">
        <v>8.09</v>
      </c>
      <c r="P2498" s="8" t="n"/>
      <c r="Q2498" s="7" t="inlineStr">
        <is>
          <t>DIMEC</t>
        </is>
      </c>
      <c r="R2498" s="8" t="n">
        <v>5.67</v>
      </c>
      <c r="S2498" s="14">
        <f>R2498/H2498-1</f>
        <v/>
      </c>
      <c r="T2498" s="17" t="inlineStr">
        <is>
          <t>OK (≤ últ. compra)</t>
        </is>
      </c>
      <c r="U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8" t="n"/>
      <c r="M2499" s="8" t="n"/>
      <c r="N2499" s="8" t="n"/>
      <c r="O2499" s="8" t="n"/>
      <c r="P2499" s="8" t="n"/>
      <c r="Q2499" s="7" t="inlineStr">
        <is>
          <t>SEM COTAÇÃO</t>
        </is>
      </c>
      <c r="R2499" s="8" t="n"/>
      <c r="S2499" s="14" t="n"/>
      <c r="T2499" s="7" t="inlineStr"/>
      <c r="U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8" t="n"/>
      <c r="M2500" s="8" t="n"/>
      <c r="N2500" s="8" t="n"/>
      <c r="O2500" s="15" t="n">
        <v>17.48</v>
      </c>
      <c r="P2500" s="8" t="n"/>
      <c r="Q2500" s="7" t="inlineStr">
        <is>
          <t>NAZARIA</t>
        </is>
      </c>
      <c r="R2500" s="8" t="n">
        <v>17.48</v>
      </c>
      <c r="S2500" s="14">
        <f>R2500/H2500-1</f>
        <v/>
      </c>
      <c r="T2500" s="16" t="inlineStr">
        <is>
          <t>ACIMA +24.3%</t>
        </is>
      </c>
      <c r="U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7" t="inlineStr">
        <is>
          <t>SEM COTAÇÃO</t>
        </is>
      </c>
      <c r="R2501" s="8" t="n"/>
      <c r="S2501" s="14" t="n"/>
      <c r="T2501" s="7" t="inlineStr"/>
      <c r="U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7" t="inlineStr">
        <is>
          <t>SEM COTAÇÃO</t>
        </is>
      </c>
      <c r="R2502" s="8" t="n"/>
      <c r="S2502" s="14" t="n"/>
      <c r="T2502" s="7" t="inlineStr"/>
      <c r="U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7" t="inlineStr">
        <is>
          <t>SEM COTAÇÃO</t>
        </is>
      </c>
      <c r="R2503" s="8" t="n"/>
      <c r="S2503" s="14" t="n"/>
      <c r="T2503" s="7" t="inlineStr"/>
      <c r="U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7" t="inlineStr">
        <is>
          <t>SEM COTAÇÃO</t>
        </is>
      </c>
      <c r="R2504" s="8" t="n"/>
      <c r="S2504" s="14" t="n"/>
      <c r="T2504" s="7" t="inlineStr"/>
      <c r="U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7" t="inlineStr">
        <is>
          <t>SEM COTAÇÃO</t>
        </is>
      </c>
      <c r="R2505" s="8" t="n"/>
      <c r="S2505" s="14" t="n"/>
      <c r="T2505" s="7" t="inlineStr"/>
      <c r="U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15" t="n">
        <v>17.47</v>
      </c>
      <c r="M2506" s="8" t="n"/>
      <c r="N2506" s="8" t="n"/>
      <c r="O2506" s="8" t="n">
        <v>19.3</v>
      </c>
      <c r="P2506" s="8" t="n"/>
      <c r="Q2506" s="7" t="inlineStr">
        <is>
          <t>EPAN</t>
        </is>
      </c>
      <c r="R2506" s="8" t="n">
        <v>17.47</v>
      </c>
      <c r="S2506" s="14">
        <f>R2506/H2506-1</f>
        <v/>
      </c>
      <c r="T2506" s="17" t="inlineStr">
        <is>
          <t>OK (≤ menor hist.)</t>
        </is>
      </c>
      <c r="U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15" t="n">
        <v>77.37</v>
      </c>
      <c r="M2507" s="8" t="n"/>
      <c r="N2507" s="8" t="n"/>
      <c r="O2507" s="8" t="n">
        <v>79.5936</v>
      </c>
      <c r="P2507" s="8" t="n"/>
      <c r="Q2507" s="7" t="inlineStr">
        <is>
          <t>EPAN</t>
        </is>
      </c>
      <c r="R2507" s="8" t="n">
        <v>77.37</v>
      </c>
      <c r="S2507" s="14">
        <f>R2507/H2507-1</f>
        <v/>
      </c>
      <c r="T2507" s="17" t="inlineStr">
        <is>
          <t>OK (≤ últ. compra)</t>
        </is>
      </c>
      <c r="U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8" t="n">
        <v>128.35</v>
      </c>
      <c r="M2508" s="8" t="n"/>
      <c r="N2508" s="8" t="n"/>
      <c r="O2508" s="15" t="n">
        <v>124.8096</v>
      </c>
      <c r="P2508" s="8" t="n"/>
      <c r="Q2508" s="7" t="inlineStr">
        <is>
          <t>NAZARIA</t>
        </is>
      </c>
      <c r="R2508" s="8" t="n">
        <v>124.8096</v>
      </c>
      <c r="S2508" s="14">
        <f>R2508/H2508-1</f>
        <v/>
      </c>
      <c r="T2508" s="17" t="inlineStr">
        <is>
          <t>OK (≤ últ. compra)</t>
        </is>
      </c>
      <c r="U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8.73</v>
      </c>
      <c r="K2509" s="8" t="n"/>
      <c r="L2509" s="8" t="n"/>
      <c r="M2509" s="8" t="n">
        <v>8.85</v>
      </c>
      <c r="N2509" s="15" t="n">
        <v>8.640000000000001</v>
      </c>
      <c r="O2509" s="8" t="n"/>
      <c r="P2509" s="8" t="n"/>
      <c r="Q2509" s="7" t="inlineStr">
        <is>
          <t>TAPAJOS</t>
        </is>
      </c>
      <c r="R2509" s="8" t="n">
        <v>8.640000000000001</v>
      </c>
      <c r="S2509" s="14">
        <f>R2509/H2509-1</f>
        <v/>
      </c>
      <c r="T2509" s="16" t="inlineStr">
        <is>
          <t>ACIMA +2.7%</t>
        </is>
      </c>
      <c r="U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8" t="n"/>
      <c r="M2510" s="8" t="n"/>
      <c r="N2510" s="8" t="n"/>
      <c r="O2510" s="8" t="n"/>
      <c r="P2510" s="8" t="n"/>
      <c r="Q2510" s="7" t="inlineStr">
        <is>
          <t>SEM COTAÇÃO</t>
        </is>
      </c>
      <c r="R2510" s="8" t="n"/>
      <c r="S2510" s="14" t="n"/>
      <c r="T2510" s="7" t="inlineStr"/>
      <c r="U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8" t="n"/>
      <c r="M2511" s="8" t="n"/>
      <c r="N2511" s="8" t="n"/>
      <c r="O2511" s="8" t="n"/>
      <c r="P2511" s="8" t="n"/>
      <c r="Q2511" s="7" t="inlineStr">
        <is>
          <t>SEM COTAÇÃO</t>
        </is>
      </c>
      <c r="R2511" s="8" t="n"/>
      <c r="S2511" s="14" t="n"/>
      <c r="T2511" s="7" t="inlineStr"/>
      <c r="U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8" t="n"/>
      <c r="M2512" s="8" t="n"/>
      <c r="N2512" s="8" t="n"/>
      <c r="O2512" s="8" t="n"/>
      <c r="P2512" s="8" t="n"/>
      <c r="Q2512" s="7" t="inlineStr">
        <is>
          <t>SEM COTAÇÃO</t>
        </is>
      </c>
      <c r="R2512" s="8" t="n"/>
      <c r="S2512" s="14" t="n"/>
      <c r="T2512" s="7" t="inlineStr"/>
      <c r="U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8" t="n"/>
      <c r="M2513" s="8" t="n"/>
      <c r="N2513" s="8" t="n"/>
      <c r="O2513" s="8" t="n"/>
      <c r="P2513" s="8" t="n"/>
      <c r="Q2513" s="7" t="inlineStr">
        <is>
          <t>SEM COTAÇÃO</t>
        </is>
      </c>
      <c r="R2513" s="8" t="n"/>
      <c r="S2513" s="14" t="n"/>
      <c r="T2513" s="7" t="inlineStr"/>
      <c r="U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8" t="n"/>
      <c r="M2514" s="8" t="n"/>
      <c r="N2514" s="8" t="n"/>
      <c r="O2514" s="8" t="n"/>
      <c r="P2514" s="8" t="n"/>
      <c r="Q2514" s="7" t="inlineStr">
        <is>
          <t>SEM COTAÇÃO</t>
        </is>
      </c>
      <c r="R2514" s="8" t="n"/>
      <c r="S2514" s="14" t="n"/>
      <c r="T2514" s="7" t="inlineStr"/>
      <c r="U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8" t="n"/>
      <c r="M2515" s="8" t="n"/>
      <c r="N2515" s="8" t="n"/>
      <c r="O2515" s="8" t="n"/>
      <c r="P2515" s="8" t="n"/>
      <c r="Q2515" s="7" t="inlineStr">
        <is>
          <t>SEM COTAÇÃO</t>
        </is>
      </c>
      <c r="R2515" s="8" t="n"/>
      <c r="S2515" s="14" t="n"/>
      <c r="T2515" s="7" t="inlineStr"/>
      <c r="U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8" t="n"/>
      <c r="M2516" s="8" t="n"/>
      <c r="N2516" s="8" t="n"/>
      <c r="O2516" s="8" t="n"/>
      <c r="P2516" s="8" t="n"/>
      <c r="Q2516" s="7" t="inlineStr">
        <is>
          <t>SEM COTAÇÃO</t>
        </is>
      </c>
      <c r="R2516" s="8" t="n"/>
      <c r="S2516" s="14" t="n"/>
      <c r="T2516" s="7" t="inlineStr"/>
      <c r="U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8" t="n"/>
      <c r="M2517" s="8" t="n"/>
      <c r="N2517" s="8" t="n"/>
      <c r="O2517" s="8" t="n"/>
      <c r="P2517" s="8" t="n"/>
      <c r="Q2517" s="7" t="inlineStr">
        <is>
          <t>SEM COTAÇÃO</t>
        </is>
      </c>
      <c r="R2517" s="8" t="n"/>
      <c r="S2517" s="14" t="n"/>
      <c r="T2517" s="7" t="inlineStr"/>
      <c r="U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8" t="n"/>
      <c r="M2518" s="8" t="n"/>
      <c r="N2518" s="8" t="n"/>
      <c r="O2518" s="8" t="n"/>
      <c r="P2518" s="8" t="n"/>
      <c r="Q2518" s="7" t="inlineStr">
        <is>
          <t>SEM COTAÇÃO</t>
        </is>
      </c>
      <c r="R2518" s="8" t="n"/>
      <c r="S2518" s="14" t="n"/>
      <c r="T2518" s="7" t="inlineStr"/>
      <c r="U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8" t="n"/>
      <c r="M2519" s="8" t="n"/>
      <c r="N2519" s="8" t="n"/>
      <c r="O2519" s="8" t="n"/>
      <c r="P2519" s="8" t="n"/>
      <c r="Q2519" s="7" t="inlineStr">
        <is>
          <t>SEM COTAÇÃO</t>
        </is>
      </c>
      <c r="R2519" s="8" t="n"/>
      <c r="S2519" s="14" t="n"/>
      <c r="T2519" s="7" t="inlineStr"/>
      <c r="U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8" t="n"/>
      <c r="M2520" s="8" t="n"/>
      <c r="N2520" s="8" t="n"/>
      <c r="O2520" s="8" t="n"/>
      <c r="P2520" s="8" t="n"/>
      <c r="Q2520" s="7" t="inlineStr">
        <is>
          <t>SEM COTAÇÃO</t>
        </is>
      </c>
      <c r="R2520" s="8" t="n"/>
      <c r="S2520" s="14" t="n"/>
      <c r="T2520" s="7" t="inlineStr"/>
      <c r="U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8" t="n"/>
      <c r="M2521" s="8" t="n"/>
      <c r="N2521" s="8" t="n"/>
      <c r="O2521" s="8" t="n"/>
      <c r="P2521" s="8" t="n"/>
      <c r="Q2521" s="7" t="inlineStr">
        <is>
          <t>SEM COTAÇÃO</t>
        </is>
      </c>
      <c r="R2521" s="8" t="n"/>
      <c r="S2521" s="14" t="n"/>
      <c r="T2521" s="7" t="inlineStr"/>
      <c r="U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8" t="n"/>
      <c r="M2522" s="8" t="n"/>
      <c r="N2522" s="8" t="n"/>
      <c r="O2522" s="8" t="n"/>
      <c r="P2522" s="8" t="n"/>
      <c r="Q2522" s="7" t="inlineStr">
        <is>
          <t>SEM COTAÇÃO</t>
        </is>
      </c>
      <c r="R2522" s="8" t="n"/>
      <c r="S2522" s="14" t="n"/>
      <c r="T2522" s="7" t="inlineStr"/>
      <c r="U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8" t="n"/>
      <c r="M2523" s="8" t="n"/>
      <c r="N2523" s="8" t="n"/>
      <c r="O2523" s="8" t="n"/>
      <c r="P2523" s="8" t="n"/>
      <c r="Q2523" s="7" t="inlineStr">
        <is>
          <t>SEM COTAÇÃO</t>
        </is>
      </c>
      <c r="R2523" s="8" t="n"/>
      <c r="S2523" s="14" t="n"/>
      <c r="T2523" s="7" t="inlineStr"/>
      <c r="U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8" t="n"/>
      <c r="M2524" s="8" t="n"/>
      <c r="N2524" s="8" t="n"/>
      <c r="O2524" s="8" t="n"/>
      <c r="P2524" s="8" t="n"/>
      <c r="Q2524" s="7" t="inlineStr">
        <is>
          <t>SEM COTAÇÃO</t>
        </is>
      </c>
      <c r="R2524" s="8" t="n"/>
      <c r="S2524" s="14" t="n"/>
      <c r="T2524" s="7" t="inlineStr"/>
      <c r="U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8" t="n"/>
      <c r="M2525" s="8" t="n"/>
      <c r="N2525" s="8" t="n"/>
      <c r="O2525" s="8" t="n"/>
      <c r="P2525" s="8" t="n"/>
      <c r="Q2525" s="7" t="inlineStr">
        <is>
          <t>SEM COTAÇÃO</t>
        </is>
      </c>
      <c r="R2525" s="8" t="n"/>
      <c r="S2525" s="14" t="n"/>
      <c r="T2525" s="7" t="inlineStr"/>
      <c r="U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8" t="n"/>
      <c r="M2526" s="8" t="n"/>
      <c r="N2526" s="8" t="n"/>
      <c r="O2526" s="8" t="n"/>
      <c r="P2526" s="8" t="n"/>
      <c r="Q2526" s="7" t="inlineStr">
        <is>
          <t>SEM COTAÇÃO</t>
        </is>
      </c>
      <c r="R2526" s="8" t="n"/>
      <c r="S2526" s="14" t="n"/>
      <c r="T2526" s="7" t="inlineStr"/>
      <c r="U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8" t="n"/>
      <c r="M2527" s="8" t="n"/>
      <c r="N2527" s="8" t="n"/>
      <c r="O2527" s="8" t="n"/>
      <c r="P2527" s="8" t="n"/>
      <c r="Q2527" s="7" t="inlineStr">
        <is>
          <t>SEM COTAÇÃO</t>
        </is>
      </c>
      <c r="R2527" s="8" t="n"/>
      <c r="S2527" s="14" t="n"/>
      <c r="T2527" s="7" t="inlineStr"/>
      <c r="U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8" t="n"/>
      <c r="M2528" s="8" t="n"/>
      <c r="N2528" s="8" t="n"/>
      <c r="O2528" s="8" t="n"/>
      <c r="P2528" s="8" t="n"/>
      <c r="Q2528" s="7" t="inlineStr">
        <is>
          <t>SEM COTAÇÃO</t>
        </is>
      </c>
      <c r="R2528" s="8" t="n"/>
      <c r="S2528" s="14" t="n"/>
      <c r="T2528" s="7" t="inlineStr"/>
      <c r="U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8" t="n"/>
      <c r="M2529" s="8" t="n"/>
      <c r="N2529" s="8" t="n"/>
      <c r="O2529" s="8" t="n"/>
      <c r="P2529" s="8" t="n"/>
      <c r="Q2529" s="7" t="inlineStr">
        <is>
          <t>SEM COTAÇÃO</t>
        </is>
      </c>
      <c r="R2529" s="8" t="n"/>
      <c r="S2529" s="14" t="n"/>
      <c r="T2529" s="7" t="inlineStr"/>
      <c r="U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8" t="n"/>
      <c r="M2530" s="8" t="n"/>
      <c r="N2530" s="8" t="n"/>
      <c r="O2530" s="8" t="n"/>
      <c r="P2530" s="8" t="n"/>
      <c r="Q2530" s="7" t="inlineStr">
        <is>
          <t>SEM COTAÇÃO</t>
        </is>
      </c>
      <c r="R2530" s="8" t="n"/>
      <c r="S2530" s="14" t="n"/>
      <c r="T2530" s="7" t="inlineStr"/>
      <c r="U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7" t="inlineStr">
        <is>
          <t>SEM COTAÇÃO</t>
        </is>
      </c>
      <c r="R2531" s="8" t="n"/>
      <c r="S2531" s="14" t="n"/>
      <c r="T2531" s="7" t="inlineStr"/>
      <c r="U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8" t="n"/>
      <c r="M2532" s="8" t="n"/>
      <c r="N2532" s="8" t="n"/>
      <c r="O2532" s="8" t="n"/>
      <c r="P2532" s="8" t="n"/>
      <c r="Q2532" s="7" t="inlineStr">
        <is>
          <t>SEM COTAÇÃO</t>
        </is>
      </c>
      <c r="R2532" s="8" t="n"/>
      <c r="S2532" s="14" t="n"/>
      <c r="T2532" s="7" t="inlineStr"/>
      <c r="U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8" t="n"/>
      <c r="M2533" s="8" t="n"/>
      <c r="N2533" s="8" t="n"/>
      <c r="O2533" s="8" t="n"/>
      <c r="P2533" s="8" t="n"/>
      <c r="Q2533" s="7" t="inlineStr">
        <is>
          <t>SEM COTAÇÃO</t>
        </is>
      </c>
      <c r="R2533" s="8" t="n"/>
      <c r="S2533" s="14" t="n"/>
      <c r="T2533" s="7" t="inlineStr"/>
      <c r="U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7" t="inlineStr">
        <is>
          <t>SEM COTAÇÃO</t>
        </is>
      </c>
      <c r="R2534" s="8" t="n"/>
      <c r="S2534" s="14" t="n"/>
      <c r="T2534" s="7" t="inlineStr"/>
      <c r="U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8" t="n"/>
      <c r="M2535" s="8" t="n"/>
      <c r="N2535" s="8" t="n"/>
      <c r="O2535" s="8" t="n">
        <v>12.87</v>
      </c>
      <c r="P2535" s="8" t="n"/>
      <c r="Q2535" s="7" t="inlineStr">
        <is>
          <t>SEM COTAÇÃO</t>
        </is>
      </c>
      <c r="R2535" s="8" t="n"/>
      <c r="S2535" s="14" t="n"/>
      <c r="T2535" s="7" t="inlineStr"/>
      <c r="U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8" t="n"/>
      <c r="M2536" s="8" t="n"/>
      <c r="N2536" s="8" t="n"/>
      <c r="O2536" s="8" t="n"/>
      <c r="P2536" s="8" t="n"/>
      <c r="Q2536" s="7" t="inlineStr">
        <is>
          <t>SEM COTAÇÃO</t>
        </is>
      </c>
      <c r="R2536" s="8" t="n"/>
      <c r="S2536" s="14" t="n"/>
      <c r="T2536" s="7" t="inlineStr"/>
      <c r="U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8" t="n"/>
      <c r="M2537" s="8" t="n"/>
      <c r="N2537" s="8" t="n"/>
      <c r="O2537" s="8" t="n"/>
      <c r="P2537" s="8" t="n"/>
      <c r="Q2537" s="7" t="inlineStr">
        <is>
          <t>SEM COTAÇÃO</t>
        </is>
      </c>
      <c r="R2537" s="8" t="n"/>
      <c r="S2537" s="14" t="n"/>
      <c r="T2537" s="7" t="inlineStr"/>
      <c r="U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8" t="n"/>
      <c r="M2538" s="8" t="n"/>
      <c r="N2538" s="8" t="n"/>
      <c r="O2538" s="8" t="n"/>
      <c r="P2538" s="8" t="n"/>
      <c r="Q2538" s="7" t="inlineStr">
        <is>
          <t>SEM COTAÇÃO</t>
        </is>
      </c>
      <c r="R2538" s="8" t="n"/>
      <c r="S2538" s="14" t="n"/>
      <c r="T2538" s="7" t="inlineStr"/>
      <c r="U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8" t="n"/>
      <c r="M2539" s="8" t="n"/>
      <c r="N2539" s="8" t="n"/>
      <c r="O2539" s="15" t="n">
        <v>12.87</v>
      </c>
      <c r="P2539" s="8" t="n"/>
      <c r="Q2539" s="7" t="inlineStr">
        <is>
          <t>NAZARIA</t>
        </is>
      </c>
      <c r="R2539" s="8" t="n">
        <v>12.87</v>
      </c>
      <c r="S2539" s="14">
        <f>R2539/H2539-1</f>
        <v/>
      </c>
      <c r="T2539" s="16" t="inlineStr">
        <is>
          <t>ACIMA +2.3%</t>
        </is>
      </c>
      <c r="U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8" t="n"/>
      <c r="M2540" s="8" t="n"/>
      <c r="N2540" s="8" t="n"/>
      <c r="O2540" s="15" t="n">
        <v>12.87</v>
      </c>
      <c r="P2540" s="8" t="n"/>
      <c r="Q2540" s="7" t="inlineStr">
        <is>
          <t>NAZARIA</t>
        </is>
      </c>
      <c r="R2540" s="8" t="n">
        <v>12.87</v>
      </c>
      <c r="S2540" s="14">
        <f>R2540/H2540-1</f>
        <v/>
      </c>
      <c r="T2540" s="16" t="inlineStr">
        <is>
          <t>ACIMA +2.3%</t>
        </is>
      </c>
      <c r="U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8" t="n"/>
      <c r="M2541" s="8" t="n"/>
      <c r="N2541" s="8" t="n"/>
      <c r="O2541" s="15" t="n">
        <v>12.87</v>
      </c>
      <c r="P2541" s="8" t="n"/>
      <c r="Q2541" s="7" t="inlineStr">
        <is>
          <t>NAZARIA</t>
        </is>
      </c>
      <c r="R2541" s="8" t="n">
        <v>12.87</v>
      </c>
      <c r="S2541" s="14">
        <f>R2541/H2541-1</f>
        <v/>
      </c>
      <c r="T2541" s="16" t="inlineStr">
        <is>
          <t>ACIMA +2.3%</t>
        </is>
      </c>
      <c r="U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8" t="n"/>
      <c r="M2542" s="8" t="n"/>
      <c r="N2542" s="8" t="n"/>
      <c r="O2542" s="15" t="n">
        <v>12.87</v>
      </c>
      <c r="P2542" s="8" t="n"/>
      <c r="Q2542" s="7" t="inlineStr">
        <is>
          <t>NAZARIA</t>
        </is>
      </c>
      <c r="R2542" s="8" t="n">
        <v>12.87</v>
      </c>
      <c r="S2542" s="14">
        <f>R2542/H2542-1</f>
        <v/>
      </c>
      <c r="T2542" s="16" t="inlineStr">
        <is>
          <t>ACIMA +2.3%</t>
        </is>
      </c>
      <c r="U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8" t="n"/>
      <c r="M2543" s="8" t="n"/>
      <c r="N2543" s="8" t="n"/>
      <c r="O2543" s="8" t="n">
        <v>12.87</v>
      </c>
      <c r="P2543" s="8" t="n"/>
      <c r="Q2543" s="7" t="inlineStr">
        <is>
          <t>SEM COTAÇÃO</t>
        </is>
      </c>
      <c r="R2543" s="8" t="n"/>
      <c r="S2543" s="14" t="n"/>
      <c r="T2543" s="7" t="inlineStr"/>
      <c r="U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8" t="n"/>
      <c r="M2544" s="8" t="n"/>
      <c r="N2544" s="8" t="n"/>
      <c r="O2544" s="15" t="n">
        <v>12.87</v>
      </c>
      <c r="P2544" s="8" t="n"/>
      <c r="Q2544" s="7" t="inlineStr">
        <is>
          <t>NAZARIA</t>
        </is>
      </c>
      <c r="R2544" s="8" t="n">
        <v>12.87</v>
      </c>
      <c r="S2544" s="14">
        <f>R2544/H2544-1</f>
        <v/>
      </c>
      <c r="T2544" s="16" t="inlineStr">
        <is>
          <t>ACIMA +2.3%</t>
        </is>
      </c>
      <c r="U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8" t="n"/>
      <c r="M2545" s="8" t="n"/>
      <c r="N2545" s="8" t="n"/>
      <c r="O2545" s="8" t="n"/>
      <c r="P2545" s="8" t="n"/>
      <c r="Q2545" s="7" t="inlineStr">
        <is>
          <t>SEM COTAÇÃO</t>
        </is>
      </c>
      <c r="R2545" s="8" t="n"/>
      <c r="S2545" s="14" t="n"/>
      <c r="T2545" s="7" t="inlineStr"/>
      <c r="U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8" t="n"/>
      <c r="M2546" s="8" t="n"/>
      <c r="N2546" s="8" t="n"/>
      <c r="O2546" s="8" t="n"/>
      <c r="P2546" s="8" t="n"/>
      <c r="Q2546" s="7" t="inlineStr">
        <is>
          <t>SEM COTAÇÃO</t>
        </is>
      </c>
      <c r="R2546" s="8" t="n"/>
      <c r="S2546" s="14" t="n"/>
      <c r="T2546" s="7" t="inlineStr"/>
      <c r="U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8" t="n"/>
      <c r="M2547" s="8" t="n"/>
      <c r="N2547" s="8" t="n"/>
      <c r="O2547" s="8" t="n"/>
      <c r="P2547" s="8" t="n"/>
      <c r="Q2547" s="7" t="inlineStr">
        <is>
          <t>SEM COTAÇÃO</t>
        </is>
      </c>
      <c r="R2547" s="8" t="n"/>
      <c r="S2547" s="14" t="n"/>
      <c r="T2547" s="7" t="inlineStr"/>
      <c r="U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8" t="n"/>
      <c r="M2548" s="8" t="n"/>
      <c r="N2548" s="8" t="n"/>
      <c r="O2548" s="8" t="n"/>
      <c r="P2548" s="8" t="n"/>
      <c r="Q2548" s="7" t="inlineStr">
        <is>
          <t>SEM COTAÇÃO</t>
        </is>
      </c>
      <c r="R2548" s="8" t="n"/>
      <c r="S2548" s="14" t="n"/>
      <c r="T2548" s="7" t="inlineStr"/>
      <c r="U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7" t="inlineStr">
        <is>
          <t>SEM COTAÇÃO</t>
        </is>
      </c>
      <c r="R2549" s="8" t="n"/>
      <c r="S2549" s="14" t="n"/>
      <c r="T2549" s="7" t="inlineStr"/>
      <c r="U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7" t="inlineStr">
        <is>
          <t>SEM COTAÇÃO</t>
        </is>
      </c>
      <c r="R2550" s="8" t="n"/>
      <c r="S2550" s="14" t="n"/>
      <c r="T2550" s="7" t="inlineStr"/>
      <c r="U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8" t="n"/>
      <c r="M2551" s="8" t="n"/>
      <c r="N2551" s="8" t="n"/>
      <c r="O2551" s="8" t="n"/>
      <c r="P2551" s="8" t="n"/>
      <c r="Q2551" s="7" t="inlineStr">
        <is>
          <t>SEM COTAÇÃO</t>
        </is>
      </c>
      <c r="R2551" s="8" t="n"/>
      <c r="S2551" s="14" t="n"/>
      <c r="T2551" s="7" t="inlineStr"/>
      <c r="U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8" t="n"/>
      <c r="M2552" s="8" t="n"/>
      <c r="N2552" s="8" t="n"/>
      <c r="O2552" s="8" t="n"/>
      <c r="P2552" s="8" t="n"/>
      <c r="Q2552" s="7" t="inlineStr">
        <is>
          <t>SEM COTAÇÃO</t>
        </is>
      </c>
      <c r="R2552" s="8" t="n"/>
      <c r="S2552" s="14" t="n"/>
      <c r="T2552" s="7" t="inlineStr"/>
      <c r="U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8" t="n"/>
      <c r="M2553" s="8" t="n"/>
      <c r="N2553" s="8" t="n"/>
      <c r="O2553" s="8" t="n"/>
      <c r="P2553" s="8" t="n"/>
      <c r="Q2553" s="7" t="inlineStr">
        <is>
          <t>SEM COTAÇÃO</t>
        </is>
      </c>
      <c r="R2553" s="8" t="n"/>
      <c r="S2553" s="14" t="n"/>
      <c r="T2553" s="7" t="inlineStr"/>
      <c r="U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8" t="n"/>
      <c r="M2554" s="8" t="n"/>
      <c r="N2554" s="8" t="n"/>
      <c r="O2554" s="8" t="n"/>
      <c r="P2554" s="8" t="n"/>
      <c r="Q2554" s="7" t="inlineStr">
        <is>
          <t>SEM COTAÇÃO</t>
        </is>
      </c>
      <c r="R2554" s="8" t="n"/>
      <c r="S2554" s="14" t="n"/>
      <c r="T2554" s="7" t="inlineStr"/>
      <c r="U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8" t="n"/>
      <c r="M2555" s="8" t="n"/>
      <c r="N2555" s="8" t="n"/>
      <c r="O2555" s="8" t="n"/>
      <c r="P2555" s="8" t="n"/>
      <c r="Q2555" s="7" t="inlineStr">
        <is>
          <t>SEM COTAÇÃO</t>
        </is>
      </c>
      <c r="R2555" s="8" t="n"/>
      <c r="S2555" s="14" t="n"/>
      <c r="T2555" s="7" t="inlineStr"/>
      <c r="U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8" t="n"/>
      <c r="M2556" s="8" t="n"/>
      <c r="N2556" s="8" t="n"/>
      <c r="O2556" s="8" t="n"/>
      <c r="P2556" s="8" t="n"/>
      <c r="Q2556" s="7" t="inlineStr">
        <is>
          <t>SEM COTAÇÃO</t>
        </is>
      </c>
      <c r="R2556" s="8" t="n"/>
      <c r="S2556" s="14" t="n"/>
      <c r="T2556" s="7" t="inlineStr"/>
      <c r="U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8" t="n"/>
      <c r="M2557" s="8" t="n"/>
      <c r="N2557" s="8" t="n"/>
      <c r="O2557" s="8" t="n"/>
      <c r="P2557" s="8" t="n"/>
      <c r="Q2557" s="7" t="inlineStr">
        <is>
          <t>SEM COTAÇÃO</t>
        </is>
      </c>
      <c r="R2557" s="8" t="n"/>
      <c r="S2557" s="14" t="n"/>
      <c r="T2557" s="7" t="inlineStr"/>
      <c r="U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8" t="n"/>
      <c r="M2558" s="8" t="n"/>
      <c r="N2558" s="8" t="n"/>
      <c r="O2558" s="8" t="n"/>
      <c r="P2558" s="8" t="n"/>
      <c r="Q2558" s="7" t="inlineStr">
        <is>
          <t>SEM COTAÇÃO</t>
        </is>
      </c>
      <c r="R2558" s="8" t="n"/>
      <c r="S2558" s="14" t="n"/>
      <c r="T2558" s="7" t="inlineStr"/>
      <c r="U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7" t="inlineStr">
        <is>
          <t>SEM COTAÇÃO</t>
        </is>
      </c>
      <c r="R2559" s="8" t="n"/>
      <c r="S2559" s="14" t="n"/>
      <c r="T2559" s="7" t="inlineStr"/>
      <c r="U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7" t="inlineStr">
        <is>
          <t>SEM COTAÇÃO</t>
        </is>
      </c>
      <c r="R2560" s="8" t="n"/>
      <c r="S2560" s="14" t="n"/>
      <c r="T2560" s="7" t="inlineStr"/>
      <c r="U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8" t="n"/>
      <c r="M2561" s="8" t="n"/>
      <c r="N2561" s="8" t="n"/>
      <c r="O2561" s="8" t="n"/>
      <c r="P2561" s="8" t="n"/>
      <c r="Q2561" s="7" t="inlineStr">
        <is>
          <t>SEM COTAÇÃO</t>
        </is>
      </c>
      <c r="R2561" s="8" t="n"/>
      <c r="S2561" s="14" t="n"/>
      <c r="T2561" s="7" t="inlineStr"/>
      <c r="U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8" t="n"/>
      <c r="M2562" s="8" t="n"/>
      <c r="N2562" s="8" t="n"/>
      <c r="O2562" s="8" t="n"/>
      <c r="P2562" s="8" t="n"/>
      <c r="Q2562" s="7" t="inlineStr">
        <is>
          <t>SEM COTAÇÃO</t>
        </is>
      </c>
      <c r="R2562" s="8" t="n"/>
      <c r="S2562" s="14" t="n"/>
      <c r="T2562" s="7" t="inlineStr"/>
      <c r="U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8" t="n"/>
      <c r="M2563" s="8" t="n"/>
      <c r="N2563" s="8" t="n"/>
      <c r="O2563" s="8" t="n"/>
      <c r="P2563" s="8" t="n"/>
      <c r="Q2563" s="7" t="inlineStr">
        <is>
          <t>DIMEC</t>
        </is>
      </c>
      <c r="R2563" s="8" t="n">
        <v>1.03</v>
      </c>
      <c r="S2563" s="14">
        <f>R2563/H2563-1</f>
        <v/>
      </c>
      <c r="T2563" s="16" t="inlineStr">
        <is>
          <t>ACIMA +15.7%</t>
        </is>
      </c>
      <c r="U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8" t="n"/>
      <c r="M2564" s="8" t="n"/>
      <c r="N2564" s="8" t="n"/>
      <c r="O2564" s="8" t="n"/>
      <c r="P2564" s="8" t="n"/>
      <c r="Q2564" s="7" t="inlineStr">
        <is>
          <t>SEM COTAÇÃO</t>
        </is>
      </c>
      <c r="R2564" s="8" t="n"/>
      <c r="S2564" s="14" t="n"/>
      <c r="T2564" s="7" t="inlineStr"/>
      <c r="U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7" t="inlineStr">
        <is>
          <t>SEM COTAÇÃO</t>
        </is>
      </c>
      <c r="R2565" s="8" t="n"/>
      <c r="S2565" s="14" t="n"/>
      <c r="T2565" s="7" t="inlineStr"/>
      <c r="U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8" t="n"/>
      <c r="M2566" s="8" t="n"/>
      <c r="N2566" s="8" t="n"/>
      <c r="O2566" s="8" t="n">
        <v>40.44</v>
      </c>
      <c r="P2566" s="8" t="n"/>
      <c r="Q2566" s="7" t="inlineStr">
        <is>
          <t>SEM COTAÇÃO</t>
        </is>
      </c>
      <c r="R2566" s="8" t="n"/>
      <c r="S2566" s="14" t="n"/>
      <c r="T2566" s="7" t="inlineStr"/>
      <c r="U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8" t="n"/>
      <c r="M2567" s="8" t="n"/>
      <c r="N2567" s="8" t="n"/>
      <c r="O2567" s="8" t="n"/>
      <c r="P2567" s="8" t="n"/>
      <c r="Q2567" s="7" t="inlineStr">
        <is>
          <t>SEM COTAÇÃO</t>
        </is>
      </c>
      <c r="R2567" s="8" t="n"/>
      <c r="S2567" s="14" t="n"/>
      <c r="T2567" s="7" t="inlineStr"/>
      <c r="U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8" t="n"/>
      <c r="M2568" s="8" t="n"/>
      <c r="N2568" s="8" t="n"/>
      <c r="O2568" s="15" t="n">
        <v>21.52</v>
      </c>
      <c r="P2568" s="8" t="n"/>
      <c r="Q2568" s="7" t="inlineStr">
        <is>
          <t>NAZARIA</t>
        </is>
      </c>
      <c r="R2568" s="8" t="n">
        <v>21.52</v>
      </c>
      <c r="S2568" s="14">
        <f>R2568/H2568-1</f>
        <v/>
      </c>
      <c r="T2568" s="17" t="inlineStr">
        <is>
          <t>OK (≤ menor hist.)</t>
        </is>
      </c>
      <c r="U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8" t="n"/>
      <c r="M2569" s="8" t="n"/>
      <c r="N2569" s="8" t="n"/>
      <c r="O2569" s="8" t="n">
        <v>21.52</v>
      </c>
      <c r="P2569" s="8" t="n"/>
      <c r="Q2569" s="7" t="inlineStr">
        <is>
          <t>SEM COTAÇÃO</t>
        </is>
      </c>
      <c r="R2569" s="8" t="n"/>
      <c r="S2569" s="14" t="n"/>
      <c r="T2569" s="7" t="inlineStr"/>
      <c r="U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8" t="n"/>
      <c r="M2570" s="8" t="n"/>
      <c r="N2570" s="8" t="n"/>
      <c r="O2570" s="8" t="n"/>
      <c r="P2570" s="8" t="n"/>
      <c r="Q2570" s="7" t="inlineStr">
        <is>
          <t>SEM COTAÇÃO</t>
        </is>
      </c>
      <c r="R2570" s="8" t="n"/>
      <c r="S2570" s="14" t="n"/>
      <c r="T2570" s="7" t="inlineStr"/>
      <c r="U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8" t="n"/>
      <c r="M2571" s="8" t="n"/>
      <c r="N2571" s="8" t="n"/>
      <c r="O2571" s="8" t="n"/>
      <c r="P2571" s="8" t="n"/>
      <c r="Q2571" s="7" t="inlineStr">
        <is>
          <t>SEM COTAÇÃO</t>
        </is>
      </c>
      <c r="R2571" s="8" t="n"/>
      <c r="S2571" s="14" t="n"/>
      <c r="T2571" s="7" t="inlineStr"/>
      <c r="U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8" t="n"/>
      <c r="M2572" s="8" t="n"/>
      <c r="N2572" s="8" t="n"/>
      <c r="O2572" s="8" t="n"/>
      <c r="P2572" s="8" t="n"/>
      <c r="Q2572" s="7" t="inlineStr">
        <is>
          <t>SEM COTAÇÃO</t>
        </is>
      </c>
      <c r="R2572" s="8" t="n"/>
      <c r="S2572" s="14" t="n"/>
      <c r="T2572" s="7" t="inlineStr"/>
      <c r="U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8" t="n"/>
      <c r="M2573" s="8" t="n"/>
      <c r="N2573" s="8" t="n"/>
      <c r="O2573" s="8" t="n"/>
      <c r="P2573" s="8" t="n"/>
      <c r="Q2573" s="7" t="inlineStr">
        <is>
          <t>SEM COTAÇÃO</t>
        </is>
      </c>
      <c r="R2573" s="8" t="n"/>
      <c r="S2573" s="14" t="n"/>
      <c r="T2573" s="7" t="inlineStr"/>
      <c r="U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8" t="n"/>
      <c r="M2574" s="8" t="n"/>
      <c r="N2574" s="8" t="n"/>
      <c r="O2574" s="8" t="n"/>
      <c r="P2574" s="8" t="n"/>
      <c r="Q2574" s="7" t="inlineStr">
        <is>
          <t>SEM COTAÇÃO</t>
        </is>
      </c>
      <c r="R2574" s="8" t="n"/>
      <c r="S2574" s="14" t="n"/>
      <c r="T2574" s="7" t="inlineStr"/>
      <c r="U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8" t="n"/>
      <c r="M2575" s="8" t="n"/>
      <c r="N2575" s="8" t="n"/>
      <c r="O2575" s="15" t="n">
        <v>14.8</v>
      </c>
      <c r="P2575" s="8" t="n"/>
      <c r="Q2575" s="7" t="inlineStr">
        <is>
          <t>NAZARIA</t>
        </is>
      </c>
      <c r="R2575" s="8" t="n">
        <v>14.8</v>
      </c>
      <c r="S2575" s="14">
        <f>R2575/H2575-1</f>
        <v/>
      </c>
      <c r="T2575" s="16" t="inlineStr">
        <is>
          <t>ACIMA +1.0%</t>
        </is>
      </c>
      <c r="U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8" t="n"/>
      <c r="M2576" s="8" t="n"/>
      <c r="N2576" s="8" t="n"/>
      <c r="O2576" s="8" t="n"/>
      <c r="P2576" s="8" t="n"/>
      <c r="Q2576" s="7" t="inlineStr">
        <is>
          <t>SEM COTAÇÃO</t>
        </is>
      </c>
      <c r="R2576" s="8" t="n"/>
      <c r="S2576" s="14" t="n"/>
      <c r="T2576" s="7" t="inlineStr"/>
      <c r="U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8" t="n"/>
      <c r="M2577" s="8" t="n"/>
      <c r="N2577" s="8" t="n"/>
      <c r="O2577" s="8" t="n"/>
      <c r="P2577" s="8" t="n"/>
      <c r="Q2577" s="7" t="inlineStr">
        <is>
          <t>SEM COTAÇÃO</t>
        </is>
      </c>
      <c r="R2577" s="8" t="n"/>
      <c r="S2577" s="14" t="n"/>
      <c r="T2577" s="7" t="inlineStr"/>
      <c r="U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8" t="n"/>
      <c r="M2578" s="8" t="n"/>
      <c r="N2578" s="8" t="n"/>
      <c r="O2578" s="8" t="n"/>
      <c r="P2578" s="8" t="n"/>
      <c r="Q2578" s="7" t="inlineStr">
        <is>
          <t>SEM COTAÇÃO</t>
        </is>
      </c>
      <c r="R2578" s="8" t="n"/>
      <c r="S2578" s="14" t="n"/>
      <c r="T2578" s="7" t="inlineStr"/>
      <c r="U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8" t="n"/>
      <c r="M2579" s="8" t="n"/>
      <c r="N2579" s="8" t="n"/>
      <c r="O2579" s="15" t="n">
        <v>17.98</v>
      </c>
      <c r="P2579" s="8" t="n"/>
      <c r="Q2579" s="7" t="inlineStr">
        <is>
          <t>NAZARIA</t>
        </is>
      </c>
      <c r="R2579" s="8" t="n">
        <v>17.98</v>
      </c>
      <c r="S2579" s="14">
        <f>R2579/H2579-1</f>
        <v/>
      </c>
      <c r="T2579" s="16" t="inlineStr">
        <is>
          <t>ACIMA +19.2%</t>
        </is>
      </c>
      <c r="U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8" t="n"/>
      <c r="M2580" s="8" t="n"/>
      <c r="N2580" s="8" t="n"/>
      <c r="O2580" s="8" t="n"/>
      <c r="P2580" s="8" t="n"/>
      <c r="Q2580" s="7" t="inlineStr">
        <is>
          <t>SEM COTAÇÃO</t>
        </is>
      </c>
      <c r="R2580" s="8" t="n"/>
      <c r="S2580" s="14" t="n"/>
      <c r="T2580" s="7" t="inlineStr"/>
      <c r="U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8" t="n"/>
      <c r="M2581" s="8" t="n"/>
      <c r="N2581" s="8" t="n"/>
      <c r="O2581" s="8" t="n"/>
      <c r="P2581" s="8" t="n"/>
      <c r="Q2581" s="7" t="inlineStr">
        <is>
          <t>SEM COTAÇÃO</t>
        </is>
      </c>
      <c r="R2581" s="8" t="n"/>
      <c r="S2581" s="14" t="n"/>
      <c r="T2581" s="7" t="inlineStr"/>
      <c r="U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8" t="n"/>
      <c r="M2582" s="8" t="n"/>
      <c r="N2582" s="8" t="n"/>
      <c r="O2582" s="15" t="n">
        <v>14.8</v>
      </c>
      <c r="P2582" s="8" t="n"/>
      <c r="Q2582" s="7" t="inlineStr">
        <is>
          <t>NAZARIA</t>
        </is>
      </c>
      <c r="R2582" s="8" t="n">
        <v>14.8</v>
      </c>
      <c r="S2582" s="14">
        <f>R2582/H2582-1</f>
        <v/>
      </c>
      <c r="T2582" s="16" t="inlineStr">
        <is>
          <t>ACIMA +8.6%</t>
        </is>
      </c>
      <c r="U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8" t="n"/>
      <c r="M2583" s="8" t="n"/>
      <c r="N2583" s="8" t="n"/>
      <c r="O2583" s="8" t="n"/>
      <c r="P2583" s="8" t="n"/>
      <c r="Q2583" s="7" t="inlineStr">
        <is>
          <t>SEM COTAÇÃO</t>
        </is>
      </c>
      <c r="R2583" s="8" t="n"/>
      <c r="S2583" s="14" t="n"/>
      <c r="T2583" s="7" t="inlineStr"/>
      <c r="U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8" t="n"/>
      <c r="M2584" s="8" t="n"/>
      <c r="N2584" s="8" t="n"/>
      <c r="O2584" s="8" t="n"/>
      <c r="P2584" s="8" t="n"/>
      <c r="Q2584" s="7" t="inlineStr">
        <is>
          <t>SEM COTAÇÃO</t>
        </is>
      </c>
      <c r="R2584" s="8" t="n"/>
      <c r="S2584" s="14" t="n"/>
      <c r="T2584" s="7" t="inlineStr"/>
      <c r="U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8" t="n"/>
      <c r="M2585" s="8" t="n"/>
      <c r="N2585" s="8" t="n"/>
      <c r="O2585" s="8" t="n"/>
      <c r="P2585" s="8" t="n"/>
      <c r="Q2585" s="7" t="inlineStr">
        <is>
          <t>SEM COTAÇÃO</t>
        </is>
      </c>
      <c r="R2585" s="8" t="n"/>
      <c r="S2585" s="14" t="n"/>
      <c r="T2585" s="7" t="inlineStr"/>
      <c r="U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8" t="n"/>
      <c r="M2586" s="8" t="n"/>
      <c r="N2586" s="8" t="n"/>
      <c r="O2586" s="8" t="n"/>
      <c r="P2586" s="8" t="n"/>
      <c r="Q2586" s="7" t="inlineStr">
        <is>
          <t>SEM COTAÇÃO</t>
        </is>
      </c>
      <c r="R2586" s="8" t="n"/>
      <c r="S2586" s="14" t="n"/>
      <c r="T2586" s="7" t="inlineStr"/>
      <c r="U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8" t="n"/>
      <c r="M2587" s="8" t="n"/>
      <c r="N2587" s="8" t="n"/>
      <c r="O2587" s="8" t="n"/>
      <c r="P2587" s="8" t="n"/>
      <c r="Q2587" s="7" t="inlineStr">
        <is>
          <t>SEM COTAÇÃO</t>
        </is>
      </c>
      <c r="R2587" s="8" t="n"/>
      <c r="S2587" s="14" t="n"/>
      <c r="T2587" s="7" t="inlineStr"/>
      <c r="U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8" t="n"/>
      <c r="M2588" s="8" t="n"/>
      <c r="N2588" s="8" t="n"/>
      <c r="O2588" s="8" t="n"/>
      <c r="P2588" s="8" t="n"/>
      <c r="Q2588" s="7" t="inlineStr">
        <is>
          <t>SEM COTAÇÃO</t>
        </is>
      </c>
      <c r="R2588" s="8" t="n"/>
      <c r="S2588" s="14" t="n"/>
      <c r="T2588" s="7" t="inlineStr"/>
      <c r="U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8" t="n"/>
      <c r="M2589" s="8" t="n"/>
      <c r="N2589" s="8" t="n"/>
      <c r="O2589" s="8" t="n"/>
      <c r="P2589" s="8" t="n"/>
      <c r="Q2589" s="7" t="inlineStr">
        <is>
          <t>SEM COTAÇÃO</t>
        </is>
      </c>
      <c r="R2589" s="8" t="n"/>
      <c r="S2589" s="14" t="n"/>
      <c r="T2589" s="7" t="inlineStr"/>
      <c r="U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8" t="n"/>
      <c r="M2590" s="8" t="n"/>
      <c r="N2590" s="8" t="n"/>
      <c r="O2590" s="8" t="n"/>
      <c r="P2590" s="8" t="n"/>
      <c r="Q2590" s="7" t="inlineStr">
        <is>
          <t>SEM COTAÇÃO</t>
        </is>
      </c>
      <c r="R2590" s="8" t="n"/>
      <c r="S2590" s="14" t="n"/>
      <c r="T2590" s="7" t="inlineStr"/>
      <c r="U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8" t="n"/>
      <c r="M2591" s="8" t="n"/>
      <c r="N2591" s="8" t="n"/>
      <c r="O2591" s="8" t="n"/>
      <c r="P2591" s="8" t="n"/>
      <c r="Q2591" s="7" t="inlineStr">
        <is>
          <t>SEM COTAÇÃO</t>
        </is>
      </c>
      <c r="R2591" s="8" t="n"/>
      <c r="S2591" s="14" t="n"/>
      <c r="T2591" s="7" t="inlineStr"/>
      <c r="U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8" t="n"/>
      <c r="M2592" s="8" t="n"/>
      <c r="N2592" s="8" t="n"/>
      <c r="O2592" s="8" t="n"/>
      <c r="P2592" s="8" t="n"/>
      <c r="Q2592" s="7" t="inlineStr">
        <is>
          <t>SEM COTAÇÃO</t>
        </is>
      </c>
      <c r="R2592" s="8" t="n"/>
      <c r="S2592" s="14" t="n"/>
      <c r="T2592" s="7" t="inlineStr"/>
      <c r="U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8" t="n"/>
      <c r="M2593" s="8" t="n"/>
      <c r="N2593" s="8" t="n"/>
      <c r="O2593" s="8" t="n"/>
      <c r="P2593" s="8" t="n"/>
      <c r="Q2593" s="7" t="inlineStr">
        <is>
          <t>SEM COTAÇÃO</t>
        </is>
      </c>
      <c r="R2593" s="8" t="n"/>
      <c r="S2593" s="14" t="n"/>
      <c r="T2593" s="7" t="inlineStr"/>
      <c r="U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8" t="n"/>
      <c r="M2594" s="8" t="n"/>
      <c r="N2594" s="8" t="n"/>
      <c r="O2594" s="8" t="n"/>
      <c r="P2594" s="8" t="n"/>
      <c r="Q2594" s="7" t="inlineStr">
        <is>
          <t>SEM COTAÇÃO</t>
        </is>
      </c>
      <c r="R2594" s="8" t="n"/>
      <c r="S2594" s="14" t="n"/>
      <c r="T2594" s="7" t="inlineStr"/>
      <c r="U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8" t="n"/>
      <c r="M2595" s="8" t="n"/>
      <c r="N2595" s="8" t="n"/>
      <c r="O2595" s="8" t="n"/>
      <c r="P2595" s="8" t="n"/>
      <c r="Q2595" s="7" t="inlineStr">
        <is>
          <t>SEM COTAÇÃO</t>
        </is>
      </c>
      <c r="R2595" s="8" t="n"/>
      <c r="S2595" s="14" t="n"/>
      <c r="T2595" s="7" t="inlineStr"/>
      <c r="U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8" t="n"/>
      <c r="M2596" s="8" t="n"/>
      <c r="N2596" s="8" t="n"/>
      <c r="O2596" s="8" t="n"/>
      <c r="P2596" s="8" t="n"/>
      <c r="Q2596" s="7" t="inlineStr">
        <is>
          <t>SEM COTAÇÃO</t>
        </is>
      </c>
      <c r="R2596" s="8" t="n"/>
      <c r="S2596" s="14" t="n"/>
      <c r="T2596" s="7" t="inlineStr"/>
      <c r="U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8" t="n"/>
      <c r="M2597" s="8" t="n"/>
      <c r="N2597" s="8" t="n"/>
      <c r="O2597" s="8" t="n"/>
      <c r="P2597" s="8" t="n"/>
      <c r="Q2597" s="7" t="inlineStr">
        <is>
          <t>SEM COTAÇÃO</t>
        </is>
      </c>
      <c r="R2597" s="8" t="n"/>
      <c r="S2597" s="14" t="n"/>
      <c r="T2597" s="7" t="inlineStr"/>
      <c r="U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8" t="n"/>
      <c r="M2598" s="8" t="n"/>
      <c r="N2598" s="8" t="n"/>
      <c r="O2598" s="8" t="n"/>
      <c r="P2598" s="8" t="n"/>
      <c r="Q2598" s="7" t="inlineStr">
        <is>
          <t>SEM COTAÇÃO</t>
        </is>
      </c>
      <c r="R2598" s="8" t="n"/>
      <c r="S2598" s="14" t="n"/>
      <c r="T2598" s="7" t="inlineStr"/>
      <c r="U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8" t="n"/>
      <c r="M2599" s="8" t="n"/>
      <c r="N2599" s="8" t="n"/>
      <c r="O2599" s="8" t="n"/>
      <c r="P2599" s="8" t="n"/>
      <c r="Q2599" s="7" t="inlineStr">
        <is>
          <t>SEM COTAÇÃO</t>
        </is>
      </c>
      <c r="R2599" s="8" t="n"/>
      <c r="S2599" s="14" t="n"/>
      <c r="T2599" s="7" t="inlineStr"/>
      <c r="U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8" t="n"/>
      <c r="M2600" s="8" t="n"/>
      <c r="N2600" s="8" t="n"/>
      <c r="O2600" s="8" t="n"/>
      <c r="P2600" s="8" t="n"/>
      <c r="Q2600" s="7" t="inlineStr">
        <is>
          <t>SEM COTAÇÃO</t>
        </is>
      </c>
      <c r="R2600" s="8" t="n"/>
      <c r="S2600" s="14" t="n"/>
      <c r="T2600" s="7" t="inlineStr"/>
      <c r="U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8" t="n"/>
      <c r="M2601" s="8" t="n"/>
      <c r="N2601" s="8" t="n"/>
      <c r="O2601" s="8" t="n"/>
      <c r="P2601" s="8" t="n"/>
      <c r="Q2601" s="7" t="inlineStr">
        <is>
          <t>SEM COTAÇÃO</t>
        </is>
      </c>
      <c r="R2601" s="8" t="n"/>
      <c r="S2601" s="14" t="n"/>
      <c r="T2601" s="7" t="inlineStr"/>
      <c r="U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8" t="n"/>
      <c r="M2602" s="8" t="n"/>
      <c r="N2602" s="8" t="n"/>
      <c r="O2602" s="8" t="n"/>
      <c r="P2602" s="8" t="n"/>
      <c r="Q2602" s="7" t="inlineStr">
        <is>
          <t>SEM COTAÇÃO</t>
        </is>
      </c>
      <c r="R2602" s="8" t="n"/>
      <c r="S2602" s="14" t="n"/>
      <c r="T2602" s="7" t="inlineStr"/>
      <c r="U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8" t="n"/>
      <c r="M2603" s="8" t="n"/>
      <c r="N2603" s="8" t="n"/>
      <c r="O2603" s="8" t="n"/>
      <c r="P2603" s="8" t="n"/>
      <c r="Q2603" s="7" t="inlineStr">
        <is>
          <t>SEM COTAÇÃO</t>
        </is>
      </c>
      <c r="R2603" s="8" t="n"/>
      <c r="S2603" s="14" t="n"/>
      <c r="T2603" s="7" t="inlineStr"/>
      <c r="U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8" t="n"/>
      <c r="M2604" s="8" t="n"/>
      <c r="N2604" s="8" t="n"/>
      <c r="O2604" s="8" t="n"/>
      <c r="P2604" s="8" t="n"/>
      <c r="Q2604" s="7" t="inlineStr">
        <is>
          <t>SEM COTAÇÃO</t>
        </is>
      </c>
      <c r="R2604" s="8" t="n"/>
      <c r="S2604" s="14" t="n"/>
      <c r="T2604" s="7" t="inlineStr"/>
      <c r="U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8" t="n"/>
      <c r="M2605" s="8" t="n"/>
      <c r="N2605" s="8" t="n"/>
      <c r="O2605" s="8" t="n"/>
      <c r="P2605" s="8" t="n"/>
      <c r="Q2605" s="7" t="inlineStr">
        <is>
          <t>SEM COTAÇÃO</t>
        </is>
      </c>
      <c r="R2605" s="8" t="n"/>
      <c r="S2605" s="14" t="n"/>
      <c r="T2605" s="7" t="inlineStr"/>
      <c r="U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8" t="n"/>
      <c r="M2606" s="8" t="n"/>
      <c r="N2606" s="8" t="n"/>
      <c r="O2606" s="8" t="n"/>
      <c r="P2606" s="8" t="n"/>
      <c r="Q2606" s="7" t="inlineStr">
        <is>
          <t>SEM COTAÇÃO</t>
        </is>
      </c>
      <c r="R2606" s="8" t="n"/>
      <c r="S2606" s="14" t="n"/>
      <c r="T2606" s="7" t="inlineStr"/>
      <c r="U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8" t="n"/>
      <c r="M2607" s="8" t="n"/>
      <c r="N2607" s="8" t="n"/>
      <c r="O2607" s="8" t="n"/>
      <c r="P2607" s="8" t="n"/>
      <c r="Q2607" s="7" t="inlineStr">
        <is>
          <t>SEM COTAÇÃO</t>
        </is>
      </c>
      <c r="R2607" s="8" t="n"/>
      <c r="S2607" s="14" t="n"/>
      <c r="T2607" s="7" t="inlineStr"/>
      <c r="U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8" t="n"/>
      <c r="M2608" s="8" t="n"/>
      <c r="N2608" s="8" t="n"/>
      <c r="O2608" s="8" t="n"/>
      <c r="P2608" s="8" t="n"/>
      <c r="Q2608" s="7" t="inlineStr">
        <is>
          <t>SEM COTAÇÃO</t>
        </is>
      </c>
      <c r="R2608" s="8" t="n"/>
      <c r="S2608" s="14" t="n"/>
      <c r="T2608" s="7" t="inlineStr"/>
      <c r="U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8" t="n"/>
      <c r="M2609" s="8" t="n"/>
      <c r="N2609" s="8" t="n"/>
      <c r="O2609" s="8" t="n"/>
      <c r="P2609" s="8" t="n"/>
      <c r="Q2609" s="7" t="inlineStr">
        <is>
          <t>SEM COTAÇÃO</t>
        </is>
      </c>
      <c r="R2609" s="8" t="n"/>
      <c r="S2609" s="14" t="n"/>
      <c r="T2609" s="7" t="inlineStr"/>
      <c r="U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8" t="n"/>
      <c r="M2610" s="8" t="n"/>
      <c r="N2610" s="8" t="n"/>
      <c r="O2610" s="8" t="n"/>
      <c r="P2610" s="8" t="n"/>
      <c r="Q2610" s="7" t="inlineStr">
        <is>
          <t>SEM COTAÇÃO</t>
        </is>
      </c>
      <c r="R2610" s="8" t="n"/>
      <c r="S2610" s="14" t="n"/>
      <c r="T2610" s="7" t="inlineStr"/>
      <c r="U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8" t="n"/>
      <c r="M2611" s="8" t="n"/>
      <c r="N2611" s="8" t="n"/>
      <c r="O2611" s="8" t="n"/>
      <c r="P2611" s="8" t="n"/>
      <c r="Q2611" s="7" t="inlineStr">
        <is>
          <t>SEM COTAÇÃO</t>
        </is>
      </c>
      <c r="R2611" s="8" t="n"/>
      <c r="S2611" s="14" t="n"/>
      <c r="T2611" s="7" t="inlineStr"/>
      <c r="U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8" t="n">
        <v>57.09</v>
      </c>
      <c r="M2612" s="8" t="n"/>
      <c r="N2612" s="15" t="n">
        <v>54.36</v>
      </c>
      <c r="O2612" s="8" t="n">
        <v>57.83</v>
      </c>
      <c r="P2612" s="8" t="n"/>
      <c r="Q2612" s="7" t="inlineStr">
        <is>
          <t>TAPAJOS</t>
        </is>
      </c>
      <c r="R2612" s="8" t="n">
        <v>54.36</v>
      </c>
      <c r="S2612" s="14">
        <f>R2612/H2612-1</f>
        <v/>
      </c>
      <c r="T2612" s="16" t="inlineStr">
        <is>
          <t>ACIMA +0.0%</t>
        </is>
      </c>
      <c r="U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8" t="n"/>
      <c r="M2613" s="8" t="n"/>
      <c r="N2613" s="15" t="n">
        <v>27.55</v>
      </c>
      <c r="O2613" s="8" t="n">
        <v>29.31</v>
      </c>
      <c r="P2613" s="8" t="n"/>
      <c r="Q2613" s="7" t="inlineStr">
        <is>
          <t>TAPAJOS</t>
        </is>
      </c>
      <c r="R2613" s="8" t="n">
        <v>27.55</v>
      </c>
      <c r="S2613" s="14">
        <f>R2613/H2613-1</f>
        <v/>
      </c>
      <c r="T2613" s="17" t="inlineStr">
        <is>
          <t>OK (≤ últ. compra)</t>
        </is>
      </c>
      <c r="U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8" t="n"/>
      <c r="M2614" s="8" t="n"/>
      <c r="N2614" s="8" t="n"/>
      <c r="O2614" s="8" t="n"/>
      <c r="P2614" s="8" t="n"/>
      <c r="Q2614" s="7" t="inlineStr">
        <is>
          <t>SEM COTAÇÃO</t>
        </is>
      </c>
      <c r="R2614" s="8" t="n"/>
      <c r="S2614" s="14" t="n"/>
      <c r="T2614" s="7" t="inlineStr"/>
      <c r="U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8" t="n"/>
      <c r="M2615" s="8" t="n"/>
      <c r="N2615" s="8" t="n"/>
      <c r="O2615" s="15" t="n">
        <v>19.86</v>
      </c>
      <c r="P2615" s="8" t="n"/>
      <c r="Q2615" s="7" t="inlineStr">
        <is>
          <t>NAZARIA</t>
        </is>
      </c>
      <c r="R2615" s="8" t="n">
        <v>19.86</v>
      </c>
      <c r="S2615" s="14">
        <f>R2615/H2615-1</f>
        <v/>
      </c>
      <c r="T2615" s="16" t="inlineStr">
        <is>
          <t>ACIMA +148.6%</t>
        </is>
      </c>
      <c r="U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8" t="n"/>
      <c r="M2616" s="8" t="n"/>
      <c r="N2616" s="8" t="n"/>
      <c r="O2616" s="8" t="n"/>
      <c r="P2616" s="8" t="n"/>
      <c r="Q2616" s="7" t="inlineStr">
        <is>
          <t>SEM COTAÇÃO</t>
        </is>
      </c>
      <c r="R2616" s="8" t="n"/>
      <c r="S2616" s="14" t="n"/>
      <c r="T2616" s="7" t="inlineStr"/>
      <c r="U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7" t="inlineStr">
        <is>
          <t>SEM COTAÇÃO</t>
        </is>
      </c>
      <c r="R2617" s="8" t="n"/>
      <c r="S2617" s="14" t="n"/>
      <c r="T2617" s="7" t="inlineStr"/>
      <c r="U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8.82</v>
      </c>
      <c r="K2618" s="8" t="n"/>
      <c r="L2618" s="8" t="n"/>
      <c r="M2618" s="8" t="n">
        <v>8.94</v>
      </c>
      <c r="N2618" s="15" t="n">
        <v>8.74</v>
      </c>
      <c r="O2618" s="8" t="n"/>
      <c r="P2618" s="8" t="n">
        <v>9.57</v>
      </c>
      <c r="Q2618" s="7" t="inlineStr">
        <is>
          <t>TAPAJOS</t>
        </is>
      </c>
      <c r="R2618" s="8" t="n">
        <v>8.74</v>
      </c>
      <c r="S2618" s="14">
        <f>R2618/H2618-1</f>
        <v/>
      </c>
      <c r="T2618" s="16" t="inlineStr">
        <is>
          <t>ACIMA +21.2%</t>
        </is>
      </c>
      <c r="U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8" t="n"/>
      <c r="M2619" s="8" t="n"/>
      <c r="N2619" s="8" t="n"/>
      <c r="O2619" s="15" t="n">
        <v>19.41</v>
      </c>
      <c r="P2619" s="8" t="n"/>
      <c r="Q2619" s="7" t="inlineStr">
        <is>
          <t>NAZARIA</t>
        </is>
      </c>
      <c r="R2619" s="8" t="n">
        <v>19.41</v>
      </c>
      <c r="S2619" s="14">
        <f>R2619/H2619-1</f>
        <v/>
      </c>
      <c r="T2619" s="16" t="inlineStr">
        <is>
          <t>ACIMA +35.8%</t>
        </is>
      </c>
      <c r="U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8" t="n"/>
      <c r="M2620" s="8" t="n"/>
      <c r="N2620" s="8" t="n"/>
      <c r="O2620" s="15" t="n">
        <v>19.41</v>
      </c>
      <c r="P2620" s="8" t="n"/>
      <c r="Q2620" s="7" t="inlineStr">
        <is>
          <t>NAZARIA</t>
        </is>
      </c>
      <c r="R2620" s="8" t="n">
        <v>19.41</v>
      </c>
      <c r="S2620" s="14">
        <f>R2620/H2620-1</f>
        <v/>
      </c>
      <c r="T2620" s="16" t="inlineStr">
        <is>
          <t>ACIMA +37.0%</t>
        </is>
      </c>
      <c r="U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8" t="n"/>
      <c r="M2621" s="8" t="n"/>
      <c r="N2621" s="8" t="n"/>
      <c r="O2621" s="15" t="n">
        <v>19.41</v>
      </c>
      <c r="P2621" s="8" t="n"/>
      <c r="Q2621" s="7" t="inlineStr">
        <is>
          <t>NAZARIA</t>
        </is>
      </c>
      <c r="R2621" s="8" t="n">
        <v>19.41</v>
      </c>
      <c r="S2621" s="14">
        <f>R2621/H2621-1</f>
        <v/>
      </c>
      <c r="T2621" s="16" t="inlineStr">
        <is>
          <t>ACIMA +39.4%</t>
        </is>
      </c>
      <c r="U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8" t="n"/>
      <c r="M2622" s="8" t="n"/>
      <c r="N2622" s="8" t="n"/>
      <c r="O2622" s="15" t="n">
        <v>23.3</v>
      </c>
      <c r="P2622" s="8" t="n"/>
      <c r="Q2622" s="7" t="inlineStr">
        <is>
          <t>NAZARIA</t>
        </is>
      </c>
      <c r="R2622" s="8" t="n">
        <v>23.3</v>
      </c>
      <c r="S2622" s="14">
        <f>R2622/H2622-1</f>
        <v/>
      </c>
      <c r="T2622" s="16" t="inlineStr">
        <is>
          <t>ACIMA +0.5%</t>
        </is>
      </c>
      <c r="U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8" t="n"/>
      <c r="M2623" s="8" t="n"/>
      <c r="N2623" s="8" t="n"/>
      <c r="O2623" s="15" t="n">
        <v>19.41</v>
      </c>
      <c r="P2623" s="8" t="n"/>
      <c r="Q2623" s="7" t="inlineStr">
        <is>
          <t>NAZARIA</t>
        </is>
      </c>
      <c r="R2623" s="8" t="n">
        <v>19.41</v>
      </c>
      <c r="S2623" s="14">
        <f>R2623/H2623-1</f>
        <v/>
      </c>
      <c r="T2623" s="16" t="inlineStr">
        <is>
          <t>ACIMA +35.4%</t>
        </is>
      </c>
      <c r="U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8" t="n"/>
      <c r="M2624" s="8" t="n"/>
      <c r="N2624" s="8" t="n"/>
      <c r="O2624" s="15" t="n">
        <v>19.41</v>
      </c>
      <c r="P2624" s="8" t="n"/>
      <c r="Q2624" s="7" t="inlineStr">
        <is>
          <t>NAZARIA</t>
        </is>
      </c>
      <c r="R2624" s="8" t="n">
        <v>19.41</v>
      </c>
      <c r="S2624" s="14">
        <f>R2624/H2624-1</f>
        <v/>
      </c>
      <c r="T2624" s="16" t="inlineStr">
        <is>
          <t>ACIMA +35.8%</t>
        </is>
      </c>
      <c r="U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8" t="n"/>
      <c r="M2625" s="8" t="n"/>
      <c r="N2625" s="8" t="n"/>
      <c r="O2625" s="8" t="n"/>
      <c r="P2625" s="8" t="n"/>
      <c r="Q2625" s="7" t="inlineStr">
        <is>
          <t>SEM COTAÇÃO</t>
        </is>
      </c>
      <c r="R2625" s="8" t="n"/>
      <c r="S2625" s="14" t="n"/>
      <c r="T2625" s="7" t="inlineStr"/>
      <c r="U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15" t="n">
        <v>19.44</v>
      </c>
      <c r="M2626" s="8" t="n"/>
      <c r="N2626" s="8" t="n">
        <v>25.13</v>
      </c>
      <c r="O2626" s="8" t="n">
        <v>26.32905</v>
      </c>
      <c r="P2626" s="8" t="n"/>
      <c r="Q2626" s="7" t="inlineStr">
        <is>
          <t>EPAN</t>
        </is>
      </c>
      <c r="R2626" s="8" t="n">
        <v>19.44</v>
      </c>
      <c r="S2626" s="14">
        <f>R2626/H2626-1</f>
        <v/>
      </c>
      <c r="T2626" s="17" t="inlineStr">
        <is>
          <t>OK (≤ últ. compra)</t>
        </is>
      </c>
      <c r="U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8" t="n"/>
      <c r="M2627" s="8" t="n"/>
      <c r="N2627" s="8" t="n"/>
      <c r="O2627" s="15" t="n">
        <v>29.95385</v>
      </c>
      <c r="P2627" s="8" t="n"/>
      <c r="Q2627" s="7" t="inlineStr">
        <is>
          <t>NAZARIA</t>
        </is>
      </c>
      <c r="R2627" s="8" t="n">
        <v>29.95385</v>
      </c>
      <c r="S2627" s="14">
        <f>R2627/H2627-1</f>
        <v/>
      </c>
      <c r="T2627" s="16" t="inlineStr">
        <is>
          <t>ACIMA +2.6%</t>
        </is>
      </c>
      <c r="U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8" t="n"/>
      <c r="M2628" s="8" t="n"/>
      <c r="N2628" s="8" t="n"/>
      <c r="O2628" s="15" t="n">
        <v>65.6798</v>
      </c>
      <c r="P2628" s="8" t="n"/>
      <c r="Q2628" s="7" t="inlineStr">
        <is>
          <t>NAZARIA</t>
        </is>
      </c>
      <c r="R2628" s="8" t="n">
        <v>65.6798</v>
      </c>
      <c r="S2628" s="14">
        <f>R2628/H2628-1</f>
        <v/>
      </c>
      <c r="T2628" s="16" t="inlineStr">
        <is>
          <t>ACIMA +6.5%</t>
        </is>
      </c>
      <c r="U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8" t="n"/>
      <c r="M2629" s="8" t="n"/>
      <c r="N2629" s="8" t="n"/>
      <c r="O2629" s="8" t="n"/>
      <c r="P2629" s="8" t="n"/>
      <c r="Q2629" s="7" t="inlineStr">
        <is>
          <t>SEM COTAÇÃO</t>
        </is>
      </c>
      <c r="R2629" s="8" t="n"/>
      <c r="S2629" s="14" t="n"/>
      <c r="T2629" s="7" t="inlineStr"/>
      <c r="U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8" t="n"/>
      <c r="M2630" s="8" t="n"/>
      <c r="N2630" s="8" t="n"/>
      <c r="O2630" s="8" t="n"/>
      <c r="P2630" s="8" t="n"/>
      <c r="Q2630" s="7" t="inlineStr">
        <is>
          <t>SEM COTAÇÃO</t>
        </is>
      </c>
      <c r="R2630" s="8" t="n"/>
      <c r="S2630" s="14" t="n"/>
      <c r="T2630" s="7" t="inlineStr"/>
      <c r="U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8" t="n"/>
      <c r="M2631" s="8" t="n"/>
      <c r="N2631" s="8" t="n"/>
      <c r="O2631" s="8" t="n"/>
      <c r="P2631" s="8" t="n"/>
      <c r="Q2631" s="7" t="inlineStr">
        <is>
          <t>SEM COTAÇÃO</t>
        </is>
      </c>
      <c r="R2631" s="8" t="n"/>
      <c r="S2631" s="14" t="n"/>
      <c r="T2631" s="7" t="inlineStr"/>
      <c r="U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8" t="n"/>
      <c r="M2632" s="8" t="n"/>
      <c r="N2632" s="8" t="n"/>
      <c r="O2632" s="8" t="n"/>
      <c r="P2632" s="8" t="n"/>
      <c r="Q2632" s="7" t="inlineStr">
        <is>
          <t>SEM COTAÇÃO</t>
        </is>
      </c>
      <c r="R2632" s="8" t="n"/>
      <c r="S2632" s="14" t="n"/>
      <c r="T2632" s="7" t="inlineStr"/>
      <c r="U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8" t="n"/>
      <c r="M2633" s="8" t="n"/>
      <c r="N2633" s="8" t="n"/>
      <c r="O2633" s="8" t="n"/>
      <c r="P2633" s="8" t="n"/>
      <c r="Q2633" s="7" t="inlineStr">
        <is>
          <t>SEM COTAÇÃO</t>
        </is>
      </c>
      <c r="R2633" s="8" t="n"/>
      <c r="S2633" s="14" t="n"/>
      <c r="T2633" s="7" t="inlineStr"/>
      <c r="U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8" t="n"/>
      <c r="M2634" s="8" t="n"/>
      <c r="N2634" s="8" t="n"/>
      <c r="O2634" s="8" t="n"/>
      <c r="P2634" s="8" t="n"/>
      <c r="Q2634" s="7" t="inlineStr">
        <is>
          <t>SEM COTAÇÃO</t>
        </is>
      </c>
      <c r="R2634" s="8" t="n"/>
      <c r="S2634" s="14" t="n"/>
      <c r="T2634" s="7" t="inlineStr"/>
      <c r="U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8" t="n"/>
      <c r="M2635" s="8" t="n"/>
      <c r="N2635" s="8" t="n"/>
      <c r="O2635" s="8" t="n"/>
      <c r="P2635" s="8" t="n"/>
      <c r="Q2635" s="7" t="inlineStr">
        <is>
          <t>SEM COTAÇÃO</t>
        </is>
      </c>
      <c r="R2635" s="8" t="n"/>
      <c r="S2635" s="14" t="n"/>
      <c r="T2635" s="7" t="inlineStr"/>
      <c r="U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8" t="n"/>
      <c r="M2636" s="8" t="n"/>
      <c r="N2636" s="8" t="n"/>
      <c r="O2636" s="8" t="n"/>
      <c r="P2636" s="8" t="n"/>
      <c r="Q2636" s="7" t="inlineStr">
        <is>
          <t>SEM COTAÇÃO</t>
        </is>
      </c>
      <c r="R2636" s="8" t="n"/>
      <c r="S2636" s="14" t="n"/>
      <c r="T2636" s="7" t="inlineStr"/>
      <c r="U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8" t="n"/>
      <c r="M2637" s="8" t="n"/>
      <c r="N2637" s="8" t="n"/>
      <c r="O2637" s="8" t="n"/>
      <c r="P2637" s="8" t="n"/>
      <c r="Q2637" s="7" t="inlineStr">
        <is>
          <t>SEM COTAÇÃO</t>
        </is>
      </c>
      <c r="R2637" s="8" t="n"/>
      <c r="S2637" s="14" t="n"/>
      <c r="T2637" s="7" t="inlineStr"/>
      <c r="U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8" t="n"/>
      <c r="M2638" s="8" t="n"/>
      <c r="N2638" s="8" t="n"/>
      <c r="O2638" s="8" t="n"/>
      <c r="P2638" s="8" t="n"/>
      <c r="Q2638" s="7" t="inlineStr">
        <is>
          <t>SEM COTAÇÃO</t>
        </is>
      </c>
      <c r="R2638" s="8" t="n"/>
      <c r="S2638" s="14" t="n"/>
      <c r="T2638" s="7" t="inlineStr"/>
      <c r="U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8" t="n"/>
      <c r="M2639" s="8" t="n"/>
      <c r="N2639" s="8" t="n"/>
      <c r="O2639" s="8" t="n"/>
      <c r="P2639" s="8" t="n"/>
      <c r="Q2639" s="7" t="inlineStr">
        <is>
          <t>SEM COTAÇÃO</t>
        </is>
      </c>
      <c r="R2639" s="8" t="n"/>
      <c r="S2639" s="14" t="n"/>
      <c r="T2639" s="7" t="inlineStr"/>
      <c r="U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8" t="n"/>
      <c r="M2640" s="8" t="n"/>
      <c r="N2640" s="8" t="n"/>
      <c r="O2640" s="8" t="n"/>
      <c r="P2640" s="8" t="n"/>
      <c r="Q2640" s="7" t="inlineStr">
        <is>
          <t>SEM COTAÇÃO</t>
        </is>
      </c>
      <c r="R2640" s="8" t="n"/>
      <c r="S2640" s="14" t="n"/>
      <c r="T2640" s="7" t="inlineStr"/>
      <c r="U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8" t="n"/>
      <c r="M2641" s="8" t="n"/>
      <c r="N2641" s="8" t="n"/>
      <c r="O2641" s="8" t="n"/>
      <c r="P2641" s="8" t="n"/>
      <c r="Q2641" s="7" t="inlineStr">
        <is>
          <t>SEM COTAÇÃO</t>
        </is>
      </c>
      <c r="R2641" s="8" t="n"/>
      <c r="S2641" s="14" t="n"/>
      <c r="T2641" s="7" t="inlineStr"/>
      <c r="U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8" t="n"/>
      <c r="M2642" s="8" t="n"/>
      <c r="N2642" s="8" t="n"/>
      <c r="O2642" s="8" t="n"/>
      <c r="P2642" s="8" t="n"/>
      <c r="Q2642" s="7" t="inlineStr">
        <is>
          <t>SEM COTAÇÃO</t>
        </is>
      </c>
      <c r="R2642" s="8" t="n"/>
      <c r="S2642" s="14" t="n"/>
      <c r="T2642" s="7" t="inlineStr"/>
      <c r="U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8" t="n"/>
      <c r="M2643" s="8" t="n"/>
      <c r="N2643" s="8" t="n"/>
      <c r="O2643" s="8" t="n"/>
      <c r="P2643" s="8" t="n"/>
      <c r="Q2643" s="7" t="inlineStr">
        <is>
          <t>SEM COTAÇÃO</t>
        </is>
      </c>
      <c r="R2643" s="8" t="n"/>
      <c r="S2643" s="14" t="n"/>
      <c r="T2643" s="7" t="inlineStr"/>
      <c r="U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8" t="n"/>
      <c r="M2644" s="8" t="n"/>
      <c r="N2644" s="8" t="n"/>
      <c r="O2644" s="8" t="n"/>
      <c r="P2644" s="8" t="n"/>
      <c r="Q2644" s="7" t="inlineStr">
        <is>
          <t>SEM COTAÇÃO</t>
        </is>
      </c>
      <c r="R2644" s="8" t="n"/>
      <c r="S2644" s="14" t="n"/>
      <c r="T2644" s="7" t="inlineStr"/>
      <c r="U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8" t="n"/>
      <c r="M2645" s="8" t="n"/>
      <c r="N2645" s="8" t="n"/>
      <c r="O2645" s="8" t="n"/>
      <c r="P2645" s="8" t="n"/>
      <c r="Q2645" s="7" t="inlineStr">
        <is>
          <t>SEM COTAÇÃO</t>
        </is>
      </c>
      <c r="R2645" s="8" t="n"/>
      <c r="S2645" s="14" t="n"/>
      <c r="T2645" s="7" t="inlineStr"/>
      <c r="U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8" t="n">
        <v>19.95</v>
      </c>
      <c r="M2646" s="8" t="n"/>
      <c r="N2646" s="8" t="n"/>
      <c r="O2646" s="8" t="n">
        <v>18.83</v>
      </c>
      <c r="P2646" s="15" t="n">
        <v>19.74</v>
      </c>
      <c r="Q2646" s="7" t="inlineStr">
        <is>
          <t>MEDCENTRO</t>
        </is>
      </c>
      <c r="R2646" s="8" t="n">
        <v>19.74</v>
      </c>
      <c r="S2646" s="14">
        <f>R2646/H2646-1</f>
        <v/>
      </c>
      <c r="T2646" s="16" t="inlineStr">
        <is>
          <t>ACIMA +18.0%</t>
        </is>
      </c>
      <c r="U2646" s="7" t="inlineStr">
        <is>
          <t>EPAN: sem estoque; 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8" t="n">
        <v>19.53</v>
      </c>
      <c r="M2647" s="8" t="n"/>
      <c r="N2647" s="15" t="n">
        <v>18.59</v>
      </c>
      <c r="O2647" s="8" t="n">
        <v>19.78</v>
      </c>
      <c r="P2647" s="8" t="n"/>
      <c r="Q2647" s="7" t="inlineStr">
        <is>
          <t>TAPAJOS</t>
        </is>
      </c>
      <c r="R2647" s="8" t="n">
        <v>18.59</v>
      </c>
      <c r="S2647" s="14">
        <f>R2647/H2647-1</f>
        <v/>
      </c>
      <c r="T2647" s="17" t="inlineStr">
        <is>
          <t>OK (≤ últ. compra)</t>
        </is>
      </c>
      <c r="U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8" t="n"/>
      <c r="M2648" s="8" t="n"/>
      <c r="N2648" s="8" t="n"/>
      <c r="O2648" s="8" t="n">
        <v>13.15</v>
      </c>
      <c r="P2648" s="8" t="n"/>
      <c r="Q2648" s="7" t="inlineStr">
        <is>
          <t>SEM COTAÇÃO</t>
        </is>
      </c>
      <c r="R2648" s="8" t="n"/>
      <c r="S2648" s="14" t="n"/>
      <c r="T2648" s="7" t="inlineStr"/>
      <c r="U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8" t="n"/>
      <c r="M2649" s="8" t="n">
        <v>14.15</v>
      </c>
      <c r="N2649" s="15" t="n">
        <v>11.33</v>
      </c>
      <c r="O2649" s="8" t="n">
        <v>14.07</v>
      </c>
      <c r="P2649" s="8" t="n">
        <v>15.44</v>
      </c>
      <c r="Q2649" s="7" t="inlineStr">
        <is>
          <t>TAPAJOS</t>
        </is>
      </c>
      <c r="R2649" s="8" t="n">
        <v>11.33</v>
      </c>
      <c r="S2649" s="14">
        <f>R2649/H2649-1</f>
        <v/>
      </c>
      <c r="T2649" s="17" t="inlineStr">
        <is>
          <t>OK (≤ menor hist.)</t>
        </is>
      </c>
      <c r="U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8" t="n"/>
      <c r="M2650" s="8" t="n">
        <v>13.95</v>
      </c>
      <c r="N2650" s="15" t="n">
        <v>11.16</v>
      </c>
      <c r="O2650" s="8" t="n">
        <v>13.86</v>
      </c>
      <c r="P2650" s="8" t="n">
        <v>15.34</v>
      </c>
      <c r="Q2650" s="7" t="inlineStr">
        <is>
          <t>TAPAJOS</t>
        </is>
      </c>
      <c r="R2650" s="8" t="n">
        <v>11.16</v>
      </c>
      <c r="S2650" s="14">
        <f>R2650/H2650-1</f>
        <v/>
      </c>
      <c r="T2650" s="16" t="inlineStr">
        <is>
          <t>ACIMA +167.6%</t>
        </is>
      </c>
      <c r="U2650" s="7" t="inlineStr">
        <is>
          <t>CENTROFARMA: conferir emb.; TAPAJOS: conferir emb.; NAZARIA: estoque parcial (1 un); conferir emb.; MEDCENTRO: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8" t="n">
        <v>48.17</v>
      </c>
      <c r="M2651" s="8" t="n"/>
      <c r="N2651" s="8" t="n"/>
      <c r="O2651" s="15" t="n">
        <v>46.8384</v>
      </c>
      <c r="P2651" s="8" t="n"/>
      <c r="Q2651" s="7" t="inlineStr">
        <is>
          <t>NAZARIA</t>
        </is>
      </c>
      <c r="R2651" s="8" t="n">
        <v>46.8384</v>
      </c>
      <c r="S2651" s="14">
        <f>R2651/H2651-1</f>
        <v/>
      </c>
      <c r="T2651" s="17" t="inlineStr">
        <is>
          <t>OK (≤ últ. compra)</t>
        </is>
      </c>
      <c r="U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8" t="n"/>
      <c r="M2652" s="8" t="n"/>
      <c r="N2652" s="8" t="n"/>
      <c r="O2652" s="15" t="n">
        <v>44.18</v>
      </c>
      <c r="P2652" s="8" t="n"/>
      <c r="Q2652" s="7" t="inlineStr">
        <is>
          <t>NAZARIA</t>
        </is>
      </c>
      <c r="R2652" s="8" t="n">
        <v>44.18</v>
      </c>
      <c r="S2652" s="14">
        <f>R2652/H2652-1</f>
        <v/>
      </c>
      <c r="T2652" s="16" t="inlineStr">
        <is>
          <t>ACIMA +25.0%</t>
        </is>
      </c>
      <c r="U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8" t="n"/>
      <c r="M2653" s="8" t="n"/>
      <c r="N2653" s="8" t="n"/>
      <c r="O2653" s="8" t="n"/>
      <c r="P2653" s="8" t="n"/>
      <c r="Q2653" s="7" t="inlineStr">
        <is>
          <t>SEM COTAÇÃO</t>
        </is>
      </c>
      <c r="R2653" s="8" t="n"/>
      <c r="S2653" s="14" t="n"/>
      <c r="T2653" s="7" t="inlineStr"/>
      <c r="U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7" t="inlineStr">
        <is>
          <t>SEM COTAÇÃO</t>
        </is>
      </c>
      <c r="R2654" s="8" t="n"/>
      <c r="S2654" s="14" t="n"/>
      <c r="T2654" s="7" t="inlineStr"/>
      <c r="U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8" t="n"/>
      <c r="M2655" s="8" t="n"/>
      <c r="N2655" s="8" t="n"/>
      <c r="O2655" s="8" t="n"/>
      <c r="P2655" s="8" t="n"/>
      <c r="Q2655" s="7" t="inlineStr">
        <is>
          <t>SEM COTAÇÃO</t>
        </is>
      </c>
      <c r="R2655" s="8" t="n"/>
      <c r="S2655" s="14" t="n"/>
      <c r="T2655" s="7" t="inlineStr"/>
      <c r="U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8" t="n"/>
      <c r="M2656" s="8" t="n"/>
      <c r="N2656" s="8" t="n"/>
      <c r="O2656" s="8" t="n"/>
      <c r="P2656" s="8" t="n"/>
      <c r="Q2656" s="7" t="inlineStr">
        <is>
          <t>SEM COTAÇÃO</t>
        </is>
      </c>
      <c r="R2656" s="8" t="n"/>
      <c r="S2656" s="14" t="n"/>
      <c r="T2656" s="7" t="inlineStr"/>
      <c r="U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8" t="n"/>
      <c r="M2657" s="8" t="n"/>
      <c r="N2657" s="8" t="n"/>
      <c r="O2657" s="15" t="n">
        <v>37.3</v>
      </c>
      <c r="P2657" s="8" t="n"/>
      <c r="Q2657" s="7" t="inlineStr">
        <is>
          <t>NAZARIA</t>
        </is>
      </c>
      <c r="R2657" s="8" t="n">
        <v>37.3</v>
      </c>
      <c r="S2657" s="14">
        <f>R2657/H2657-1</f>
        <v/>
      </c>
      <c r="T2657" s="16" t="inlineStr">
        <is>
          <t>ACIMA +11.8%</t>
        </is>
      </c>
      <c r="U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8" t="n"/>
      <c r="M2658" s="8" t="n"/>
      <c r="N2658" s="8" t="n"/>
      <c r="O2658" s="8" t="n"/>
      <c r="P2658" s="8" t="n"/>
      <c r="Q2658" s="7" t="inlineStr">
        <is>
          <t>SEM COTAÇÃO</t>
        </is>
      </c>
      <c r="R2658" s="8" t="n"/>
      <c r="S2658" s="14" t="n"/>
      <c r="T2658" s="7" t="inlineStr"/>
      <c r="U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8" t="n"/>
      <c r="M2659" s="8" t="n">
        <v>12.22</v>
      </c>
      <c r="N2659" s="8" t="n"/>
      <c r="O2659" s="8" t="n"/>
      <c r="P2659" s="8" t="n">
        <v>14.22</v>
      </c>
      <c r="Q2659" s="7" t="inlineStr">
        <is>
          <t>DIMEC</t>
        </is>
      </c>
      <c r="R2659" s="8" t="n">
        <v>11.49</v>
      </c>
      <c r="S2659" s="14">
        <f>R2659/H2659-1</f>
        <v/>
      </c>
      <c r="T2659" s="17" t="inlineStr">
        <is>
          <t>OK (≤ menor hist.)</t>
        </is>
      </c>
      <c r="U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8" t="n"/>
      <c r="M2660" s="8" t="n"/>
      <c r="N2660" s="8" t="n"/>
      <c r="O2660" s="8" t="n"/>
      <c r="P2660" s="8" t="n"/>
      <c r="Q2660" s="7" t="inlineStr">
        <is>
          <t>SEM COTAÇÃO</t>
        </is>
      </c>
      <c r="R2660" s="8" t="n"/>
      <c r="S2660" s="14" t="n"/>
      <c r="T2660" s="7" t="inlineStr"/>
      <c r="U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8" t="n"/>
      <c r="M2661" s="8" t="n"/>
      <c r="N2661" s="8" t="n"/>
      <c r="O2661" s="8" t="n"/>
      <c r="P2661" s="8" t="n"/>
      <c r="Q2661" s="7" t="inlineStr">
        <is>
          <t>SEM COTAÇÃO</t>
        </is>
      </c>
      <c r="R2661" s="8" t="n"/>
      <c r="S2661" s="14" t="n"/>
      <c r="T2661" s="7" t="inlineStr"/>
      <c r="U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8" t="n"/>
      <c r="M2662" s="8" t="n"/>
      <c r="N2662" s="8" t="n"/>
      <c r="O2662" s="8" t="n"/>
      <c r="P2662" s="8" t="n"/>
      <c r="Q2662" s="7" t="inlineStr">
        <is>
          <t>SEM COTAÇÃO</t>
        </is>
      </c>
      <c r="R2662" s="8" t="n"/>
      <c r="S2662" s="14" t="n"/>
      <c r="T2662" s="7" t="inlineStr"/>
      <c r="U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8" t="n"/>
      <c r="M2663" s="8" t="n"/>
      <c r="N2663" s="8" t="n"/>
      <c r="O2663" s="15" t="n">
        <v>43.91</v>
      </c>
      <c r="P2663" s="8" t="n"/>
      <c r="Q2663" s="7" t="inlineStr">
        <is>
          <t>NAZARIA</t>
        </is>
      </c>
      <c r="R2663" s="8" t="n">
        <v>43.91</v>
      </c>
      <c r="S2663" s="14">
        <f>R2663/H2663-1</f>
        <v/>
      </c>
      <c r="T2663" s="16" t="inlineStr">
        <is>
          <t>ACIMA +14.9%</t>
        </is>
      </c>
      <c r="U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>
        <v>49.17</v>
      </c>
      <c r="P2664" s="8" t="n"/>
      <c r="Q2664" s="7" t="inlineStr">
        <is>
          <t>SEM COTAÇÃO</t>
        </is>
      </c>
      <c r="R2664" s="8" t="n"/>
      <c r="S2664" s="14" t="n"/>
      <c r="T2664" s="7" t="inlineStr"/>
      <c r="U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8" t="n"/>
      <c r="M2665" s="8" t="n"/>
      <c r="N2665" s="8" t="n"/>
      <c r="O2665" s="15" t="n">
        <v>97.95999999999999</v>
      </c>
      <c r="P2665" s="8" t="n"/>
      <c r="Q2665" s="7" t="inlineStr">
        <is>
          <t>NAZARIA</t>
        </is>
      </c>
      <c r="R2665" s="8" t="n">
        <v>97.95999999999999</v>
      </c>
      <c r="S2665" s="14">
        <f>R2665/H2665-1</f>
        <v/>
      </c>
      <c r="T2665" s="16" t="inlineStr">
        <is>
          <t>ACIMA +24.8%</t>
        </is>
      </c>
      <c r="U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7" t="inlineStr">
        <is>
          <t>SEM COTAÇÃO</t>
        </is>
      </c>
      <c r="R2666" s="8" t="n"/>
      <c r="S2666" s="14" t="n"/>
      <c r="T2666" s="7" t="inlineStr"/>
      <c r="U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15" t="n">
        <v>38.97</v>
      </c>
      <c r="P2667" s="8" t="n"/>
      <c r="Q2667" s="7" t="inlineStr">
        <is>
          <t>NAZARIA</t>
        </is>
      </c>
      <c r="R2667" s="8" t="n">
        <v>38.97</v>
      </c>
      <c r="S2667" s="14" t="n"/>
      <c r="T2667" s="7" t="inlineStr">
        <is>
          <t>SEM HISTÓRICO</t>
        </is>
      </c>
      <c r="U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8" t="n"/>
      <c r="M2668" s="8" t="n"/>
      <c r="N2668" s="8" t="n"/>
      <c r="O2668" s="15" t="n">
        <v>86.87</v>
      </c>
      <c r="P2668" s="8" t="n"/>
      <c r="Q2668" s="7" t="inlineStr">
        <is>
          <t>NAZARIA</t>
        </is>
      </c>
      <c r="R2668" s="8" t="n">
        <v>86.87</v>
      </c>
      <c r="S2668" s="14">
        <f>R2668/H2668-1</f>
        <v/>
      </c>
      <c r="T2668" s="16" t="inlineStr">
        <is>
          <t>ACIMA +171.6%</t>
        </is>
      </c>
      <c r="U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7" t="inlineStr">
        <is>
          <t>SEM COTAÇÃO</t>
        </is>
      </c>
      <c r="R2669" s="8" t="n"/>
      <c r="S2669" s="14" t="n"/>
      <c r="T2669" s="7" t="inlineStr"/>
      <c r="U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8" t="n"/>
      <c r="M2670" s="8" t="n"/>
      <c r="N2670" s="8" t="n"/>
      <c r="O2670" s="8" t="n"/>
      <c r="P2670" s="8" t="n"/>
      <c r="Q2670" s="7" t="inlineStr">
        <is>
          <t>SEM COTAÇÃO</t>
        </is>
      </c>
      <c r="R2670" s="8" t="n"/>
      <c r="S2670" s="14" t="n"/>
      <c r="T2670" s="7" t="inlineStr"/>
      <c r="U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8" t="n"/>
      <c r="M2671" s="8" t="n"/>
      <c r="N2671" s="8" t="n"/>
      <c r="O2671" s="8" t="n"/>
      <c r="P2671" s="8" t="n"/>
      <c r="Q2671" s="7" t="inlineStr">
        <is>
          <t>SEM COTAÇÃO</t>
        </is>
      </c>
      <c r="R2671" s="8" t="n"/>
      <c r="S2671" s="14" t="n"/>
      <c r="T2671" s="7" t="inlineStr"/>
      <c r="U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8" t="n"/>
      <c r="M2672" s="8" t="n"/>
      <c r="N2672" s="8" t="n"/>
      <c r="O2672" s="15" t="n">
        <v>19.18</v>
      </c>
      <c r="P2672" s="8" t="n"/>
      <c r="Q2672" s="7" t="inlineStr">
        <is>
          <t>NAZARIA</t>
        </is>
      </c>
      <c r="R2672" s="8" t="n">
        <v>19.18</v>
      </c>
      <c r="S2672" s="14">
        <f>R2672/H2672-1</f>
        <v/>
      </c>
      <c r="T2672" s="17" t="inlineStr">
        <is>
          <t>OK (≤ menor hist.)</t>
        </is>
      </c>
      <c r="U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8" t="n"/>
      <c r="M2673" s="8" t="n"/>
      <c r="N2673" s="8" t="n"/>
      <c r="O2673" s="8" t="n"/>
      <c r="P2673" s="8" t="n"/>
      <c r="Q2673" s="7" t="inlineStr">
        <is>
          <t>SEM COTAÇÃO</t>
        </is>
      </c>
      <c r="R2673" s="8" t="n"/>
      <c r="S2673" s="14" t="n"/>
      <c r="T2673" s="7" t="inlineStr"/>
      <c r="U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8" t="n"/>
      <c r="M2674" s="8" t="n"/>
      <c r="N2674" s="8" t="n"/>
      <c r="O2674" s="8" t="n">
        <v>21.33</v>
      </c>
      <c r="P2674" s="8" t="n"/>
      <c r="Q2674" s="7" t="inlineStr">
        <is>
          <t>DIMEC</t>
        </is>
      </c>
      <c r="R2674" s="8" t="n">
        <v>14.85</v>
      </c>
      <c r="S2674" s="14">
        <f>R2674/H2674-1</f>
        <v/>
      </c>
      <c r="T2674" s="17" t="inlineStr">
        <is>
          <t>OK (≤ menor hist.)</t>
        </is>
      </c>
      <c r="U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8" t="n"/>
      <c r="M2675" s="8" t="n"/>
      <c r="N2675" s="8" t="n"/>
      <c r="O2675" s="15" t="n">
        <v>39.92</v>
      </c>
      <c r="P2675" s="8" t="n"/>
      <c r="Q2675" s="7" t="inlineStr">
        <is>
          <t>NAZARIA</t>
        </is>
      </c>
      <c r="R2675" s="8" t="n">
        <v>39.92</v>
      </c>
      <c r="S2675" s="14">
        <f>R2675/H2675-1</f>
        <v/>
      </c>
      <c r="T2675" s="16" t="inlineStr">
        <is>
          <t>ACIMA +9.4%</t>
        </is>
      </c>
      <c r="U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8" t="n"/>
      <c r="M2676" s="8" t="n"/>
      <c r="N2676" s="8" t="n"/>
      <c r="O2676" s="15" t="n">
        <v>39.92</v>
      </c>
      <c r="P2676" s="8" t="n"/>
      <c r="Q2676" s="7" t="inlineStr">
        <is>
          <t>NAZARIA</t>
        </is>
      </c>
      <c r="R2676" s="8" t="n">
        <v>39.92</v>
      </c>
      <c r="S2676" s="14">
        <f>R2676/H2676-1</f>
        <v/>
      </c>
      <c r="T2676" s="16" t="inlineStr">
        <is>
          <t>ACIMA +4.1%</t>
        </is>
      </c>
      <c r="U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7" t="inlineStr">
        <is>
          <t>SEM COTAÇÃO</t>
        </is>
      </c>
      <c r="R2677" s="8" t="n"/>
      <c r="S2677" s="14" t="n"/>
      <c r="T2677" s="7" t="inlineStr"/>
      <c r="U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8" t="n"/>
      <c r="M2678" s="8" t="n"/>
      <c r="N2678" s="8" t="n"/>
      <c r="O2678" s="15" t="n">
        <v>42.04</v>
      </c>
      <c r="P2678" s="8" t="n"/>
      <c r="Q2678" s="7" t="inlineStr">
        <is>
          <t>NAZARIA</t>
        </is>
      </c>
      <c r="R2678" s="8" t="n">
        <v>42.04</v>
      </c>
      <c r="S2678" s="14">
        <f>R2678/H2678-1</f>
        <v/>
      </c>
      <c r="T2678" s="16" t="inlineStr">
        <is>
          <t>ACIMA +29.0%</t>
        </is>
      </c>
      <c r="U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8" t="n"/>
      <c r="M2679" s="8" t="n"/>
      <c r="N2679" s="8" t="n"/>
      <c r="O2679" s="8" t="n"/>
      <c r="P2679" s="8" t="n"/>
      <c r="Q2679" s="7" t="inlineStr">
        <is>
          <t>SEM COTAÇÃO</t>
        </is>
      </c>
      <c r="R2679" s="8" t="n"/>
      <c r="S2679" s="14" t="n"/>
      <c r="T2679" s="7" t="inlineStr"/>
      <c r="U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7" t="inlineStr">
        <is>
          <t>SEM COTAÇÃO</t>
        </is>
      </c>
      <c r="R2680" s="8" t="n"/>
      <c r="S2680" s="14" t="n"/>
      <c r="T2680" s="7" t="inlineStr"/>
      <c r="U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7" t="inlineStr">
        <is>
          <t>SEM COTAÇÃO</t>
        </is>
      </c>
      <c r="R2681" s="8" t="n"/>
      <c r="S2681" s="14" t="n"/>
      <c r="T2681" s="7" t="inlineStr"/>
      <c r="U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7" t="inlineStr">
        <is>
          <t>SEM COTAÇÃO</t>
        </is>
      </c>
      <c r="R2682" s="8" t="n"/>
      <c r="S2682" s="14" t="n"/>
      <c r="T2682" s="7" t="inlineStr"/>
      <c r="U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7" t="inlineStr">
        <is>
          <t>SEM COTAÇÃO</t>
        </is>
      </c>
      <c r="R2683" s="8" t="n"/>
      <c r="S2683" s="14" t="n"/>
      <c r="T2683" s="7" t="inlineStr"/>
      <c r="U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8" t="n"/>
      <c r="M2684" s="8" t="n"/>
      <c r="N2684" s="8" t="n"/>
      <c r="O2684" s="8" t="n"/>
      <c r="P2684" s="8" t="n"/>
      <c r="Q2684" s="7" t="inlineStr">
        <is>
          <t>SEM COTAÇÃO</t>
        </is>
      </c>
      <c r="R2684" s="8" t="n"/>
      <c r="S2684" s="14" t="n"/>
      <c r="T2684" s="7" t="inlineStr"/>
      <c r="U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8" t="n"/>
      <c r="M2685" s="8" t="n"/>
      <c r="N2685" s="8" t="n"/>
      <c r="O2685" s="8" t="n">
        <v>20.5</v>
      </c>
      <c r="P2685" s="8" t="n"/>
      <c r="Q2685" s="7" t="inlineStr">
        <is>
          <t>DIMEC</t>
        </is>
      </c>
      <c r="R2685" s="8" t="n">
        <v>14.85</v>
      </c>
      <c r="S2685" s="14">
        <f>R2685/H2685-1</f>
        <v/>
      </c>
      <c r="T2685" s="17" t="inlineStr">
        <is>
          <t>OK (≤ menor hist.)</t>
        </is>
      </c>
      <c r="U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8" t="n"/>
      <c r="M2686" s="8" t="n"/>
      <c r="N2686" s="8" t="n"/>
      <c r="O2686" s="15" t="n">
        <v>22.22</v>
      </c>
      <c r="P2686" s="8" t="n"/>
      <c r="Q2686" s="7" t="inlineStr">
        <is>
          <t>NAZARIA</t>
        </is>
      </c>
      <c r="R2686" s="8" t="n">
        <v>22.22</v>
      </c>
      <c r="S2686" s="14">
        <f>R2686/H2686-1</f>
        <v/>
      </c>
      <c r="T2686" s="16" t="inlineStr">
        <is>
          <t>ACIMA +3.9%</t>
        </is>
      </c>
      <c r="U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8" t="n"/>
      <c r="M2687" s="8" t="n"/>
      <c r="N2687" s="8" t="n"/>
      <c r="O2687" s="8" t="n">
        <v>17.73</v>
      </c>
      <c r="P2687" s="8" t="n"/>
      <c r="Q2687" s="7" t="inlineStr">
        <is>
          <t>DIMEC</t>
        </is>
      </c>
      <c r="R2687" s="8" t="n">
        <v>14.85</v>
      </c>
      <c r="S2687" s="14">
        <f>R2687/H2687-1</f>
        <v/>
      </c>
      <c r="T2687" s="16" t="inlineStr">
        <is>
          <t>ACIMA +48.6%</t>
        </is>
      </c>
      <c r="U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8" t="n"/>
      <c r="M2688" s="8" t="n"/>
      <c r="N2688" s="8" t="n"/>
      <c r="O2688" s="8" t="n"/>
      <c r="P2688" s="8" t="n"/>
      <c r="Q2688" s="7" t="inlineStr">
        <is>
          <t>SEM COTAÇÃO</t>
        </is>
      </c>
      <c r="R2688" s="8" t="n"/>
      <c r="S2688" s="14" t="n"/>
      <c r="T2688" s="7" t="inlineStr"/>
      <c r="U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8" t="n"/>
      <c r="M2689" s="8" t="n"/>
      <c r="N2689" s="8" t="n"/>
      <c r="O2689" s="8" t="n">
        <v>19.61</v>
      </c>
      <c r="P2689" s="8" t="n"/>
      <c r="Q2689" s="7" t="inlineStr">
        <is>
          <t>DIMEC</t>
        </is>
      </c>
      <c r="R2689" s="8" t="n">
        <v>12.62</v>
      </c>
      <c r="S2689" s="14">
        <f>R2689/H2689-1</f>
        <v/>
      </c>
      <c r="T2689" s="16" t="inlineStr">
        <is>
          <t>ACIMA +40.4%</t>
        </is>
      </c>
      <c r="U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8" t="n"/>
      <c r="M2690" s="8" t="n"/>
      <c r="N2690" s="8" t="n"/>
      <c r="O2690" s="8" t="n"/>
      <c r="P2690" s="8" t="n"/>
      <c r="Q2690" s="7" t="inlineStr">
        <is>
          <t>SEM COTAÇÃO</t>
        </is>
      </c>
      <c r="R2690" s="8" t="n"/>
      <c r="S2690" s="14" t="n"/>
      <c r="T2690" s="7" t="inlineStr"/>
      <c r="U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8" t="n"/>
      <c r="M2691" s="8" t="n"/>
      <c r="N2691" s="8" t="n"/>
      <c r="O2691" s="8" t="n"/>
      <c r="P2691" s="8" t="n"/>
      <c r="Q2691" s="7" t="inlineStr">
        <is>
          <t>SEM COTAÇÃO</t>
        </is>
      </c>
      <c r="R2691" s="8" t="n"/>
      <c r="S2691" s="14" t="n"/>
      <c r="T2691" s="7" t="inlineStr"/>
      <c r="U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8" t="n"/>
      <c r="M2692" s="8" t="n"/>
      <c r="N2692" s="8" t="n"/>
      <c r="O2692" s="8" t="n">
        <v>21.28</v>
      </c>
      <c r="P2692" s="8" t="n"/>
      <c r="Q2692" s="7" t="inlineStr">
        <is>
          <t>DIMEC</t>
        </is>
      </c>
      <c r="R2692" s="8" t="n">
        <v>13.85</v>
      </c>
      <c r="S2692" s="14">
        <f>R2692/H2692-1</f>
        <v/>
      </c>
      <c r="T2692" s="16" t="inlineStr">
        <is>
          <t>ACIMA +26.0%</t>
        </is>
      </c>
      <c r="U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8" t="n"/>
      <c r="M2693" s="8" t="n"/>
      <c r="N2693" s="8" t="n"/>
      <c r="O2693" s="8" t="n"/>
      <c r="P2693" s="8" t="n"/>
      <c r="Q2693" s="7" t="inlineStr">
        <is>
          <t>SEM COTAÇÃO</t>
        </is>
      </c>
      <c r="R2693" s="8" t="n"/>
      <c r="S2693" s="14" t="n"/>
      <c r="T2693" s="7" t="inlineStr"/>
      <c r="U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7" t="inlineStr">
        <is>
          <t>SEM COTAÇÃO</t>
        </is>
      </c>
      <c r="R2694" s="8" t="n"/>
      <c r="S2694" s="14" t="n"/>
      <c r="T2694" s="7" t="inlineStr"/>
      <c r="U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8" t="n"/>
      <c r="M2695" s="8" t="n"/>
      <c r="N2695" s="8" t="n"/>
      <c r="O2695" s="8" t="n"/>
      <c r="P2695" s="8" t="n"/>
      <c r="Q2695" s="7" t="inlineStr">
        <is>
          <t>SEM COTAÇÃO</t>
        </is>
      </c>
      <c r="R2695" s="8" t="n"/>
      <c r="S2695" s="14" t="n"/>
      <c r="T2695" s="7" t="inlineStr"/>
      <c r="U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8" t="n"/>
      <c r="M2696" s="8" t="n"/>
      <c r="N2696" s="8" t="n"/>
      <c r="O2696" s="8" t="n"/>
      <c r="P2696" s="8" t="n"/>
      <c r="Q2696" s="7" t="inlineStr">
        <is>
          <t>DIMEC</t>
        </is>
      </c>
      <c r="R2696" s="8" t="n">
        <v>13.5</v>
      </c>
      <c r="S2696" s="14">
        <f>R2696/H2696-1</f>
        <v/>
      </c>
      <c r="T2696" s="17" t="inlineStr">
        <is>
          <t>OK (≤ menor hist.)</t>
        </is>
      </c>
      <c r="U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8" t="n"/>
      <c r="M2697" s="8" t="n"/>
      <c r="N2697" s="8" t="n"/>
      <c r="O2697" s="8" t="n"/>
      <c r="P2697" s="8" t="n"/>
      <c r="Q2697" s="7" t="inlineStr">
        <is>
          <t>SEM COTAÇÃO</t>
        </is>
      </c>
      <c r="R2697" s="8" t="n"/>
      <c r="S2697" s="14" t="n"/>
      <c r="T2697" s="7" t="inlineStr"/>
      <c r="U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8" t="n"/>
      <c r="M2698" s="8" t="n"/>
      <c r="N2698" s="8" t="n"/>
      <c r="O2698" s="15" t="n">
        <v>26.54</v>
      </c>
      <c r="P2698" s="8" t="n"/>
      <c r="Q2698" s="7" t="inlineStr">
        <is>
          <t>NAZARIA</t>
        </is>
      </c>
      <c r="R2698" s="8" t="n">
        <v>26.54</v>
      </c>
      <c r="S2698" s="14">
        <f>R2698/H2698-1</f>
        <v/>
      </c>
      <c r="T2698" s="17" t="inlineStr">
        <is>
          <t>OK (≤ menor hist.)</t>
        </is>
      </c>
      <c r="U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8" t="n"/>
      <c r="M2699" s="8" t="n"/>
      <c r="N2699" s="8" t="n"/>
      <c r="O2699" s="8" t="n"/>
      <c r="P2699" s="8" t="n"/>
      <c r="Q2699" s="7" t="inlineStr">
        <is>
          <t>SEM COTAÇÃO</t>
        </is>
      </c>
      <c r="R2699" s="8" t="n"/>
      <c r="S2699" s="14" t="n"/>
      <c r="T2699" s="7" t="inlineStr"/>
      <c r="U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8" t="n"/>
      <c r="M2700" s="8" t="n"/>
      <c r="N2700" s="8" t="n"/>
      <c r="O2700" s="8" t="n"/>
      <c r="P2700" s="8" t="n"/>
      <c r="Q2700" s="7" t="inlineStr">
        <is>
          <t>SEM COTAÇÃO</t>
        </is>
      </c>
      <c r="R2700" s="8" t="n"/>
      <c r="S2700" s="14" t="n"/>
      <c r="T2700" s="7" t="inlineStr"/>
      <c r="U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10.52</v>
      </c>
      <c r="K2701" s="8" t="n"/>
      <c r="L2701" s="8" t="n"/>
      <c r="M2701" s="8" t="n">
        <v>11.13</v>
      </c>
      <c r="N2701" s="15" t="n">
        <v>8.94</v>
      </c>
      <c r="O2701" s="8" t="n"/>
      <c r="P2701" s="8" t="n">
        <v>12.44</v>
      </c>
      <c r="Q2701" s="7" t="inlineStr">
        <is>
          <t>TAPAJOS</t>
        </is>
      </c>
      <c r="R2701" s="8" t="n">
        <v>8.94</v>
      </c>
      <c r="S2701" s="14">
        <f>R2701/H2701-1</f>
        <v/>
      </c>
      <c r="T2701" s="17" t="inlineStr">
        <is>
          <t>OK (≤ menor hist.)</t>
        </is>
      </c>
      <c r="U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8" t="n"/>
      <c r="M2702" s="8" t="n"/>
      <c r="N2702" s="8" t="n"/>
      <c r="O2702" s="8" t="n"/>
      <c r="P2702" s="8" t="n"/>
      <c r="Q2702" s="7" t="inlineStr">
        <is>
          <t>SEM COTAÇÃO</t>
        </is>
      </c>
      <c r="R2702" s="8" t="n"/>
      <c r="S2702" s="14" t="n"/>
      <c r="T2702" s="7" t="inlineStr"/>
      <c r="U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8" t="n"/>
      <c r="M2703" s="8" t="n"/>
      <c r="N2703" s="8" t="n"/>
      <c r="O2703" s="8" t="n"/>
      <c r="P2703" s="8" t="n"/>
      <c r="Q2703" s="7" t="inlineStr">
        <is>
          <t>DIMEC</t>
        </is>
      </c>
      <c r="R2703" s="8" t="n">
        <v>1.99</v>
      </c>
      <c r="S2703" s="14">
        <f>R2703/H2703-1</f>
        <v/>
      </c>
      <c r="T2703" s="17" t="inlineStr">
        <is>
          <t>OK (≤ menor hist.)</t>
        </is>
      </c>
      <c r="U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4.65</v>
      </c>
      <c r="K2704" s="8" t="n"/>
      <c r="L2704" s="8" t="n"/>
      <c r="M2704" s="15" t="n">
        <v>4.34</v>
      </c>
      <c r="N2704" s="8" t="n"/>
      <c r="O2704" s="8" t="n">
        <v>5.6</v>
      </c>
      <c r="P2704" s="8" t="n"/>
      <c r="Q2704" s="7" t="inlineStr">
        <is>
          <t>CENTROFARMA</t>
        </is>
      </c>
      <c r="R2704" s="8" t="n">
        <v>4.34</v>
      </c>
      <c r="S2704" s="14">
        <f>R2704/H2704-1</f>
        <v/>
      </c>
      <c r="T2704" s="16" t="inlineStr">
        <is>
          <t>ACIMA +5.3%</t>
        </is>
      </c>
      <c r="U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8" t="n"/>
      <c r="M2705" s="8" t="n"/>
      <c r="N2705" s="8" t="n"/>
      <c r="O2705" s="8" t="n"/>
      <c r="P2705" s="8" t="n"/>
      <c r="Q2705" s="7" t="inlineStr">
        <is>
          <t>DIMEC</t>
        </is>
      </c>
      <c r="R2705" s="8" t="n">
        <v>5</v>
      </c>
      <c r="S2705" s="14">
        <f>R2705/H2705-1</f>
        <v/>
      </c>
      <c r="T2705" s="17" t="inlineStr">
        <is>
          <t>OK (≤ menor hist.)</t>
        </is>
      </c>
      <c r="U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8" t="n"/>
      <c r="M2706" s="8" t="n">
        <v>4.74</v>
      </c>
      <c r="N2706" s="8" t="n"/>
      <c r="O2706" s="8" t="n"/>
      <c r="P2706" s="8" t="n">
        <v>5.48</v>
      </c>
      <c r="Q2706" s="7" t="inlineStr">
        <is>
          <t>DIMEC</t>
        </is>
      </c>
      <c r="R2706" s="8" t="n">
        <v>4.58</v>
      </c>
      <c r="S2706" s="14">
        <f>R2706/H2706-1</f>
        <v/>
      </c>
      <c r="T2706" s="16" t="inlineStr">
        <is>
          <t>ACIMA +1.8%</t>
        </is>
      </c>
      <c r="U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8" t="n">
        <v>13.74</v>
      </c>
      <c r="M2707" s="8" t="n"/>
      <c r="N2707" s="8" t="n"/>
      <c r="O2707" s="15" t="n">
        <v>18.88</v>
      </c>
      <c r="P2707" s="8" t="n"/>
      <c r="Q2707" s="7" t="inlineStr">
        <is>
          <t>NAZARIA</t>
        </is>
      </c>
      <c r="R2707" s="8" t="n">
        <v>18.88</v>
      </c>
      <c r="S2707" s="14">
        <f>R2707/H2707-1</f>
        <v/>
      </c>
      <c r="T2707" s="16" t="inlineStr">
        <is>
          <t>ACIMA +3.1%</t>
        </is>
      </c>
      <c r="U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8" t="n"/>
      <c r="M2708" s="8" t="n"/>
      <c r="N2708" s="8" t="n"/>
      <c r="O2708" s="8" t="n"/>
      <c r="P2708" s="8" t="n"/>
      <c r="Q2708" s="7" t="inlineStr">
        <is>
          <t>SEM COTAÇÃO</t>
        </is>
      </c>
      <c r="R2708" s="8" t="n"/>
      <c r="S2708" s="14" t="n"/>
      <c r="T2708" s="7" t="inlineStr"/>
      <c r="U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8" t="n"/>
      <c r="M2709" s="8" t="n"/>
      <c r="N2709" s="8" t="n"/>
      <c r="O2709" s="8" t="n">
        <v>6.89</v>
      </c>
      <c r="P2709" s="8" t="n"/>
      <c r="Q2709" s="7" t="inlineStr">
        <is>
          <t>SEM COTAÇÃO</t>
        </is>
      </c>
      <c r="R2709" s="8" t="n"/>
      <c r="S2709" s="14" t="n"/>
      <c r="T2709" s="7" t="inlineStr"/>
      <c r="U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15" t="n">
        <v>13.74</v>
      </c>
      <c r="M2710" s="8" t="n"/>
      <c r="N2710" s="8" t="n"/>
      <c r="O2710" s="8" t="n">
        <v>18.88</v>
      </c>
      <c r="P2710" s="8" t="n"/>
      <c r="Q2710" s="7" t="inlineStr">
        <is>
          <t>EPAN</t>
        </is>
      </c>
      <c r="R2710" s="8" t="n">
        <v>13.74</v>
      </c>
      <c r="S2710" s="14">
        <f>R2710/H2710-1</f>
        <v/>
      </c>
      <c r="T2710" s="17" t="inlineStr">
        <is>
          <t>OK (≤ últ. compra)</t>
        </is>
      </c>
      <c r="U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15" t="n">
        <v>22.18</v>
      </c>
      <c r="M2711" s="8" t="n"/>
      <c r="N2711" s="8" t="n"/>
      <c r="O2711" s="8" t="n">
        <v>30.49</v>
      </c>
      <c r="P2711" s="8" t="n"/>
      <c r="Q2711" s="7" t="inlineStr">
        <is>
          <t>EPAN</t>
        </is>
      </c>
      <c r="R2711" s="8" t="n">
        <v>22.18</v>
      </c>
      <c r="S2711" s="14">
        <f>R2711/H2711-1</f>
        <v/>
      </c>
      <c r="T2711" s="17" t="inlineStr">
        <is>
          <t>OK (≤ últ. compra)</t>
        </is>
      </c>
      <c r="U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8" t="n"/>
      <c r="M2712" s="8" t="n"/>
      <c r="N2712" s="8" t="n"/>
      <c r="O2712" s="8" t="n"/>
      <c r="P2712" s="8" t="n"/>
      <c r="Q2712" s="7" t="inlineStr">
        <is>
          <t>SEM COTAÇÃO</t>
        </is>
      </c>
      <c r="R2712" s="8" t="n"/>
      <c r="S2712" s="14" t="n"/>
      <c r="T2712" s="7" t="inlineStr"/>
      <c r="U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8" t="n"/>
      <c r="M2713" s="8" t="n"/>
      <c r="N2713" s="8" t="n"/>
      <c r="O2713" s="8" t="n"/>
      <c r="P2713" s="8" t="n"/>
      <c r="Q2713" s="7" t="inlineStr">
        <is>
          <t>SEM COTAÇÃO</t>
        </is>
      </c>
      <c r="R2713" s="8" t="n"/>
      <c r="S2713" s="14" t="n"/>
      <c r="T2713" s="7" t="inlineStr"/>
      <c r="U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8" t="n"/>
      <c r="M2714" s="8" t="n"/>
      <c r="N2714" s="8" t="n"/>
      <c r="O2714" s="15" t="n">
        <v>11.75</v>
      </c>
      <c r="P2714" s="8" t="n"/>
      <c r="Q2714" s="7" t="inlineStr">
        <is>
          <t>NAZARIA</t>
        </is>
      </c>
      <c r="R2714" s="8" t="n">
        <v>11.75</v>
      </c>
      <c r="S2714" s="14">
        <f>R2714/H2714-1</f>
        <v/>
      </c>
      <c r="T2714" s="16" t="inlineStr">
        <is>
          <t>ACIMA +3.4%</t>
        </is>
      </c>
      <c r="U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8" t="n"/>
      <c r="M2715" s="8" t="n"/>
      <c r="N2715" s="8" t="n"/>
      <c r="O2715" s="8" t="n"/>
      <c r="P2715" s="8" t="n"/>
      <c r="Q2715" s="7" t="inlineStr">
        <is>
          <t>SEM COTAÇÃO</t>
        </is>
      </c>
      <c r="R2715" s="8" t="n"/>
      <c r="S2715" s="14" t="n"/>
      <c r="T2715" s="7" t="inlineStr"/>
      <c r="U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7" t="inlineStr">
        <is>
          <t>SEM COTAÇÃO</t>
        </is>
      </c>
      <c r="R2716" s="8" t="n"/>
      <c r="S2716" s="14" t="n"/>
      <c r="T2716" s="7" t="inlineStr"/>
      <c r="U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8" t="n"/>
      <c r="M2717" s="8" t="n"/>
      <c r="N2717" s="8" t="n"/>
      <c r="O2717" s="8" t="n"/>
      <c r="P2717" s="8" t="n"/>
      <c r="Q2717" s="7" t="inlineStr">
        <is>
          <t>SEM COTAÇÃO</t>
        </is>
      </c>
      <c r="R2717" s="8" t="n"/>
      <c r="S2717" s="14" t="n"/>
      <c r="T2717" s="7" t="inlineStr"/>
      <c r="U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8" t="n"/>
      <c r="M2718" s="8" t="n"/>
      <c r="N2718" s="8" t="n"/>
      <c r="O2718" s="15" t="n">
        <v>11.87</v>
      </c>
      <c r="P2718" s="8" t="n"/>
      <c r="Q2718" s="7" t="inlineStr">
        <is>
          <t>NAZARIA</t>
        </is>
      </c>
      <c r="R2718" s="8" t="n">
        <v>11.87</v>
      </c>
      <c r="S2718" s="14">
        <f>R2718/H2718-1</f>
        <v/>
      </c>
      <c r="T2718" s="16" t="inlineStr">
        <is>
          <t>ACIMA +81.6%</t>
        </is>
      </c>
      <c r="U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8" t="n"/>
      <c r="M2719" s="8" t="n"/>
      <c r="N2719" s="8" t="n"/>
      <c r="O2719" s="8" t="n"/>
      <c r="P2719" s="8" t="n"/>
      <c r="Q2719" s="7" t="inlineStr">
        <is>
          <t>SEM COTAÇÃO</t>
        </is>
      </c>
      <c r="R2719" s="8" t="n"/>
      <c r="S2719" s="14" t="n"/>
      <c r="T2719" s="7" t="inlineStr"/>
      <c r="U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8" t="n"/>
      <c r="M2720" s="8" t="n"/>
      <c r="N2720" s="8" t="n"/>
      <c r="O2720" s="8" t="n"/>
      <c r="P2720" s="8" t="n"/>
      <c r="Q2720" s="7" t="inlineStr">
        <is>
          <t>SEM COTAÇÃO</t>
        </is>
      </c>
      <c r="R2720" s="8" t="n"/>
      <c r="S2720" s="14" t="n"/>
      <c r="T2720" s="7" t="inlineStr"/>
      <c r="U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8" t="n"/>
      <c r="M2721" s="8" t="n"/>
      <c r="N2721" s="8" t="n"/>
      <c r="O2721" s="15" t="n">
        <v>16.94</v>
      </c>
      <c r="P2721" s="8" t="n"/>
      <c r="Q2721" s="7" t="inlineStr">
        <is>
          <t>NAZARIA</t>
        </is>
      </c>
      <c r="R2721" s="8" t="n">
        <v>16.94</v>
      </c>
      <c r="S2721" s="14">
        <f>R2721/H2721-1</f>
        <v/>
      </c>
      <c r="T2721" s="16" t="inlineStr">
        <is>
          <t>ACIMA +7.6%</t>
        </is>
      </c>
      <c r="U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8" t="n"/>
      <c r="M2722" s="8" t="n"/>
      <c r="N2722" s="8" t="n"/>
      <c r="O2722" s="8" t="n"/>
      <c r="P2722" s="8" t="n"/>
      <c r="Q2722" s="7" t="inlineStr">
        <is>
          <t>SEM COTAÇÃO</t>
        </is>
      </c>
      <c r="R2722" s="8" t="n"/>
      <c r="S2722" s="14" t="n"/>
      <c r="T2722" s="7" t="inlineStr"/>
      <c r="U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8" t="n"/>
      <c r="M2723" s="8" t="n"/>
      <c r="N2723" s="8" t="n"/>
      <c r="O2723" s="8" t="n"/>
      <c r="P2723" s="8" t="n"/>
      <c r="Q2723" s="7" t="inlineStr">
        <is>
          <t>SEM COTAÇÃO</t>
        </is>
      </c>
      <c r="R2723" s="8" t="n"/>
      <c r="S2723" s="14" t="n"/>
      <c r="T2723" s="7" t="inlineStr"/>
      <c r="U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8" t="n"/>
      <c r="M2724" s="8" t="n">
        <v>4.62</v>
      </c>
      <c r="N2724" s="8" t="n"/>
      <c r="O2724" s="8" t="n"/>
      <c r="P2724" s="8" t="n"/>
      <c r="Q2724" s="7" t="inlineStr">
        <is>
          <t>DIMEC</t>
        </is>
      </c>
      <c r="R2724" s="8" t="n">
        <v>4.5</v>
      </c>
      <c r="S2724" s="14">
        <f>R2724/H2724-1</f>
        <v/>
      </c>
      <c r="T2724" s="16" t="inlineStr">
        <is>
          <t>ACIMA +4.4%</t>
        </is>
      </c>
      <c r="U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7" t="inlineStr">
        <is>
          <t>SEM COTAÇÃO</t>
        </is>
      </c>
      <c r="R2725" s="8" t="n"/>
      <c r="S2725" s="14" t="n"/>
      <c r="T2725" s="7" t="inlineStr"/>
      <c r="U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8" t="n"/>
      <c r="M2726" s="8" t="n"/>
      <c r="N2726" s="8" t="n"/>
      <c r="O2726" s="8" t="n"/>
      <c r="P2726" s="8" t="n"/>
      <c r="Q2726" s="7" t="inlineStr">
        <is>
          <t>SEM COTAÇÃO</t>
        </is>
      </c>
      <c r="R2726" s="8" t="n"/>
      <c r="S2726" s="14" t="n"/>
      <c r="T2726" s="7" t="inlineStr"/>
      <c r="U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8" t="n"/>
      <c r="M2727" s="8" t="n"/>
      <c r="N2727" s="15" t="n">
        <v>24.24</v>
      </c>
      <c r="O2727" s="8" t="n">
        <v>25.2742</v>
      </c>
      <c r="P2727" s="8" t="n"/>
      <c r="Q2727" s="7" t="inlineStr">
        <is>
          <t>TAPAJOS</t>
        </is>
      </c>
      <c r="R2727" s="8" t="n">
        <v>24.24</v>
      </c>
      <c r="S2727" s="14">
        <f>R2727/H2727-1</f>
        <v/>
      </c>
      <c r="T2727" s="16" t="inlineStr">
        <is>
          <t>ACIMA +1.3%</t>
        </is>
      </c>
      <c r="U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15" t="n">
        <v>20.33</v>
      </c>
      <c r="M2728" s="8" t="n"/>
      <c r="N2728" s="8" t="n"/>
      <c r="O2728" s="8" t="n">
        <v>20.188</v>
      </c>
      <c r="P2728" s="8" t="n"/>
      <c r="Q2728" s="7" t="inlineStr">
        <is>
          <t>EPAN</t>
        </is>
      </c>
      <c r="R2728" s="8" t="n">
        <v>20.33</v>
      </c>
      <c r="S2728" s="14">
        <f>R2728/H2728-1</f>
        <v/>
      </c>
      <c r="T2728" s="17" t="inlineStr">
        <is>
          <t>OK (≤ últ. compra)</t>
        </is>
      </c>
      <c r="U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8" t="n"/>
      <c r="M2729" s="15" t="n">
        <v>3.4</v>
      </c>
      <c r="N2729" s="8" t="n"/>
      <c r="O2729" s="8" t="n"/>
      <c r="P2729" s="8" t="n"/>
      <c r="Q2729" s="7" t="inlineStr">
        <is>
          <t>CENTROFARMA</t>
        </is>
      </c>
      <c r="R2729" s="8" t="n">
        <v>3.4</v>
      </c>
      <c r="S2729" s="14">
        <f>R2729/H2729-1</f>
        <v/>
      </c>
      <c r="T2729" s="16" t="inlineStr">
        <is>
          <t>ACIMA +5.3%</t>
        </is>
      </c>
      <c r="U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8" t="n"/>
      <c r="M2730" s="8" t="n"/>
      <c r="N2730" s="8" t="n"/>
      <c r="O2730" s="15" t="n">
        <v>13.88</v>
      </c>
      <c r="P2730" s="8" t="n"/>
      <c r="Q2730" s="7" t="inlineStr">
        <is>
          <t>NAZARIA</t>
        </is>
      </c>
      <c r="R2730" s="8" t="n">
        <v>13.88</v>
      </c>
      <c r="S2730" s="14">
        <f>R2730/H2730-1</f>
        <v/>
      </c>
      <c r="T2730" s="16" t="inlineStr">
        <is>
          <t>ACIMA +167.4%</t>
        </is>
      </c>
      <c r="U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8" t="n"/>
      <c r="M2731" s="8" t="n"/>
      <c r="N2731" s="8" t="n"/>
      <c r="O2731" s="15" t="n">
        <v>11.673102</v>
      </c>
      <c r="P2731" s="8" t="n">
        <v>11.86</v>
      </c>
      <c r="Q2731" s="7" t="inlineStr">
        <is>
          <t>NAZARIA</t>
        </is>
      </c>
      <c r="R2731" s="8" t="n">
        <v>11.673102</v>
      </c>
      <c r="S2731" s="14">
        <f>R2731/H2731-1</f>
        <v/>
      </c>
      <c r="T2731" s="16" t="inlineStr">
        <is>
          <t>ACIMA +13.4%</t>
        </is>
      </c>
      <c r="U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8" t="n"/>
      <c r="M2732" s="8" t="n"/>
      <c r="N2732" s="8" t="n"/>
      <c r="O2732" s="15" t="n">
        <v>9.317828</v>
      </c>
      <c r="P2732" s="8" t="n">
        <v>9.48</v>
      </c>
      <c r="Q2732" s="7" t="inlineStr">
        <is>
          <t>NAZARIA</t>
        </is>
      </c>
      <c r="R2732" s="8" t="n">
        <v>9.317828</v>
      </c>
      <c r="S2732" s="14">
        <f>R2732/H2732-1</f>
        <v/>
      </c>
      <c r="T2732" s="16" t="inlineStr">
        <is>
          <t>ACIMA +35.2%</t>
        </is>
      </c>
      <c r="U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8" t="n"/>
      <c r="M2733" s="8" t="n"/>
      <c r="N2733" s="8" t="n"/>
      <c r="O2733" s="8" t="n"/>
      <c r="P2733" s="8" t="n"/>
      <c r="Q2733" s="7" t="inlineStr">
        <is>
          <t>SEM COTAÇÃO</t>
        </is>
      </c>
      <c r="R2733" s="8" t="n"/>
      <c r="S2733" s="14" t="n"/>
      <c r="T2733" s="7" t="inlineStr"/>
      <c r="U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8" t="n"/>
      <c r="M2734" s="8" t="n"/>
      <c r="N2734" s="8" t="n"/>
      <c r="O2734" s="15" t="n">
        <v>12.298024</v>
      </c>
      <c r="P2734" s="8" t="n">
        <v>12.45</v>
      </c>
      <c r="Q2734" s="7" t="inlineStr">
        <is>
          <t>NAZARIA</t>
        </is>
      </c>
      <c r="R2734" s="8" t="n">
        <v>12.298024</v>
      </c>
      <c r="S2734" s="14">
        <f>R2734/H2734-1</f>
        <v/>
      </c>
      <c r="T2734" s="16" t="inlineStr">
        <is>
          <t>ACIMA +35.4%</t>
        </is>
      </c>
      <c r="U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8" t="n"/>
      <c r="M2735" s="8" t="n">
        <v>7.08</v>
      </c>
      <c r="N2735" s="8" t="n"/>
      <c r="O2735" s="8" t="n"/>
      <c r="P2735" s="8" t="n"/>
      <c r="Q2735" s="7" t="inlineStr">
        <is>
          <t>DIMEC</t>
        </is>
      </c>
      <c r="R2735" s="8" t="n">
        <v>6.95</v>
      </c>
      <c r="S2735" s="14">
        <f>R2735/H2735-1</f>
        <v/>
      </c>
      <c r="T2735" s="16" t="inlineStr">
        <is>
          <t>ACIMA +3.3%</t>
        </is>
      </c>
      <c r="U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8" t="n"/>
      <c r="M2736" s="8" t="n"/>
      <c r="N2736" s="8" t="n"/>
      <c r="O2736" s="8" t="n"/>
      <c r="P2736" s="8" t="n"/>
      <c r="Q2736" s="7" t="inlineStr">
        <is>
          <t>SEM COTAÇÃO</t>
        </is>
      </c>
      <c r="R2736" s="8" t="n"/>
      <c r="S2736" s="14" t="n"/>
      <c r="T2736" s="7" t="inlineStr"/>
      <c r="U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8" t="n"/>
      <c r="M2737" s="8" t="n"/>
      <c r="N2737" s="8" t="n"/>
      <c r="O2737" s="8" t="n">
        <v>206.58</v>
      </c>
      <c r="P2737" s="8" t="n"/>
      <c r="Q2737" s="7" t="inlineStr">
        <is>
          <t>SEM COTAÇÃO</t>
        </is>
      </c>
      <c r="R2737" s="8" t="n"/>
      <c r="S2737" s="14" t="n"/>
      <c r="T2737" s="7" t="inlineStr"/>
      <c r="U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8" t="n"/>
      <c r="M2738" s="8" t="n"/>
      <c r="N2738" s="8" t="n"/>
      <c r="O2738" s="8" t="n"/>
      <c r="P2738" s="8" t="n"/>
      <c r="Q2738" s="7" t="inlineStr">
        <is>
          <t>SEM COTAÇÃO</t>
        </is>
      </c>
      <c r="R2738" s="8" t="n"/>
      <c r="S2738" s="14" t="n"/>
      <c r="T2738" s="7" t="inlineStr"/>
      <c r="U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7" t="inlineStr">
        <is>
          <t>SEM COTAÇÃO</t>
        </is>
      </c>
      <c r="R2739" s="8" t="n"/>
      <c r="S2739" s="14" t="n"/>
      <c r="T2739" s="7" t="inlineStr"/>
      <c r="U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7" t="inlineStr">
        <is>
          <t>SEM COTAÇÃO</t>
        </is>
      </c>
      <c r="R2740" s="8" t="n"/>
      <c r="S2740" s="14" t="n"/>
      <c r="T2740" s="7" t="inlineStr"/>
      <c r="U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8" t="n"/>
      <c r="M2741" s="8" t="n"/>
      <c r="N2741" s="8" t="n"/>
      <c r="O2741" s="8" t="n"/>
      <c r="P2741" s="8" t="n"/>
      <c r="Q2741" s="7" t="inlineStr">
        <is>
          <t>SEM COTAÇÃO</t>
        </is>
      </c>
      <c r="R2741" s="8" t="n"/>
      <c r="S2741" s="14" t="n"/>
      <c r="T2741" s="7" t="inlineStr"/>
      <c r="U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8" t="n"/>
      <c r="M2742" s="8" t="n"/>
      <c r="N2742" s="8" t="n"/>
      <c r="O2742" s="8" t="n"/>
      <c r="P2742" s="8" t="n"/>
      <c r="Q2742" s="7" t="inlineStr">
        <is>
          <t>SEM COTAÇÃO</t>
        </is>
      </c>
      <c r="R2742" s="8" t="n"/>
      <c r="S2742" s="14" t="n"/>
      <c r="T2742" s="7" t="inlineStr"/>
      <c r="U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8" t="n"/>
      <c r="M2743" s="8" t="n"/>
      <c r="N2743" s="8" t="n"/>
      <c r="O2743" s="8" t="n"/>
      <c r="P2743" s="8" t="n"/>
      <c r="Q2743" s="7" t="inlineStr">
        <is>
          <t>SEM COTAÇÃO</t>
        </is>
      </c>
      <c r="R2743" s="8" t="n"/>
      <c r="S2743" s="14" t="n"/>
      <c r="T2743" s="7" t="inlineStr"/>
      <c r="U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8" t="n"/>
      <c r="M2744" s="8" t="n"/>
      <c r="N2744" s="8" t="n"/>
      <c r="O2744" s="8" t="n"/>
      <c r="P2744" s="8" t="n"/>
      <c r="Q2744" s="7" t="inlineStr">
        <is>
          <t>SEM COTAÇÃO</t>
        </is>
      </c>
      <c r="R2744" s="8" t="n"/>
      <c r="S2744" s="14" t="n"/>
      <c r="T2744" s="7" t="inlineStr"/>
      <c r="U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8" t="n"/>
      <c r="M2745" s="8" t="n"/>
      <c r="N2745" s="8" t="n"/>
      <c r="O2745" s="8" t="n"/>
      <c r="P2745" s="8" t="n"/>
      <c r="Q2745" s="7" t="inlineStr">
        <is>
          <t>SEM COTAÇÃO</t>
        </is>
      </c>
      <c r="R2745" s="8" t="n"/>
      <c r="S2745" s="14" t="n"/>
      <c r="T2745" s="7" t="inlineStr"/>
      <c r="U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8" t="n"/>
      <c r="M2746" s="8" t="n"/>
      <c r="N2746" s="8" t="n"/>
      <c r="O2746" s="8" t="n"/>
      <c r="P2746" s="8" t="n"/>
      <c r="Q2746" s="7" t="inlineStr">
        <is>
          <t>SEM COTAÇÃO</t>
        </is>
      </c>
      <c r="R2746" s="8" t="n"/>
      <c r="S2746" s="14" t="n"/>
      <c r="T2746" s="7" t="inlineStr"/>
      <c r="U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8" t="n"/>
      <c r="M2747" s="8" t="n"/>
      <c r="N2747" s="8" t="n"/>
      <c r="O2747" s="8" t="n"/>
      <c r="P2747" s="8" t="n"/>
      <c r="Q2747" s="7" t="inlineStr">
        <is>
          <t>SEM COTAÇÃO</t>
        </is>
      </c>
      <c r="R2747" s="8" t="n"/>
      <c r="S2747" s="14" t="n"/>
      <c r="T2747" s="7" t="inlineStr"/>
      <c r="U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8" t="n"/>
      <c r="M2748" s="8" t="n"/>
      <c r="N2748" s="8" t="n"/>
      <c r="O2748" s="8" t="n"/>
      <c r="P2748" s="8" t="n"/>
      <c r="Q2748" s="7" t="inlineStr">
        <is>
          <t>SEM COTAÇÃO</t>
        </is>
      </c>
      <c r="R2748" s="8" t="n"/>
      <c r="S2748" s="14" t="n"/>
      <c r="T2748" s="7" t="inlineStr"/>
      <c r="U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8" t="n"/>
      <c r="M2749" s="8" t="n"/>
      <c r="N2749" s="8" t="n"/>
      <c r="O2749" s="8" t="n"/>
      <c r="P2749" s="8" t="n"/>
      <c r="Q2749" s="7" t="inlineStr">
        <is>
          <t>SEM COTAÇÃO</t>
        </is>
      </c>
      <c r="R2749" s="8" t="n"/>
      <c r="S2749" s="14" t="n"/>
      <c r="T2749" s="7" t="inlineStr"/>
      <c r="U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8" t="n"/>
      <c r="M2750" s="8" t="n"/>
      <c r="N2750" s="8" t="n"/>
      <c r="O2750" s="8" t="n"/>
      <c r="P2750" s="8" t="n"/>
      <c r="Q2750" s="7" t="inlineStr">
        <is>
          <t>SEM COTAÇÃO</t>
        </is>
      </c>
      <c r="R2750" s="8" t="n"/>
      <c r="S2750" s="14" t="n"/>
      <c r="T2750" s="7" t="inlineStr"/>
      <c r="U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8" t="n"/>
      <c r="M2751" s="8" t="n"/>
      <c r="N2751" s="8" t="n"/>
      <c r="O2751" s="8" t="n"/>
      <c r="P2751" s="8" t="n"/>
      <c r="Q2751" s="7" t="inlineStr">
        <is>
          <t>SEM COTAÇÃO</t>
        </is>
      </c>
      <c r="R2751" s="8" t="n"/>
      <c r="S2751" s="14" t="n"/>
      <c r="T2751" s="7" t="inlineStr"/>
      <c r="U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8" t="n"/>
      <c r="M2752" s="8" t="n"/>
      <c r="N2752" s="8" t="n"/>
      <c r="O2752" s="8" t="n"/>
      <c r="P2752" s="8" t="n"/>
      <c r="Q2752" s="7" t="inlineStr">
        <is>
          <t>SEM COTAÇÃO</t>
        </is>
      </c>
      <c r="R2752" s="8" t="n"/>
      <c r="S2752" s="14" t="n"/>
      <c r="T2752" s="7" t="inlineStr"/>
      <c r="U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8" t="n"/>
      <c r="M2753" s="8" t="n"/>
      <c r="N2753" s="8" t="n"/>
      <c r="O2753" s="8" t="n"/>
      <c r="P2753" s="8" t="n"/>
      <c r="Q2753" s="7" t="inlineStr">
        <is>
          <t>SEM COTAÇÃO</t>
        </is>
      </c>
      <c r="R2753" s="8" t="n"/>
      <c r="S2753" s="14" t="n"/>
      <c r="T2753" s="7" t="inlineStr"/>
      <c r="U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8" t="n"/>
      <c r="M2754" s="8" t="n"/>
      <c r="N2754" s="8" t="n"/>
      <c r="O2754" s="8" t="n"/>
      <c r="P2754" s="8" t="n"/>
      <c r="Q2754" s="7" t="inlineStr">
        <is>
          <t>SEM COTAÇÃO</t>
        </is>
      </c>
      <c r="R2754" s="8" t="n"/>
      <c r="S2754" s="14" t="n"/>
      <c r="T2754" s="7" t="inlineStr"/>
      <c r="U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8" t="n"/>
      <c r="M2755" s="8" t="n"/>
      <c r="N2755" s="8" t="n"/>
      <c r="O2755" s="8" t="n"/>
      <c r="P2755" s="8" t="n"/>
      <c r="Q2755" s="7" t="inlineStr">
        <is>
          <t>SEM COTAÇÃO</t>
        </is>
      </c>
      <c r="R2755" s="8" t="n"/>
      <c r="S2755" s="14" t="n"/>
      <c r="T2755" s="7" t="inlineStr"/>
      <c r="U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8" t="n"/>
      <c r="M2756" s="8" t="n"/>
      <c r="N2756" s="8" t="n"/>
      <c r="O2756" s="8" t="n"/>
      <c r="P2756" s="8" t="n"/>
      <c r="Q2756" s="7" t="inlineStr">
        <is>
          <t>SEM COTAÇÃO</t>
        </is>
      </c>
      <c r="R2756" s="8" t="n"/>
      <c r="S2756" s="14" t="n"/>
      <c r="T2756" s="7" t="inlineStr"/>
      <c r="U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8" t="n"/>
      <c r="M2757" s="8" t="n"/>
      <c r="N2757" s="8" t="n"/>
      <c r="O2757" s="8" t="n"/>
      <c r="P2757" s="8" t="n"/>
      <c r="Q2757" s="7" t="inlineStr">
        <is>
          <t>SEM COTAÇÃO</t>
        </is>
      </c>
      <c r="R2757" s="8" t="n"/>
      <c r="S2757" s="14" t="n"/>
      <c r="T2757" s="7" t="inlineStr"/>
      <c r="U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8" t="n"/>
      <c r="M2758" s="8" t="n"/>
      <c r="N2758" s="8" t="n"/>
      <c r="O2758" s="8" t="n"/>
      <c r="P2758" s="8" t="n"/>
      <c r="Q2758" s="7" t="inlineStr">
        <is>
          <t>SEM COTAÇÃO</t>
        </is>
      </c>
      <c r="R2758" s="8" t="n"/>
      <c r="S2758" s="14" t="n"/>
      <c r="T2758" s="7" t="inlineStr"/>
      <c r="U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8" t="n"/>
      <c r="M2759" s="8" t="n"/>
      <c r="N2759" s="8" t="n"/>
      <c r="O2759" s="8" t="n"/>
      <c r="P2759" s="8" t="n"/>
      <c r="Q2759" s="7" t="inlineStr">
        <is>
          <t>SEM COTAÇÃO</t>
        </is>
      </c>
      <c r="R2759" s="8" t="n"/>
      <c r="S2759" s="14" t="n"/>
      <c r="T2759" s="7" t="inlineStr"/>
      <c r="U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8" t="n"/>
      <c r="M2760" s="8" t="n"/>
      <c r="N2760" s="8" t="n"/>
      <c r="O2760" s="8" t="n"/>
      <c r="P2760" s="8" t="n"/>
      <c r="Q2760" s="7" t="inlineStr">
        <is>
          <t>SEM COTAÇÃO</t>
        </is>
      </c>
      <c r="R2760" s="8" t="n"/>
      <c r="S2760" s="14" t="n"/>
      <c r="T2760" s="7" t="inlineStr"/>
      <c r="U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8" t="n"/>
      <c r="M2761" s="8" t="n"/>
      <c r="N2761" s="8" t="n"/>
      <c r="O2761" s="8" t="n"/>
      <c r="P2761" s="8" t="n"/>
      <c r="Q2761" s="7" t="inlineStr">
        <is>
          <t>SEM COTAÇÃO</t>
        </is>
      </c>
      <c r="R2761" s="8" t="n"/>
      <c r="S2761" s="14" t="n"/>
      <c r="T2761" s="7" t="inlineStr"/>
      <c r="U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8" t="n"/>
      <c r="M2762" s="8" t="n"/>
      <c r="N2762" s="8" t="n"/>
      <c r="O2762" s="8" t="n"/>
      <c r="P2762" s="8" t="n"/>
      <c r="Q2762" s="7" t="inlineStr">
        <is>
          <t>SEM COTAÇÃO</t>
        </is>
      </c>
      <c r="R2762" s="8" t="n"/>
      <c r="S2762" s="14" t="n"/>
      <c r="T2762" s="7" t="inlineStr"/>
      <c r="U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8" t="n"/>
      <c r="M2763" s="8" t="n"/>
      <c r="N2763" s="8" t="n"/>
      <c r="O2763" s="8" t="n"/>
      <c r="P2763" s="8" t="n"/>
      <c r="Q2763" s="7" t="inlineStr">
        <is>
          <t>SEM COTAÇÃO</t>
        </is>
      </c>
      <c r="R2763" s="8" t="n"/>
      <c r="S2763" s="14" t="n"/>
      <c r="T2763" s="7" t="inlineStr"/>
      <c r="U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8" t="n"/>
      <c r="M2764" s="8" t="n"/>
      <c r="N2764" s="8" t="n"/>
      <c r="O2764" s="8" t="n"/>
      <c r="P2764" s="8" t="n"/>
      <c r="Q2764" s="7" t="inlineStr">
        <is>
          <t>SEM COTAÇÃO</t>
        </is>
      </c>
      <c r="R2764" s="8" t="n"/>
      <c r="S2764" s="14" t="n"/>
      <c r="T2764" s="7" t="inlineStr"/>
      <c r="U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8" t="n"/>
      <c r="M2765" s="8" t="n"/>
      <c r="N2765" s="8" t="n"/>
      <c r="O2765" s="8" t="n"/>
      <c r="P2765" s="8" t="n"/>
      <c r="Q2765" s="7" t="inlineStr">
        <is>
          <t>SEM COTAÇÃO</t>
        </is>
      </c>
      <c r="R2765" s="8" t="n"/>
      <c r="S2765" s="14" t="n"/>
      <c r="T2765" s="7" t="inlineStr"/>
      <c r="U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8" t="n"/>
      <c r="M2766" s="8" t="n"/>
      <c r="N2766" s="8" t="n"/>
      <c r="O2766" s="8" t="n"/>
      <c r="P2766" s="8" t="n"/>
      <c r="Q2766" s="7" t="inlineStr">
        <is>
          <t>SEM COTAÇÃO</t>
        </is>
      </c>
      <c r="R2766" s="8" t="n"/>
      <c r="S2766" s="14" t="n"/>
      <c r="T2766" s="7" t="inlineStr"/>
      <c r="U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8" t="n"/>
      <c r="M2767" s="8" t="n"/>
      <c r="N2767" s="8" t="n"/>
      <c r="O2767" s="8" t="n"/>
      <c r="P2767" s="8" t="n"/>
      <c r="Q2767" s="7" t="inlineStr">
        <is>
          <t>SEM COTAÇÃO</t>
        </is>
      </c>
      <c r="R2767" s="8" t="n"/>
      <c r="S2767" s="14" t="n"/>
      <c r="T2767" s="7" t="inlineStr"/>
      <c r="U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8" t="n"/>
      <c r="M2768" s="8" t="n"/>
      <c r="N2768" s="8" t="n"/>
      <c r="O2768" s="8" t="n"/>
      <c r="P2768" s="8" t="n"/>
      <c r="Q2768" s="7" t="inlineStr">
        <is>
          <t>SEM COTAÇÃO</t>
        </is>
      </c>
      <c r="R2768" s="8" t="n"/>
      <c r="S2768" s="14" t="n"/>
      <c r="T2768" s="7" t="inlineStr"/>
      <c r="U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8" t="n"/>
      <c r="M2769" s="8" t="n"/>
      <c r="N2769" s="8" t="n"/>
      <c r="O2769" s="8" t="n"/>
      <c r="P2769" s="8" t="n"/>
      <c r="Q2769" s="7" t="inlineStr">
        <is>
          <t>SEM COTAÇÃO</t>
        </is>
      </c>
      <c r="R2769" s="8" t="n"/>
      <c r="S2769" s="14" t="n"/>
      <c r="T2769" s="7" t="inlineStr"/>
      <c r="U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8" t="n"/>
      <c r="M2770" s="8" t="n"/>
      <c r="N2770" s="8" t="n"/>
      <c r="O2770" s="8" t="n"/>
      <c r="P2770" s="8" t="n"/>
      <c r="Q2770" s="7" t="inlineStr">
        <is>
          <t>SEM COTAÇÃO</t>
        </is>
      </c>
      <c r="R2770" s="8" t="n"/>
      <c r="S2770" s="14" t="n"/>
      <c r="T2770" s="7" t="inlineStr"/>
      <c r="U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8" t="n"/>
      <c r="M2771" s="8" t="n"/>
      <c r="N2771" s="8" t="n"/>
      <c r="O2771" s="8" t="n"/>
      <c r="P2771" s="8" t="n"/>
      <c r="Q2771" s="7" t="inlineStr">
        <is>
          <t>SEM COTAÇÃO</t>
        </is>
      </c>
      <c r="R2771" s="8" t="n"/>
      <c r="S2771" s="14" t="n"/>
      <c r="T2771" s="7" t="inlineStr"/>
      <c r="U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8" t="n"/>
      <c r="M2772" s="8" t="n"/>
      <c r="N2772" s="8" t="n"/>
      <c r="O2772" s="8" t="n"/>
      <c r="P2772" s="8" t="n"/>
      <c r="Q2772" s="7" t="inlineStr">
        <is>
          <t>SEM COTAÇÃO</t>
        </is>
      </c>
      <c r="R2772" s="8" t="n"/>
      <c r="S2772" s="14" t="n"/>
      <c r="T2772" s="7" t="inlineStr"/>
      <c r="U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8" t="n"/>
      <c r="M2773" s="8" t="n"/>
      <c r="N2773" s="8" t="n"/>
      <c r="O2773" s="8" t="n"/>
      <c r="P2773" s="8" t="n"/>
      <c r="Q2773" s="7" t="inlineStr">
        <is>
          <t>SEM COTAÇÃO</t>
        </is>
      </c>
      <c r="R2773" s="8" t="n"/>
      <c r="S2773" s="14" t="n"/>
      <c r="T2773" s="7" t="inlineStr"/>
      <c r="U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8" t="n"/>
      <c r="M2774" s="8" t="n"/>
      <c r="N2774" s="8" t="n"/>
      <c r="O2774" s="8" t="n"/>
      <c r="P2774" s="8" t="n"/>
      <c r="Q2774" s="7" t="inlineStr">
        <is>
          <t>SEM COTAÇÃO</t>
        </is>
      </c>
      <c r="R2774" s="8" t="n"/>
      <c r="S2774" s="14" t="n"/>
      <c r="T2774" s="7" t="inlineStr"/>
      <c r="U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8" t="n"/>
      <c r="M2775" s="8" t="n"/>
      <c r="N2775" s="8" t="n"/>
      <c r="O2775" s="8" t="n"/>
      <c r="P2775" s="8" t="n"/>
      <c r="Q2775" s="7" t="inlineStr">
        <is>
          <t>SEM COTAÇÃO</t>
        </is>
      </c>
      <c r="R2775" s="8" t="n"/>
      <c r="S2775" s="14" t="n"/>
      <c r="T2775" s="7" t="inlineStr"/>
      <c r="U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7" t="inlineStr">
        <is>
          <t>SEM COTAÇÃO</t>
        </is>
      </c>
      <c r="R2776" s="8" t="n"/>
      <c r="S2776" s="14" t="n"/>
      <c r="T2776" s="7" t="inlineStr"/>
      <c r="U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8" t="n"/>
      <c r="M2777" s="8" t="n"/>
      <c r="N2777" s="8" t="n"/>
      <c r="O2777" s="8" t="n"/>
      <c r="P2777" s="8" t="n"/>
      <c r="Q2777" s="7" t="inlineStr">
        <is>
          <t>SEM COTAÇÃO</t>
        </is>
      </c>
      <c r="R2777" s="8" t="n"/>
      <c r="S2777" s="14" t="n"/>
      <c r="T2777" s="7" t="inlineStr"/>
      <c r="U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15" t="n">
        <v>5.93</v>
      </c>
      <c r="K2778" s="8" t="n"/>
      <c r="L2778" s="8" t="n"/>
      <c r="M2778" s="8" t="n">
        <v>6</v>
      </c>
      <c r="N2778" s="8" t="n"/>
      <c r="O2778" s="8" t="n"/>
      <c r="P2778" s="8" t="n">
        <v>6.42</v>
      </c>
      <c r="Q2778" s="7" t="inlineStr">
        <is>
          <t>DIMEC</t>
        </is>
      </c>
      <c r="R2778" s="8" t="n">
        <v>5.93</v>
      </c>
      <c r="S2778" s="14">
        <f>R2778/H2778-1</f>
        <v/>
      </c>
      <c r="T2778" s="16" t="inlineStr">
        <is>
          <t>ACIMA +5.0%</t>
        </is>
      </c>
      <c r="U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8" t="n"/>
      <c r="M2779" s="8" t="n"/>
      <c r="N2779" s="8" t="n"/>
      <c r="O2779" s="8" t="n"/>
      <c r="P2779" s="8" t="n"/>
      <c r="Q2779" s="7" t="inlineStr">
        <is>
          <t>SEM COTAÇÃO</t>
        </is>
      </c>
      <c r="R2779" s="8" t="n"/>
      <c r="S2779" s="14" t="n"/>
      <c r="T2779" s="7" t="inlineStr"/>
      <c r="U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8" t="n"/>
      <c r="M2780" s="8" t="n"/>
      <c r="N2780" s="8" t="n"/>
      <c r="O2780" s="8" t="n">
        <v>11.56</v>
      </c>
      <c r="P2780" s="8" t="n"/>
      <c r="Q2780" s="7" t="inlineStr">
        <is>
          <t>DIMEC</t>
        </is>
      </c>
      <c r="R2780" s="8" t="n">
        <v>1.76</v>
      </c>
      <c r="S2780" s="14">
        <f>R2780/H2780-1</f>
        <v/>
      </c>
      <c r="T2780" s="16" t="inlineStr">
        <is>
          <t>ACIMA +4.1%</t>
        </is>
      </c>
      <c r="U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8" t="n"/>
      <c r="M2781" s="8" t="n"/>
      <c r="N2781" s="8" t="n"/>
      <c r="O2781" s="8" t="n"/>
      <c r="P2781" s="8" t="n"/>
      <c r="Q2781" s="7" t="inlineStr">
        <is>
          <t>SEM COTAÇÃO</t>
        </is>
      </c>
      <c r="R2781" s="8" t="n"/>
      <c r="S2781" s="14" t="n"/>
      <c r="T2781" s="7" t="inlineStr"/>
      <c r="U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8" t="n"/>
      <c r="M2782" s="8" t="n"/>
      <c r="N2782" s="8" t="n"/>
      <c r="O2782" s="8" t="n"/>
      <c r="P2782" s="8" t="n"/>
      <c r="Q2782" s="7" t="inlineStr">
        <is>
          <t>DIMEC</t>
        </is>
      </c>
      <c r="R2782" s="8" t="n">
        <v>9.07</v>
      </c>
      <c r="S2782" s="14">
        <f>R2782/H2782-1</f>
        <v/>
      </c>
      <c r="T2782" s="17" t="inlineStr">
        <is>
          <t>OK (≤ menor hist.)</t>
        </is>
      </c>
      <c r="U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8" t="n"/>
      <c r="M2783" s="8" t="n">
        <v>16.27</v>
      </c>
      <c r="N2783" s="8" t="n"/>
      <c r="O2783" s="8" t="n"/>
      <c r="P2783" s="8" t="n">
        <v>18.21</v>
      </c>
      <c r="Q2783" s="7" t="inlineStr">
        <is>
          <t>DIMEC</t>
        </is>
      </c>
      <c r="R2783" s="8" t="n">
        <v>15.34</v>
      </c>
      <c r="S2783" s="14">
        <f>R2783/H2783-1</f>
        <v/>
      </c>
      <c r="T2783" s="16" t="inlineStr">
        <is>
          <t>ACIMA +0.5%</t>
        </is>
      </c>
      <c r="U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8" t="n"/>
      <c r="M2784" s="8" t="n"/>
      <c r="N2784" s="8" t="n"/>
      <c r="O2784" s="8" t="n"/>
      <c r="P2784" s="8" t="n"/>
      <c r="Q2784" s="7" t="inlineStr">
        <is>
          <t>DIMEC</t>
        </is>
      </c>
      <c r="R2784" s="8" t="n">
        <v>4.32</v>
      </c>
      <c r="S2784" s="14">
        <f>R2784/H2784-1</f>
        <v/>
      </c>
      <c r="T2784" s="17" t="inlineStr">
        <is>
          <t>OK (≤ menor hist.)</t>
        </is>
      </c>
      <c r="U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7" t="inlineStr">
        <is>
          <t>SEM COTAÇÃO</t>
        </is>
      </c>
      <c r="R2785" s="8" t="n"/>
      <c r="S2785" s="14" t="n"/>
      <c r="T2785" s="7" t="inlineStr"/>
      <c r="U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7" t="inlineStr">
        <is>
          <t>SEM COTAÇÃO</t>
        </is>
      </c>
      <c r="R2786" s="8" t="n"/>
      <c r="S2786" s="14" t="n"/>
      <c r="T2786" s="7" t="inlineStr"/>
      <c r="U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7" t="inlineStr">
        <is>
          <t>SEM COTAÇÃO</t>
        </is>
      </c>
      <c r="R2787" s="8" t="n"/>
      <c r="S2787" s="14" t="n"/>
      <c r="T2787" s="7" t="inlineStr"/>
      <c r="U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8" t="n">
        <v>42.72</v>
      </c>
      <c r="M2788" s="8" t="n"/>
      <c r="N2788" s="15" t="n">
        <v>40.67</v>
      </c>
      <c r="O2788" s="8" t="n">
        <v>43.27</v>
      </c>
      <c r="P2788" s="8" t="n"/>
      <c r="Q2788" s="7" t="inlineStr">
        <is>
          <t>TAPAJOS</t>
        </is>
      </c>
      <c r="R2788" s="8" t="n">
        <v>40.67</v>
      </c>
      <c r="S2788" s="14">
        <f>R2788/H2788-1</f>
        <v/>
      </c>
      <c r="T2788" s="17" t="inlineStr">
        <is>
          <t>OK (≤ últ. compra)</t>
        </is>
      </c>
      <c r="U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8" t="n"/>
      <c r="M2789" s="8" t="n"/>
      <c r="N2789" s="8" t="n"/>
      <c r="O2789" s="8" t="n"/>
      <c r="P2789" s="8" t="n"/>
      <c r="Q2789" s="7" t="inlineStr">
        <is>
          <t>SEM COTAÇÃO</t>
        </is>
      </c>
      <c r="R2789" s="8" t="n"/>
      <c r="S2789" s="14" t="n"/>
      <c r="T2789" s="7" t="inlineStr"/>
      <c r="U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8" t="n"/>
      <c r="M2790" s="8" t="n"/>
      <c r="N2790" s="8" t="n"/>
      <c r="O2790" s="8" t="n"/>
      <c r="P2790" s="8" t="n"/>
      <c r="Q2790" s="7" t="inlineStr">
        <is>
          <t>DIMEC</t>
        </is>
      </c>
      <c r="R2790" s="8" t="n">
        <v>1.76</v>
      </c>
      <c r="S2790" s="14">
        <f>R2790/H2790-1</f>
        <v/>
      </c>
      <c r="T2790" s="17" t="inlineStr">
        <is>
          <t>OK (≤ menor hist.)</t>
        </is>
      </c>
      <c r="U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8" t="n"/>
      <c r="M2791" s="8" t="n"/>
      <c r="N2791" s="8" t="n"/>
      <c r="O2791" s="8" t="n"/>
      <c r="P2791" s="8" t="n"/>
      <c r="Q2791" s="7" t="inlineStr">
        <is>
          <t>DIMEC</t>
        </is>
      </c>
      <c r="R2791" s="8" t="n">
        <v>1.74</v>
      </c>
      <c r="S2791" s="14">
        <f>R2791/H2791-1</f>
        <v/>
      </c>
      <c r="T2791" s="17" t="inlineStr">
        <is>
          <t>OK (≤ menor hist.)</t>
        </is>
      </c>
      <c r="U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8" t="n"/>
      <c r="M2792" s="8" t="n"/>
      <c r="N2792" s="8" t="n"/>
      <c r="O2792" s="8" t="n"/>
      <c r="P2792" s="8" t="n"/>
      <c r="Q2792" s="7" t="inlineStr">
        <is>
          <t>SEM COTAÇÃO</t>
        </is>
      </c>
      <c r="R2792" s="8" t="n"/>
      <c r="S2792" s="14" t="n"/>
      <c r="T2792" s="7" t="inlineStr"/>
      <c r="U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8" t="n"/>
      <c r="M2793" s="8" t="n"/>
      <c r="N2793" s="8" t="n"/>
      <c r="O2793" s="8" t="n"/>
      <c r="P2793" s="8" t="n"/>
      <c r="Q2793" s="7" t="inlineStr">
        <is>
          <t>SEM COTAÇÃO</t>
        </is>
      </c>
      <c r="R2793" s="8" t="n"/>
      <c r="S2793" s="14" t="n"/>
      <c r="T2793" s="7" t="inlineStr"/>
      <c r="U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8" t="n"/>
      <c r="M2794" s="8" t="n"/>
      <c r="N2794" s="8" t="n"/>
      <c r="O2794" s="8" t="n"/>
      <c r="P2794" s="8" t="n"/>
      <c r="Q2794" s="7" t="inlineStr">
        <is>
          <t>SEM COTAÇÃO</t>
        </is>
      </c>
      <c r="R2794" s="8" t="n"/>
      <c r="S2794" s="14" t="n"/>
      <c r="T2794" s="7" t="inlineStr"/>
      <c r="U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8" t="n"/>
      <c r="M2795" s="8" t="n"/>
      <c r="N2795" s="8" t="n"/>
      <c r="O2795" s="8" t="n"/>
      <c r="P2795" s="8" t="n"/>
      <c r="Q2795" s="7" t="inlineStr">
        <is>
          <t>SEM COTAÇÃO</t>
        </is>
      </c>
      <c r="R2795" s="8" t="n"/>
      <c r="S2795" s="14" t="n"/>
      <c r="T2795" s="7" t="inlineStr"/>
      <c r="U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8" t="n"/>
      <c r="M2796" s="8" t="n"/>
      <c r="N2796" s="8" t="n"/>
      <c r="O2796" s="8" t="n"/>
      <c r="P2796" s="8" t="n"/>
      <c r="Q2796" s="7" t="inlineStr">
        <is>
          <t>SEM COTAÇÃO</t>
        </is>
      </c>
      <c r="R2796" s="8" t="n"/>
      <c r="S2796" s="14" t="n"/>
      <c r="T2796" s="7" t="inlineStr"/>
      <c r="U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8" t="n"/>
      <c r="M2797" s="8" t="n"/>
      <c r="N2797" s="8" t="n"/>
      <c r="O2797" s="8" t="n"/>
      <c r="P2797" s="8" t="n"/>
      <c r="Q2797" s="7" t="inlineStr">
        <is>
          <t>SEM COTAÇÃO</t>
        </is>
      </c>
      <c r="R2797" s="8" t="n"/>
      <c r="S2797" s="14" t="n"/>
      <c r="T2797" s="7" t="inlineStr"/>
      <c r="U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8" t="n"/>
      <c r="M2798" s="8" t="n"/>
      <c r="N2798" s="8" t="n"/>
      <c r="O2798" s="8" t="n"/>
      <c r="P2798" s="8" t="n"/>
      <c r="Q2798" s="7" t="inlineStr">
        <is>
          <t>SEM COTAÇÃO</t>
        </is>
      </c>
      <c r="R2798" s="8" t="n"/>
      <c r="S2798" s="14" t="n"/>
      <c r="T2798" s="7" t="inlineStr"/>
      <c r="U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8" t="n"/>
      <c r="M2799" s="8" t="n"/>
      <c r="N2799" s="8" t="n"/>
      <c r="O2799" s="8" t="n"/>
      <c r="P2799" s="8" t="n"/>
      <c r="Q2799" s="7" t="inlineStr">
        <is>
          <t>SEM COTAÇÃO</t>
        </is>
      </c>
      <c r="R2799" s="8" t="n"/>
      <c r="S2799" s="14" t="n"/>
      <c r="T2799" s="7" t="inlineStr"/>
      <c r="U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8" t="n"/>
      <c r="M2800" s="8" t="n"/>
      <c r="N2800" s="8" t="n"/>
      <c r="O2800" s="8" t="n"/>
      <c r="P2800" s="8" t="n"/>
      <c r="Q2800" s="7" t="inlineStr">
        <is>
          <t>DIMEC</t>
        </is>
      </c>
      <c r="R2800" s="8" t="n">
        <v>26.33</v>
      </c>
      <c r="S2800" s="14">
        <f>R2800/H2800-1</f>
        <v/>
      </c>
      <c r="T2800" s="16" t="inlineStr">
        <is>
          <t>ACIMA +32.3%</t>
        </is>
      </c>
      <c r="U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8" t="n"/>
      <c r="M2801" s="8" t="n"/>
      <c r="N2801" s="8" t="n"/>
      <c r="O2801" s="8" t="n">
        <v>10.36</v>
      </c>
      <c r="P2801" s="8" t="n"/>
      <c r="Q2801" s="7" t="inlineStr">
        <is>
          <t>SEM COTAÇÃO</t>
        </is>
      </c>
      <c r="R2801" s="8" t="n"/>
      <c r="S2801" s="14" t="n"/>
      <c r="T2801" s="7" t="inlineStr"/>
      <c r="U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8" t="n"/>
      <c r="M2802" s="8" t="n"/>
      <c r="N2802" s="8" t="n"/>
      <c r="O2802" s="8" t="n">
        <v>10.36</v>
      </c>
      <c r="P2802" s="8" t="n"/>
      <c r="Q2802" s="7" t="inlineStr">
        <is>
          <t>SEM COTAÇÃO</t>
        </is>
      </c>
      <c r="R2802" s="8" t="n"/>
      <c r="S2802" s="14" t="n"/>
      <c r="T2802" s="7" t="inlineStr"/>
      <c r="U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8" t="n"/>
      <c r="M2803" s="8" t="n"/>
      <c r="N2803" s="8" t="n"/>
      <c r="O2803" s="8" t="n">
        <v>10.36</v>
      </c>
      <c r="P2803" s="8" t="n"/>
      <c r="Q2803" s="7" t="inlineStr">
        <is>
          <t>SEM COTAÇÃO</t>
        </is>
      </c>
      <c r="R2803" s="8" t="n"/>
      <c r="S2803" s="14" t="n"/>
      <c r="T2803" s="7" t="inlineStr"/>
      <c r="U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8" t="n"/>
      <c r="M2804" s="8" t="n"/>
      <c r="N2804" s="8" t="n"/>
      <c r="O2804" s="8" t="n"/>
      <c r="P2804" s="8" t="n"/>
      <c r="Q2804" s="7" t="inlineStr">
        <is>
          <t>SEM COTAÇÃO</t>
        </is>
      </c>
      <c r="R2804" s="8" t="n"/>
      <c r="S2804" s="14" t="n"/>
      <c r="T2804" s="7" t="inlineStr"/>
      <c r="U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8" t="n"/>
      <c r="M2805" s="8" t="n"/>
      <c r="N2805" s="8" t="n"/>
      <c r="O2805" s="8" t="n"/>
      <c r="P2805" s="8" t="n"/>
      <c r="Q2805" s="7" t="inlineStr">
        <is>
          <t>SEM COTAÇÃO</t>
        </is>
      </c>
      <c r="R2805" s="8" t="n"/>
      <c r="S2805" s="14" t="n"/>
      <c r="T2805" s="7" t="inlineStr"/>
      <c r="U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8" t="n"/>
      <c r="M2806" s="8" t="n"/>
      <c r="N2806" s="8" t="n"/>
      <c r="O2806" s="8" t="n"/>
      <c r="P2806" s="8" t="n"/>
      <c r="Q2806" s="7" t="inlineStr">
        <is>
          <t>SEM COTAÇÃO</t>
        </is>
      </c>
      <c r="R2806" s="8" t="n"/>
      <c r="S2806" s="14" t="n"/>
      <c r="T2806" s="7" t="inlineStr"/>
      <c r="U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8" t="n"/>
      <c r="M2807" s="8" t="n"/>
      <c r="N2807" s="8" t="n"/>
      <c r="O2807" s="8" t="n"/>
      <c r="P2807" s="8" t="n"/>
      <c r="Q2807" s="7" t="inlineStr">
        <is>
          <t>SEM COTAÇÃO</t>
        </is>
      </c>
      <c r="R2807" s="8" t="n"/>
      <c r="S2807" s="14" t="n"/>
      <c r="T2807" s="7" t="inlineStr"/>
      <c r="U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8" t="n"/>
      <c r="M2808" s="8" t="n"/>
      <c r="N2808" s="8" t="n"/>
      <c r="O2808" s="8" t="n"/>
      <c r="P2808" s="8" t="n"/>
      <c r="Q2808" s="7" t="inlineStr">
        <is>
          <t>SEM COTAÇÃO</t>
        </is>
      </c>
      <c r="R2808" s="8" t="n"/>
      <c r="S2808" s="14" t="n"/>
      <c r="T2808" s="7" t="inlineStr"/>
      <c r="U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8" t="n"/>
      <c r="M2809" s="8" t="n"/>
      <c r="N2809" s="8" t="n"/>
      <c r="O2809" s="8" t="n"/>
      <c r="P2809" s="8" t="n"/>
      <c r="Q2809" s="7" t="inlineStr">
        <is>
          <t>SEM COTAÇÃO</t>
        </is>
      </c>
      <c r="R2809" s="8" t="n"/>
      <c r="S2809" s="14" t="n"/>
      <c r="T2809" s="7" t="inlineStr"/>
      <c r="U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8" t="n"/>
      <c r="M2810" s="8" t="n"/>
      <c r="N2810" s="8" t="n"/>
      <c r="O2810" s="8" t="n"/>
      <c r="P2810" s="8" t="n"/>
      <c r="Q2810" s="7" t="inlineStr">
        <is>
          <t>SEM COTAÇÃO</t>
        </is>
      </c>
      <c r="R2810" s="8" t="n"/>
      <c r="S2810" s="14" t="n"/>
      <c r="T2810" s="7" t="inlineStr"/>
      <c r="U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8" t="n"/>
      <c r="M2811" s="8" t="n"/>
      <c r="N2811" s="8" t="n"/>
      <c r="O2811" s="8" t="n"/>
      <c r="P2811" s="8" t="n"/>
      <c r="Q2811" s="7" t="inlineStr">
        <is>
          <t>SEM COTAÇÃO</t>
        </is>
      </c>
      <c r="R2811" s="8" t="n"/>
      <c r="S2811" s="14" t="n"/>
      <c r="T2811" s="7" t="inlineStr"/>
      <c r="U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8" t="n"/>
      <c r="M2812" s="8" t="n"/>
      <c r="N2812" s="8" t="n"/>
      <c r="O2812" s="8" t="n"/>
      <c r="P2812" s="8" t="n"/>
      <c r="Q2812" s="7" t="inlineStr">
        <is>
          <t>SEM COTAÇÃO</t>
        </is>
      </c>
      <c r="R2812" s="8" t="n"/>
      <c r="S2812" s="14" t="n"/>
      <c r="T2812" s="7" t="inlineStr"/>
      <c r="U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8" t="n"/>
      <c r="M2813" s="8" t="n"/>
      <c r="N2813" s="8" t="n"/>
      <c r="O2813" s="8" t="n"/>
      <c r="P2813" s="8" t="n"/>
      <c r="Q2813" s="7" t="inlineStr">
        <is>
          <t>SEM COTAÇÃO</t>
        </is>
      </c>
      <c r="R2813" s="8" t="n"/>
      <c r="S2813" s="14" t="n"/>
      <c r="T2813" s="7" t="inlineStr"/>
      <c r="U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8" t="n"/>
      <c r="M2814" s="8" t="n"/>
      <c r="N2814" s="8" t="n"/>
      <c r="O2814" s="8" t="n"/>
      <c r="P2814" s="8" t="n"/>
      <c r="Q2814" s="7" t="inlineStr">
        <is>
          <t>SEM COTAÇÃO</t>
        </is>
      </c>
      <c r="R2814" s="8" t="n"/>
      <c r="S2814" s="14" t="n"/>
      <c r="T2814" s="7" t="inlineStr"/>
      <c r="U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8" t="n"/>
      <c r="M2815" s="8" t="n"/>
      <c r="N2815" s="8" t="n"/>
      <c r="O2815" s="8" t="n"/>
      <c r="P2815" s="8" t="n"/>
      <c r="Q2815" s="7" t="inlineStr">
        <is>
          <t>SEM COTAÇÃO</t>
        </is>
      </c>
      <c r="R2815" s="8" t="n"/>
      <c r="S2815" s="14" t="n"/>
      <c r="T2815" s="7" t="inlineStr"/>
      <c r="U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8" t="n"/>
      <c r="M2816" s="8" t="n"/>
      <c r="N2816" s="8" t="n"/>
      <c r="O2816" s="8" t="n"/>
      <c r="P2816" s="8" t="n"/>
      <c r="Q2816" s="7" t="inlineStr">
        <is>
          <t>SEM COTAÇÃO</t>
        </is>
      </c>
      <c r="R2816" s="8" t="n"/>
      <c r="S2816" s="14" t="n"/>
      <c r="T2816" s="7" t="inlineStr"/>
      <c r="U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8" t="n"/>
      <c r="M2817" s="8" t="n"/>
      <c r="N2817" s="8" t="n"/>
      <c r="O2817" s="8" t="n"/>
      <c r="P2817" s="8" t="n"/>
      <c r="Q2817" s="7" t="inlineStr">
        <is>
          <t>SEM COTAÇÃO</t>
        </is>
      </c>
      <c r="R2817" s="8" t="n"/>
      <c r="S2817" s="14" t="n"/>
      <c r="T2817" s="7" t="inlineStr"/>
      <c r="U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7" t="inlineStr">
        <is>
          <t>SEM COTAÇÃO</t>
        </is>
      </c>
      <c r="R2818" s="8" t="n"/>
      <c r="S2818" s="14" t="n"/>
      <c r="T2818" s="7" t="inlineStr"/>
      <c r="U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4.85</v>
      </c>
      <c r="K2819" s="8" t="n"/>
      <c r="L2819" s="8" t="n"/>
      <c r="M2819" s="8" t="n">
        <v>5.02</v>
      </c>
      <c r="N2819" s="15" t="n">
        <v>4.81</v>
      </c>
      <c r="O2819" s="8" t="n"/>
      <c r="P2819" s="8" t="n">
        <v>5.28</v>
      </c>
      <c r="Q2819" s="7" t="inlineStr">
        <is>
          <t>TAPAJOS</t>
        </is>
      </c>
      <c r="R2819" s="8" t="n">
        <v>4.81</v>
      </c>
      <c r="S2819" s="14">
        <f>R2819/H2819-1</f>
        <v/>
      </c>
      <c r="T2819" s="16" t="inlineStr">
        <is>
          <t>ACIMA +16.2%</t>
        </is>
      </c>
      <c r="U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/>
      <c r="L2820" s="8" t="n"/>
      <c r="M2820" s="8" t="n">
        <v>4.78</v>
      </c>
      <c r="N2820" s="15" t="n">
        <v>4.69</v>
      </c>
      <c r="O2820" s="8" t="n"/>
      <c r="P2820" s="8" t="n">
        <v>4.99</v>
      </c>
      <c r="Q2820" s="7" t="inlineStr">
        <is>
          <t>TAPAJOS</t>
        </is>
      </c>
      <c r="R2820" s="8" t="n">
        <v>4.69</v>
      </c>
      <c r="S2820" s="14">
        <f>R2820/H2820-1</f>
        <v/>
      </c>
      <c r="T2820" s="17" t="inlineStr">
        <is>
          <t>OK (≤ menor hist.)</t>
        </is>
      </c>
      <c r="U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8" t="n"/>
      <c r="M2821" s="8" t="n"/>
      <c r="N2821" s="8" t="n"/>
      <c r="O2821" s="8" t="n">
        <v>6.89</v>
      </c>
      <c r="P2821" s="8" t="n"/>
      <c r="Q2821" s="7" t="inlineStr">
        <is>
          <t>SEM COTAÇÃO</t>
        </is>
      </c>
      <c r="R2821" s="8" t="n"/>
      <c r="S2821" s="14" t="n"/>
      <c r="T2821" s="7" t="inlineStr"/>
      <c r="U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8" t="n"/>
      <c r="M2822" s="8" t="n"/>
      <c r="N2822" s="8" t="n"/>
      <c r="O2822" s="15" t="n">
        <v>10.2925</v>
      </c>
      <c r="P2822" s="8" t="n"/>
      <c r="Q2822" s="7" t="inlineStr">
        <is>
          <t>NAZARIA</t>
        </is>
      </c>
      <c r="R2822" s="8" t="n">
        <v>10.2925</v>
      </c>
      <c r="S2822" s="14">
        <f>R2822/H2822-1</f>
        <v/>
      </c>
      <c r="T2822" s="16" t="inlineStr">
        <is>
          <t>ACIMA +0.2%</t>
        </is>
      </c>
      <c r="U2822" s="7" t="inlineStr">
        <is>
          <t>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8" t="n"/>
      <c r="M2823" s="8" t="n"/>
      <c r="N2823" s="8" t="n"/>
      <c r="O2823" s="15" t="n">
        <v>10.294</v>
      </c>
      <c r="P2823" s="8" t="n"/>
      <c r="Q2823" s="7" t="inlineStr">
        <is>
          <t>NAZARIA</t>
        </is>
      </c>
      <c r="R2823" s="8" t="n">
        <v>10.294</v>
      </c>
      <c r="S2823" s="14">
        <f>R2823/H2823-1</f>
        <v/>
      </c>
      <c r="T2823" s="16" t="inlineStr">
        <is>
          <t>ACIMA +5.3%</t>
        </is>
      </c>
      <c r="U2823" s="7" t="inlineStr">
        <is>
          <t>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8" t="n"/>
      <c r="M2824" s="8" t="n"/>
      <c r="N2824" s="8" t="n"/>
      <c r="O2824" s="8" t="n"/>
      <c r="P2824" s="8" t="n"/>
      <c r="Q2824" s="7" t="inlineStr">
        <is>
          <t>SEM COTAÇÃO</t>
        </is>
      </c>
      <c r="R2824" s="8" t="n"/>
      <c r="S2824" s="14" t="n"/>
      <c r="T2824" s="7" t="inlineStr"/>
      <c r="U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8" t="n"/>
      <c r="M2825" s="8" t="n"/>
      <c r="N2825" s="8" t="n"/>
      <c r="O2825" s="8" t="n"/>
      <c r="P2825" s="8" t="n"/>
      <c r="Q2825" s="7" t="inlineStr">
        <is>
          <t>SEM COTAÇÃO</t>
        </is>
      </c>
      <c r="R2825" s="8" t="n"/>
      <c r="S2825" s="14" t="n"/>
      <c r="T2825" s="7" t="inlineStr"/>
      <c r="U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8" t="n"/>
      <c r="M2826" s="8" t="n"/>
      <c r="N2826" s="8" t="n"/>
      <c r="O2826" s="8" t="n"/>
      <c r="P2826" s="8" t="n"/>
      <c r="Q2826" s="7" t="inlineStr">
        <is>
          <t>SEM COTAÇÃO</t>
        </is>
      </c>
      <c r="R2826" s="8" t="n"/>
      <c r="S2826" s="14" t="n"/>
      <c r="T2826" s="7" t="inlineStr"/>
      <c r="U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8" t="n"/>
      <c r="M2827" s="8" t="n"/>
      <c r="N2827" s="8" t="n"/>
      <c r="O2827" s="8" t="n"/>
      <c r="P2827" s="8" t="n"/>
      <c r="Q2827" s="7" t="inlineStr">
        <is>
          <t>SEM COTAÇÃO</t>
        </is>
      </c>
      <c r="R2827" s="8" t="n"/>
      <c r="S2827" s="14" t="n"/>
      <c r="T2827" s="7" t="inlineStr"/>
      <c r="U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8" t="n"/>
      <c r="M2828" s="8" t="n"/>
      <c r="N2828" s="8" t="n"/>
      <c r="O2828" s="8" t="n"/>
      <c r="P2828" s="8" t="n"/>
      <c r="Q2828" s="7" t="inlineStr">
        <is>
          <t>SEM COTAÇÃO</t>
        </is>
      </c>
      <c r="R2828" s="8" t="n"/>
      <c r="S2828" s="14" t="n"/>
      <c r="T2828" s="7" t="inlineStr"/>
      <c r="U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8" t="n"/>
      <c r="M2829" s="8" t="n"/>
      <c r="N2829" s="8" t="n"/>
      <c r="O2829" s="8" t="n"/>
      <c r="P2829" s="8" t="n"/>
      <c r="Q2829" s="7" t="inlineStr">
        <is>
          <t>DIMEC</t>
        </is>
      </c>
      <c r="R2829" s="8" t="n">
        <v>15.98</v>
      </c>
      <c r="S2829" s="14">
        <f>R2829/H2829-1</f>
        <v/>
      </c>
      <c r="T2829" s="17" t="inlineStr">
        <is>
          <t>OK (≤ últ. compra)</t>
        </is>
      </c>
      <c r="U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8" t="n"/>
      <c r="M2830" s="8" t="n"/>
      <c r="N2830" s="8" t="n"/>
      <c r="O2830" s="8" t="n"/>
      <c r="P2830" s="8" t="n"/>
      <c r="Q2830" s="7" t="inlineStr">
        <is>
          <t>SEM COTAÇÃO</t>
        </is>
      </c>
      <c r="R2830" s="8" t="n"/>
      <c r="S2830" s="14" t="n"/>
      <c r="T2830" s="7" t="inlineStr"/>
      <c r="U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8" t="n"/>
      <c r="M2831" s="8" t="n"/>
      <c r="N2831" s="8" t="n"/>
      <c r="O2831" s="8" t="n"/>
      <c r="P2831" s="8" t="n"/>
      <c r="Q2831" s="7" t="inlineStr">
        <is>
          <t>SEM COTAÇÃO</t>
        </is>
      </c>
      <c r="R2831" s="8" t="n"/>
      <c r="S2831" s="14" t="n"/>
      <c r="T2831" s="7" t="inlineStr"/>
      <c r="U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7" t="inlineStr">
        <is>
          <t>SEM COTAÇÃO</t>
        </is>
      </c>
      <c r="R2832" s="8" t="n"/>
      <c r="S2832" s="14" t="n"/>
      <c r="T2832" s="7" t="inlineStr"/>
      <c r="U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4.68</v>
      </c>
      <c r="K2833" s="8" t="n"/>
      <c r="L2833" s="8" t="n"/>
      <c r="M2833" s="15" t="n">
        <v>4.65</v>
      </c>
      <c r="N2833" s="8" t="n"/>
      <c r="O2833" s="8" t="n"/>
      <c r="P2833" s="8" t="n"/>
      <c r="Q2833" s="7" t="inlineStr">
        <is>
          <t>CENTROFARMA</t>
        </is>
      </c>
      <c r="R2833" s="8" t="n">
        <v>4.65</v>
      </c>
      <c r="S2833" s="14">
        <f>R2833/H2833-1</f>
        <v/>
      </c>
      <c r="T2833" s="17" t="inlineStr">
        <is>
          <t>OK (≤ menor hist.)</t>
        </is>
      </c>
      <c r="U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8" t="n"/>
      <c r="M2834" s="8" t="n"/>
      <c r="N2834" s="8" t="n"/>
      <c r="O2834" s="8" t="n"/>
      <c r="P2834" s="8" t="n"/>
      <c r="Q2834" s="7" t="inlineStr">
        <is>
          <t>SEM COTAÇÃO</t>
        </is>
      </c>
      <c r="R2834" s="8" t="n"/>
      <c r="S2834" s="14" t="n"/>
      <c r="T2834" s="7" t="inlineStr"/>
      <c r="U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8" t="n"/>
      <c r="M2835" s="8" t="n"/>
      <c r="N2835" s="8" t="n"/>
      <c r="O2835" s="8" t="n"/>
      <c r="P2835" s="8" t="n"/>
      <c r="Q2835" s="7" t="inlineStr">
        <is>
          <t>SEM COTAÇÃO</t>
        </is>
      </c>
      <c r="R2835" s="8" t="n"/>
      <c r="S2835" s="14" t="n"/>
      <c r="T2835" s="7" t="inlineStr"/>
      <c r="U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8" t="n"/>
      <c r="M2836" s="8" t="n"/>
      <c r="N2836" s="8" t="n"/>
      <c r="O2836" s="8" t="n"/>
      <c r="P2836" s="8" t="n"/>
      <c r="Q2836" s="7" t="inlineStr">
        <is>
          <t>SEM COTAÇÃO</t>
        </is>
      </c>
      <c r="R2836" s="8" t="n"/>
      <c r="S2836" s="14" t="n"/>
      <c r="T2836" s="7" t="inlineStr"/>
      <c r="U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8" t="n"/>
      <c r="M2837" s="8" t="n"/>
      <c r="N2837" s="8" t="n"/>
      <c r="O2837" s="8" t="n"/>
      <c r="P2837" s="8" t="n"/>
      <c r="Q2837" s="7" t="inlineStr">
        <is>
          <t>SEM COTAÇÃO</t>
        </is>
      </c>
      <c r="R2837" s="8" t="n"/>
      <c r="S2837" s="14" t="n"/>
      <c r="T2837" s="7" t="inlineStr"/>
      <c r="U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8" t="n"/>
      <c r="M2838" s="8" t="n"/>
      <c r="N2838" s="8" t="n"/>
      <c r="O2838" s="8" t="n">
        <v>13.8</v>
      </c>
      <c r="P2838" s="8" t="n"/>
      <c r="Q2838" s="7" t="inlineStr">
        <is>
          <t>DIMEC</t>
        </is>
      </c>
      <c r="R2838" s="8" t="n">
        <v>2.86</v>
      </c>
      <c r="S2838" s="14">
        <f>R2838/H2838-1</f>
        <v/>
      </c>
      <c r="T2838" s="16" t="inlineStr">
        <is>
          <t>ACIMA +21.7%</t>
        </is>
      </c>
      <c r="U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8" t="n"/>
      <c r="M2839" s="15" t="n">
        <v>2</v>
      </c>
      <c r="N2839" s="8" t="n"/>
      <c r="O2839" s="8" t="n"/>
      <c r="P2839" s="8" t="n"/>
      <c r="Q2839" s="7" t="inlineStr">
        <is>
          <t>CENTROFARMA</t>
        </is>
      </c>
      <c r="R2839" s="8" t="n">
        <v>2</v>
      </c>
      <c r="S2839" s="14">
        <f>R2839/H2839-1</f>
        <v/>
      </c>
      <c r="T2839" s="17" t="inlineStr">
        <is>
          <t>OK (≤ menor hist.)</t>
        </is>
      </c>
      <c r="U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8" t="n"/>
      <c r="M2840" s="8" t="n">
        <v>35.84</v>
      </c>
      <c r="N2840" s="8" t="n"/>
      <c r="O2840" s="8" t="n"/>
      <c r="P2840" s="8" t="n">
        <v>37.92</v>
      </c>
      <c r="Q2840" s="7" t="inlineStr">
        <is>
          <t>PLUSFARMA</t>
        </is>
      </c>
      <c r="R2840" s="8" t="n">
        <v>34.66</v>
      </c>
      <c r="S2840" s="14">
        <f>R2840/H2840-1</f>
        <v/>
      </c>
      <c r="T2840" s="16" t="inlineStr">
        <is>
          <t>ACIMA +2.5%</t>
        </is>
      </c>
      <c r="U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8" t="n"/>
      <c r="M2841" s="8" t="n"/>
      <c r="N2841" s="8" t="n"/>
      <c r="O2841" s="8" t="n">
        <v>30.192</v>
      </c>
      <c r="P2841" s="8" t="n"/>
      <c r="Q2841" s="7" t="inlineStr">
        <is>
          <t>SEM COTAÇÃO</t>
        </is>
      </c>
      <c r="R2841" s="8" t="n"/>
      <c r="S2841" s="14" t="n"/>
      <c r="T2841" s="7" t="inlineStr"/>
      <c r="U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8" t="n"/>
      <c r="M2842" s="8" t="n"/>
      <c r="N2842" s="8" t="n"/>
      <c r="O2842" s="8" t="n"/>
      <c r="P2842" s="8" t="n"/>
      <c r="Q2842" s="7" t="inlineStr">
        <is>
          <t>SEM COTAÇÃO</t>
        </is>
      </c>
      <c r="R2842" s="8" t="n"/>
      <c r="S2842" s="14" t="n"/>
      <c r="T2842" s="7" t="inlineStr"/>
      <c r="U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8" t="n"/>
      <c r="M2843" s="8" t="n"/>
      <c r="N2843" s="8" t="n"/>
      <c r="O2843" s="15" t="n">
        <v>18.4106</v>
      </c>
      <c r="P2843" s="8" t="n"/>
      <c r="Q2843" s="7" t="inlineStr">
        <is>
          <t>NAZARIA</t>
        </is>
      </c>
      <c r="R2843" s="8" t="n">
        <v>18.4106</v>
      </c>
      <c r="S2843" s="14">
        <f>R2843/H2843-1</f>
        <v/>
      </c>
      <c r="T2843" s="16" t="inlineStr">
        <is>
          <t>ACIMA +38.8%</t>
        </is>
      </c>
      <c r="U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8" t="n"/>
      <c r="M2844" s="8" t="n"/>
      <c r="N2844" s="8" t="n"/>
      <c r="O2844" s="8" t="n">
        <v>18.4106</v>
      </c>
      <c r="P2844" s="8" t="n"/>
      <c r="Q2844" s="7" t="inlineStr">
        <is>
          <t>SEM COTAÇÃO</t>
        </is>
      </c>
      <c r="R2844" s="8" t="n"/>
      <c r="S2844" s="14" t="n"/>
      <c r="T2844" s="7" t="inlineStr"/>
      <c r="U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8" t="n"/>
      <c r="M2845" s="8" t="n"/>
      <c r="N2845" s="8" t="n"/>
      <c r="O2845" s="8" t="n"/>
      <c r="P2845" s="8" t="n"/>
      <c r="Q2845" s="7" t="inlineStr">
        <is>
          <t>SEM COTAÇÃO</t>
        </is>
      </c>
      <c r="R2845" s="8" t="n"/>
      <c r="S2845" s="14" t="n"/>
      <c r="T2845" s="7" t="inlineStr"/>
      <c r="U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8" t="n"/>
      <c r="M2846" s="8" t="n"/>
      <c r="N2846" s="8" t="n"/>
      <c r="O2846" s="8" t="n"/>
      <c r="P2846" s="8" t="n"/>
      <c r="Q2846" s="7" t="inlineStr">
        <is>
          <t>SEM COTAÇÃO</t>
        </is>
      </c>
      <c r="R2846" s="8" t="n"/>
      <c r="S2846" s="14" t="n"/>
      <c r="T2846" s="7" t="inlineStr"/>
      <c r="U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8" t="n"/>
      <c r="M2847" s="8" t="n"/>
      <c r="N2847" s="8" t="n"/>
      <c r="O2847" s="8" t="n"/>
      <c r="P2847" s="8" t="n"/>
      <c r="Q2847" s="7" t="inlineStr">
        <is>
          <t>SEM COTAÇÃO</t>
        </is>
      </c>
      <c r="R2847" s="8" t="n"/>
      <c r="S2847" s="14" t="n"/>
      <c r="T2847" s="7" t="inlineStr"/>
      <c r="U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8" t="n"/>
      <c r="M2848" s="8" t="n"/>
      <c r="N2848" s="8" t="n"/>
      <c r="O2848" s="8" t="n"/>
      <c r="P2848" s="8" t="n"/>
      <c r="Q2848" s="7" t="inlineStr">
        <is>
          <t>SEM COTAÇÃO</t>
        </is>
      </c>
      <c r="R2848" s="8" t="n"/>
      <c r="S2848" s="14" t="n"/>
      <c r="T2848" s="7" t="inlineStr"/>
      <c r="U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8" t="n"/>
      <c r="M2849" s="8" t="n"/>
      <c r="N2849" s="8" t="n"/>
      <c r="O2849" s="8" t="n"/>
      <c r="P2849" s="8" t="n"/>
      <c r="Q2849" s="7" t="inlineStr">
        <is>
          <t>SEM COTAÇÃO</t>
        </is>
      </c>
      <c r="R2849" s="8" t="n"/>
      <c r="S2849" s="14" t="n"/>
      <c r="T2849" s="7" t="inlineStr"/>
      <c r="U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8" t="n"/>
      <c r="M2850" s="8" t="n"/>
      <c r="N2850" s="8" t="n"/>
      <c r="O2850" s="8" t="n"/>
      <c r="P2850" s="8" t="n"/>
      <c r="Q2850" s="7" t="inlineStr">
        <is>
          <t>SEM COTAÇÃO</t>
        </is>
      </c>
      <c r="R2850" s="8" t="n"/>
      <c r="S2850" s="14" t="n"/>
      <c r="T2850" s="7" t="inlineStr"/>
      <c r="U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8" t="n"/>
      <c r="M2851" s="8" t="n"/>
      <c r="N2851" s="8" t="n"/>
      <c r="O2851" s="8" t="n"/>
      <c r="P2851" s="8" t="n"/>
      <c r="Q2851" s="7" t="inlineStr">
        <is>
          <t>SEM COTAÇÃO</t>
        </is>
      </c>
      <c r="R2851" s="8" t="n"/>
      <c r="S2851" s="14" t="n"/>
      <c r="T2851" s="7" t="inlineStr"/>
      <c r="U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8" t="n"/>
      <c r="M2852" s="8" t="n"/>
      <c r="N2852" s="8" t="n"/>
      <c r="O2852" s="8" t="n"/>
      <c r="P2852" s="8" t="n"/>
      <c r="Q2852" s="7" t="inlineStr">
        <is>
          <t>SEM COTAÇÃO</t>
        </is>
      </c>
      <c r="R2852" s="8" t="n"/>
      <c r="S2852" s="14" t="n"/>
      <c r="T2852" s="7" t="inlineStr"/>
      <c r="U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8" t="n"/>
      <c r="M2853" s="8" t="n"/>
      <c r="N2853" s="8" t="n"/>
      <c r="O2853" s="8" t="n"/>
      <c r="P2853" s="8" t="n"/>
      <c r="Q2853" s="7" t="inlineStr">
        <is>
          <t>SEM COTAÇÃO</t>
        </is>
      </c>
      <c r="R2853" s="8" t="n"/>
      <c r="S2853" s="14" t="n"/>
      <c r="T2853" s="7" t="inlineStr"/>
      <c r="U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8" t="n"/>
      <c r="M2854" s="8" t="n"/>
      <c r="N2854" s="8" t="n"/>
      <c r="O2854" s="8" t="n"/>
      <c r="P2854" s="8" t="n"/>
      <c r="Q2854" s="7" t="inlineStr">
        <is>
          <t>PLUSFARMA</t>
        </is>
      </c>
      <c r="R2854" s="8" t="n">
        <v>39.15</v>
      </c>
      <c r="S2854" s="14">
        <f>R2854/H2854-1</f>
        <v/>
      </c>
      <c r="T2854" s="17" t="inlineStr">
        <is>
          <t>OK (≤ menor hist.)</t>
        </is>
      </c>
      <c r="U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8" t="n"/>
      <c r="M2855" s="8" t="n"/>
      <c r="N2855" s="8" t="n"/>
      <c r="O2855" s="8" t="n"/>
      <c r="P2855" s="8" t="n"/>
      <c r="Q2855" s="7" t="inlineStr">
        <is>
          <t>SEM COTAÇÃO</t>
        </is>
      </c>
      <c r="R2855" s="8" t="n"/>
      <c r="S2855" s="14" t="n"/>
      <c r="T2855" s="7" t="inlineStr"/>
      <c r="U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8" t="n"/>
      <c r="M2856" s="15" t="n">
        <v>12.09</v>
      </c>
      <c r="N2856" s="8" t="n"/>
      <c r="O2856" s="8" t="n">
        <v>38.46</v>
      </c>
      <c r="P2856" s="8" t="n">
        <v>12.58</v>
      </c>
      <c r="Q2856" s="7" t="inlineStr">
        <is>
          <t>CENTROFARMA</t>
        </is>
      </c>
      <c r="R2856" s="8" t="n">
        <v>12.09</v>
      </c>
      <c r="S2856" s="14">
        <f>R2856/H2856-1</f>
        <v/>
      </c>
      <c r="T2856" s="16" t="inlineStr">
        <is>
          <t>ACIMA +1.2%</t>
        </is>
      </c>
      <c r="U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8" t="n"/>
      <c r="M2857" s="8" t="n"/>
      <c r="N2857" s="8" t="n"/>
      <c r="O2857" s="8" t="n"/>
      <c r="P2857" s="8" t="n"/>
      <c r="Q2857" s="7" t="inlineStr">
        <is>
          <t>SEM COTAÇÃO</t>
        </is>
      </c>
      <c r="R2857" s="8" t="n"/>
      <c r="S2857" s="14" t="n"/>
      <c r="T2857" s="7" t="inlineStr"/>
      <c r="U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8" t="n"/>
      <c r="M2858" s="8" t="n"/>
      <c r="N2858" s="8" t="n"/>
      <c r="O2858" s="8" t="n"/>
      <c r="P2858" s="8" t="n"/>
      <c r="Q2858" s="7" t="inlineStr">
        <is>
          <t>SEM COTAÇÃO</t>
        </is>
      </c>
      <c r="R2858" s="8" t="n"/>
      <c r="S2858" s="14" t="n"/>
      <c r="T2858" s="7" t="inlineStr"/>
      <c r="U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8" t="n"/>
      <c r="M2859" s="8" t="n"/>
      <c r="N2859" s="8" t="n"/>
      <c r="O2859" s="8" t="n"/>
      <c r="P2859" s="8" t="n"/>
      <c r="Q2859" s="7" t="inlineStr">
        <is>
          <t>SEM COTAÇÃO</t>
        </is>
      </c>
      <c r="R2859" s="8" t="n"/>
      <c r="S2859" s="14" t="n"/>
      <c r="T2859" s="7" t="inlineStr"/>
      <c r="U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8" t="n"/>
      <c r="M2860" s="8" t="n"/>
      <c r="N2860" s="8" t="n"/>
      <c r="O2860" s="8" t="n"/>
      <c r="P2860" s="8" t="n"/>
      <c r="Q2860" s="7" t="inlineStr">
        <is>
          <t>SEM COTAÇÃO</t>
        </is>
      </c>
      <c r="R2860" s="8" t="n"/>
      <c r="S2860" s="14" t="n"/>
      <c r="T2860" s="7" t="inlineStr"/>
      <c r="U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8" t="n"/>
      <c r="M2861" s="8" t="n"/>
      <c r="N2861" s="8" t="n">
        <v>40.73</v>
      </c>
      <c r="O2861" s="15" t="n">
        <v>37.7427</v>
      </c>
      <c r="P2861" s="8" t="n"/>
      <c r="Q2861" s="7" t="inlineStr">
        <is>
          <t>NAZARIA</t>
        </is>
      </c>
      <c r="R2861" s="8" t="n">
        <v>37.7427</v>
      </c>
      <c r="S2861" s="14">
        <f>R2861/H2861-1</f>
        <v/>
      </c>
      <c r="T2861" s="17" t="inlineStr">
        <is>
          <t>OK (≤ últ. compra)</t>
        </is>
      </c>
      <c r="U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8" t="n"/>
      <c r="M2862" s="8" t="n"/>
      <c r="N2862" s="8" t="n"/>
      <c r="O2862" s="15" t="n">
        <v>37.18980000000001</v>
      </c>
      <c r="P2862" s="8" t="n"/>
      <c r="Q2862" s="7" t="inlineStr">
        <is>
          <t>NAZARIA</t>
        </is>
      </c>
      <c r="R2862" s="8" t="n">
        <v>37.18980000000001</v>
      </c>
      <c r="S2862" s="14">
        <f>R2862/H2862-1</f>
        <v/>
      </c>
      <c r="T2862" s="16" t="inlineStr">
        <is>
          <t>ACIMA +9.9%</t>
        </is>
      </c>
      <c r="U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15" t="n">
        <v>62.16</v>
      </c>
      <c r="M2863" s="8" t="n"/>
      <c r="N2863" s="8" t="n"/>
      <c r="O2863" s="8" t="n">
        <v>63.2052</v>
      </c>
      <c r="P2863" s="8" t="n"/>
      <c r="Q2863" s="7" t="inlineStr">
        <is>
          <t>EPAN</t>
        </is>
      </c>
      <c r="R2863" s="8" t="n">
        <v>62.16</v>
      </c>
      <c r="S2863" s="14">
        <f>R2863/H2863-1</f>
        <v/>
      </c>
      <c r="T2863" s="16" t="inlineStr">
        <is>
          <t>ACIMA +17.8%</t>
        </is>
      </c>
      <c r="U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8" t="n"/>
      <c r="M2864" s="8" t="n"/>
      <c r="N2864" s="8" t="n"/>
      <c r="O2864" s="15" t="n">
        <v>46.3854</v>
      </c>
      <c r="P2864" s="8" t="n"/>
      <c r="Q2864" s="7" t="inlineStr">
        <is>
          <t>NAZARIA</t>
        </is>
      </c>
      <c r="R2864" s="8" t="n">
        <v>46.3854</v>
      </c>
      <c r="S2864" s="14">
        <f>R2864/H2864-1</f>
        <v/>
      </c>
      <c r="T2864" s="16" t="inlineStr">
        <is>
          <t>ACIMA +14.1%</t>
        </is>
      </c>
      <c r="U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8" t="n"/>
      <c r="M2865" s="8" t="n"/>
      <c r="N2865" s="8" t="n"/>
      <c r="O2865" s="8" t="n"/>
      <c r="P2865" s="8" t="n"/>
      <c r="Q2865" s="7" t="inlineStr">
        <is>
          <t>SEM COTAÇÃO</t>
        </is>
      </c>
      <c r="R2865" s="8" t="n"/>
      <c r="S2865" s="14" t="n"/>
      <c r="T2865" s="7" t="inlineStr"/>
      <c r="U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8" t="n"/>
      <c r="M2866" s="8" t="n"/>
      <c r="N2866" s="8" t="n"/>
      <c r="O2866" s="8" t="n"/>
      <c r="P2866" s="8" t="n"/>
      <c r="Q2866" s="7" t="inlineStr">
        <is>
          <t>SEM COTAÇÃO</t>
        </is>
      </c>
      <c r="R2866" s="8" t="n"/>
      <c r="S2866" s="14" t="n"/>
      <c r="T2866" s="7" t="inlineStr"/>
      <c r="U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8" t="n"/>
      <c r="M2867" s="8" t="n"/>
      <c r="N2867" s="8" t="n"/>
      <c r="O2867" s="8" t="n"/>
      <c r="P2867" s="8" t="n"/>
      <c r="Q2867" s="7" t="inlineStr">
        <is>
          <t>SEM COTAÇÃO</t>
        </is>
      </c>
      <c r="R2867" s="8" t="n"/>
      <c r="S2867" s="14" t="n"/>
      <c r="T2867" s="7" t="inlineStr"/>
      <c r="U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8" t="n"/>
      <c r="M2868" s="8" t="n"/>
      <c r="N2868" s="8" t="n"/>
      <c r="O2868" s="8" t="n"/>
      <c r="P2868" s="8" t="n"/>
      <c r="Q2868" s="7" t="inlineStr">
        <is>
          <t>SEM COTAÇÃO</t>
        </is>
      </c>
      <c r="R2868" s="8" t="n"/>
      <c r="S2868" s="14" t="n"/>
      <c r="T2868" s="7" t="inlineStr"/>
      <c r="U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7" t="inlineStr">
        <is>
          <t>SEM COTAÇÃO</t>
        </is>
      </c>
      <c r="R2869" s="8" t="n"/>
      <c r="S2869" s="14" t="n"/>
      <c r="T2869" s="7" t="inlineStr"/>
      <c r="U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8" t="n"/>
      <c r="M2870" s="8" t="n"/>
      <c r="N2870" s="8" t="n"/>
      <c r="O2870" s="15" t="n">
        <v>13.65</v>
      </c>
      <c r="P2870" s="8" t="n"/>
      <c r="Q2870" s="7" t="inlineStr">
        <is>
          <t>NAZARIA</t>
        </is>
      </c>
      <c r="R2870" s="8" t="n">
        <v>13.65</v>
      </c>
      <c r="S2870" s="14">
        <f>R2870/H2870-1</f>
        <v/>
      </c>
      <c r="T2870" s="16" t="inlineStr">
        <is>
          <t>ACIMA +39.6%</t>
        </is>
      </c>
      <c r="U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8" t="n"/>
      <c r="M2871" s="8" t="n"/>
      <c r="N2871" s="8" t="n"/>
      <c r="O2871" s="8" t="n"/>
      <c r="P2871" s="8" t="n"/>
      <c r="Q2871" s="7" t="inlineStr">
        <is>
          <t>SEM COTAÇÃO</t>
        </is>
      </c>
      <c r="R2871" s="8" t="n"/>
      <c r="S2871" s="14" t="n"/>
      <c r="T2871" s="7" t="inlineStr"/>
      <c r="U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8" t="n"/>
      <c r="M2872" s="8" t="n"/>
      <c r="N2872" s="8" t="n"/>
      <c r="O2872" s="8" t="n"/>
      <c r="P2872" s="8" t="n"/>
      <c r="Q2872" s="7" t="inlineStr">
        <is>
          <t>SEM COTAÇÃO</t>
        </is>
      </c>
      <c r="R2872" s="8" t="n"/>
      <c r="S2872" s="14" t="n"/>
      <c r="T2872" s="7" t="inlineStr"/>
      <c r="U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8" t="n"/>
      <c r="M2873" s="8" t="n"/>
      <c r="N2873" s="8" t="n"/>
      <c r="O2873" s="8" t="n"/>
      <c r="P2873" s="8" t="n"/>
      <c r="Q2873" s="7" t="inlineStr">
        <is>
          <t>SEM COTAÇÃO</t>
        </is>
      </c>
      <c r="R2873" s="8" t="n"/>
      <c r="S2873" s="14" t="n"/>
      <c r="T2873" s="7" t="inlineStr"/>
      <c r="U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8" t="n"/>
      <c r="M2874" s="8" t="n"/>
      <c r="N2874" s="8" t="n"/>
      <c r="O2874" s="8" t="n"/>
      <c r="P2874" s="8" t="n"/>
      <c r="Q2874" s="7" t="inlineStr">
        <is>
          <t>SEM COTAÇÃO</t>
        </is>
      </c>
      <c r="R2874" s="8" t="n"/>
      <c r="S2874" s="14" t="n"/>
      <c r="T2874" s="7" t="inlineStr"/>
      <c r="U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8" t="n"/>
      <c r="M2875" s="8" t="n"/>
      <c r="N2875" s="8" t="n"/>
      <c r="O2875" s="8" t="n"/>
      <c r="P2875" s="8" t="n"/>
      <c r="Q2875" s="7" t="inlineStr">
        <is>
          <t>SEM COTAÇÃO</t>
        </is>
      </c>
      <c r="R2875" s="8" t="n"/>
      <c r="S2875" s="14" t="n"/>
      <c r="T2875" s="7" t="inlineStr"/>
      <c r="U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8" t="n"/>
      <c r="M2876" s="8" t="n"/>
      <c r="N2876" s="8" t="n"/>
      <c r="O2876" s="8" t="n"/>
      <c r="P2876" s="8" t="n"/>
      <c r="Q2876" s="7" t="inlineStr">
        <is>
          <t>SEM COTAÇÃO</t>
        </is>
      </c>
      <c r="R2876" s="8" t="n"/>
      <c r="S2876" s="14" t="n"/>
      <c r="T2876" s="7" t="inlineStr"/>
      <c r="U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8" t="n"/>
      <c r="M2877" s="8" t="n"/>
      <c r="N2877" s="8" t="n"/>
      <c r="O2877" s="8" t="n"/>
      <c r="P2877" s="8" t="n"/>
      <c r="Q2877" s="7" t="inlineStr">
        <is>
          <t>SEM COTAÇÃO</t>
        </is>
      </c>
      <c r="R2877" s="8" t="n"/>
      <c r="S2877" s="14" t="n"/>
      <c r="T2877" s="7" t="inlineStr"/>
      <c r="U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8" t="n"/>
      <c r="M2878" s="8" t="n"/>
      <c r="N2878" s="8" t="n"/>
      <c r="O2878" s="15" t="n">
        <v>14.31</v>
      </c>
      <c r="P2878" s="8" t="n"/>
      <c r="Q2878" s="7" t="inlineStr">
        <is>
          <t>NAZARIA</t>
        </is>
      </c>
      <c r="R2878" s="8" t="n">
        <v>14.31</v>
      </c>
      <c r="S2878" s="14">
        <f>R2878/H2878-1</f>
        <v/>
      </c>
      <c r="T2878" s="16" t="inlineStr">
        <is>
          <t>ACIMA +19.0%</t>
        </is>
      </c>
      <c r="U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8" t="n"/>
      <c r="M2879" s="8" t="n"/>
      <c r="N2879" s="8" t="n"/>
      <c r="O2879" s="15" t="n">
        <v>14.31</v>
      </c>
      <c r="P2879" s="8" t="n"/>
      <c r="Q2879" s="7" t="inlineStr">
        <is>
          <t>NAZARIA</t>
        </is>
      </c>
      <c r="R2879" s="8" t="n">
        <v>14.31</v>
      </c>
      <c r="S2879" s="14">
        <f>R2879/H2879-1</f>
        <v/>
      </c>
      <c r="T2879" s="16" t="inlineStr">
        <is>
          <t>ACIMA +31.0%</t>
        </is>
      </c>
      <c r="U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8" t="n"/>
      <c r="M2880" s="8" t="n"/>
      <c r="N2880" s="8" t="n"/>
      <c r="O2880" s="15" t="n">
        <v>21.28</v>
      </c>
      <c r="P2880" s="8" t="n"/>
      <c r="Q2880" s="7" t="inlineStr">
        <is>
          <t>NAZARIA</t>
        </is>
      </c>
      <c r="R2880" s="8" t="n">
        <v>21.28</v>
      </c>
      <c r="S2880" s="14">
        <f>R2880/H2880-1</f>
        <v/>
      </c>
      <c r="T2880" s="16" t="inlineStr">
        <is>
          <t>ACIMA +18.4%</t>
        </is>
      </c>
      <c r="U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8" t="n"/>
      <c r="M2881" s="8" t="n"/>
      <c r="N2881" s="8" t="n"/>
      <c r="O2881" s="15" t="n">
        <v>21.15</v>
      </c>
      <c r="P2881" s="8" t="n"/>
      <c r="Q2881" s="7" t="inlineStr">
        <is>
          <t>NAZARIA</t>
        </is>
      </c>
      <c r="R2881" s="8" t="n">
        <v>21.15</v>
      </c>
      <c r="S2881" s="14">
        <f>R2881/H2881-1</f>
        <v/>
      </c>
      <c r="T2881" s="16" t="inlineStr">
        <is>
          <t>ACIMA +20.6%</t>
        </is>
      </c>
      <c r="U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8" t="n"/>
      <c r="M2882" s="8" t="n"/>
      <c r="N2882" s="8" t="n"/>
      <c r="O2882" s="8" t="n"/>
      <c r="P2882" s="8" t="n"/>
      <c r="Q2882" s="7" t="inlineStr">
        <is>
          <t>SEM COTAÇÃO</t>
        </is>
      </c>
      <c r="R2882" s="8" t="n"/>
      <c r="S2882" s="14" t="n"/>
      <c r="T2882" s="7" t="inlineStr"/>
      <c r="U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8" t="n"/>
      <c r="M2883" s="8" t="n"/>
      <c r="N2883" s="8" t="n"/>
      <c r="O2883" s="8" t="n"/>
      <c r="P2883" s="8" t="n"/>
      <c r="Q2883" s="7" t="inlineStr">
        <is>
          <t>SEM COTAÇÃO</t>
        </is>
      </c>
      <c r="R2883" s="8" t="n"/>
      <c r="S2883" s="14" t="n"/>
      <c r="T2883" s="7" t="inlineStr"/>
      <c r="U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8" t="n"/>
      <c r="M2884" s="8" t="n"/>
      <c r="N2884" s="8" t="n"/>
      <c r="O2884" s="8" t="n"/>
      <c r="P2884" s="8" t="n"/>
      <c r="Q2884" s="7" t="inlineStr">
        <is>
          <t>SEM COTAÇÃO</t>
        </is>
      </c>
      <c r="R2884" s="8" t="n"/>
      <c r="S2884" s="14" t="n"/>
      <c r="T2884" s="7" t="inlineStr"/>
      <c r="U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7" t="inlineStr">
        <is>
          <t>SEM COTAÇÃO</t>
        </is>
      </c>
      <c r="R2885" s="8" t="n"/>
      <c r="S2885" s="14" t="n"/>
      <c r="T2885" s="7" t="inlineStr"/>
      <c r="U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8" t="n"/>
      <c r="M2886" s="8" t="n"/>
      <c r="N2886" s="8" t="n"/>
      <c r="O2886" s="8" t="n"/>
      <c r="P2886" s="8" t="n"/>
      <c r="Q2886" s="7" t="inlineStr">
        <is>
          <t>SEM COTAÇÃO</t>
        </is>
      </c>
      <c r="R2886" s="8" t="n"/>
      <c r="S2886" s="14" t="n"/>
      <c r="T2886" s="7" t="inlineStr"/>
      <c r="U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8" t="n"/>
      <c r="M2887" s="8" t="n"/>
      <c r="N2887" s="8" t="n"/>
      <c r="O2887" s="8" t="n"/>
      <c r="P2887" s="8" t="n"/>
      <c r="Q2887" s="7" t="inlineStr">
        <is>
          <t>SEM COTAÇÃO</t>
        </is>
      </c>
      <c r="R2887" s="8" t="n"/>
      <c r="S2887" s="14" t="n"/>
      <c r="T2887" s="7" t="inlineStr"/>
      <c r="U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8" t="n"/>
      <c r="M2888" s="8" t="n"/>
      <c r="N2888" s="8" t="n"/>
      <c r="O2888" s="8" t="n"/>
      <c r="P2888" s="8" t="n"/>
      <c r="Q2888" s="7" t="inlineStr">
        <is>
          <t>SEM COTAÇÃO</t>
        </is>
      </c>
      <c r="R2888" s="8" t="n"/>
      <c r="S2888" s="14" t="n"/>
      <c r="T2888" s="7" t="inlineStr"/>
      <c r="U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8" t="n"/>
      <c r="M2889" s="8" t="n"/>
      <c r="N2889" s="8" t="n"/>
      <c r="O2889" s="8" t="n"/>
      <c r="P2889" s="8" t="n"/>
      <c r="Q2889" s="7" t="inlineStr">
        <is>
          <t>SEM COTAÇÃO</t>
        </is>
      </c>
      <c r="R2889" s="8" t="n"/>
      <c r="S2889" s="14" t="n"/>
      <c r="T2889" s="7" t="inlineStr"/>
      <c r="U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8" t="n"/>
      <c r="M2890" s="8" t="n"/>
      <c r="N2890" s="8" t="n"/>
      <c r="O2890" s="8" t="n"/>
      <c r="P2890" s="8" t="n"/>
      <c r="Q2890" s="7" t="inlineStr">
        <is>
          <t>SEM COTAÇÃO</t>
        </is>
      </c>
      <c r="R2890" s="8" t="n"/>
      <c r="S2890" s="14" t="n"/>
      <c r="T2890" s="7" t="inlineStr"/>
      <c r="U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8" t="n"/>
      <c r="M2891" s="8" t="n"/>
      <c r="N2891" s="8" t="n"/>
      <c r="O2891" s="8" t="n"/>
      <c r="P2891" s="8" t="n"/>
      <c r="Q2891" s="7" t="inlineStr">
        <is>
          <t>SEM COTAÇÃO</t>
        </is>
      </c>
      <c r="R2891" s="8" t="n"/>
      <c r="S2891" s="14" t="n"/>
      <c r="T2891" s="7" t="inlineStr"/>
      <c r="U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8" t="n"/>
      <c r="M2892" s="8" t="n"/>
      <c r="N2892" s="8" t="n"/>
      <c r="O2892" s="8" t="n"/>
      <c r="P2892" s="8" t="n"/>
      <c r="Q2892" s="7" t="inlineStr">
        <is>
          <t>SEM COTAÇÃO</t>
        </is>
      </c>
      <c r="R2892" s="8" t="n"/>
      <c r="S2892" s="14" t="n"/>
      <c r="T2892" s="7" t="inlineStr"/>
      <c r="U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8" t="n"/>
      <c r="M2893" s="8" t="n"/>
      <c r="N2893" s="8" t="n"/>
      <c r="O2893" s="8" t="n"/>
      <c r="P2893" s="8" t="n"/>
      <c r="Q2893" s="7" t="inlineStr">
        <is>
          <t>SEM COTAÇÃO</t>
        </is>
      </c>
      <c r="R2893" s="8" t="n"/>
      <c r="S2893" s="14" t="n"/>
      <c r="T2893" s="7" t="inlineStr"/>
      <c r="U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8" t="n"/>
      <c r="M2894" s="8" t="n"/>
      <c r="N2894" s="8" t="n"/>
      <c r="O2894" s="8" t="n"/>
      <c r="P2894" s="8" t="n"/>
      <c r="Q2894" s="7" t="inlineStr">
        <is>
          <t>SEM COTAÇÃO</t>
        </is>
      </c>
      <c r="R2894" s="8" t="n"/>
      <c r="S2894" s="14" t="n"/>
      <c r="T2894" s="7" t="inlineStr"/>
      <c r="U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8" t="n"/>
      <c r="M2895" s="8" t="n"/>
      <c r="N2895" s="8" t="n"/>
      <c r="O2895" s="8" t="n"/>
      <c r="P2895" s="8" t="n"/>
      <c r="Q2895" s="7" t="inlineStr">
        <is>
          <t>SEM COTAÇÃO</t>
        </is>
      </c>
      <c r="R2895" s="8" t="n"/>
      <c r="S2895" s="14" t="n"/>
      <c r="T2895" s="7" t="inlineStr"/>
      <c r="U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8" t="n"/>
      <c r="M2896" s="8" t="n"/>
      <c r="N2896" s="8" t="n"/>
      <c r="O2896" s="8" t="n"/>
      <c r="P2896" s="8" t="n"/>
      <c r="Q2896" s="7" t="inlineStr">
        <is>
          <t>SEM COTAÇÃO</t>
        </is>
      </c>
      <c r="R2896" s="8" t="n"/>
      <c r="S2896" s="14" t="n"/>
      <c r="T2896" s="7" t="inlineStr"/>
      <c r="U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8" t="n"/>
      <c r="M2897" s="8" t="n"/>
      <c r="N2897" s="8" t="n"/>
      <c r="O2897" s="8" t="n"/>
      <c r="P2897" s="8" t="n"/>
      <c r="Q2897" s="7" t="inlineStr">
        <is>
          <t>SEM COTAÇÃO</t>
        </is>
      </c>
      <c r="R2897" s="8" t="n"/>
      <c r="S2897" s="14" t="n"/>
      <c r="T2897" s="7" t="inlineStr"/>
      <c r="U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8" t="n"/>
      <c r="M2898" s="8" t="n"/>
      <c r="N2898" s="8" t="n"/>
      <c r="O2898" s="8" t="n"/>
      <c r="P2898" s="8" t="n"/>
      <c r="Q2898" s="7" t="inlineStr">
        <is>
          <t>SEM COTAÇÃO</t>
        </is>
      </c>
      <c r="R2898" s="8" t="n"/>
      <c r="S2898" s="14" t="n"/>
      <c r="T2898" s="7" t="inlineStr"/>
      <c r="U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8" t="n"/>
      <c r="M2899" s="15" t="n">
        <v>8.109999999999999</v>
      </c>
      <c r="N2899" s="8" t="n"/>
      <c r="O2899" s="8" t="n"/>
      <c r="P2899" s="8" t="n"/>
      <c r="Q2899" s="7" t="inlineStr">
        <is>
          <t>CENTROFARMA</t>
        </is>
      </c>
      <c r="R2899" s="8" t="n">
        <v>8.109999999999999</v>
      </c>
      <c r="S2899" s="14">
        <f>R2899/H2899-1</f>
        <v/>
      </c>
      <c r="T2899" s="17" t="inlineStr">
        <is>
          <t>OK (≤ menor hist.)</t>
        </is>
      </c>
      <c r="U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7" t="inlineStr">
        <is>
          <t>SEM COTAÇÃO</t>
        </is>
      </c>
      <c r="R2900" s="8" t="n"/>
      <c r="S2900" s="14" t="n"/>
      <c r="T2900" s="7" t="inlineStr"/>
      <c r="U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8" t="n"/>
      <c r="M2901" s="15" t="n">
        <v>98.44</v>
      </c>
      <c r="N2901" s="8" t="n"/>
      <c r="O2901" s="8" t="n"/>
      <c r="P2901" s="8" t="n"/>
      <c r="Q2901" s="7" t="inlineStr">
        <is>
          <t>CENTROFARMA</t>
        </is>
      </c>
      <c r="R2901" s="8" t="n">
        <v>98.44</v>
      </c>
      <c r="S2901" s="14">
        <f>R2901/H2901-1</f>
        <v/>
      </c>
      <c r="T2901" s="16" t="inlineStr">
        <is>
          <t>ACIMA +5.6%</t>
        </is>
      </c>
      <c r="U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8" t="n">
        <v>55.82</v>
      </c>
      <c r="M2902" s="8" t="n"/>
      <c r="N2902" s="8" t="n"/>
      <c r="O2902" s="8" t="n">
        <v>75.98999999999999</v>
      </c>
      <c r="P2902" s="8" t="n"/>
      <c r="Q2902" s="7" t="inlineStr">
        <is>
          <t>SEM COTAÇÃO</t>
        </is>
      </c>
      <c r="R2902" s="8" t="n"/>
      <c r="S2902" s="14" t="n"/>
      <c r="T2902" s="7" t="inlineStr"/>
      <c r="U2902" s="7" t="inlineStr">
        <is>
          <t>EPAN: sem estoque; 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8" t="n">
        <v>93.06</v>
      </c>
      <c r="M2903" s="8" t="n"/>
      <c r="N2903" s="8" t="n"/>
      <c r="O2903" s="8" t="n"/>
      <c r="P2903" s="8" t="n"/>
      <c r="Q2903" s="7" t="inlineStr">
        <is>
          <t>SEM COTAÇÃO</t>
        </is>
      </c>
      <c r="R2903" s="8" t="n"/>
      <c r="S2903" s="14" t="n"/>
      <c r="T2903" s="7" t="inlineStr"/>
      <c r="U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8" t="n"/>
      <c r="M2904" s="8" t="n"/>
      <c r="N2904" s="8" t="n"/>
      <c r="O2904" s="8" t="n"/>
      <c r="P2904" s="8" t="n"/>
      <c r="Q2904" s="7" t="inlineStr">
        <is>
          <t>SEM COTAÇÃO</t>
        </is>
      </c>
      <c r="R2904" s="8" t="n"/>
      <c r="S2904" s="14" t="n"/>
      <c r="T2904" s="7" t="inlineStr"/>
      <c r="U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8" t="n"/>
      <c r="M2905" s="8" t="n"/>
      <c r="N2905" s="8" t="n"/>
      <c r="O2905" s="8" t="n"/>
      <c r="P2905" s="8" t="n"/>
      <c r="Q2905" s="7" t="inlineStr">
        <is>
          <t>SEM COTAÇÃO</t>
        </is>
      </c>
      <c r="R2905" s="8" t="n"/>
      <c r="S2905" s="14" t="n"/>
      <c r="T2905" s="7" t="inlineStr"/>
      <c r="U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15" t="n">
        <v>8.23</v>
      </c>
      <c r="M2906" s="8" t="n"/>
      <c r="N2906" s="8" t="n">
        <v>8.27</v>
      </c>
      <c r="O2906" s="8" t="n">
        <v>8.448</v>
      </c>
      <c r="P2906" s="8" t="n"/>
      <c r="Q2906" s="7" t="inlineStr">
        <is>
          <t>EPAN</t>
        </is>
      </c>
      <c r="R2906" s="8" t="n">
        <v>8.23</v>
      </c>
      <c r="S2906" s="14">
        <f>R2906/H2906-1</f>
        <v/>
      </c>
      <c r="T2906" s="17" t="inlineStr">
        <is>
          <t>OK (≤ últ. compra)</t>
        </is>
      </c>
      <c r="U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8" t="n"/>
      <c r="M2907" s="8" t="n"/>
      <c r="N2907" s="8" t="n"/>
      <c r="O2907" s="8" t="n"/>
      <c r="P2907" s="8" t="n"/>
      <c r="Q2907" s="7" t="inlineStr">
        <is>
          <t>SEM COTAÇÃO</t>
        </is>
      </c>
      <c r="R2907" s="8" t="n"/>
      <c r="S2907" s="14" t="n"/>
      <c r="T2907" s="7" t="inlineStr"/>
      <c r="U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8" t="n"/>
      <c r="M2908" s="8" t="n"/>
      <c r="N2908" s="8" t="n"/>
      <c r="O2908" s="8" t="n"/>
      <c r="P2908" s="8" t="n"/>
      <c r="Q2908" s="7" t="inlineStr">
        <is>
          <t>SEM COTAÇÃO</t>
        </is>
      </c>
      <c r="R2908" s="8" t="n"/>
      <c r="S2908" s="14" t="n"/>
      <c r="T2908" s="7" t="inlineStr"/>
      <c r="U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8" t="n"/>
      <c r="M2909" s="8" t="n"/>
      <c r="N2909" s="15" t="n">
        <v>21.27</v>
      </c>
      <c r="O2909" s="8" t="n">
        <v>22.2807</v>
      </c>
      <c r="P2909" s="8" t="n"/>
      <c r="Q2909" s="7" t="inlineStr">
        <is>
          <t>TAPAJOS</t>
        </is>
      </c>
      <c r="R2909" s="8" t="n">
        <v>21.27</v>
      </c>
      <c r="S2909" s="14">
        <f>R2909/H2909-1</f>
        <v/>
      </c>
      <c r="T2909" s="16" t="inlineStr">
        <is>
          <t>ACIMA +0.0%</t>
        </is>
      </c>
      <c r="U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8" t="n"/>
      <c r="M2910" s="8" t="n">
        <v>7.45</v>
      </c>
      <c r="N2910" s="8" t="n"/>
      <c r="O2910" s="8" t="n"/>
      <c r="P2910" s="8" t="n">
        <v>8.130000000000001</v>
      </c>
      <c r="Q2910" s="7" t="inlineStr">
        <is>
          <t>DIMEC</t>
        </is>
      </c>
      <c r="R2910" s="8" t="n">
        <v>7.35</v>
      </c>
      <c r="S2910" s="14">
        <f>R2910/H2910-1</f>
        <v/>
      </c>
      <c r="T2910" s="16" t="inlineStr">
        <is>
          <t>ACIMA +3.8%</t>
        </is>
      </c>
      <c r="U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8" t="n"/>
      <c r="M2911" s="8" t="n"/>
      <c r="N2911" s="8" t="n"/>
      <c r="O2911" s="8" t="n"/>
      <c r="P2911" s="8" t="n"/>
      <c r="Q2911" s="7" t="inlineStr">
        <is>
          <t>SEM COTAÇÃO</t>
        </is>
      </c>
      <c r="R2911" s="8" t="n"/>
      <c r="S2911" s="14" t="n"/>
      <c r="T2911" s="7" t="inlineStr"/>
      <c r="U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8" t="n"/>
      <c r="M2912" s="8" t="n"/>
      <c r="N2912" s="8" t="n"/>
      <c r="O2912" s="8" t="n"/>
      <c r="P2912" s="8" t="n"/>
      <c r="Q2912" s="7" t="inlineStr">
        <is>
          <t>SEM COTAÇÃO</t>
        </is>
      </c>
      <c r="R2912" s="8" t="n"/>
      <c r="S2912" s="14" t="n"/>
      <c r="T2912" s="7" t="inlineStr"/>
      <c r="U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8" t="n"/>
      <c r="M2913" s="8" t="n"/>
      <c r="N2913" s="8" t="n"/>
      <c r="O2913" s="8" t="n"/>
      <c r="P2913" s="8" t="n"/>
      <c r="Q2913" s="7" t="inlineStr">
        <is>
          <t>SEM COTAÇÃO</t>
        </is>
      </c>
      <c r="R2913" s="8" t="n"/>
      <c r="S2913" s="14" t="n"/>
      <c r="T2913" s="7" t="inlineStr"/>
      <c r="U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8" t="n"/>
      <c r="M2914" s="8" t="n"/>
      <c r="N2914" s="8" t="n"/>
      <c r="O2914" s="8" t="n"/>
      <c r="P2914" s="8" t="n"/>
      <c r="Q2914" s="7" t="inlineStr">
        <is>
          <t>SEM COTAÇÃO</t>
        </is>
      </c>
      <c r="R2914" s="8" t="n"/>
      <c r="S2914" s="14" t="n"/>
      <c r="T2914" s="7" t="inlineStr"/>
      <c r="U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8" t="n"/>
      <c r="M2915" s="8" t="n"/>
      <c r="N2915" s="8" t="n"/>
      <c r="O2915" s="8" t="n"/>
      <c r="P2915" s="8" t="n"/>
      <c r="Q2915" s="7" t="inlineStr">
        <is>
          <t>SEM COTAÇÃO</t>
        </is>
      </c>
      <c r="R2915" s="8" t="n"/>
      <c r="S2915" s="14" t="n"/>
      <c r="T2915" s="7" t="inlineStr"/>
      <c r="U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8" t="n"/>
      <c r="M2916" s="8" t="n"/>
      <c r="N2916" s="8" t="n"/>
      <c r="O2916" s="8" t="n"/>
      <c r="P2916" s="8" t="n"/>
      <c r="Q2916" s="7" t="inlineStr">
        <is>
          <t>SEM COTAÇÃO</t>
        </is>
      </c>
      <c r="R2916" s="8" t="n"/>
      <c r="S2916" s="14" t="n"/>
      <c r="T2916" s="7" t="inlineStr"/>
      <c r="U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8" t="n"/>
      <c r="M2917" s="8" t="n"/>
      <c r="N2917" s="8" t="n"/>
      <c r="O2917" s="8" t="n"/>
      <c r="P2917" s="15" t="n">
        <v>71.33</v>
      </c>
      <c r="Q2917" s="7" t="inlineStr">
        <is>
          <t>MEDCENTRO</t>
        </is>
      </c>
      <c r="R2917" s="8" t="n">
        <v>71.33</v>
      </c>
      <c r="S2917" s="14">
        <f>R2917/H2917-1</f>
        <v/>
      </c>
      <c r="T2917" s="16" t="inlineStr">
        <is>
          <t>ACIMA +29.0%</t>
        </is>
      </c>
      <c r="U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8" t="n"/>
      <c r="M2918" s="8" t="n"/>
      <c r="N2918" s="8" t="n"/>
      <c r="O2918" s="8" t="n"/>
      <c r="P2918" s="15" t="n">
        <v>54.02</v>
      </c>
      <c r="Q2918" s="7" t="inlineStr">
        <is>
          <t>MEDCENTRO</t>
        </is>
      </c>
      <c r="R2918" s="8" t="n">
        <v>54.02</v>
      </c>
      <c r="S2918" s="14">
        <f>R2918/H2918-1</f>
        <v/>
      </c>
      <c r="T2918" s="16" t="inlineStr">
        <is>
          <t>ACIMA +28.7%</t>
        </is>
      </c>
      <c r="U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8" t="n"/>
      <c r="M2919" s="8" t="n"/>
      <c r="N2919" s="8" t="n"/>
      <c r="O2919" s="8" t="n"/>
      <c r="P2919" s="8" t="n"/>
      <c r="Q2919" s="7" t="inlineStr">
        <is>
          <t>SEM COTAÇÃO</t>
        </is>
      </c>
      <c r="R2919" s="8" t="n"/>
      <c r="S2919" s="14" t="n"/>
      <c r="T2919" s="7" t="inlineStr"/>
      <c r="U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7" t="inlineStr">
        <is>
          <t>SEM COTAÇÃO</t>
        </is>
      </c>
      <c r="R2920" s="8" t="n"/>
      <c r="S2920" s="14" t="n"/>
      <c r="T2920" s="7" t="inlineStr"/>
      <c r="U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12.76</v>
      </c>
      <c r="K2921" s="8" t="n"/>
      <c r="L2921" s="8" t="n"/>
      <c r="M2921" s="8" t="n"/>
      <c r="N2921" s="15" t="n">
        <v>11.48</v>
      </c>
      <c r="O2921" s="8" t="n">
        <v>12.67</v>
      </c>
      <c r="P2921" s="8" t="n"/>
      <c r="Q2921" s="7" t="inlineStr">
        <is>
          <t>TAPAJOS</t>
        </is>
      </c>
      <c r="R2921" s="8" t="n">
        <v>11.48</v>
      </c>
      <c r="S2921" s="14">
        <f>R2921/H2921-1</f>
        <v/>
      </c>
      <c r="T2921" s="16" t="inlineStr">
        <is>
          <t>ACIMA +0.1%</t>
        </is>
      </c>
      <c r="U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10.61</v>
      </c>
      <c r="K2922" s="8" t="n"/>
      <c r="L2922" s="8" t="n"/>
      <c r="M2922" s="8" t="n"/>
      <c r="N2922" s="8" t="n"/>
      <c r="O2922" s="15" t="n">
        <v>10.54</v>
      </c>
      <c r="P2922" s="8" t="n"/>
      <c r="Q2922" s="7" t="inlineStr">
        <is>
          <t>NAZARIA</t>
        </is>
      </c>
      <c r="R2922" s="8" t="n">
        <v>10.54</v>
      </c>
      <c r="S2922" s="14">
        <f>R2922/H2922-1</f>
        <v/>
      </c>
      <c r="T2922" s="17" t="inlineStr">
        <is>
          <t>OK (≤ últ. compra)</t>
        </is>
      </c>
      <c r="U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7.52</v>
      </c>
      <c r="K2923" s="8" t="n"/>
      <c r="L2923" s="8" t="n"/>
      <c r="M2923" s="8" t="n"/>
      <c r="N2923" s="15" t="n">
        <v>6.76</v>
      </c>
      <c r="O2923" s="8" t="n">
        <v>7.47</v>
      </c>
      <c r="P2923" s="8" t="n"/>
      <c r="Q2923" s="7" t="inlineStr">
        <is>
          <t>TAPAJOS</t>
        </is>
      </c>
      <c r="R2923" s="8" t="n">
        <v>6.76</v>
      </c>
      <c r="S2923" s="14">
        <f>R2923/H2923-1</f>
        <v/>
      </c>
      <c r="T2923" s="16" t="inlineStr">
        <is>
          <t>ACIMA +0.1%</t>
        </is>
      </c>
      <c r="U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8" t="n"/>
      <c r="M2924" s="8" t="n"/>
      <c r="N2924" s="8" t="n"/>
      <c r="O2924" s="8" t="n"/>
      <c r="P2924" s="8" t="n"/>
      <c r="Q2924" s="7" t="inlineStr">
        <is>
          <t>SEM COTAÇÃO</t>
        </is>
      </c>
      <c r="R2924" s="8" t="n"/>
      <c r="S2924" s="14" t="n"/>
      <c r="T2924" s="7" t="inlineStr"/>
      <c r="U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8" t="n"/>
      <c r="M2925" s="8" t="n"/>
      <c r="N2925" s="8" t="n"/>
      <c r="O2925" s="8" t="n">
        <v>4.86</v>
      </c>
      <c r="P2925" s="8" t="n"/>
      <c r="Q2925" s="7" t="inlineStr">
        <is>
          <t>SEM COTAÇÃO</t>
        </is>
      </c>
      <c r="R2925" s="8" t="n"/>
      <c r="S2925" s="14" t="n"/>
      <c r="T2925" s="7" t="inlineStr"/>
      <c r="U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14.78</v>
      </c>
      <c r="K2926" s="8" t="n"/>
      <c r="L2926" s="15" t="n">
        <v>11.42</v>
      </c>
      <c r="M2926" s="8" t="n">
        <v>15.64</v>
      </c>
      <c r="N2926" s="8" t="n"/>
      <c r="O2926" s="8" t="n">
        <v>14.49</v>
      </c>
      <c r="P2926" s="8" t="n"/>
      <c r="Q2926" s="7" t="inlineStr">
        <is>
          <t>EPAN</t>
        </is>
      </c>
      <c r="R2926" s="8" t="n">
        <v>11.42</v>
      </c>
      <c r="S2926" s="14">
        <f>R2926/H2926-1</f>
        <v/>
      </c>
      <c r="T2926" s="17" t="inlineStr">
        <is>
          <t>OK (≤ menor hist.)</t>
        </is>
      </c>
      <c r="U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8" t="n">
        <v>16.94</v>
      </c>
      <c r="M2927" s="8" t="n">
        <v>21.74</v>
      </c>
      <c r="N2927" s="8" t="n"/>
      <c r="O2927" s="8" t="n">
        <v>19.38</v>
      </c>
      <c r="P2927" s="8" t="n"/>
      <c r="Q2927" s="7" t="inlineStr">
        <is>
          <t>DIMEC</t>
        </is>
      </c>
      <c r="R2927" s="8" t="n">
        <v>13.22</v>
      </c>
      <c r="S2927" s="14">
        <f>R2927/H2927-1</f>
        <v/>
      </c>
      <c r="T2927" s="17" t="inlineStr">
        <is>
          <t>OK (≤ menor hist.)</t>
        </is>
      </c>
      <c r="U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8" t="n"/>
      <c r="M2928" s="8" t="n"/>
      <c r="N2928" s="8" t="n"/>
      <c r="O2928" s="8" t="n"/>
      <c r="P2928" s="8" t="n"/>
      <c r="Q2928" s="7" t="inlineStr">
        <is>
          <t>SEM COTAÇÃO</t>
        </is>
      </c>
      <c r="R2928" s="8" t="n"/>
      <c r="S2928" s="14" t="n"/>
      <c r="T2928" s="7" t="inlineStr"/>
      <c r="U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8" t="n">
        <v>34.46</v>
      </c>
      <c r="M2929" s="8" t="n">
        <v>17.09</v>
      </c>
      <c r="N2929" s="8" t="n"/>
      <c r="O2929" s="8" t="n">
        <v>17.46</v>
      </c>
      <c r="P2929" s="8" t="n"/>
      <c r="Q2929" s="7" t="inlineStr">
        <is>
          <t>DIMEC</t>
        </is>
      </c>
      <c r="R2929" s="8" t="n">
        <v>15.82</v>
      </c>
      <c r="S2929" s="14">
        <f>R2929/H2929-1</f>
        <v/>
      </c>
      <c r="T2929" s="17" t="inlineStr">
        <is>
          <t>OK (≤ últ. compra)</t>
        </is>
      </c>
      <c r="U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8" t="n"/>
      <c r="M2930" s="8" t="n">
        <v>11.35</v>
      </c>
      <c r="N2930" s="8" t="n"/>
      <c r="O2930" s="8" t="n"/>
      <c r="P2930" s="8" t="n">
        <v>12.95</v>
      </c>
      <c r="Q2930" s="7" t="inlineStr">
        <is>
          <t>DIMEC</t>
        </is>
      </c>
      <c r="R2930" s="8" t="n">
        <v>10.65</v>
      </c>
      <c r="S2930" s="14">
        <f>R2930/H2930-1</f>
        <v/>
      </c>
      <c r="T2930" s="17" t="inlineStr">
        <is>
          <t>OK (≤ últ. compra)</t>
        </is>
      </c>
      <c r="U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8" t="n"/>
      <c r="M2931" s="8" t="n"/>
      <c r="N2931" s="8" t="n"/>
      <c r="O2931" s="8" t="n"/>
      <c r="P2931" s="8" t="n"/>
      <c r="Q2931" s="7" t="inlineStr">
        <is>
          <t>SEM COTAÇÃO</t>
        </is>
      </c>
      <c r="R2931" s="8" t="n"/>
      <c r="S2931" s="14" t="n"/>
      <c r="T2931" s="7" t="inlineStr"/>
      <c r="U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8" t="n"/>
      <c r="M2932" s="8" t="n"/>
      <c r="N2932" s="8" t="n"/>
      <c r="O2932" s="8" t="n"/>
      <c r="P2932" s="8" t="n"/>
      <c r="Q2932" s="7" t="inlineStr">
        <is>
          <t>SEM COTAÇÃO</t>
        </is>
      </c>
      <c r="R2932" s="8" t="n"/>
      <c r="S2932" s="14" t="n"/>
      <c r="T2932" s="7" t="inlineStr"/>
      <c r="U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8" t="n">
        <v>37.53</v>
      </c>
      <c r="M2933" s="8" t="n"/>
      <c r="N2933" s="8" t="n"/>
      <c r="O2933" s="8" t="n">
        <v>38.0436</v>
      </c>
      <c r="P2933" s="8" t="n"/>
      <c r="Q2933" s="7" t="inlineStr">
        <is>
          <t>SEM COTAÇÃO</t>
        </is>
      </c>
      <c r="R2933" s="8" t="n"/>
      <c r="S2933" s="14" t="n"/>
      <c r="T2933" s="7" t="inlineStr"/>
      <c r="U2933" s="7" t="inlineStr">
        <is>
          <t>EPAN: sem estoque; 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7" t="inlineStr">
        <is>
          <t>SEM COTAÇÃO</t>
        </is>
      </c>
      <c r="R2934" s="8" t="n"/>
      <c r="S2934" s="14" t="n"/>
      <c r="T2934" s="7" t="inlineStr"/>
      <c r="U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8" t="n"/>
      <c r="M2935" s="8" t="n"/>
      <c r="N2935" s="8" t="n"/>
      <c r="O2935" s="8" t="n"/>
      <c r="P2935" s="8" t="n"/>
      <c r="Q2935" s="7" t="inlineStr">
        <is>
          <t>SEM COTAÇÃO</t>
        </is>
      </c>
      <c r="R2935" s="8" t="n"/>
      <c r="S2935" s="14" t="n"/>
      <c r="T2935" s="7" t="inlineStr"/>
      <c r="U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8" t="n"/>
      <c r="M2936" s="8" t="n"/>
      <c r="N2936" s="8" t="n"/>
      <c r="O2936" s="8" t="n">
        <v>30.35</v>
      </c>
      <c r="P2936" s="8" t="n"/>
      <c r="Q2936" s="7" t="inlineStr">
        <is>
          <t>SEM COTAÇÃO</t>
        </is>
      </c>
      <c r="R2936" s="8" t="n"/>
      <c r="S2936" s="14" t="n"/>
      <c r="T2936" s="7" t="inlineStr"/>
      <c r="U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8" t="n"/>
      <c r="M2937" s="8" t="n"/>
      <c r="N2937" s="8" t="n"/>
      <c r="O2937" s="8" t="n"/>
      <c r="P2937" s="8" t="n"/>
      <c r="Q2937" s="7" t="inlineStr">
        <is>
          <t>SEM COTAÇÃO</t>
        </is>
      </c>
      <c r="R2937" s="8" t="n"/>
      <c r="S2937" s="14" t="n"/>
      <c r="T2937" s="7" t="inlineStr"/>
      <c r="U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8" t="n"/>
      <c r="M2938" s="8" t="n"/>
      <c r="N2938" s="8" t="n"/>
      <c r="O2938" s="8" t="n"/>
      <c r="P2938" s="8" t="n"/>
      <c r="Q2938" s="7" t="inlineStr">
        <is>
          <t>SEM COTAÇÃO</t>
        </is>
      </c>
      <c r="R2938" s="8" t="n"/>
      <c r="S2938" s="14" t="n"/>
      <c r="T2938" s="7" t="inlineStr"/>
      <c r="U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8" t="n"/>
      <c r="M2939" s="8" t="n"/>
      <c r="N2939" s="8" t="n"/>
      <c r="O2939" s="8" t="n"/>
      <c r="P2939" s="8" t="n"/>
      <c r="Q2939" s="7" t="inlineStr">
        <is>
          <t>SEM COTAÇÃO</t>
        </is>
      </c>
      <c r="R2939" s="8" t="n"/>
      <c r="S2939" s="14" t="n"/>
      <c r="T2939" s="7" t="inlineStr"/>
      <c r="U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8" t="n"/>
      <c r="M2940" s="8" t="n"/>
      <c r="N2940" s="8" t="n"/>
      <c r="O2940" s="8" t="n"/>
      <c r="P2940" s="8" t="n"/>
      <c r="Q2940" s="7" t="inlineStr">
        <is>
          <t>SEM COTAÇÃO</t>
        </is>
      </c>
      <c r="R2940" s="8" t="n"/>
      <c r="S2940" s="14" t="n"/>
      <c r="T2940" s="7" t="inlineStr"/>
      <c r="U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8" t="n"/>
      <c r="M2941" s="8" t="n"/>
      <c r="N2941" s="8" t="n"/>
      <c r="O2941" s="8" t="n"/>
      <c r="P2941" s="8" t="n"/>
      <c r="Q2941" s="7" t="inlineStr">
        <is>
          <t>SEM COTAÇÃO</t>
        </is>
      </c>
      <c r="R2941" s="8" t="n"/>
      <c r="S2941" s="14" t="n"/>
      <c r="T2941" s="7" t="inlineStr"/>
      <c r="U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7" t="inlineStr">
        <is>
          <t>SEM COTAÇÃO</t>
        </is>
      </c>
      <c r="R2942" s="8" t="n"/>
      <c r="S2942" s="14" t="n"/>
      <c r="T2942" s="7" t="inlineStr"/>
      <c r="U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8" t="n"/>
      <c r="M2943" s="8" t="n"/>
      <c r="N2943" s="8" t="n"/>
      <c r="O2943" s="8" t="n"/>
      <c r="P2943" s="8" t="n"/>
      <c r="Q2943" s="7" t="inlineStr">
        <is>
          <t>SEM COTAÇÃO</t>
        </is>
      </c>
      <c r="R2943" s="8" t="n"/>
      <c r="S2943" s="14" t="n"/>
      <c r="T2943" s="7" t="inlineStr"/>
      <c r="U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8" t="n"/>
      <c r="M2944" s="8" t="n"/>
      <c r="N2944" s="8" t="n"/>
      <c r="O2944" s="8" t="n"/>
      <c r="P2944" s="8" t="n"/>
      <c r="Q2944" s="7" t="inlineStr">
        <is>
          <t>SEM COTAÇÃO</t>
        </is>
      </c>
      <c r="R2944" s="8" t="n"/>
      <c r="S2944" s="14" t="n"/>
      <c r="T2944" s="7" t="inlineStr"/>
      <c r="U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8" t="n"/>
      <c r="M2945" s="8" t="n"/>
      <c r="N2945" s="8" t="n"/>
      <c r="O2945" s="8" t="n"/>
      <c r="P2945" s="8" t="n"/>
      <c r="Q2945" s="7" t="inlineStr">
        <is>
          <t>SEM COTAÇÃO</t>
        </is>
      </c>
      <c r="R2945" s="8" t="n"/>
      <c r="S2945" s="14" t="n"/>
      <c r="T2945" s="7" t="inlineStr"/>
      <c r="U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8" t="n"/>
      <c r="M2946" s="8" t="n"/>
      <c r="N2946" s="8" t="n"/>
      <c r="O2946" s="8" t="n"/>
      <c r="P2946" s="8" t="n"/>
      <c r="Q2946" s="7" t="inlineStr">
        <is>
          <t>SEM COTAÇÃO</t>
        </is>
      </c>
      <c r="R2946" s="8" t="n"/>
      <c r="S2946" s="14" t="n"/>
      <c r="T2946" s="7" t="inlineStr"/>
      <c r="U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8" t="n"/>
      <c r="M2947" s="8" t="n"/>
      <c r="N2947" s="8" t="n"/>
      <c r="O2947" s="8" t="n"/>
      <c r="P2947" s="8" t="n"/>
      <c r="Q2947" s="7" t="inlineStr">
        <is>
          <t>SEM COTAÇÃO</t>
        </is>
      </c>
      <c r="R2947" s="8" t="n"/>
      <c r="S2947" s="14" t="n"/>
      <c r="T2947" s="7" t="inlineStr"/>
      <c r="U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8" t="n"/>
      <c r="M2948" s="8" t="n"/>
      <c r="N2948" s="8" t="n"/>
      <c r="O2948" s="8" t="n"/>
      <c r="P2948" s="8" t="n"/>
      <c r="Q2948" s="7" t="inlineStr">
        <is>
          <t>SEM COTAÇÃO</t>
        </is>
      </c>
      <c r="R2948" s="8" t="n"/>
      <c r="S2948" s="14" t="n"/>
      <c r="T2948" s="7" t="inlineStr"/>
      <c r="U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8" t="n"/>
      <c r="M2949" s="8" t="n"/>
      <c r="N2949" s="8" t="n"/>
      <c r="O2949" s="8" t="n"/>
      <c r="P2949" s="8" t="n"/>
      <c r="Q2949" s="7" t="inlineStr">
        <is>
          <t>SEM COTAÇÃO</t>
        </is>
      </c>
      <c r="R2949" s="8" t="n"/>
      <c r="S2949" s="14" t="n"/>
      <c r="T2949" s="7" t="inlineStr"/>
      <c r="U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8" t="n"/>
      <c r="M2950" s="8" t="n"/>
      <c r="N2950" s="8" t="n"/>
      <c r="O2950" s="8" t="n"/>
      <c r="P2950" s="8" t="n"/>
      <c r="Q2950" s="7" t="inlineStr">
        <is>
          <t>SEM COTAÇÃO</t>
        </is>
      </c>
      <c r="R2950" s="8" t="n"/>
      <c r="S2950" s="14" t="n"/>
      <c r="T2950" s="7" t="inlineStr"/>
      <c r="U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15" t="n">
        <v>35.54</v>
      </c>
      <c r="M2951" s="8" t="n"/>
      <c r="N2951" s="8" t="n"/>
      <c r="O2951" s="8" t="n">
        <v>34.56</v>
      </c>
      <c r="P2951" s="8" t="n"/>
      <c r="Q2951" s="7" t="inlineStr">
        <is>
          <t>EPAN</t>
        </is>
      </c>
      <c r="R2951" s="8" t="n">
        <v>35.54</v>
      </c>
      <c r="S2951" s="14">
        <f>R2951/H2951-1</f>
        <v/>
      </c>
      <c r="T2951" s="17" t="inlineStr">
        <is>
          <t>OK (≤ últ. compra)</t>
        </is>
      </c>
      <c r="U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8" t="n"/>
      <c r="M2952" s="8" t="n"/>
      <c r="N2952" s="15" t="n">
        <v>102</v>
      </c>
      <c r="O2952" s="8" t="n">
        <v>105.317</v>
      </c>
      <c r="P2952" s="8" t="n"/>
      <c r="Q2952" s="7" t="inlineStr">
        <is>
          <t>TAPAJOS</t>
        </is>
      </c>
      <c r="R2952" s="8" t="n">
        <v>102</v>
      </c>
      <c r="S2952" s="14">
        <f>R2952/H2952-1</f>
        <v/>
      </c>
      <c r="T2952" s="16" t="inlineStr">
        <is>
          <t>ACIMA +0.7%</t>
        </is>
      </c>
      <c r="U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8" t="n"/>
      <c r="M2953" s="8" t="n"/>
      <c r="N2953" s="8" t="n"/>
      <c r="O2953" s="8" t="n"/>
      <c r="P2953" s="8" t="n"/>
      <c r="Q2953" s="7" t="inlineStr">
        <is>
          <t>SEM COTAÇÃO</t>
        </is>
      </c>
      <c r="R2953" s="8" t="n"/>
      <c r="S2953" s="14" t="n"/>
      <c r="T2953" s="7" t="inlineStr"/>
      <c r="U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8" t="n"/>
      <c r="M2954" s="8" t="n"/>
      <c r="N2954" s="8" t="n"/>
      <c r="O2954" s="8" t="n"/>
      <c r="P2954" s="8" t="n">
        <v>8.82</v>
      </c>
      <c r="Q2954" s="7" t="inlineStr">
        <is>
          <t>DIMEC</t>
        </is>
      </c>
      <c r="R2954" s="8" t="n">
        <v>8.26</v>
      </c>
      <c r="S2954" s="14">
        <f>R2954/H2954-1</f>
        <v/>
      </c>
      <c r="T2954" s="17" t="inlineStr">
        <is>
          <t>OK (≤ últ. compra)</t>
        </is>
      </c>
      <c r="U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8" t="n"/>
      <c r="M2955" s="8" t="n"/>
      <c r="N2955" s="8" t="n"/>
      <c r="O2955" s="15" t="n">
        <v>25.110068</v>
      </c>
      <c r="P2955" s="8" t="n">
        <v>29.44</v>
      </c>
      <c r="Q2955" s="7" t="inlineStr">
        <is>
          <t>NAZARIA</t>
        </is>
      </c>
      <c r="R2955" s="8" t="n">
        <v>25.110068</v>
      </c>
      <c r="S2955" s="14">
        <f>R2955/H2955-1</f>
        <v/>
      </c>
      <c r="T2955" s="16" t="inlineStr">
        <is>
          <t>ACIMA +1.1%</t>
        </is>
      </c>
      <c r="U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8" t="n"/>
      <c r="M2956" s="8" t="n"/>
      <c r="N2956" s="8" t="n"/>
      <c r="O2956" s="8" t="n"/>
      <c r="P2956" s="8" t="n"/>
      <c r="Q2956" s="7" t="inlineStr">
        <is>
          <t>DIMEC</t>
        </is>
      </c>
      <c r="R2956" s="8" t="n">
        <v>10.3</v>
      </c>
      <c r="S2956" s="14">
        <f>R2956/H2956-1</f>
        <v/>
      </c>
      <c r="T2956" s="17" t="inlineStr">
        <is>
          <t>OK (≤ menor hist.)</t>
        </is>
      </c>
      <c r="U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8" t="n"/>
      <c r="M2957" s="8" t="n"/>
      <c r="N2957" s="8" t="n"/>
      <c r="O2957" s="8" t="n"/>
      <c r="P2957" s="8" t="n"/>
      <c r="Q2957" s="7" t="inlineStr">
        <is>
          <t>SEM COTAÇÃO</t>
        </is>
      </c>
      <c r="R2957" s="8" t="n"/>
      <c r="S2957" s="14" t="n"/>
      <c r="T2957" s="7" t="inlineStr"/>
      <c r="U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15" t="n">
        <v>5.07</v>
      </c>
      <c r="M2958" s="8" t="n"/>
      <c r="N2958" s="8" t="n"/>
      <c r="O2958" s="8" t="n">
        <v>5.4126</v>
      </c>
      <c r="P2958" s="8" t="n"/>
      <c r="Q2958" s="7" t="inlineStr">
        <is>
          <t>EPAN</t>
        </is>
      </c>
      <c r="R2958" s="8" t="n">
        <v>5.07</v>
      </c>
      <c r="S2958" s="14">
        <f>R2958/H2958-1</f>
        <v/>
      </c>
      <c r="T2958" s="17" t="inlineStr">
        <is>
          <t>OK (≤ menor hist.)</t>
        </is>
      </c>
      <c r="U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8" t="n"/>
      <c r="M2959" s="8" t="n"/>
      <c r="N2959" s="8" t="n"/>
      <c r="O2959" s="15" t="n">
        <v>3.9382</v>
      </c>
      <c r="P2959" s="8" t="n"/>
      <c r="Q2959" s="7" t="inlineStr">
        <is>
          <t>NAZARIA</t>
        </is>
      </c>
      <c r="R2959" s="8" t="n">
        <v>3.9382</v>
      </c>
      <c r="S2959" s="14">
        <f>R2959/H2959-1</f>
        <v/>
      </c>
      <c r="T2959" s="17" t="inlineStr">
        <is>
          <t>OK (≤ últ. compra)</t>
        </is>
      </c>
      <c r="U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8" t="n"/>
      <c r="M2960" s="8" t="n"/>
      <c r="N2960" s="8" t="n"/>
      <c r="O2960" s="15" t="n">
        <v>16.56525</v>
      </c>
      <c r="P2960" s="8" t="n"/>
      <c r="Q2960" s="7" t="inlineStr">
        <is>
          <t>NAZARIA</t>
        </is>
      </c>
      <c r="R2960" s="8" t="n">
        <v>16.56525</v>
      </c>
      <c r="S2960" s="14">
        <f>R2960/H2960-1</f>
        <v/>
      </c>
      <c r="T2960" s="16" t="inlineStr">
        <is>
          <t>ACIMA +34.0%</t>
        </is>
      </c>
      <c r="U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8" t="n"/>
      <c r="M2961" s="8" t="n"/>
      <c r="N2961" s="8" t="n"/>
      <c r="O2961" s="8" t="n"/>
      <c r="P2961" s="8" t="n"/>
      <c r="Q2961" s="7" t="inlineStr">
        <is>
          <t>DIMEC</t>
        </is>
      </c>
      <c r="R2961" s="8" t="n">
        <v>26.484262</v>
      </c>
      <c r="S2961" s="14">
        <f>R2961/H2961-1</f>
        <v/>
      </c>
      <c r="T2961" s="16" t="inlineStr">
        <is>
          <t>ACIMA +24.2%</t>
        </is>
      </c>
      <c r="U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8" t="n"/>
      <c r="M2962" s="8" t="n"/>
      <c r="N2962" s="8" t="n"/>
      <c r="O2962" s="8" t="n"/>
      <c r="P2962" s="8" t="n"/>
      <c r="Q2962" s="7" t="inlineStr">
        <is>
          <t>DIMEC</t>
        </is>
      </c>
      <c r="R2962" s="8" t="n">
        <v>42.609678</v>
      </c>
      <c r="S2962" s="14">
        <f>R2962/H2962-1</f>
        <v/>
      </c>
      <c r="T2962" s="16" t="inlineStr">
        <is>
          <t>ACIMA +13.2%</t>
        </is>
      </c>
      <c r="U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8" t="n"/>
      <c r="M2963" s="8" t="n"/>
      <c r="N2963" s="8" t="n"/>
      <c r="O2963" s="8" t="n">
        <v>13.36</v>
      </c>
      <c r="P2963" s="8" t="n"/>
      <c r="Q2963" s="7" t="inlineStr">
        <is>
          <t>SEM COTAÇÃO</t>
        </is>
      </c>
      <c r="R2963" s="8" t="n"/>
      <c r="S2963" s="14" t="n"/>
      <c r="T2963" s="7" t="inlineStr"/>
      <c r="U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8" t="n"/>
      <c r="M2964" s="8" t="n"/>
      <c r="N2964" s="8" t="n"/>
      <c r="O2964" s="15" t="n">
        <v>13.36</v>
      </c>
      <c r="P2964" s="8" t="n"/>
      <c r="Q2964" s="7" t="inlineStr">
        <is>
          <t>NAZARIA</t>
        </is>
      </c>
      <c r="R2964" s="8" t="n">
        <v>13.36</v>
      </c>
      <c r="S2964" s="14">
        <f>R2964/H2964-1</f>
        <v/>
      </c>
      <c r="T2964" s="16" t="inlineStr">
        <is>
          <t>ACIMA +55.5%</t>
        </is>
      </c>
      <c r="U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8" t="n"/>
      <c r="M2965" s="8" t="n"/>
      <c r="N2965" s="8" t="n"/>
      <c r="O2965" s="15" t="n">
        <v>13.36</v>
      </c>
      <c r="P2965" s="8" t="n"/>
      <c r="Q2965" s="7" t="inlineStr">
        <is>
          <t>NAZARIA</t>
        </is>
      </c>
      <c r="R2965" s="8" t="n">
        <v>13.36</v>
      </c>
      <c r="S2965" s="14">
        <f>R2965/H2965-1</f>
        <v/>
      </c>
      <c r="T2965" s="16" t="inlineStr">
        <is>
          <t>ACIMA +55.5%</t>
        </is>
      </c>
      <c r="U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8" t="n"/>
      <c r="M2966" s="8" t="n"/>
      <c r="N2966" s="8" t="n"/>
      <c r="O2966" s="8" t="n"/>
      <c r="P2966" s="8" t="n"/>
      <c r="Q2966" s="7" t="inlineStr">
        <is>
          <t>SEM COTAÇÃO</t>
        </is>
      </c>
      <c r="R2966" s="8" t="n"/>
      <c r="S2966" s="14" t="n"/>
      <c r="T2966" s="7" t="inlineStr"/>
      <c r="U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8" t="n"/>
      <c r="M2967" s="8" t="n"/>
      <c r="N2967" s="8" t="n"/>
      <c r="O2967" s="8" t="n"/>
      <c r="P2967" s="8" t="n"/>
      <c r="Q2967" s="7" t="inlineStr">
        <is>
          <t>SEM COTAÇÃO</t>
        </is>
      </c>
      <c r="R2967" s="8" t="n"/>
      <c r="S2967" s="14" t="n"/>
      <c r="T2967" s="7" t="inlineStr"/>
      <c r="U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8" t="n"/>
      <c r="M2968" s="8" t="n"/>
      <c r="N2968" s="8" t="n"/>
      <c r="O2968" s="8" t="n"/>
      <c r="P2968" s="8" t="n"/>
      <c r="Q2968" s="7" t="inlineStr">
        <is>
          <t>SEM COTAÇÃO</t>
        </is>
      </c>
      <c r="R2968" s="8" t="n"/>
      <c r="S2968" s="14" t="n"/>
      <c r="T2968" s="7" t="inlineStr"/>
      <c r="U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8" t="n"/>
      <c r="M2969" s="8" t="n"/>
      <c r="N2969" s="8" t="n"/>
      <c r="O2969" s="8" t="n"/>
      <c r="P2969" s="8" t="n"/>
      <c r="Q2969" s="7" t="inlineStr">
        <is>
          <t>SEM COTAÇÃO</t>
        </is>
      </c>
      <c r="R2969" s="8" t="n"/>
      <c r="S2969" s="14" t="n"/>
      <c r="T2969" s="7" t="inlineStr"/>
      <c r="U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8" t="n"/>
      <c r="M2970" s="8" t="n"/>
      <c r="N2970" s="15" t="n">
        <v>43.28</v>
      </c>
      <c r="O2970" s="8" t="n">
        <v>45.1192</v>
      </c>
      <c r="P2970" s="8" t="n"/>
      <c r="Q2970" s="7" t="inlineStr">
        <is>
          <t>TAPAJOS</t>
        </is>
      </c>
      <c r="R2970" s="8" t="n">
        <v>43.28</v>
      </c>
      <c r="S2970" s="14">
        <f>R2970/H2970-1</f>
        <v/>
      </c>
      <c r="T2970" s="16" t="inlineStr">
        <is>
          <t>ACIMA +580.8%</t>
        </is>
      </c>
      <c r="U2970" s="7" t="inlineStr">
        <is>
          <t>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15" t="n">
        <v>44.5</v>
      </c>
      <c r="M2971" s="8" t="n"/>
      <c r="N2971" s="8" t="n"/>
      <c r="O2971" s="8" t="n">
        <v>45.1192</v>
      </c>
      <c r="P2971" s="8" t="n"/>
      <c r="Q2971" s="7" t="inlineStr">
        <is>
          <t>EPAN</t>
        </is>
      </c>
      <c r="R2971" s="8" t="n">
        <v>44.5</v>
      </c>
      <c r="S2971" s="14">
        <f>R2971/H2971-1</f>
        <v/>
      </c>
      <c r="T2971" s="16" t="inlineStr">
        <is>
          <t>ACIMA +0.0%</t>
        </is>
      </c>
      <c r="U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8" t="n"/>
      <c r="M2972" s="8" t="n"/>
      <c r="N2972" s="8" t="n"/>
      <c r="O2972" s="8" t="n"/>
      <c r="P2972" s="8" t="n"/>
      <c r="Q2972" s="7" t="inlineStr">
        <is>
          <t>SEM COTAÇÃO</t>
        </is>
      </c>
      <c r="R2972" s="8" t="n"/>
      <c r="S2972" s="14" t="n"/>
      <c r="T2972" s="7" t="inlineStr"/>
      <c r="U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15" t="n">
        <v>12.44</v>
      </c>
      <c r="M2973" s="8" t="n"/>
      <c r="N2973" s="8" t="n">
        <v>16.14</v>
      </c>
      <c r="O2973" s="8" t="n">
        <v>17.08975</v>
      </c>
      <c r="P2973" s="8" t="n"/>
      <c r="Q2973" s="7" t="inlineStr">
        <is>
          <t>EPAN</t>
        </is>
      </c>
      <c r="R2973" s="8" t="n">
        <v>12.44</v>
      </c>
      <c r="S2973" s="14">
        <f>R2973/H2973-1</f>
        <v/>
      </c>
      <c r="T2973" s="17" t="inlineStr">
        <is>
          <t>OK (≤ últ. compra)</t>
        </is>
      </c>
      <c r="U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8" t="n"/>
      <c r="M2974" s="8" t="n"/>
      <c r="N2974" s="8" t="n"/>
      <c r="O2974" s="8" t="n"/>
      <c r="P2974" s="8" t="n"/>
      <c r="Q2974" s="7" t="inlineStr">
        <is>
          <t>SEM COTAÇÃO</t>
        </is>
      </c>
      <c r="R2974" s="8" t="n"/>
      <c r="S2974" s="14" t="n"/>
      <c r="T2974" s="7" t="inlineStr"/>
      <c r="U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8" t="n"/>
      <c r="M2975" s="8" t="n"/>
      <c r="N2975" s="15" t="n">
        <v>22.47</v>
      </c>
      <c r="O2975" s="8" t="n">
        <v>23.7976</v>
      </c>
      <c r="P2975" s="8" t="n"/>
      <c r="Q2975" s="7" t="inlineStr">
        <is>
          <t>TAPAJOS</t>
        </is>
      </c>
      <c r="R2975" s="8" t="n">
        <v>22.47</v>
      </c>
      <c r="S2975" s="14">
        <f>R2975/H2975-1</f>
        <v/>
      </c>
      <c r="T2975" s="17" t="inlineStr">
        <is>
          <t>OK (≤ últ. compra)</t>
        </is>
      </c>
      <c r="U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8" t="n">
        <v>20.79</v>
      </c>
      <c r="M2976" s="8" t="n"/>
      <c r="N2976" s="15" t="n">
        <v>19.8</v>
      </c>
      <c r="O2976" s="8" t="n">
        <v>21.05</v>
      </c>
      <c r="P2976" s="8" t="n"/>
      <c r="Q2976" s="7" t="inlineStr">
        <is>
          <t>TAPAJOS</t>
        </is>
      </c>
      <c r="R2976" s="8" t="n">
        <v>19.8</v>
      </c>
      <c r="S2976" s="14">
        <f>R2976/H2976-1</f>
        <v/>
      </c>
      <c r="T2976" s="17" t="inlineStr">
        <is>
          <t>OK (≤ últ. compra)</t>
        </is>
      </c>
      <c r="U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8" t="n"/>
      <c r="M2977" s="8" t="n"/>
      <c r="N2977" s="8" t="n"/>
      <c r="O2977" s="8" t="n"/>
      <c r="P2977" s="8" t="n"/>
      <c r="Q2977" s="7" t="inlineStr">
        <is>
          <t>SEM COTAÇÃO</t>
        </is>
      </c>
      <c r="R2977" s="8" t="n"/>
      <c r="S2977" s="14" t="n"/>
      <c r="T2977" s="7" t="inlineStr"/>
      <c r="U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8" t="n"/>
      <c r="M2978" s="8" t="n"/>
      <c r="N2978" s="8" t="n"/>
      <c r="O2978" s="8" t="n"/>
      <c r="P2978" s="8" t="n"/>
      <c r="Q2978" s="7" t="inlineStr">
        <is>
          <t>SEM COTAÇÃO</t>
        </is>
      </c>
      <c r="R2978" s="8" t="n"/>
      <c r="S2978" s="14" t="n"/>
      <c r="T2978" s="7" t="inlineStr"/>
      <c r="U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8" t="n"/>
      <c r="M2979" s="8" t="n"/>
      <c r="N2979" s="8" t="n"/>
      <c r="O2979" s="8" t="n"/>
      <c r="P2979" s="8" t="n"/>
      <c r="Q2979" s="7" t="inlineStr">
        <is>
          <t>SEM COTAÇÃO</t>
        </is>
      </c>
      <c r="R2979" s="8" t="n"/>
      <c r="S2979" s="14" t="n"/>
      <c r="T2979" s="7" t="inlineStr"/>
      <c r="U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8" t="n"/>
      <c r="M2980" s="8" t="n"/>
      <c r="N2980" s="8" t="n"/>
      <c r="O2980" s="8" t="n"/>
      <c r="P2980" s="8" t="n"/>
      <c r="Q2980" s="7" t="inlineStr">
        <is>
          <t>SEM COTAÇÃO</t>
        </is>
      </c>
      <c r="R2980" s="8" t="n"/>
      <c r="S2980" s="14" t="n"/>
      <c r="T2980" s="7" t="inlineStr"/>
      <c r="U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8" t="n"/>
      <c r="M2981" s="8" t="n"/>
      <c r="N2981" s="8" t="n"/>
      <c r="O2981" s="8" t="n"/>
      <c r="P2981" s="8" t="n"/>
      <c r="Q2981" s="7" t="inlineStr">
        <is>
          <t>SEM COTAÇÃO</t>
        </is>
      </c>
      <c r="R2981" s="8" t="n"/>
      <c r="S2981" s="14" t="n"/>
      <c r="T2981" s="7" t="inlineStr"/>
      <c r="U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8" t="n"/>
      <c r="M2982" s="8" t="n"/>
      <c r="N2982" s="8" t="n"/>
      <c r="O2982" s="8" t="n"/>
      <c r="P2982" s="8" t="n"/>
      <c r="Q2982" s="7" t="inlineStr">
        <is>
          <t>SEM COTAÇÃO</t>
        </is>
      </c>
      <c r="R2982" s="8" t="n"/>
      <c r="S2982" s="14" t="n"/>
      <c r="T2982" s="7" t="inlineStr"/>
      <c r="U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8" t="n"/>
      <c r="M2983" s="8" t="n"/>
      <c r="N2983" s="8" t="n"/>
      <c r="O2983" s="15" t="n">
        <v>29.6723</v>
      </c>
      <c r="P2983" s="8" t="n"/>
      <c r="Q2983" s="7" t="inlineStr">
        <is>
          <t>NAZARIA</t>
        </is>
      </c>
      <c r="R2983" s="8" t="n">
        <v>29.6723</v>
      </c>
      <c r="S2983" s="14">
        <f>R2983/H2983-1</f>
        <v/>
      </c>
      <c r="T2983" s="16" t="inlineStr">
        <is>
          <t>ACIMA +16.0%</t>
        </is>
      </c>
      <c r="U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8" t="n"/>
      <c r="M2984" s="8" t="n"/>
      <c r="N2984" s="8" t="n"/>
      <c r="O2984" s="8" t="n"/>
      <c r="P2984" s="8" t="n"/>
      <c r="Q2984" s="7" t="inlineStr">
        <is>
          <t>SEM COTAÇÃO</t>
        </is>
      </c>
      <c r="R2984" s="8" t="n"/>
      <c r="S2984" s="14" t="n"/>
      <c r="T2984" s="7" t="inlineStr"/>
      <c r="U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8" t="n"/>
      <c r="M2985" s="8" t="n"/>
      <c r="N2985" s="8" t="n"/>
      <c r="O2985" s="8" t="n"/>
      <c r="P2985" s="8" t="n"/>
      <c r="Q2985" s="7" t="inlineStr">
        <is>
          <t>SEM COTAÇÃO</t>
        </is>
      </c>
      <c r="R2985" s="8" t="n"/>
      <c r="S2985" s="14" t="n"/>
      <c r="T2985" s="7" t="inlineStr"/>
      <c r="U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8" t="n"/>
      <c r="M2986" s="8" t="n"/>
      <c r="N2986" s="8" t="n"/>
      <c r="O2986" s="8" t="n"/>
      <c r="P2986" s="8" t="n"/>
      <c r="Q2986" s="7" t="inlineStr">
        <is>
          <t>SEM COTAÇÃO</t>
        </is>
      </c>
      <c r="R2986" s="8" t="n"/>
      <c r="S2986" s="14" t="n"/>
      <c r="T2986" s="7" t="inlineStr"/>
      <c r="U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7" t="inlineStr">
        <is>
          <t>SEM COTAÇÃO</t>
        </is>
      </c>
      <c r="R2987" s="8" t="n"/>
      <c r="S2987" s="14" t="n"/>
      <c r="T2987" s="7" t="inlineStr"/>
      <c r="U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8" t="n"/>
      <c r="M2988" s="8" t="n"/>
      <c r="N2988" s="8" t="n"/>
      <c r="O2988" s="8" t="n"/>
      <c r="P2988" s="8" t="n"/>
      <c r="Q2988" s="7" t="inlineStr">
        <is>
          <t>SEM COTAÇÃO</t>
        </is>
      </c>
      <c r="R2988" s="8" t="n"/>
      <c r="S2988" s="14" t="n"/>
      <c r="T2988" s="7" t="inlineStr"/>
      <c r="U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8" t="n"/>
      <c r="M2989" s="8" t="n"/>
      <c r="N2989" s="8" t="n"/>
      <c r="O2989" s="8" t="n"/>
      <c r="P2989" s="8" t="n"/>
      <c r="Q2989" s="7" t="inlineStr">
        <is>
          <t>SEM COTAÇÃO</t>
        </is>
      </c>
      <c r="R2989" s="8" t="n"/>
      <c r="S2989" s="14" t="n"/>
      <c r="T2989" s="7" t="inlineStr"/>
      <c r="U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8" t="n"/>
      <c r="M2990" s="8" t="n"/>
      <c r="N2990" s="8" t="n"/>
      <c r="O2990" s="8" t="n"/>
      <c r="P2990" s="8" t="n"/>
      <c r="Q2990" s="7" t="inlineStr">
        <is>
          <t>SEM COTAÇÃO</t>
        </is>
      </c>
      <c r="R2990" s="8" t="n"/>
      <c r="S2990" s="14" t="n"/>
      <c r="T2990" s="7" t="inlineStr"/>
      <c r="U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8" t="n"/>
      <c r="M2991" s="8" t="n"/>
      <c r="N2991" s="8" t="n"/>
      <c r="O2991" s="8" t="n"/>
      <c r="P2991" s="8" t="n"/>
      <c r="Q2991" s="7" t="inlineStr">
        <is>
          <t>SEM COTAÇÃO</t>
        </is>
      </c>
      <c r="R2991" s="8" t="n"/>
      <c r="S2991" s="14" t="n"/>
      <c r="T2991" s="7" t="inlineStr"/>
      <c r="U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7" t="inlineStr">
        <is>
          <t>SEM COTAÇÃO</t>
        </is>
      </c>
      <c r="R2992" s="8" t="n"/>
      <c r="S2992" s="14" t="n"/>
      <c r="T2992" s="7" t="inlineStr"/>
      <c r="U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8" t="n"/>
      <c r="M2993" s="8" t="n"/>
      <c r="N2993" s="8" t="n"/>
      <c r="O2993" s="8" t="n"/>
      <c r="P2993" s="8" t="n"/>
      <c r="Q2993" s="7" t="inlineStr">
        <is>
          <t>SEM COTAÇÃO</t>
        </is>
      </c>
      <c r="R2993" s="8" t="n"/>
      <c r="S2993" s="14" t="n"/>
      <c r="T2993" s="7" t="inlineStr"/>
      <c r="U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8" t="n"/>
      <c r="M2994" s="8" t="n"/>
      <c r="N2994" s="8" t="n"/>
      <c r="O2994" s="8" t="n"/>
      <c r="P2994" s="8" t="n"/>
      <c r="Q2994" s="7" t="inlineStr">
        <is>
          <t>SEM COTAÇÃO</t>
        </is>
      </c>
      <c r="R2994" s="8" t="n"/>
      <c r="S2994" s="14" t="n"/>
      <c r="T2994" s="7" t="inlineStr"/>
      <c r="U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8" t="n"/>
      <c r="M2995" s="8" t="n"/>
      <c r="N2995" s="8" t="n"/>
      <c r="O2995" s="8" t="n"/>
      <c r="P2995" s="8" t="n"/>
      <c r="Q2995" s="7" t="inlineStr">
        <is>
          <t>SEM COTAÇÃO</t>
        </is>
      </c>
      <c r="R2995" s="8" t="n"/>
      <c r="S2995" s="14" t="n"/>
      <c r="T2995" s="7" t="inlineStr"/>
      <c r="U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8" t="n"/>
      <c r="M2996" s="8" t="n"/>
      <c r="N2996" s="8" t="n"/>
      <c r="O2996" s="8" t="n"/>
      <c r="P2996" s="8" t="n"/>
      <c r="Q2996" s="7" t="inlineStr">
        <is>
          <t>SEM COTAÇÃO</t>
        </is>
      </c>
      <c r="R2996" s="8" t="n"/>
      <c r="S2996" s="14" t="n"/>
      <c r="T2996" s="7" t="inlineStr"/>
      <c r="U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8" t="n"/>
      <c r="M2997" s="8" t="n"/>
      <c r="N2997" s="8" t="n"/>
      <c r="O2997" s="8" t="n"/>
      <c r="P2997" s="8" t="n"/>
      <c r="Q2997" s="7" t="inlineStr">
        <is>
          <t>SEM COTAÇÃO</t>
        </is>
      </c>
      <c r="R2997" s="8" t="n"/>
      <c r="S2997" s="14" t="n"/>
      <c r="T2997" s="7" t="inlineStr"/>
      <c r="U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8" t="n"/>
      <c r="M2998" s="8" t="n"/>
      <c r="N2998" s="8" t="n"/>
      <c r="O2998" s="8" t="n"/>
      <c r="P2998" s="8" t="n"/>
      <c r="Q2998" s="7" t="inlineStr">
        <is>
          <t>SEM COTAÇÃO</t>
        </is>
      </c>
      <c r="R2998" s="8" t="n"/>
      <c r="S2998" s="14" t="n"/>
      <c r="T2998" s="7" t="inlineStr"/>
      <c r="U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8" t="n"/>
      <c r="M2999" s="8" t="n"/>
      <c r="N2999" s="8" t="n"/>
      <c r="O2999" s="8" t="n"/>
      <c r="P2999" s="8" t="n"/>
      <c r="Q2999" s="7" t="inlineStr">
        <is>
          <t>SEM COTAÇÃO</t>
        </is>
      </c>
      <c r="R2999" s="8" t="n"/>
      <c r="S2999" s="14" t="n"/>
      <c r="T2999" s="7" t="inlineStr"/>
      <c r="U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8" t="n"/>
      <c r="M3000" s="8" t="n"/>
      <c r="N3000" s="8" t="n"/>
      <c r="O3000" s="15" t="n">
        <v>27.88</v>
      </c>
      <c r="P3000" s="8" t="n"/>
      <c r="Q3000" s="7" t="inlineStr">
        <is>
          <t>NAZARIA</t>
        </is>
      </c>
      <c r="R3000" s="8" t="n">
        <v>27.88</v>
      </c>
      <c r="S3000" s="14">
        <f>R3000/H3000-1</f>
        <v/>
      </c>
      <c r="T3000" s="17" t="inlineStr">
        <is>
          <t>OK (≤ últ. compra)</t>
        </is>
      </c>
      <c r="U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8" t="n"/>
      <c r="M3001" s="8" t="n"/>
      <c r="N3001" s="8" t="n"/>
      <c r="O3001" s="8" t="n"/>
      <c r="P3001" s="8" t="n"/>
      <c r="Q3001" s="7" t="inlineStr">
        <is>
          <t>SEM COTAÇÃO</t>
        </is>
      </c>
      <c r="R3001" s="8" t="n"/>
      <c r="S3001" s="14" t="n"/>
      <c r="T3001" s="7" t="inlineStr"/>
      <c r="U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8" t="n"/>
      <c r="M3002" s="8" t="n"/>
      <c r="N3002" s="8" t="n"/>
      <c r="O3002" s="8" t="n"/>
      <c r="P3002" s="8" t="n"/>
      <c r="Q3002" s="7" t="inlineStr">
        <is>
          <t>SEM COTAÇÃO</t>
        </is>
      </c>
      <c r="R3002" s="8" t="n"/>
      <c r="S3002" s="14" t="n"/>
      <c r="T3002" s="7" t="inlineStr"/>
      <c r="U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8" t="n"/>
      <c r="M3003" s="8" t="n"/>
      <c r="N3003" s="8" t="n"/>
      <c r="O3003" s="8" t="n"/>
      <c r="P3003" s="8" t="n"/>
      <c r="Q3003" s="7" t="inlineStr">
        <is>
          <t>SEM COTAÇÃO</t>
        </is>
      </c>
      <c r="R3003" s="8" t="n"/>
      <c r="S3003" s="14" t="n"/>
      <c r="T3003" s="7" t="inlineStr"/>
      <c r="U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8" t="n"/>
      <c r="M3004" s="8" t="n"/>
      <c r="N3004" s="8" t="n"/>
      <c r="O3004" s="8" t="n"/>
      <c r="P3004" s="8" t="n"/>
      <c r="Q3004" s="7" t="inlineStr">
        <is>
          <t>SEM COTAÇÃO</t>
        </is>
      </c>
      <c r="R3004" s="8" t="n"/>
      <c r="S3004" s="14" t="n"/>
      <c r="T3004" s="7" t="inlineStr"/>
      <c r="U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8" t="n"/>
      <c r="M3005" s="8" t="n"/>
      <c r="N3005" s="8" t="n"/>
      <c r="O3005" s="8" t="n"/>
      <c r="P3005" s="8" t="n"/>
      <c r="Q3005" s="7" t="inlineStr">
        <is>
          <t>SEM COTAÇÃO</t>
        </is>
      </c>
      <c r="R3005" s="8" t="n"/>
      <c r="S3005" s="14" t="n"/>
      <c r="T3005" s="7" t="inlineStr"/>
      <c r="U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8" t="n"/>
      <c r="M3006" s="8" t="n"/>
      <c r="N3006" s="8" t="n"/>
      <c r="O3006" s="8" t="n"/>
      <c r="P3006" s="8" t="n"/>
      <c r="Q3006" s="7" t="inlineStr">
        <is>
          <t>SEM COTAÇÃO</t>
        </is>
      </c>
      <c r="R3006" s="8" t="n"/>
      <c r="S3006" s="14" t="n"/>
      <c r="T3006" s="7" t="inlineStr"/>
      <c r="U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8" t="n"/>
      <c r="M3007" s="8" t="n"/>
      <c r="N3007" s="8" t="n"/>
      <c r="O3007" s="15" t="n">
        <v>7.46</v>
      </c>
      <c r="P3007" s="8" t="n"/>
      <c r="Q3007" s="7" t="inlineStr">
        <is>
          <t>NAZARIA</t>
        </is>
      </c>
      <c r="R3007" s="8" t="n">
        <v>7.46</v>
      </c>
      <c r="S3007" s="14">
        <f>R3007/H3007-1</f>
        <v/>
      </c>
      <c r="T3007" s="16" t="inlineStr">
        <is>
          <t>ACIMA +20.6%</t>
        </is>
      </c>
      <c r="U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8" t="n"/>
      <c r="M3008" s="8" t="n"/>
      <c r="N3008" s="8" t="n"/>
      <c r="O3008" s="8" t="n"/>
      <c r="P3008" s="8" t="n"/>
      <c r="Q3008" s="7" t="inlineStr">
        <is>
          <t>SEM COTAÇÃO</t>
        </is>
      </c>
      <c r="R3008" s="8" t="n"/>
      <c r="S3008" s="14" t="n"/>
      <c r="T3008" s="7" t="inlineStr"/>
      <c r="U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8" t="n"/>
      <c r="M3009" s="8" t="n"/>
      <c r="N3009" s="8" t="n"/>
      <c r="O3009" s="8" t="n"/>
      <c r="P3009" s="8" t="n"/>
      <c r="Q3009" s="7" t="inlineStr">
        <is>
          <t>SEM COTAÇÃO</t>
        </is>
      </c>
      <c r="R3009" s="8" t="n"/>
      <c r="S3009" s="14" t="n"/>
      <c r="T3009" s="7" t="inlineStr"/>
      <c r="U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8" t="n"/>
      <c r="M3010" s="8" t="n"/>
      <c r="N3010" s="8" t="n"/>
      <c r="O3010" s="15" t="n">
        <v>23.14</v>
      </c>
      <c r="P3010" s="8" t="n"/>
      <c r="Q3010" s="7" t="inlineStr">
        <is>
          <t>NAZARIA</t>
        </is>
      </c>
      <c r="R3010" s="8" t="n">
        <v>23.14</v>
      </c>
      <c r="S3010" s="14">
        <f>R3010/H3010-1</f>
        <v/>
      </c>
      <c r="T3010" s="16" t="inlineStr">
        <is>
          <t>ACIMA +18.6%</t>
        </is>
      </c>
      <c r="U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8" t="n"/>
      <c r="M3011" s="8" t="n"/>
      <c r="N3011" s="8" t="n"/>
      <c r="O3011" s="15" t="n">
        <v>5.01</v>
      </c>
      <c r="P3011" s="8" t="n"/>
      <c r="Q3011" s="7" t="inlineStr">
        <is>
          <t>NAZARIA</t>
        </is>
      </c>
      <c r="R3011" s="8" t="n">
        <v>5.01</v>
      </c>
      <c r="S3011" s="14">
        <f>R3011/H3011-1</f>
        <v/>
      </c>
      <c r="T3011" s="16" t="inlineStr">
        <is>
          <t>ACIMA +17.1%</t>
        </is>
      </c>
      <c r="U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8" t="n"/>
      <c r="M3012" s="8" t="n"/>
      <c r="N3012" s="8" t="n"/>
      <c r="O3012" s="8" t="n">
        <v>5.01</v>
      </c>
      <c r="P3012" s="8" t="n"/>
      <c r="Q3012" s="7" t="inlineStr">
        <is>
          <t>SEM COTAÇÃO</t>
        </is>
      </c>
      <c r="R3012" s="8" t="n"/>
      <c r="S3012" s="14" t="n"/>
      <c r="T3012" s="7" t="inlineStr"/>
      <c r="U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8" t="n"/>
      <c r="M3013" s="8" t="n"/>
      <c r="N3013" s="8" t="n"/>
      <c r="O3013" s="8" t="n"/>
      <c r="P3013" s="8" t="n"/>
      <c r="Q3013" s="7" t="inlineStr">
        <is>
          <t>SEM COTAÇÃO</t>
        </is>
      </c>
      <c r="R3013" s="8" t="n"/>
      <c r="S3013" s="14" t="n"/>
      <c r="T3013" s="7" t="inlineStr"/>
      <c r="U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8" t="n"/>
      <c r="M3014" s="8" t="n"/>
      <c r="N3014" s="8" t="n"/>
      <c r="O3014" s="8" t="n"/>
      <c r="P3014" s="8" t="n">
        <v>3.09</v>
      </c>
      <c r="Q3014" s="7" t="inlineStr">
        <is>
          <t>DIMEC</t>
        </is>
      </c>
      <c r="R3014" s="8" t="n">
        <v>2.9</v>
      </c>
      <c r="S3014" s="14">
        <f>R3014/H3014-1</f>
        <v/>
      </c>
      <c r="T3014" s="16" t="inlineStr">
        <is>
          <t>ACIMA +14.6%</t>
        </is>
      </c>
      <c r="U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8" t="n"/>
      <c r="M3015" s="8" t="n"/>
      <c r="N3015" s="8" t="n"/>
      <c r="O3015" s="8" t="n"/>
      <c r="P3015" s="8" t="n"/>
      <c r="Q3015" s="7" t="inlineStr">
        <is>
          <t>SEM COTAÇÃO</t>
        </is>
      </c>
      <c r="R3015" s="8" t="n"/>
      <c r="S3015" s="14" t="n"/>
      <c r="T3015" s="7" t="inlineStr"/>
      <c r="U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8" t="n"/>
      <c r="M3016" s="8" t="n"/>
      <c r="N3016" s="8" t="n"/>
      <c r="O3016" s="15" t="n">
        <v>18.31</v>
      </c>
      <c r="P3016" s="8" t="n"/>
      <c r="Q3016" s="7" t="inlineStr">
        <is>
          <t>NAZARIA</t>
        </is>
      </c>
      <c r="R3016" s="8" t="n">
        <v>18.31</v>
      </c>
      <c r="S3016" s="14">
        <f>R3016/H3016-1</f>
        <v/>
      </c>
      <c r="T3016" s="17" t="inlineStr">
        <is>
          <t>OK (≤ menor hist.)</t>
        </is>
      </c>
      <c r="U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8" t="n"/>
      <c r="M3017" s="8" t="n"/>
      <c r="N3017" s="8" t="n"/>
      <c r="O3017" s="8" t="n"/>
      <c r="P3017" s="8" t="n"/>
      <c r="Q3017" s="7" t="inlineStr">
        <is>
          <t>SEM COTAÇÃO</t>
        </is>
      </c>
      <c r="R3017" s="8" t="n"/>
      <c r="S3017" s="14" t="n"/>
      <c r="T3017" s="7" t="inlineStr"/>
      <c r="U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7" t="inlineStr">
        <is>
          <t>SEM COTAÇÃO</t>
        </is>
      </c>
      <c r="R3018" s="8" t="n"/>
      <c r="S3018" s="14" t="n"/>
      <c r="T3018" s="7" t="inlineStr"/>
      <c r="U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7" t="inlineStr">
        <is>
          <t>SEM COTAÇÃO</t>
        </is>
      </c>
      <c r="R3019" s="8" t="n"/>
      <c r="S3019" s="14" t="n"/>
      <c r="T3019" s="7" t="inlineStr"/>
      <c r="U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8" t="n"/>
      <c r="M3020" s="8" t="n"/>
      <c r="N3020" s="8" t="n"/>
      <c r="O3020" s="8" t="n"/>
      <c r="P3020" s="8" t="n"/>
      <c r="Q3020" s="7" t="inlineStr">
        <is>
          <t>SEM COTAÇÃO</t>
        </is>
      </c>
      <c r="R3020" s="8" t="n"/>
      <c r="S3020" s="14" t="n"/>
      <c r="T3020" s="7" t="inlineStr"/>
      <c r="U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8" t="n"/>
      <c r="M3021" s="8" t="n"/>
      <c r="N3021" s="8" t="n"/>
      <c r="O3021" s="8" t="n"/>
      <c r="P3021" s="8" t="n"/>
      <c r="Q3021" s="7" t="inlineStr">
        <is>
          <t>SEM COTAÇÃO</t>
        </is>
      </c>
      <c r="R3021" s="8" t="n"/>
      <c r="S3021" s="14" t="n"/>
      <c r="T3021" s="7" t="inlineStr"/>
      <c r="U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8" t="n"/>
      <c r="M3022" s="8" t="n"/>
      <c r="N3022" s="8" t="n"/>
      <c r="O3022" s="8" t="n"/>
      <c r="P3022" s="8" t="n"/>
      <c r="Q3022" s="7" t="inlineStr">
        <is>
          <t>SEM COTAÇÃO</t>
        </is>
      </c>
      <c r="R3022" s="8" t="n"/>
      <c r="S3022" s="14" t="n"/>
      <c r="T3022" s="7" t="inlineStr"/>
      <c r="U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8" t="n"/>
      <c r="M3023" s="8" t="n"/>
      <c r="N3023" s="8" t="n"/>
      <c r="O3023" s="8" t="n"/>
      <c r="P3023" s="8" t="n"/>
      <c r="Q3023" s="7" t="inlineStr">
        <is>
          <t>SEM COTAÇÃO</t>
        </is>
      </c>
      <c r="R3023" s="8" t="n"/>
      <c r="S3023" s="14" t="n"/>
      <c r="T3023" s="7" t="inlineStr"/>
      <c r="U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8" t="n"/>
      <c r="M3024" s="8" t="n"/>
      <c r="N3024" s="8" t="n"/>
      <c r="O3024" s="8" t="n"/>
      <c r="P3024" s="8" t="n"/>
      <c r="Q3024" s="7" t="inlineStr">
        <is>
          <t>SEM COTAÇÃO</t>
        </is>
      </c>
      <c r="R3024" s="8" t="n"/>
      <c r="S3024" s="14" t="n"/>
      <c r="T3024" s="7" t="inlineStr"/>
      <c r="U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8" t="n"/>
      <c r="M3025" s="8" t="n"/>
      <c r="N3025" s="8" t="n"/>
      <c r="O3025" s="8" t="n"/>
      <c r="P3025" s="8" t="n"/>
      <c r="Q3025" s="7" t="inlineStr">
        <is>
          <t>SEM COTAÇÃO</t>
        </is>
      </c>
      <c r="R3025" s="8" t="n"/>
      <c r="S3025" s="14" t="n"/>
      <c r="T3025" s="7" t="inlineStr"/>
      <c r="U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8" t="n"/>
      <c r="M3026" s="8" t="n"/>
      <c r="N3026" s="8" t="n"/>
      <c r="O3026" s="8" t="n"/>
      <c r="P3026" s="8" t="n"/>
      <c r="Q3026" s="7" t="inlineStr">
        <is>
          <t>SEM COTAÇÃO</t>
        </is>
      </c>
      <c r="R3026" s="8" t="n"/>
      <c r="S3026" s="14" t="n"/>
      <c r="T3026" s="7" t="inlineStr"/>
      <c r="U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8" t="n"/>
      <c r="M3027" s="8" t="n"/>
      <c r="N3027" s="8" t="n"/>
      <c r="O3027" s="8" t="n"/>
      <c r="P3027" s="8" t="n"/>
      <c r="Q3027" s="7" t="inlineStr">
        <is>
          <t>SEM COTAÇÃO</t>
        </is>
      </c>
      <c r="R3027" s="8" t="n"/>
      <c r="S3027" s="14" t="n"/>
      <c r="T3027" s="7" t="inlineStr"/>
      <c r="U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8" t="n"/>
      <c r="M3028" s="8" t="n"/>
      <c r="N3028" s="8" t="n"/>
      <c r="O3028" s="8" t="n"/>
      <c r="P3028" s="8" t="n"/>
      <c r="Q3028" s="7" t="inlineStr">
        <is>
          <t>SEM COTAÇÃO</t>
        </is>
      </c>
      <c r="R3028" s="8" t="n"/>
      <c r="S3028" s="14" t="n"/>
      <c r="T3028" s="7" t="inlineStr"/>
      <c r="U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8" t="n"/>
      <c r="M3029" s="8" t="n"/>
      <c r="N3029" s="8" t="n"/>
      <c r="O3029" s="8" t="n"/>
      <c r="P3029" s="8" t="n"/>
      <c r="Q3029" s="7" t="inlineStr">
        <is>
          <t>SEM COTAÇÃO</t>
        </is>
      </c>
      <c r="R3029" s="8" t="n"/>
      <c r="S3029" s="14" t="n"/>
      <c r="T3029" s="7" t="inlineStr"/>
      <c r="U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8" t="n"/>
      <c r="M3030" s="8" t="n"/>
      <c r="N3030" s="8" t="n"/>
      <c r="O3030" s="8" t="n"/>
      <c r="P3030" s="8" t="n"/>
      <c r="Q3030" s="7" t="inlineStr">
        <is>
          <t>SEM COTAÇÃO</t>
        </is>
      </c>
      <c r="R3030" s="8" t="n"/>
      <c r="S3030" s="14" t="n"/>
      <c r="T3030" s="7" t="inlineStr"/>
      <c r="U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8" t="n"/>
      <c r="M3031" s="8" t="n"/>
      <c r="N3031" s="8" t="n"/>
      <c r="O3031" s="8" t="n">
        <v>54.4203</v>
      </c>
      <c r="P3031" s="8" t="n"/>
      <c r="Q3031" s="7" t="inlineStr">
        <is>
          <t>SEM COTAÇÃO</t>
        </is>
      </c>
      <c r="R3031" s="8" t="n"/>
      <c r="S3031" s="14" t="n"/>
      <c r="T3031" s="7" t="inlineStr"/>
      <c r="U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8" t="n"/>
      <c r="M3032" s="8" t="n"/>
      <c r="N3032" s="8" t="n"/>
      <c r="O3032" s="8" t="n"/>
      <c r="P3032" s="8" t="n"/>
      <c r="Q3032" s="7" t="inlineStr">
        <is>
          <t>SEM COTAÇÃO</t>
        </is>
      </c>
      <c r="R3032" s="8" t="n"/>
      <c r="S3032" s="14" t="n"/>
      <c r="T3032" s="7" t="inlineStr"/>
      <c r="U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8" t="n"/>
      <c r="M3033" s="8" t="n"/>
      <c r="N3033" s="8" t="n"/>
      <c r="O3033" s="8" t="n"/>
      <c r="P3033" s="8" t="n"/>
      <c r="Q3033" s="7" t="inlineStr">
        <is>
          <t>SEM COTAÇÃO</t>
        </is>
      </c>
      <c r="R3033" s="8" t="n"/>
      <c r="S3033" s="14" t="n"/>
      <c r="T3033" s="7" t="inlineStr"/>
      <c r="U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8" t="n"/>
      <c r="M3034" s="8" t="n"/>
      <c r="N3034" s="8" t="n"/>
      <c r="O3034" s="8" t="n"/>
      <c r="P3034" s="8" t="n"/>
      <c r="Q3034" s="7" t="inlineStr">
        <is>
          <t>SEM COTAÇÃO</t>
        </is>
      </c>
      <c r="R3034" s="8" t="n"/>
      <c r="S3034" s="14" t="n"/>
      <c r="T3034" s="7" t="inlineStr"/>
      <c r="U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8" t="n"/>
      <c r="M3035" s="8" t="n"/>
      <c r="N3035" s="8" t="n"/>
      <c r="O3035" s="8" t="n"/>
      <c r="P3035" s="8" t="n"/>
      <c r="Q3035" s="7" t="inlineStr">
        <is>
          <t>SEM COTAÇÃO</t>
        </is>
      </c>
      <c r="R3035" s="8" t="n"/>
      <c r="S3035" s="14" t="n"/>
      <c r="T3035" s="7" t="inlineStr"/>
      <c r="U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8" t="n"/>
      <c r="M3036" s="8" t="n"/>
      <c r="N3036" s="8" t="n"/>
      <c r="O3036" s="8" t="n"/>
      <c r="P3036" s="8" t="n"/>
      <c r="Q3036" s="7" t="inlineStr">
        <is>
          <t>SEM COTAÇÃO</t>
        </is>
      </c>
      <c r="R3036" s="8" t="n"/>
      <c r="S3036" s="14" t="n"/>
      <c r="T3036" s="7" t="inlineStr"/>
      <c r="U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8" t="n"/>
      <c r="M3037" s="8" t="n"/>
      <c r="N3037" s="8" t="n"/>
      <c r="O3037" s="8" t="n"/>
      <c r="P3037" s="8" t="n"/>
      <c r="Q3037" s="7" t="inlineStr">
        <is>
          <t>SEM COTAÇÃO</t>
        </is>
      </c>
      <c r="R3037" s="8" t="n"/>
      <c r="S3037" s="14" t="n"/>
      <c r="T3037" s="7" t="inlineStr"/>
      <c r="U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8" t="n"/>
      <c r="M3038" s="8" t="n"/>
      <c r="N3038" s="8" t="n"/>
      <c r="O3038" s="8" t="n"/>
      <c r="P3038" s="8" t="n"/>
      <c r="Q3038" s="7" t="inlineStr">
        <is>
          <t>SEM COTAÇÃO</t>
        </is>
      </c>
      <c r="R3038" s="8" t="n"/>
      <c r="S3038" s="14" t="n"/>
      <c r="T3038" s="7" t="inlineStr"/>
      <c r="U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8" t="n"/>
      <c r="M3039" s="8" t="n"/>
      <c r="N3039" s="8" t="n"/>
      <c r="O3039" s="8" t="n"/>
      <c r="P3039" s="8" t="n"/>
      <c r="Q3039" s="7" t="inlineStr">
        <is>
          <t>SEM COTAÇÃO</t>
        </is>
      </c>
      <c r="R3039" s="8" t="n"/>
      <c r="S3039" s="14" t="n"/>
      <c r="T3039" s="7" t="inlineStr"/>
      <c r="U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8" t="n"/>
      <c r="M3040" s="8" t="n"/>
      <c r="N3040" s="8" t="n"/>
      <c r="O3040" s="15" t="n">
        <v>48.93</v>
      </c>
      <c r="P3040" s="8" t="n"/>
      <c r="Q3040" s="7" t="inlineStr">
        <is>
          <t>NAZARIA</t>
        </is>
      </c>
      <c r="R3040" s="8" t="n">
        <v>48.93</v>
      </c>
      <c r="S3040" s="14">
        <f>R3040/H3040-1</f>
        <v/>
      </c>
      <c r="T3040" s="16" t="inlineStr">
        <is>
          <t>ACIMA +11.1%</t>
        </is>
      </c>
      <c r="U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7" t="inlineStr">
        <is>
          <t>SEM COTAÇÃO</t>
        </is>
      </c>
      <c r="R3041" s="8" t="n"/>
      <c r="S3041" s="14" t="n"/>
      <c r="T3041" s="7" t="inlineStr"/>
      <c r="U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8" t="n"/>
      <c r="M3042" s="8" t="n"/>
      <c r="N3042" s="8" t="n"/>
      <c r="O3042" s="8" t="n">
        <v>32.68</v>
      </c>
      <c r="P3042" s="8" t="n"/>
      <c r="Q3042" s="7" t="inlineStr">
        <is>
          <t>SEM COTAÇÃO</t>
        </is>
      </c>
      <c r="R3042" s="8" t="n"/>
      <c r="S3042" s="14" t="n"/>
      <c r="T3042" s="7" t="inlineStr"/>
      <c r="U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8" t="n"/>
      <c r="M3043" s="8" t="n"/>
      <c r="N3043" s="8" t="n"/>
      <c r="O3043" s="15" t="n">
        <v>32.68</v>
      </c>
      <c r="P3043" s="8" t="n"/>
      <c r="Q3043" s="7" t="inlineStr">
        <is>
          <t>NAZARIA</t>
        </is>
      </c>
      <c r="R3043" s="8" t="n">
        <v>32.68</v>
      </c>
      <c r="S3043" s="14">
        <f>R3043/H3043-1</f>
        <v/>
      </c>
      <c r="T3043" s="16" t="inlineStr">
        <is>
          <t>ACIMA +19.6%</t>
        </is>
      </c>
      <c r="U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8" t="n"/>
      <c r="M3044" s="8" t="n"/>
      <c r="N3044" s="8" t="n"/>
      <c r="O3044" s="8" t="n">
        <v>29.89</v>
      </c>
      <c r="P3044" s="8" t="n"/>
      <c r="Q3044" s="7" t="inlineStr">
        <is>
          <t>SEM COTAÇÃO</t>
        </is>
      </c>
      <c r="R3044" s="8" t="n"/>
      <c r="S3044" s="14" t="n"/>
      <c r="T3044" s="7" t="inlineStr"/>
      <c r="U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8" t="n"/>
      <c r="M3045" s="8" t="n"/>
      <c r="N3045" s="8" t="n"/>
      <c r="O3045" s="8" t="n">
        <v>148.2</v>
      </c>
      <c r="P3045" s="15" t="n">
        <v>117.91</v>
      </c>
      <c r="Q3045" s="7" t="inlineStr">
        <is>
          <t>MEDCENTRO</t>
        </is>
      </c>
      <c r="R3045" s="8" t="n">
        <v>117.91</v>
      </c>
      <c r="S3045" s="14">
        <f>R3045/H3045-1</f>
        <v/>
      </c>
      <c r="T3045" s="16" t="inlineStr">
        <is>
          <t>ACIMA +17.9%</t>
        </is>
      </c>
      <c r="U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1.03</v>
      </c>
      <c r="K3046" s="8" t="n">
        <v>1.05</v>
      </c>
      <c r="L3046" s="8" t="n"/>
      <c r="M3046" s="8" t="n"/>
      <c r="N3046" s="8" t="n"/>
      <c r="O3046" s="15" t="n">
        <v>0.8929999999999999</v>
      </c>
      <c r="P3046" s="8" t="n">
        <v>1.29</v>
      </c>
      <c r="Q3046" s="7" t="inlineStr">
        <is>
          <t>NAZARIA</t>
        </is>
      </c>
      <c r="R3046" s="8" t="n">
        <v>0.8929999999999999</v>
      </c>
      <c r="S3046" s="14">
        <f>R3046/H3046-1</f>
        <v/>
      </c>
      <c r="T3046" s="17" t="inlineStr">
        <is>
          <t>OK (≤ menor hist.)</t>
        </is>
      </c>
      <c r="U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8" t="n"/>
      <c r="M3047" s="8" t="n"/>
      <c r="N3047" s="8" t="n"/>
      <c r="O3047" s="8" t="n">
        <v>27.39</v>
      </c>
      <c r="P3047" s="8" t="n"/>
      <c r="Q3047" s="7" t="inlineStr">
        <is>
          <t>SEM COTAÇÃO</t>
        </is>
      </c>
      <c r="R3047" s="8" t="n"/>
      <c r="S3047" s="14" t="n"/>
      <c r="T3047" s="7" t="inlineStr"/>
      <c r="U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8" t="n"/>
      <c r="M3048" s="8" t="n"/>
      <c r="N3048" s="8" t="n"/>
      <c r="O3048" s="8" t="n">
        <v>20.47</v>
      </c>
      <c r="P3048" s="8" t="n"/>
      <c r="Q3048" s="7" t="inlineStr">
        <is>
          <t>SEM COTAÇÃO</t>
        </is>
      </c>
      <c r="R3048" s="8" t="n"/>
      <c r="S3048" s="14" t="n"/>
      <c r="T3048" s="7" t="inlineStr"/>
      <c r="U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8" t="n"/>
      <c r="M3049" s="8" t="n"/>
      <c r="N3049" s="8" t="n"/>
      <c r="O3049" s="8" t="n">
        <v>85.47</v>
      </c>
      <c r="P3049" s="8" t="n"/>
      <c r="Q3049" s="7" t="inlineStr">
        <is>
          <t>SEM COTAÇÃO</t>
        </is>
      </c>
      <c r="R3049" s="8" t="n"/>
      <c r="S3049" s="14" t="n"/>
      <c r="T3049" s="7" t="inlineStr"/>
      <c r="U3049" s="7" t="inlineStr">
        <is>
          <t>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8" t="n"/>
      <c r="M3050" s="8" t="n"/>
      <c r="N3050" s="8" t="n"/>
      <c r="O3050" s="15" t="n">
        <v>38.79</v>
      </c>
      <c r="P3050" s="8" t="n"/>
      <c r="Q3050" s="7" t="inlineStr">
        <is>
          <t>NAZARIA</t>
        </is>
      </c>
      <c r="R3050" s="8" t="n">
        <v>38.79</v>
      </c>
      <c r="S3050" s="14">
        <f>R3050/H3050-1</f>
        <v/>
      </c>
      <c r="T3050" s="16" t="inlineStr">
        <is>
          <t>ACIMA +3.6%</t>
        </is>
      </c>
      <c r="U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8" t="n"/>
      <c r="M3051" s="8" t="n"/>
      <c r="N3051" s="8" t="n"/>
      <c r="O3051" s="8" t="n">
        <v>8.119999999999999</v>
      </c>
      <c r="P3051" s="8" t="n"/>
      <c r="Q3051" s="7" t="inlineStr">
        <is>
          <t>SEM COTAÇÃO</t>
        </is>
      </c>
      <c r="R3051" s="8" t="n"/>
      <c r="S3051" s="14" t="n"/>
      <c r="T3051" s="7" t="inlineStr"/>
      <c r="U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8" t="n"/>
      <c r="M3052" s="8" t="n"/>
      <c r="N3052" s="8" t="n"/>
      <c r="O3052" s="15" t="n">
        <v>18.04</v>
      </c>
      <c r="P3052" s="8" t="n"/>
      <c r="Q3052" s="7" t="inlineStr">
        <is>
          <t>NAZARIA</t>
        </is>
      </c>
      <c r="R3052" s="8" t="n">
        <v>18.04</v>
      </c>
      <c r="S3052" s="14">
        <f>R3052/H3052-1</f>
        <v/>
      </c>
      <c r="T3052" s="16" t="inlineStr">
        <is>
          <t>ACIMA +95.8%</t>
        </is>
      </c>
      <c r="U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8" t="n"/>
      <c r="M3053" s="8" t="n"/>
      <c r="N3053" s="8" t="n"/>
      <c r="O3053" s="8" t="n"/>
      <c r="P3053" s="8" t="n"/>
      <c r="Q3053" s="7" t="inlineStr">
        <is>
          <t>SEM COTAÇÃO</t>
        </is>
      </c>
      <c r="R3053" s="8" t="n"/>
      <c r="S3053" s="14" t="n"/>
      <c r="T3053" s="7" t="inlineStr"/>
      <c r="U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8" t="n"/>
      <c r="M3054" s="8" t="n"/>
      <c r="N3054" s="8" t="n"/>
      <c r="O3054" s="15" t="n">
        <v>96.62</v>
      </c>
      <c r="P3054" s="8" t="n"/>
      <c r="Q3054" s="7" t="inlineStr">
        <is>
          <t>NAZARIA</t>
        </is>
      </c>
      <c r="R3054" s="8" t="n">
        <v>96.62</v>
      </c>
      <c r="S3054" s="14">
        <f>R3054/H3054-1</f>
        <v/>
      </c>
      <c r="T3054" s="16" t="inlineStr">
        <is>
          <t>ACIMA +42.2%</t>
        </is>
      </c>
      <c r="U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8" t="n"/>
      <c r="M3055" s="8" t="n"/>
      <c r="N3055" s="8" t="n"/>
      <c r="O3055" s="8" t="n">
        <v>57.86</v>
      </c>
      <c r="P3055" s="8" t="n"/>
      <c r="Q3055" s="7" t="inlineStr">
        <is>
          <t>SEM COTAÇÃO</t>
        </is>
      </c>
      <c r="R3055" s="8" t="n"/>
      <c r="S3055" s="14" t="n"/>
      <c r="T3055" s="7" t="inlineStr"/>
      <c r="U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8" t="n"/>
      <c r="M3056" s="8" t="n"/>
      <c r="N3056" s="8" t="n"/>
      <c r="O3056" s="8" t="n"/>
      <c r="P3056" s="8" t="n"/>
      <c r="Q3056" s="7" t="inlineStr">
        <is>
          <t>SEM COTAÇÃO</t>
        </is>
      </c>
      <c r="R3056" s="8" t="n"/>
      <c r="S3056" s="14" t="n"/>
      <c r="T3056" s="7" t="inlineStr"/>
      <c r="U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8" t="n"/>
      <c r="M3057" s="8" t="n"/>
      <c r="N3057" s="8" t="n"/>
      <c r="O3057" s="8" t="n"/>
      <c r="P3057" s="8" t="n"/>
      <c r="Q3057" s="7" t="inlineStr">
        <is>
          <t>SEM COTAÇÃO</t>
        </is>
      </c>
      <c r="R3057" s="8" t="n"/>
      <c r="S3057" s="14" t="n"/>
      <c r="T3057" s="7" t="inlineStr"/>
      <c r="U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8" t="n"/>
      <c r="M3058" s="8" t="n"/>
      <c r="N3058" s="8" t="n"/>
      <c r="O3058" s="15" t="n">
        <v>89.26000000000001</v>
      </c>
      <c r="P3058" s="8" t="n"/>
      <c r="Q3058" s="7" t="inlineStr">
        <is>
          <t>NAZARIA</t>
        </is>
      </c>
      <c r="R3058" s="8" t="n">
        <v>89.26000000000001</v>
      </c>
      <c r="S3058" s="14">
        <f>R3058/H3058-1</f>
        <v/>
      </c>
      <c r="T3058" s="16" t="inlineStr">
        <is>
          <t>ACIMA +54.8%</t>
        </is>
      </c>
      <c r="U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8" t="n"/>
      <c r="M3059" s="8" t="n"/>
      <c r="N3059" s="8" t="n"/>
      <c r="O3059" s="15" t="n">
        <v>65.21130000000001</v>
      </c>
      <c r="P3059" s="8" t="n"/>
      <c r="Q3059" s="7" t="inlineStr">
        <is>
          <t>NAZARIA</t>
        </is>
      </c>
      <c r="R3059" s="8" t="n">
        <v>65.21130000000001</v>
      </c>
      <c r="S3059" s="14">
        <f>R3059/H3059-1</f>
        <v/>
      </c>
      <c r="T3059" s="16" t="inlineStr">
        <is>
          <t>ACIMA +10.6%</t>
        </is>
      </c>
      <c r="U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8" t="n"/>
      <c r="M3060" s="8" t="n"/>
      <c r="N3060" s="8" t="n"/>
      <c r="O3060" s="15" t="n">
        <v>57.47940000000001</v>
      </c>
      <c r="P3060" s="8" t="n"/>
      <c r="Q3060" s="7" t="inlineStr">
        <is>
          <t>NAZARIA</t>
        </is>
      </c>
      <c r="R3060" s="8" t="n">
        <v>57.47940000000001</v>
      </c>
      <c r="S3060" s="14">
        <f>R3060/H3060-1</f>
        <v/>
      </c>
      <c r="T3060" s="16" t="inlineStr">
        <is>
          <t>ACIMA +4.5%</t>
        </is>
      </c>
      <c r="U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8" t="n"/>
      <c r="M3061" s="8" t="n"/>
      <c r="N3061" s="8" t="n"/>
      <c r="O3061" s="8" t="n"/>
      <c r="P3061" s="8" t="n"/>
      <c r="Q3061" s="7" t="inlineStr">
        <is>
          <t>SEM COTAÇÃO</t>
        </is>
      </c>
      <c r="R3061" s="8" t="n"/>
      <c r="S3061" s="14" t="n"/>
      <c r="T3061" s="7" t="inlineStr"/>
      <c r="U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15" t="n">
        <v>37.12</v>
      </c>
      <c r="M3062" s="8" t="n"/>
      <c r="N3062" s="8" t="n"/>
      <c r="O3062" s="8" t="n">
        <v>37.2577</v>
      </c>
      <c r="P3062" s="8" t="n"/>
      <c r="Q3062" s="7" t="inlineStr">
        <is>
          <t>EPAN</t>
        </is>
      </c>
      <c r="R3062" s="8" t="n">
        <v>37.12</v>
      </c>
      <c r="S3062" s="14">
        <f>R3062/H3062-1</f>
        <v/>
      </c>
      <c r="T3062" s="17" t="inlineStr">
        <is>
          <t>OK (≤ últ. compra)</t>
        </is>
      </c>
      <c r="U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8" t="n"/>
      <c r="M3063" s="8" t="n"/>
      <c r="N3063" s="8" t="n"/>
      <c r="O3063" s="15" t="n">
        <v>57.2418</v>
      </c>
      <c r="P3063" s="8" t="n"/>
      <c r="Q3063" s="7" t="inlineStr">
        <is>
          <t>NAZARIA</t>
        </is>
      </c>
      <c r="R3063" s="8" t="n">
        <v>57.2418</v>
      </c>
      <c r="S3063" s="14">
        <f>R3063/H3063-1</f>
        <v/>
      </c>
      <c r="T3063" s="17" t="inlineStr">
        <is>
          <t>OK (≤ últ. compra)</t>
        </is>
      </c>
      <c r="U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8" t="n"/>
      <c r="M3064" s="8" t="n"/>
      <c r="N3064" s="8" t="n"/>
      <c r="O3064" s="8" t="n"/>
      <c r="P3064" s="8" t="n"/>
      <c r="Q3064" s="7" t="inlineStr">
        <is>
          <t>SEM COTAÇÃO</t>
        </is>
      </c>
      <c r="R3064" s="8" t="n"/>
      <c r="S3064" s="14" t="n"/>
      <c r="T3064" s="7" t="inlineStr"/>
      <c r="U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8" t="n"/>
      <c r="M3065" s="8" t="n"/>
      <c r="N3065" s="8" t="n"/>
      <c r="O3065" s="8" t="n"/>
      <c r="P3065" s="8" t="n"/>
      <c r="Q3065" s="7" t="inlineStr">
        <is>
          <t>SEM COTAÇÃO</t>
        </is>
      </c>
      <c r="R3065" s="8" t="n"/>
      <c r="S3065" s="14" t="n"/>
      <c r="T3065" s="7" t="inlineStr"/>
      <c r="U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8" t="n"/>
      <c r="M3066" s="8" t="n"/>
      <c r="N3066" s="8" t="n"/>
      <c r="O3066" s="8" t="n"/>
      <c r="P3066" s="8" t="n"/>
      <c r="Q3066" s="7" t="inlineStr">
        <is>
          <t>SEM COTAÇÃO</t>
        </is>
      </c>
      <c r="R3066" s="8" t="n"/>
      <c r="S3066" s="14" t="n"/>
      <c r="T3066" s="7" t="inlineStr"/>
      <c r="U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8" t="n"/>
      <c r="M3067" s="8" t="n"/>
      <c r="N3067" s="8" t="n"/>
      <c r="O3067" s="8" t="n"/>
      <c r="P3067" s="8" t="n"/>
      <c r="Q3067" s="7" t="inlineStr">
        <is>
          <t>SEM COTAÇÃO</t>
        </is>
      </c>
      <c r="R3067" s="8" t="n"/>
      <c r="S3067" s="14" t="n"/>
      <c r="T3067" s="7" t="inlineStr"/>
      <c r="U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8" t="n"/>
      <c r="M3068" s="8" t="n"/>
      <c r="N3068" s="8" t="n"/>
      <c r="O3068" s="8" t="n"/>
      <c r="P3068" s="8" t="n"/>
      <c r="Q3068" s="7" t="inlineStr">
        <is>
          <t>SEM COTAÇÃO</t>
        </is>
      </c>
      <c r="R3068" s="8" t="n"/>
      <c r="S3068" s="14" t="n"/>
      <c r="T3068" s="7" t="inlineStr"/>
      <c r="U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8" t="n"/>
      <c r="M3069" s="8" t="n"/>
      <c r="N3069" s="8" t="n"/>
      <c r="O3069" s="8" t="n"/>
      <c r="P3069" s="8" t="n"/>
      <c r="Q3069" s="7" t="inlineStr">
        <is>
          <t>SEM COTAÇÃO</t>
        </is>
      </c>
      <c r="R3069" s="8" t="n"/>
      <c r="S3069" s="14" t="n"/>
      <c r="T3069" s="7" t="inlineStr"/>
      <c r="U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8" t="n"/>
      <c r="M3070" s="8" t="n"/>
      <c r="N3070" s="8" t="n"/>
      <c r="O3070" s="8" t="n"/>
      <c r="P3070" s="8" t="n"/>
      <c r="Q3070" s="7" t="inlineStr">
        <is>
          <t>SEM COTAÇÃO</t>
        </is>
      </c>
      <c r="R3070" s="8" t="n"/>
      <c r="S3070" s="14" t="n"/>
      <c r="T3070" s="7" t="inlineStr"/>
      <c r="U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8" t="n"/>
      <c r="M3071" s="8" t="n"/>
      <c r="N3071" s="8" t="n"/>
      <c r="O3071" s="8" t="n"/>
      <c r="P3071" s="8" t="n"/>
      <c r="Q3071" s="7" t="inlineStr">
        <is>
          <t>SEM COTAÇÃO</t>
        </is>
      </c>
      <c r="R3071" s="8" t="n"/>
      <c r="S3071" s="14" t="n"/>
      <c r="T3071" s="7" t="inlineStr"/>
      <c r="U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8" t="n"/>
      <c r="M3072" s="8" t="n"/>
      <c r="N3072" s="8" t="n"/>
      <c r="O3072" s="8" t="n"/>
      <c r="P3072" s="15" t="n">
        <v>10.97</v>
      </c>
      <c r="Q3072" s="7" t="inlineStr">
        <is>
          <t>MEDCENTRO</t>
        </is>
      </c>
      <c r="R3072" s="8" t="n">
        <v>10.97</v>
      </c>
      <c r="S3072" s="14">
        <f>R3072/H3072-1</f>
        <v/>
      </c>
      <c r="T3072" s="17" t="inlineStr">
        <is>
          <t>OK (≤ menor hist.)</t>
        </is>
      </c>
      <c r="U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8" t="n"/>
      <c r="M3073" s="8" t="n"/>
      <c r="N3073" s="8" t="n"/>
      <c r="O3073" s="8" t="n"/>
      <c r="P3073" s="15" t="n">
        <v>10.6</v>
      </c>
      <c r="Q3073" s="7" t="inlineStr">
        <is>
          <t>MEDCENTRO</t>
        </is>
      </c>
      <c r="R3073" s="8" t="n">
        <v>10.6</v>
      </c>
      <c r="S3073" s="14">
        <f>R3073/H3073-1</f>
        <v/>
      </c>
      <c r="T3073" s="17" t="inlineStr">
        <is>
          <t>OK (≤ menor hist.)</t>
        </is>
      </c>
      <c r="U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8" t="n"/>
      <c r="M3074" s="8" t="n"/>
      <c r="N3074" s="8" t="n"/>
      <c r="O3074" s="8" t="n"/>
      <c r="P3074" s="8" t="n"/>
      <c r="Q3074" s="7" t="inlineStr">
        <is>
          <t>SEM COTAÇÃO</t>
        </is>
      </c>
      <c r="R3074" s="8" t="n"/>
      <c r="S3074" s="14" t="n"/>
      <c r="T3074" s="7" t="inlineStr"/>
      <c r="U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8" t="n">
        <v>104.68</v>
      </c>
      <c r="M3075" s="8" t="n"/>
      <c r="N3075" s="8" t="n"/>
      <c r="O3075" s="15" t="n">
        <v>127.48</v>
      </c>
      <c r="P3075" s="8" t="n"/>
      <c r="Q3075" s="7" t="inlineStr">
        <is>
          <t>NAZARIA</t>
        </is>
      </c>
      <c r="R3075" s="8" t="n">
        <v>127.48</v>
      </c>
      <c r="S3075" s="14">
        <f>R3075/H3075-1</f>
        <v/>
      </c>
      <c r="T3075" s="16" t="inlineStr">
        <is>
          <t>ACIMA +54.5%</t>
        </is>
      </c>
      <c r="U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15" t="n">
        <v>128.52</v>
      </c>
      <c r="M3076" s="8" t="n"/>
      <c r="N3076" s="8" t="n"/>
      <c r="O3076" s="8" t="n">
        <v>156.49</v>
      </c>
      <c r="P3076" s="8" t="n"/>
      <c r="Q3076" s="7" t="inlineStr">
        <is>
          <t>EPAN</t>
        </is>
      </c>
      <c r="R3076" s="8" t="n">
        <v>128.52</v>
      </c>
      <c r="S3076" s="14">
        <f>R3076/H3076-1</f>
        <v/>
      </c>
      <c r="T3076" s="16" t="inlineStr">
        <is>
          <t>ACIMA +1.3%</t>
        </is>
      </c>
      <c r="U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8" t="n"/>
      <c r="M3077" s="8" t="n"/>
      <c r="N3077" s="8" t="n"/>
      <c r="O3077" s="15" t="n">
        <v>166.63</v>
      </c>
      <c r="P3077" s="8" t="n"/>
      <c r="Q3077" s="7" t="inlineStr">
        <is>
          <t>NAZARIA</t>
        </is>
      </c>
      <c r="R3077" s="8" t="n">
        <v>166.63</v>
      </c>
      <c r="S3077" s="14">
        <f>R3077/H3077-1</f>
        <v/>
      </c>
      <c r="T3077" s="16" t="inlineStr">
        <is>
          <t>ACIMA +103.6%</t>
        </is>
      </c>
      <c r="U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30.46</v>
      </c>
      <c r="K3078" s="8" t="n"/>
      <c r="L3078" s="8" t="n"/>
      <c r="M3078" s="8" t="n"/>
      <c r="N3078" s="8" t="n"/>
      <c r="O3078" s="15" t="n">
        <v>30.15</v>
      </c>
      <c r="P3078" s="8" t="n"/>
      <c r="Q3078" s="7" t="inlineStr">
        <is>
          <t>NAZARIA</t>
        </is>
      </c>
      <c r="R3078" s="8" t="n">
        <v>30.15</v>
      </c>
      <c r="S3078" s="14">
        <f>R3078/H3078-1</f>
        <v/>
      </c>
      <c r="T3078" s="17" t="inlineStr">
        <is>
          <t>OK (≤ últ. compra)</t>
        </is>
      </c>
      <c r="U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8" t="n"/>
      <c r="M3079" s="8" t="n"/>
      <c r="N3079" s="8" t="n"/>
      <c r="O3079" s="8" t="n"/>
      <c r="P3079" s="8" t="n"/>
      <c r="Q3079" s="7" t="inlineStr">
        <is>
          <t>SEM COTAÇÃO</t>
        </is>
      </c>
      <c r="R3079" s="8" t="n"/>
      <c r="S3079" s="14" t="n"/>
      <c r="T3079" s="7" t="inlineStr"/>
      <c r="U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8" t="n"/>
      <c r="M3080" s="8" t="n"/>
      <c r="N3080" s="8" t="n"/>
      <c r="O3080" s="8" t="n"/>
      <c r="P3080" s="8" t="n"/>
      <c r="Q3080" s="7" t="inlineStr">
        <is>
          <t>SEM COTAÇÃO</t>
        </is>
      </c>
      <c r="R3080" s="8" t="n"/>
      <c r="S3080" s="14" t="n"/>
      <c r="T3080" s="7" t="inlineStr"/>
      <c r="U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8" t="n"/>
      <c r="M3081" s="8" t="n"/>
      <c r="N3081" s="8" t="n"/>
      <c r="O3081" s="8" t="n">
        <v>8.5</v>
      </c>
      <c r="P3081" s="8" t="n"/>
      <c r="Q3081" s="7" t="inlineStr">
        <is>
          <t>SEM COTAÇÃO</t>
        </is>
      </c>
      <c r="R3081" s="8" t="n"/>
      <c r="S3081" s="14" t="n"/>
      <c r="T3081" s="7" t="inlineStr"/>
      <c r="U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8" t="n"/>
      <c r="M3082" s="8" t="n"/>
      <c r="N3082" s="8" t="n"/>
      <c r="O3082" s="8" t="n"/>
      <c r="P3082" s="8" t="n"/>
      <c r="Q3082" s="7" t="inlineStr">
        <is>
          <t>SEM COTAÇÃO</t>
        </is>
      </c>
      <c r="R3082" s="8" t="n"/>
      <c r="S3082" s="14" t="n"/>
      <c r="T3082" s="7" t="inlineStr"/>
      <c r="U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8" t="n"/>
      <c r="M3083" s="8" t="n"/>
      <c r="N3083" s="8" t="n"/>
      <c r="O3083" s="8" t="n"/>
      <c r="P3083" s="8" t="n"/>
      <c r="Q3083" s="7" t="inlineStr">
        <is>
          <t>SEM COTAÇÃO</t>
        </is>
      </c>
      <c r="R3083" s="8" t="n"/>
      <c r="S3083" s="14" t="n"/>
      <c r="T3083" s="7" t="inlineStr"/>
      <c r="U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8" t="n"/>
      <c r="M3084" s="8" t="n"/>
      <c r="N3084" s="8" t="n"/>
      <c r="O3084" s="8" t="n"/>
      <c r="P3084" s="8" t="n"/>
      <c r="Q3084" s="7" t="inlineStr">
        <is>
          <t>SEM COTAÇÃO</t>
        </is>
      </c>
      <c r="R3084" s="8" t="n"/>
      <c r="S3084" s="14" t="n"/>
      <c r="T3084" s="7" t="inlineStr"/>
      <c r="U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8" t="n"/>
      <c r="M3085" s="8" t="n"/>
      <c r="N3085" s="8" t="n"/>
      <c r="O3085" s="8" t="n"/>
      <c r="P3085" s="8" t="n"/>
      <c r="Q3085" s="7" t="inlineStr">
        <is>
          <t>SEM COTAÇÃO</t>
        </is>
      </c>
      <c r="R3085" s="8" t="n"/>
      <c r="S3085" s="14" t="n"/>
      <c r="T3085" s="7" t="inlineStr"/>
      <c r="U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8" t="n"/>
      <c r="M3086" s="8" t="n"/>
      <c r="N3086" s="8" t="n"/>
      <c r="O3086" s="8" t="n"/>
      <c r="P3086" s="8" t="n"/>
      <c r="Q3086" s="7" t="inlineStr">
        <is>
          <t>SEM COTAÇÃO</t>
        </is>
      </c>
      <c r="R3086" s="8" t="n"/>
      <c r="S3086" s="14" t="n"/>
      <c r="T3086" s="7" t="inlineStr"/>
      <c r="U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8" t="n"/>
      <c r="M3087" s="8" t="n"/>
      <c r="N3087" s="8" t="n"/>
      <c r="O3087" s="8" t="n"/>
      <c r="P3087" s="8" t="n"/>
      <c r="Q3087" s="7" t="inlineStr">
        <is>
          <t>SEM COTAÇÃO</t>
        </is>
      </c>
      <c r="R3087" s="8" t="n"/>
      <c r="S3087" s="14" t="n"/>
      <c r="T3087" s="7" t="inlineStr"/>
      <c r="U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8" t="n"/>
      <c r="M3088" s="8" t="n"/>
      <c r="N3088" s="8" t="n"/>
      <c r="O3088" s="8" t="n"/>
      <c r="P3088" s="8" t="n"/>
      <c r="Q3088" s="7" t="inlineStr">
        <is>
          <t>SEM COTAÇÃO</t>
        </is>
      </c>
      <c r="R3088" s="8" t="n"/>
      <c r="S3088" s="14" t="n"/>
      <c r="T3088" s="7" t="inlineStr"/>
      <c r="U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8" t="n"/>
      <c r="M3089" s="8" t="n"/>
      <c r="N3089" s="8" t="n"/>
      <c r="O3089" s="8" t="n"/>
      <c r="P3089" s="8" t="n"/>
      <c r="Q3089" s="7" t="inlineStr">
        <is>
          <t>SEM COTAÇÃO</t>
        </is>
      </c>
      <c r="R3089" s="8" t="n"/>
      <c r="S3089" s="14" t="n"/>
      <c r="T3089" s="7" t="inlineStr"/>
      <c r="U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8" t="n"/>
      <c r="M3090" s="8" t="n"/>
      <c r="N3090" s="8" t="n"/>
      <c r="O3090" s="8" t="n"/>
      <c r="P3090" s="8" t="n"/>
      <c r="Q3090" s="7" t="inlineStr">
        <is>
          <t>SEM COTAÇÃO</t>
        </is>
      </c>
      <c r="R3090" s="8" t="n"/>
      <c r="S3090" s="14" t="n"/>
      <c r="T3090" s="7" t="inlineStr"/>
      <c r="U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8" t="n"/>
      <c r="M3091" s="8" t="n"/>
      <c r="N3091" s="8" t="n"/>
      <c r="O3091" s="8" t="n"/>
      <c r="P3091" s="8" t="n"/>
      <c r="Q3091" s="7" t="inlineStr">
        <is>
          <t>SEM COTAÇÃO</t>
        </is>
      </c>
      <c r="R3091" s="8" t="n"/>
      <c r="S3091" s="14" t="n"/>
      <c r="T3091" s="7" t="inlineStr"/>
      <c r="U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8" t="n"/>
      <c r="M3092" s="8" t="n"/>
      <c r="N3092" s="8" t="n"/>
      <c r="O3092" s="8" t="n"/>
      <c r="P3092" s="8" t="n"/>
      <c r="Q3092" s="7" t="inlineStr">
        <is>
          <t>SEM COTAÇÃO</t>
        </is>
      </c>
      <c r="R3092" s="8" t="n"/>
      <c r="S3092" s="14" t="n"/>
      <c r="T3092" s="7" t="inlineStr"/>
      <c r="U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8" t="n"/>
      <c r="M3093" s="8" t="n"/>
      <c r="N3093" s="8" t="n"/>
      <c r="O3093" s="8" t="n"/>
      <c r="P3093" s="8" t="n"/>
      <c r="Q3093" s="7" t="inlineStr">
        <is>
          <t>SEM COTAÇÃO</t>
        </is>
      </c>
      <c r="R3093" s="8" t="n"/>
      <c r="S3093" s="14" t="n"/>
      <c r="T3093" s="7" t="inlineStr"/>
      <c r="U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8" t="n"/>
      <c r="M3094" s="8" t="n"/>
      <c r="N3094" s="8" t="n"/>
      <c r="O3094" s="8" t="n"/>
      <c r="P3094" s="8" t="n"/>
      <c r="Q3094" s="7" t="inlineStr">
        <is>
          <t>SEM COTAÇÃO</t>
        </is>
      </c>
      <c r="R3094" s="8" t="n"/>
      <c r="S3094" s="14" t="n"/>
      <c r="T3094" s="7" t="inlineStr"/>
      <c r="U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8" t="n"/>
      <c r="M3095" s="8" t="n"/>
      <c r="N3095" s="8" t="n"/>
      <c r="O3095" s="8" t="n"/>
      <c r="P3095" s="8" t="n"/>
      <c r="Q3095" s="7" t="inlineStr">
        <is>
          <t>SEM COTAÇÃO</t>
        </is>
      </c>
      <c r="R3095" s="8" t="n"/>
      <c r="S3095" s="14" t="n"/>
      <c r="T3095" s="7" t="inlineStr"/>
      <c r="U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8" t="n"/>
      <c r="M3096" s="8" t="n"/>
      <c r="N3096" s="8" t="n"/>
      <c r="O3096" s="8" t="n"/>
      <c r="P3096" s="8" t="n"/>
      <c r="Q3096" s="7" t="inlineStr">
        <is>
          <t>SEM COTAÇÃO</t>
        </is>
      </c>
      <c r="R3096" s="8" t="n"/>
      <c r="S3096" s="14" t="n"/>
      <c r="T3096" s="7" t="inlineStr"/>
      <c r="U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8" t="n"/>
      <c r="M3097" s="8" t="n"/>
      <c r="N3097" s="8" t="n"/>
      <c r="O3097" s="8" t="n"/>
      <c r="P3097" s="8" t="n"/>
      <c r="Q3097" s="7" t="inlineStr">
        <is>
          <t>SEM COTAÇÃO</t>
        </is>
      </c>
      <c r="R3097" s="8" t="n"/>
      <c r="S3097" s="14" t="n"/>
      <c r="T3097" s="7" t="inlineStr"/>
      <c r="U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8" t="n"/>
      <c r="M3098" s="8" t="n"/>
      <c r="N3098" s="8" t="n"/>
      <c r="O3098" s="8" t="n"/>
      <c r="P3098" s="8" t="n"/>
      <c r="Q3098" s="7" t="inlineStr">
        <is>
          <t>SEM COTAÇÃO</t>
        </is>
      </c>
      <c r="R3098" s="8" t="n"/>
      <c r="S3098" s="14" t="n"/>
      <c r="T3098" s="7" t="inlineStr"/>
      <c r="U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8" t="n"/>
      <c r="M3099" s="8" t="n"/>
      <c r="N3099" s="8" t="n"/>
      <c r="O3099" s="8" t="n"/>
      <c r="P3099" s="8" t="n"/>
      <c r="Q3099" s="7" t="inlineStr">
        <is>
          <t>SEM COTAÇÃO</t>
        </is>
      </c>
      <c r="R3099" s="8" t="n"/>
      <c r="S3099" s="14" t="n"/>
      <c r="T3099" s="7" t="inlineStr"/>
      <c r="U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8" t="n"/>
      <c r="M3100" s="8" t="n"/>
      <c r="N3100" s="8" t="n"/>
      <c r="O3100" s="15" t="n">
        <v>41.78</v>
      </c>
      <c r="P3100" s="8" t="n"/>
      <c r="Q3100" s="7" t="inlineStr">
        <is>
          <t>NAZARIA</t>
        </is>
      </c>
      <c r="R3100" s="8" t="n">
        <v>41.78</v>
      </c>
      <c r="S3100" s="14">
        <f>R3100/H3100-1</f>
        <v/>
      </c>
      <c r="T3100" s="16" t="inlineStr">
        <is>
          <t>ACIMA +20.5%</t>
        </is>
      </c>
      <c r="U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8" t="n"/>
      <c r="M3101" s="8" t="n"/>
      <c r="N3101" s="8" t="n"/>
      <c r="O3101" s="15" t="n">
        <v>67.52</v>
      </c>
      <c r="P3101" s="8" t="n"/>
      <c r="Q3101" s="7" t="inlineStr">
        <is>
          <t>NAZARIA</t>
        </is>
      </c>
      <c r="R3101" s="8" t="n">
        <v>67.52</v>
      </c>
      <c r="S3101" s="14">
        <f>R3101/H3101-1</f>
        <v/>
      </c>
      <c r="T3101" s="16" t="inlineStr">
        <is>
          <t>ACIMA +19.6%</t>
        </is>
      </c>
      <c r="U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8" t="n"/>
      <c r="M3102" s="8" t="n"/>
      <c r="N3102" s="8" t="n"/>
      <c r="O3102" s="15" t="n">
        <v>41.78</v>
      </c>
      <c r="P3102" s="8" t="n"/>
      <c r="Q3102" s="7" t="inlineStr">
        <is>
          <t>NAZARIA</t>
        </is>
      </c>
      <c r="R3102" s="8" t="n">
        <v>41.78</v>
      </c>
      <c r="S3102" s="14">
        <f>R3102/H3102-1</f>
        <v/>
      </c>
      <c r="T3102" s="16" t="inlineStr">
        <is>
          <t>ACIMA +20.5%</t>
        </is>
      </c>
      <c r="U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8" t="n"/>
      <c r="M3103" s="8" t="n"/>
      <c r="N3103" s="8" t="n"/>
      <c r="O3103" s="8" t="n"/>
      <c r="P3103" s="8" t="n"/>
      <c r="Q3103" s="7" t="inlineStr">
        <is>
          <t>SEM COTAÇÃO</t>
        </is>
      </c>
      <c r="R3103" s="8" t="n"/>
      <c r="S3103" s="14" t="n"/>
      <c r="T3103" s="7" t="inlineStr"/>
      <c r="U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8" t="n"/>
      <c r="M3104" s="8" t="n"/>
      <c r="N3104" s="8" t="n"/>
      <c r="O3104" s="8" t="n"/>
      <c r="P3104" s="8" t="n"/>
      <c r="Q3104" s="7" t="inlineStr">
        <is>
          <t>SEM COTAÇÃO</t>
        </is>
      </c>
      <c r="R3104" s="8" t="n"/>
      <c r="S3104" s="14" t="n"/>
      <c r="T3104" s="7" t="inlineStr"/>
      <c r="U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15" t="n">
        <v>82.93000000000001</v>
      </c>
      <c r="M3105" s="8" t="n"/>
      <c r="N3105" s="8" t="n"/>
      <c r="O3105" s="8" t="n">
        <v>120.19</v>
      </c>
      <c r="P3105" s="8" t="n"/>
      <c r="Q3105" s="7" t="inlineStr">
        <is>
          <t>EPAN</t>
        </is>
      </c>
      <c r="R3105" s="8" t="n">
        <v>82.93000000000001</v>
      </c>
      <c r="S3105" s="14">
        <f>R3105/H3105-1</f>
        <v/>
      </c>
      <c r="T3105" s="16" t="inlineStr">
        <is>
          <t>ACIMA +7.8%</t>
        </is>
      </c>
      <c r="U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8" t="n"/>
      <c r="M3106" s="8" t="n"/>
      <c r="N3106" s="8" t="n"/>
      <c r="O3106" s="8" t="n"/>
      <c r="P3106" s="8" t="n"/>
      <c r="Q3106" s="7" t="inlineStr">
        <is>
          <t>SEM COTAÇÃO</t>
        </is>
      </c>
      <c r="R3106" s="8" t="n"/>
      <c r="S3106" s="14" t="n"/>
      <c r="T3106" s="7" t="inlineStr"/>
      <c r="U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8" t="n"/>
      <c r="M3107" s="8" t="n"/>
      <c r="N3107" s="15" t="n">
        <v>47.46</v>
      </c>
      <c r="O3107" s="8" t="n">
        <v>49.22775</v>
      </c>
      <c r="P3107" s="8" t="n"/>
      <c r="Q3107" s="7" t="inlineStr">
        <is>
          <t>TAPAJOS</t>
        </is>
      </c>
      <c r="R3107" s="8" t="n">
        <v>47.46</v>
      </c>
      <c r="S3107" s="14">
        <f>R3107/H3107-1</f>
        <v/>
      </c>
      <c r="T3107" s="16" t="inlineStr">
        <is>
          <t>ACIMA +1.1%</t>
        </is>
      </c>
      <c r="U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8" t="n">
        <v>46.31</v>
      </c>
      <c r="M3108" s="8" t="n"/>
      <c r="N3108" s="8" t="n"/>
      <c r="O3108" s="15" t="n">
        <v>47.21925</v>
      </c>
      <c r="P3108" s="8" t="n"/>
      <c r="Q3108" s="7" t="inlineStr">
        <is>
          <t>NAZARIA</t>
        </is>
      </c>
      <c r="R3108" s="8" t="n">
        <v>47.21925</v>
      </c>
      <c r="S3108" s="14">
        <f>R3108/H3108-1</f>
        <v/>
      </c>
      <c r="T3108" s="16" t="inlineStr">
        <is>
          <t>ACIMA +4.8%</t>
        </is>
      </c>
      <c r="U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8" t="n"/>
      <c r="M3109" s="8" t="n"/>
      <c r="N3109" s="8" t="n"/>
      <c r="O3109" s="8" t="n">
        <v>70.2975</v>
      </c>
      <c r="P3109" s="8" t="n"/>
      <c r="Q3109" s="7" t="inlineStr">
        <is>
          <t>SEM COTAÇÃO</t>
        </is>
      </c>
      <c r="R3109" s="8" t="n"/>
      <c r="S3109" s="14" t="n"/>
      <c r="T3109" s="7" t="inlineStr"/>
      <c r="U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8" t="n">
        <v>80.87</v>
      </c>
      <c r="M3110" s="8" t="n"/>
      <c r="N3110" s="8" t="n"/>
      <c r="O3110" s="8" t="n">
        <v>88.62750000000001</v>
      </c>
      <c r="P3110" s="8" t="n"/>
      <c r="Q3110" s="7" t="inlineStr">
        <is>
          <t>SEM COTAÇÃO</t>
        </is>
      </c>
      <c r="R3110" s="8" t="n"/>
      <c r="S3110" s="14" t="n"/>
      <c r="T3110" s="7" t="inlineStr"/>
      <c r="U3110" s="7" t="inlineStr">
        <is>
          <t>EPAN: sem estoque; 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8" t="n">
        <v>36.1</v>
      </c>
      <c r="M3111" s="8" t="n"/>
      <c r="N3111" s="8" t="n"/>
      <c r="O3111" s="8" t="n">
        <v>34.91475000000001</v>
      </c>
      <c r="P3111" s="8" t="n"/>
      <c r="Q3111" s="7" t="inlineStr">
        <is>
          <t>SEM COTAÇÃO</t>
        </is>
      </c>
      <c r="R3111" s="8" t="n"/>
      <c r="S3111" s="14" t="n"/>
      <c r="T3111" s="7" t="inlineStr"/>
      <c r="U3111" s="7" t="inlineStr">
        <is>
          <t>EPAN: sem estoque; 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8" t="n">
        <v>36.19</v>
      </c>
      <c r="M3112" s="8" t="n"/>
      <c r="N3112" s="8" t="n"/>
      <c r="O3112" s="15" t="n">
        <v>33.46</v>
      </c>
      <c r="P3112" s="8" t="n"/>
      <c r="Q3112" s="7" t="inlineStr">
        <is>
          <t>NAZARIA</t>
        </is>
      </c>
      <c r="R3112" s="8" t="n">
        <v>33.46</v>
      </c>
      <c r="S3112" s="14">
        <f>R3112/H3112-1</f>
        <v/>
      </c>
      <c r="T3112" s="16" t="inlineStr">
        <is>
          <t>ACIMA +1.1%</t>
        </is>
      </c>
      <c r="U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15" t="n">
        <v>17.13</v>
      </c>
      <c r="M3113" s="8" t="n"/>
      <c r="N3113" s="8" t="n"/>
      <c r="O3113" s="8" t="n">
        <v>21.25</v>
      </c>
      <c r="P3113" s="8" t="n"/>
      <c r="Q3113" s="7" t="inlineStr">
        <is>
          <t>EPAN</t>
        </is>
      </c>
      <c r="R3113" s="8" t="n">
        <v>17.13</v>
      </c>
      <c r="S3113" s="14">
        <f>R3113/H3113-1</f>
        <v/>
      </c>
      <c r="T3113" s="17" t="inlineStr">
        <is>
          <t>OK (≤ menor hist.)</t>
        </is>
      </c>
      <c r="U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8" t="n"/>
      <c r="M3114" s="8" t="n"/>
      <c r="N3114" s="8" t="n"/>
      <c r="O3114" s="8" t="n"/>
      <c r="P3114" s="8" t="n"/>
      <c r="Q3114" s="7" t="inlineStr">
        <is>
          <t>SEM COTAÇÃO</t>
        </is>
      </c>
      <c r="R3114" s="8" t="n"/>
      <c r="S3114" s="14" t="n"/>
      <c r="T3114" s="7" t="inlineStr"/>
      <c r="U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8" t="n"/>
      <c r="M3115" s="8" t="n"/>
      <c r="N3115" s="8" t="n"/>
      <c r="O3115" s="8" t="n"/>
      <c r="P3115" s="8" t="n"/>
      <c r="Q3115" s="7" t="inlineStr">
        <is>
          <t>SEM COTAÇÃO</t>
        </is>
      </c>
      <c r="R3115" s="8" t="n"/>
      <c r="S3115" s="14" t="n"/>
      <c r="T3115" s="7" t="inlineStr"/>
      <c r="U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8" t="n"/>
      <c r="M3116" s="8" t="n"/>
      <c r="N3116" s="8" t="n"/>
      <c r="O3116" s="15" t="n">
        <v>19.1</v>
      </c>
      <c r="P3116" s="8" t="n"/>
      <c r="Q3116" s="7" t="inlineStr">
        <is>
          <t>NAZARIA</t>
        </is>
      </c>
      <c r="R3116" s="8" t="n">
        <v>19.1</v>
      </c>
      <c r="S3116" s="14">
        <f>R3116/H3116-1</f>
        <v/>
      </c>
      <c r="T3116" s="16" t="inlineStr">
        <is>
          <t>ACIMA +31.7%</t>
        </is>
      </c>
      <c r="U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8" t="n"/>
      <c r="M3117" s="8" t="n"/>
      <c r="N3117" s="8" t="n"/>
      <c r="O3117" s="8" t="n"/>
      <c r="P3117" s="8" t="n"/>
      <c r="Q3117" s="7" t="inlineStr">
        <is>
          <t>SEM COTAÇÃO</t>
        </is>
      </c>
      <c r="R3117" s="8" t="n"/>
      <c r="S3117" s="14" t="n"/>
      <c r="T3117" s="7" t="inlineStr"/>
      <c r="U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15" t="n">
        <v>1.37</v>
      </c>
      <c r="K3118" s="8" t="n"/>
      <c r="L3118" s="8" t="n"/>
      <c r="M3118" s="8" t="n">
        <v>1.44</v>
      </c>
      <c r="N3118" s="8" t="n">
        <v>1.47</v>
      </c>
      <c r="O3118" s="8" t="n"/>
      <c r="P3118" s="8" t="n"/>
      <c r="Q3118" s="7" t="inlineStr">
        <is>
          <t>DIMEC</t>
        </is>
      </c>
      <c r="R3118" s="8" t="n">
        <v>1.37</v>
      </c>
      <c r="S3118" s="14">
        <f>R3118/H3118-1</f>
        <v/>
      </c>
      <c r="T3118" s="16" t="inlineStr">
        <is>
          <t>ACIMA +24.5%</t>
        </is>
      </c>
      <c r="U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8" t="n"/>
      <c r="M3119" s="8" t="n"/>
      <c r="N3119" s="8" t="n"/>
      <c r="O3119" s="8" t="n"/>
      <c r="P3119" s="15" t="n">
        <v>1.41</v>
      </c>
      <c r="Q3119" s="7" t="inlineStr">
        <is>
          <t>MEDCENTRO</t>
        </is>
      </c>
      <c r="R3119" s="8" t="n">
        <v>1.41</v>
      </c>
      <c r="S3119" s="14">
        <f>R3119/H3119-1</f>
        <v/>
      </c>
      <c r="T3119" s="16" t="inlineStr">
        <is>
          <t>ACIMA +9.3%</t>
        </is>
      </c>
      <c r="U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8" t="n"/>
      <c r="M3120" s="8" t="n"/>
      <c r="N3120" s="8" t="n"/>
      <c r="O3120" s="15" t="n">
        <v>23.79</v>
      </c>
      <c r="P3120" s="8" t="n"/>
      <c r="Q3120" s="7" t="inlineStr">
        <is>
          <t>NAZARIA</t>
        </is>
      </c>
      <c r="R3120" s="8" t="n">
        <v>23.79</v>
      </c>
      <c r="S3120" s="14">
        <f>R3120/H3120-1</f>
        <v/>
      </c>
      <c r="T3120" s="16" t="inlineStr">
        <is>
          <t>ACIMA +986.3%</t>
        </is>
      </c>
      <c r="U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8" t="n"/>
      <c r="M3121" s="8" t="n"/>
      <c r="N3121" s="8" t="n"/>
      <c r="O3121" s="15" t="n">
        <v>56.48</v>
      </c>
      <c r="P3121" s="8" t="n"/>
      <c r="Q3121" s="7" t="inlineStr">
        <is>
          <t>NAZARIA</t>
        </is>
      </c>
      <c r="R3121" s="8" t="n">
        <v>56.48</v>
      </c>
      <c r="S3121" s="14">
        <f>R3121/H3121-1</f>
        <v/>
      </c>
      <c r="T3121" s="16" t="inlineStr">
        <is>
          <t>ACIMA +25.3%</t>
        </is>
      </c>
      <c r="U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8" t="n"/>
      <c r="M3122" s="8" t="n"/>
      <c r="N3122" s="8" t="n"/>
      <c r="O3122" s="15" t="n">
        <v>20.89</v>
      </c>
      <c r="P3122" s="8" t="n"/>
      <c r="Q3122" s="7" t="inlineStr">
        <is>
          <t>NAZARIA</t>
        </is>
      </c>
      <c r="R3122" s="8" t="n">
        <v>20.89</v>
      </c>
      <c r="S3122" s="14">
        <f>R3122/H3122-1</f>
        <v/>
      </c>
      <c r="T3122" s="16" t="inlineStr">
        <is>
          <t>ACIMA +23.0%</t>
        </is>
      </c>
      <c r="U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8" t="n"/>
      <c r="M3123" s="8" t="n"/>
      <c r="N3123" s="8" t="n"/>
      <c r="O3123" s="15" t="n">
        <v>26.65</v>
      </c>
      <c r="P3123" s="8" t="n"/>
      <c r="Q3123" s="7" t="inlineStr">
        <is>
          <t>NAZARIA</t>
        </is>
      </c>
      <c r="R3123" s="8" t="n">
        <v>26.65</v>
      </c>
      <c r="S3123" s="14">
        <f>R3123/H3123-1</f>
        <v/>
      </c>
      <c r="T3123" s="16" t="inlineStr">
        <is>
          <t>ACIMA +58.7%</t>
        </is>
      </c>
      <c r="U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8" t="n"/>
      <c r="M3124" s="8" t="n"/>
      <c r="N3124" s="8" t="n"/>
      <c r="O3124" s="15" t="n">
        <v>23.13</v>
      </c>
      <c r="P3124" s="8" t="n"/>
      <c r="Q3124" s="7" t="inlineStr">
        <is>
          <t>NAZARIA</t>
        </is>
      </c>
      <c r="R3124" s="8" t="n">
        <v>23.13</v>
      </c>
      <c r="S3124" s="14">
        <f>R3124/H3124-1</f>
        <v/>
      </c>
      <c r="T3124" s="16" t="inlineStr">
        <is>
          <t>ACIMA +5.9%</t>
        </is>
      </c>
      <c r="U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8" t="n"/>
      <c r="M3125" s="8" t="n"/>
      <c r="N3125" s="8" t="n"/>
      <c r="O3125" s="8" t="n"/>
      <c r="P3125" s="8" t="n"/>
      <c r="Q3125" s="7" t="inlineStr">
        <is>
          <t>SEM COTAÇÃO</t>
        </is>
      </c>
      <c r="R3125" s="8" t="n"/>
      <c r="S3125" s="14" t="n"/>
      <c r="T3125" s="7" t="inlineStr"/>
      <c r="U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8" t="n"/>
      <c r="M3126" s="8" t="n"/>
      <c r="N3126" s="8" t="n"/>
      <c r="O3126" s="8" t="n">
        <v>42.04</v>
      </c>
      <c r="P3126" s="8" t="n"/>
      <c r="Q3126" s="7" t="inlineStr">
        <is>
          <t>SEM COTAÇÃO</t>
        </is>
      </c>
      <c r="R3126" s="8" t="n"/>
      <c r="S3126" s="14" t="n"/>
      <c r="T3126" s="7" t="inlineStr"/>
      <c r="U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8" t="n"/>
      <c r="M3127" s="8" t="n"/>
      <c r="N3127" s="8" t="n"/>
      <c r="O3127" s="8" t="n"/>
      <c r="P3127" s="8" t="n"/>
      <c r="Q3127" s="7" t="inlineStr">
        <is>
          <t>SEM COTAÇÃO</t>
        </is>
      </c>
      <c r="R3127" s="8" t="n"/>
      <c r="S3127" s="14" t="n"/>
      <c r="T3127" s="7" t="inlineStr"/>
      <c r="U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8" t="n"/>
      <c r="M3128" s="15" t="n">
        <v>17.78</v>
      </c>
      <c r="N3128" s="8" t="n"/>
      <c r="O3128" s="8" t="n"/>
      <c r="P3128" s="8" t="n"/>
      <c r="Q3128" s="7" t="inlineStr">
        <is>
          <t>CENTROFARMA</t>
        </is>
      </c>
      <c r="R3128" s="8" t="n">
        <v>17.78</v>
      </c>
      <c r="S3128" s="14">
        <f>R3128/H3128-1</f>
        <v/>
      </c>
      <c r="T3128" s="16" t="inlineStr">
        <is>
          <t>ACIMA +5.6%</t>
        </is>
      </c>
      <c r="U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8" t="n"/>
      <c r="M3129" s="15" t="n">
        <v>13.79</v>
      </c>
      <c r="N3129" s="8" t="n"/>
      <c r="O3129" s="8" t="n"/>
      <c r="P3129" s="8" t="n"/>
      <c r="Q3129" s="7" t="inlineStr">
        <is>
          <t>CENTROFARMA</t>
        </is>
      </c>
      <c r="R3129" s="8" t="n">
        <v>13.79</v>
      </c>
      <c r="S3129" s="14">
        <f>R3129/H3129-1</f>
        <v/>
      </c>
      <c r="T3129" s="16" t="inlineStr">
        <is>
          <t>ACIMA +5.3%</t>
        </is>
      </c>
      <c r="U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8" t="n"/>
      <c r="M3130" s="8" t="n"/>
      <c r="N3130" s="8" t="n"/>
      <c r="O3130" s="15" t="n">
        <v>12.27216</v>
      </c>
      <c r="P3130" s="8" t="n"/>
      <c r="Q3130" s="7" t="inlineStr">
        <is>
          <t>NAZARIA</t>
        </is>
      </c>
      <c r="R3130" s="8" t="n">
        <v>12.27216</v>
      </c>
      <c r="S3130" s="14">
        <f>R3130/H3130-1</f>
        <v/>
      </c>
      <c r="T3130" s="16" t="inlineStr">
        <is>
          <t>ACIMA +24.2%</t>
        </is>
      </c>
      <c r="U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8" t="n"/>
      <c r="M3131" s="8" t="n">
        <v>15.62</v>
      </c>
      <c r="N3131" s="8" t="n"/>
      <c r="O3131" s="8" t="n">
        <v>17.442222</v>
      </c>
      <c r="P3131" s="8" t="n">
        <v>16.78</v>
      </c>
      <c r="Q3131" s="7" t="inlineStr">
        <is>
          <t>PLUSFARMA</t>
        </is>
      </c>
      <c r="R3131" s="8" t="n">
        <v>15.07</v>
      </c>
      <c r="S3131" s="14">
        <f>R3131/H3131-1</f>
        <v/>
      </c>
      <c r="T3131" s="16" t="inlineStr">
        <is>
          <t>ACIMA +23.2%</t>
        </is>
      </c>
      <c r="U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8" t="n"/>
      <c r="M3132" s="8" t="n">
        <v>7.93</v>
      </c>
      <c r="N3132" s="8" t="n"/>
      <c r="O3132" s="8" t="n"/>
      <c r="P3132" s="8" t="n">
        <v>8.199999999999999</v>
      </c>
      <c r="Q3132" s="7" t="inlineStr">
        <is>
          <t>PLUSFARMA</t>
        </is>
      </c>
      <c r="R3132" s="8" t="n">
        <v>7.68</v>
      </c>
      <c r="S3132" s="14">
        <f>R3132/H3132-1</f>
        <v/>
      </c>
      <c r="T3132" s="16" t="inlineStr">
        <is>
          <t>ACIMA +16.0%</t>
        </is>
      </c>
      <c r="U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8" t="n">
        <v>14.8</v>
      </c>
      <c r="L3133" s="8" t="n"/>
      <c r="M3133" s="8" t="n">
        <v>13.79</v>
      </c>
      <c r="N3133" s="8" t="n">
        <v>15.02</v>
      </c>
      <c r="O3133" s="8" t="n">
        <v>18.698609</v>
      </c>
      <c r="P3133" s="15" t="n">
        <v>12.16</v>
      </c>
      <c r="Q3133" s="7" t="inlineStr">
        <is>
          <t>MEDCENTRO</t>
        </is>
      </c>
      <c r="R3133" s="8" t="n">
        <v>12.16</v>
      </c>
      <c r="S3133" s="14">
        <f>R3133/H3133-1</f>
        <v/>
      </c>
      <c r="T3133" s="17" t="inlineStr">
        <is>
          <t>OK (≤ menor hist.)</t>
        </is>
      </c>
      <c r="U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8" t="n"/>
      <c r="M3134" s="8" t="n"/>
      <c r="N3134" s="8" t="n"/>
      <c r="O3134" s="8" t="n"/>
      <c r="P3134" s="8" t="n"/>
      <c r="Q3134" s="7" t="inlineStr">
        <is>
          <t>SEM COTAÇÃO</t>
        </is>
      </c>
      <c r="R3134" s="8" t="n"/>
      <c r="S3134" s="14" t="n"/>
      <c r="T3134" s="7" t="inlineStr"/>
      <c r="U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8" t="n"/>
      <c r="M3135" s="8" t="n"/>
      <c r="N3135" s="8" t="n"/>
      <c r="O3135" s="8" t="n"/>
      <c r="P3135" s="8" t="n"/>
      <c r="Q3135" s="7" t="inlineStr">
        <is>
          <t>SEM COTAÇÃO</t>
        </is>
      </c>
      <c r="R3135" s="8" t="n"/>
      <c r="S3135" s="14" t="n"/>
      <c r="T3135" s="7" t="inlineStr"/>
      <c r="U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8" t="n"/>
      <c r="M3136" s="8" t="n"/>
      <c r="N3136" s="8" t="n"/>
      <c r="O3136" s="8" t="n">
        <v>17.12</v>
      </c>
      <c r="P3136" s="8" t="n"/>
      <c r="Q3136" s="7" t="inlineStr">
        <is>
          <t>SEM COTAÇÃO</t>
        </is>
      </c>
      <c r="R3136" s="8" t="n"/>
      <c r="S3136" s="14" t="n"/>
      <c r="T3136" s="7" t="inlineStr"/>
      <c r="U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8" t="n"/>
      <c r="M3137" s="8" t="n"/>
      <c r="N3137" s="8" t="n"/>
      <c r="O3137" s="8" t="n"/>
      <c r="P3137" s="8" t="n"/>
      <c r="Q3137" s="7" t="inlineStr">
        <is>
          <t>SEM COTAÇÃO</t>
        </is>
      </c>
      <c r="R3137" s="8" t="n"/>
      <c r="S3137" s="14" t="n"/>
      <c r="T3137" s="7" t="inlineStr"/>
      <c r="U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8" t="n"/>
      <c r="M3138" s="8" t="n"/>
      <c r="N3138" s="8" t="n"/>
      <c r="O3138" s="8" t="n"/>
      <c r="P3138" s="8" t="n"/>
      <c r="Q3138" s="7" t="inlineStr">
        <is>
          <t>SEM COTAÇÃO</t>
        </is>
      </c>
      <c r="R3138" s="8" t="n"/>
      <c r="S3138" s="14" t="n"/>
      <c r="T3138" s="7" t="inlineStr"/>
      <c r="U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8" t="n"/>
      <c r="M3139" s="8" t="n"/>
      <c r="N3139" s="8" t="n"/>
      <c r="O3139" s="8" t="n"/>
      <c r="P3139" s="8" t="n"/>
      <c r="Q3139" s="7" t="inlineStr">
        <is>
          <t>SEM COTAÇÃO</t>
        </is>
      </c>
      <c r="R3139" s="8" t="n"/>
      <c r="S3139" s="14" t="n"/>
      <c r="T3139" s="7" t="inlineStr"/>
      <c r="U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8" t="n">
        <v>22.84</v>
      </c>
      <c r="M3140" s="8" t="n"/>
      <c r="N3140" s="8" t="n"/>
      <c r="O3140" s="15" t="n">
        <v>21.6601</v>
      </c>
      <c r="P3140" s="8" t="n"/>
      <c r="Q3140" s="7" t="inlineStr">
        <is>
          <t>NAZARIA</t>
        </is>
      </c>
      <c r="R3140" s="8" t="n">
        <v>21.6601</v>
      </c>
      <c r="S3140" s="14">
        <f>R3140/H3140-1</f>
        <v/>
      </c>
      <c r="T3140" s="16" t="inlineStr">
        <is>
          <t>ACIMA +27.9%</t>
        </is>
      </c>
      <c r="U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8" t="n"/>
      <c r="M3141" s="8" t="n"/>
      <c r="N3141" s="8" t="n"/>
      <c r="O3141" s="8" t="n"/>
      <c r="P3141" s="8" t="n"/>
      <c r="Q3141" s="7" t="inlineStr">
        <is>
          <t>SEM COTAÇÃO</t>
        </is>
      </c>
      <c r="R3141" s="8" t="n"/>
      <c r="S3141" s="14" t="n"/>
      <c r="T3141" s="7" t="inlineStr"/>
      <c r="U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7" t="inlineStr">
        <is>
          <t>SEM COTAÇÃO</t>
        </is>
      </c>
      <c r="R3142" s="8" t="n"/>
      <c r="S3142" s="14" t="n"/>
      <c r="T3142" s="7" t="inlineStr"/>
      <c r="U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8" t="n"/>
      <c r="M3143" s="8" t="n"/>
      <c r="N3143" s="8" t="n"/>
      <c r="O3143" s="8" t="n"/>
      <c r="P3143" s="8" t="n"/>
      <c r="Q3143" s="7" t="inlineStr">
        <is>
          <t>SEM COTAÇÃO</t>
        </is>
      </c>
      <c r="R3143" s="8" t="n"/>
      <c r="S3143" s="14" t="n"/>
      <c r="T3143" s="7" t="inlineStr"/>
      <c r="U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8" t="n">
        <v>54.58</v>
      </c>
      <c r="M3144" s="8" t="n"/>
      <c r="N3144" s="8" t="n"/>
      <c r="O3144" s="8" t="n">
        <v>58.48</v>
      </c>
      <c r="P3144" s="8" t="n"/>
      <c r="Q3144" s="7" t="inlineStr">
        <is>
          <t>SEM COTAÇÃO</t>
        </is>
      </c>
      <c r="R3144" s="8" t="n"/>
      <c r="S3144" s="14" t="n"/>
      <c r="T3144" s="7" t="inlineStr"/>
      <c r="U3144" s="7" t="inlineStr">
        <is>
          <t>EPAN: sem estoque; 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15" t="n">
        <v>26.06</v>
      </c>
      <c r="M3145" s="8" t="n"/>
      <c r="N3145" s="8" t="n">
        <v>26.25</v>
      </c>
      <c r="O3145" s="8" t="n">
        <v>27.93</v>
      </c>
      <c r="P3145" s="8" t="n"/>
      <c r="Q3145" s="7" t="inlineStr">
        <is>
          <t>EPAN</t>
        </is>
      </c>
      <c r="R3145" s="8" t="n">
        <v>26.06</v>
      </c>
      <c r="S3145" s="14">
        <f>R3145/H3145-1</f>
        <v/>
      </c>
      <c r="T3145" s="17" t="inlineStr">
        <is>
          <t>OK (≤ menor hist.)</t>
        </is>
      </c>
      <c r="U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8" t="n"/>
      <c r="M3146" s="8" t="n"/>
      <c r="N3146" s="15" t="n">
        <v>34.56</v>
      </c>
      <c r="O3146" s="8" t="n">
        <v>36.77</v>
      </c>
      <c r="P3146" s="8" t="n"/>
      <c r="Q3146" s="7" t="inlineStr">
        <is>
          <t>TAPAJOS</t>
        </is>
      </c>
      <c r="R3146" s="8" t="n">
        <v>34.56</v>
      </c>
      <c r="S3146" s="14">
        <f>R3146/H3146-1</f>
        <v/>
      </c>
      <c r="T3146" s="17" t="inlineStr">
        <is>
          <t>OK (≤ menor hist.)</t>
        </is>
      </c>
      <c r="U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8" t="n">
        <v>77.5</v>
      </c>
      <c r="M3147" s="8" t="n"/>
      <c r="N3147" s="8" t="n"/>
      <c r="O3147" s="15" t="n">
        <v>74.59</v>
      </c>
      <c r="P3147" s="8" t="n"/>
      <c r="Q3147" s="7" t="inlineStr">
        <is>
          <t>NAZARIA</t>
        </is>
      </c>
      <c r="R3147" s="8" t="n">
        <v>74.59</v>
      </c>
      <c r="S3147" s="14">
        <f>R3147/H3147-1</f>
        <v/>
      </c>
      <c r="T3147" s="16" t="inlineStr">
        <is>
          <t>ACIMA +6.4%</t>
        </is>
      </c>
      <c r="U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8" t="n"/>
      <c r="M3148" s="8" t="n"/>
      <c r="N3148" s="8" t="n"/>
      <c r="O3148" s="8" t="n"/>
      <c r="P3148" s="8" t="n"/>
      <c r="Q3148" s="7" t="inlineStr">
        <is>
          <t>SEM COTAÇÃO</t>
        </is>
      </c>
      <c r="R3148" s="8" t="n"/>
      <c r="S3148" s="14" t="n"/>
      <c r="T3148" s="7" t="inlineStr"/>
      <c r="U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8" t="n"/>
      <c r="M3149" s="8" t="n"/>
      <c r="N3149" s="8" t="n"/>
      <c r="O3149" s="8" t="n"/>
      <c r="P3149" s="8" t="n"/>
      <c r="Q3149" s="7" t="inlineStr">
        <is>
          <t>SEM COTAÇÃO</t>
        </is>
      </c>
      <c r="R3149" s="8" t="n"/>
      <c r="S3149" s="14" t="n"/>
      <c r="T3149" s="7" t="inlineStr"/>
      <c r="U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8" t="n"/>
      <c r="M3150" s="8" t="n"/>
      <c r="N3150" s="8" t="n"/>
      <c r="O3150" s="8" t="n"/>
      <c r="P3150" s="8" t="n"/>
      <c r="Q3150" s="7" t="inlineStr">
        <is>
          <t>SEM COTAÇÃO</t>
        </is>
      </c>
      <c r="R3150" s="8" t="n"/>
      <c r="S3150" s="14" t="n"/>
      <c r="T3150" s="7" t="inlineStr"/>
      <c r="U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8" t="n"/>
      <c r="M3151" s="8" t="n"/>
      <c r="N3151" s="8" t="n"/>
      <c r="O3151" s="8" t="n"/>
      <c r="P3151" s="8" t="n"/>
      <c r="Q3151" s="7" t="inlineStr">
        <is>
          <t>SEM COTAÇÃO</t>
        </is>
      </c>
      <c r="R3151" s="8" t="n"/>
      <c r="S3151" s="14" t="n"/>
      <c r="T3151" s="7" t="inlineStr"/>
      <c r="U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8" t="n"/>
      <c r="M3152" s="8" t="n"/>
      <c r="N3152" s="8" t="n"/>
      <c r="O3152" s="8" t="n"/>
      <c r="P3152" s="8" t="n"/>
      <c r="Q3152" s="7" t="inlineStr">
        <is>
          <t>SEM COTAÇÃO</t>
        </is>
      </c>
      <c r="R3152" s="8" t="n"/>
      <c r="S3152" s="14" t="n"/>
      <c r="T3152" s="7" t="inlineStr"/>
      <c r="U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8" t="n"/>
      <c r="M3153" s="8" t="n"/>
      <c r="N3153" s="8" t="n"/>
      <c r="O3153" s="8" t="n"/>
      <c r="P3153" s="8" t="n"/>
      <c r="Q3153" s="7" t="inlineStr">
        <is>
          <t>SEM COTAÇÃO</t>
        </is>
      </c>
      <c r="R3153" s="8" t="n"/>
      <c r="S3153" s="14" t="n"/>
      <c r="T3153" s="7" t="inlineStr"/>
      <c r="U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8" t="n"/>
      <c r="M3154" s="8" t="n"/>
      <c r="N3154" s="8" t="n"/>
      <c r="O3154" s="8" t="n"/>
      <c r="P3154" s="8" t="n"/>
      <c r="Q3154" s="7" t="inlineStr">
        <is>
          <t>SEM COTAÇÃO</t>
        </is>
      </c>
      <c r="R3154" s="8" t="n"/>
      <c r="S3154" s="14" t="n"/>
      <c r="T3154" s="7" t="inlineStr"/>
      <c r="U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8" t="n"/>
      <c r="M3155" s="8" t="n"/>
      <c r="N3155" s="8" t="n"/>
      <c r="O3155" s="8" t="n"/>
      <c r="P3155" s="8" t="n"/>
      <c r="Q3155" s="7" t="inlineStr">
        <is>
          <t>SEM COTAÇÃO</t>
        </is>
      </c>
      <c r="R3155" s="8" t="n"/>
      <c r="S3155" s="14" t="n"/>
      <c r="T3155" s="7" t="inlineStr"/>
      <c r="U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8" t="n"/>
      <c r="M3156" s="8" t="n"/>
      <c r="N3156" s="8" t="n"/>
      <c r="O3156" s="15" t="n">
        <v>30.38</v>
      </c>
      <c r="P3156" s="8" t="n"/>
      <c r="Q3156" s="7" t="inlineStr">
        <is>
          <t>NAZARIA</t>
        </is>
      </c>
      <c r="R3156" s="8" t="n">
        <v>30.38</v>
      </c>
      <c r="S3156" s="14">
        <f>R3156/H3156-1</f>
        <v/>
      </c>
      <c r="T3156" s="16" t="inlineStr">
        <is>
          <t>ACIMA +11.7%</t>
        </is>
      </c>
      <c r="U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8" t="n"/>
      <c r="M3157" s="8" t="n"/>
      <c r="N3157" s="8" t="n"/>
      <c r="O3157" s="15" t="n">
        <v>102.41</v>
      </c>
      <c r="P3157" s="8" t="n"/>
      <c r="Q3157" s="7" t="inlineStr">
        <is>
          <t>NAZARIA</t>
        </is>
      </c>
      <c r="R3157" s="8" t="n">
        <v>102.41</v>
      </c>
      <c r="S3157" s="14">
        <f>R3157/H3157-1</f>
        <v/>
      </c>
      <c r="T3157" s="16" t="inlineStr">
        <is>
          <t>ACIMA +31.6%</t>
        </is>
      </c>
      <c r="U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8" t="n"/>
      <c r="M3158" s="8" t="n"/>
      <c r="N3158" s="8" t="n"/>
      <c r="O3158" s="15" t="n">
        <v>177.95</v>
      </c>
      <c r="P3158" s="8" t="n"/>
      <c r="Q3158" s="7" t="inlineStr">
        <is>
          <t>NAZARIA</t>
        </is>
      </c>
      <c r="R3158" s="8" t="n">
        <v>177.95</v>
      </c>
      <c r="S3158" s="14">
        <f>R3158/H3158-1</f>
        <v/>
      </c>
      <c r="T3158" s="16" t="inlineStr">
        <is>
          <t>ACIMA +139.5%</t>
        </is>
      </c>
      <c r="U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8" t="n"/>
      <c r="M3159" s="8" t="n"/>
      <c r="N3159" s="8" t="n"/>
      <c r="O3159" s="8" t="n"/>
      <c r="P3159" s="8" t="n"/>
      <c r="Q3159" s="7" t="inlineStr">
        <is>
          <t>SEM COTAÇÃO</t>
        </is>
      </c>
      <c r="R3159" s="8" t="n"/>
      <c r="S3159" s="14" t="n"/>
      <c r="T3159" s="7" t="inlineStr"/>
      <c r="U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8" t="n"/>
      <c r="M3160" s="8" t="n"/>
      <c r="N3160" s="8" t="n"/>
      <c r="O3160" s="8" t="n"/>
      <c r="P3160" s="8" t="n"/>
      <c r="Q3160" s="7" t="inlineStr">
        <is>
          <t>SEM COTAÇÃO</t>
        </is>
      </c>
      <c r="R3160" s="8" t="n"/>
      <c r="S3160" s="14" t="n"/>
      <c r="T3160" s="7" t="inlineStr"/>
      <c r="U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8" t="n"/>
      <c r="M3161" s="8" t="n"/>
      <c r="N3161" s="8" t="n"/>
      <c r="O3161" s="8" t="n"/>
      <c r="P3161" s="8" t="n"/>
      <c r="Q3161" s="7" t="inlineStr">
        <is>
          <t>SEM COTAÇÃO</t>
        </is>
      </c>
      <c r="R3161" s="8" t="n"/>
      <c r="S3161" s="14" t="n"/>
      <c r="T3161" s="7" t="inlineStr"/>
      <c r="U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8" t="n"/>
      <c r="M3162" s="8" t="n"/>
      <c r="N3162" s="8" t="n"/>
      <c r="O3162" s="8" t="n"/>
      <c r="P3162" s="8" t="n"/>
      <c r="Q3162" s="7" t="inlineStr">
        <is>
          <t>SEM COTAÇÃO</t>
        </is>
      </c>
      <c r="R3162" s="8" t="n"/>
      <c r="S3162" s="14" t="n"/>
      <c r="T3162" s="7" t="inlineStr"/>
      <c r="U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8" t="n"/>
      <c r="M3163" s="8" t="n"/>
      <c r="N3163" s="8" t="n"/>
      <c r="O3163" s="8" t="n"/>
      <c r="P3163" s="8" t="n"/>
      <c r="Q3163" s="7" t="inlineStr">
        <is>
          <t>SEM COTAÇÃO</t>
        </is>
      </c>
      <c r="R3163" s="8" t="n"/>
      <c r="S3163" s="14" t="n"/>
      <c r="T3163" s="7" t="inlineStr"/>
      <c r="U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8" t="n"/>
      <c r="M3164" s="8" t="n"/>
      <c r="N3164" s="8" t="n"/>
      <c r="O3164" s="8" t="n"/>
      <c r="P3164" s="8" t="n"/>
      <c r="Q3164" s="7" t="inlineStr">
        <is>
          <t>SEM COTAÇÃO</t>
        </is>
      </c>
      <c r="R3164" s="8" t="n"/>
      <c r="S3164" s="14" t="n"/>
      <c r="T3164" s="7" t="inlineStr"/>
      <c r="U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8" t="n"/>
      <c r="M3165" s="8" t="n"/>
      <c r="N3165" s="8" t="n"/>
      <c r="O3165" s="8" t="n"/>
      <c r="P3165" s="8" t="n"/>
      <c r="Q3165" s="7" t="inlineStr">
        <is>
          <t>SEM COTAÇÃO</t>
        </is>
      </c>
      <c r="R3165" s="8" t="n"/>
      <c r="S3165" s="14" t="n"/>
      <c r="T3165" s="7" t="inlineStr"/>
      <c r="U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8" t="n"/>
      <c r="M3166" s="8" t="n"/>
      <c r="N3166" s="8" t="n"/>
      <c r="O3166" s="8" t="n"/>
      <c r="P3166" s="8" t="n"/>
      <c r="Q3166" s="7" t="inlineStr">
        <is>
          <t>SEM COTAÇÃO</t>
        </is>
      </c>
      <c r="R3166" s="8" t="n"/>
      <c r="S3166" s="14" t="n"/>
      <c r="T3166" s="7" t="inlineStr"/>
      <c r="U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8" t="n"/>
      <c r="M3167" s="8" t="n"/>
      <c r="N3167" s="8" t="n"/>
      <c r="O3167" s="8" t="n"/>
      <c r="P3167" s="8" t="n"/>
      <c r="Q3167" s="7" t="inlineStr">
        <is>
          <t>SEM COTAÇÃO</t>
        </is>
      </c>
      <c r="R3167" s="8" t="n"/>
      <c r="S3167" s="14" t="n"/>
      <c r="T3167" s="7" t="inlineStr"/>
      <c r="U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8" t="n"/>
      <c r="M3168" s="8" t="n"/>
      <c r="N3168" s="8" t="n"/>
      <c r="O3168" s="8" t="n"/>
      <c r="P3168" s="8" t="n"/>
      <c r="Q3168" s="7" t="inlineStr">
        <is>
          <t>SEM COTAÇÃO</t>
        </is>
      </c>
      <c r="R3168" s="8" t="n"/>
      <c r="S3168" s="14" t="n"/>
      <c r="T3168" s="7" t="inlineStr"/>
      <c r="U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8" t="n"/>
      <c r="M3169" s="8" t="n"/>
      <c r="N3169" s="8" t="n"/>
      <c r="O3169" s="8" t="n"/>
      <c r="P3169" s="8" t="n"/>
      <c r="Q3169" s="7" t="inlineStr">
        <is>
          <t>SEM COTAÇÃO</t>
        </is>
      </c>
      <c r="R3169" s="8" t="n"/>
      <c r="S3169" s="14" t="n"/>
      <c r="T3169" s="7" t="inlineStr"/>
      <c r="U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8" t="n"/>
      <c r="M3170" s="8" t="n"/>
      <c r="N3170" s="8" t="n"/>
      <c r="O3170" s="8" t="n"/>
      <c r="P3170" s="8" t="n"/>
      <c r="Q3170" s="7" t="inlineStr">
        <is>
          <t>SEM COTAÇÃO</t>
        </is>
      </c>
      <c r="R3170" s="8" t="n"/>
      <c r="S3170" s="14" t="n"/>
      <c r="T3170" s="7" t="inlineStr"/>
      <c r="U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8" t="n"/>
      <c r="M3171" s="15" t="n">
        <v>4.61</v>
      </c>
      <c r="N3171" s="8" t="n"/>
      <c r="O3171" s="8" t="n"/>
      <c r="P3171" s="8" t="n"/>
      <c r="Q3171" s="7" t="inlineStr">
        <is>
          <t>CENTROFARMA</t>
        </is>
      </c>
      <c r="R3171" s="8" t="n">
        <v>4.61</v>
      </c>
      <c r="S3171" s="14">
        <f>R3171/H3171-1</f>
        <v/>
      </c>
      <c r="T3171" s="17" t="inlineStr">
        <is>
          <t>OK (≤ menor hist.)</t>
        </is>
      </c>
      <c r="U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8" t="n"/>
      <c r="M3172" s="8" t="n"/>
      <c r="N3172" s="8" t="n"/>
      <c r="O3172" s="8" t="n"/>
      <c r="P3172" s="8" t="n"/>
      <c r="Q3172" s="7" t="inlineStr">
        <is>
          <t>SEM COTAÇÃO</t>
        </is>
      </c>
      <c r="R3172" s="8" t="n"/>
      <c r="S3172" s="14" t="n"/>
      <c r="T3172" s="7" t="inlineStr"/>
      <c r="U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8" t="n"/>
      <c r="M3173" s="8" t="n"/>
      <c r="N3173" s="8" t="n"/>
      <c r="O3173" s="8" t="n"/>
      <c r="P3173" s="8" t="n"/>
      <c r="Q3173" s="7" t="inlineStr">
        <is>
          <t>SEM COTAÇÃO</t>
        </is>
      </c>
      <c r="R3173" s="8" t="n"/>
      <c r="S3173" s="14" t="n"/>
      <c r="T3173" s="7" t="inlineStr"/>
      <c r="U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8" t="n"/>
      <c r="M3174" s="8" t="n"/>
      <c r="N3174" s="8" t="n"/>
      <c r="O3174" s="8" t="n"/>
      <c r="P3174" s="8" t="n"/>
      <c r="Q3174" s="7" t="inlineStr">
        <is>
          <t>SEM COTAÇÃO</t>
        </is>
      </c>
      <c r="R3174" s="8" t="n"/>
      <c r="S3174" s="14" t="n"/>
      <c r="T3174" s="7" t="inlineStr"/>
      <c r="U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8" t="n"/>
      <c r="M3175" s="8" t="n"/>
      <c r="N3175" s="8" t="n"/>
      <c r="O3175" s="8" t="n"/>
      <c r="P3175" s="8" t="n"/>
      <c r="Q3175" s="7" t="inlineStr">
        <is>
          <t>SEM COTAÇÃO</t>
        </is>
      </c>
      <c r="R3175" s="8" t="n"/>
      <c r="S3175" s="14" t="n"/>
      <c r="T3175" s="7" t="inlineStr"/>
      <c r="U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8" t="n"/>
      <c r="M3176" s="8" t="n"/>
      <c r="N3176" s="8" t="n"/>
      <c r="O3176" s="8" t="n"/>
      <c r="P3176" s="8" t="n"/>
      <c r="Q3176" s="7" t="inlineStr">
        <is>
          <t>SEM COTAÇÃO</t>
        </is>
      </c>
      <c r="R3176" s="8" t="n"/>
      <c r="S3176" s="14" t="n"/>
      <c r="T3176" s="7" t="inlineStr"/>
      <c r="U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8" t="n"/>
      <c r="M3177" s="8" t="n"/>
      <c r="N3177" s="8" t="n"/>
      <c r="O3177" s="8" t="n"/>
      <c r="P3177" s="8" t="n"/>
      <c r="Q3177" s="7" t="inlineStr">
        <is>
          <t>SEM COTAÇÃO</t>
        </is>
      </c>
      <c r="R3177" s="8" t="n"/>
      <c r="S3177" s="14" t="n"/>
      <c r="T3177" s="7" t="inlineStr"/>
      <c r="U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8" t="n"/>
      <c r="M3178" s="8" t="n"/>
      <c r="N3178" s="8" t="n"/>
      <c r="O3178" s="8" t="n"/>
      <c r="P3178" s="8" t="n"/>
      <c r="Q3178" s="7" t="inlineStr">
        <is>
          <t>SEM COTAÇÃO</t>
        </is>
      </c>
      <c r="R3178" s="8" t="n"/>
      <c r="S3178" s="14" t="n"/>
      <c r="T3178" s="7" t="inlineStr"/>
      <c r="U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8" t="n"/>
      <c r="M3179" s="8" t="n"/>
      <c r="N3179" s="8" t="n"/>
      <c r="O3179" s="8" t="n"/>
      <c r="P3179" s="8" t="n"/>
      <c r="Q3179" s="7" t="inlineStr">
        <is>
          <t>SEM COTAÇÃO</t>
        </is>
      </c>
      <c r="R3179" s="8" t="n"/>
      <c r="S3179" s="14" t="n"/>
      <c r="T3179" s="7" t="inlineStr"/>
      <c r="U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8" t="n"/>
      <c r="M3180" s="8" t="n"/>
      <c r="N3180" s="8" t="n"/>
      <c r="O3180" s="8" t="n"/>
      <c r="P3180" s="8" t="n"/>
      <c r="Q3180" s="7" t="inlineStr">
        <is>
          <t>SEM COTAÇÃO</t>
        </is>
      </c>
      <c r="R3180" s="8" t="n"/>
      <c r="S3180" s="14" t="n"/>
      <c r="T3180" s="7" t="inlineStr"/>
      <c r="U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8" t="n"/>
      <c r="M3181" s="8" t="n"/>
      <c r="N3181" s="8" t="n"/>
      <c r="O3181" s="8" t="n"/>
      <c r="P3181" s="8" t="n"/>
      <c r="Q3181" s="7" t="inlineStr">
        <is>
          <t>SEM COTAÇÃO</t>
        </is>
      </c>
      <c r="R3181" s="8" t="n"/>
      <c r="S3181" s="14" t="n"/>
      <c r="T3181" s="7" t="inlineStr"/>
      <c r="U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8" t="n"/>
      <c r="M3182" s="8" t="n"/>
      <c r="N3182" s="8" t="n"/>
      <c r="O3182" s="8" t="n"/>
      <c r="P3182" s="8" t="n"/>
      <c r="Q3182" s="7" t="inlineStr">
        <is>
          <t>DIMEC</t>
        </is>
      </c>
      <c r="R3182" s="8" t="n">
        <v>7.59</v>
      </c>
      <c r="S3182" s="14">
        <f>R3182/H3182-1</f>
        <v/>
      </c>
      <c r="T3182" s="17" t="inlineStr">
        <is>
          <t>OK (≤ menor hist.)</t>
        </is>
      </c>
      <c r="U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8" t="n"/>
      <c r="M3183" s="8" t="n"/>
      <c r="N3183" s="8" t="n"/>
      <c r="O3183" s="8" t="n"/>
      <c r="P3183" s="8" t="n"/>
      <c r="Q3183" s="7" t="inlineStr">
        <is>
          <t>SEM COTAÇÃO</t>
        </is>
      </c>
      <c r="R3183" s="8" t="n"/>
      <c r="S3183" s="14" t="n"/>
      <c r="T3183" s="7" t="inlineStr"/>
      <c r="U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8" t="n"/>
      <c r="M3184" s="8" t="n"/>
      <c r="N3184" s="8" t="n"/>
      <c r="O3184" s="8" t="n"/>
      <c r="P3184" s="8" t="n"/>
      <c r="Q3184" s="7" t="inlineStr">
        <is>
          <t>SEM COTAÇÃO</t>
        </is>
      </c>
      <c r="R3184" s="8" t="n"/>
      <c r="S3184" s="14" t="n"/>
      <c r="T3184" s="7" t="inlineStr"/>
      <c r="U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8" t="n"/>
      <c r="M3185" s="8" t="n"/>
      <c r="N3185" s="8" t="n"/>
      <c r="O3185" s="8" t="n">
        <v>10.02</v>
      </c>
      <c r="P3185" s="8" t="n"/>
      <c r="Q3185" s="7" t="inlineStr">
        <is>
          <t>DIMEC</t>
        </is>
      </c>
      <c r="R3185" s="8" t="n">
        <v>7.16</v>
      </c>
      <c r="S3185" s="14">
        <f>R3185/H3185-1</f>
        <v/>
      </c>
      <c r="T3185" s="17" t="inlineStr">
        <is>
          <t>OK (≤ menor hist.)</t>
        </is>
      </c>
      <c r="U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8" t="n"/>
      <c r="M3186" s="8" t="n"/>
      <c r="N3186" s="8" t="n"/>
      <c r="O3186" s="8" t="n"/>
      <c r="P3186" s="8" t="n"/>
      <c r="Q3186" s="7" t="inlineStr">
        <is>
          <t>SEM COTAÇÃO</t>
        </is>
      </c>
      <c r="R3186" s="8" t="n"/>
      <c r="S3186" s="14" t="n"/>
      <c r="T3186" s="7" t="inlineStr"/>
      <c r="U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8" t="n"/>
      <c r="M3187" s="8" t="n"/>
      <c r="N3187" s="8" t="n"/>
      <c r="O3187" s="8" t="n"/>
      <c r="P3187" s="8" t="n"/>
      <c r="Q3187" s="7" t="inlineStr">
        <is>
          <t>SEM COTAÇÃO</t>
        </is>
      </c>
      <c r="R3187" s="8" t="n"/>
      <c r="S3187" s="14" t="n"/>
      <c r="T3187" s="7" t="inlineStr"/>
      <c r="U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8" t="n"/>
      <c r="M3188" s="8" t="n"/>
      <c r="N3188" s="8" t="n"/>
      <c r="O3188" s="8" t="n"/>
      <c r="P3188" s="8" t="n"/>
      <c r="Q3188" s="7" t="inlineStr">
        <is>
          <t>DIMEC</t>
        </is>
      </c>
      <c r="R3188" s="8" t="n">
        <v>3.6</v>
      </c>
      <c r="S3188" s="14">
        <f>R3188/H3188-1</f>
        <v/>
      </c>
      <c r="T3188" s="17" t="inlineStr">
        <is>
          <t>OK (≤ menor hist.)</t>
        </is>
      </c>
      <c r="U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8" t="n"/>
      <c r="M3189" s="8" t="n"/>
      <c r="N3189" s="8" t="n"/>
      <c r="O3189" s="8" t="n"/>
      <c r="P3189" s="8" t="n"/>
      <c r="Q3189" s="7" t="inlineStr">
        <is>
          <t>DIMEC</t>
        </is>
      </c>
      <c r="R3189" s="8" t="n">
        <v>5.79</v>
      </c>
      <c r="S3189" s="14">
        <f>R3189/H3189-1</f>
        <v/>
      </c>
      <c r="T3189" s="16" t="inlineStr">
        <is>
          <t>ACIMA +6.2%</t>
        </is>
      </c>
      <c r="U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8" t="n"/>
      <c r="M3190" s="8" t="n"/>
      <c r="N3190" s="8" t="n"/>
      <c r="O3190" s="8" t="n"/>
      <c r="P3190" s="8" t="n"/>
      <c r="Q3190" s="7" t="inlineStr">
        <is>
          <t>DIMEC</t>
        </is>
      </c>
      <c r="R3190" s="8" t="n">
        <v>5.3</v>
      </c>
      <c r="S3190" s="14">
        <f>R3190/H3190-1</f>
        <v/>
      </c>
      <c r="T3190" s="16" t="inlineStr">
        <is>
          <t>ACIMA +1.5%</t>
        </is>
      </c>
      <c r="U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8" t="n"/>
      <c r="M3191" s="8" t="n"/>
      <c r="N3191" s="8" t="n"/>
      <c r="O3191" s="8" t="n"/>
      <c r="P3191" s="8" t="n"/>
      <c r="Q3191" s="7" t="inlineStr">
        <is>
          <t>DIMEC</t>
        </is>
      </c>
      <c r="R3191" s="8" t="n">
        <v>8.67</v>
      </c>
      <c r="S3191" s="14">
        <f>R3191/H3191-1</f>
        <v/>
      </c>
      <c r="T3191" s="17" t="inlineStr">
        <is>
          <t>OK (≤ menor hist.)</t>
        </is>
      </c>
      <c r="U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8" t="n"/>
      <c r="M3192" s="8" t="n">
        <v>7.92</v>
      </c>
      <c r="N3192" s="8" t="n"/>
      <c r="O3192" s="8" t="n"/>
      <c r="P3192" s="8" t="n">
        <v>8.31</v>
      </c>
      <c r="Q3192" s="7" t="inlineStr">
        <is>
          <t>DIMEC</t>
        </is>
      </c>
      <c r="R3192" s="8" t="n">
        <v>6.89</v>
      </c>
      <c r="S3192" s="14">
        <f>R3192/H3192-1</f>
        <v/>
      </c>
      <c r="T3192" s="16" t="inlineStr">
        <is>
          <t>ACIMA +21.7%</t>
        </is>
      </c>
      <c r="U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8" t="n"/>
      <c r="M3193" s="8" t="n"/>
      <c r="N3193" s="8" t="n"/>
      <c r="O3193" s="8" t="n"/>
      <c r="P3193" s="8" t="n"/>
      <c r="Q3193" s="7" t="inlineStr">
        <is>
          <t>SEM COTAÇÃO</t>
        </is>
      </c>
      <c r="R3193" s="8" t="n"/>
      <c r="S3193" s="14" t="n"/>
      <c r="T3193" s="7" t="inlineStr"/>
      <c r="U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8" t="n"/>
      <c r="M3194" s="15" t="n">
        <v>4.73</v>
      </c>
      <c r="N3194" s="8" t="n"/>
      <c r="O3194" s="8" t="n">
        <v>4.94</v>
      </c>
      <c r="P3194" s="8" t="n"/>
      <c r="Q3194" s="7" t="inlineStr">
        <is>
          <t>CENTROFARMA</t>
        </is>
      </c>
      <c r="R3194" s="8" t="n">
        <v>4.73</v>
      </c>
      <c r="S3194" s="14">
        <f>R3194/H3194-1</f>
        <v/>
      </c>
      <c r="T3194" s="16" t="inlineStr">
        <is>
          <t>ACIMA +9.7%</t>
        </is>
      </c>
      <c r="U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8" t="n"/>
      <c r="M3195" s="8" t="n"/>
      <c r="N3195" s="8" t="n"/>
      <c r="O3195" s="8" t="n"/>
      <c r="P3195" s="8" t="n"/>
      <c r="Q3195" s="7" t="inlineStr">
        <is>
          <t>SEM COTAÇÃO</t>
        </is>
      </c>
      <c r="R3195" s="8" t="n"/>
      <c r="S3195" s="14" t="n"/>
      <c r="T3195" s="7" t="inlineStr"/>
      <c r="U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8" t="n"/>
      <c r="M3196" s="8" t="n"/>
      <c r="N3196" s="8" t="n"/>
      <c r="O3196" s="8" t="n"/>
      <c r="P3196" s="8" t="n"/>
      <c r="Q3196" s="7" t="inlineStr">
        <is>
          <t>SEM COTAÇÃO</t>
        </is>
      </c>
      <c r="R3196" s="8" t="n"/>
      <c r="S3196" s="14" t="n"/>
      <c r="T3196" s="7" t="inlineStr"/>
      <c r="U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8" t="n"/>
      <c r="M3197" s="8" t="n"/>
      <c r="N3197" s="8" t="n"/>
      <c r="O3197" s="8" t="n"/>
      <c r="P3197" s="8" t="n"/>
      <c r="Q3197" s="7" t="inlineStr">
        <is>
          <t>SEM COTAÇÃO</t>
        </is>
      </c>
      <c r="R3197" s="8" t="n"/>
      <c r="S3197" s="14" t="n"/>
      <c r="T3197" s="7" t="inlineStr"/>
      <c r="U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8" t="n"/>
      <c r="M3198" s="8" t="n"/>
      <c r="N3198" s="8" t="n"/>
      <c r="O3198" s="8" t="n"/>
      <c r="P3198" s="8" t="n"/>
      <c r="Q3198" s="7" t="inlineStr">
        <is>
          <t>SEM COTAÇÃO</t>
        </is>
      </c>
      <c r="R3198" s="8" t="n"/>
      <c r="S3198" s="14" t="n"/>
      <c r="T3198" s="7" t="inlineStr"/>
      <c r="U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8" t="n"/>
      <c r="M3199" s="8" t="n"/>
      <c r="N3199" s="8" t="n"/>
      <c r="O3199" s="8" t="n"/>
      <c r="P3199" s="8" t="n"/>
      <c r="Q3199" s="7" t="inlineStr">
        <is>
          <t>SEM COTAÇÃO</t>
        </is>
      </c>
      <c r="R3199" s="8" t="n"/>
      <c r="S3199" s="14" t="n"/>
      <c r="T3199" s="7" t="inlineStr"/>
      <c r="U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8" t="n"/>
      <c r="M3200" s="8" t="n"/>
      <c r="N3200" s="8" t="n"/>
      <c r="O3200" s="15" t="n">
        <v>35.03</v>
      </c>
      <c r="P3200" s="8" t="n"/>
      <c r="Q3200" s="7" t="inlineStr">
        <is>
          <t>NAZARIA</t>
        </is>
      </c>
      <c r="R3200" s="8" t="n">
        <v>35.03</v>
      </c>
      <c r="S3200" s="14">
        <f>R3200/H3200-1</f>
        <v/>
      </c>
      <c r="T3200" s="16" t="inlineStr">
        <is>
          <t>ACIMA +3.4%</t>
        </is>
      </c>
      <c r="U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8" t="n"/>
      <c r="M3201" s="8" t="n"/>
      <c r="N3201" s="8" t="n"/>
      <c r="O3201" s="8" t="n"/>
      <c r="P3201" s="8" t="n"/>
      <c r="Q3201" s="7" t="inlineStr">
        <is>
          <t>SEM COTAÇÃO</t>
        </is>
      </c>
      <c r="R3201" s="8" t="n"/>
      <c r="S3201" s="14" t="n"/>
      <c r="T3201" s="7" t="inlineStr"/>
      <c r="U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8" t="n"/>
      <c r="M3202" s="8" t="n"/>
      <c r="N3202" s="8" t="n"/>
      <c r="O3202" s="8" t="n"/>
      <c r="P3202" s="8" t="n"/>
      <c r="Q3202" s="7" t="inlineStr">
        <is>
          <t>SEM COTAÇÃO</t>
        </is>
      </c>
      <c r="R3202" s="8" t="n"/>
      <c r="S3202" s="14" t="n"/>
      <c r="T3202" s="7" t="inlineStr"/>
      <c r="U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8" t="n"/>
      <c r="M3203" s="8" t="n"/>
      <c r="N3203" s="8" t="n"/>
      <c r="O3203" s="8" t="n"/>
      <c r="P3203" s="8" t="n"/>
      <c r="Q3203" s="7" t="inlineStr">
        <is>
          <t>SEM COTAÇÃO</t>
        </is>
      </c>
      <c r="R3203" s="8" t="n"/>
      <c r="S3203" s="14" t="n"/>
      <c r="T3203" s="7" t="inlineStr"/>
      <c r="U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8" t="n"/>
      <c r="M3204" s="8" t="n"/>
      <c r="N3204" s="8" t="n"/>
      <c r="O3204" s="15" t="n">
        <v>7.2</v>
      </c>
      <c r="P3204" s="8" t="n"/>
      <c r="Q3204" s="7" t="inlineStr">
        <is>
          <t>NAZARIA</t>
        </is>
      </c>
      <c r="R3204" s="8" t="n">
        <v>7.2</v>
      </c>
      <c r="S3204" s="14">
        <f>R3204/H3204-1</f>
        <v/>
      </c>
      <c r="T3204" s="16" t="inlineStr">
        <is>
          <t>ACIMA +3.0%</t>
        </is>
      </c>
      <c r="U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8" t="n"/>
      <c r="M3205" s="8" t="n"/>
      <c r="N3205" s="8" t="n"/>
      <c r="O3205" s="8" t="n"/>
      <c r="P3205" s="8" t="n"/>
      <c r="Q3205" s="7" t="inlineStr">
        <is>
          <t>SEM COTAÇÃO</t>
        </is>
      </c>
      <c r="R3205" s="8" t="n"/>
      <c r="S3205" s="14" t="n"/>
      <c r="T3205" s="7" t="inlineStr"/>
      <c r="U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8" t="n"/>
      <c r="M3206" s="8" t="n"/>
      <c r="N3206" s="8" t="n"/>
      <c r="O3206" s="15" t="n">
        <v>19.1</v>
      </c>
      <c r="P3206" s="8" t="n"/>
      <c r="Q3206" s="7" t="inlineStr">
        <is>
          <t>NAZARIA</t>
        </is>
      </c>
      <c r="R3206" s="8" t="n">
        <v>19.1</v>
      </c>
      <c r="S3206" s="14">
        <f>R3206/H3206-1</f>
        <v/>
      </c>
      <c r="T3206" s="16" t="inlineStr">
        <is>
          <t>ACIMA +2.4%</t>
        </is>
      </c>
      <c r="U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8" t="n"/>
      <c r="M3207" s="8" t="n"/>
      <c r="N3207" s="8" t="n"/>
      <c r="O3207" s="8" t="n"/>
      <c r="P3207" s="8" t="n"/>
      <c r="Q3207" s="7" t="inlineStr">
        <is>
          <t>SEM COTAÇÃO</t>
        </is>
      </c>
      <c r="R3207" s="8" t="n"/>
      <c r="S3207" s="14" t="n"/>
      <c r="T3207" s="7" t="inlineStr"/>
      <c r="U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8" t="n"/>
      <c r="M3208" s="8" t="n"/>
      <c r="N3208" s="8" t="n"/>
      <c r="O3208" s="8" t="n"/>
      <c r="P3208" s="8" t="n"/>
      <c r="Q3208" s="7" t="inlineStr">
        <is>
          <t>SEM COTAÇÃO</t>
        </is>
      </c>
      <c r="R3208" s="8" t="n"/>
      <c r="S3208" s="14" t="n"/>
      <c r="T3208" s="7" t="inlineStr"/>
      <c r="U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8" t="n"/>
      <c r="M3209" s="8" t="n"/>
      <c r="N3209" s="8" t="n"/>
      <c r="O3209" s="8" t="n"/>
      <c r="P3209" s="8" t="n"/>
      <c r="Q3209" s="7" t="inlineStr">
        <is>
          <t>SEM COTAÇÃO</t>
        </is>
      </c>
      <c r="R3209" s="8" t="n"/>
      <c r="S3209" s="14" t="n"/>
      <c r="T3209" s="7" t="inlineStr"/>
      <c r="U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8" t="n"/>
      <c r="M3210" s="8" t="n"/>
      <c r="N3210" s="8" t="n"/>
      <c r="O3210" s="8" t="n"/>
      <c r="P3210" s="8" t="n"/>
      <c r="Q3210" s="7" t="inlineStr">
        <is>
          <t>SEM COTAÇÃO</t>
        </is>
      </c>
      <c r="R3210" s="8" t="n"/>
      <c r="S3210" s="14" t="n"/>
      <c r="T3210" s="7" t="inlineStr"/>
      <c r="U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8" t="n"/>
      <c r="M3211" s="8" t="n"/>
      <c r="N3211" s="8" t="n"/>
      <c r="O3211" s="8" t="n"/>
      <c r="P3211" s="8" t="n"/>
      <c r="Q3211" s="7" t="inlineStr">
        <is>
          <t>SEM COTAÇÃO</t>
        </is>
      </c>
      <c r="R3211" s="8" t="n"/>
      <c r="S3211" s="14" t="n"/>
      <c r="T3211" s="7" t="inlineStr"/>
      <c r="U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8" t="n"/>
      <c r="M3212" s="8" t="n"/>
      <c r="N3212" s="8" t="n"/>
      <c r="O3212" s="8" t="n">
        <v>39.27</v>
      </c>
      <c r="P3212" s="8" t="n"/>
      <c r="Q3212" s="7" t="inlineStr">
        <is>
          <t>SEM COTAÇÃO</t>
        </is>
      </c>
      <c r="R3212" s="8" t="n"/>
      <c r="S3212" s="14" t="n"/>
      <c r="T3212" s="7" t="inlineStr"/>
      <c r="U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8" t="n"/>
      <c r="M3213" s="8" t="n"/>
      <c r="N3213" s="8" t="n"/>
      <c r="O3213" s="8" t="n"/>
      <c r="P3213" s="8" t="n"/>
      <c r="Q3213" s="7" t="inlineStr">
        <is>
          <t>SEM COTAÇÃO</t>
        </is>
      </c>
      <c r="R3213" s="8" t="n"/>
      <c r="S3213" s="14" t="n"/>
      <c r="T3213" s="7" t="inlineStr"/>
      <c r="U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8" t="n"/>
      <c r="M3214" s="8" t="n">
        <v>14.59</v>
      </c>
      <c r="N3214" s="8" t="n"/>
      <c r="O3214" s="8" t="n">
        <v>16.7157</v>
      </c>
      <c r="P3214" s="8" t="n">
        <v>15.72</v>
      </c>
      <c r="Q3214" s="7" t="inlineStr">
        <is>
          <t>PLUSFARMA</t>
        </is>
      </c>
      <c r="R3214" s="8" t="n">
        <v>14.13</v>
      </c>
      <c r="S3214" s="14">
        <f>R3214/H3214-1</f>
        <v/>
      </c>
      <c r="T3214" s="16" t="inlineStr">
        <is>
          <t>ACIMA +20.1%</t>
        </is>
      </c>
      <c r="U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8" t="n"/>
      <c r="M3215" s="8" t="n"/>
      <c r="N3215" s="8" t="n"/>
      <c r="O3215" s="15" t="n">
        <v>27.2025</v>
      </c>
      <c r="P3215" s="8" t="n"/>
      <c r="Q3215" s="7" t="inlineStr">
        <is>
          <t>NAZARIA</t>
        </is>
      </c>
      <c r="R3215" s="8" t="n">
        <v>27.2025</v>
      </c>
      <c r="S3215" s="14">
        <f>R3215/H3215-1</f>
        <v/>
      </c>
      <c r="T3215" s="16" t="inlineStr">
        <is>
          <t>ACIMA +73.8%</t>
        </is>
      </c>
      <c r="U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8" t="n">
        <v>20.61</v>
      </c>
      <c r="L3216" s="8" t="n"/>
      <c r="M3216" s="15" t="n">
        <v>20.42</v>
      </c>
      <c r="N3216" s="8" t="n"/>
      <c r="O3216" s="8" t="n">
        <v>22.881609</v>
      </c>
      <c r="P3216" s="8" t="n">
        <v>21.61</v>
      </c>
      <c r="Q3216" s="7" t="inlineStr">
        <is>
          <t>CENTROFARMA</t>
        </is>
      </c>
      <c r="R3216" s="8" t="n">
        <v>20.42</v>
      </c>
      <c r="S3216" s="14">
        <f>R3216/H3216-1</f>
        <v/>
      </c>
      <c r="T3216" s="16" t="inlineStr">
        <is>
          <t>ACIMA +19.2%</t>
        </is>
      </c>
      <c r="U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8" t="n">
        <v>50.25</v>
      </c>
      <c r="M3217" s="8" t="n"/>
      <c r="N3217" s="8" t="n"/>
      <c r="O3217" s="8" t="n">
        <v>48.35</v>
      </c>
      <c r="P3217" s="8" t="n"/>
      <c r="Q3217" s="7" t="inlineStr">
        <is>
          <t>SEM COTAÇÃO</t>
        </is>
      </c>
      <c r="R3217" s="8" t="n"/>
      <c r="S3217" s="14" t="n"/>
      <c r="T3217" s="7" t="inlineStr"/>
      <c r="U3217" s="7" t="inlineStr">
        <is>
          <t>EPAN: sem estoque; 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8" t="n"/>
      <c r="M3218" s="8" t="n"/>
      <c r="N3218" s="8" t="n"/>
      <c r="O3218" s="8" t="n">
        <v>48.91</v>
      </c>
      <c r="P3218" s="8" t="n"/>
      <c r="Q3218" s="7" t="inlineStr">
        <is>
          <t>SEM COTAÇÃO</t>
        </is>
      </c>
      <c r="R3218" s="8" t="n"/>
      <c r="S3218" s="14" t="n"/>
      <c r="T3218" s="7" t="inlineStr"/>
      <c r="U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15" t="n">
        <v>18.94</v>
      </c>
      <c r="M3219" s="8" t="n"/>
      <c r="N3219" s="8" t="n"/>
      <c r="O3219" s="8" t="n">
        <v>20.29</v>
      </c>
      <c r="P3219" s="8" t="n"/>
      <c r="Q3219" s="7" t="inlineStr">
        <is>
          <t>EPAN</t>
        </is>
      </c>
      <c r="R3219" s="8" t="n">
        <v>18.94</v>
      </c>
      <c r="S3219" s="14">
        <f>R3219/H3219-1</f>
        <v/>
      </c>
      <c r="T3219" s="17" t="inlineStr">
        <is>
          <t>OK (≤ últ. compra)</t>
        </is>
      </c>
      <c r="U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37.44</v>
      </c>
      <c r="K3220" s="8" t="n"/>
      <c r="L3220" s="15" t="n">
        <v>19.03</v>
      </c>
      <c r="M3220" s="8" t="n">
        <v>34.48</v>
      </c>
      <c r="N3220" s="8" t="n"/>
      <c r="O3220" s="8" t="n">
        <v>37.94</v>
      </c>
      <c r="P3220" s="8" t="n"/>
      <c r="Q3220" s="7" t="inlineStr">
        <is>
          <t>EPAN</t>
        </is>
      </c>
      <c r="R3220" s="8" t="n">
        <v>19.03</v>
      </c>
      <c r="S3220" s="14">
        <f>R3220/H3220-1</f>
        <v/>
      </c>
      <c r="T3220" s="17" t="inlineStr">
        <is>
          <t>OK (≤ menor hist.)</t>
        </is>
      </c>
      <c r="U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8" t="n"/>
      <c r="M3221" s="15" t="n">
        <v>30.14</v>
      </c>
      <c r="N3221" s="8" t="n"/>
      <c r="O3221" s="8" t="n"/>
      <c r="P3221" s="8" t="n"/>
      <c r="Q3221" s="7" t="inlineStr">
        <is>
          <t>CENTROFARMA</t>
        </is>
      </c>
      <c r="R3221" s="8" t="n">
        <v>30.14</v>
      </c>
      <c r="S3221" s="14">
        <f>R3221/H3221-1</f>
        <v/>
      </c>
      <c r="T3221" s="16" t="inlineStr">
        <is>
          <t>ACIMA +50.0%</t>
        </is>
      </c>
      <c r="U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8" t="n"/>
      <c r="M3222" s="8" t="n"/>
      <c r="N3222" s="8" t="n"/>
      <c r="O3222" s="8" t="n"/>
      <c r="P3222" s="8" t="n"/>
      <c r="Q3222" s="7" t="inlineStr">
        <is>
          <t>SEM COTAÇÃO</t>
        </is>
      </c>
      <c r="R3222" s="8" t="n"/>
      <c r="S3222" s="14" t="n"/>
      <c r="T3222" s="7" t="inlineStr"/>
      <c r="U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8" t="n"/>
      <c r="M3223" s="8" t="n"/>
      <c r="N3223" s="8" t="n"/>
      <c r="O3223" s="15" t="n">
        <v>23.13</v>
      </c>
      <c r="P3223" s="8" t="n"/>
      <c r="Q3223" s="7" t="inlineStr">
        <is>
          <t>NAZARIA</t>
        </is>
      </c>
      <c r="R3223" s="8" t="n">
        <v>23.13</v>
      </c>
      <c r="S3223" s="14">
        <f>R3223/H3223-1</f>
        <v/>
      </c>
      <c r="T3223" s="16" t="inlineStr">
        <is>
          <t>ACIMA +729.0%</t>
        </is>
      </c>
      <c r="U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8" t="n"/>
      <c r="M3224" s="8" t="n"/>
      <c r="N3224" s="8" t="n"/>
      <c r="O3224" s="15" t="n">
        <v>21.22</v>
      </c>
      <c r="P3224" s="8" t="n"/>
      <c r="Q3224" s="7" t="inlineStr">
        <is>
          <t>NAZARIA</t>
        </is>
      </c>
      <c r="R3224" s="8" t="n">
        <v>21.22</v>
      </c>
      <c r="S3224" s="14">
        <f>R3224/H3224-1</f>
        <v/>
      </c>
      <c r="T3224" s="16" t="inlineStr">
        <is>
          <t>ACIMA +328.7%</t>
        </is>
      </c>
      <c r="U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8" t="n"/>
      <c r="M3225" s="8" t="n"/>
      <c r="N3225" s="8" t="n"/>
      <c r="O3225" s="8" t="n"/>
      <c r="P3225" s="8" t="n"/>
      <c r="Q3225" s="7" t="inlineStr">
        <is>
          <t>SEM COTAÇÃO</t>
        </is>
      </c>
      <c r="R3225" s="8" t="n"/>
      <c r="S3225" s="14" t="n"/>
      <c r="T3225" s="7" t="inlineStr"/>
      <c r="U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8" t="n"/>
      <c r="M3226" s="15" t="n">
        <v>15.01</v>
      </c>
      <c r="N3226" s="8" t="n"/>
      <c r="O3226" s="8" t="n"/>
      <c r="P3226" s="8" t="n"/>
      <c r="Q3226" s="7" t="inlineStr">
        <is>
          <t>CENTROFARMA</t>
        </is>
      </c>
      <c r="R3226" s="8" t="n">
        <v>15.01</v>
      </c>
      <c r="S3226" s="14">
        <f>R3226/H3226-1</f>
        <v/>
      </c>
      <c r="T3226" s="16" t="inlineStr">
        <is>
          <t>ACIMA +65.1%</t>
        </is>
      </c>
      <c r="U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8" t="n">
        <v>67.69</v>
      </c>
      <c r="M3227" s="8" t="n"/>
      <c r="N3227" s="8" t="n"/>
      <c r="O3227" s="15" t="n">
        <v>65.136</v>
      </c>
      <c r="P3227" s="8" t="n"/>
      <c r="Q3227" s="7" t="inlineStr">
        <is>
          <t>NAZARIA</t>
        </is>
      </c>
      <c r="R3227" s="8" t="n">
        <v>65.136</v>
      </c>
      <c r="S3227" s="14">
        <f>R3227/H3227-1</f>
        <v/>
      </c>
      <c r="T3227" s="17" t="inlineStr">
        <is>
          <t>OK (≤ menor hist.)</t>
        </is>
      </c>
      <c r="U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8" t="n"/>
      <c r="M3228" s="8" t="n"/>
      <c r="N3228" s="8" t="n"/>
      <c r="O3228" s="8" t="n"/>
      <c r="P3228" s="8" t="n"/>
      <c r="Q3228" s="7" t="inlineStr">
        <is>
          <t>SEM COTAÇÃO</t>
        </is>
      </c>
      <c r="R3228" s="8" t="n"/>
      <c r="S3228" s="14" t="n"/>
      <c r="T3228" s="7" t="inlineStr"/>
      <c r="U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8" t="n"/>
      <c r="M3229" s="8" t="n"/>
      <c r="N3229" s="8" t="n"/>
      <c r="O3229" s="8" t="n"/>
      <c r="P3229" s="8" t="n"/>
      <c r="Q3229" s="7" t="inlineStr">
        <is>
          <t>SEM COTAÇÃO</t>
        </is>
      </c>
      <c r="R3229" s="8" t="n"/>
      <c r="S3229" s="14" t="n"/>
      <c r="T3229" s="7" t="inlineStr"/>
      <c r="U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8" t="n"/>
      <c r="M3230" s="8" t="n"/>
      <c r="N3230" s="8" t="n"/>
      <c r="O3230" s="8" t="n"/>
      <c r="P3230" s="8" t="n"/>
      <c r="Q3230" s="7" t="inlineStr">
        <is>
          <t>SEM COTAÇÃO</t>
        </is>
      </c>
      <c r="R3230" s="8" t="n"/>
      <c r="S3230" s="14" t="n"/>
      <c r="T3230" s="7" t="inlineStr"/>
      <c r="U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8" t="n"/>
      <c r="M3231" s="8" t="n"/>
      <c r="N3231" s="15" t="n">
        <v>27</v>
      </c>
      <c r="O3231" s="8" t="n">
        <v>27.3734</v>
      </c>
      <c r="P3231" s="8" t="n"/>
      <c r="Q3231" s="7" t="inlineStr">
        <is>
          <t>TAPAJOS</t>
        </is>
      </c>
      <c r="R3231" s="8" t="n">
        <v>27</v>
      </c>
      <c r="S3231" s="14">
        <f>R3231/H3231-1</f>
        <v/>
      </c>
      <c r="T3231" s="17" t="inlineStr">
        <is>
          <t>OK (≤ últ. compra)</t>
        </is>
      </c>
      <c r="U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8" t="n"/>
      <c r="M3232" s="8" t="n"/>
      <c r="N3232" s="8" t="n"/>
      <c r="O3232" s="8" t="n"/>
      <c r="P3232" s="8" t="n"/>
      <c r="Q3232" s="7" t="inlineStr">
        <is>
          <t>SEM COTAÇÃO</t>
        </is>
      </c>
      <c r="R3232" s="8" t="n"/>
      <c r="S3232" s="14" t="n"/>
      <c r="T3232" s="7" t="inlineStr"/>
      <c r="U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8" t="n"/>
      <c r="M3233" s="8" t="n"/>
      <c r="N3233" s="15" t="n">
        <v>13.04</v>
      </c>
      <c r="O3233" s="8" t="n">
        <v>13.2211</v>
      </c>
      <c r="P3233" s="8" t="n"/>
      <c r="Q3233" s="7" t="inlineStr">
        <is>
          <t>TAPAJOS</t>
        </is>
      </c>
      <c r="R3233" s="8" t="n">
        <v>13.04</v>
      </c>
      <c r="S3233" s="14">
        <f>R3233/H3233-1</f>
        <v/>
      </c>
      <c r="T3233" s="16" t="inlineStr">
        <is>
          <t>ACIMA +8.8%</t>
        </is>
      </c>
      <c r="U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8" t="n"/>
      <c r="M3234" s="8" t="n"/>
      <c r="N3234" s="8" t="n"/>
      <c r="O3234" s="8" t="n"/>
      <c r="P3234" s="8" t="n"/>
      <c r="Q3234" s="7" t="inlineStr">
        <is>
          <t>SEM COTAÇÃO</t>
        </is>
      </c>
      <c r="R3234" s="8" t="n"/>
      <c r="S3234" s="14" t="n"/>
      <c r="T3234" s="7" t="inlineStr"/>
      <c r="U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8" t="n"/>
      <c r="M3235" s="8" t="n"/>
      <c r="N3235" s="8" t="n"/>
      <c r="O3235" s="15" t="n">
        <v>44.380476</v>
      </c>
      <c r="P3235" s="8" t="n"/>
      <c r="Q3235" s="7" t="inlineStr">
        <is>
          <t>NAZARIA</t>
        </is>
      </c>
      <c r="R3235" s="8" t="n">
        <v>44.380476</v>
      </c>
      <c r="S3235" s="14">
        <f>R3235/H3235-1</f>
        <v/>
      </c>
      <c r="T3235" s="16" t="inlineStr">
        <is>
          <t>ACIMA +174.1%</t>
        </is>
      </c>
      <c r="U3235" s="7" t="inlineStr">
        <is>
          <t>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8" t="n"/>
      <c r="M3236" s="8" t="n">
        <v>78.81</v>
      </c>
      <c r="N3236" s="8" t="n"/>
      <c r="O3236" s="8" t="n"/>
      <c r="P3236" s="8" t="n"/>
      <c r="Q3236" s="7" t="inlineStr">
        <is>
          <t>DIMEC</t>
        </is>
      </c>
      <c r="R3236" s="8" t="n">
        <v>78.61</v>
      </c>
      <c r="S3236" s="14">
        <f>R3236/H3236-1</f>
        <v/>
      </c>
      <c r="T3236" s="16" t="inlineStr">
        <is>
          <t>ACIMA +8.4%</t>
        </is>
      </c>
      <c r="U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8" t="n"/>
      <c r="M3237" s="8" t="n"/>
      <c r="N3237" s="8" t="n"/>
      <c r="O3237" s="8" t="n"/>
      <c r="P3237" s="8" t="n"/>
      <c r="Q3237" s="7" t="inlineStr">
        <is>
          <t>SEM COTAÇÃO</t>
        </is>
      </c>
      <c r="R3237" s="8" t="n"/>
      <c r="S3237" s="14" t="n"/>
      <c r="T3237" s="7" t="inlineStr"/>
      <c r="U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8" t="n"/>
      <c r="M3238" s="8" t="n"/>
      <c r="N3238" s="8" t="n"/>
      <c r="O3238" s="8" t="n"/>
      <c r="P3238" s="8" t="n"/>
      <c r="Q3238" s="7" t="inlineStr">
        <is>
          <t>SEM COTAÇÃO</t>
        </is>
      </c>
      <c r="R3238" s="8" t="n"/>
      <c r="S3238" s="14" t="n"/>
      <c r="T3238" s="7" t="inlineStr"/>
      <c r="U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8" t="n"/>
      <c r="M3239" s="8" t="n"/>
      <c r="N3239" s="8" t="n"/>
      <c r="O3239" s="8" t="n"/>
      <c r="P3239" s="8" t="n"/>
      <c r="Q3239" s="7" t="inlineStr">
        <is>
          <t>SEM COTAÇÃO</t>
        </is>
      </c>
      <c r="R3239" s="8" t="n"/>
      <c r="S3239" s="14" t="n"/>
      <c r="T3239" s="7" t="inlineStr"/>
      <c r="U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8" t="n"/>
      <c r="M3240" s="8" t="n"/>
      <c r="N3240" s="15" t="n">
        <v>24.95</v>
      </c>
      <c r="O3240" s="8" t="n">
        <v>26.0092</v>
      </c>
      <c r="P3240" s="8" t="n"/>
      <c r="Q3240" s="7" t="inlineStr">
        <is>
          <t>TAPAJOS</t>
        </is>
      </c>
      <c r="R3240" s="8" t="n">
        <v>24.95</v>
      </c>
      <c r="S3240" s="14">
        <f>R3240/H3240-1</f>
        <v/>
      </c>
      <c r="T3240" s="17" t="inlineStr">
        <is>
          <t>OK (≤ últ. compra)</t>
        </is>
      </c>
      <c r="U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8" t="n"/>
      <c r="M3241" s="8" t="n"/>
      <c r="N3241" s="15" t="n">
        <v>45.32</v>
      </c>
      <c r="O3241" s="8" t="n">
        <v>47.2556</v>
      </c>
      <c r="P3241" s="8" t="n"/>
      <c r="Q3241" s="7" t="inlineStr">
        <is>
          <t>TAPAJOS</t>
        </is>
      </c>
      <c r="R3241" s="8" t="n">
        <v>45.32</v>
      </c>
      <c r="S3241" s="14">
        <f>R3241/H3241-1</f>
        <v/>
      </c>
      <c r="T3241" s="17" t="inlineStr">
        <is>
          <t>OK (≤ últ. compra)</t>
        </is>
      </c>
      <c r="U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8" t="n"/>
      <c r="M3242" s="8" t="n"/>
      <c r="N3242" s="8" t="n"/>
      <c r="O3242" s="8" t="n"/>
      <c r="P3242" s="8" t="n"/>
      <c r="Q3242" s="7" t="inlineStr">
        <is>
          <t>SEM COTAÇÃO</t>
        </is>
      </c>
      <c r="R3242" s="8" t="n"/>
      <c r="S3242" s="14" t="n"/>
      <c r="T3242" s="7" t="inlineStr"/>
      <c r="U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8" t="n"/>
      <c r="M3243" s="8" t="n"/>
      <c r="N3243" s="8" t="n"/>
      <c r="O3243" s="8" t="n"/>
      <c r="P3243" s="8" t="n"/>
      <c r="Q3243" s="7" t="inlineStr">
        <is>
          <t>SEM COTAÇÃO</t>
        </is>
      </c>
      <c r="R3243" s="8" t="n"/>
      <c r="S3243" s="14" t="n"/>
      <c r="T3243" s="7" t="inlineStr"/>
      <c r="U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8" t="n"/>
      <c r="M3244" s="8" t="n"/>
      <c r="N3244" s="8" t="n"/>
      <c r="O3244" s="8" t="n"/>
      <c r="P3244" s="8" t="n"/>
      <c r="Q3244" s="7" t="inlineStr">
        <is>
          <t>SEM COTAÇÃO</t>
        </is>
      </c>
      <c r="R3244" s="8" t="n"/>
      <c r="S3244" s="14" t="n"/>
      <c r="T3244" s="7" t="inlineStr"/>
      <c r="U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8" t="n"/>
      <c r="M3245" s="8" t="n"/>
      <c r="N3245" s="8" t="n"/>
      <c r="O3245" s="8" t="n"/>
      <c r="P3245" s="8" t="n"/>
      <c r="Q3245" s="7" t="inlineStr">
        <is>
          <t>SEM COTAÇÃO</t>
        </is>
      </c>
      <c r="R3245" s="8" t="n"/>
      <c r="S3245" s="14" t="n"/>
      <c r="T3245" s="7" t="inlineStr"/>
      <c r="U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8" t="n"/>
      <c r="M3246" s="8" t="n"/>
      <c r="N3246" s="8" t="n"/>
      <c r="O3246" s="8" t="n"/>
      <c r="P3246" s="8" t="n"/>
      <c r="Q3246" s="7" t="inlineStr">
        <is>
          <t>SEM COTAÇÃO</t>
        </is>
      </c>
      <c r="R3246" s="8" t="n"/>
      <c r="S3246" s="14" t="n"/>
      <c r="T3246" s="7" t="inlineStr"/>
      <c r="U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8" t="n"/>
      <c r="M3247" s="8" t="n"/>
      <c r="N3247" s="8" t="n"/>
      <c r="O3247" s="8" t="n"/>
      <c r="P3247" s="8" t="n"/>
      <c r="Q3247" s="7" t="inlineStr">
        <is>
          <t>SEM COTAÇÃO</t>
        </is>
      </c>
      <c r="R3247" s="8" t="n"/>
      <c r="S3247" s="14" t="n"/>
      <c r="T3247" s="7" t="inlineStr"/>
      <c r="U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8" t="n"/>
      <c r="M3248" s="8" t="n"/>
      <c r="N3248" s="8" t="n"/>
      <c r="O3248" s="8" t="n"/>
      <c r="P3248" s="8" t="n"/>
      <c r="Q3248" s="7" t="inlineStr">
        <is>
          <t>SEM COTAÇÃO</t>
        </is>
      </c>
      <c r="R3248" s="8" t="n"/>
      <c r="S3248" s="14" t="n"/>
      <c r="T3248" s="7" t="inlineStr"/>
      <c r="U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15" t="n">
        <v>11.92</v>
      </c>
      <c r="M3249" s="8" t="n"/>
      <c r="N3249" s="8" t="n"/>
      <c r="O3249" s="8" t="n"/>
      <c r="P3249" s="8" t="n"/>
      <c r="Q3249" s="7" t="inlineStr">
        <is>
          <t>EPAN</t>
        </is>
      </c>
      <c r="R3249" s="8" t="n">
        <v>11.92</v>
      </c>
      <c r="S3249" s="14">
        <f>R3249/H3249-1</f>
        <v/>
      </c>
      <c r="T3249" s="17" t="inlineStr">
        <is>
          <t>OK (≤ últ. compra)</t>
        </is>
      </c>
      <c r="U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8" t="n"/>
      <c r="M3250" s="8" t="n"/>
      <c r="N3250" s="8" t="n"/>
      <c r="O3250" s="8" t="n"/>
      <c r="P3250" s="8" t="n"/>
      <c r="Q3250" s="7" t="inlineStr">
        <is>
          <t>SEM COTAÇÃO</t>
        </is>
      </c>
      <c r="R3250" s="8" t="n"/>
      <c r="S3250" s="14" t="n"/>
      <c r="T3250" s="7" t="inlineStr"/>
      <c r="U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8" t="n"/>
      <c r="M3251" s="8" t="n"/>
      <c r="N3251" s="8" t="n"/>
      <c r="O3251" s="8" t="n"/>
      <c r="P3251" s="8" t="n"/>
      <c r="Q3251" s="7" t="inlineStr">
        <is>
          <t>SEM COTAÇÃO</t>
        </is>
      </c>
      <c r="R3251" s="8" t="n"/>
      <c r="S3251" s="14" t="n"/>
      <c r="T3251" s="7" t="inlineStr"/>
      <c r="U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8" t="n"/>
      <c r="M3252" s="8" t="n"/>
      <c r="N3252" s="8" t="n"/>
      <c r="O3252" s="8" t="n"/>
      <c r="P3252" s="8" t="n"/>
      <c r="Q3252" s="7" t="inlineStr">
        <is>
          <t>PLUSFARMA</t>
        </is>
      </c>
      <c r="R3252" s="8" t="n">
        <v>4.69</v>
      </c>
      <c r="S3252" s="14">
        <f>R3252/H3252-1</f>
        <v/>
      </c>
      <c r="T3252" s="17" t="inlineStr">
        <is>
          <t>OK (≤ menor hist.)</t>
        </is>
      </c>
      <c r="U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8" t="n"/>
      <c r="M3253" s="8" t="n"/>
      <c r="N3253" s="8" t="n"/>
      <c r="O3253" s="15" t="n">
        <v>16.54848</v>
      </c>
      <c r="P3253" s="8" t="n"/>
      <c r="Q3253" s="7" t="inlineStr">
        <is>
          <t>NAZARIA</t>
        </is>
      </c>
      <c r="R3253" s="8" t="n">
        <v>16.54848</v>
      </c>
      <c r="S3253" s="14">
        <f>R3253/H3253-1</f>
        <v/>
      </c>
      <c r="T3253" s="16" t="inlineStr">
        <is>
          <t>ACIMA +165.6%</t>
        </is>
      </c>
      <c r="U3253" s="7" t="inlineStr">
        <is>
          <t>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8" t="n"/>
      <c r="M3254" s="8" t="n"/>
      <c r="N3254" s="8" t="n"/>
      <c r="O3254" s="8" t="n"/>
      <c r="P3254" s="8" t="n"/>
      <c r="Q3254" s="7" t="inlineStr">
        <is>
          <t>SEM COTAÇÃO</t>
        </is>
      </c>
      <c r="R3254" s="8" t="n"/>
      <c r="S3254" s="14" t="n"/>
      <c r="T3254" s="7" t="inlineStr"/>
      <c r="U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8" t="n">
        <v>5.05</v>
      </c>
      <c r="L3255" s="8" t="n"/>
      <c r="M3255" s="15" t="n">
        <v>4.98</v>
      </c>
      <c r="N3255" s="8" t="n"/>
      <c r="O3255" s="8" t="n">
        <v>4.902975999999995</v>
      </c>
      <c r="P3255" s="8" t="n"/>
      <c r="Q3255" s="7" t="inlineStr">
        <is>
          <t>CENTROFARMA</t>
        </is>
      </c>
      <c r="R3255" s="8" t="n">
        <v>4.98</v>
      </c>
      <c r="S3255" s="14">
        <f>R3255/H3255-1</f>
        <v/>
      </c>
      <c r="T3255" s="16" t="inlineStr">
        <is>
          <t>ACIMA +24.8%</t>
        </is>
      </c>
      <c r="U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7" t="inlineStr">
        <is>
          <t>SEM COTAÇÃO</t>
        </is>
      </c>
      <c r="R3256" s="8" t="n"/>
      <c r="S3256" s="14" t="n"/>
      <c r="T3256" s="7" t="inlineStr"/>
      <c r="U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8" t="n"/>
      <c r="M3257" s="8" t="n"/>
      <c r="N3257" s="8" t="n"/>
      <c r="O3257" s="15" t="n">
        <v>20.31</v>
      </c>
      <c r="P3257" s="8" t="n"/>
      <c r="Q3257" s="7" t="inlineStr">
        <is>
          <t>NAZARIA</t>
        </is>
      </c>
      <c r="R3257" s="8" t="n">
        <v>20.31</v>
      </c>
      <c r="S3257" s="14">
        <f>R3257/H3257-1</f>
        <v/>
      </c>
      <c r="T3257" s="16" t="inlineStr">
        <is>
          <t>ACIMA +499.1%</t>
        </is>
      </c>
      <c r="U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8" t="n"/>
      <c r="M3258" s="8" t="n"/>
      <c r="N3258" s="8" t="n"/>
      <c r="O3258" s="8" t="n"/>
      <c r="P3258" s="8" t="n"/>
      <c r="Q3258" s="7" t="inlineStr">
        <is>
          <t>SEM COTAÇÃO</t>
        </is>
      </c>
      <c r="R3258" s="8" t="n"/>
      <c r="S3258" s="14" t="n"/>
      <c r="T3258" s="7" t="inlineStr"/>
      <c r="U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8" t="n"/>
      <c r="M3259" s="8" t="n"/>
      <c r="N3259" s="8" t="n"/>
      <c r="O3259" s="8" t="n"/>
      <c r="P3259" s="8" t="n"/>
      <c r="Q3259" s="7" t="inlineStr">
        <is>
          <t>SEM COTAÇÃO</t>
        </is>
      </c>
      <c r="R3259" s="8" t="n"/>
      <c r="S3259" s="14" t="n"/>
      <c r="T3259" s="7" t="inlineStr"/>
      <c r="U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8" t="n"/>
      <c r="M3260" s="8" t="n"/>
      <c r="N3260" s="8" t="n"/>
      <c r="O3260" s="8" t="n"/>
      <c r="P3260" s="8" t="n"/>
      <c r="Q3260" s="7" t="inlineStr">
        <is>
          <t>SEM COTAÇÃO</t>
        </is>
      </c>
      <c r="R3260" s="8" t="n"/>
      <c r="S3260" s="14" t="n"/>
      <c r="T3260" s="7" t="inlineStr"/>
      <c r="U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8" t="n"/>
      <c r="M3261" s="8" t="n"/>
      <c r="N3261" s="8" t="n"/>
      <c r="O3261" s="8" t="n"/>
      <c r="P3261" s="8" t="n"/>
      <c r="Q3261" s="7" t="inlineStr">
        <is>
          <t>SEM COTAÇÃO</t>
        </is>
      </c>
      <c r="R3261" s="8" t="n"/>
      <c r="S3261" s="14" t="n"/>
      <c r="T3261" s="7" t="inlineStr"/>
      <c r="U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8" t="n"/>
      <c r="M3262" s="8" t="n"/>
      <c r="N3262" s="8" t="n"/>
      <c r="O3262" s="8" t="n"/>
      <c r="P3262" s="8" t="n"/>
      <c r="Q3262" s="7" t="inlineStr">
        <is>
          <t>SEM COTAÇÃO</t>
        </is>
      </c>
      <c r="R3262" s="8" t="n"/>
      <c r="S3262" s="14" t="n"/>
      <c r="T3262" s="7" t="inlineStr"/>
      <c r="U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8" t="n"/>
      <c r="M3263" s="8" t="n"/>
      <c r="N3263" s="8" t="n"/>
      <c r="O3263" s="8" t="n">
        <v>6.95</v>
      </c>
      <c r="P3263" s="8" t="n">
        <v>6.96</v>
      </c>
      <c r="Q3263" s="7" t="inlineStr">
        <is>
          <t>DIMEC</t>
        </is>
      </c>
      <c r="R3263" s="8" t="n">
        <v>6.28</v>
      </c>
      <c r="S3263" s="14">
        <f>R3263/H3263-1</f>
        <v/>
      </c>
      <c r="T3263" s="17" t="inlineStr">
        <is>
          <t>OK (≤ últ. compra)</t>
        </is>
      </c>
      <c r="U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8" t="n"/>
      <c r="M3264" s="8" t="n"/>
      <c r="N3264" s="8" t="n"/>
      <c r="O3264" s="8" t="n"/>
      <c r="P3264" s="8" t="n"/>
      <c r="Q3264" s="7" t="inlineStr">
        <is>
          <t>SEM COTAÇÃO</t>
        </is>
      </c>
      <c r="R3264" s="8" t="n"/>
      <c r="S3264" s="14" t="n"/>
      <c r="T3264" s="7" t="inlineStr"/>
      <c r="U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8" t="n"/>
      <c r="M3265" s="8" t="n"/>
      <c r="N3265" s="8" t="n"/>
      <c r="O3265" s="8" t="n">
        <v>8.5</v>
      </c>
      <c r="P3265" s="8" t="n"/>
      <c r="Q3265" s="7" t="inlineStr">
        <is>
          <t>DIMEC</t>
        </is>
      </c>
      <c r="R3265" s="8" t="n">
        <v>7.74</v>
      </c>
      <c r="S3265" s="14">
        <f>R3265/H3265-1</f>
        <v/>
      </c>
      <c r="T3265" s="17" t="inlineStr">
        <is>
          <t>OK (≤ últ. compra)</t>
        </is>
      </c>
      <c r="U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8" t="n"/>
      <c r="M3266" s="8" t="n"/>
      <c r="N3266" s="8" t="n"/>
      <c r="O3266" s="8" t="n"/>
      <c r="P3266" s="8" t="n"/>
      <c r="Q3266" s="7" t="inlineStr">
        <is>
          <t>SEM COTAÇÃO</t>
        </is>
      </c>
      <c r="R3266" s="8" t="n"/>
      <c r="S3266" s="14" t="n"/>
      <c r="T3266" s="7" t="inlineStr"/>
      <c r="U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8" t="n"/>
      <c r="M3267" s="8" t="n"/>
      <c r="N3267" s="8" t="n"/>
      <c r="O3267" s="8" t="n"/>
      <c r="P3267" s="8" t="n"/>
      <c r="Q3267" s="7" t="inlineStr">
        <is>
          <t>SEM COTAÇÃO</t>
        </is>
      </c>
      <c r="R3267" s="8" t="n"/>
      <c r="S3267" s="14" t="n"/>
      <c r="T3267" s="7" t="inlineStr"/>
      <c r="U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8" t="n"/>
      <c r="M3268" s="8" t="n"/>
      <c r="N3268" s="8" t="n"/>
      <c r="O3268" s="8" t="n"/>
      <c r="P3268" s="8" t="n"/>
      <c r="Q3268" s="7" t="inlineStr">
        <is>
          <t>SEM COTAÇÃO</t>
        </is>
      </c>
      <c r="R3268" s="8" t="n"/>
      <c r="S3268" s="14" t="n"/>
      <c r="T3268" s="7" t="inlineStr"/>
      <c r="U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8" t="n">
        <v>21.92</v>
      </c>
      <c r="M3269" s="8" t="n"/>
      <c r="N3269" s="8" t="n"/>
      <c r="O3269" s="8" t="n"/>
      <c r="P3269" s="8" t="n"/>
      <c r="Q3269" s="7" t="inlineStr">
        <is>
          <t>SEM COTAÇÃO</t>
        </is>
      </c>
      <c r="R3269" s="8" t="n"/>
      <c r="S3269" s="14" t="n"/>
      <c r="T3269" s="7" t="inlineStr"/>
      <c r="U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8" t="n"/>
      <c r="M3270" s="8" t="n"/>
      <c r="N3270" s="8" t="n"/>
      <c r="O3270" s="8" t="n"/>
      <c r="P3270" s="8" t="n"/>
      <c r="Q3270" s="7" t="inlineStr">
        <is>
          <t>SEM COTAÇÃO</t>
        </is>
      </c>
      <c r="R3270" s="8" t="n"/>
      <c r="S3270" s="14" t="n"/>
      <c r="T3270" s="7" t="inlineStr"/>
      <c r="U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8" t="n"/>
      <c r="M3271" s="8" t="n"/>
      <c r="N3271" s="8" t="n"/>
      <c r="O3271" s="8" t="n"/>
      <c r="P3271" s="8" t="n"/>
      <c r="Q3271" s="7" t="inlineStr">
        <is>
          <t>SEM COTAÇÃO</t>
        </is>
      </c>
      <c r="R3271" s="8" t="n"/>
      <c r="S3271" s="14" t="n"/>
      <c r="T3271" s="7" t="inlineStr"/>
      <c r="U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8" t="n"/>
      <c r="M3272" s="8" t="n"/>
      <c r="N3272" s="8" t="n"/>
      <c r="O3272" s="8" t="n"/>
      <c r="P3272" s="8" t="n"/>
      <c r="Q3272" s="7" t="inlineStr">
        <is>
          <t>SEM COTAÇÃO</t>
        </is>
      </c>
      <c r="R3272" s="8" t="n"/>
      <c r="S3272" s="14" t="n"/>
      <c r="T3272" s="7" t="inlineStr"/>
      <c r="U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8" t="n"/>
      <c r="M3273" s="8" t="n"/>
      <c r="N3273" s="8" t="n"/>
      <c r="O3273" s="8" t="n"/>
      <c r="P3273" s="8" t="n"/>
      <c r="Q3273" s="7" t="inlineStr">
        <is>
          <t>SEM COTAÇÃO</t>
        </is>
      </c>
      <c r="R3273" s="8" t="n"/>
      <c r="S3273" s="14" t="n"/>
      <c r="T3273" s="7" t="inlineStr"/>
      <c r="U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8" t="n"/>
      <c r="M3274" s="8" t="n"/>
      <c r="N3274" s="8" t="n"/>
      <c r="O3274" s="8" t="n"/>
      <c r="P3274" s="8" t="n"/>
      <c r="Q3274" s="7" t="inlineStr">
        <is>
          <t>DIMEC</t>
        </is>
      </c>
      <c r="R3274" s="8" t="n">
        <v>6.59</v>
      </c>
      <c r="S3274" s="14">
        <f>R3274/H3274-1</f>
        <v/>
      </c>
      <c r="T3274" s="17" t="inlineStr">
        <is>
          <t>OK (≤ menor hist.)</t>
        </is>
      </c>
      <c r="U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8" t="n"/>
      <c r="M3275" s="8" t="n"/>
      <c r="N3275" s="8" t="n"/>
      <c r="O3275" s="15" t="n">
        <v>7.04</v>
      </c>
      <c r="P3275" s="8" t="n"/>
      <c r="Q3275" s="7" t="inlineStr">
        <is>
          <t>NAZARIA</t>
        </is>
      </c>
      <c r="R3275" s="8" t="n">
        <v>7.04</v>
      </c>
      <c r="S3275" s="14">
        <f>R3275/H3275-1</f>
        <v/>
      </c>
      <c r="T3275" s="17" t="inlineStr">
        <is>
          <t>OK (≤ menor hist.)</t>
        </is>
      </c>
      <c r="U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8" t="n"/>
      <c r="M3276" s="8" t="n"/>
      <c r="N3276" s="8" t="n"/>
      <c r="O3276" s="8" t="n"/>
      <c r="P3276" s="8" t="n"/>
      <c r="Q3276" s="7" t="inlineStr">
        <is>
          <t>SEM COTAÇÃO</t>
        </is>
      </c>
      <c r="R3276" s="8" t="n"/>
      <c r="S3276" s="14" t="n"/>
      <c r="T3276" s="7" t="inlineStr"/>
      <c r="U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/>
      <c r="L3277" s="8" t="n"/>
      <c r="M3277" s="8" t="n"/>
      <c r="N3277" s="15" t="n">
        <v>3.91</v>
      </c>
      <c r="O3277" s="8" t="n">
        <v>7.05</v>
      </c>
      <c r="P3277" s="8" t="n">
        <v>6.45</v>
      </c>
      <c r="Q3277" s="7" t="inlineStr">
        <is>
          <t>TAPAJOS</t>
        </is>
      </c>
      <c r="R3277" s="8" t="n">
        <v>3.91</v>
      </c>
      <c r="S3277" s="14">
        <f>R3277/H3277-1</f>
        <v/>
      </c>
      <c r="T3277" s="17" t="inlineStr">
        <is>
          <t>OK (≤ menor hist.)</t>
        </is>
      </c>
      <c r="U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8" t="n"/>
      <c r="M3278" s="8" t="n"/>
      <c r="N3278" s="8" t="n"/>
      <c r="O3278" s="8" t="n"/>
      <c r="P3278" s="8" t="n"/>
      <c r="Q3278" s="7" t="inlineStr">
        <is>
          <t>SEM COTAÇÃO</t>
        </is>
      </c>
      <c r="R3278" s="8" t="n"/>
      <c r="S3278" s="14" t="n"/>
      <c r="T3278" s="7" t="inlineStr"/>
      <c r="U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8" t="n"/>
      <c r="M3279" s="8" t="n"/>
      <c r="N3279" s="8" t="n"/>
      <c r="O3279" s="8" t="n">
        <v>31.234</v>
      </c>
      <c r="P3279" s="8" t="n"/>
      <c r="Q3279" s="7" t="inlineStr">
        <is>
          <t>SEM COTAÇÃO</t>
        </is>
      </c>
      <c r="R3279" s="8" t="n"/>
      <c r="S3279" s="14" t="n"/>
      <c r="T3279" s="7" t="inlineStr"/>
      <c r="U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8" t="n"/>
      <c r="M3280" s="8" t="n"/>
      <c r="N3280" s="8" t="n"/>
      <c r="O3280" s="8" t="n"/>
      <c r="P3280" s="8" t="n"/>
      <c r="Q3280" s="7" t="inlineStr">
        <is>
          <t>SEM COTAÇÃO</t>
        </is>
      </c>
      <c r="R3280" s="8" t="n"/>
      <c r="S3280" s="14" t="n"/>
      <c r="T3280" s="7" t="inlineStr"/>
      <c r="U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7" t="inlineStr">
        <is>
          <t>SEM COTAÇÃO</t>
        </is>
      </c>
      <c r="R3281" s="8" t="n"/>
      <c r="S3281" s="14" t="n"/>
      <c r="T3281" s="7" t="inlineStr"/>
      <c r="U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8" t="n"/>
      <c r="M3282" s="8" t="n"/>
      <c r="N3282" s="8" t="n"/>
      <c r="O3282" s="8" t="n"/>
      <c r="P3282" s="8" t="n"/>
      <c r="Q3282" s="7" t="inlineStr">
        <is>
          <t>SEM COTAÇÃO</t>
        </is>
      </c>
      <c r="R3282" s="8" t="n"/>
      <c r="S3282" s="14" t="n"/>
      <c r="T3282" s="7" t="inlineStr"/>
      <c r="U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8" t="n"/>
      <c r="M3283" s="8" t="n">
        <v>12.59</v>
      </c>
      <c r="N3283" s="8" t="n"/>
      <c r="O3283" s="8" t="n"/>
      <c r="P3283" s="8" t="n"/>
      <c r="Q3283" s="7" t="inlineStr">
        <is>
          <t>DIMEC</t>
        </is>
      </c>
      <c r="R3283" s="8" t="n">
        <v>11.84</v>
      </c>
      <c r="S3283" s="14">
        <f>R3283/H3283-1</f>
        <v/>
      </c>
      <c r="T3283" s="17" t="inlineStr">
        <is>
          <t>OK (≤ menor hist.)</t>
        </is>
      </c>
      <c r="U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8" t="n"/>
      <c r="M3284" s="8" t="n"/>
      <c r="N3284" s="8" t="n"/>
      <c r="O3284" s="8" t="n"/>
      <c r="P3284" s="8" t="n"/>
      <c r="Q3284" s="7" t="inlineStr">
        <is>
          <t>SEM COTAÇÃO</t>
        </is>
      </c>
      <c r="R3284" s="8" t="n"/>
      <c r="S3284" s="14" t="n"/>
      <c r="T3284" s="7" t="inlineStr"/>
      <c r="U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8" t="n"/>
      <c r="M3285" s="8" t="n"/>
      <c r="N3285" s="8" t="n"/>
      <c r="O3285" s="8" t="n"/>
      <c r="P3285" s="8" t="n"/>
      <c r="Q3285" s="7" t="inlineStr">
        <is>
          <t>SEM COTAÇÃO</t>
        </is>
      </c>
      <c r="R3285" s="8" t="n"/>
      <c r="S3285" s="14" t="n"/>
      <c r="T3285" s="7" t="inlineStr"/>
      <c r="U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8" t="n"/>
      <c r="M3286" s="8" t="n"/>
      <c r="N3286" s="8" t="n"/>
      <c r="O3286" s="8" t="n"/>
      <c r="P3286" s="8" t="n"/>
      <c r="Q3286" s="7" t="inlineStr">
        <is>
          <t>SEM COTAÇÃO</t>
        </is>
      </c>
      <c r="R3286" s="8" t="n"/>
      <c r="S3286" s="14" t="n"/>
      <c r="T3286" s="7" t="inlineStr"/>
      <c r="U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8" t="n"/>
      <c r="M3287" s="8" t="n"/>
      <c r="N3287" s="8" t="n"/>
      <c r="O3287" s="8" t="n"/>
      <c r="P3287" s="8" t="n"/>
      <c r="Q3287" s="7" t="inlineStr">
        <is>
          <t>SEM COTAÇÃO</t>
        </is>
      </c>
      <c r="R3287" s="8" t="n"/>
      <c r="S3287" s="14" t="n"/>
      <c r="T3287" s="7" t="inlineStr"/>
      <c r="U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8" t="n"/>
      <c r="M3288" s="8" t="n"/>
      <c r="N3288" s="8" t="n"/>
      <c r="O3288" s="8" t="n"/>
      <c r="P3288" s="8" t="n"/>
      <c r="Q3288" s="7" t="inlineStr">
        <is>
          <t>SEM COTAÇÃO</t>
        </is>
      </c>
      <c r="R3288" s="8" t="n"/>
      <c r="S3288" s="14" t="n"/>
      <c r="T3288" s="7" t="inlineStr"/>
      <c r="U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8" t="n"/>
      <c r="M3289" s="8" t="n"/>
      <c r="N3289" s="8" t="n"/>
      <c r="O3289" s="8" t="n"/>
      <c r="P3289" s="8" t="n"/>
      <c r="Q3289" s="7" t="inlineStr">
        <is>
          <t>DIMEC</t>
        </is>
      </c>
      <c r="R3289" s="8" t="n">
        <v>12.95</v>
      </c>
      <c r="S3289" s="14">
        <f>R3289/H3289-1</f>
        <v/>
      </c>
      <c r="T3289" s="16" t="inlineStr">
        <is>
          <t>ACIMA +8.0%</t>
        </is>
      </c>
      <c r="U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8" t="n"/>
      <c r="M3290" s="8" t="n">
        <v>11.47</v>
      </c>
      <c r="N3290" s="8" t="n"/>
      <c r="O3290" s="8" t="n"/>
      <c r="P3290" s="8" t="n"/>
      <c r="Q3290" s="7" t="inlineStr">
        <is>
          <t>DIMEC</t>
        </is>
      </c>
      <c r="R3290" s="8" t="n">
        <v>10.79</v>
      </c>
      <c r="S3290" s="14">
        <f>R3290/H3290-1</f>
        <v/>
      </c>
      <c r="T3290" s="17" t="inlineStr">
        <is>
          <t>OK (≤ menor hist.)</t>
        </is>
      </c>
      <c r="U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8" t="n"/>
      <c r="M3291" s="8" t="n"/>
      <c r="N3291" s="8" t="n"/>
      <c r="O3291" s="8" t="n"/>
      <c r="P3291" s="8" t="n"/>
      <c r="Q3291" s="7" t="inlineStr">
        <is>
          <t>SEM COTAÇÃO</t>
        </is>
      </c>
      <c r="R3291" s="8" t="n"/>
      <c r="S3291" s="14" t="n"/>
      <c r="T3291" s="7" t="inlineStr"/>
      <c r="U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8" t="n"/>
      <c r="M3292" s="8" t="n"/>
      <c r="N3292" s="8" t="n"/>
      <c r="O3292" s="8" t="n"/>
      <c r="P3292" s="8" t="n"/>
      <c r="Q3292" s="7" t="inlineStr">
        <is>
          <t>SEM COTAÇÃO</t>
        </is>
      </c>
      <c r="R3292" s="8" t="n"/>
      <c r="S3292" s="14" t="n"/>
      <c r="T3292" s="7" t="inlineStr"/>
      <c r="U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8" t="n"/>
      <c r="M3293" s="8" t="n"/>
      <c r="N3293" s="8" t="n"/>
      <c r="O3293" s="8" t="n"/>
      <c r="P3293" s="8" t="n"/>
      <c r="Q3293" s="7" t="inlineStr">
        <is>
          <t>SEM COTAÇÃO</t>
        </is>
      </c>
      <c r="R3293" s="8" t="n"/>
      <c r="S3293" s="14" t="n"/>
      <c r="T3293" s="7" t="inlineStr"/>
      <c r="U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8.800000000000001</v>
      </c>
      <c r="K3294" s="8" t="n"/>
      <c r="L3294" s="8" t="n"/>
      <c r="M3294" s="8" t="n">
        <v>8.199999999999999</v>
      </c>
      <c r="N3294" s="15" t="n">
        <v>8.09</v>
      </c>
      <c r="O3294" s="8" t="n"/>
      <c r="P3294" s="8" t="n">
        <v>8.9</v>
      </c>
      <c r="Q3294" s="7" t="inlineStr">
        <is>
          <t>TAPAJOS</t>
        </is>
      </c>
      <c r="R3294" s="8" t="n">
        <v>8.09</v>
      </c>
      <c r="S3294" s="14">
        <f>R3294/H3294-1</f>
        <v/>
      </c>
      <c r="T3294" s="16" t="inlineStr">
        <is>
          <t>ACIMA +15.7%</t>
        </is>
      </c>
      <c r="U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6.61</v>
      </c>
      <c r="K3295" s="8" t="n"/>
      <c r="L3295" s="8" t="n"/>
      <c r="M3295" s="15" t="n">
        <v>5.67</v>
      </c>
      <c r="N3295" s="8" t="n">
        <v>6.67</v>
      </c>
      <c r="O3295" s="8" t="n"/>
      <c r="P3295" s="8" t="n">
        <v>6.2</v>
      </c>
      <c r="Q3295" s="7" t="inlineStr">
        <is>
          <t>CENTROFARMA</t>
        </is>
      </c>
      <c r="R3295" s="8" t="n">
        <v>5.67</v>
      </c>
      <c r="S3295" s="14">
        <f>R3295/H3295-1</f>
        <v/>
      </c>
      <c r="T3295" s="16" t="inlineStr">
        <is>
          <t>ACIMA +3.3%</t>
        </is>
      </c>
      <c r="U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15" t="n">
        <v>6.96</v>
      </c>
      <c r="K3296" s="8" t="n"/>
      <c r="L3296" s="8" t="n"/>
      <c r="M3296" s="8" t="n">
        <v>7.08</v>
      </c>
      <c r="N3296" s="8" t="n"/>
      <c r="O3296" s="8" t="n"/>
      <c r="P3296" s="8" t="n">
        <v>8.02</v>
      </c>
      <c r="Q3296" s="7" t="inlineStr">
        <is>
          <t>DIMEC</t>
        </is>
      </c>
      <c r="R3296" s="8" t="n">
        <v>6.96</v>
      </c>
      <c r="S3296" s="14">
        <f>R3296/H3296-1</f>
        <v/>
      </c>
      <c r="T3296" s="16" t="inlineStr">
        <is>
          <t>ACIMA +23.0%</t>
        </is>
      </c>
      <c r="U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8" t="n"/>
      <c r="M3297" s="8" t="n"/>
      <c r="N3297" s="8" t="n"/>
      <c r="O3297" s="15" t="n">
        <v>17.0618</v>
      </c>
      <c r="P3297" s="8" t="n"/>
      <c r="Q3297" s="7" t="inlineStr">
        <is>
          <t>NAZARIA</t>
        </is>
      </c>
      <c r="R3297" s="8" t="n">
        <v>17.0618</v>
      </c>
      <c r="S3297" s="14">
        <f>R3297/H3297-1</f>
        <v/>
      </c>
      <c r="T3297" s="16" t="inlineStr">
        <is>
          <t>ACIMA +1.4%</t>
        </is>
      </c>
      <c r="U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8" t="n"/>
      <c r="M3298" s="8" t="n"/>
      <c r="N3298" s="8" t="n"/>
      <c r="O3298" s="8" t="n"/>
      <c r="P3298" s="8" t="n"/>
      <c r="Q3298" s="7" t="inlineStr">
        <is>
          <t>SEM COTAÇÃO</t>
        </is>
      </c>
      <c r="R3298" s="8" t="n"/>
      <c r="S3298" s="14" t="n"/>
      <c r="T3298" s="7" t="inlineStr"/>
      <c r="U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8" t="n"/>
      <c r="M3299" s="8" t="n"/>
      <c r="N3299" s="8" t="n"/>
      <c r="O3299" s="8" t="n"/>
      <c r="P3299" s="8" t="n"/>
      <c r="Q3299" s="7" t="inlineStr">
        <is>
          <t>SEM COTAÇÃO</t>
        </is>
      </c>
      <c r="R3299" s="8" t="n"/>
      <c r="S3299" s="14" t="n"/>
      <c r="T3299" s="7" t="inlineStr"/>
      <c r="U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8" t="n"/>
      <c r="M3300" s="8" t="n"/>
      <c r="N3300" s="8" t="n"/>
      <c r="O3300" s="8" t="n"/>
      <c r="P3300" s="8" t="n"/>
      <c r="Q3300" s="7" t="inlineStr">
        <is>
          <t>SEM COTAÇÃO</t>
        </is>
      </c>
      <c r="R3300" s="8" t="n"/>
      <c r="S3300" s="14" t="n"/>
      <c r="T3300" s="7" t="inlineStr"/>
      <c r="U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8" t="n"/>
      <c r="M3301" s="8" t="n"/>
      <c r="N3301" s="8" t="n"/>
      <c r="O3301" s="8" t="n"/>
      <c r="P3301" s="8" t="n"/>
      <c r="Q3301" s="7" t="inlineStr">
        <is>
          <t>SEM COTAÇÃO</t>
        </is>
      </c>
      <c r="R3301" s="8" t="n"/>
      <c r="S3301" s="14" t="n"/>
      <c r="T3301" s="7" t="inlineStr"/>
      <c r="U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8" t="n"/>
      <c r="M3302" s="8" t="n"/>
      <c r="N3302" s="8" t="n"/>
      <c r="O3302" s="8" t="n"/>
      <c r="P3302" s="8" t="n"/>
      <c r="Q3302" s="7" t="inlineStr">
        <is>
          <t>SEM COTAÇÃO</t>
        </is>
      </c>
      <c r="R3302" s="8" t="n"/>
      <c r="S3302" s="14" t="n"/>
      <c r="T3302" s="7" t="inlineStr"/>
      <c r="U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8" t="n"/>
      <c r="M3303" s="8" t="n"/>
      <c r="N3303" s="8" t="n"/>
      <c r="O3303" s="8" t="n"/>
      <c r="P3303" s="8" t="n"/>
      <c r="Q3303" s="7" t="inlineStr">
        <is>
          <t>SEM COTAÇÃO</t>
        </is>
      </c>
      <c r="R3303" s="8" t="n"/>
      <c r="S3303" s="14" t="n"/>
      <c r="T3303" s="7" t="inlineStr"/>
      <c r="U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8" t="n"/>
      <c r="M3304" s="8" t="n"/>
      <c r="N3304" s="8" t="n"/>
      <c r="O3304" s="8" t="n"/>
      <c r="P3304" s="8" t="n"/>
      <c r="Q3304" s="7" t="inlineStr">
        <is>
          <t>SEM COTAÇÃO</t>
        </is>
      </c>
      <c r="R3304" s="8" t="n"/>
      <c r="S3304" s="14" t="n"/>
      <c r="T3304" s="7" t="inlineStr"/>
      <c r="U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8" t="n"/>
      <c r="M3305" s="8" t="n"/>
      <c r="N3305" s="8" t="n"/>
      <c r="O3305" s="8" t="n"/>
      <c r="P3305" s="8" t="n"/>
      <c r="Q3305" s="7" t="inlineStr">
        <is>
          <t>SEM COTAÇÃO</t>
        </is>
      </c>
      <c r="R3305" s="8" t="n"/>
      <c r="S3305" s="14" t="n"/>
      <c r="T3305" s="7" t="inlineStr"/>
      <c r="U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8" t="n"/>
      <c r="M3306" s="8" t="n"/>
      <c r="N3306" s="8" t="n"/>
      <c r="O3306" s="8" t="n"/>
      <c r="P3306" s="8" t="n"/>
      <c r="Q3306" s="7" t="inlineStr">
        <is>
          <t>SEM COTAÇÃO</t>
        </is>
      </c>
      <c r="R3306" s="8" t="n"/>
      <c r="S3306" s="14" t="n"/>
      <c r="T3306" s="7" t="inlineStr"/>
      <c r="U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8" t="n"/>
      <c r="M3307" s="8" t="n"/>
      <c r="N3307" s="8" t="n"/>
      <c r="O3307" s="8" t="n"/>
      <c r="P3307" s="8" t="n"/>
      <c r="Q3307" s="7" t="inlineStr">
        <is>
          <t>SEM COTAÇÃO</t>
        </is>
      </c>
      <c r="R3307" s="8" t="n"/>
      <c r="S3307" s="14" t="n"/>
      <c r="T3307" s="7" t="inlineStr"/>
      <c r="U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8" t="n"/>
      <c r="M3308" s="8" t="n"/>
      <c r="N3308" s="8" t="n"/>
      <c r="O3308" s="8" t="n"/>
      <c r="P3308" s="8" t="n"/>
      <c r="Q3308" s="7" t="inlineStr">
        <is>
          <t>SEM COTAÇÃO</t>
        </is>
      </c>
      <c r="R3308" s="8" t="n"/>
      <c r="S3308" s="14" t="n"/>
      <c r="T3308" s="7" t="inlineStr"/>
      <c r="U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8" t="n"/>
      <c r="M3309" s="8" t="n"/>
      <c r="N3309" s="8" t="n"/>
      <c r="O3309" s="8" t="n"/>
      <c r="P3309" s="8" t="n"/>
      <c r="Q3309" s="7" t="inlineStr">
        <is>
          <t>SEM COTAÇÃO</t>
        </is>
      </c>
      <c r="R3309" s="8" t="n"/>
      <c r="S3309" s="14" t="n"/>
      <c r="T3309" s="7" t="inlineStr"/>
      <c r="U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8" t="n"/>
      <c r="M3310" s="8" t="n"/>
      <c r="N3310" s="8" t="n"/>
      <c r="O3310" s="8" t="n"/>
      <c r="P3310" s="8" t="n"/>
      <c r="Q3310" s="7" t="inlineStr">
        <is>
          <t>SEM COTAÇÃO</t>
        </is>
      </c>
      <c r="R3310" s="8" t="n"/>
      <c r="S3310" s="14" t="n"/>
      <c r="T3310" s="7" t="inlineStr"/>
      <c r="U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8" t="n"/>
      <c r="M3311" s="8" t="n"/>
      <c r="N3311" s="8" t="n"/>
      <c r="O3311" s="8" t="n"/>
      <c r="P3311" s="8" t="n"/>
      <c r="Q3311" s="7" t="inlineStr">
        <is>
          <t>SEM COTAÇÃO</t>
        </is>
      </c>
      <c r="R3311" s="8" t="n"/>
      <c r="S3311" s="14" t="n"/>
      <c r="T3311" s="7" t="inlineStr"/>
      <c r="U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8" t="n"/>
      <c r="M3312" s="8" t="n"/>
      <c r="N3312" s="8" t="n"/>
      <c r="O3312" s="8" t="n"/>
      <c r="P3312" s="8" t="n"/>
      <c r="Q3312" s="7" t="inlineStr">
        <is>
          <t>SEM COTAÇÃO</t>
        </is>
      </c>
      <c r="R3312" s="8" t="n"/>
      <c r="S3312" s="14" t="n"/>
      <c r="T3312" s="7" t="inlineStr"/>
      <c r="U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8" t="n"/>
      <c r="M3313" s="8" t="n"/>
      <c r="N3313" s="8" t="n"/>
      <c r="O3313" s="8" t="n"/>
      <c r="P3313" s="8" t="n"/>
      <c r="Q3313" s="7" t="inlineStr">
        <is>
          <t>SEM COTAÇÃO</t>
        </is>
      </c>
      <c r="R3313" s="8" t="n"/>
      <c r="S3313" s="14" t="n"/>
      <c r="T3313" s="7" t="inlineStr"/>
      <c r="U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8" t="n"/>
      <c r="M3314" s="8" t="n"/>
      <c r="N3314" s="8" t="n"/>
      <c r="O3314" s="8" t="n"/>
      <c r="P3314" s="8" t="n"/>
      <c r="Q3314" s="7" t="inlineStr">
        <is>
          <t>SEM COTAÇÃO</t>
        </is>
      </c>
      <c r="R3314" s="8" t="n"/>
      <c r="S3314" s="14" t="n"/>
      <c r="T3314" s="7" t="inlineStr"/>
      <c r="U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8" t="n"/>
      <c r="M3315" s="8" t="n"/>
      <c r="N3315" s="8" t="n"/>
      <c r="O3315" s="8" t="n"/>
      <c r="P3315" s="8" t="n"/>
      <c r="Q3315" s="7" t="inlineStr">
        <is>
          <t>SEM COTAÇÃO</t>
        </is>
      </c>
      <c r="R3315" s="8" t="n"/>
      <c r="S3315" s="14" t="n"/>
      <c r="T3315" s="7" t="inlineStr"/>
      <c r="U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8" t="n"/>
      <c r="M3316" s="8" t="n"/>
      <c r="N3316" s="8" t="n"/>
      <c r="O3316" s="8" t="n"/>
      <c r="P3316" s="8" t="n"/>
      <c r="Q3316" s="7" t="inlineStr">
        <is>
          <t>SEM COTAÇÃO</t>
        </is>
      </c>
      <c r="R3316" s="8" t="n"/>
      <c r="S3316" s="14" t="n"/>
      <c r="T3316" s="7" t="inlineStr"/>
      <c r="U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8" t="n"/>
      <c r="M3317" s="8" t="n"/>
      <c r="N3317" s="8" t="n"/>
      <c r="O3317" s="8" t="n"/>
      <c r="P3317" s="8" t="n"/>
      <c r="Q3317" s="7" t="inlineStr">
        <is>
          <t>SEM COTAÇÃO</t>
        </is>
      </c>
      <c r="R3317" s="8" t="n"/>
      <c r="S3317" s="14" t="n"/>
      <c r="T3317" s="7" t="inlineStr"/>
      <c r="U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8" t="n"/>
      <c r="M3318" s="8" t="n"/>
      <c r="N3318" s="8" t="n"/>
      <c r="O3318" s="8" t="n"/>
      <c r="P3318" s="8" t="n"/>
      <c r="Q3318" s="7" t="inlineStr">
        <is>
          <t>SEM COTAÇÃO</t>
        </is>
      </c>
      <c r="R3318" s="8" t="n"/>
      <c r="S3318" s="14" t="n"/>
      <c r="T3318" s="7" t="inlineStr"/>
      <c r="U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8" t="n"/>
      <c r="M3319" s="8" t="n"/>
      <c r="N3319" s="8" t="n"/>
      <c r="O3319" s="8" t="n"/>
      <c r="P3319" s="8" t="n"/>
      <c r="Q3319" s="7" t="inlineStr">
        <is>
          <t>SEM COTAÇÃO</t>
        </is>
      </c>
      <c r="R3319" s="8" t="n"/>
      <c r="S3319" s="14" t="n"/>
      <c r="T3319" s="7" t="inlineStr"/>
      <c r="U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8" t="n"/>
      <c r="M3320" s="8" t="n"/>
      <c r="N3320" s="8" t="n"/>
      <c r="O3320" s="8" t="n"/>
      <c r="P3320" s="8" t="n"/>
      <c r="Q3320" s="7" t="inlineStr">
        <is>
          <t>SEM COTAÇÃO</t>
        </is>
      </c>
      <c r="R3320" s="8" t="n"/>
      <c r="S3320" s="14" t="n"/>
      <c r="T3320" s="7" t="inlineStr"/>
      <c r="U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8" t="n"/>
      <c r="M3321" s="8" t="n"/>
      <c r="N3321" s="8" t="n"/>
      <c r="O3321" s="8" t="n"/>
      <c r="P3321" s="8" t="n"/>
      <c r="Q3321" s="7" t="inlineStr">
        <is>
          <t>SEM COTAÇÃO</t>
        </is>
      </c>
      <c r="R3321" s="8" t="n"/>
      <c r="S3321" s="14" t="n"/>
      <c r="T3321" s="7" t="inlineStr"/>
      <c r="U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8" t="n"/>
      <c r="M3322" s="8" t="n"/>
      <c r="N3322" s="8" t="n"/>
      <c r="O3322" s="8" t="n"/>
      <c r="P3322" s="8" t="n"/>
      <c r="Q3322" s="7" t="inlineStr">
        <is>
          <t>SEM COTAÇÃO</t>
        </is>
      </c>
      <c r="R3322" s="8" t="n"/>
      <c r="S3322" s="14" t="n"/>
      <c r="T3322" s="7" t="inlineStr"/>
      <c r="U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8" t="n"/>
      <c r="M3323" s="8" t="n"/>
      <c r="N3323" s="8" t="n"/>
      <c r="O3323" s="8" t="n"/>
      <c r="P3323" s="8" t="n"/>
      <c r="Q3323" s="7" t="inlineStr">
        <is>
          <t>SEM COTAÇÃO</t>
        </is>
      </c>
      <c r="R3323" s="8" t="n"/>
      <c r="S3323" s="14" t="n"/>
      <c r="T3323" s="7" t="inlineStr"/>
      <c r="U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8" t="n"/>
      <c r="M3324" s="8" t="n"/>
      <c r="N3324" s="8" t="n"/>
      <c r="O3324" s="8" t="n"/>
      <c r="P3324" s="8" t="n"/>
      <c r="Q3324" s="7" t="inlineStr">
        <is>
          <t>SEM COTAÇÃO</t>
        </is>
      </c>
      <c r="R3324" s="8" t="n"/>
      <c r="S3324" s="14" t="n"/>
      <c r="T3324" s="7" t="inlineStr"/>
      <c r="U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8" t="n"/>
      <c r="M3325" s="8" t="n"/>
      <c r="N3325" s="8" t="n"/>
      <c r="O3325" s="8" t="n"/>
      <c r="P3325" s="8" t="n"/>
      <c r="Q3325" s="7" t="inlineStr">
        <is>
          <t>SEM COTAÇÃO</t>
        </is>
      </c>
      <c r="R3325" s="8" t="n"/>
      <c r="S3325" s="14" t="n"/>
      <c r="T3325" s="7" t="inlineStr"/>
      <c r="U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8" t="n"/>
      <c r="M3326" s="8" t="n"/>
      <c r="N3326" s="8" t="n"/>
      <c r="O3326" s="15" t="n">
        <v>5.3253</v>
      </c>
      <c r="P3326" s="8" t="n"/>
      <c r="Q3326" s="7" t="inlineStr">
        <is>
          <t>NAZARIA</t>
        </is>
      </c>
      <c r="R3326" s="8" t="n">
        <v>5.3253</v>
      </c>
      <c r="S3326" s="14">
        <f>R3326/H3326-1</f>
        <v/>
      </c>
      <c r="T3326" s="16" t="inlineStr">
        <is>
          <t>ACIMA +25.3%</t>
        </is>
      </c>
      <c r="U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7" t="inlineStr">
        <is>
          <t>SEM COTAÇÃO</t>
        </is>
      </c>
      <c r="R3327" s="8" t="n"/>
      <c r="S3327" s="14" t="n"/>
      <c r="T3327" s="7" t="inlineStr"/>
      <c r="U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7" t="inlineStr">
        <is>
          <t>SEM COTAÇÃO</t>
        </is>
      </c>
      <c r="R3328" s="8" t="n"/>
      <c r="S3328" s="14" t="n"/>
      <c r="T3328" s="7" t="inlineStr"/>
      <c r="U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7" t="inlineStr">
        <is>
          <t>SEM COTAÇÃO</t>
        </is>
      </c>
      <c r="R3329" s="8" t="n"/>
      <c r="S3329" s="14" t="n"/>
      <c r="T3329" s="7" t="inlineStr"/>
      <c r="U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7" t="inlineStr">
        <is>
          <t>SEM COTAÇÃO</t>
        </is>
      </c>
      <c r="R3330" s="8" t="n"/>
      <c r="S3330" s="14" t="n"/>
      <c r="T3330" s="7" t="inlineStr"/>
      <c r="U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7" t="inlineStr">
        <is>
          <t>SEM COTAÇÃO</t>
        </is>
      </c>
      <c r="R3331" s="8" t="n"/>
      <c r="S3331" s="14" t="n"/>
      <c r="T3331" s="7" t="inlineStr"/>
      <c r="U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7" t="inlineStr">
        <is>
          <t>SEM COTAÇÃO</t>
        </is>
      </c>
      <c r="R3332" s="8" t="n"/>
      <c r="S3332" s="14" t="n"/>
      <c r="T3332" s="7" t="inlineStr"/>
      <c r="U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4.38</v>
      </c>
      <c r="K3333" s="8" t="n"/>
      <c r="L3333" s="8" t="n"/>
      <c r="M3333" s="8" t="n">
        <v>4.45</v>
      </c>
      <c r="N3333" s="15" t="n">
        <v>4.37</v>
      </c>
      <c r="O3333" s="8" t="n"/>
      <c r="P3333" s="8" t="n"/>
      <c r="Q3333" s="7" t="inlineStr">
        <is>
          <t>TAPAJOS</t>
        </is>
      </c>
      <c r="R3333" s="8" t="n">
        <v>4.37</v>
      </c>
      <c r="S3333" s="14">
        <f>R3333/H3333-1</f>
        <v/>
      </c>
      <c r="T3333" s="16" t="inlineStr">
        <is>
          <t>ACIMA +5.3%</t>
        </is>
      </c>
      <c r="U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8" t="n"/>
      <c r="M3334" s="8" t="n"/>
      <c r="N3334" s="8" t="n"/>
      <c r="O3334" s="8" t="n"/>
      <c r="P3334" s="8" t="n"/>
      <c r="Q3334" s="7" t="inlineStr">
        <is>
          <t>SEM COTAÇÃO</t>
        </is>
      </c>
      <c r="R3334" s="8" t="n"/>
      <c r="S3334" s="14" t="n"/>
      <c r="T3334" s="7" t="inlineStr"/>
      <c r="U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8" t="n"/>
      <c r="M3335" s="8" t="n"/>
      <c r="N3335" s="8" t="n"/>
      <c r="O3335" s="15" t="n">
        <v>11.037</v>
      </c>
      <c r="P3335" s="8" t="n"/>
      <c r="Q3335" s="7" t="inlineStr">
        <is>
          <t>NAZARIA</t>
        </is>
      </c>
      <c r="R3335" s="8" t="n">
        <v>11.037</v>
      </c>
      <c r="S3335" s="14">
        <f>R3335/H3335-1</f>
        <v/>
      </c>
      <c r="T3335" s="17" t="inlineStr">
        <is>
          <t>OK (≤ últ. compra)</t>
        </is>
      </c>
      <c r="U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8" t="n"/>
      <c r="M3336" s="8" t="n"/>
      <c r="N3336" s="8" t="n"/>
      <c r="O3336" s="15" t="n">
        <v>4.52</v>
      </c>
      <c r="P3336" s="8" t="n"/>
      <c r="Q3336" s="7" t="inlineStr">
        <is>
          <t>NAZARIA</t>
        </is>
      </c>
      <c r="R3336" s="8" t="n">
        <v>4.52</v>
      </c>
      <c r="S3336" s="14">
        <f>R3336/H3336-1</f>
        <v/>
      </c>
      <c r="T3336" s="16" t="inlineStr">
        <is>
          <t>ACIMA +0.4%</t>
        </is>
      </c>
      <c r="U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8" t="n"/>
      <c r="M3337" s="8" t="n"/>
      <c r="N3337" s="8" t="n"/>
      <c r="O3337" s="8" t="n"/>
      <c r="P3337" s="8" t="n"/>
      <c r="Q3337" s="7" t="inlineStr">
        <is>
          <t>SEM COTAÇÃO</t>
        </is>
      </c>
      <c r="R3337" s="8" t="n"/>
      <c r="S3337" s="14" t="n"/>
      <c r="T3337" s="7" t="inlineStr"/>
      <c r="U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8" t="n"/>
      <c r="M3338" s="8" t="n"/>
      <c r="N3338" s="8" t="n"/>
      <c r="O3338" s="8" t="n"/>
      <c r="P3338" s="8" t="n"/>
      <c r="Q3338" s="7" t="inlineStr">
        <is>
          <t>SEM COTAÇÃO</t>
        </is>
      </c>
      <c r="R3338" s="8" t="n"/>
      <c r="S3338" s="14" t="n"/>
      <c r="T3338" s="7" t="inlineStr"/>
      <c r="U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8" t="n"/>
      <c r="M3339" s="8" t="n"/>
      <c r="N3339" s="8" t="n"/>
      <c r="O3339" s="8" t="n"/>
      <c r="P3339" s="8" t="n"/>
      <c r="Q3339" s="7" t="inlineStr">
        <is>
          <t>SEM COTAÇÃO</t>
        </is>
      </c>
      <c r="R3339" s="8" t="n"/>
      <c r="S3339" s="14" t="n"/>
      <c r="T3339" s="7" t="inlineStr"/>
      <c r="U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8" t="n"/>
      <c r="M3340" s="8" t="n"/>
      <c r="N3340" s="8" t="n"/>
      <c r="O3340" s="8" t="n"/>
      <c r="P3340" s="8" t="n"/>
      <c r="Q3340" s="7" t="inlineStr">
        <is>
          <t>SEM COTAÇÃO</t>
        </is>
      </c>
      <c r="R3340" s="8" t="n"/>
      <c r="S3340" s="14" t="n"/>
      <c r="T3340" s="7" t="inlineStr"/>
      <c r="U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8" t="n"/>
      <c r="M3341" s="8" t="n"/>
      <c r="N3341" s="8" t="n"/>
      <c r="O3341" s="8" t="n"/>
      <c r="P3341" s="8" t="n"/>
      <c r="Q3341" s="7" t="inlineStr">
        <is>
          <t>SEM COTAÇÃO</t>
        </is>
      </c>
      <c r="R3341" s="8" t="n"/>
      <c r="S3341" s="14" t="n"/>
      <c r="T3341" s="7" t="inlineStr"/>
      <c r="U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8" t="n"/>
      <c r="M3342" s="8" t="n"/>
      <c r="N3342" s="8" t="n"/>
      <c r="O3342" s="8" t="n"/>
      <c r="P3342" s="8" t="n"/>
      <c r="Q3342" s="7" t="inlineStr">
        <is>
          <t>SEM COTAÇÃO</t>
        </is>
      </c>
      <c r="R3342" s="8" t="n"/>
      <c r="S3342" s="14" t="n"/>
      <c r="T3342" s="7" t="inlineStr"/>
      <c r="U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8" t="n"/>
      <c r="M3343" s="8" t="n"/>
      <c r="N3343" s="8" t="n"/>
      <c r="O3343" s="8" t="n"/>
      <c r="P3343" s="8" t="n"/>
      <c r="Q3343" s="7" t="inlineStr">
        <is>
          <t>SEM COTAÇÃO</t>
        </is>
      </c>
      <c r="R3343" s="8" t="n"/>
      <c r="S3343" s="14" t="n"/>
      <c r="T3343" s="7" t="inlineStr"/>
      <c r="U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8" t="n"/>
      <c r="M3344" s="8" t="n"/>
      <c r="N3344" s="8" t="n"/>
      <c r="O3344" s="8" t="n"/>
      <c r="P3344" s="8" t="n"/>
      <c r="Q3344" s="7" t="inlineStr">
        <is>
          <t>DIMEC</t>
        </is>
      </c>
      <c r="R3344" s="8" t="n">
        <v>12.62</v>
      </c>
      <c r="S3344" s="14" t="n"/>
      <c r="T3344" s="7" t="inlineStr">
        <is>
          <t>SEM HISTÓRICO</t>
        </is>
      </c>
      <c r="U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8" t="n"/>
      <c r="M3345" s="8" t="n"/>
      <c r="N3345" s="8" t="n"/>
      <c r="O3345" s="8" t="n"/>
      <c r="P3345" s="8" t="n"/>
      <c r="Q3345" s="7" t="inlineStr">
        <is>
          <t>SEM COTAÇÃO</t>
        </is>
      </c>
      <c r="R3345" s="8" t="n"/>
      <c r="S3345" s="14" t="n"/>
      <c r="T3345" s="7" t="inlineStr"/>
      <c r="U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8" t="n"/>
      <c r="M3346" s="8" t="n"/>
      <c r="N3346" s="8" t="n"/>
      <c r="O3346" s="8" t="n"/>
      <c r="P3346" s="8" t="n"/>
      <c r="Q3346" s="7" t="inlineStr">
        <is>
          <t>SEM COTAÇÃO</t>
        </is>
      </c>
      <c r="R3346" s="8" t="n"/>
      <c r="S3346" s="14" t="n"/>
      <c r="T3346" s="7" t="inlineStr"/>
      <c r="U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8" t="n"/>
      <c r="M3347" s="8" t="n"/>
      <c r="N3347" s="8" t="n"/>
      <c r="O3347" s="8" t="n"/>
      <c r="P3347" s="8" t="n"/>
      <c r="Q3347" s="7" t="inlineStr">
        <is>
          <t>SEM COTAÇÃO</t>
        </is>
      </c>
      <c r="R3347" s="8" t="n"/>
      <c r="S3347" s="14" t="n"/>
      <c r="T3347" s="7" t="inlineStr"/>
      <c r="U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8" t="n"/>
      <c r="M3348" s="8" t="n"/>
      <c r="N3348" s="8" t="n"/>
      <c r="O3348" s="8" t="n"/>
      <c r="P3348" s="8" t="n"/>
      <c r="Q3348" s="7" t="inlineStr">
        <is>
          <t>SEM COTAÇÃO</t>
        </is>
      </c>
      <c r="R3348" s="8" t="n"/>
      <c r="S3348" s="14" t="n"/>
      <c r="T3348" s="7" t="inlineStr"/>
      <c r="U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15" t="n">
        <v>16.07</v>
      </c>
      <c r="M3349" s="8" t="n"/>
      <c r="N3349" s="8" t="n"/>
      <c r="O3349" s="8" t="n">
        <v>17.48</v>
      </c>
      <c r="P3349" s="8" t="n"/>
      <c r="Q3349" s="7" t="inlineStr">
        <is>
          <t>EPAN</t>
        </is>
      </c>
      <c r="R3349" s="8" t="n">
        <v>16.07</v>
      </c>
      <c r="S3349" s="14">
        <f>R3349/H3349-1</f>
        <v/>
      </c>
      <c r="T3349" s="17" t="inlineStr">
        <is>
          <t>OK (≤ últ. compra)</t>
        </is>
      </c>
      <c r="U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8" t="n"/>
      <c r="M3350" s="8" t="n"/>
      <c r="N3350" s="8" t="n"/>
      <c r="O3350" s="8" t="n"/>
      <c r="P3350" s="8" t="n"/>
      <c r="Q3350" s="7" t="inlineStr">
        <is>
          <t>SEM COTAÇÃO</t>
        </is>
      </c>
      <c r="R3350" s="8" t="n"/>
      <c r="S3350" s="14" t="n"/>
      <c r="T3350" s="7" t="inlineStr"/>
      <c r="U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8" t="n"/>
      <c r="M3351" s="8" t="n"/>
      <c r="N3351" s="8" t="n"/>
      <c r="O3351" s="8" t="n"/>
      <c r="P3351" s="8" t="n"/>
      <c r="Q3351" s="7" t="inlineStr">
        <is>
          <t>SEM COTAÇÃO</t>
        </is>
      </c>
      <c r="R3351" s="8" t="n"/>
      <c r="S3351" s="14" t="n"/>
      <c r="T3351" s="7" t="inlineStr"/>
      <c r="U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8" t="n"/>
      <c r="M3352" s="15" t="n">
        <v>3.03</v>
      </c>
      <c r="N3352" s="8" t="n"/>
      <c r="O3352" s="8" t="n"/>
      <c r="P3352" s="8" t="n"/>
      <c r="Q3352" s="7" t="inlineStr">
        <is>
          <t>CENTROFARMA</t>
        </is>
      </c>
      <c r="R3352" s="8" t="n">
        <v>3.03</v>
      </c>
      <c r="S3352" s="14">
        <f>R3352/H3352-1</f>
        <v/>
      </c>
      <c r="T3352" s="16" t="inlineStr">
        <is>
          <t>ACIMA +131.3%</t>
        </is>
      </c>
      <c r="U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8" t="n"/>
      <c r="M3353" s="8" t="n"/>
      <c r="N3353" s="15" t="n">
        <v>108.14</v>
      </c>
      <c r="O3353" s="8" t="n">
        <v>113.3144</v>
      </c>
      <c r="P3353" s="8" t="n"/>
      <c r="Q3353" s="7" t="inlineStr">
        <is>
          <t>TAPAJOS</t>
        </is>
      </c>
      <c r="R3353" s="8" t="n">
        <v>108.14</v>
      </c>
      <c r="S3353" s="14">
        <f>R3353/H3353-1</f>
        <v/>
      </c>
      <c r="T3353" s="17" t="inlineStr">
        <is>
          <t>OK (≤ últ. compra)</t>
        </is>
      </c>
      <c r="U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8" t="n"/>
      <c r="M3354" s="8" t="n"/>
      <c r="N3354" s="8" t="n"/>
      <c r="O3354" s="8" t="n"/>
      <c r="P3354" s="8" t="n"/>
      <c r="Q3354" s="7" t="inlineStr">
        <is>
          <t>SEM COTAÇÃO</t>
        </is>
      </c>
      <c r="R3354" s="8" t="n"/>
      <c r="S3354" s="14" t="n"/>
      <c r="T3354" s="7" t="inlineStr"/>
      <c r="U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8" t="n"/>
      <c r="M3355" s="8" t="n"/>
      <c r="N3355" s="8" t="n"/>
      <c r="O3355" s="8" t="n"/>
      <c r="P3355" s="8" t="n"/>
      <c r="Q3355" s="7" t="inlineStr">
        <is>
          <t>SEM COTAÇÃO</t>
        </is>
      </c>
      <c r="R3355" s="8" t="n"/>
      <c r="S3355" s="14" t="n"/>
      <c r="T3355" s="7" t="inlineStr"/>
      <c r="U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8" t="n"/>
      <c r="M3356" s="8" t="n"/>
      <c r="N3356" s="8" t="n"/>
      <c r="O3356" s="8" t="n"/>
      <c r="P3356" s="8" t="n"/>
      <c r="Q3356" s="7" t="inlineStr">
        <is>
          <t>SEM COTAÇÃO</t>
        </is>
      </c>
      <c r="R3356" s="8" t="n"/>
      <c r="S3356" s="14" t="n"/>
      <c r="T3356" s="7" t="inlineStr"/>
      <c r="U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8" t="n"/>
      <c r="M3357" s="8" t="n"/>
      <c r="N3357" s="8" t="n"/>
      <c r="O3357" s="8" t="n"/>
      <c r="P3357" s="8" t="n"/>
      <c r="Q3357" s="7" t="inlineStr">
        <is>
          <t>SEM COTAÇÃO</t>
        </is>
      </c>
      <c r="R3357" s="8" t="n"/>
      <c r="S3357" s="14" t="n"/>
      <c r="T3357" s="7" t="inlineStr"/>
      <c r="U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8" t="n"/>
      <c r="M3358" s="8" t="n"/>
      <c r="N3358" s="8" t="n"/>
      <c r="O3358" s="8" t="n"/>
      <c r="P3358" s="8" t="n"/>
      <c r="Q3358" s="7" t="inlineStr">
        <is>
          <t>SEM COTAÇÃO</t>
        </is>
      </c>
      <c r="R3358" s="8" t="n"/>
      <c r="S3358" s="14" t="n"/>
      <c r="T3358" s="7" t="inlineStr"/>
      <c r="U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8" t="n"/>
      <c r="M3359" s="8" t="n"/>
      <c r="N3359" s="8" t="n"/>
      <c r="O3359" s="8" t="n"/>
      <c r="P3359" s="8" t="n"/>
      <c r="Q3359" s="7" t="inlineStr">
        <is>
          <t>SEM COTAÇÃO</t>
        </is>
      </c>
      <c r="R3359" s="8" t="n"/>
      <c r="S3359" s="14" t="n"/>
      <c r="T3359" s="7" t="inlineStr"/>
      <c r="U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8" t="n"/>
      <c r="M3360" s="8" t="n"/>
      <c r="N3360" s="8" t="n"/>
      <c r="O3360" s="8" t="n"/>
      <c r="P3360" s="8" t="n"/>
      <c r="Q3360" s="7" t="inlineStr">
        <is>
          <t>SEM COTAÇÃO</t>
        </is>
      </c>
      <c r="R3360" s="8" t="n"/>
      <c r="S3360" s="14" t="n"/>
      <c r="T3360" s="7" t="inlineStr"/>
      <c r="U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8" t="n"/>
      <c r="M3361" s="8" t="n"/>
      <c r="N3361" s="8" t="n"/>
      <c r="O3361" s="8" t="n"/>
      <c r="P3361" s="8" t="n"/>
      <c r="Q3361" s="7" t="inlineStr">
        <is>
          <t>SEM COTAÇÃO</t>
        </is>
      </c>
      <c r="R3361" s="8" t="n"/>
      <c r="S3361" s="14" t="n"/>
      <c r="T3361" s="7" t="inlineStr"/>
      <c r="U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8" t="n"/>
      <c r="M3362" s="8" t="n"/>
      <c r="N3362" s="8" t="n"/>
      <c r="O3362" s="8" t="n"/>
      <c r="P3362" s="8" t="n"/>
      <c r="Q3362" s="7" t="inlineStr">
        <is>
          <t>SEM COTAÇÃO</t>
        </is>
      </c>
      <c r="R3362" s="8" t="n"/>
      <c r="S3362" s="14" t="n"/>
      <c r="T3362" s="7" t="inlineStr"/>
      <c r="U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8" t="n"/>
      <c r="M3363" s="8" t="n"/>
      <c r="N3363" s="8" t="n"/>
      <c r="O3363" s="8" t="n"/>
      <c r="P3363" s="8" t="n"/>
      <c r="Q3363" s="7" t="inlineStr">
        <is>
          <t>SEM COTAÇÃO</t>
        </is>
      </c>
      <c r="R3363" s="8" t="n"/>
      <c r="S3363" s="14" t="n"/>
      <c r="T3363" s="7" t="inlineStr"/>
      <c r="U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8" t="n"/>
      <c r="M3364" s="8" t="n"/>
      <c r="N3364" s="8" t="n"/>
      <c r="O3364" s="8" t="n"/>
      <c r="P3364" s="8" t="n"/>
      <c r="Q3364" s="7" t="inlineStr">
        <is>
          <t>SEM COTAÇÃO</t>
        </is>
      </c>
      <c r="R3364" s="8" t="n"/>
      <c r="S3364" s="14" t="n"/>
      <c r="T3364" s="7" t="inlineStr"/>
      <c r="U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8" t="n"/>
      <c r="M3365" s="8" t="n"/>
      <c r="N3365" s="8" t="n"/>
      <c r="O3365" s="8" t="n"/>
      <c r="P3365" s="8" t="n"/>
      <c r="Q3365" s="7" t="inlineStr">
        <is>
          <t>SEM COTAÇÃO</t>
        </is>
      </c>
      <c r="R3365" s="8" t="n"/>
      <c r="S3365" s="14" t="n"/>
      <c r="T3365" s="7" t="inlineStr"/>
      <c r="U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8" t="n"/>
      <c r="M3366" s="8" t="n"/>
      <c r="N3366" s="8" t="n"/>
      <c r="O3366" s="8" t="n"/>
      <c r="P3366" s="8" t="n"/>
      <c r="Q3366" s="7" t="inlineStr">
        <is>
          <t>SEM COTAÇÃO</t>
        </is>
      </c>
      <c r="R3366" s="8" t="n"/>
      <c r="S3366" s="14" t="n"/>
      <c r="T3366" s="7" t="inlineStr"/>
      <c r="U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8" t="n"/>
      <c r="M3367" s="8" t="n"/>
      <c r="N3367" s="8" t="n"/>
      <c r="O3367" s="8" t="n"/>
      <c r="P3367" s="8" t="n"/>
      <c r="Q3367" s="7" t="inlineStr">
        <is>
          <t>SEM COTAÇÃO</t>
        </is>
      </c>
      <c r="R3367" s="8" t="n"/>
      <c r="S3367" s="14" t="n"/>
      <c r="T3367" s="7" t="inlineStr"/>
      <c r="U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8" t="n"/>
      <c r="M3368" s="8" t="n"/>
      <c r="N3368" s="8" t="n"/>
      <c r="O3368" s="8" t="n"/>
      <c r="P3368" s="8" t="n"/>
      <c r="Q3368" s="7" t="inlineStr">
        <is>
          <t>SEM COTAÇÃO</t>
        </is>
      </c>
      <c r="R3368" s="8" t="n"/>
      <c r="S3368" s="14" t="n"/>
      <c r="T3368" s="7" t="inlineStr"/>
      <c r="U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8" t="n"/>
      <c r="M3369" s="8" t="n"/>
      <c r="N3369" s="8" t="n"/>
      <c r="O3369" s="8" t="n"/>
      <c r="P3369" s="8" t="n"/>
      <c r="Q3369" s="7" t="inlineStr">
        <is>
          <t>SEM COTAÇÃO</t>
        </is>
      </c>
      <c r="R3369" s="8" t="n"/>
      <c r="S3369" s="14" t="n"/>
      <c r="T3369" s="7" t="inlineStr"/>
      <c r="U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8" t="n"/>
      <c r="M3370" s="8" t="n"/>
      <c r="N3370" s="8" t="n"/>
      <c r="O3370" s="8" t="n"/>
      <c r="P3370" s="8" t="n"/>
      <c r="Q3370" s="7" t="inlineStr">
        <is>
          <t>SEM COTAÇÃO</t>
        </is>
      </c>
      <c r="R3370" s="8" t="n"/>
      <c r="S3370" s="14" t="n"/>
      <c r="T3370" s="7" t="inlineStr"/>
      <c r="U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8" t="n"/>
      <c r="M3371" s="8" t="n"/>
      <c r="N3371" s="8" t="n"/>
      <c r="O3371" s="15" t="n">
        <v>18.61</v>
      </c>
      <c r="P3371" s="8" t="n"/>
      <c r="Q3371" s="7" t="inlineStr">
        <is>
          <t>NAZARIA</t>
        </is>
      </c>
      <c r="R3371" s="8" t="n">
        <v>18.61</v>
      </c>
      <c r="S3371" s="14">
        <f>R3371/H3371-1</f>
        <v/>
      </c>
      <c r="T3371" s="16" t="inlineStr">
        <is>
          <t>ACIMA +166.2%</t>
        </is>
      </c>
      <c r="U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8" t="n"/>
      <c r="M3372" s="8" t="n"/>
      <c r="N3372" s="8" t="n"/>
      <c r="O3372" s="8" t="n"/>
      <c r="P3372" s="8" t="n"/>
      <c r="Q3372" s="7" t="inlineStr">
        <is>
          <t>DIMEC</t>
        </is>
      </c>
      <c r="R3372" s="8" t="n">
        <v>0.4048333333333333</v>
      </c>
      <c r="S3372" s="14">
        <f>R3372/H3372-1</f>
        <v/>
      </c>
      <c r="T3372" s="17" t="inlineStr">
        <is>
          <t>OK (≤ menor hist.)</t>
        </is>
      </c>
      <c r="U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7" t="inlineStr">
        <is>
          <t>SEM COTAÇÃO</t>
        </is>
      </c>
      <c r="R3373" s="8" t="n"/>
      <c r="S3373" s="14" t="n"/>
      <c r="T3373" s="7" t="inlineStr"/>
      <c r="U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8" t="n"/>
      <c r="M3374" s="8" t="n"/>
      <c r="N3374" s="8" t="n"/>
      <c r="O3374" s="8" t="n"/>
      <c r="P3374" s="8" t="n"/>
      <c r="Q3374" s="7" t="inlineStr">
        <is>
          <t>DIMEC</t>
        </is>
      </c>
      <c r="R3374" s="8" t="n">
        <v>0.5625</v>
      </c>
      <c r="S3374" s="14">
        <f>R3374/H3374-1</f>
        <v/>
      </c>
      <c r="T3374" s="17" t="inlineStr">
        <is>
          <t>OK (≤ últ. compra)</t>
        </is>
      </c>
      <c r="U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8" t="n"/>
      <c r="M3375" s="15" t="n">
        <v>7.16</v>
      </c>
      <c r="N3375" s="8" t="n"/>
      <c r="O3375" s="8" t="n">
        <v>31.59</v>
      </c>
      <c r="P3375" s="8" t="n">
        <v>7.52</v>
      </c>
      <c r="Q3375" s="7" t="inlineStr">
        <is>
          <t>CENTROFARMA</t>
        </is>
      </c>
      <c r="R3375" s="8" t="n">
        <v>7.16</v>
      </c>
      <c r="S3375" s="14">
        <f>R3375/H3375-1</f>
        <v/>
      </c>
      <c r="T3375" s="16" t="inlineStr">
        <is>
          <t>ACIMA +5.3%</t>
        </is>
      </c>
      <c r="U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8" t="n"/>
      <c r="M3376" s="8" t="n"/>
      <c r="N3376" s="8" t="n"/>
      <c r="O3376" s="8" t="n">
        <v>52.7</v>
      </c>
      <c r="P3376" s="8" t="n"/>
      <c r="Q3376" s="7" t="inlineStr">
        <is>
          <t>SEM COTAÇÃO</t>
        </is>
      </c>
      <c r="R3376" s="8" t="n"/>
      <c r="S3376" s="14" t="n"/>
      <c r="T3376" s="7" t="inlineStr"/>
      <c r="U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8" t="n"/>
      <c r="M3377" s="8" t="n"/>
      <c r="N3377" s="8" t="n"/>
      <c r="O3377" s="8" t="n"/>
      <c r="P3377" s="8" t="n"/>
      <c r="Q3377" s="7" t="inlineStr">
        <is>
          <t>SEM COTAÇÃO</t>
        </is>
      </c>
      <c r="R3377" s="8" t="n"/>
      <c r="S3377" s="14" t="n"/>
      <c r="T3377" s="7" t="inlineStr"/>
      <c r="U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8" t="n"/>
      <c r="M3378" s="8" t="n"/>
      <c r="N3378" s="8" t="n"/>
      <c r="O3378" s="8" t="n"/>
      <c r="P3378" s="8" t="n"/>
      <c r="Q3378" s="7" t="inlineStr">
        <is>
          <t>SEM COTAÇÃO</t>
        </is>
      </c>
      <c r="R3378" s="8" t="n"/>
      <c r="S3378" s="14" t="n"/>
      <c r="T3378" s="7" t="inlineStr"/>
      <c r="U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8" t="n"/>
      <c r="M3379" s="8" t="n"/>
      <c r="N3379" s="8" t="n"/>
      <c r="O3379" s="8" t="n"/>
      <c r="P3379" s="8" t="n"/>
      <c r="Q3379" s="7" t="inlineStr">
        <is>
          <t>SEM COTAÇÃO</t>
        </is>
      </c>
      <c r="R3379" s="8" t="n"/>
      <c r="S3379" s="14" t="n"/>
      <c r="T3379" s="7" t="inlineStr"/>
      <c r="U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8.93</v>
      </c>
      <c r="K3380" s="8" t="n"/>
      <c r="L3380" s="8" t="n"/>
      <c r="M3380" s="15" t="n">
        <v>8.73</v>
      </c>
      <c r="N3380" s="8" t="n"/>
      <c r="O3380" s="8" t="n"/>
      <c r="P3380" s="8" t="n"/>
      <c r="Q3380" s="7" t="inlineStr">
        <is>
          <t>CENTROFARMA</t>
        </is>
      </c>
      <c r="R3380" s="8" t="n">
        <v>8.73</v>
      </c>
      <c r="S3380" s="14">
        <f>R3380/H3380-1</f>
        <v/>
      </c>
      <c r="T3380" s="16" t="inlineStr">
        <is>
          <t>ACIMA +28.0%</t>
        </is>
      </c>
      <c r="U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8" t="n">
        <v>10.51</v>
      </c>
      <c r="L3381" s="8" t="n"/>
      <c r="M3381" s="15" t="n">
        <v>10.4</v>
      </c>
      <c r="N3381" s="8" t="n"/>
      <c r="O3381" s="8" t="n">
        <v>12.987506</v>
      </c>
      <c r="P3381" s="8" t="n">
        <v>11.18</v>
      </c>
      <c r="Q3381" s="7" t="inlineStr">
        <is>
          <t>CENTROFARMA</t>
        </is>
      </c>
      <c r="R3381" s="8" t="n">
        <v>10.4</v>
      </c>
      <c r="S3381" s="14">
        <f>R3381/H3381-1</f>
        <v/>
      </c>
      <c r="T3381" s="16" t="inlineStr">
        <is>
          <t>ACIMA +6.7%</t>
        </is>
      </c>
      <c r="U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8" t="n"/>
      <c r="M3382" s="8" t="n"/>
      <c r="N3382" s="8" t="n"/>
      <c r="O3382" s="8" t="n"/>
      <c r="P3382" s="8" t="n"/>
      <c r="Q3382" s="7" t="inlineStr">
        <is>
          <t>PLUSFARMA</t>
        </is>
      </c>
      <c r="R3382" s="8" t="n">
        <v>4.22</v>
      </c>
      <c r="S3382" s="14">
        <f>R3382/H3382-1</f>
        <v/>
      </c>
      <c r="T3382" s="17" t="inlineStr">
        <is>
          <t>OK (≤ menor hist.)</t>
        </is>
      </c>
      <c r="U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8" t="n"/>
      <c r="M3383" s="8" t="n"/>
      <c r="N3383" s="8" t="n"/>
      <c r="O3383" s="8" t="n"/>
      <c r="P3383" s="8" t="n"/>
      <c r="Q3383" s="7" t="inlineStr">
        <is>
          <t>SEM COTAÇÃO</t>
        </is>
      </c>
      <c r="R3383" s="8" t="n"/>
      <c r="S3383" s="14" t="n"/>
      <c r="T3383" s="7" t="inlineStr"/>
      <c r="U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8" t="n"/>
      <c r="M3384" s="8" t="n"/>
      <c r="N3384" s="8" t="n"/>
      <c r="O3384" s="8" t="n"/>
      <c r="P3384" s="15" t="n">
        <v>4.74</v>
      </c>
      <c r="Q3384" s="7" t="inlineStr">
        <is>
          <t>MEDCENTRO</t>
        </is>
      </c>
      <c r="R3384" s="8" t="n">
        <v>4.74</v>
      </c>
      <c r="S3384" s="14">
        <f>R3384/H3384-1</f>
        <v/>
      </c>
      <c r="T3384" s="17" t="inlineStr">
        <is>
          <t>OK (≤ menor hist.)</t>
        </is>
      </c>
      <c r="U3384" s="7" t="inlineStr"/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8" t="n"/>
      <c r="M3385" s="8" t="n"/>
      <c r="N3385" s="8" t="n"/>
      <c r="O3385" s="15" t="n">
        <v>8.305759999999999</v>
      </c>
      <c r="P3385" s="8" t="n"/>
      <c r="Q3385" s="7" t="inlineStr">
        <is>
          <t>NAZARIA</t>
        </is>
      </c>
      <c r="R3385" s="8" t="n">
        <v>8.305759999999999</v>
      </c>
      <c r="S3385" s="14">
        <f>R3385/H3385-1</f>
        <v/>
      </c>
      <c r="T3385" s="16" t="inlineStr">
        <is>
          <t>ACIMA +75.2%</t>
        </is>
      </c>
      <c r="U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15" t="n">
        <v>7.02</v>
      </c>
      <c r="K3386" s="8" t="n"/>
      <c r="L3386" s="8" t="n"/>
      <c r="M3386" s="8" t="n"/>
      <c r="N3386" s="8" t="n"/>
      <c r="O3386" s="8" t="n"/>
      <c r="P3386" s="8" t="n"/>
      <c r="Q3386" s="7" t="inlineStr">
        <is>
          <t>DIMEC</t>
        </is>
      </c>
      <c r="R3386" s="8" t="n">
        <v>7.02</v>
      </c>
      <c r="S3386" s="14">
        <f>R3386/H3386-1</f>
        <v/>
      </c>
      <c r="T3386" s="16" t="inlineStr">
        <is>
          <t>ACIMA +0.7%</t>
        </is>
      </c>
      <c r="U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8" t="n"/>
      <c r="M3387" s="8" t="n"/>
      <c r="N3387" s="8" t="n"/>
      <c r="O3387" s="8" t="n">
        <v>15.26</v>
      </c>
      <c r="P3387" s="8" t="n">
        <v>4.79</v>
      </c>
      <c r="Q3387" s="7" t="inlineStr">
        <is>
          <t>PLUSFARMA</t>
        </is>
      </c>
      <c r="R3387" s="8" t="n">
        <v>4.49</v>
      </c>
      <c r="S3387" s="14">
        <f>R3387/H3387-1</f>
        <v/>
      </c>
      <c r="T3387" s="16" t="inlineStr">
        <is>
          <t>ACIMA +4.9%</t>
        </is>
      </c>
      <c r="U3387" s="7" t="inlineStr">
        <is>
          <t>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8" t="n"/>
      <c r="M3388" s="8" t="n"/>
      <c r="N3388" s="8" t="n"/>
      <c r="O3388" s="8" t="n">
        <v>6.443067999999997</v>
      </c>
      <c r="P3388" s="8" t="n"/>
      <c r="Q3388" s="7" t="inlineStr">
        <is>
          <t>SEM COTAÇÃO</t>
        </is>
      </c>
      <c r="R3388" s="8" t="n"/>
      <c r="S3388" s="14" t="n"/>
      <c r="T3388" s="7" t="inlineStr"/>
      <c r="U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8" t="n"/>
      <c r="M3389" s="8" t="n"/>
      <c r="N3389" s="8" t="n"/>
      <c r="O3389" s="8" t="n"/>
      <c r="P3389" s="8" t="n"/>
      <c r="Q3389" s="7" t="inlineStr">
        <is>
          <t>SEM COTAÇÃO</t>
        </is>
      </c>
      <c r="R3389" s="8" t="n"/>
      <c r="S3389" s="14" t="n"/>
      <c r="T3389" s="7" t="inlineStr"/>
      <c r="U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8" t="n">
        <v>30.77</v>
      </c>
      <c r="M3390" s="8" t="n"/>
      <c r="N3390" s="8" t="n"/>
      <c r="O3390" s="8" t="n"/>
      <c r="P3390" s="8" t="n"/>
      <c r="Q3390" s="7" t="inlineStr">
        <is>
          <t>SEM COTAÇÃO</t>
        </is>
      </c>
      <c r="R3390" s="8" t="n"/>
      <c r="S3390" s="14" t="n"/>
      <c r="T3390" s="7" t="inlineStr"/>
      <c r="U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8" t="n">
        <v>21.51</v>
      </c>
      <c r="M3391" s="8" t="n"/>
      <c r="N3391" s="8" t="n"/>
      <c r="O3391" s="15" t="n">
        <v>22.26</v>
      </c>
      <c r="P3391" s="8" t="n"/>
      <c r="Q3391" s="7" t="inlineStr">
        <is>
          <t>NAZARIA</t>
        </is>
      </c>
      <c r="R3391" s="8" t="n">
        <v>22.26</v>
      </c>
      <c r="S3391" s="14">
        <f>R3391/H3391-1</f>
        <v/>
      </c>
      <c r="T3391" s="16" t="inlineStr">
        <is>
          <t>ACIMA +15.3%</t>
        </is>
      </c>
      <c r="U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8" t="n"/>
      <c r="M3392" s="8" t="n"/>
      <c r="N3392" s="8" t="n"/>
      <c r="O3392" s="8" t="n"/>
      <c r="P3392" s="8" t="n"/>
      <c r="Q3392" s="7" t="inlineStr">
        <is>
          <t>SEM COTAÇÃO</t>
        </is>
      </c>
      <c r="R3392" s="8" t="n"/>
      <c r="S3392" s="14" t="n"/>
      <c r="T3392" s="7" t="inlineStr"/>
      <c r="U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8" t="n">
        <v>21.05</v>
      </c>
      <c r="M3393" s="8" t="n"/>
      <c r="N3393" s="8" t="n"/>
      <c r="O3393" s="8" t="n"/>
      <c r="P3393" s="8" t="n"/>
      <c r="Q3393" s="7" t="inlineStr">
        <is>
          <t>SEM COTAÇÃO</t>
        </is>
      </c>
      <c r="R3393" s="8" t="n"/>
      <c r="S3393" s="14" t="n"/>
      <c r="T3393" s="7" t="inlineStr"/>
      <c r="U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8" t="n"/>
      <c r="M3394" s="8" t="n"/>
      <c r="N3394" s="8" t="n"/>
      <c r="O3394" s="15" t="n">
        <v>13.1908</v>
      </c>
      <c r="P3394" s="8" t="n"/>
      <c r="Q3394" s="7" t="inlineStr">
        <is>
          <t>NAZARIA</t>
        </is>
      </c>
      <c r="R3394" s="8" t="n">
        <v>13.1908</v>
      </c>
      <c r="S3394" s="14">
        <f>R3394/H3394-1</f>
        <v/>
      </c>
      <c r="T3394" s="16" t="inlineStr">
        <is>
          <t>ACIMA +9.4%</t>
        </is>
      </c>
      <c r="U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8" t="n"/>
      <c r="M3395" s="8" t="n"/>
      <c r="N3395" s="8" t="n"/>
      <c r="O3395" s="8" t="n"/>
      <c r="P3395" s="8" t="n"/>
      <c r="Q3395" s="7" t="inlineStr">
        <is>
          <t>SEM COTAÇÃO</t>
        </is>
      </c>
      <c r="R3395" s="8" t="n"/>
      <c r="S3395" s="14" t="n"/>
      <c r="T3395" s="7" t="inlineStr"/>
      <c r="U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8" t="n"/>
      <c r="M3396" s="8" t="n"/>
      <c r="N3396" s="8" t="n"/>
      <c r="O3396" s="8" t="n"/>
      <c r="P3396" s="15" t="n">
        <v>3.43</v>
      </c>
      <c r="Q3396" s="7" t="inlineStr">
        <is>
          <t>MEDCENTRO</t>
        </is>
      </c>
      <c r="R3396" s="8" t="n">
        <v>3.43</v>
      </c>
      <c r="S3396" s="14">
        <f>R3396/H3396-1</f>
        <v/>
      </c>
      <c r="T3396" s="17" t="inlineStr">
        <is>
          <t>OK (≤ menor hist.)</t>
        </is>
      </c>
      <c r="U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8" t="n"/>
      <c r="M3397" s="8" t="n">
        <v>5.34</v>
      </c>
      <c r="N3397" s="8" t="n"/>
      <c r="O3397" s="8" t="n"/>
      <c r="P3397" s="8" t="n">
        <v>5.63</v>
      </c>
      <c r="Q3397" s="7" t="inlineStr">
        <is>
          <t>DIMEC</t>
        </is>
      </c>
      <c r="R3397" s="8" t="n">
        <v>5.3</v>
      </c>
      <c r="S3397" s="14">
        <f>R3397/H3397-1</f>
        <v/>
      </c>
      <c r="T3397" s="16" t="inlineStr">
        <is>
          <t>ACIMA +4.5%</t>
        </is>
      </c>
      <c r="U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8" t="n"/>
      <c r="M3398" s="8" t="n">
        <v>4.8</v>
      </c>
      <c r="N3398" s="8" t="n"/>
      <c r="O3398" s="8" t="n"/>
      <c r="P3398" s="8" t="n">
        <v>5.02</v>
      </c>
      <c r="Q3398" s="7" t="inlineStr">
        <is>
          <t>DIMEC</t>
        </is>
      </c>
      <c r="R3398" s="8" t="n">
        <v>4.73</v>
      </c>
      <c r="S3398" s="14">
        <f>R3398/H3398-1</f>
        <v/>
      </c>
      <c r="T3398" s="16" t="inlineStr">
        <is>
          <t>ACIMA +3.7%</t>
        </is>
      </c>
      <c r="U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8" t="n"/>
      <c r="M3399" s="15" t="n">
        <v>7.45</v>
      </c>
      <c r="N3399" s="8" t="n"/>
      <c r="O3399" s="8" t="n">
        <v>7.999</v>
      </c>
      <c r="P3399" s="8" t="n"/>
      <c r="Q3399" s="7" t="inlineStr">
        <is>
          <t>CENTROFARMA</t>
        </is>
      </c>
      <c r="R3399" s="8" t="n">
        <v>7.45</v>
      </c>
      <c r="S3399" s="14">
        <f>R3399/H3399-1</f>
        <v/>
      </c>
      <c r="T3399" s="16" t="inlineStr">
        <is>
          <t>ACIMA +12.2%</t>
        </is>
      </c>
      <c r="U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8" t="n"/>
      <c r="M3400" s="8" t="n">
        <v>9.85</v>
      </c>
      <c r="N3400" s="8" t="n"/>
      <c r="O3400" s="15" t="n">
        <v>9.6995</v>
      </c>
      <c r="P3400" s="8" t="n"/>
      <c r="Q3400" s="7" t="inlineStr">
        <is>
          <t>NAZARIA</t>
        </is>
      </c>
      <c r="R3400" s="8" t="n">
        <v>9.6995</v>
      </c>
      <c r="S3400" s="14">
        <f>R3400/H3400-1</f>
        <v/>
      </c>
      <c r="T3400" s="16" t="inlineStr">
        <is>
          <t>ACIMA +15.6%</t>
        </is>
      </c>
      <c r="U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8" t="n"/>
      <c r="M3401" s="15" t="n">
        <v>7.69</v>
      </c>
      <c r="N3401" s="8" t="n"/>
      <c r="O3401" s="8" t="n">
        <v>7.951499999999999</v>
      </c>
      <c r="P3401" s="8" t="n"/>
      <c r="Q3401" s="7" t="inlineStr">
        <is>
          <t>CENTROFARMA</t>
        </is>
      </c>
      <c r="R3401" s="8" t="n">
        <v>7.69</v>
      </c>
      <c r="S3401" s="14">
        <f>R3401/H3401-1</f>
        <v/>
      </c>
      <c r="T3401" s="16" t="inlineStr">
        <is>
          <t>ACIMA +10.8%</t>
        </is>
      </c>
      <c r="U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8" t="n"/>
      <c r="M3402" s="15" t="n">
        <v>6.94</v>
      </c>
      <c r="N3402" s="8" t="n"/>
      <c r="O3402" s="8" t="n"/>
      <c r="P3402" s="8" t="n"/>
      <c r="Q3402" s="7" t="inlineStr">
        <is>
          <t>CENTROFARMA</t>
        </is>
      </c>
      <c r="R3402" s="8" t="n">
        <v>6.94</v>
      </c>
      <c r="S3402" s="14">
        <f>R3402/H3402-1</f>
        <v/>
      </c>
      <c r="T3402" s="16" t="inlineStr">
        <is>
          <t>ACIMA +0.9%</t>
        </is>
      </c>
      <c r="U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8" t="n"/>
      <c r="M3403" s="15" t="n">
        <v>8.859999999999999</v>
      </c>
      <c r="N3403" s="8" t="n"/>
      <c r="O3403" s="8" t="n"/>
      <c r="P3403" s="8" t="n"/>
      <c r="Q3403" s="7" t="inlineStr">
        <is>
          <t>CENTROFARMA</t>
        </is>
      </c>
      <c r="R3403" s="8" t="n">
        <v>8.859999999999999</v>
      </c>
      <c r="S3403" s="14">
        <f>R3403/H3403-1</f>
        <v/>
      </c>
      <c r="T3403" s="16" t="inlineStr">
        <is>
          <t>ACIMA +12.3%</t>
        </is>
      </c>
      <c r="U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8" t="n"/>
      <c r="M3404" s="8" t="n"/>
      <c r="N3404" s="8" t="n"/>
      <c r="O3404" s="8" t="n"/>
      <c r="P3404" s="8" t="n"/>
      <c r="Q3404" s="7" t="inlineStr">
        <is>
          <t>SEM COTAÇÃO</t>
        </is>
      </c>
      <c r="R3404" s="8" t="n"/>
      <c r="S3404" s="14" t="n"/>
      <c r="T3404" s="7" t="inlineStr"/>
      <c r="U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8" t="n"/>
      <c r="M3405" s="8" t="n"/>
      <c r="N3405" s="8" t="n"/>
      <c r="O3405" s="8" t="n"/>
      <c r="P3405" s="8" t="n"/>
      <c r="Q3405" s="7" t="inlineStr">
        <is>
          <t>SEM COTAÇÃO</t>
        </is>
      </c>
      <c r="R3405" s="8" t="n"/>
      <c r="S3405" s="14" t="n"/>
      <c r="T3405" s="7" t="inlineStr"/>
      <c r="U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8" t="n"/>
      <c r="M3406" s="8" t="n"/>
      <c r="N3406" s="8" t="n"/>
      <c r="O3406" s="8" t="n"/>
      <c r="P3406" s="8" t="n"/>
      <c r="Q3406" s="7" t="inlineStr">
        <is>
          <t>SEM COTAÇÃO</t>
        </is>
      </c>
      <c r="R3406" s="8" t="n"/>
      <c r="S3406" s="14" t="n"/>
      <c r="T3406" s="7" t="inlineStr"/>
      <c r="U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8" t="n"/>
      <c r="M3407" s="8" t="n"/>
      <c r="N3407" s="8" t="n"/>
      <c r="O3407" s="8" t="n"/>
      <c r="P3407" s="8" t="n"/>
      <c r="Q3407" s="7" t="inlineStr">
        <is>
          <t>SEM COTAÇÃO</t>
        </is>
      </c>
      <c r="R3407" s="8" t="n"/>
      <c r="S3407" s="14" t="n"/>
      <c r="T3407" s="7" t="inlineStr"/>
      <c r="U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8" t="n"/>
      <c r="M3408" s="8" t="n"/>
      <c r="N3408" s="8" t="n"/>
      <c r="O3408" s="8" t="n"/>
      <c r="P3408" s="8" t="n"/>
      <c r="Q3408" s="7" t="inlineStr">
        <is>
          <t>SEM COTAÇÃO</t>
        </is>
      </c>
      <c r="R3408" s="8" t="n"/>
      <c r="S3408" s="14" t="n"/>
      <c r="T3408" s="7" t="inlineStr"/>
      <c r="U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8" t="n">
        <v>1.45</v>
      </c>
      <c r="L3409" s="8" t="n"/>
      <c r="M3409" s="15" t="n">
        <v>1.37</v>
      </c>
      <c r="N3409" s="8" t="n"/>
      <c r="O3409" s="8" t="n">
        <v>1.539</v>
      </c>
      <c r="P3409" s="8" t="n"/>
      <c r="Q3409" s="7" t="inlineStr">
        <is>
          <t>CENTROFARMA</t>
        </is>
      </c>
      <c r="R3409" s="8" t="n">
        <v>1.37</v>
      </c>
      <c r="S3409" s="14">
        <f>R3409/H3409-1</f>
        <v/>
      </c>
      <c r="T3409" s="16" t="inlineStr">
        <is>
          <t>ACIMA +6.2%</t>
        </is>
      </c>
      <c r="U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8" t="n">
        <v>9.09</v>
      </c>
      <c r="L3410" s="8" t="n"/>
      <c r="M3410" s="15" t="n">
        <v>8.869999999999999</v>
      </c>
      <c r="N3410" s="8" t="n"/>
      <c r="O3410" s="8" t="n">
        <v>9.747</v>
      </c>
      <c r="P3410" s="8" t="n"/>
      <c r="Q3410" s="7" t="inlineStr">
        <is>
          <t>CENTROFARMA</t>
        </is>
      </c>
      <c r="R3410" s="8" t="n">
        <v>8.869999999999999</v>
      </c>
      <c r="S3410" s="14">
        <f>R3410/H3410-1</f>
        <v/>
      </c>
      <c r="T3410" s="16" t="inlineStr">
        <is>
          <t>ACIMA +7.4%</t>
        </is>
      </c>
      <c r="U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8" t="n">
        <v>5.29</v>
      </c>
      <c r="L3411" s="8" t="n"/>
      <c r="M3411" s="15" t="n">
        <v>4.73</v>
      </c>
      <c r="N3411" s="8" t="n"/>
      <c r="O3411" s="8" t="n">
        <v>5.757</v>
      </c>
      <c r="P3411" s="8" t="n"/>
      <c r="Q3411" s="7" t="inlineStr">
        <is>
          <t>CENTROFARMA</t>
        </is>
      </c>
      <c r="R3411" s="8" t="n">
        <v>4.73</v>
      </c>
      <c r="S3411" s="14">
        <f>R3411/H3411-1</f>
        <v/>
      </c>
      <c r="T3411" s="16" t="inlineStr">
        <is>
          <t>ACIMA +9.2%</t>
        </is>
      </c>
      <c r="U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8" t="n">
        <v>10.05</v>
      </c>
      <c r="L3412" s="8" t="n"/>
      <c r="M3412" s="15" t="n">
        <v>9.779999999999999</v>
      </c>
      <c r="N3412" s="8" t="n"/>
      <c r="O3412" s="8" t="n">
        <v>10.925</v>
      </c>
      <c r="P3412" s="8" t="n"/>
      <c r="Q3412" s="7" t="inlineStr">
        <is>
          <t>CENTROFARMA</t>
        </is>
      </c>
      <c r="R3412" s="8" t="n">
        <v>9.779999999999999</v>
      </c>
      <c r="S3412" s="14">
        <f>R3412/H3412-1</f>
        <v/>
      </c>
      <c r="T3412" s="16" t="inlineStr">
        <is>
          <t>ACIMA +26.7%</t>
        </is>
      </c>
      <c r="U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8" t="n"/>
      <c r="M3413" s="8" t="n"/>
      <c r="N3413" s="8" t="n"/>
      <c r="O3413" s="8" t="n"/>
      <c r="P3413" s="8" t="n"/>
      <c r="Q3413" s="7" t="inlineStr">
        <is>
          <t>SEM COTAÇÃO</t>
        </is>
      </c>
      <c r="R3413" s="8" t="n"/>
      <c r="S3413" s="14" t="n"/>
      <c r="T3413" s="7" t="inlineStr"/>
      <c r="U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8" t="n">
        <v>8.75</v>
      </c>
      <c r="L3414" s="8" t="n"/>
      <c r="M3414" s="15" t="n">
        <v>8.1</v>
      </c>
      <c r="N3414" s="8" t="n"/>
      <c r="O3414" s="8" t="n">
        <v>8.949</v>
      </c>
      <c r="P3414" s="8" t="n"/>
      <c r="Q3414" s="7" t="inlineStr">
        <is>
          <t>CENTROFARMA</t>
        </is>
      </c>
      <c r="R3414" s="8" t="n">
        <v>8.1</v>
      </c>
      <c r="S3414" s="14">
        <f>R3414/H3414-1</f>
        <v/>
      </c>
      <c r="T3414" s="16" t="inlineStr">
        <is>
          <t>ACIMA +4.0%</t>
        </is>
      </c>
      <c r="U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8" t="n">
        <v>12.49</v>
      </c>
      <c r="L3415" s="8" t="n"/>
      <c r="M3415" s="15" t="n">
        <v>11.97</v>
      </c>
      <c r="N3415" s="8" t="n"/>
      <c r="O3415" s="8" t="n">
        <v>13.148</v>
      </c>
      <c r="P3415" s="8" t="n"/>
      <c r="Q3415" s="7" t="inlineStr">
        <is>
          <t>CENTROFARMA</t>
        </is>
      </c>
      <c r="R3415" s="8" t="n">
        <v>11.97</v>
      </c>
      <c r="S3415" s="14">
        <f>R3415/H3415-1</f>
        <v/>
      </c>
      <c r="T3415" s="16" t="inlineStr">
        <is>
          <t>ACIMA +34.3%</t>
        </is>
      </c>
      <c r="U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8" t="n">
        <v>12.49</v>
      </c>
      <c r="L3416" s="8" t="n"/>
      <c r="M3416" s="15" t="n">
        <v>11.97</v>
      </c>
      <c r="N3416" s="8" t="n"/>
      <c r="O3416" s="8" t="n">
        <v>13.148</v>
      </c>
      <c r="P3416" s="8" t="n"/>
      <c r="Q3416" s="7" t="inlineStr">
        <is>
          <t>CENTROFARMA</t>
        </is>
      </c>
      <c r="R3416" s="8" t="n">
        <v>11.97</v>
      </c>
      <c r="S3416" s="14">
        <f>R3416/H3416-1</f>
        <v/>
      </c>
      <c r="T3416" s="16" t="inlineStr">
        <is>
          <t>ACIMA +5.1%</t>
        </is>
      </c>
      <c r="U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8" t="n">
        <v>5.29</v>
      </c>
      <c r="L3417" s="8" t="n"/>
      <c r="M3417" s="15" t="n">
        <v>4.98</v>
      </c>
      <c r="N3417" s="8" t="n"/>
      <c r="O3417" s="8" t="n">
        <v>5.757</v>
      </c>
      <c r="P3417" s="8" t="n"/>
      <c r="Q3417" s="7" t="inlineStr">
        <is>
          <t>CENTROFARMA</t>
        </is>
      </c>
      <c r="R3417" s="8" t="n">
        <v>4.98</v>
      </c>
      <c r="S3417" s="14">
        <f>R3417/H3417-1</f>
        <v/>
      </c>
      <c r="T3417" s="16" t="inlineStr">
        <is>
          <t>ACIMA +16.1%</t>
        </is>
      </c>
      <c r="U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8" t="n"/>
      <c r="M3418" s="8" t="n"/>
      <c r="N3418" s="8" t="n"/>
      <c r="O3418" s="8" t="n"/>
      <c r="P3418" s="8" t="n"/>
      <c r="Q3418" s="7" t="inlineStr">
        <is>
          <t>SEM COTAÇÃO</t>
        </is>
      </c>
      <c r="R3418" s="8" t="n"/>
      <c r="S3418" s="14" t="n"/>
      <c r="T3418" s="7" t="inlineStr"/>
      <c r="U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8" t="n"/>
      <c r="M3419" s="8" t="n">
        <v>14.79</v>
      </c>
      <c r="N3419" s="8" t="n"/>
      <c r="O3419" s="15" t="n">
        <v>14.7725</v>
      </c>
      <c r="P3419" s="8" t="n"/>
      <c r="Q3419" s="7" t="inlineStr">
        <is>
          <t>NAZARIA</t>
        </is>
      </c>
      <c r="R3419" s="8" t="n">
        <v>14.7725</v>
      </c>
      <c r="S3419" s="14">
        <f>R3419/H3419-1</f>
        <v/>
      </c>
      <c r="T3419" s="16" t="inlineStr">
        <is>
          <t>ACIMA +13.7%</t>
        </is>
      </c>
      <c r="U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8" t="n"/>
      <c r="M3420" s="8" t="n">
        <v>13.71</v>
      </c>
      <c r="N3420" s="8" t="n"/>
      <c r="O3420" s="15" t="n">
        <v>13.4995</v>
      </c>
      <c r="P3420" s="8" t="n"/>
      <c r="Q3420" s="7" t="inlineStr">
        <is>
          <t>NAZARIA</t>
        </is>
      </c>
      <c r="R3420" s="8" t="n">
        <v>13.4995</v>
      </c>
      <c r="S3420" s="14">
        <f>R3420/H3420-1</f>
        <v/>
      </c>
      <c r="T3420" s="16" t="inlineStr">
        <is>
          <t>ACIMA +13.6%</t>
        </is>
      </c>
      <c r="U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8" t="n"/>
      <c r="M3421" s="15" t="n">
        <v>9.81</v>
      </c>
      <c r="N3421" s="8" t="n"/>
      <c r="O3421" s="8" t="n">
        <v>9.6995</v>
      </c>
      <c r="P3421" s="8" t="n"/>
      <c r="Q3421" s="7" t="inlineStr">
        <is>
          <t>CENTROFARMA</t>
        </is>
      </c>
      <c r="R3421" s="8" t="n">
        <v>9.81</v>
      </c>
      <c r="S3421" s="14">
        <f>R3421/H3421-1</f>
        <v/>
      </c>
      <c r="T3421" s="16" t="inlineStr">
        <is>
          <t>ACIMA +14.9%</t>
        </is>
      </c>
      <c r="U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8" t="n"/>
      <c r="M3422" s="15" t="n">
        <v>4.18</v>
      </c>
      <c r="N3422" s="8" t="n"/>
      <c r="O3422" s="8" t="n">
        <v>5.7</v>
      </c>
      <c r="P3422" s="8" t="n"/>
      <c r="Q3422" s="7" t="inlineStr">
        <is>
          <t>CENTROFARMA</t>
        </is>
      </c>
      <c r="R3422" s="8" t="n">
        <v>4.18</v>
      </c>
      <c r="S3422" s="14">
        <f>R3422/H3422-1</f>
        <v/>
      </c>
      <c r="T3422" s="17" t="inlineStr">
        <is>
          <t>OK (≤ menor hist.)</t>
        </is>
      </c>
      <c r="U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8" t="n"/>
      <c r="M3423" s="15" t="n">
        <v>10.52</v>
      </c>
      <c r="N3423" s="8" t="n"/>
      <c r="O3423" s="8" t="n">
        <v>11.4</v>
      </c>
      <c r="P3423" s="8" t="n"/>
      <c r="Q3423" s="7" t="inlineStr">
        <is>
          <t>CENTROFARMA</t>
        </is>
      </c>
      <c r="R3423" s="8" t="n">
        <v>10.52</v>
      </c>
      <c r="S3423" s="14">
        <f>R3423/H3423-1</f>
        <v/>
      </c>
      <c r="T3423" s="16" t="inlineStr">
        <is>
          <t>ACIMA +5.3%</t>
        </is>
      </c>
      <c r="U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8" t="n"/>
      <c r="M3424" s="15" t="n">
        <v>6.6</v>
      </c>
      <c r="N3424" s="8" t="n"/>
      <c r="O3424" s="8" t="n">
        <v>6.6975</v>
      </c>
      <c r="P3424" s="8" t="n"/>
      <c r="Q3424" s="7" t="inlineStr">
        <is>
          <t>CENTROFARMA</t>
        </is>
      </c>
      <c r="R3424" s="8" t="n">
        <v>6.6</v>
      </c>
      <c r="S3424" s="14">
        <f>R3424/H3424-1</f>
        <v/>
      </c>
      <c r="T3424" s="16" t="inlineStr">
        <is>
          <t>ACIMA +12.1%</t>
        </is>
      </c>
      <c r="U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8" t="n"/>
      <c r="M3425" s="8" t="n"/>
      <c r="N3425" s="8" t="n"/>
      <c r="O3425" s="8" t="n"/>
      <c r="P3425" s="8" t="n"/>
      <c r="Q3425" s="7" t="inlineStr">
        <is>
          <t>SEM COTAÇÃO</t>
        </is>
      </c>
      <c r="R3425" s="8" t="n"/>
      <c r="S3425" s="14" t="n"/>
      <c r="T3425" s="7" t="inlineStr"/>
      <c r="U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8" t="n"/>
      <c r="M3426" s="8" t="n"/>
      <c r="N3426" s="8" t="n"/>
      <c r="O3426" s="8" t="n"/>
      <c r="P3426" s="8" t="n"/>
      <c r="Q3426" s="7" t="inlineStr">
        <is>
          <t>SEM COTAÇÃO</t>
        </is>
      </c>
      <c r="R3426" s="8" t="n"/>
      <c r="S3426" s="14" t="n"/>
      <c r="T3426" s="7" t="inlineStr"/>
      <c r="U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8" t="n"/>
      <c r="M3427" s="8" t="n"/>
      <c r="N3427" s="8" t="n"/>
      <c r="O3427" s="8" t="n"/>
      <c r="P3427" s="8" t="n"/>
      <c r="Q3427" s="7" t="inlineStr">
        <is>
          <t>SEM COTAÇÃO</t>
        </is>
      </c>
      <c r="R3427" s="8" t="n"/>
      <c r="S3427" s="14" t="n"/>
      <c r="T3427" s="7" t="inlineStr"/>
      <c r="U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8" t="n"/>
      <c r="M3428" s="8" t="n"/>
      <c r="N3428" s="8" t="n"/>
      <c r="O3428" s="8" t="n"/>
      <c r="P3428" s="8" t="n"/>
      <c r="Q3428" s="7" t="inlineStr">
        <is>
          <t>SEM COTAÇÃO</t>
        </is>
      </c>
      <c r="R3428" s="8" t="n"/>
      <c r="S3428" s="14" t="n"/>
      <c r="T3428" s="7" t="inlineStr"/>
      <c r="U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8" t="n"/>
      <c r="M3429" s="8" t="n"/>
      <c r="N3429" s="8" t="n"/>
      <c r="O3429" s="8" t="n"/>
      <c r="P3429" s="8" t="n"/>
      <c r="Q3429" s="7" t="inlineStr">
        <is>
          <t>SEM COTAÇÃO</t>
        </is>
      </c>
      <c r="R3429" s="8" t="n"/>
      <c r="S3429" s="14" t="n"/>
      <c r="T3429" s="7" t="inlineStr"/>
      <c r="U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8" t="n"/>
      <c r="M3430" s="8" t="n"/>
      <c r="N3430" s="8" t="n"/>
      <c r="O3430" s="8" t="n"/>
      <c r="P3430" s="8" t="n"/>
      <c r="Q3430" s="7" t="inlineStr">
        <is>
          <t>SEM COTAÇÃO</t>
        </is>
      </c>
      <c r="R3430" s="8" t="n"/>
      <c r="S3430" s="14" t="n"/>
      <c r="T3430" s="7" t="inlineStr"/>
      <c r="U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8" t="n"/>
      <c r="M3431" s="8" t="n"/>
      <c r="N3431" s="8" t="n"/>
      <c r="O3431" s="8" t="n"/>
      <c r="P3431" s="8" t="n"/>
      <c r="Q3431" s="7" t="inlineStr">
        <is>
          <t>SEM COTAÇÃO</t>
        </is>
      </c>
      <c r="R3431" s="8" t="n"/>
      <c r="S3431" s="14" t="n"/>
      <c r="T3431" s="7" t="inlineStr"/>
      <c r="U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8" t="n"/>
      <c r="M3432" s="8" t="n"/>
      <c r="N3432" s="8" t="n"/>
      <c r="O3432" s="8" t="n"/>
      <c r="P3432" s="8" t="n"/>
      <c r="Q3432" s="7" t="inlineStr">
        <is>
          <t>SEM COTAÇÃO</t>
        </is>
      </c>
      <c r="R3432" s="8" t="n"/>
      <c r="S3432" s="14" t="n"/>
      <c r="T3432" s="7" t="inlineStr"/>
      <c r="U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8" t="n"/>
      <c r="M3433" s="8" t="n"/>
      <c r="N3433" s="8" t="n"/>
      <c r="O3433" s="8" t="n"/>
      <c r="P3433" s="8" t="n"/>
      <c r="Q3433" s="7" t="inlineStr">
        <is>
          <t>SEM COTAÇÃO</t>
        </is>
      </c>
      <c r="R3433" s="8" t="n"/>
      <c r="S3433" s="14" t="n"/>
      <c r="T3433" s="7" t="inlineStr"/>
      <c r="U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8" t="n">
        <v>4.35</v>
      </c>
      <c r="L3434" s="8" t="n"/>
      <c r="M3434" s="15" t="n">
        <v>4.23</v>
      </c>
      <c r="N3434" s="8" t="n"/>
      <c r="O3434" s="8" t="n">
        <v>4.806999999999999</v>
      </c>
      <c r="P3434" s="8" t="n"/>
      <c r="Q3434" s="7" t="inlineStr">
        <is>
          <t>CENTROFARMA</t>
        </is>
      </c>
      <c r="R3434" s="8" t="n">
        <v>4.23</v>
      </c>
      <c r="S3434" s="14">
        <f>R3434/H3434-1</f>
        <v/>
      </c>
      <c r="T3434" s="16" t="inlineStr">
        <is>
          <t>ACIMA +5.2%</t>
        </is>
      </c>
      <c r="U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8" t="n"/>
      <c r="M3435" s="8" t="n"/>
      <c r="N3435" s="8" t="n"/>
      <c r="O3435" s="8" t="n"/>
      <c r="P3435" s="8" t="n"/>
      <c r="Q3435" s="7" t="inlineStr">
        <is>
          <t>SEM COTAÇÃO</t>
        </is>
      </c>
      <c r="R3435" s="8" t="n"/>
      <c r="S3435" s="14" t="n"/>
      <c r="T3435" s="7" t="inlineStr"/>
      <c r="U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8" t="n"/>
      <c r="M3436" s="15" t="n">
        <v>8.460000000000001</v>
      </c>
      <c r="N3436" s="8" t="n"/>
      <c r="O3436" s="8" t="n">
        <v>8.968</v>
      </c>
      <c r="P3436" s="8" t="n"/>
      <c r="Q3436" s="7" t="inlineStr">
        <is>
          <t>CENTROFARMA</t>
        </is>
      </c>
      <c r="R3436" s="8" t="n">
        <v>8.460000000000001</v>
      </c>
      <c r="S3436" s="14">
        <f>R3436/H3436-1</f>
        <v/>
      </c>
      <c r="T3436" s="16" t="inlineStr">
        <is>
          <t>ACIMA +11.8%</t>
        </is>
      </c>
      <c r="U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8" t="n"/>
      <c r="M3437" s="15" t="n">
        <v>3.93</v>
      </c>
      <c r="N3437" s="8" t="n"/>
      <c r="O3437" s="8" t="n">
        <v>4.465</v>
      </c>
      <c r="P3437" s="8" t="n"/>
      <c r="Q3437" s="7" t="inlineStr">
        <is>
          <t>CENTROFARMA</t>
        </is>
      </c>
      <c r="R3437" s="8" t="n">
        <v>3.93</v>
      </c>
      <c r="S3437" s="14">
        <f>R3437/H3437-1</f>
        <v/>
      </c>
      <c r="T3437" s="16" t="inlineStr">
        <is>
          <t>ACIMA +0.5%</t>
        </is>
      </c>
      <c r="U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8" t="n"/>
      <c r="M3438" s="15" t="n">
        <v>4.76</v>
      </c>
      <c r="N3438" s="8" t="n"/>
      <c r="O3438" s="8" t="n"/>
      <c r="P3438" s="8" t="n"/>
      <c r="Q3438" s="7" t="inlineStr">
        <is>
          <t>CENTROFARMA</t>
        </is>
      </c>
      <c r="R3438" s="8" t="n">
        <v>4.76</v>
      </c>
      <c r="S3438" s="14">
        <f>R3438/H3438-1</f>
        <v/>
      </c>
      <c r="T3438" s="17" t="inlineStr">
        <is>
          <t>OK (≤ menor hist.)</t>
        </is>
      </c>
      <c r="U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8" t="n"/>
      <c r="M3439" s="15" t="n">
        <v>5.18</v>
      </c>
      <c r="N3439" s="8" t="n"/>
      <c r="O3439" s="8" t="n">
        <v>5.7</v>
      </c>
      <c r="P3439" s="8" t="n"/>
      <c r="Q3439" s="7" t="inlineStr">
        <is>
          <t>CENTROFARMA</t>
        </is>
      </c>
      <c r="R3439" s="8" t="n">
        <v>5.18</v>
      </c>
      <c r="S3439" s="14">
        <f>R3439/H3439-1</f>
        <v/>
      </c>
      <c r="T3439" s="16" t="inlineStr">
        <is>
          <t>ACIMA +5.3%</t>
        </is>
      </c>
      <c r="U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8" t="n"/>
      <c r="M3440" s="15" t="n">
        <v>3.8</v>
      </c>
      <c r="N3440" s="8" t="n"/>
      <c r="O3440" s="8" t="n">
        <v>5.7</v>
      </c>
      <c r="P3440" s="8" t="n"/>
      <c r="Q3440" s="7" t="inlineStr">
        <is>
          <t>CENTROFARMA</t>
        </is>
      </c>
      <c r="R3440" s="8" t="n">
        <v>3.8</v>
      </c>
      <c r="S3440" s="14">
        <f>R3440/H3440-1</f>
        <v/>
      </c>
      <c r="T3440" s="17" t="inlineStr">
        <is>
          <t>OK (≤ menor hist.)</t>
        </is>
      </c>
      <c r="U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8" t="n"/>
      <c r="M3441" s="15" t="n">
        <v>8.56</v>
      </c>
      <c r="N3441" s="8" t="n"/>
      <c r="O3441" s="8" t="n">
        <v>8.968</v>
      </c>
      <c r="P3441" s="8" t="n"/>
      <c r="Q3441" s="7" t="inlineStr">
        <is>
          <t>CENTROFARMA</t>
        </is>
      </c>
      <c r="R3441" s="8" t="n">
        <v>8.56</v>
      </c>
      <c r="S3441" s="14">
        <f>R3441/H3441-1</f>
        <v/>
      </c>
      <c r="T3441" s="16" t="inlineStr">
        <is>
          <t>ACIMA +12.2%</t>
        </is>
      </c>
      <c r="U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8" t="n"/>
      <c r="M3442" s="8" t="n">
        <v>9.859999999999999</v>
      </c>
      <c r="N3442" s="8" t="n"/>
      <c r="O3442" s="15" t="n">
        <v>9.6995</v>
      </c>
      <c r="P3442" s="8" t="n"/>
      <c r="Q3442" s="7" t="inlineStr">
        <is>
          <t>NAZARIA</t>
        </is>
      </c>
      <c r="R3442" s="8" t="n">
        <v>9.6995</v>
      </c>
      <c r="S3442" s="14">
        <f>R3442/H3442-1</f>
        <v/>
      </c>
      <c r="T3442" s="16" t="inlineStr">
        <is>
          <t>ACIMA +13.6%</t>
        </is>
      </c>
      <c r="U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8" t="n"/>
      <c r="M3443" s="8" t="n">
        <v>2.36</v>
      </c>
      <c r="N3443" s="8" t="n"/>
      <c r="O3443" s="8" t="n"/>
      <c r="P3443" s="8" t="n">
        <v>2.48</v>
      </c>
      <c r="Q3443" s="7" t="inlineStr">
        <is>
          <t>DIMEC</t>
        </is>
      </c>
      <c r="R3443" s="8" t="n">
        <v>2.33</v>
      </c>
      <c r="S3443" s="14">
        <f>R3443/H3443-1</f>
        <v/>
      </c>
      <c r="T3443" s="16" t="inlineStr">
        <is>
          <t>ACIMA +5.0%</t>
        </is>
      </c>
      <c r="U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8" t="n"/>
      <c r="M3444" s="8" t="n">
        <v>2.22</v>
      </c>
      <c r="N3444" s="8" t="n"/>
      <c r="O3444" s="8" t="n"/>
      <c r="P3444" s="8" t="n">
        <v>2.28</v>
      </c>
      <c r="Q3444" s="7" t="inlineStr">
        <is>
          <t>DIMEC</t>
        </is>
      </c>
      <c r="R3444" s="8" t="n">
        <v>2.17</v>
      </c>
      <c r="S3444" s="14">
        <f>R3444/H3444-1</f>
        <v/>
      </c>
      <c r="T3444" s="16" t="inlineStr">
        <is>
          <t>ACIMA +2.8%</t>
        </is>
      </c>
      <c r="U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8" t="n"/>
      <c r="M3445" s="8" t="n">
        <v>2.26</v>
      </c>
      <c r="N3445" s="8" t="n"/>
      <c r="O3445" s="8" t="n"/>
      <c r="P3445" s="8" t="n">
        <v>2.29</v>
      </c>
      <c r="Q3445" s="7" t="inlineStr">
        <is>
          <t>DIMEC</t>
        </is>
      </c>
      <c r="R3445" s="8" t="n">
        <v>2.21</v>
      </c>
      <c r="S3445" s="14">
        <f>R3445/H3445-1</f>
        <v/>
      </c>
      <c r="T3445" s="16" t="inlineStr">
        <is>
          <t>ACIMA +3.3%</t>
        </is>
      </c>
      <c r="U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8" t="n"/>
      <c r="M3446" s="8" t="n">
        <v>4.62</v>
      </c>
      <c r="N3446" s="8" t="n"/>
      <c r="O3446" s="8" t="n"/>
      <c r="P3446" s="8" t="n">
        <v>4.81</v>
      </c>
      <c r="Q3446" s="7" t="inlineStr">
        <is>
          <t>DIMEC</t>
        </is>
      </c>
      <c r="R3446" s="8" t="n">
        <v>4.55</v>
      </c>
      <c r="S3446" s="14">
        <f>R3446/H3446-1</f>
        <v/>
      </c>
      <c r="T3446" s="16" t="inlineStr">
        <is>
          <t>ACIMA +3.9%</t>
        </is>
      </c>
      <c r="U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8" t="n"/>
      <c r="M3447" s="8" t="n"/>
      <c r="N3447" s="8" t="n"/>
      <c r="O3447" s="8" t="n"/>
      <c r="P3447" s="8" t="n"/>
      <c r="Q3447" s="7" t="inlineStr">
        <is>
          <t>SEM COTAÇÃO</t>
        </is>
      </c>
      <c r="R3447" s="8" t="n"/>
      <c r="S3447" s="14" t="n"/>
      <c r="T3447" s="7" t="inlineStr"/>
      <c r="U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8" t="n"/>
      <c r="M3448" s="8" t="n"/>
      <c r="N3448" s="8" t="n"/>
      <c r="O3448" s="8" t="n"/>
      <c r="P3448" s="8" t="n"/>
      <c r="Q3448" s="7" t="inlineStr">
        <is>
          <t>SEM COTAÇÃO</t>
        </is>
      </c>
      <c r="R3448" s="8" t="n"/>
      <c r="S3448" s="14" t="n"/>
      <c r="T3448" s="7" t="inlineStr"/>
      <c r="U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8" t="n"/>
      <c r="M3449" s="8" t="n"/>
      <c r="N3449" s="8" t="n"/>
      <c r="O3449" s="8" t="n"/>
      <c r="P3449" s="8" t="n"/>
      <c r="Q3449" s="7" t="inlineStr">
        <is>
          <t>SEM COTAÇÃO</t>
        </is>
      </c>
      <c r="R3449" s="8" t="n"/>
      <c r="S3449" s="14" t="n"/>
      <c r="T3449" s="7" t="inlineStr"/>
      <c r="U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8" t="n"/>
      <c r="M3450" s="8" t="n"/>
      <c r="N3450" s="8" t="n"/>
      <c r="O3450" s="8" t="n"/>
      <c r="P3450" s="8" t="n"/>
      <c r="Q3450" s="7" t="inlineStr">
        <is>
          <t>SEM COTAÇÃO</t>
        </is>
      </c>
      <c r="R3450" s="8" t="n"/>
      <c r="S3450" s="14" t="n"/>
      <c r="T3450" s="7" t="inlineStr"/>
      <c r="U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8" t="n"/>
      <c r="M3451" s="8" t="n"/>
      <c r="N3451" s="8" t="n"/>
      <c r="O3451" s="8" t="n"/>
      <c r="P3451" s="8" t="n"/>
      <c r="Q3451" s="7" t="inlineStr">
        <is>
          <t>SEM COTAÇÃO</t>
        </is>
      </c>
      <c r="R3451" s="8" t="n"/>
      <c r="S3451" s="14" t="n"/>
      <c r="T3451" s="7" t="inlineStr"/>
      <c r="U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8" t="n"/>
      <c r="M3452" s="8" t="n"/>
      <c r="N3452" s="8" t="n"/>
      <c r="O3452" s="8" t="n"/>
      <c r="P3452" s="8" t="n"/>
      <c r="Q3452" s="7" t="inlineStr">
        <is>
          <t>SEM COTAÇÃO</t>
        </is>
      </c>
      <c r="R3452" s="8" t="n"/>
      <c r="S3452" s="14" t="n"/>
      <c r="T3452" s="7" t="inlineStr"/>
      <c r="U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15" t="n">
        <v>69.47</v>
      </c>
      <c r="M3453" s="8" t="n"/>
      <c r="N3453" s="8" t="n"/>
      <c r="O3453" s="8" t="n">
        <v>70.44239999999999</v>
      </c>
      <c r="P3453" s="8" t="n"/>
      <c r="Q3453" s="7" t="inlineStr">
        <is>
          <t>EPAN</t>
        </is>
      </c>
      <c r="R3453" s="8" t="n">
        <v>69.47</v>
      </c>
      <c r="S3453" s="14">
        <f>R3453/H3453-1</f>
        <v/>
      </c>
      <c r="T3453" s="17" t="inlineStr">
        <is>
          <t>OK (≤ últ. compra)</t>
        </is>
      </c>
      <c r="U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8" t="n"/>
      <c r="M3454" s="8" t="n"/>
      <c r="N3454" s="8" t="n"/>
      <c r="O3454" s="8" t="n"/>
      <c r="P3454" s="8" t="n"/>
      <c r="Q3454" s="7" t="inlineStr">
        <is>
          <t>SEM COTAÇÃO</t>
        </is>
      </c>
      <c r="R3454" s="8" t="n"/>
      <c r="S3454" s="14" t="n"/>
      <c r="T3454" s="7" t="inlineStr"/>
      <c r="U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8" t="n"/>
      <c r="M3455" s="8" t="n"/>
      <c r="N3455" s="8" t="n"/>
      <c r="O3455" s="15" t="n">
        <v>35.24</v>
      </c>
      <c r="P3455" s="8" t="n"/>
      <c r="Q3455" s="7" t="inlineStr">
        <is>
          <t>NAZARIA</t>
        </is>
      </c>
      <c r="R3455" s="8" t="n">
        <v>35.24</v>
      </c>
      <c r="S3455" s="14">
        <f>R3455/H3455-1</f>
        <v/>
      </c>
      <c r="T3455" s="16" t="inlineStr">
        <is>
          <t>ACIMA +14.4%</t>
        </is>
      </c>
      <c r="U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8" t="n"/>
      <c r="M3456" s="8" t="n"/>
      <c r="N3456" s="8" t="n"/>
      <c r="O3456" s="15" t="n">
        <v>45.01</v>
      </c>
      <c r="P3456" s="8" t="n"/>
      <c r="Q3456" s="7" t="inlineStr">
        <is>
          <t>NAZARIA</t>
        </is>
      </c>
      <c r="R3456" s="8" t="n">
        <v>45.01</v>
      </c>
      <c r="S3456" s="14">
        <f>R3456/H3456-1</f>
        <v/>
      </c>
      <c r="T3456" s="16" t="inlineStr">
        <is>
          <t>ACIMA +16.5%</t>
        </is>
      </c>
      <c r="U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8" t="n"/>
      <c r="M3457" s="8" t="n"/>
      <c r="N3457" s="8" t="n"/>
      <c r="O3457" s="15" t="n">
        <v>82.53</v>
      </c>
      <c r="P3457" s="8" t="n"/>
      <c r="Q3457" s="7" t="inlineStr">
        <is>
          <t>NAZARIA</t>
        </is>
      </c>
      <c r="R3457" s="8" t="n">
        <v>82.53</v>
      </c>
      <c r="S3457" s="14">
        <f>R3457/H3457-1</f>
        <v/>
      </c>
      <c r="T3457" s="16" t="inlineStr">
        <is>
          <t>ACIMA +20.6%</t>
        </is>
      </c>
      <c r="U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8" t="n"/>
      <c r="M3458" s="8" t="n"/>
      <c r="N3458" s="8" t="n"/>
      <c r="O3458" s="15" t="n">
        <v>45.47</v>
      </c>
      <c r="P3458" s="8" t="n"/>
      <c r="Q3458" s="7" t="inlineStr">
        <is>
          <t>NAZARIA</t>
        </is>
      </c>
      <c r="R3458" s="8" t="n">
        <v>45.47</v>
      </c>
      <c r="S3458" s="14">
        <f>R3458/H3458-1</f>
        <v/>
      </c>
      <c r="T3458" s="16" t="inlineStr">
        <is>
          <t>ACIMA +11.5%</t>
        </is>
      </c>
      <c r="U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8" t="n"/>
      <c r="M3459" s="8" t="n"/>
      <c r="N3459" s="8" t="n"/>
      <c r="O3459" s="15" t="n">
        <v>41.26</v>
      </c>
      <c r="P3459" s="8" t="n"/>
      <c r="Q3459" s="7" t="inlineStr">
        <is>
          <t>NAZARIA</t>
        </is>
      </c>
      <c r="R3459" s="8" t="n">
        <v>41.26</v>
      </c>
      <c r="S3459" s="14">
        <f>R3459/H3459-1</f>
        <v/>
      </c>
      <c r="T3459" s="16" t="inlineStr">
        <is>
          <t>ACIMA +6.8%</t>
        </is>
      </c>
      <c r="U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8" t="n"/>
      <c r="M3460" s="8" t="n"/>
      <c r="N3460" s="8" t="n"/>
      <c r="O3460" s="15" t="n">
        <v>40.85</v>
      </c>
      <c r="P3460" s="8" t="n"/>
      <c r="Q3460" s="7" t="inlineStr">
        <is>
          <t>NAZARIA</t>
        </is>
      </c>
      <c r="R3460" s="8" t="n">
        <v>40.85</v>
      </c>
      <c r="S3460" s="14">
        <f>R3460/H3460-1</f>
        <v/>
      </c>
      <c r="T3460" s="16" t="inlineStr">
        <is>
          <t>ACIMA +11.2%</t>
        </is>
      </c>
      <c r="U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8" t="n"/>
      <c r="M3461" s="8" t="n"/>
      <c r="N3461" s="8" t="n"/>
      <c r="O3461" s="8" t="n"/>
      <c r="P3461" s="8" t="n"/>
      <c r="Q3461" s="7" t="inlineStr">
        <is>
          <t>SEM COTAÇÃO</t>
        </is>
      </c>
      <c r="R3461" s="8" t="n"/>
      <c r="S3461" s="14" t="n"/>
      <c r="T3461" s="7" t="inlineStr"/>
      <c r="U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8" t="n"/>
      <c r="M3462" s="8" t="n"/>
      <c r="N3462" s="8" t="n"/>
      <c r="O3462" s="15" t="n">
        <v>61.69</v>
      </c>
      <c r="P3462" s="8" t="n"/>
      <c r="Q3462" s="7" t="inlineStr">
        <is>
          <t>NAZARIA</t>
        </is>
      </c>
      <c r="R3462" s="8" t="n">
        <v>61.69</v>
      </c>
      <c r="S3462" s="14">
        <f>R3462/H3462-1</f>
        <v/>
      </c>
      <c r="T3462" s="16" t="inlineStr">
        <is>
          <t>ACIMA +14.6%</t>
        </is>
      </c>
      <c r="U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8" t="n"/>
      <c r="M3463" s="8" t="n"/>
      <c r="N3463" s="8" t="n"/>
      <c r="O3463" s="8" t="n"/>
      <c r="P3463" s="8" t="n"/>
      <c r="Q3463" s="7" t="inlineStr">
        <is>
          <t>SEM COTAÇÃO</t>
        </is>
      </c>
      <c r="R3463" s="8" t="n"/>
      <c r="S3463" s="14" t="n"/>
      <c r="T3463" s="7" t="inlineStr"/>
      <c r="U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8" t="n"/>
      <c r="M3464" s="8" t="n"/>
      <c r="N3464" s="8" t="n"/>
      <c r="O3464" s="8" t="n"/>
      <c r="P3464" s="8" t="n"/>
      <c r="Q3464" s="7" t="inlineStr">
        <is>
          <t>SEM COTAÇÃO</t>
        </is>
      </c>
      <c r="R3464" s="8" t="n"/>
      <c r="S3464" s="14" t="n"/>
      <c r="T3464" s="7" t="inlineStr"/>
      <c r="U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8" t="n"/>
      <c r="M3465" s="8" t="n"/>
      <c r="N3465" s="8" t="n"/>
      <c r="O3465" s="8" t="n"/>
      <c r="P3465" s="8" t="n"/>
      <c r="Q3465" s="7" t="inlineStr">
        <is>
          <t>SEM COTAÇÃO</t>
        </is>
      </c>
      <c r="R3465" s="8" t="n"/>
      <c r="S3465" s="14" t="n"/>
      <c r="T3465" s="7" t="inlineStr"/>
      <c r="U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15" t="n">
        <v>41.77</v>
      </c>
      <c r="M3466" s="8" t="n"/>
      <c r="N3466" s="8" t="n"/>
      <c r="O3466" s="8" t="n">
        <v>47.87</v>
      </c>
      <c r="P3466" s="8" t="n"/>
      <c r="Q3466" s="7" t="inlineStr">
        <is>
          <t>EPAN</t>
        </is>
      </c>
      <c r="R3466" s="8" t="n">
        <v>41.77</v>
      </c>
      <c r="S3466" s="14">
        <f>R3466/H3466-1</f>
        <v/>
      </c>
      <c r="T3466" s="17" t="inlineStr">
        <is>
          <t>OK (≤ últ. compra)</t>
        </is>
      </c>
      <c r="U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15" t="n">
        <v>41.77</v>
      </c>
      <c r="M3467" s="8" t="n"/>
      <c r="N3467" s="8" t="n"/>
      <c r="O3467" s="8" t="n">
        <v>47.87</v>
      </c>
      <c r="P3467" s="8" t="n"/>
      <c r="Q3467" s="7" t="inlineStr">
        <is>
          <t>EPAN</t>
        </is>
      </c>
      <c r="R3467" s="8" t="n">
        <v>41.77</v>
      </c>
      <c r="S3467" s="14">
        <f>R3467/H3467-1</f>
        <v/>
      </c>
      <c r="T3467" s="16" t="inlineStr">
        <is>
          <t>ACIMA +0.0%</t>
        </is>
      </c>
      <c r="U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8" t="n">
        <v>84.06999999999999</v>
      </c>
      <c r="M3468" s="8" t="n"/>
      <c r="N3468" s="8" t="n"/>
      <c r="O3468" s="15" t="n">
        <v>83.40000000000001</v>
      </c>
      <c r="P3468" s="8" t="n"/>
      <c r="Q3468" s="7" t="inlineStr">
        <is>
          <t>NAZARIA</t>
        </is>
      </c>
      <c r="R3468" s="8" t="n">
        <v>83.40000000000001</v>
      </c>
      <c r="S3468" s="14">
        <f>R3468/H3468-1</f>
        <v/>
      </c>
      <c r="T3468" s="17" t="inlineStr">
        <is>
          <t>OK (≤ últ. compra)</t>
        </is>
      </c>
      <c r="U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8" t="n">
        <v>5.308333333333334</v>
      </c>
      <c r="M3469" s="8" t="n"/>
      <c r="N3469" s="8" t="n"/>
      <c r="O3469" s="15" t="n">
        <v>5.242249999999999</v>
      </c>
      <c r="P3469" s="8" t="n"/>
      <c r="Q3469" s="7" t="inlineStr">
        <is>
          <t>NAZARIA</t>
        </is>
      </c>
      <c r="R3469" s="8" t="n">
        <v>5.242249999999999</v>
      </c>
      <c r="S3469" s="14">
        <f>R3469/H3469-1</f>
        <v/>
      </c>
      <c r="T3469" s="17" t="inlineStr">
        <is>
          <t>OK (≤ últ. compra)</t>
        </is>
      </c>
      <c r="U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8" t="n"/>
      <c r="M3470" s="8" t="n"/>
      <c r="N3470" s="8" t="n"/>
      <c r="O3470" s="8" t="n"/>
      <c r="P3470" s="8" t="n"/>
      <c r="Q3470" s="7" t="inlineStr">
        <is>
          <t>SEM COTAÇÃO</t>
        </is>
      </c>
      <c r="R3470" s="8" t="n"/>
      <c r="S3470" s="14" t="n"/>
      <c r="T3470" s="7" t="inlineStr"/>
      <c r="U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8" t="n"/>
      <c r="M3471" s="8" t="n"/>
      <c r="N3471" s="8" t="n"/>
      <c r="O3471" s="8" t="n"/>
      <c r="P3471" s="8" t="n"/>
      <c r="Q3471" s="7" t="inlineStr">
        <is>
          <t>SEM COTAÇÃO</t>
        </is>
      </c>
      <c r="R3471" s="8" t="n"/>
      <c r="S3471" s="14" t="n"/>
      <c r="T3471" s="7" t="inlineStr"/>
      <c r="U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8" t="n"/>
      <c r="M3472" s="8" t="n"/>
      <c r="N3472" s="8" t="n"/>
      <c r="O3472" s="8" t="n"/>
      <c r="P3472" s="8" t="n"/>
      <c r="Q3472" s="7" t="inlineStr">
        <is>
          <t>SEM COTAÇÃO</t>
        </is>
      </c>
      <c r="R3472" s="8" t="n"/>
      <c r="S3472" s="14" t="n"/>
      <c r="T3472" s="7" t="inlineStr"/>
      <c r="U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8" t="n"/>
      <c r="M3473" s="8" t="n"/>
      <c r="N3473" s="8" t="n"/>
      <c r="O3473" s="8" t="n"/>
      <c r="P3473" s="8" t="n"/>
      <c r="Q3473" s="7" t="inlineStr">
        <is>
          <t>SEM COTAÇÃO</t>
        </is>
      </c>
      <c r="R3473" s="8" t="n"/>
      <c r="S3473" s="14" t="n"/>
      <c r="T3473" s="7" t="inlineStr"/>
      <c r="U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8" t="n"/>
      <c r="M3474" s="8" t="n"/>
      <c r="N3474" s="8" t="n"/>
      <c r="O3474" s="8" t="n"/>
      <c r="P3474" s="8" t="n"/>
      <c r="Q3474" s="7" t="inlineStr">
        <is>
          <t>SEM COTAÇÃO</t>
        </is>
      </c>
      <c r="R3474" s="8" t="n"/>
      <c r="S3474" s="14" t="n"/>
      <c r="T3474" s="7" t="inlineStr"/>
      <c r="U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8" t="n"/>
      <c r="M3475" s="8" t="n"/>
      <c r="N3475" s="8" t="n"/>
      <c r="O3475" s="8" t="n"/>
      <c r="P3475" s="8" t="n"/>
      <c r="Q3475" s="7" t="inlineStr">
        <is>
          <t>SEM COTAÇÃO</t>
        </is>
      </c>
      <c r="R3475" s="8" t="n"/>
      <c r="S3475" s="14" t="n"/>
      <c r="T3475" s="7" t="inlineStr"/>
      <c r="U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15" t="n">
        <v>6.85</v>
      </c>
      <c r="L3476" s="8" t="n"/>
      <c r="M3476" s="8" t="n"/>
      <c r="N3476" s="8" t="n"/>
      <c r="O3476" s="8" t="n"/>
      <c r="P3476" s="8" t="n">
        <v>7.28</v>
      </c>
      <c r="Q3476" s="7" t="inlineStr">
        <is>
          <t>PLUSFARMA</t>
        </is>
      </c>
      <c r="R3476" s="8" t="n">
        <v>6.85</v>
      </c>
      <c r="S3476" s="14">
        <f>R3476/H3476-1</f>
        <v/>
      </c>
      <c r="T3476" s="16" t="inlineStr">
        <is>
          <t>ACIMA +10.7%</t>
        </is>
      </c>
      <c r="U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8" t="n"/>
      <c r="M3477" s="8" t="n"/>
      <c r="N3477" s="8" t="n"/>
      <c r="O3477" s="8" t="n"/>
      <c r="P3477" s="8" t="n"/>
      <c r="Q3477" s="7" t="inlineStr">
        <is>
          <t>SEM COTAÇÃO</t>
        </is>
      </c>
      <c r="R3477" s="8" t="n"/>
      <c r="S3477" s="14" t="n"/>
      <c r="T3477" s="7" t="inlineStr"/>
      <c r="U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8" t="n"/>
      <c r="M3478" s="8" t="n"/>
      <c r="N3478" s="8" t="n"/>
      <c r="O3478" s="8" t="n">
        <v>8.109999999999999</v>
      </c>
      <c r="P3478" s="8" t="n"/>
      <c r="Q3478" s="7" t="inlineStr">
        <is>
          <t>SEM COTAÇÃO</t>
        </is>
      </c>
      <c r="R3478" s="8" t="n"/>
      <c r="S3478" s="14" t="n"/>
      <c r="T3478" s="7" t="inlineStr"/>
      <c r="U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8" t="n"/>
      <c r="M3479" s="8" t="n"/>
      <c r="N3479" s="8" t="n"/>
      <c r="O3479" s="8" t="n">
        <v>8.109999999999999</v>
      </c>
      <c r="P3479" s="8" t="n"/>
      <c r="Q3479" s="7" t="inlineStr">
        <is>
          <t>SEM COTAÇÃO</t>
        </is>
      </c>
      <c r="R3479" s="8" t="n"/>
      <c r="S3479" s="14" t="n"/>
      <c r="T3479" s="7" t="inlineStr"/>
      <c r="U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8" t="n"/>
      <c r="M3480" s="8" t="n"/>
      <c r="N3480" s="8" t="n"/>
      <c r="O3480" s="15" t="n">
        <v>7.82</v>
      </c>
      <c r="P3480" s="8" t="n"/>
      <c r="Q3480" s="7" t="inlineStr">
        <is>
          <t>NAZARIA</t>
        </is>
      </c>
      <c r="R3480" s="8" t="n">
        <v>7.82</v>
      </c>
      <c r="S3480" s="14">
        <f>R3480/H3480-1</f>
        <v/>
      </c>
      <c r="T3480" s="16" t="inlineStr">
        <is>
          <t>ACIMA +9.5%</t>
        </is>
      </c>
      <c r="U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8" t="n"/>
      <c r="M3481" s="8" t="n"/>
      <c r="N3481" s="8" t="n"/>
      <c r="O3481" s="8" t="n"/>
      <c r="P3481" s="8" t="n"/>
      <c r="Q3481" s="7" t="inlineStr">
        <is>
          <t>SEM COTAÇÃO</t>
        </is>
      </c>
      <c r="R3481" s="8" t="n"/>
      <c r="S3481" s="14" t="n"/>
      <c r="T3481" s="7" t="inlineStr"/>
      <c r="U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8" t="n"/>
      <c r="M3482" s="8" t="n"/>
      <c r="N3482" s="8" t="n"/>
      <c r="O3482" s="8" t="n"/>
      <c r="P3482" s="8" t="n"/>
      <c r="Q3482" s="7" t="inlineStr">
        <is>
          <t>SEM COTAÇÃO</t>
        </is>
      </c>
      <c r="R3482" s="8" t="n"/>
      <c r="S3482" s="14" t="n"/>
      <c r="T3482" s="7" t="inlineStr"/>
      <c r="U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8" t="n"/>
      <c r="M3483" s="8" t="n"/>
      <c r="N3483" s="8" t="n"/>
      <c r="O3483" s="8" t="n"/>
      <c r="P3483" s="8" t="n"/>
      <c r="Q3483" s="7" t="inlineStr">
        <is>
          <t>SEM COTAÇÃO</t>
        </is>
      </c>
      <c r="R3483" s="8" t="n"/>
      <c r="S3483" s="14" t="n"/>
      <c r="T3483" s="7" t="inlineStr"/>
      <c r="U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8" t="n"/>
      <c r="M3484" s="8" t="n"/>
      <c r="N3484" s="8" t="n"/>
      <c r="O3484" s="15" t="n">
        <v>13.72</v>
      </c>
      <c r="P3484" s="8" t="n"/>
      <c r="Q3484" s="7" t="inlineStr">
        <is>
          <t>NAZARIA</t>
        </is>
      </c>
      <c r="R3484" s="8" t="n">
        <v>13.72</v>
      </c>
      <c r="S3484" s="14">
        <f>R3484/H3484-1</f>
        <v/>
      </c>
      <c r="T3484" s="16" t="inlineStr">
        <is>
          <t>ACIMA +23.6%</t>
        </is>
      </c>
      <c r="U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8" t="n"/>
      <c r="M3485" s="8" t="n"/>
      <c r="N3485" s="8" t="n"/>
      <c r="O3485" s="8" t="n"/>
      <c r="P3485" s="8" t="n"/>
      <c r="Q3485" s="7" t="inlineStr">
        <is>
          <t>SEM COTAÇÃO</t>
        </is>
      </c>
      <c r="R3485" s="8" t="n"/>
      <c r="S3485" s="14" t="n"/>
      <c r="T3485" s="7" t="inlineStr"/>
      <c r="U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8" t="n"/>
      <c r="M3486" s="8" t="n"/>
      <c r="N3486" s="8" t="n"/>
      <c r="O3486" s="8" t="n"/>
      <c r="P3486" s="8" t="n"/>
      <c r="Q3486" s="7" t="inlineStr">
        <is>
          <t>SEM COTAÇÃO</t>
        </is>
      </c>
      <c r="R3486" s="8" t="n"/>
      <c r="S3486" s="14" t="n"/>
      <c r="T3486" s="7" t="inlineStr"/>
      <c r="U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15" t="n">
        <v>41.52</v>
      </c>
      <c r="M3487" s="8" t="n"/>
      <c r="N3487" s="8" t="n"/>
      <c r="O3487" s="8" t="n">
        <v>61.46</v>
      </c>
      <c r="P3487" s="8" t="n"/>
      <c r="Q3487" s="7" t="inlineStr">
        <is>
          <t>EPAN</t>
        </is>
      </c>
      <c r="R3487" s="8" t="n">
        <v>41.52</v>
      </c>
      <c r="S3487" s="14">
        <f>R3487/H3487-1</f>
        <v/>
      </c>
      <c r="T3487" s="17" t="inlineStr">
        <is>
          <t>OK (≤ menor hist.)</t>
        </is>
      </c>
      <c r="U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8" t="n"/>
      <c r="M3488" s="8" t="n"/>
      <c r="N3488" s="8" t="n"/>
      <c r="O3488" s="15" t="n">
        <v>76.68000000000001</v>
      </c>
      <c r="P3488" s="8" t="n"/>
      <c r="Q3488" s="7" t="inlineStr">
        <is>
          <t>NAZARIA</t>
        </is>
      </c>
      <c r="R3488" s="8" t="n">
        <v>76.68000000000001</v>
      </c>
      <c r="S3488" s="14">
        <f>R3488/H3488-1</f>
        <v/>
      </c>
      <c r="T3488" s="16" t="inlineStr">
        <is>
          <t>ACIMA +49.1%</t>
        </is>
      </c>
      <c r="U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8" t="n">
        <v>28.09</v>
      </c>
      <c r="M3489" s="8" t="n"/>
      <c r="N3489" s="8" t="n"/>
      <c r="O3489" s="15" t="n">
        <v>35.95</v>
      </c>
      <c r="P3489" s="8" t="n"/>
      <c r="Q3489" s="7" t="inlineStr">
        <is>
          <t>NAZARIA</t>
        </is>
      </c>
      <c r="R3489" s="8" t="n">
        <v>35.95</v>
      </c>
      <c r="S3489" s="14">
        <f>R3489/H3489-1</f>
        <v/>
      </c>
      <c r="T3489" s="16" t="inlineStr">
        <is>
          <t>ACIMA +0.4%</t>
        </is>
      </c>
      <c r="U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15" t="n">
        <v>29.1</v>
      </c>
      <c r="M3490" s="8" t="n"/>
      <c r="N3490" s="8" t="n"/>
      <c r="O3490" s="8" t="n">
        <v>44.1</v>
      </c>
      <c r="P3490" s="8" t="n"/>
      <c r="Q3490" s="7" t="inlineStr">
        <is>
          <t>EPAN</t>
        </is>
      </c>
      <c r="R3490" s="8" t="n">
        <v>29.1</v>
      </c>
      <c r="S3490" s="14">
        <f>R3490/H3490-1</f>
        <v/>
      </c>
      <c r="T3490" s="17" t="inlineStr">
        <is>
          <t>OK (≤ menor hist.)</t>
        </is>
      </c>
      <c r="U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8" t="n"/>
      <c r="M3491" s="8" t="n"/>
      <c r="N3491" s="8" t="n"/>
      <c r="O3491" s="8" t="n"/>
      <c r="P3491" s="8" t="n"/>
      <c r="Q3491" s="7" t="inlineStr">
        <is>
          <t>SEM COTAÇÃO</t>
        </is>
      </c>
      <c r="R3491" s="8" t="n"/>
      <c r="S3491" s="14" t="n"/>
      <c r="T3491" s="7" t="inlineStr"/>
      <c r="U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8" t="n"/>
      <c r="M3492" s="8" t="n"/>
      <c r="N3492" s="8" t="n"/>
      <c r="O3492" s="8" t="n"/>
      <c r="P3492" s="8" t="n"/>
      <c r="Q3492" s="7" t="inlineStr">
        <is>
          <t>SEM COTAÇÃO</t>
        </is>
      </c>
      <c r="R3492" s="8" t="n"/>
      <c r="S3492" s="14" t="n"/>
      <c r="T3492" s="7" t="inlineStr"/>
      <c r="U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8" t="n"/>
      <c r="M3493" s="8" t="n"/>
      <c r="N3493" s="8" t="n"/>
      <c r="O3493" s="8" t="n"/>
      <c r="P3493" s="8" t="n"/>
      <c r="Q3493" s="7" t="inlineStr">
        <is>
          <t>SEM COTAÇÃO</t>
        </is>
      </c>
      <c r="R3493" s="8" t="n"/>
      <c r="S3493" s="14" t="n"/>
      <c r="T3493" s="7" t="inlineStr"/>
      <c r="U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8" t="n"/>
      <c r="M3494" s="8" t="n"/>
      <c r="N3494" s="8" t="n"/>
      <c r="O3494" s="8" t="n"/>
      <c r="P3494" s="8" t="n"/>
      <c r="Q3494" s="7" t="inlineStr">
        <is>
          <t>SEM COTAÇÃO</t>
        </is>
      </c>
      <c r="R3494" s="8" t="n"/>
      <c r="S3494" s="14" t="n"/>
      <c r="T3494" s="7" t="inlineStr"/>
      <c r="U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8" t="n"/>
      <c r="M3495" s="8" t="n"/>
      <c r="N3495" s="8" t="n"/>
      <c r="O3495" s="8" t="n"/>
      <c r="P3495" s="8" t="n"/>
      <c r="Q3495" s="7" t="inlineStr">
        <is>
          <t>SEM COTAÇÃO</t>
        </is>
      </c>
      <c r="R3495" s="8" t="n"/>
      <c r="S3495" s="14" t="n"/>
      <c r="T3495" s="7" t="inlineStr"/>
      <c r="U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8" t="n"/>
      <c r="M3496" s="8" t="n"/>
      <c r="N3496" s="8" t="n"/>
      <c r="O3496" s="8" t="n"/>
      <c r="P3496" s="8" t="n"/>
      <c r="Q3496" s="7" t="inlineStr">
        <is>
          <t>SEM COTAÇÃO</t>
        </is>
      </c>
      <c r="R3496" s="8" t="n"/>
      <c r="S3496" s="14" t="n"/>
      <c r="T3496" s="7" t="inlineStr"/>
      <c r="U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8" t="n"/>
      <c r="M3497" s="8" t="n"/>
      <c r="N3497" s="8" t="n"/>
      <c r="O3497" s="8" t="n"/>
      <c r="P3497" s="8" t="n"/>
      <c r="Q3497" s="7" t="inlineStr">
        <is>
          <t>SEM COTAÇÃO</t>
        </is>
      </c>
      <c r="R3497" s="8" t="n"/>
      <c r="S3497" s="14" t="n"/>
      <c r="T3497" s="7" t="inlineStr"/>
      <c r="U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8" t="n"/>
      <c r="M3498" s="8" t="n"/>
      <c r="N3498" s="8" t="n"/>
      <c r="O3498" s="8" t="n"/>
      <c r="P3498" s="8" t="n"/>
      <c r="Q3498" s="7" t="inlineStr">
        <is>
          <t>SEM COTAÇÃO</t>
        </is>
      </c>
      <c r="R3498" s="8" t="n"/>
      <c r="S3498" s="14" t="n"/>
      <c r="T3498" s="7" t="inlineStr"/>
      <c r="U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8" t="n"/>
      <c r="M3499" s="8" t="n"/>
      <c r="N3499" s="8" t="n"/>
      <c r="O3499" s="8" t="n"/>
      <c r="P3499" s="8" t="n"/>
      <c r="Q3499" s="7" t="inlineStr">
        <is>
          <t>SEM COTAÇÃO</t>
        </is>
      </c>
      <c r="R3499" s="8" t="n"/>
      <c r="S3499" s="14" t="n"/>
      <c r="T3499" s="7" t="inlineStr"/>
      <c r="U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8" t="n"/>
      <c r="M3500" s="8" t="n"/>
      <c r="N3500" s="8" t="n"/>
      <c r="O3500" s="8" t="n"/>
      <c r="P3500" s="8" t="n"/>
      <c r="Q3500" s="7" t="inlineStr">
        <is>
          <t>SEM COTAÇÃO</t>
        </is>
      </c>
      <c r="R3500" s="8" t="n"/>
      <c r="S3500" s="14" t="n"/>
      <c r="T3500" s="7" t="inlineStr"/>
      <c r="U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8" t="n"/>
      <c r="M3501" s="8" t="n"/>
      <c r="N3501" s="8" t="n"/>
      <c r="O3501" s="15" t="n">
        <v>5.76</v>
      </c>
      <c r="P3501" s="8" t="n"/>
      <c r="Q3501" s="7" t="inlineStr">
        <is>
          <t>NAZARIA</t>
        </is>
      </c>
      <c r="R3501" s="8" t="n">
        <v>5.76</v>
      </c>
      <c r="S3501" s="14">
        <f>R3501/H3501-1</f>
        <v/>
      </c>
      <c r="T3501" s="16" t="inlineStr">
        <is>
          <t>ACIMA +42.8%</t>
        </is>
      </c>
      <c r="U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8" t="n"/>
      <c r="M3502" s="8" t="n"/>
      <c r="N3502" s="8" t="n"/>
      <c r="O3502" s="8" t="n">
        <v>5.76</v>
      </c>
      <c r="P3502" s="8" t="n"/>
      <c r="Q3502" s="7" t="inlineStr">
        <is>
          <t>SEM COTAÇÃO</t>
        </is>
      </c>
      <c r="R3502" s="8" t="n"/>
      <c r="S3502" s="14" t="n"/>
      <c r="T3502" s="7" t="inlineStr"/>
      <c r="U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8" t="n"/>
      <c r="M3503" s="8" t="n"/>
      <c r="N3503" s="8" t="n"/>
      <c r="O3503" s="8" t="n"/>
      <c r="P3503" s="8" t="n"/>
      <c r="Q3503" s="7" t="inlineStr">
        <is>
          <t>SEM COTAÇÃO</t>
        </is>
      </c>
      <c r="R3503" s="8" t="n"/>
      <c r="S3503" s="14" t="n"/>
      <c r="T3503" s="7" t="inlineStr"/>
      <c r="U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8" t="n"/>
      <c r="M3504" s="8" t="n"/>
      <c r="N3504" s="8" t="n"/>
      <c r="O3504" s="8" t="n"/>
      <c r="P3504" s="8" t="n"/>
      <c r="Q3504" s="7" t="inlineStr">
        <is>
          <t>SEM COTAÇÃO</t>
        </is>
      </c>
      <c r="R3504" s="8" t="n"/>
      <c r="S3504" s="14" t="n"/>
      <c r="T3504" s="7" t="inlineStr"/>
      <c r="U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8" t="n"/>
      <c r="M3505" s="8" t="n"/>
      <c r="N3505" s="8" t="n"/>
      <c r="O3505" s="15" t="n">
        <v>11.98</v>
      </c>
      <c r="P3505" s="8" t="n"/>
      <c r="Q3505" s="7" t="inlineStr">
        <is>
          <t>NAZARIA</t>
        </is>
      </c>
      <c r="R3505" s="8" t="n">
        <v>11.98</v>
      </c>
      <c r="S3505" s="14">
        <f>R3505/H3505-1</f>
        <v/>
      </c>
      <c r="T3505" s="16" t="inlineStr">
        <is>
          <t>ACIMA +8.2%</t>
        </is>
      </c>
      <c r="U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8" t="n"/>
      <c r="M3506" s="8" t="n"/>
      <c r="N3506" s="8" t="n"/>
      <c r="O3506" s="15" t="n">
        <v>44.11</v>
      </c>
      <c r="P3506" s="8" t="n"/>
      <c r="Q3506" s="7" t="inlineStr">
        <is>
          <t>NAZARIA</t>
        </is>
      </c>
      <c r="R3506" s="8" t="n">
        <v>44.11</v>
      </c>
      <c r="S3506" s="14">
        <f>R3506/H3506-1</f>
        <v/>
      </c>
      <c r="T3506" s="16" t="inlineStr">
        <is>
          <t>ACIMA +14.2%</t>
        </is>
      </c>
      <c r="U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8" t="n"/>
      <c r="M3507" s="8" t="n"/>
      <c r="N3507" s="8" t="n"/>
      <c r="O3507" s="15" t="n">
        <v>44.11</v>
      </c>
      <c r="P3507" s="8" t="n"/>
      <c r="Q3507" s="7" t="inlineStr">
        <is>
          <t>NAZARIA</t>
        </is>
      </c>
      <c r="R3507" s="8" t="n">
        <v>44.11</v>
      </c>
      <c r="S3507" s="14">
        <f>R3507/H3507-1</f>
        <v/>
      </c>
      <c r="T3507" s="16" t="inlineStr">
        <is>
          <t>ACIMA +14.2%</t>
        </is>
      </c>
      <c r="U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8" t="n"/>
      <c r="M3508" s="8" t="n"/>
      <c r="N3508" s="8" t="n"/>
      <c r="O3508" s="8" t="n"/>
      <c r="P3508" s="8" t="n"/>
      <c r="Q3508" s="7" t="inlineStr">
        <is>
          <t>SEM COTAÇÃO</t>
        </is>
      </c>
      <c r="R3508" s="8" t="n"/>
      <c r="S3508" s="14" t="n"/>
      <c r="T3508" s="7" t="inlineStr"/>
      <c r="U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8" t="n"/>
      <c r="M3509" s="8" t="n"/>
      <c r="N3509" s="8" t="n"/>
      <c r="O3509" s="15" t="n">
        <v>43.423725</v>
      </c>
      <c r="P3509" s="8" t="n"/>
      <c r="Q3509" s="7" t="inlineStr">
        <is>
          <t>NAZARIA</t>
        </is>
      </c>
      <c r="R3509" s="8" t="n">
        <v>43.423725</v>
      </c>
      <c r="S3509" s="14">
        <f>R3509/H3509-1</f>
        <v/>
      </c>
      <c r="T3509" s="17" t="inlineStr">
        <is>
          <t>OK (≤ últ. compra)</t>
        </is>
      </c>
      <c r="U3509" s="7" t="inlineStr">
        <is>
          <t>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15" t="n">
        <v>41.06</v>
      </c>
      <c r="M3510" s="8" t="n"/>
      <c r="N3510" s="8" t="n"/>
      <c r="O3510" s="8" t="n">
        <v>43.33015</v>
      </c>
      <c r="P3510" s="8" t="n"/>
      <c r="Q3510" s="7" t="inlineStr">
        <is>
          <t>EPAN</t>
        </is>
      </c>
      <c r="R3510" s="8" t="n">
        <v>41.06</v>
      </c>
      <c r="S3510" s="14">
        <f>R3510/H3510-1</f>
        <v/>
      </c>
      <c r="T3510" s="17" t="inlineStr">
        <is>
          <t>OK (≤ últ. compra)</t>
        </is>
      </c>
      <c r="U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8" t="n"/>
      <c r="M3511" s="8" t="n"/>
      <c r="N3511" s="8" t="n"/>
      <c r="O3511" s="8" t="n"/>
      <c r="P3511" s="8" t="n"/>
      <c r="Q3511" s="7" t="inlineStr">
        <is>
          <t>SEM COTAÇÃO</t>
        </is>
      </c>
      <c r="R3511" s="8" t="n"/>
      <c r="S3511" s="14" t="n"/>
      <c r="T3511" s="7" t="inlineStr"/>
      <c r="U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8" t="n">
        <v>18.03</v>
      </c>
      <c r="M3512" s="8" t="n"/>
      <c r="N3512" s="8" t="n"/>
      <c r="O3512" s="8" t="n">
        <v>18.5367</v>
      </c>
      <c r="P3512" s="8" t="n"/>
      <c r="Q3512" s="7" t="inlineStr">
        <is>
          <t>SEM COTAÇÃO</t>
        </is>
      </c>
      <c r="R3512" s="8" t="n"/>
      <c r="S3512" s="14" t="n"/>
      <c r="T3512" s="7" t="inlineStr"/>
      <c r="U3512" s="7" t="inlineStr">
        <is>
          <t>EPAN: sem estoque; 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8" t="n"/>
      <c r="M3513" s="8" t="n"/>
      <c r="N3513" s="15" t="n">
        <v>13.36</v>
      </c>
      <c r="O3513" s="8" t="n">
        <v>13.4054</v>
      </c>
      <c r="P3513" s="8" t="n"/>
      <c r="Q3513" s="7" t="inlineStr">
        <is>
          <t>TAPAJOS</t>
        </is>
      </c>
      <c r="R3513" s="8" t="n">
        <v>13.36</v>
      </c>
      <c r="S3513" s="14">
        <f>R3513/H3513-1</f>
        <v/>
      </c>
      <c r="T3513" s="16" t="inlineStr">
        <is>
          <t>ACIMA +0.1%</t>
        </is>
      </c>
      <c r="U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15" t="n">
        <v>8.26</v>
      </c>
      <c r="M3514" s="8" t="n"/>
      <c r="N3514" s="8" t="n"/>
      <c r="O3514" s="8" t="n">
        <v>8.487500000000001</v>
      </c>
      <c r="P3514" s="8" t="n"/>
      <c r="Q3514" s="7" t="inlineStr">
        <is>
          <t>EPAN</t>
        </is>
      </c>
      <c r="R3514" s="8" t="n">
        <v>8.26</v>
      </c>
      <c r="S3514" s="14">
        <f>R3514/H3514-1</f>
        <v/>
      </c>
      <c r="T3514" s="16" t="inlineStr">
        <is>
          <t>ACIMA +0.1%</t>
        </is>
      </c>
      <c r="U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15" t="n">
        <v>14.43</v>
      </c>
      <c r="M3515" s="8" t="n"/>
      <c r="N3515" s="8" t="n">
        <v>14.78</v>
      </c>
      <c r="O3515" s="8" t="n">
        <v>14.8313</v>
      </c>
      <c r="P3515" s="8" t="n"/>
      <c r="Q3515" s="7" t="inlineStr">
        <is>
          <t>EPAN</t>
        </is>
      </c>
      <c r="R3515" s="8" t="n">
        <v>14.43</v>
      </c>
      <c r="S3515" s="14">
        <f>R3515/H3515-1</f>
        <v/>
      </c>
      <c r="T3515" s="17" t="inlineStr">
        <is>
          <t>OK (≤ últ. compra)</t>
        </is>
      </c>
      <c r="U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15" t="n">
        <v>13.74</v>
      </c>
      <c r="M3516" s="8" t="n"/>
      <c r="N3516" s="8" t="n"/>
      <c r="O3516" s="8" t="n">
        <v>14.1232</v>
      </c>
      <c r="P3516" s="8" t="n"/>
      <c r="Q3516" s="7" t="inlineStr">
        <is>
          <t>EPAN</t>
        </is>
      </c>
      <c r="R3516" s="8" t="n">
        <v>13.74</v>
      </c>
      <c r="S3516" s="14">
        <f>R3516/H3516-1</f>
        <v/>
      </c>
      <c r="T3516" s="17" t="inlineStr">
        <is>
          <t>OK (≤ últ. compra)</t>
        </is>
      </c>
      <c r="U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8" t="n"/>
      <c r="M3517" s="8" t="n"/>
      <c r="N3517" s="8" t="n"/>
      <c r="O3517" s="8" t="n"/>
      <c r="P3517" s="8" t="n"/>
      <c r="Q3517" s="7" t="inlineStr">
        <is>
          <t>SEM COTAÇÃO</t>
        </is>
      </c>
      <c r="R3517" s="8" t="n"/>
      <c r="S3517" s="14" t="n"/>
      <c r="T3517" s="7" t="inlineStr"/>
      <c r="U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8" t="n">
        <v>18.98</v>
      </c>
      <c r="M3518" s="8" t="n"/>
      <c r="N3518" s="8" t="n"/>
      <c r="O3518" s="8" t="n">
        <v>19.5067</v>
      </c>
      <c r="P3518" s="8" t="n"/>
      <c r="Q3518" s="7" t="inlineStr">
        <is>
          <t>SEM COTAÇÃO</t>
        </is>
      </c>
      <c r="R3518" s="8" t="n"/>
      <c r="S3518" s="14" t="n"/>
      <c r="T3518" s="7" t="inlineStr"/>
      <c r="U3518" s="7" t="inlineStr">
        <is>
          <t>EPAN: sem estoque; 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8" t="n"/>
      <c r="M3519" s="8" t="n"/>
      <c r="N3519" s="8" t="n"/>
      <c r="O3519" s="8" t="n"/>
      <c r="P3519" s="8" t="n"/>
      <c r="Q3519" s="7" t="inlineStr">
        <is>
          <t>SEM COTAÇÃO</t>
        </is>
      </c>
      <c r="R3519" s="8" t="n"/>
      <c r="S3519" s="14" t="n"/>
      <c r="T3519" s="7" t="inlineStr"/>
      <c r="U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8" t="n"/>
      <c r="M3520" s="8" t="n"/>
      <c r="N3520" s="8" t="n"/>
      <c r="O3520" s="15" t="n">
        <v>21.03</v>
      </c>
      <c r="P3520" s="8" t="n"/>
      <c r="Q3520" s="7" t="inlineStr">
        <is>
          <t>NAZARIA</t>
        </is>
      </c>
      <c r="R3520" s="8" t="n">
        <v>21.03</v>
      </c>
      <c r="S3520" s="14">
        <f>R3520/H3520-1</f>
        <v/>
      </c>
      <c r="T3520" s="16" t="inlineStr">
        <is>
          <t>ACIMA +106.2%</t>
        </is>
      </c>
      <c r="U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8" t="n"/>
      <c r="M3521" s="8" t="n"/>
      <c r="N3521" s="8" t="n"/>
      <c r="O3521" s="8" t="n"/>
      <c r="P3521" s="8" t="n"/>
      <c r="Q3521" s="7" t="inlineStr">
        <is>
          <t>SEM COTAÇÃO</t>
        </is>
      </c>
      <c r="R3521" s="8" t="n"/>
      <c r="S3521" s="14" t="n"/>
      <c r="T3521" s="7" t="inlineStr"/>
      <c r="U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8" t="n"/>
      <c r="M3522" s="8" t="n"/>
      <c r="N3522" s="8" t="n"/>
      <c r="O3522" s="8" t="n"/>
      <c r="P3522" s="8" t="n"/>
      <c r="Q3522" s="7" t="inlineStr">
        <is>
          <t>SEM COTAÇÃO</t>
        </is>
      </c>
      <c r="R3522" s="8" t="n"/>
      <c r="S3522" s="14" t="n"/>
      <c r="T3522" s="7" t="inlineStr"/>
      <c r="U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8" t="n"/>
      <c r="M3523" s="8" t="n"/>
      <c r="N3523" s="8" t="n"/>
      <c r="O3523" s="15" t="n">
        <v>54.3394</v>
      </c>
      <c r="P3523" s="8" t="n"/>
      <c r="Q3523" s="7" t="inlineStr">
        <is>
          <t>NAZARIA</t>
        </is>
      </c>
      <c r="R3523" s="8" t="n">
        <v>54.3394</v>
      </c>
      <c r="S3523" s="14">
        <f>R3523/H3523-1</f>
        <v/>
      </c>
      <c r="T3523" s="16" t="inlineStr">
        <is>
          <t>ACIMA +10.3%</t>
        </is>
      </c>
      <c r="U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8" t="n"/>
      <c r="M3524" s="8" t="n"/>
      <c r="N3524" s="8" t="n"/>
      <c r="O3524" s="8" t="n"/>
      <c r="P3524" s="8" t="n"/>
      <c r="Q3524" s="7" t="inlineStr">
        <is>
          <t>SEM COTAÇÃO</t>
        </is>
      </c>
      <c r="R3524" s="8" t="n"/>
      <c r="S3524" s="14" t="n"/>
      <c r="T3524" s="7" t="inlineStr"/>
      <c r="U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8" t="n"/>
      <c r="M3525" s="8" t="n"/>
      <c r="N3525" s="8" t="n"/>
      <c r="O3525" s="8" t="n"/>
      <c r="P3525" s="8" t="n"/>
      <c r="Q3525" s="7" t="inlineStr">
        <is>
          <t>SEM COTAÇÃO</t>
        </is>
      </c>
      <c r="R3525" s="8" t="n"/>
      <c r="S3525" s="14" t="n"/>
      <c r="T3525" s="7" t="inlineStr"/>
      <c r="U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8" t="n"/>
      <c r="M3526" s="8" t="n"/>
      <c r="N3526" s="8" t="n"/>
      <c r="O3526" s="8" t="n"/>
      <c r="P3526" s="8" t="n"/>
      <c r="Q3526" s="7" t="inlineStr">
        <is>
          <t>SEM COTAÇÃO</t>
        </is>
      </c>
      <c r="R3526" s="8" t="n"/>
      <c r="S3526" s="14" t="n"/>
      <c r="T3526" s="7" t="inlineStr"/>
      <c r="U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8" t="n"/>
      <c r="M3527" s="8" t="n"/>
      <c r="N3527" s="8" t="n"/>
      <c r="O3527" s="8" t="n"/>
      <c r="P3527" s="8" t="n"/>
      <c r="Q3527" s="7" t="inlineStr">
        <is>
          <t>SEM COTAÇÃO</t>
        </is>
      </c>
      <c r="R3527" s="8" t="n"/>
      <c r="S3527" s="14" t="n"/>
      <c r="T3527" s="7" t="inlineStr"/>
      <c r="U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15" t="n">
        <v>6.88</v>
      </c>
      <c r="K3528" s="8" t="n"/>
      <c r="L3528" s="8" t="n"/>
      <c r="M3528" s="8" t="n"/>
      <c r="N3528" s="8" t="n"/>
      <c r="O3528" s="8" t="n"/>
      <c r="P3528" s="8" t="n"/>
      <c r="Q3528" s="7" t="inlineStr">
        <is>
          <t>DIMEC</t>
        </is>
      </c>
      <c r="R3528" s="8" t="n">
        <v>6.88</v>
      </c>
      <c r="S3528" s="14">
        <f>R3528/H3528-1</f>
        <v/>
      </c>
      <c r="T3528" s="16" t="inlineStr">
        <is>
          <t>ACIMA +22.9%</t>
        </is>
      </c>
      <c r="U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8" t="n"/>
      <c r="M3529" s="8" t="n"/>
      <c r="N3529" s="8" t="n"/>
      <c r="O3529" s="8" t="n"/>
      <c r="P3529" s="8" t="n"/>
      <c r="Q3529" s="7" t="inlineStr">
        <is>
          <t>SEM COTAÇÃO</t>
        </is>
      </c>
      <c r="R3529" s="8" t="n"/>
      <c r="S3529" s="14" t="n"/>
      <c r="T3529" s="7" t="inlineStr"/>
      <c r="U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8" t="n"/>
      <c r="M3530" s="8" t="n"/>
      <c r="N3530" s="8" t="n"/>
      <c r="O3530" s="8" t="n"/>
      <c r="P3530" s="8" t="n"/>
      <c r="Q3530" s="7" t="inlineStr">
        <is>
          <t>SEM COTAÇÃO</t>
        </is>
      </c>
      <c r="R3530" s="8" t="n"/>
      <c r="S3530" s="14" t="n"/>
      <c r="T3530" s="7" t="inlineStr"/>
      <c r="U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7" t="inlineStr">
        <is>
          <t>SEM COTAÇÃO</t>
        </is>
      </c>
      <c r="R3531" s="8" t="n"/>
      <c r="S3531" s="14" t="n"/>
      <c r="T3531" s="7" t="inlineStr"/>
      <c r="U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8" t="n"/>
      <c r="M3532" s="8" t="n"/>
      <c r="N3532" s="8" t="n"/>
      <c r="O3532" s="8" t="n"/>
      <c r="P3532" s="8" t="n"/>
      <c r="Q3532" s="7" t="inlineStr">
        <is>
          <t>SEM COTAÇÃO</t>
        </is>
      </c>
      <c r="R3532" s="8" t="n"/>
      <c r="S3532" s="14" t="n"/>
      <c r="T3532" s="7" t="inlineStr"/>
      <c r="U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8" t="n"/>
      <c r="M3533" s="8" t="n">
        <v>21.71</v>
      </c>
      <c r="N3533" s="8" t="n">
        <v>24.96</v>
      </c>
      <c r="O3533" s="8" t="n"/>
      <c r="P3533" s="8" t="n">
        <v>22.66</v>
      </c>
      <c r="Q3533" s="7" t="inlineStr">
        <is>
          <t>DIMEC</t>
        </is>
      </c>
      <c r="R3533" s="8" t="n">
        <v>20.33</v>
      </c>
      <c r="S3533" s="14">
        <f>R3533/H3533-1</f>
        <v/>
      </c>
      <c r="T3533" s="17" t="inlineStr">
        <is>
          <t>OK (≤ menor hist.)</t>
        </is>
      </c>
      <c r="U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8" t="n"/>
      <c r="M3534" s="8" t="n"/>
      <c r="N3534" s="8" t="n"/>
      <c r="O3534" s="8" t="n"/>
      <c r="P3534" s="8" t="n"/>
      <c r="Q3534" s="7" t="inlineStr">
        <is>
          <t>SEM COTAÇÃO</t>
        </is>
      </c>
      <c r="R3534" s="8" t="n"/>
      <c r="S3534" s="14" t="n"/>
      <c r="T3534" s="7" t="inlineStr"/>
      <c r="U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8" t="n"/>
      <c r="M3535" s="8" t="n"/>
      <c r="N3535" s="8" t="n"/>
      <c r="O3535" s="8" t="n"/>
      <c r="P3535" s="8" t="n"/>
      <c r="Q3535" s="7" t="inlineStr">
        <is>
          <t>SEM COTAÇÃO</t>
        </is>
      </c>
      <c r="R3535" s="8" t="n"/>
      <c r="S3535" s="14" t="n"/>
      <c r="T3535" s="7" t="inlineStr"/>
      <c r="U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7" t="inlineStr">
        <is>
          <t>SEM COTAÇÃO</t>
        </is>
      </c>
      <c r="R3536" s="8" t="n"/>
      <c r="S3536" s="14" t="n"/>
      <c r="T3536" s="7" t="inlineStr"/>
      <c r="U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7" t="inlineStr">
        <is>
          <t>SEM COTAÇÃO</t>
        </is>
      </c>
      <c r="R3537" s="8" t="n"/>
      <c r="S3537" s="14" t="n"/>
      <c r="T3537" s="7" t="inlineStr"/>
      <c r="U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8" t="n"/>
      <c r="M3538" s="8" t="n"/>
      <c r="N3538" s="8" t="n"/>
      <c r="O3538" s="15" t="n">
        <v>15.664891</v>
      </c>
      <c r="P3538" s="8" t="n">
        <v>15.89</v>
      </c>
      <c r="Q3538" s="7" t="inlineStr">
        <is>
          <t>NAZARIA</t>
        </is>
      </c>
      <c r="R3538" s="8" t="n">
        <v>15.664891</v>
      </c>
      <c r="S3538" s="14">
        <f>R3538/H3538-1</f>
        <v/>
      </c>
      <c r="T3538" s="16" t="inlineStr">
        <is>
          <t>ACIMA +9.3%</t>
        </is>
      </c>
      <c r="U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8" t="n"/>
      <c r="M3539" s="8" t="n"/>
      <c r="N3539" s="8" t="n"/>
      <c r="O3539" s="8" t="n"/>
      <c r="P3539" s="8" t="n"/>
      <c r="Q3539" s="7" t="inlineStr">
        <is>
          <t>SEM COTAÇÃO</t>
        </is>
      </c>
      <c r="R3539" s="8" t="n"/>
      <c r="S3539" s="14" t="n"/>
      <c r="T3539" s="7" t="inlineStr"/>
      <c r="U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8" t="n"/>
      <c r="M3540" s="8" t="n"/>
      <c r="N3540" s="8" t="n"/>
      <c r="O3540" s="8" t="n"/>
      <c r="P3540" s="8" t="n"/>
      <c r="Q3540" s="7" t="inlineStr">
        <is>
          <t>SEM COTAÇÃO</t>
        </is>
      </c>
      <c r="R3540" s="8" t="n"/>
      <c r="S3540" s="14" t="n"/>
      <c r="T3540" s="7" t="inlineStr"/>
      <c r="U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8" t="n"/>
      <c r="M3541" s="8" t="n"/>
      <c r="N3541" s="8" t="n"/>
      <c r="O3541" s="8" t="n"/>
      <c r="P3541" s="8" t="n"/>
      <c r="Q3541" s="7" t="inlineStr">
        <is>
          <t>SEM COTAÇÃO</t>
        </is>
      </c>
      <c r="R3541" s="8" t="n"/>
      <c r="S3541" s="14" t="n"/>
      <c r="T3541" s="7" t="inlineStr"/>
      <c r="U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8" t="n"/>
      <c r="M3542" s="8" t="n"/>
      <c r="N3542" s="8" t="n"/>
      <c r="O3542" s="8" t="n"/>
      <c r="P3542" s="8" t="n"/>
      <c r="Q3542" s="7" t="inlineStr">
        <is>
          <t>SEM COTAÇÃO</t>
        </is>
      </c>
      <c r="R3542" s="8" t="n"/>
      <c r="S3542" s="14" t="n"/>
      <c r="T3542" s="7" t="inlineStr"/>
      <c r="U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8" t="n"/>
      <c r="M3543" s="8" t="n"/>
      <c r="N3543" s="8" t="n"/>
      <c r="O3543" s="8" t="n"/>
      <c r="P3543" s="8" t="n"/>
      <c r="Q3543" s="7" t="inlineStr">
        <is>
          <t>SEM COTAÇÃO</t>
        </is>
      </c>
      <c r="R3543" s="8" t="n"/>
      <c r="S3543" s="14" t="n"/>
      <c r="T3543" s="7" t="inlineStr"/>
      <c r="U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8" t="n"/>
      <c r="M3544" s="8" t="n"/>
      <c r="N3544" s="8" t="n"/>
      <c r="O3544" s="8" t="n">
        <v>32.8</v>
      </c>
      <c r="P3544" s="8" t="n"/>
      <c r="Q3544" s="7" t="inlineStr">
        <is>
          <t>SEM COTAÇÃO</t>
        </is>
      </c>
      <c r="R3544" s="8" t="n"/>
      <c r="S3544" s="14" t="n"/>
      <c r="T3544" s="7" t="inlineStr"/>
      <c r="U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8" t="n"/>
      <c r="M3545" s="8" t="n"/>
      <c r="N3545" s="8" t="n"/>
      <c r="O3545" s="8" t="n"/>
      <c r="P3545" s="8" t="n"/>
      <c r="Q3545" s="7" t="inlineStr">
        <is>
          <t>SEM COTAÇÃO</t>
        </is>
      </c>
      <c r="R3545" s="8" t="n"/>
      <c r="S3545" s="14" t="n"/>
      <c r="T3545" s="7" t="inlineStr"/>
      <c r="U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8" t="n">
        <v>51.02</v>
      </c>
      <c r="M3546" s="8" t="n"/>
      <c r="N3546" s="8" t="n"/>
      <c r="O3546" s="15" t="n">
        <v>49.1</v>
      </c>
      <c r="P3546" s="8" t="n"/>
      <c r="Q3546" s="7" t="inlineStr">
        <is>
          <t>NAZARIA</t>
        </is>
      </c>
      <c r="R3546" s="8" t="n">
        <v>49.1</v>
      </c>
      <c r="S3546" s="14">
        <f>R3546/H3546-1</f>
        <v/>
      </c>
      <c r="T3546" s="17" t="inlineStr">
        <is>
          <t>OK (≤ menor hist.)</t>
        </is>
      </c>
      <c r="U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8" t="n">
        <v>36.65</v>
      </c>
      <c r="M3547" s="8" t="n"/>
      <c r="N3547" s="8" t="n"/>
      <c r="O3547" s="15" t="n">
        <v>36.7824</v>
      </c>
      <c r="P3547" s="8" t="n"/>
      <c r="Q3547" s="7" t="inlineStr">
        <is>
          <t>NAZARIA</t>
        </is>
      </c>
      <c r="R3547" s="8" t="n">
        <v>36.7824</v>
      </c>
      <c r="S3547" s="14">
        <f>R3547/H3547-1</f>
        <v/>
      </c>
      <c r="T3547" s="16" t="inlineStr">
        <is>
          <t>ACIMA +11.8%</t>
        </is>
      </c>
      <c r="U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8" t="n"/>
      <c r="M3548" s="8" t="n"/>
      <c r="N3548" s="8" t="n"/>
      <c r="O3548" s="8" t="n">
        <v>6.18054</v>
      </c>
      <c r="P3548" s="8" t="n"/>
      <c r="Q3548" s="7" t="inlineStr">
        <is>
          <t>DIMEC</t>
        </is>
      </c>
      <c r="R3548" s="8" t="n">
        <v>4.14</v>
      </c>
      <c r="S3548" s="14">
        <f>R3548/H3548-1</f>
        <v/>
      </c>
      <c r="T3548" s="16" t="inlineStr">
        <is>
          <t>ACIMA +19.4%</t>
        </is>
      </c>
      <c r="U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8" t="n"/>
      <c r="M3549" s="8" t="n"/>
      <c r="N3549" s="8" t="n"/>
      <c r="O3549" s="8" t="n"/>
      <c r="P3549" s="8" t="n"/>
      <c r="Q3549" s="7" t="inlineStr">
        <is>
          <t>SEM COTAÇÃO</t>
        </is>
      </c>
      <c r="R3549" s="8" t="n"/>
      <c r="S3549" s="14" t="n"/>
      <c r="T3549" s="7" t="inlineStr"/>
      <c r="U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8" t="n"/>
      <c r="M3550" s="8" t="n"/>
      <c r="N3550" s="8" t="n"/>
      <c r="O3550" s="8" t="n"/>
      <c r="P3550" s="8" t="n"/>
      <c r="Q3550" s="7" t="inlineStr">
        <is>
          <t>SEM COTAÇÃO</t>
        </is>
      </c>
      <c r="R3550" s="8" t="n"/>
      <c r="S3550" s="14" t="n"/>
      <c r="T3550" s="7" t="inlineStr"/>
      <c r="U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8" t="n"/>
      <c r="M3551" s="8" t="n"/>
      <c r="N3551" s="8" t="n"/>
      <c r="O3551" s="8" t="n"/>
      <c r="P3551" s="8" t="n"/>
      <c r="Q3551" s="7" t="inlineStr">
        <is>
          <t>SEM COTAÇÃO</t>
        </is>
      </c>
      <c r="R3551" s="8" t="n"/>
      <c r="S3551" s="14" t="n"/>
      <c r="T3551" s="7" t="inlineStr"/>
      <c r="U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8" t="n"/>
      <c r="M3552" s="8" t="n"/>
      <c r="N3552" s="8" t="n"/>
      <c r="O3552" s="8" t="n">
        <v>6.1</v>
      </c>
      <c r="P3552" s="8" t="n"/>
      <c r="Q3552" s="7" t="inlineStr">
        <is>
          <t>SEM COTAÇÃO</t>
        </is>
      </c>
      <c r="R3552" s="8" t="n"/>
      <c r="S3552" s="14" t="n"/>
      <c r="T3552" s="7" t="inlineStr"/>
      <c r="U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8" t="n"/>
      <c r="M3553" s="8" t="n"/>
      <c r="N3553" s="8" t="n"/>
      <c r="O3553" s="15" t="n">
        <v>19.5</v>
      </c>
      <c r="P3553" s="8" t="n"/>
      <c r="Q3553" s="7" t="inlineStr">
        <is>
          <t>NAZARIA</t>
        </is>
      </c>
      <c r="R3553" s="8" t="n">
        <v>19.5</v>
      </c>
      <c r="S3553" s="14">
        <f>R3553/H3553-1</f>
        <v/>
      </c>
      <c r="T3553" s="17" t="inlineStr">
        <is>
          <t>OK (≤ menor hist.)</t>
        </is>
      </c>
      <c r="U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8" t="n"/>
      <c r="M3554" s="8" t="n"/>
      <c r="N3554" s="8" t="n"/>
      <c r="O3554" s="8" t="n"/>
      <c r="P3554" s="8" t="n"/>
      <c r="Q3554" s="7" t="inlineStr">
        <is>
          <t>SEM COTAÇÃO</t>
        </is>
      </c>
      <c r="R3554" s="8" t="n"/>
      <c r="S3554" s="14" t="n"/>
      <c r="T3554" s="7" t="inlineStr"/>
      <c r="U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8" t="n"/>
      <c r="M3555" s="8" t="n"/>
      <c r="N3555" s="8" t="n"/>
      <c r="O3555" s="8" t="n"/>
      <c r="P3555" s="8" t="n"/>
      <c r="Q3555" s="7" t="inlineStr">
        <is>
          <t>SEM COTAÇÃO</t>
        </is>
      </c>
      <c r="R3555" s="8" t="n"/>
      <c r="S3555" s="14" t="n"/>
      <c r="T3555" s="7" t="inlineStr"/>
      <c r="U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8" t="n"/>
      <c r="M3556" s="8" t="n"/>
      <c r="N3556" s="8" t="n"/>
      <c r="O3556" s="8" t="n"/>
      <c r="P3556" s="8" t="n"/>
      <c r="Q3556" s="7" t="inlineStr">
        <is>
          <t>SEM COTAÇÃO</t>
        </is>
      </c>
      <c r="R3556" s="8" t="n"/>
      <c r="S3556" s="14" t="n"/>
      <c r="T3556" s="7" t="inlineStr"/>
      <c r="U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8" t="n"/>
      <c r="M3557" s="8" t="n"/>
      <c r="N3557" s="8" t="n"/>
      <c r="O3557" s="15" t="n">
        <v>23.56</v>
      </c>
      <c r="P3557" s="8" t="n"/>
      <c r="Q3557" s="7" t="inlineStr">
        <is>
          <t>NAZARIA</t>
        </is>
      </c>
      <c r="R3557" s="8" t="n">
        <v>23.56</v>
      </c>
      <c r="S3557" s="14">
        <f>R3557/H3557-1</f>
        <v/>
      </c>
      <c r="T3557" s="16" t="inlineStr">
        <is>
          <t>ACIMA +8.8%</t>
        </is>
      </c>
      <c r="U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8" t="n"/>
      <c r="M3558" s="8" t="n"/>
      <c r="N3558" s="8" t="n"/>
      <c r="O3558" s="8" t="n"/>
      <c r="P3558" s="8" t="n"/>
      <c r="Q3558" s="7" t="inlineStr">
        <is>
          <t>SEM COTAÇÃO</t>
        </is>
      </c>
      <c r="R3558" s="8" t="n"/>
      <c r="S3558" s="14" t="n"/>
      <c r="T3558" s="7" t="inlineStr"/>
      <c r="U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8" t="n"/>
      <c r="M3559" s="8" t="n"/>
      <c r="N3559" s="8" t="n"/>
      <c r="O3559" s="8" t="n"/>
      <c r="P3559" s="8" t="n"/>
      <c r="Q3559" s="7" t="inlineStr">
        <is>
          <t>SEM COTAÇÃO</t>
        </is>
      </c>
      <c r="R3559" s="8" t="n"/>
      <c r="S3559" s="14" t="n"/>
      <c r="T3559" s="7" t="inlineStr"/>
      <c r="U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8" t="n"/>
      <c r="M3560" s="8" t="n"/>
      <c r="N3560" s="8" t="n"/>
      <c r="O3560" s="8" t="n"/>
      <c r="P3560" s="8" t="n"/>
      <c r="Q3560" s="7" t="inlineStr">
        <is>
          <t>SEM COTAÇÃO</t>
        </is>
      </c>
      <c r="R3560" s="8" t="n"/>
      <c r="S3560" s="14" t="n"/>
      <c r="T3560" s="7" t="inlineStr"/>
      <c r="U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8" t="n"/>
      <c r="M3561" s="8" t="n"/>
      <c r="N3561" s="8" t="n"/>
      <c r="O3561" s="8" t="n"/>
      <c r="P3561" s="8" t="n"/>
      <c r="Q3561" s="7" t="inlineStr">
        <is>
          <t>SEM COTAÇÃO</t>
        </is>
      </c>
      <c r="R3561" s="8" t="n"/>
      <c r="S3561" s="14" t="n"/>
      <c r="T3561" s="7" t="inlineStr"/>
      <c r="U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8" t="n"/>
      <c r="M3562" s="8" t="n"/>
      <c r="N3562" s="8" t="n"/>
      <c r="O3562" s="8" t="n"/>
      <c r="P3562" s="8" t="n"/>
      <c r="Q3562" s="7" t="inlineStr">
        <is>
          <t>SEM COTAÇÃO</t>
        </is>
      </c>
      <c r="R3562" s="8" t="n"/>
      <c r="S3562" s="14" t="n"/>
      <c r="T3562" s="7" t="inlineStr"/>
      <c r="U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8" t="n"/>
      <c r="M3563" s="8" t="n"/>
      <c r="N3563" s="8" t="n"/>
      <c r="O3563" s="8" t="n"/>
      <c r="P3563" s="8" t="n"/>
      <c r="Q3563" s="7" t="inlineStr">
        <is>
          <t>SEM COTAÇÃO</t>
        </is>
      </c>
      <c r="R3563" s="8" t="n"/>
      <c r="S3563" s="14" t="n"/>
      <c r="T3563" s="7" t="inlineStr"/>
      <c r="U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8" t="n"/>
      <c r="M3564" s="8" t="n"/>
      <c r="N3564" s="8" t="n"/>
      <c r="O3564" s="8" t="n"/>
      <c r="P3564" s="8" t="n"/>
      <c r="Q3564" s="7" t="inlineStr">
        <is>
          <t>SEM COTAÇÃO</t>
        </is>
      </c>
      <c r="R3564" s="8" t="n"/>
      <c r="S3564" s="14" t="n"/>
      <c r="T3564" s="7" t="inlineStr"/>
      <c r="U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8" t="n"/>
      <c r="M3565" s="8" t="n"/>
      <c r="N3565" s="8" t="n"/>
      <c r="O3565" s="8" t="n"/>
      <c r="P3565" s="8" t="n"/>
      <c r="Q3565" s="7" t="inlineStr">
        <is>
          <t>SEM COTAÇÃO</t>
        </is>
      </c>
      <c r="R3565" s="8" t="n"/>
      <c r="S3565" s="14" t="n"/>
      <c r="T3565" s="7" t="inlineStr"/>
      <c r="U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8" t="n"/>
      <c r="M3566" s="8" t="n"/>
      <c r="N3566" s="8" t="n"/>
      <c r="O3566" s="8" t="n"/>
      <c r="P3566" s="8" t="n"/>
      <c r="Q3566" s="7" t="inlineStr">
        <is>
          <t>SEM COTAÇÃO</t>
        </is>
      </c>
      <c r="R3566" s="8" t="n"/>
      <c r="S3566" s="14" t="n"/>
      <c r="T3566" s="7" t="inlineStr"/>
      <c r="U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8" t="n"/>
      <c r="M3567" s="8" t="n"/>
      <c r="N3567" s="8" t="n"/>
      <c r="O3567" s="8" t="n"/>
      <c r="P3567" s="8" t="n"/>
      <c r="Q3567" s="7" t="inlineStr">
        <is>
          <t>SEM COTAÇÃO</t>
        </is>
      </c>
      <c r="R3567" s="8" t="n"/>
      <c r="S3567" s="14" t="n"/>
      <c r="T3567" s="7" t="inlineStr"/>
      <c r="U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8" t="n"/>
      <c r="M3568" s="8" t="n"/>
      <c r="N3568" s="8" t="n"/>
      <c r="O3568" s="8" t="n"/>
      <c r="P3568" s="8" t="n"/>
      <c r="Q3568" s="7" t="inlineStr">
        <is>
          <t>SEM COTAÇÃO</t>
        </is>
      </c>
      <c r="R3568" s="8" t="n"/>
      <c r="S3568" s="14" t="n"/>
      <c r="T3568" s="7" t="inlineStr"/>
      <c r="U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8" t="n"/>
      <c r="M3569" s="8" t="n"/>
      <c r="N3569" s="8" t="n"/>
      <c r="O3569" s="8" t="n"/>
      <c r="P3569" s="8" t="n"/>
      <c r="Q3569" s="7" t="inlineStr">
        <is>
          <t>SEM COTAÇÃO</t>
        </is>
      </c>
      <c r="R3569" s="8" t="n"/>
      <c r="S3569" s="14" t="n"/>
      <c r="T3569" s="7" t="inlineStr"/>
      <c r="U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8" t="n"/>
      <c r="M3570" s="8" t="n"/>
      <c r="N3570" s="8" t="n"/>
      <c r="O3570" s="15" t="n">
        <v>9.869999999999999</v>
      </c>
      <c r="P3570" s="8" t="n"/>
      <c r="Q3570" s="7" t="inlineStr">
        <is>
          <t>NAZARIA</t>
        </is>
      </c>
      <c r="R3570" s="8" t="n">
        <v>9.869999999999999</v>
      </c>
      <c r="S3570" s="14">
        <f>R3570/H3570-1</f>
        <v/>
      </c>
      <c r="T3570" s="16" t="inlineStr">
        <is>
          <t>ACIMA +23.7%</t>
        </is>
      </c>
      <c r="U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8" t="n"/>
      <c r="M3571" s="8" t="n"/>
      <c r="N3571" s="8" t="n"/>
      <c r="O3571" s="8" t="n"/>
      <c r="P3571" s="8" t="n"/>
      <c r="Q3571" s="7" t="inlineStr">
        <is>
          <t>SEM COTAÇÃO</t>
        </is>
      </c>
      <c r="R3571" s="8" t="n"/>
      <c r="S3571" s="14" t="n"/>
      <c r="T3571" s="7" t="inlineStr"/>
      <c r="U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8" t="n"/>
      <c r="M3572" s="8" t="n"/>
      <c r="N3572" s="8" t="n"/>
      <c r="O3572" s="8" t="n"/>
      <c r="P3572" s="8" t="n"/>
      <c r="Q3572" s="7" t="inlineStr">
        <is>
          <t>SEM COTAÇÃO</t>
        </is>
      </c>
      <c r="R3572" s="8" t="n"/>
      <c r="S3572" s="14" t="n"/>
      <c r="T3572" s="7" t="inlineStr"/>
      <c r="U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8" t="n"/>
      <c r="M3573" s="8" t="n"/>
      <c r="N3573" s="8" t="n"/>
      <c r="O3573" s="8" t="n"/>
      <c r="P3573" s="8" t="n"/>
      <c r="Q3573" s="7" t="inlineStr">
        <is>
          <t>SEM COTAÇÃO</t>
        </is>
      </c>
      <c r="R3573" s="8" t="n"/>
      <c r="S3573" s="14" t="n"/>
      <c r="T3573" s="7" t="inlineStr"/>
      <c r="U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8" t="n"/>
      <c r="M3574" s="8" t="n"/>
      <c r="N3574" s="8" t="n"/>
      <c r="O3574" s="8" t="n"/>
      <c r="P3574" s="8" t="n"/>
      <c r="Q3574" s="7" t="inlineStr">
        <is>
          <t>SEM COTAÇÃO</t>
        </is>
      </c>
      <c r="R3574" s="8" t="n"/>
      <c r="S3574" s="14" t="n"/>
      <c r="T3574" s="7" t="inlineStr"/>
      <c r="U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7" t="inlineStr">
        <is>
          <t>SEM COTAÇÃO</t>
        </is>
      </c>
      <c r="R3575" s="8" t="n"/>
      <c r="S3575" s="14" t="n"/>
      <c r="T3575" s="7" t="inlineStr"/>
      <c r="U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8" t="n"/>
      <c r="M3576" s="8" t="n"/>
      <c r="N3576" s="8" t="n"/>
      <c r="O3576" s="8" t="n"/>
      <c r="P3576" s="8" t="n"/>
      <c r="Q3576" s="7" t="inlineStr">
        <is>
          <t>SEM COTAÇÃO</t>
        </is>
      </c>
      <c r="R3576" s="8" t="n"/>
      <c r="S3576" s="14" t="n"/>
      <c r="T3576" s="7" t="inlineStr"/>
      <c r="U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8" t="n"/>
      <c r="M3577" s="8" t="n"/>
      <c r="N3577" s="8" t="n"/>
      <c r="O3577" s="8" t="n"/>
      <c r="P3577" s="8" t="n"/>
      <c r="Q3577" s="7" t="inlineStr">
        <is>
          <t>SEM COTAÇÃO</t>
        </is>
      </c>
      <c r="R3577" s="8" t="n"/>
      <c r="S3577" s="14" t="n"/>
      <c r="T3577" s="7" t="inlineStr"/>
      <c r="U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8" t="n"/>
      <c r="M3578" s="8" t="n"/>
      <c r="N3578" s="8" t="n"/>
      <c r="O3578" s="8" t="n"/>
      <c r="P3578" s="8" t="n"/>
      <c r="Q3578" s="7" t="inlineStr">
        <is>
          <t>SEM COTAÇÃO</t>
        </is>
      </c>
      <c r="R3578" s="8" t="n"/>
      <c r="S3578" s="14" t="n"/>
      <c r="T3578" s="7" t="inlineStr"/>
      <c r="U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8" t="n"/>
      <c r="M3579" s="8" t="n"/>
      <c r="N3579" s="8" t="n"/>
      <c r="O3579" s="8" t="n"/>
      <c r="P3579" s="8" t="n"/>
      <c r="Q3579" s="7" t="inlineStr">
        <is>
          <t>SEM COTAÇÃO</t>
        </is>
      </c>
      <c r="R3579" s="8" t="n"/>
      <c r="S3579" s="14" t="n"/>
      <c r="T3579" s="7" t="inlineStr"/>
      <c r="U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8" t="n"/>
      <c r="M3580" s="8" t="n"/>
      <c r="N3580" s="8" t="n"/>
      <c r="O3580" s="8" t="n"/>
      <c r="P3580" s="8" t="n"/>
      <c r="Q3580" s="7" t="inlineStr">
        <is>
          <t>SEM COTAÇÃO</t>
        </is>
      </c>
      <c r="R3580" s="8" t="n"/>
      <c r="S3580" s="14" t="n"/>
      <c r="T3580" s="7" t="inlineStr"/>
      <c r="U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8" t="n"/>
      <c r="M3581" s="8" t="n"/>
      <c r="N3581" s="8" t="n"/>
      <c r="O3581" s="8" t="n"/>
      <c r="P3581" s="8" t="n"/>
      <c r="Q3581" s="7" t="inlineStr">
        <is>
          <t>SEM COTAÇÃO</t>
        </is>
      </c>
      <c r="R3581" s="8" t="n"/>
      <c r="S3581" s="14" t="n"/>
      <c r="T3581" s="7" t="inlineStr"/>
      <c r="U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8" t="n"/>
      <c r="M3582" s="8" t="n"/>
      <c r="N3582" s="8" t="n"/>
      <c r="O3582" s="8" t="n"/>
      <c r="P3582" s="8" t="n"/>
      <c r="Q3582" s="7" t="inlineStr">
        <is>
          <t>SEM COTAÇÃO</t>
        </is>
      </c>
      <c r="R3582" s="8" t="n"/>
      <c r="S3582" s="14" t="n"/>
      <c r="T3582" s="7" t="inlineStr"/>
      <c r="U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8" t="n"/>
      <c r="M3583" s="8" t="n"/>
      <c r="N3583" s="8" t="n"/>
      <c r="O3583" s="8" t="n"/>
      <c r="P3583" s="8" t="n"/>
      <c r="Q3583" s="7" t="inlineStr">
        <is>
          <t>SEM COTAÇÃO</t>
        </is>
      </c>
      <c r="R3583" s="8" t="n"/>
      <c r="S3583" s="14" t="n"/>
      <c r="T3583" s="7" t="inlineStr"/>
      <c r="U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8" t="n"/>
      <c r="M3584" s="8" t="n"/>
      <c r="N3584" s="8" t="n"/>
      <c r="O3584" s="8" t="n"/>
      <c r="P3584" s="8" t="n"/>
      <c r="Q3584" s="7" t="inlineStr">
        <is>
          <t>SEM COTAÇÃO</t>
        </is>
      </c>
      <c r="R3584" s="8" t="n"/>
      <c r="S3584" s="14" t="n"/>
      <c r="T3584" s="7" t="inlineStr"/>
      <c r="U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8" t="n"/>
      <c r="M3585" s="8" t="n"/>
      <c r="N3585" s="8" t="n"/>
      <c r="O3585" s="8" t="n"/>
      <c r="P3585" s="8" t="n"/>
      <c r="Q3585" s="7" t="inlineStr">
        <is>
          <t>SEM COTAÇÃO</t>
        </is>
      </c>
      <c r="R3585" s="8" t="n"/>
      <c r="S3585" s="14" t="n"/>
      <c r="T3585" s="7" t="inlineStr"/>
      <c r="U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8" t="n"/>
      <c r="M3586" s="8" t="n"/>
      <c r="N3586" s="8" t="n"/>
      <c r="O3586" s="8" t="n"/>
      <c r="P3586" s="8" t="n"/>
      <c r="Q3586" s="7" t="inlineStr">
        <is>
          <t>SEM COTAÇÃO</t>
        </is>
      </c>
      <c r="R3586" s="8" t="n"/>
      <c r="S3586" s="14" t="n"/>
      <c r="T3586" s="7" t="inlineStr"/>
      <c r="U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8" t="n"/>
      <c r="M3587" s="8" t="n"/>
      <c r="N3587" s="8" t="n"/>
      <c r="O3587" s="8" t="n"/>
      <c r="P3587" s="8" t="n"/>
      <c r="Q3587" s="7" t="inlineStr">
        <is>
          <t>SEM COTAÇÃO</t>
        </is>
      </c>
      <c r="R3587" s="8" t="n"/>
      <c r="S3587" s="14" t="n"/>
      <c r="T3587" s="7" t="inlineStr"/>
      <c r="U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8" t="n"/>
      <c r="M3588" s="8" t="n"/>
      <c r="N3588" s="8" t="n"/>
      <c r="O3588" s="8" t="n"/>
      <c r="P3588" s="8" t="n"/>
      <c r="Q3588" s="7" t="inlineStr">
        <is>
          <t>SEM COTAÇÃO</t>
        </is>
      </c>
      <c r="R3588" s="8" t="n"/>
      <c r="S3588" s="14" t="n"/>
      <c r="T3588" s="7" t="inlineStr"/>
      <c r="U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8" t="n"/>
      <c r="M3589" s="8" t="n"/>
      <c r="N3589" s="8" t="n"/>
      <c r="O3589" s="8" t="n"/>
      <c r="P3589" s="8" t="n"/>
      <c r="Q3589" s="7" t="inlineStr">
        <is>
          <t>SEM COTAÇÃO</t>
        </is>
      </c>
      <c r="R3589" s="8" t="n"/>
      <c r="S3589" s="14" t="n"/>
      <c r="T3589" s="7" t="inlineStr"/>
      <c r="U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8" t="n"/>
      <c r="M3590" s="8" t="n"/>
      <c r="N3590" s="8" t="n"/>
      <c r="O3590" s="8" t="n"/>
      <c r="P3590" s="8" t="n"/>
      <c r="Q3590" s="7" t="inlineStr">
        <is>
          <t>SEM COTAÇÃO</t>
        </is>
      </c>
      <c r="R3590" s="8" t="n"/>
      <c r="S3590" s="14" t="n"/>
      <c r="T3590" s="7" t="inlineStr"/>
      <c r="U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8" t="n"/>
      <c r="M3591" s="8" t="n"/>
      <c r="N3591" s="8" t="n"/>
      <c r="O3591" s="8" t="n"/>
      <c r="P3591" s="8" t="n"/>
      <c r="Q3591" s="7" t="inlineStr">
        <is>
          <t>SEM COTAÇÃO</t>
        </is>
      </c>
      <c r="R3591" s="8" t="n"/>
      <c r="S3591" s="14" t="n"/>
      <c r="T3591" s="7" t="inlineStr"/>
      <c r="U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8" t="n"/>
      <c r="M3592" s="8" t="n"/>
      <c r="N3592" s="8" t="n"/>
      <c r="O3592" s="8" t="n"/>
      <c r="P3592" s="8" t="n"/>
      <c r="Q3592" s="7" t="inlineStr">
        <is>
          <t>SEM COTAÇÃO</t>
        </is>
      </c>
      <c r="R3592" s="8" t="n"/>
      <c r="S3592" s="14" t="n"/>
      <c r="T3592" s="7" t="inlineStr"/>
      <c r="U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8" t="n"/>
      <c r="M3593" s="8" t="n"/>
      <c r="N3593" s="8" t="n"/>
      <c r="O3593" s="8" t="n"/>
      <c r="P3593" s="8" t="n"/>
      <c r="Q3593" s="7" t="inlineStr">
        <is>
          <t>SEM COTAÇÃO</t>
        </is>
      </c>
      <c r="R3593" s="8" t="n"/>
      <c r="S3593" s="14" t="n"/>
      <c r="T3593" s="7" t="inlineStr"/>
      <c r="U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8" t="n"/>
      <c r="M3594" s="8" t="n"/>
      <c r="N3594" s="8" t="n"/>
      <c r="O3594" s="8" t="n"/>
      <c r="P3594" s="8" t="n"/>
      <c r="Q3594" s="7" t="inlineStr">
        <is>
          <t>SEM COTAÇÃO</t>
        </is>
      </c>
      <c r="R3594" s="8" t="n"/>
      <c r="S3594" s="14" t="n"/>
      <c r="T3594" s="7" t="inlineStr"/>
      <c r="U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8" t="n"/>
      <c r="M3595" s="8" t="n"/>
      <c r="N3595" s="8" t="n"/>
      <c r="O3595" s="8" t="n"/>
      <c r="P3595" s="8" t="n"/>
      <c r="Q3595" s="7" t="inlineStr">
        <is>
          <t>SEM COTAÇÃO</t>
        </is>
      </c>
      <c r="R3595" s="8" t="n"/>
      <c r="S3595" s="14" t="n"/>
      <c r="T3595" s="7" t="inlineStr"/>
      <c r="U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8" t="n"/>
      <c r="M3596" s="8" t="n"/>
      <c r="N3596" s="8" t="n"/>
      <c r="O3596" s="8" t="n"/>
      <c r="P3596" s="8" t="n"/>
      <c r="Q3596" s="7" t="inlineStr">
        <is>
          <t>SEM COTAÇÃO</t>
        </is>
      </c>
      <c r="R3596" s="8" t="n"/>
      <c r="S3596" s="14" t="n"/>
      <c r="T3596" s="7" t="inlineStr"/>
      <c r="U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8" t="n"/>
      <c r="M3597" s="8" t="n"/>
      <c r="N3597" s="8" t="n"/>
      <c r="O3597" s="8" t="n"/>
      <c r="P3597" s="8" t="n"/>
      <c r="Q3597" s="7" t="inlineStr">
        <is>
          <t>SEM COTAÇÃO</t>
        </is>
      </c>
      <c r="R3597" s="8" t="n"/>
      <c r="S3597" s="14" t="n"/>
      <c r="T3597" s="7" t="inlineStr"/>
      <c r="U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8" t="n"/>
      <c r="M3598" s="8" t="n"/>
      <c r="N3598" s="8" t="n"/>
      <c r="O3598" s="8" t="n"/>
      <c r="P3598" s="8" t="n"/>
      <c r="Q3598" s="7" t="inlineStr">
        <is>
          <t>SEM COTAÇÃO</t>
        </is>
      </c>
      <c r="R3598" s="8" t="n"/>
      <c r="S3598" s="14" t="n"/>
      <c r="T3598" s="7" t="inlineStr"/>
      <c r="U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8" t="n"/>
      <c r="M3599" s="8" t="n"/>
      <c r="N3599" s="8" t="n"/>
      <c r="O3599" s="8" t="n"/>
      <c r="P3599" s="8" t="n"/>
      <c r="Q3599" s="7" t="inlineStr">
        <is>
          <t>SEM COTAÇÃO</t>
        </is>
      </c>
      <c r="R3599" s="8" t="n"/>
      <c r="S3599" s="14" t="n"/>
      <c r="T3599" s="7" t="inlineStr"/>
      <c r="U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8" t="n"/>
      <c r="M3600" s="8" t="n"/>
      <c r="N3600" s="8" t="n"/>
      <c r="O3600" s="8" t="n"/>
      <c r="P3600" s="8" t="n"/>
      <c r="Q3600" s="7" t="inlineStr">
        <is>
          <t>SEM COTAÇÃO</t>
        </is>
      </c>
      <c r="R3600" s="8" t="n"/>
      <c r="S3600" s="14" t="n"/>
      <c r="T3600" s="7" t="inlineStr"/>
      <c r="U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8" t="n"/>
      <c r="M3601" s="8" t="n"/>
      <c r="N3601" s="8" t="n"/>
      <c r="O3601" s="8" t="n"/>
      <c r="P3601" s="8" t="n"/>
      <c r="Q3601" s="7" t="inlineStr">
        <is>
          <t>SEM COTAÇÃO</t>
        </is>
      </c>
      <c r="R3601" s="8" t="n"/>
      <c r="S3601" s="14" t="n"/>
      <c r="T3601" s="7" t="inlineStr"/>
      <c r="U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8" t="n"/>
      <c r="M3602" s="8" t="n"/>
      <c r="N3602" s="8" t="n"/>
      <c r="O3602" s="8" t="n"/>
      <c r="P3602" s="8" t="n"/>
      <c r="Q3602" s="7" t="inlineStr">
        <is>
          <t>SEM COTAÇÃO</t>
        </is>
      </c>
      <c r="R3602" s="8" t="n"/>
      <c r="S3602" s="14" t="n"/>
      <c r="T3602" s="7" t="inlineStr"/>
      <c r="U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8" t="n"/>
      <c r="M3603" s="8" t="n"/>
      <c r="N3603" s="8" t="n"/>
      <c r="O3603" s="8" t="n"/>
      <c r="P3603" s="8" t="n"/>
      <c r="Q3603" s="7" t="inlineStr">
        <is>
          <t>SEM COTAÇÃO</t>
        </is>
      </c>
      <c r="R3603" s="8" t="n"/>
      <c r="S3603" s="14" t="n"/>
      <c r="T3603" s="7" t="inlineStr"/>
      <c r="U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8" t="n"/>
      <c r="M3604" s="8" t="n"/>
      <c r="N3604" s="8" t="n"/>
      <c r="O3604" s="8" t="n"/>
      <c r="P3604" s="8" t="n"/>
      <c r="Q3604" s="7" t="inlineStr">
        <is>
          <t>SEM COTAÇÃO</t>
        </is>
      </c>
      <c r="R3604" s="8" t="n"/>
      <c r="S3604" s="14" t="n"/>
      <c r="T3604" s="7" t="inlineStr"/>
      <c r="U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8" t="n"/>
      <c r="M3605" s="8" t="n"/>
      <c r="N3605" s="8" t="n"/>
      <c r="O3605" s="8" t="n"/>
      <c r="P3605" s="8" t="n"/>
      <c r="Q3605" s="7" t="inlineStr">
        <is>
          <t>DIMEC</t>
        </is>
      </c>
      <c r="R3605" s="8" t="n">
        <v>20.61</v>
      </c>
      <c r="S3605" s="14">
        <f>R3605/H3605-1</f>
        <v/>
      </c>
      <c r="T3605" s="17" t="inlineStr">
        <is>
          <t>OK (≤ menor hist.)</t>
        </is>
      </c>
      <c r="U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8" t="n"/>
      <c r="M3606" s="8" t="n"/>
      <c r="N3606" s="8" t="n"/>
      <c r="O3606" s="15" t="n">
        <v>21.22</v>
      </c>
      <c r="P3606" s="8" t="n"/>
      <c r="Q3606" s="7" t="inlineStr">
        <is>
          <t>NAZARIA</t>
        </is>
      </c>
      <c r="R3606" s="8" t="n">
        <v>21.22</v>
      </c>
      <c r="S3606" s="14">
        <f>R3606/H3606-1</f>
        <v/>
      </c>
      <c r="T3606" s="16" t="inlineStr">
        <is>
          <t>ACIMA +63.4%</t>
        </is>
      </c>
      <c r="U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8" t="n"/>
      <c r="M3607" s="8" t="n"/>
      <c r="N3607" s="8" t="n"/>
      <c r="O3607" s="8" t="n"/>
      <c r="P3607" s="8" t="n"/>
      <c r="Q3607" s="7" t="inlineStr">
        <is>
          <t>SEM COTAÇÃO</t>
        </is>
      </c>
      <c r="R3607" s="8" t="n"/>
      <c r="S3607" s="14" t="n"/>
      <c r="T3607" s="7" t="inlineStr"/>
      <c r="U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8" t="n"/>
      <c r="M3608" s="8" t="n"/>
      <c r="N3608" s="8" t="n"/>
      <c r="O3608" s="8" t="n"/>
      <c r="P3608" s="8" t="n"/>
      <c r="Q3608" s="7" t="inlineStr">
        <is>
          <t>SEM COTAÇÃO</t>
        </is>
      </c>
      <c r="R3608" s="8" t="n"/>
      <c r="S3608" s="14" t="n"/>
      <c r="T3608" s="7" t="inlineStr"/>
      <c r="U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8" t="n"/>
      <c r="M3609" s="8" t="n"/>
      <c r="N3609" s="8" t="n"/>
      <c r="O3609" s="8" t="n"/>
      <c r="P3609" s="8" t="n"/>
      <c r="Q3609" s="7" t="inlineStr">
        <is>
          <t>SEM COTAÇÃO</t>
        </is>
      </c>
      <c r="R3609" s="8" t="n"/>
      <c r="S3609" s="14" t="n"/>
      <c r="T3609" s="7" t="inlineStr"/>
      <c r="U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8" t="n"/>
      <c r="M3610" s="8" t="n"/>
      <c r="N3610" s="8" t="n"/>
      <c r="O3610" s="15" t="n">
        <v>6.64</v>
      </c>
      <c r="P3610" s="8" t="n"/>
      <c r="Q3610" s="7" t="inlineStr">
        <is>
          <t>NAZARIA</t>
        </is>
      </c>
      <c r="R3610" s="8" t="n">
        <v>6.64</v>
      </c>
      <c r="S3610" s="14">
        <f>R3610/H3610-1</f>
        <v/>
      </c>
      <c r="T3610" s="16" t="inlineStr">
        <is>
          <t>ACIMA +5.5%</t>
        </is>
      </c>
      <c r="U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8" t="n"/>
      <c r="M3611" s="8" t="n"/>
      <c r="N3611" s="8" t="n"/>
      <c r="O3611" s="8" t="n"/>
      <c r="P3611" s="8" t="n"/>
      <c r="Q3611" s="7" t="inlineStr">
        <is>
          <t>SEM COTAÇÃO</t>
        </is>
      </c>
      <c r="R3611" s="8" t="n"/>
      <c r="S3611" s="14" t="n"/>
      <c r="T3611" s="7" t="inlineStr"/>
      <c r="U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8" t="n"/>
      <c r="M3612" s="8" t="n"/>
      <c r="N3612" s="8" t="n"/>
      <c r="O3612" s="15" t="n">
        <v>12.88</v>
      </c>
      <c r="P3612" s="8" t="n"/>
      <c r="Q3612" s="7" t="inlineStr">
        <is>
          <t>NAZARIA</t>
        </is>
      </c>
      <c r="R3612" s="8" t="n">
        <v>12.88</v>
      </c>
      <c r="S3612" s="14">
        <f>R3612/H3612-1</f>
        <v/>
      </c>
      <c r="T3612" s="16" t="inlineStr">
        <is>
          <t>ACIMA +30.6%</t>
        </is>
      </c>
      <c r="U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8" t="n"/>
      <c r="M3613" s="8" t="n"/>
      <c r="N3613" s="8" t="n"/>
      <c r="O3613" s="15" t="n">
        <v>12.88</v>
      </c>
      <c r="P3613" s="8" t="n"/>
      <c r="Q3613" s="7" t="inlineStr">
        <is>
          <t>NAZARIA</t>
        </is>
      </c>
      <c r="R3613" s="8" t="n">
        <v>12.88</v>
      </c>
      <c r="S3613" s="14">
        <f>R3613/H3613-1</f>
        <v/>
      </c>
      <c r="T3613" s="16" t="inlineStr">
        <is>
          <t>ACIMA +20.1%</t>
        </is>
      </c>
      <c r="U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8" t="n"/>
      <c r="M3614" s="8" t="n"/>
      <c r="N3614" s="8" t="n"/>
      <c r="O3614" s="8" t="n"/>
      <c r="P3614" s="8" t="n"/>
      <c r="Q3614" s="7" t="inlineStr">
        <is>
          <t>SEM COTAÇÃO</t>
        </is>
      </c>
      <c r="R3614" s="8" t="n"/>
      <c r="S3614" s="14" t="n"/>
      <c r="T3614" s="7" t="inlineStr"/>
      <c r="U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8" t="n"/>
      <c r="M3615" s="8" t="n"/>
      <c r="N3615" s="8" t="n"/>
      <c r="O3615" s="8" t="n"/>
      <c r="P3615" s="8" t="n"/>
      <c r="Q3615" s="7" t="inlineStr">
        <is>
          <t>SEM COTAÇÃO</t>
        </is>
      </c>
      <c r="R3615" s="8" t="n"/>
      <c r="S3615" s="14" t="n"/>
      <c r="T3615" s="7" t="inlineStr"/>
      <c r="U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8" t="n"/>
      <c r="M3616" s="8" t="n"/>
      <c r="N3616" s="8" t="n"/>
      <c r="O3616" s="8" t="n"/>
      <c r="P3616" s="8" t="n"/>
      <c r="Q3616" s="7" t="inlineStr">
        <is>
          <t>SEM COTAÇÃO</t>
        </is>
      </c>
      <c r="R3616" s="8" t="n"/>
      <c r="S3616" s="14" t="n"/>
      <c r="T3616" s="7" t="inlineStr"/>
      <c r="U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8" t="n"/>
      <c r="M3617" s="8" t="n"/>
      <c r="N3617" s="8" t="n"/>
      <c r="O3617" s="8" t="n"/>
      <c r="P3617" s="8" t="n"/>
      <c r="Q3617" s="7" t="inlineStr">
        <is>
          <t>SEM COTAÇÃO</t>
        </is>
      </c>
      <c r="R3617" s="8" t="n"/>
      <c r="S3617" s="14" t="n"/>
      <c r="T3617" s="7" t="inlineStr"/>
      <c r="U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8" t="n"/>
      <c r="M3618" s="8" t="n"/>
      <c r="N3618" s="8" t="n"/>
      <c r="O3618" s="8" t="n"/>
      <c r="P3618" s="8" t="n"/>
      <c r="Q3618" s="7" t="inlineStr">
        <is>
          <t>SEM COTAÇÃO</t>
        </is>
      </c>
      <c r="R3618" s="8" t="n"/>
      <c r="S3618" s="14" t="n"/>
      <c r="T3618" s="7" t="inlineStr"/>
      <c r="U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8" t="n"/>
      <c r="M3619" s="8" t="n"/>
      <c r="N3619" s="8" t="n"/>
      <c r="O3619" s="8" t="n"/>
      <c r="P3619" s="8" t="n"/>
      <c r="Q3619" s="7" t="inlineStr">
        <is>
          <t>SEM COTAÇÃO</t>
        </is>
      </c>
      <c r="R3619" s="8" t="n"/>
      <c r="S3619" s="14" t="n"/>
      <c r="T3619" s="7" t="inlineStr"/>
      <c r="U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8" t="n"/>
      <c r="M3620" s="8" t="n"/>
      <c r="N3620" s="8" t="n"/>
      <c r="O3620" s="8" t="n"/>
      <c r="P3620" s="8" t="n"/>
      <c r="Q3620" s="7" t="inlineStr">
        <is>
          <t>SEM COTAÇÃO</t>
        </is>
      </c>
      <c r="R3620" s="8" t="n"/>
      <c r="S3620" s="14" t="n"/>
      <c r="T3620" s="7" t="inlineStr"/>
      <c r="U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8" t="n"/>
      <c r="M3621" s="8" t="n"/>
      <c r="N3621" s="8" t="n"/>
      <c r="O3621" s="8" t="n"/>
      <c r="P3621" s="8" t="n"/>
      <c r="Q3621" s="7" t="inlineStr">
        <is>
          <t>SEM COTAÇÃO</t>
        </is>
      </c>
      <c r="R3621" s="8" t="n"/>
      <c r="S3621" s="14" t="n"/>
      <c r="T3621" s="7" t="inlineStr"/>
      <c r="U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8" t="n"/>
      <c r="M3622" s="8" t="n"/>
      <c r="N3622" s="8" t="n"/>
      <c r="O3622" s="8" t="n"/>
      <c r="P3622" s="8" t="n"/>
      <c r="Q3622" s="7" t="inlineStr">
        <is>
          <t>SEM COTAÇÃO</t>
        </is>
      </c>
      <c r="R3622" s="8" t="n"/>
      <c r="S3622" s="14" t="n"/>
      <c r="T3622" s="7" t="inlineStr"/>
      <c r="U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8" t="n"/>
      <c r="M3623" s="8" t="n"/>
      <c r="N3623" s="8" t="n"/>
      <c r="O3623" s="8" t="n"/>
      <c r="P3623" s="8" t="n"/>
      <c r="Q3623" s="7" t="inlineStr">
        <is>
          <t>SEM COTAÇÃO</t>
        </is>
      </c>
      <c r="R3623" s="8" t="n"/>
      <c r="S3623" s="14" t="n"/>
      <c r="T3623" s="7" t="inlineStr"/>
      <c r="U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8" t="n"/>
      <c r="M3624" s="8" t="n"/>
      <c r="N3624" s="8" t="n"/>
      <c r="O3624" s="8" t="n"/>
      <c r="P3624" s="8" t="n"/>
      <c r="Q3624" s="7" t="inlineStr">
        <is>
          <t>SEM COTAÇÃO</t>
        </is>
      </c>
      <c r="R3624" s="8" t="n"/>
      <c r="S3624" s="14" t="n"/>
      <c r="T3624" s="7" t="inlineStr"/>
      <c r="U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8" t="n"/>
      <c r="M3625" s="8" t="n"/>
      <c r="N3625" s="8" t="n"/>
      <c r="O3625" s="8" t="n"/>
      <c r="P3625" s="8" t="n"/>
      <c r="Q3625" s="7" t="inlineStr">
        <is>
          <t>SEM COTAÇÃO</t>
        </is>
      </c>
      <c r="R3625" s="8" t="n"/>
      <c r="S3625" s="14" t="n"/>
      <c r="T3625" s="7" t="inlineStr"/>
      <c r="U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8" t="n"/>
      <c r="M3626" s="8" t="n"/>
      <c r="N3626" s="8" t="n"/>
      <c r="O3626" s="8" t="n"/>
      <c r="P3626" s="8" t="n"/>
      <c r="Q3626" s="7" t="inlineStr">
        <is>
          <t>SEM COTAÇÃO</t>
        </is>
      </c>
      <c r="R3626" s="8" t="n"/>
      <c r="S3626" s="14" t="n"/>
      <c r="T3626" s="7" t="inlineStr"/>
      <c r="U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8" t="n"/>
      <c r="M3627" s="8" t="n"/>
      <c r="N3627" s="8" t="n"/>
      <c r="O3627" s="8" t="n"/>
      <c r="P3627" s="8" t="n"/>
      <c r="Q3627" s="7" t="inlineStr">
        <is>
          <t>SEM COTAÇÃO</t>
        </is>
      </c>
      <c r="R3627" s="8" t="n"/>
      <c r="S3627" s="14" t="n"/>
      <c r="T3627" s="7" t="inlineStr"/>
      <c r="U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8" t="n"/>
      <c r="M3628" s="8" t="n"/>
      <c r="N3628" s="8" t="n"/>
      <c r="O3628" s="15" t="n">
        <v>96.61199999999999</v>
      </c>
      <c r="P3628" s="8" t="n"/>
      <c r="Q3628" s="7" t="inlineStr">
        <is>
          <t>NAZARIA</t>
        </is>
      </c>
      <c r="R3628" s="8" t="n">
        <v>96.61199999999999</v>
      </c>
      <c r="S3628" s="14">
        <f>R3628/H3628-1</f>
        <v/>
      </c>
      <c r="T3628" s="16" t="inlineStr">
        <is>
          <t>ACIMA +11.8%</t>
        </is>
      </c>
      <c r="U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8" t="n"/>
      <c r="M3629" s="8" t="n">
        <v>81.64</v>
      </c>
      <c r="N3629" s="8" t="n"/>
      <c r="O3629" s="8" t="n"/>
      <c r="P3629" s="15" t="n">
        <v>78.77</v>
      </c>
      <c r="Q3629" s="7" t="inlineStr">
        <is>
          <t>MEDCENTRO</t>
        </is>
      </c>
      <c r="R3629" s="8" t="n">
        <v>78.77</v>
      </c>
      <c r="S3629" s="14">
        <f>R3629/H3629-1</f>
        <v/>
      </c>
      <c r="T3629" s="16" t="inlineStr">
        <is>
          <t>ACIMA +66.7%</t>
        </is>
      </c>
      <c r="U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8" t="n"/>
      <c r="M3630" s="15" t="n">
        <v>8.449999999999999</v>
      </c>
      <c r="N3630" s="8" t="n"/>
      <c r="O3630" s="8" t="n"/>
      <c r="P3630" s="8" t="n"/>
      <c r="Q3630" s="7" t="inlineStr">
        <is>
          <t>CENTROFARMA</t>
        </is>
      </c>
      <c r="R3630" s="8" t="n">
        <v>8.449999999999999</v>
      </c>
      <c r="S3630" s="14">
        <f>R3630/H3630-1</f>
        <v/>
      </c>
      <c r="T3630" s="16" t="inlineStr">
        <is>
          <t>ACIMA +37.4%</t>
        </is>
      </c>
      <c r="U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8" t="n"/>
      <c r="M3631" s="8" t="n"/>
      <c r="N3631" s="8" t="n"/>
      <c r="O3631" s="8" t="n"/>
      <c r="P3631" s="8" t="n"/>
      <c r="Q3631" s="7" t="inlineStr">
        <is>
          <t>SEM COTAÇÃO</t>
        </is>
      </c>
      <c r="R3631" s="8" t="n"/>
      <c r="S3631" s="14" t="n"/>
      <c r="T3631" s="7" t="inlineStr"/>
      <c r="U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15" t="n">
        <v>41.78</v>
      </c>
      <c r="M3632" s="8" t="n"/>
      <c r="N3632" s="8" t="n"/>
      <c r="O3632" s="8" t="n">
        <v>49.27</v>
      </c>
      <c r="P3632" s="8" t="n"/>
      <c r="Q3632" s="7" t="inlineStr">
        <is>
          <t>EPAN</t>
        </is>
      </c>
      <c r="R3632" s="8" t="n">
        <v>41.78</v>
      </c>
      <c r="S3632" s="14">
        <f>R3632/H3632-1</f>
        <v/>
      </c>
      <c r="T3632" s="16" t="inlineStr">
        <is>
          <t>ACIMA +26.6%</t>
        </is>
      </c>
      <c r="U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8" t="n"/>
      <c r="M3633" s="8" t="n"/>
      <c r="N3633" s="8" t="n"/>
      <c r="O3633" s="8" t="n"/>
      <c r="P3633" s="8" t="n"/>
      <c r="Q3633" s="7" t="inlineStr">
        <is>
          <t>SEM COTAÇÃO</t>
        </is>
      </c>
      <c r="R3633" s="8" t="n"/>
      <c r="S3633" s="14" t="n"/>
      <c r="T3633" s="7" t="inlineStr"/>
      <c r="U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8" t="n"/>
      <c r="M3634" s="8" t="n"/>
      <c r="N3634" s="8" t="n"/>
      <c r="O3634" s="8" t="n"/>
      <c r="P3634" s="8" t="n"/>
      <c r="Q3634" s="7" t="inlineStr">
        <is>
          <t>SEM COTAÇÃO</t>
        </is>
      </c>
      <c r="R3634" s="8" t="n"/>
      <c r="S3634" s="14" t="n"/>
      <c r="T3634" s="7" t="inlineStr"/>
      <c r="U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8" t="n"/>
      <c r="M3635" s="8" t="n"/>
      <c r="N3635" s="8" t="n"/>
      <c r="O3635" s="15" t="n">
        <v>123.32</v>
      </c>
      <c r="P3635" s="8" t="n"/>
      <c r="Q3635" s="7" t="inlineStr">
        <is>
          <t>NAZARIA</t>
        </is>
      </c>
      <c r="R3635" s="8" t="n">
        <v>123.32</v>
      </c>
      <c r="S3635" s="14">
        <f>R3635/H3635-1</f>
        <v/>
      </c>
      <c r="T3635" s="16" t="inlineStr">
        <is>
          <t>ACIMA +227.1%</t>
        </is>
      </c>
      <c r="U3635" s="7" t="inlineStr">
        <is>
          <t>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15" t="n">
        <v>18.32</v>
      </c>
      <c r="M3636" s="8" t="n"/>
      <c r="N3636" s="8" t="n"/>
      <c r="O3636" s="8" t="n">
        <v>20.3252</v>
      </c>
      <c r="P3636" s="8" t="n"/>
      <c r="Q3636" s="7" t="inlineStr">
        <is>
          <t>EPAN</t>
        </is>
      </c>
      <c r="R3636" s="8" t="n">
        <v>18.32</v>
      </c>
      <c r="S3636" s="14">
        <f>R3636/H3636-1</f>
        <v/>
      </c>
      <c r="T3636" s="17" t="inlineStr">
        <is>
          <t>OK (≤ menor hist.)</t>
        </is>
      </c>
      <c r="U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15" t="n">
        <v>50.46</v>
      </c>
      <c r="P3637" s="8" t="n"/>
      <c r="Q3637" s="7" t="inlineStr">
        <is>
          <t>NAZARIA</t>
        </is>
      </c>
      <c r="R3637" s="8" t="n">
        <v>50.46</v>
      </c>
      <c r="S3637" s="14" t="n"/>
      <c r="T3637" s="7" t="inlineStr">
        <is>
          <t>SEM HISTÓRICO</t>
        </is>
      </c>
      <c r="U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8" t="n">
        <v>6.79</v>
      </c>
      <c r="L3638" s="8" t="n"/>
      <c r="M3638" s="8" t="n"/>
      <c r="N3638" s="8" t="n"/>
      <c r="O3638" s="8" t="n"/>
      <c r="P3638" s="15" t="n">
        <v>6.69</v>
      </c>
      <c r="Q3638" s="7" t="inlineStr">
        <is>
          <t>MEDCENTRO</t>
        </is>
      </c>
      <c r="R3638" s="8" t="n">
        <v>6.69</v>
      </c>
      <c r="S3638" s="14">
        <f>R3638/H3638-1</f>
        <v/>
      </c>
      <c r="T3638" s="17" t="inlineStr">
        <is>
          <t>OK (≤ menor hist.)</t>
        </is>
      </c>
      <c r="U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8" t="n"/>
      <c r="M3639" s="8" t="n"/>
      <c r="N3639" s="8" t="n"/>
      <c r="O3639" s="8" t="n"/>
      <c r="P3639" s="8" t="n"/>
      <c r="Q3639" s="7" t="inlineStr">
        <is>
          <t>SEM COTAÇÃO</t>
        </is>
      </c>
      <c r="R3639" s="8" t="n"/>
      <c r="S3639" s="14" t="n"/>
      <c r="T3639" s="7" t="inlineStr"/>
      <c r="U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8" t="n"/>
      <c r="M3640" s="8" t="n"/>
      <c r="N3640" s="8" t="n"/>
      <c r="O3640" s="8" t="n"/>
      <c r="P3640" s="8" t="n"/>
      <c r="Q3640" s="7" t="inlineStr">
        <is>
          <t>SEM COTAÇÃO</t>
        </is>
      </c>
      <c r="R3640" s="8" t="n"/>
      <c r="S3640" s="14" t="n"/>
      <c r="T3640" s="7" t="inlineStr"/>
      <c r="U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8" t="n"/>
      <c r="M3641" s="8" t="n"/>
      <c r="N3641" s="8" t="n"/>
      <c r="O3641" s="8" t="n"/>
      <c r="P3641" s="8" t="n"/>
      <c r="Q3641" s="7" t="inlineStr">
        <is>
          <t>SEM COTAÇÃO</t>
        </is>
      </c>
      <c r="R3641" s="8" t="n"/>
      <c r="S3641" s="14" t="n"/>
      <c r="T3641" s="7" t="inlineStr"/>
      <c r="U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8" t="n"/>
      <c r="M3642" s="15" t="n">
        <v>32.49</v>
      </c>
      <c r="N3642" s="8" t="n"/>
      <c r="O3642" s="8" t="n"/>
      <c r="P3642" s="8" t="n"/>
      <c r="Q3642" s="7" t="inlineStr">
        <is>
          <t>CENTROFARMA</t>
        </is>
      </c>
      <c r="R3642" s="8" t="n">
        <v>32.49</v>
      </c>
      <c r="S3642" s="14">
        <f>R3642/H3642-1</f>
        <v/>
      </c>
      <c r="T3642" s="16" t="inlineStr">
        <is>
          <t>ACIMA +32.1%</t>
        </is>
      </c>
      <c r="U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8" t="n"/>
      <c r="M3643" s="8" t="n"/>
      <c r="N3643" s="8" t="n"/>
      <c r="O3643" s="8" t="n"/>
      <c r="P3643" s="8" t="n"/>
      <c r="Q3643" s="7" t="inlineStr">
        <is>
          <t>SEM COTAÇÃO</t>
        </is>
      </c>
      <c r="R3643" s="8" t="n"/>
      <c r="S3643" s="14" t="n"/>
      <c r="T3643" s="7" t="inlineStr"/>
      <c r="U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8" t="n">
        <v>25.56</v>
      </c>
      <c r="M3644" s="8" t="n"/>
      <c r="N3644" s="15" t="n">
        <v>25.46</v>
      </c>
      <c r="O3644" s="8" t="n">
        <v>26.5482</v>
      </c>
      <c r="P3644" s="8" t="n"/>
      <c r="Q3644" s="7" t="inlineStr">
        <is>
          <t>TAPAJOS</t>
        </is>
      </c>
      <c r="R3644" s="8" t="n">
        <v>25.46</v>
      </c>
      <c r="S3644" s="14">
        <f>R3644/H3644-1</f>
        <v/>
      </c>
      <c r="T3644" s="16" t="inlineStr">
        <is>
          <t>ACIMA +5.2%</t>
        </is>
      </c>
      <c r="U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8" t="n"/>
      <c r="M3645" s="8" t="n"/>
      <c r="N3645" s="8" t="n"/>
      <c r="O3645" s="8" t="n"/>
      <c r="P3645" s="8" t="n"/>
      <c r="Q3645" s="7" t="inlineStr">
        <is>
          <t>SEM COTAÇÃO</t>
        </is>
      </c>
      <c r="R3645" s="8" t="n"/>
      <c r="S3645" s="14" t="n"/>
      <c r="T3645" s="7" t="inlineStr"/>
      <c r="U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8" t="n"/>
      <c r="M3646" s="8" t="n"/>
      <c r="N3646" s="8" t="n"/>
      <c r="O3646" s="8" t="n"/>
      <c r="P3646" s="8" t="n"/>
      <c r="Q3646" s="7" t="inlineStr">
        <is>
          <t>SEM COTAÇÃO</t>
        </is>
      </c>
      <c r="R3646" s="8" t="n"/>
      <c r="S3646" s="14" t="n"/>
      <c r="T3646" s="7" t="inlineStr"/>
      <c r="U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8" t="n"/>
      <c r="M3647" s="8" t="n"/>
      <c r="N3647" s="8" t="n"/>
      <c r="O3647" s="8" t="n"/>
      <c r="P3647" s="8" t="n"/>
      <c r="Q3647" s="7" t="inlineStr">
        <is>
          <t>SEM COTAÇÃO</t>
        </is>
      </c>
      <c r="R3647" s="8" t="n"/>
      <c r="S3647" s="14" t="n"/>
      <c r="T3647" s="7" t="inlineStr"/>
      <c r="U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8" t="n"/>
      <c r="M3648" s="8" t="n"/>
      <c r="N3648" s="8" t="n"/>
      <c r="O3648" s="8" t="n"/>
      <c r="P3648" s="8" t="n"/>
      <c r="Q3648" s="7" t="inlineStr">
        <is>
          <t>SEM COTAÇÃO</t>
        </is>
      </c>
      <c r="R3648" s="8" t="n"/>
      <c r="S3648" s="14" t="n"/>
      <c r="T3648" s="7" t="inlineStr"/>
      <c r="U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8" t="n"/>
      <c r="M3649" s="8" t="n"/>
      <c r="N3649" s="8" t="n"/>
      <c r="O3649" s="8" t="n"/>
      <c r="P3649" s="8" t="n"/>
      <c r="Q3649" s="7" t="inlineStr">
        <is>
          <t>SEM COTAÇÃO</t>
        </is>
      </c>
      <c r="R3649" s="8" t="n"/>
      <c r="S3649" s="14" t="n"/>
      <c r="T3649" s="7" t="inlineStr"/>
      <c r="U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8" t="n"/>
      <c r="M3650" s="8" t="n">
        <v>13.09</v>
      </c>
      <c r="N3650" s="8" t="n"/>
      <c r="O3650" s="8" t="n"/>
      <c r="P3650" s="8" t="n">
        <v>14.74</v>
      </c>
      <c r="Q3650" s="7" t="inlineStr">
        <is>
          <t>DIMEC</t>
        </is>
      </c>
      <c r="R3650" s="8" t="n">
        <v>12.34</v>
      </c>
      <c r="S3650" s="14">
        <f>R3650/H3650-1</f>
        <v/>
      </c>
      <c r="T3650" s="16" t="inlineStr">
        <is>
          <t>ACIMA +7.1%</t>
        </is>
      </c>
      <c r="U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8" t="n"/>
      <c r="M3651" s="8" t="n"/>
      <c r="N3651" s="8" t="n"/>
      <c r="O3651" s="8" t="n"/>
      <c r="P3651" s="8" t="n"/>
      <c r="Q3651" s="7" t="inlineStr">
        <is>
          <t>SEM COTAÇÃO</t>
        </is>
      </c>
      <c r="R3651" s="8" t="n"/>
      <c r="S3651" s="14" t="n"/>
      <c r="T3651" s="7" t="inlineStr"/>
      <c r="U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8" t="n"/>
      <c r="M3652" s="8" t="n"/>
      <c r="N3652" s="8" t="n"/>
      <c r="O3652" s="8" t="n"/>
      <c r="P3652" s="8" t="n"/>
      <c r="Q3652" s="7" t="inlineStr">
        <is>
          <t>SEM COTAÇÃO</t>
        </is>
      </c>
      <c r="R3652" s="8" t="n"/>
      <c r="S3652" s="14" t="n"/>
      <c r="T3652" s="7" t="inlineStr"/>
      <c r="U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8" t="n"/>
      <c r="M3653" s="8" t="n"/>
      <c r="N3653" s="8" t="n"/>
      <c r="O3653" s="8" t="n"/>
      <c r="P3653" s="8" t="n"/>
      <c r="Q3653" s="7" t="inlineStr">
        <is>
          <t>SEM COTAÇÃO</t>
        </is>
      </c>
      <c r="R3653" s="8" t="n"/>
      <c r="S3653" s="14" t="n"/>
      <c r="T3653" s="7" t="inlineStr"/>
      <c r="U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8" t="n"/>
      <c r="M3654" s="8" t="n"/>
      <c r="N3654" s="8" t="n"/>
      <c r="O3654" s="8" t="n"/>
      <c r="P3654" s="8" t="n"/>
      <c r="Q3654" s="7" t="inlineStr">
        <is>
          <t>SEM COTAÇÃO</t>
        </is>
      </c>
      <c r="R3654" s="8" t="n"/>
      <c r="S3654" s="14" t="n"/>
      <c r="T3654" s="7" t="inlineStr"/>
      <c r="U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8" t="n"/>
      <c r="M3655" s="8" t="n"/>
      <c r="N3655" s="8" t="n"/>
      <c r="O3655" s="8" t="n"/>
      <c r="P3655" s="8" t="n"/>
      <c r="Q3655" s="7" t="inlineStr">
        <is>
          <t>SEM COTAÇÃO</t>
        </is>
      </c>
      <c r="R3655" s="8" t="n"/>
      <c r="S3655" s="14" t="n"/>
      <c r="T3655" s="7" t="inlineStr"/>
      <c r="U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8" t="n"/>
      <c r="M3656" s="8" t="n"/>
      <c r="N3656" s="8" t="n"/>
      <c r="O3656" s="8" t="n"/>
      <c r="P3656" s="8" t="n"/>
      <c r="Q3656" s="7" t="inlineStr">
        <is>
          <t>SEM COTAÇÃO</t>
        </is>
      </c>
      <c r="R3656" s="8" t="n"/>
      <c r="S3656" s="14" t="n"/>
      <c r="T3656" s="7" t="inlineStr"/>
      <c r="U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8" t="n"/>
      <c r="M3657" s="8" t="n"/>
      <c r="N3657" s="8" t="n"/>
      <c r="O3657" s="8" t="n"/>
      <c r="P3657" s="8" t="n"/>
      <c r="Q3657" s="7" t="inlineStr">
        <is>
          <t>SEM COTAÇÃO</t>
        </is>
      </c>
      <c r="R3657" s="8" t="n"/>
      <c r="S3657" s="14" t="n"/>
      <c r="T3657" s="7" t="inlineStr"/>
      <c r="U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8" t="n"/>
      <c r="M3658" s="8" t="n"/>
      <c r="N3658" s="8" t="n"/>
      <c r="O3658" s="8" t="n"/>
      <c r="P3658" s="8" t="n"/>
      <c r="Q3658" s="7" t="inlineStr">
        <is>
          <t>SEM COTAÇÃO</t>
        </is>
      </c>
      <c r="R3658" s="8" t="n"/>
      <c r="S3658" s="14" t="n"/>
      <c r="T3658" s="7" t="inlineStr"/>
      <c r="U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8" t="n"/>
      <c r="M3659" s="8" t="n"/>
      <c r="N3659" s="8" t="n"/>
      <c r="O3659" s="8" t="n"/>
      <c r="P3659" s="8" t="n"/>
      <c r="Q3659" s="7" t="inlineStr">
        <is>
          <t>SEM COTAÇÃO</t>
        </is>
      </c>
      <c r="R3659" s="8" t="n"/>
      <c r="S3659" s="14" t="n"/>
      <c r="T3659" s="7" t="inlineStr"/>
      <c r="U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8" t="n"/>
      <c r="M3660" s="8" t="n"/>
      <c r="N3660" s="8" t="n"/>
      <c r="O3660" s="8" t="n"/>
      <c r="P3660" s="8" t="n"/>
      <c r="Q3660" s="7" t="inlineStr">
        <is>
          <t>SEM COTAÇÃO</t>
        </is>
      </c>
      <c r="R3660" s="8" t="n"/>
      <c r="S3660" s="14" t="n"/>
      <c r="T3660" s="7" t="inlineStr"/>
      <c r="U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8" t="n"/>
      <c r="M3661" s="8" t="n"/>
      <c r="N3661" s="8" t="n"/>
      <c r="O3661" s="8" t="n"/>
      <c r="P3661" s="8" t="n"/>
      <c r="Q3661" s="7" t="inlineStr">
        <is>
          <t>SEM COTAÇÃO</t>
        </is>
      </c>
      <c r="R3661" s="8" t="n"/>
      <c r="S3661" s="14" t="n"/>
      <c r="T3661" s="7" t="inlineStr"/>
      <c r="U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8" t="n"/>
      <c r="M3662" s="8" t="n"/>
      <c r="N3662" s="8" t="n"/>
      <c r="O3662" s="8" t="n"/>
      <c r="P3662" s="8" t="n"/>
      <c r="Q3662" s="7" t="inlineStr">
        <is>
          <t>SEM COTAÇÃO</t>
        </is>
      </c>
      <c r="R3662" s="8" t="n"/>
      <c r="S3662" s="14" t="n"/>
      <c r="T3662" s="7" t="inlineStr"/>
      <c r="U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8" t="n"/>
      <c r="M3663" s="8" t="n"/>
      <c r="N3663" s="8" t="n"/>
      <c r="O3663" s="15" t="n">
        <v>16.393</v>
      </c>
      <c r="P3663" s="8" t="n"/>
      <c r="Q3663" s="7" t="inlineStr">
        <is>
          <t>NAZARIA</t>
        </is>
      </c>
      <c r="R3663" s="8" t="n">
        <v>16.393</v>
      </c>
      <c r="S3663" s="14">
        <f>R3663/H3663-1</f>
        <v/>
      </c>
      <c r="T3663" s="16" t="inlineStr">
        <is>
          <t>ACIMA +1.3%</t>
        </is>
      </c>
      <c r="U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8" t="n"/>
      <c r="M3664" s="8" t="n"/>
      <c r="N3664" s="15" t="n">
        <v>13.47</v>
      </c>
      <c r="O3664" s="8" t="n">
        <v>19.0896</v>
      </c>
      <c r="P3664" s="8" t="n"/>
      <c r="Q3664" s="7" t="inlineStr">
        <is>
          <t>TAPAJOS</t>
        </is>
      </c>
      <c r="R3664" s="8" t="n">
        <v>13.47</v>
      </c>
      <c r="S3664" s="14">
        <f>R3664/H3664-1</f>
        <v/>
      </c>
      <c r="T3664" s="17" t="inlineStr">
        <is>
          <t>OK (≤ menor hist.)</t>
        </is>
      </c>
      <c r="U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8" t="n"/>
      <c r="M3665" s="8" t="n"/>
      <c r="N3665" s="8" t="n"/>
      <c r="O3665" s="8" t="n"/>
      <c r="P3665" s="8" t="n"/>
      <c r="Q3665" s="7" t="inlineStr">
        <is>
          <t>SEM COTAÇÃO</t>
        </is>
      </c>
      <c r="R3665" s="8" t="n"/>
      <c r="S3665" s="14" t="n"/>
      <c r="T3665" s="7" t="inlineStr"/>
      <c r="U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15" t="n">
        <v>13.55</v>
      </c>
      <c r="M3666" s="8" t="n"/>
      <c r="N3666" s="8" t="n">
        <v>14.57</v>
      </c>
      <c r="O3666" s="8" t="n">
        <v>17.7607</v>
      </c>
      <c r="P3666" s="8" t="n"/>
      <c r="Q3666" s="7" t="inlineStr">
        <is>
          <t>EPAN</t>
        </is>
      </c>
      <c r="R3666" s="8" t="n">
        <v>13.55</v>
      </c>
      <c r="S3666" s="14">
        <f>R3666/H3666-1</f>
        <v/>
      </c>
      <c r="T3666" s="17" t="inlineStr">
        <is>
          <t>OK (≤ últ. compra)</t>
        </is>
      </c>
      <c r="U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7" t="inlineStr">
        <is>
          <t>SEM COTAÇÃO</t>
        </is>
      </c>
      <c r="R3667" s="8" t="n"/>
      <c r="S3667" s="14" t="n"/>
      <c r="T3667" s="7" t="inlineStr"/>
      <c r="U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8" t="n"/>
      <c r="M3668" s="15" t="n">
        <v>145.73</v>
      </c>
      <c r="N3668" s="8" t="n"/>
      <c r="O3668" s="8" t="n"/>
      <c r="P3668" s="8" t="n"/>
      <c r="Q3668" s="7" t="inlineStr">
        <is>
          <t>CENTROFARMA</t>
        </is>
      </c>
      <c r="R3668" s="8" t="n">
        <v>145.73</v>
      </c>
      <c r="S3668" s="14">
        <f>R3668/H3668-1</f>
        <v/>
      </c>
      <c r="T3668" s="16" t="inlineStr">
        <is>
          <t>ACIMA +24.5%</t>
        </is>
      </c>
      <c r="U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8" t="n"/>
      <c r="M3669" s="15" t="n">
        <v>167.09</v>
      </c>
      <c r="N3669" s="8" t="n"/>
      <c r="O3669" s="8" t="n">
        <v>197.05</v>
      </c>
      <c r="P3669" s="8" t="n"/>
      <c r="Q3669" s="7" t="inlineStr">
        <is>
          <t>CENTROFARMA</t>
        </is>
      </c>
      <c r="R3669" s="8" t="n">
        <v>167.09</v>
      </c>
      <c r="S3669" s="14">
        <f>R3669/H3669-1</f>
        <v/>
      </c>
      <c r="T3669" s="16" t="inlineStr">
        <is>
          <t>ACIMA +33.6%</t>
        </is>
      </c>
      <c r="U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8" t="n"/>
      <c r="M3670" s="15" t="n">
        <v>169.8</v>
      </c>
      <c r="N3670" s="8" t="n"/>
      <c r="O3670" s="8" t="n">
        <v>197.05</v>
      </c>
      <c r="P3670" s="8" t="n"/>
      <c r="Q3670" s="7" t="inlineStr">
        <is>
          <t>CENTROFARMA</t>
        </is>
      </c>
      <c r="R3670" s="8" t="n">
        <v>169.8</v>
      </c>
      <c r="S3670" s="14">
        <f>R3670/H3670-1</f>
        <v/>
      </c>
      <c r="T3670" s="16" t="inlineStr">
        <is>
          <t>ACIMA +32.7%</t>
        </is>
      </c>
      <c r="U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8" t="n"/>
      <c r="M3671" s="15" t="n">
        <v>177.22</v>
      </c>
      <c r="N3671" s="8" t="n"/>
      <c r="O3671" s="8" t="n"/>
      <c r="P3671" s="8" t="n"/>
      <c r="Q3671" s="7" t="inlineStr">
        <is>
          <t>CENTROFARMA</t>
        </is>
      </c>
      <c r="R3671" s="8" t="n">
        <v>177.22</v>
      </c>
      <c r="S3671" s="14">
        <f>R3671/H3671-1</f>
        <v/>
      </c>
      <c r="T3671" s="16" t="inlineStr">
        <is>
          <t>ACIMA +38.5%</t>
        </is>
      </c>
      <c r="U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8" t="n"/>
      <c r="M3672" s="8" t="n"/>
      <c r="N3672" s="8" t="n"/>
      <c r="O3672" s="8" t="n"/>
      <c r="P3672" s="8" t="n"/>
      <c r="Q3672" s="7" t="inlineStr">
        <is>
          <t>SEM COTAÇÃO</t>
        </is>
      </c>
      <c r="R3672" s="8" t="n"/>
      <c r="S3672" s="14" t="n"/>
      <c r="T3672" s="7" t="inlineStr"/>
      <c r="U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8" t="n"/>
      <c r="M3673" s="8" t="n"/>
      <c r="N3673" s="8" t="n"/>
      <c r="O3673" s="8" t="n"/>
      <c r="P3673" s="8" t="n"/>
      <c r="Q3673" s="7" t="inlineStr">
        <is>
          <t>SEM COTAÇÃO</t>
        </is>
      </c>
      <c r="R3673" s="8" t="n"/>
      <c r="S3673" s="14" t="n"/>
      <c r="T3673" s="7" t="inlineStr"/>
      <c r="U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8" t="n"/>
      <c r="M3674" s="8" t="n"/>
      <c r="N3674" s="8" t="n"/>
      <c r="O3674" s="8" t="n"/>
      <c r="P3674" s="8" t="n"/>
      <c r="Q3674" s="7" t="inlineStr">
        <is>
          <t>SEM COTAÇÃO</t>
        </is>
      </c>
      <c r="R3674" s="8" t="n"/>
      <c r="S3674" s="14" t="n"/>
      <c r="T3674" s="7" t="inlineStr"/>
      <c r="U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8" t="n"/>
      <c r="M3675" s="8" t="n"/>
      <c r="N3675" s="8" t="n"/>
      <c r="O3675" s="8" t="n"/>
      <c r="P3675" s="8" t="n"/>
      <c r="Q3675" s="7" t="inlineStr">
        <is>
          <t>SEM COTAÇÃO</t>
        </is>
      </c>
      <c r="R3675" s="8" t="n"/>
      <c r="S3675" s="14" t="n"/>
      <c r="T3675" s="7" t="inlineStr"/>
      <c r="U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8" t="n"/>
      <c r="M3676" s="8" t="n"/>
      <c r="N3676" s="8" t="n"/>
      <c r="O3676" s="8" t="n"/>
      <c r="P3676" s="8" t="n"/>
      <c r="Q3676" s="7" t="inlineStr">
        <is>
          <t>SEM COTAÇÃO</t>
        </is>
      </c>
      <c r="R3676" s="8" t="n"/>
      <c r="S3676" s="14" t="n"/>
      <c r="T3676" s="7" t="inlineStr"/>
      <c r="U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8" t="n"/>
      <c r="M3677" s="8" t="n"/>
      <c r="N3677" s="8" t="n"/>
      <c r="O3677" s="8" t="n"/>
      <c r="P3677" s="8" t="n"/>
      <c r="Q3677" s="7" t="inlineStr">
        <is>
          <t>SEM COTAÇÃO</t>
        </is>
      </c>
      <c r="R3677" s="8" t="n"/>
      <c r="S3677" s="14" t="n"/>
      <c r="T3677" s="7" t="inlineStr"/>
      <c r="U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8" t="n"/>
      <c r="M3678" s="8" t="n"/>
      <c r="N3678" s="8" t="n"/>
      <c r="O3678" s="8" t="n"/>
      <c r="P3678" s="8" t="n"/>
      <c r="Q3678" s="7" t="inlineStr">
        <is>
          <t>SEM COTAÇÃO</t>
        </is>
      </c>
      <c r="R3678" s="8" t="n"/>
      <c r="S3678" s="14" t="n"/>
      <c r="T3678" s="7" t="inlineStr"/>
      <c r="U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8" t="n"/>
      <c r="M3679" s="8" t="n"/>
      <c r="N3679" s="8" t="n"/>
      <c r="O3679" s="8" t="n"/>
      <c r="P3679" s="8" t="n"/>
      <c r="Q3679" s="7" t="inlineStr">
        <is>
          <t>SEM COTAÇÃO</t>
        </is>
      </c>
      <c r="R3679" s="8" t="n"/>
      <c r="S3679" s="14" t="n"/>
      <c r="T3679" s="7" t="inlineStr"/>
      <c r="U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8" t="n"/>
      <c r="M3680" s="8" t="n"/>
      <c r="N3680" s="8" t="n"/>
      <c r="O3680" s="8" t="n"/>
      <c r="P3680" s="8" t="n"/>
      <c r="Q3680" s="7" t="inlineStr">
        <is>
          <t>SEM COTAÇÃO</t>
        </is>
      </c>
      <c r="R3680" s="8" t="n"/>
      <c r="S3680" s="14" t="n"/>
      <c r="T3680" s="7" t="inlineStr"/>
      <c r="U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8" t="n"/>
      <c r="M3681" s="8" t="n"/>
      <c r="N3681" s="8" t="n"/>
      <c r="O3681" s="8" t="n"/>
      <c r="P3681" s="8" t="n"/>
      <c r="Q3681" s="7" t="inlineStr">
        <is>
          <t>SEM COTAÇÃO</t>
        </is>
      </c>
      <c r="R3681" s="8" t="n"/>
      <c r="S3681" s="14" t="n"/>
      <c r="T3681" s="7" t="inlineStr"/>
      <c r="U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8" t="n"/>
      <c r="M3682" s="8" t="n"/>
      <c r="N3682" s="8" t="n"/>
      <c r="O3682" s="8" t="n"/>
      <c r="P3682" s="8" t="n"/>
      <c r="Q3682" s="7" t="inlineStr">
        <is>
          <t>SEM COTAÇÃO</t>
        </is>
      </c>
      <c r="R3682" s="8" t="n"/>
      <c r="S3682" s="14" t="n"/>
      <c r="T3682" s="7" t="inlineStr"/>
      <c r="U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8" t="n"/>
      <c r="M3683" s="8" t="n"/>
      <c r="N3683" s="8" t="n"/>
      <c r="O3683" s="8" t="n"/>
      <c r="P3683" s="8" t="n"/>
      <c r="Q3683" s="7" t="inlineStr">
        <is>
          <t>SEM COTAÇÃO</t>
        </is>
      </c>
      <c r="R3683" s="8" t="n"/>
      <c r="S3683" s="14" t="n"/>
      <c r="T3683" s="7" t="inlineStr"/>
      <c r="U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8" t="n"/>
      <c r="M3684" s="8" t="n"/>
      <c r="N3684" s="8" t="n"/>
      <c r="O3684" s="8" t="n"/>
      <c r="P3684" s="8" t="n"/>
      <c r="Q3684" s="7" t="inlineStr">
        <is>
          <t>SEM COTAÇÃO</t>
        </is>
      </c>
      <c r="R3684" s="8" t="n"/>
      <c r="S3684" s="14" t="n"/>
      <c r="T3684" s="7" t="inlineStr"/>
      <c r="U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8" t="n"/>
      <c r="M3685" s="8" t="n"/>
      <c r="N3685" s="8" t="n"/>
      <c r="O3685" s="8" t="n"/>
      <c r="P3685" s="8" t="n"/>
      <c r="Q3685" s="7" t="inlineStr">
        <is>
          <t>SEM COTAÇÃO</t>
        </is>
      </c>
      <c r="R3685" s="8" t="n"/>
      <c r="S3685" s="14" t="n"/>
      <c r="T3685" s="7" t="inlineStr"/>
      <c r="U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8" t="n"/>
      <c r="M3686" s="8" t="n"/>
      <c r="N3686" s="8" t="n"/>
      <c r="O3686" s="8" t="n"/>
      <c r="P3686" s="8" t="n"/>
      <c r="Q3686" s="7" t="inlineStr">
        <is>
          <t>SEM COTAÇÃO</t>
        </is>
      </c>
      <c r="R3686" s="8" t="n"/>
      <c r="S3686" s="14" t="n"/>
      <c r="T3686" s="7" t="inlineStr"/>
      <c r="U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8" t="n"/>
      <c r="M3687" s="8" t="n"/>
      <c r="N3687" s="8" t="n"/>
      <c r="O3687" s="8" t="n"/>
      <c r="P3687" s="8" t="n"/>
      <c r="Q3687" s="7" t="inlineStr">
        <is>
          <t>SEM COTAÇÃO</t>
        </is>
      </c>
      <c r="R3687" s="8" t="n"/>
      <c r="S3687" s="14" t="n"/>
      <c r="T3687" s="7" t="inlineStr"/>
      <c r="U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8" t="n"/>
      <c r="M3688" s="8" t="n"/>
      <c r="N3688" s="8" t="n"/>
      <c r="O3688" s="8" t="n"/>
      <c r="P3688" s="8" t="n"/>
      <c r="Q3688" s="7" t="inlineStr">
        <is>
          <t>SEM COTAÇÃO</t>
        </is>
      </c>
      <c r="R3688" s="8" t="n"/>
      <c r="S3688" s="14" t="n"/>
      <c r="T3688" s="7" t="inlineStr"/>
      <c r="U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8" t="n"/>
      <c r="M3689" s="8" t="n"/>
      <c r="N3689" s="8" t="n"/>
      <c r="O3689" s="8" t="n"/>
      <c r="P3689" s="8" t="n"/>
      <c r="Q3689" s="7" t="inlineStr">
        <is>
          <t>SEM COTAÇÃO</t>
        </is>
      </c>
      <c r="R3689" s="8" t="n"/>
      <c r="S3689" s="14" t="n"/>
      <c r="T3689" s="7" t="inlineStr"/>
      <c r="U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8" t="n"/>
      <c r="M3690" s="8" t="n"/>
      <c r="N3690" s="8" t="n"/>
      <c r="O3690" s="8" t="n"/>
      <c r="P3690" s="8" t="n"/>
      <c r="Q3690" s="7" t="inlineStr">
        <is>
          <t>SEM COTAÇÃO</t>
        </is>
      </c>
      <c r="R3690" s="8" t="n"/>
      <c r="S3690" s="14" t="n"/>
      <c r="T3690" s="7" t="inlineStr"/>
      <c r="U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8" t="n"/>
      <c r="M3691" s="8" t="n"/>
      <c r="N3691" s="8" t="n"/>
      <c r="O3691" s="8" t="n"/>
      <c r="P3691" s="8" t="n"/>
      <c r="Q3691" s="7" t="inlineStr">
        <is>
          <t>SEM COTAÇÃO</t>
        </is>
      </c>
      <c r="R3691" s="8" t="n"/>
      <c r="S3691" s="14" t="n"/>
      <c r="T3691" s="7" t="inlineStr"/>
      <c r="U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8" t="n"/>
      <c r="M3692" s="8" t="n"/>
      <c r="N3692" s="8" t="n"/>
      <c r="O3692" s="8" t="n"/>
      <c r="P3692" s="8" t="n"/>
      <c r="Q3692" s="7" t="inlineStr">
        <is>
          <t>SEM COTAÇÃO</t>
        </is>
      </c>
      <c r="R3692" s="8" t="n"/>
      <c r="S3692" s="14" t="n"/>
      <c r="T3692" s="7" t="inlineStr"/>
      <c r="U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8" t="n"/>
      <c r="M3693" s="8" t="n"/>
      <c r="N3693" s="8" t="n"/>
      <c r="O3693" s="8" t="n"/>
      <c r="P3693" s="8" t="n"/>
      <c r="Q3693" s="7" t="inlineStr">
        <is>
          <t>SEM COTAÇÃO</t>
        </is>
      </c>
      <c r="R3693" s="8" t="n"/>
      <c r="S3693" s="14" t="n"/>
      <c r="T3693" s="7" t="inlineStr"/>
      <c r="U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8" t="n"/>
      <c r="M3694" s="8" t="n"/>
      <c r="N3694" s="8" t="n"/>
      <c r="O3694" s="8" t="n"/>
      <c r="P3694" s="8" t="n"/>
      <c r="Q3694" s="7" t="inlineStr">
        <is>
          <t>SEM COTAÇÃO</t>
        </is>
      </c>
      <c r="R3694" s="8" t="n"/>
      <c r="S3694" s="14" t="n"/>
      <c r="T3694" s="7" t="inlineStr"/>
      <c r="U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8" t="n"/>
      <c r="M3695" s="8" t="n"/>
      <c r="N3695" s="8" t="n"/>
      <c r="O3695" s="8" t="n"/>
      <c r="P3695" s="8" t="n"/>
      <c r="Q3695" s="7" t="inlineStr">
        <is>
          <t>SEM COTAÇÃO</t>
        </is>
      </c>
      <c r="R3695" s="8" t="n"/>
      <c r="S3695" s="14" t="n"/>
      <c r="T3695" s="7" t="inlineStr"/>
      <c r="U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8" t="n"/>
      <c r="M3696" s="8" t="n"/>
      <c r="N3696" s="8" t="n"/>
      <c r="O3696" s="8" t="n"/>
      <c r="P3696" s="8" t="n"/>
      <c r="Q3696" s="7" t="inlineStr">
        <is>
          <t>SEM COTAÇÃO</t>
        </is>
      </c>
      <c r="R3696" s="8" t="n"/>
      <c r="S3696" s="14" t="n"/>
      <c r="T3696" s="7" t="inlineStr"/>
      <c r="U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8" t="n"/>
      <c r="M3697" s="8" t="n"/>
      <c r="N3697" s="8" t="n"/>
      <c r="O3697" s="8" t="n"/>
      <c r="P3697" s="8" t="n"/>
      <c r="Q3697" s="7" t="inlineStr">
        <is>
          <t>SEM COTAÇÃO</t>
        </is>
      </c>
      <c r="R3697" s="8" t="n"/>
      <c r="S3697" s="14" t="n"/>
      <c r="T3697" s="7" t="inlineStr"/>
      <c r="U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8" t="n"/>
      <c r="M3698" s="8" t="n"/>
      <c r="N3698" s="8" t="n"/>
      <c r="O3698" s="8" t="n"/>
      <c r="P3698" s="8" t="n"/>
      <c r="Q3698" s="7" t="inlineStr">
        <is>
          <t>SEM COTAÇÃO</t>
        </is>
      </c>
      <c r="R3698" s="8" t="n"/>
      <c r="S3698" s="14" t="n"/>
      <c r="T3698" s="7" t="inlineStr"/>
      <c r="U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8" t="n"/>
      <c r="M3699" s="8" t="n"/>
      <c r="N3699" s="8" t="n"/>
      <c r="O3699" s="8" t="n"/>
      <c r="P3699" s="8" t="n"/>
      <c r="Q3699" s="7" t="inlineStr">
        <is>
          <t>SEM COTAÇÃO</t>
        </is>
      </c>
      <c r="R3699" s="8" t="n"/>
      <c r="S3699" s="14" t="n"/>
      <c r="T3699" s="7" t="inlineStr"/>
      <c r="U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8" t="n"/>
      <c r="M3700" s="8" t="n"/>
      <c r="N3700" s="8" t="n"/>
      <c r="O3700" s="8" t="n"/>
      <c r="P3700" s="8" t="n"/>
      <c r="Q3700" s="7" t="inlineStr">
        <is>
          <t>SEM COTAÇÃO</t>
        </is>
      </c>
      <c r="R3700" s="8" t="n"/>
      <c r="S3700" s="14" t="n"/>
      <c r="T3700" s="7" t="inlineStr"/>
      <c r="U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8" t="n">
        <v>13.54</v>
      </c>
      <c r="M3701" s="8" t="n"/>
      <c r="N3701" s="15" t="n">
        <v>12.9</v>
      </c>
      <c r="O3701" s="8" t="n">
        <v>13.72</v>
      </c>
      <c r="P3701" s="8" t="n"/>
      <c r="Q3701" s="7" t="inlineStr">
        <is>
          <t>TAPAJOS</t>
        </is>
      </c>
      <c r="R3701" s="8" t="n">
        <v>12.9</v>
      </c>
      <c r="S3701" s="14">
        <f>R3701/H3701-1</f>
        <v/>
      </c>
      <c r="T3701" s="17" t="inlineStr">
        <is>
          <t>OK (≤ últ. compra)</t>
        </is>
      </c>
      <c r="U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8" t="n"/>
      <c r="M3702" s="8" t="n"/>
      <c r="N3702" s="8" t="n"/>
      <c r="O3702" s="8" t="n"/>
      <c r="P3702" s="8" t="n"/>
      <c r="Q3702" s="7" t="inlineStr">
        <is>
          <t>DIMEC</t>
        </is>
      </c>
      <c r="R3702" s="8" t="n">
        <v>8.76</v>
      </c>
      <c r="S3702" s="14">
        <f>R3702/H3702-1</f>
        <v/>
      </c>
      <c r="T3702" s="16" t="inlineStr">
        <is>
          <t>ACIMA +8.6%</t>
        </is>
      </c>
      <c r="U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8" t="n"/>
      <c r="M3703" s="8" t="n"/>
      <c r="N3703" s="8" t="n"/>
      <c r="O3703" s="8" t="n"/>
      <c r="P3703" s="8" t="n"/>
      <c r="Q3703" s="7" t="inlineStr">
        <is>
          <t>DIMEC</t>
        </is>
      </c>
      <c r="R3703" s="8" t="n">
        <v>8.76</v>
      </c>
      <c r="S3703" s="14">
        <f>R3703/H3703-1</f>
        <v/>
      </c>
      <c r="T3703" s="16" t="inlineStr">
        <is>
          <t>ACIMA +8.6%</t>
        </is>
      </c>
      <c r="U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8" t="n"/>
      <c r="M3704" s="8" t="n"/>
      <c r="N3704" s="8" t="n"/>
      <c r="O3704" s="8" t="n"/>
      <c r="P3704" s="8" t="n"/>
      <c r="Q3704" s="7" t="inlineStr">
        <is>
          <t>SEM COTAÇÃO</t>
        </is>
      </c>
      <c r="R3704" s="8" t="n"/>
      <c r="S3704" s="14" t="n"/>
      <c r="T3704" s="7" t="inlineStr"/>
      <c r="U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8" t="n"/>
      <c r="M3705" s="8" t="n"/>
      <c r="N3705" s="8" t="n"/>
      <c r="O3705" s="8" t="n"/>
      <c r="P3705" s="8" t="n"/>
      <c r="Q3705" s="7" t="inlineStr">
        <is>
          <t>SEM COTAÇÃO</t>
        </is>
      </c>
      <c r="R3705" s="8" t="n"/>
      <c r="S3705" s="14" t="n"/>
      <c r="T3705" s="7" t="inlineStr"/>
      <c r="U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8" t="n"/>
      <c r="M3706" s="8" t="n"/>
      <c r="N3706" s="8" t="n"/>
      <c r="O3706" s="8" t="n"/>
      <c r="P3706" s="8" t="n"/>
      <c r="Q3706" s="7" t="inlineStr">
        <is>
          <t>SEM COTAÇÃO</t>
        </is>
      </c>
      <c r="R3706" s="8" t="n"/>
      <c r="S3706" s="14" t="n"/>
      <c r="T3706" s="7" t="inlineStr"/>
      <c r="U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8" t="n"/>
      <c r="M3707" s="8" t="n"/>
      <c r="N3707" s="8" t="n"/>
      <c r="O3707" s="15" t="n">
        <v>3.79</v>
      </c>
      <c r="P3707" s="8" t="n"/>
      <c r="Q3707" s="7" t="inlineStr">
        <is>
          <t>NAZARIA</t>
        </is>
      </c>
      <c r="R3707" s="8" t="n">
        <v>3.79</v>
      </c>
      <c r="S3707" s="14">
        <f>R3707/H3707-1</f>
        <v/>
      </c>
      <c r="T3707" s="17" t="inlineStr">
        <is>
          <t>OK (≤ menor hist.)</t>
        </is>
      </c>
      <c r="U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8" t="n"/>
      <c r="M3708" s="8" t="n"/>
      <c r="N3708" s="8" t="n"/>
      <c r="O3708" s="8" t="n"/>
      <c r="P3708" s="8" t="n"/>
      <c r="Q3708" s="7" t="inlineStr">
        <is>
          <t>SEM COTAÇÃO</t>
        </is>
      </c>
      <c r="R3708" s="8" t="n"/>
      <c r="S3708" s="14" t="n"/>
      <c r="T3708" s="7" t="inlineStr"/>
      <c r="U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8" t="n"/>
      <c r="M3709" s="8" t="n"/>
      <c r="N3709" s="8" t="n"/>
      <c r="O3709" s="8" t="n"/>
      <c r="P3709" s="8" t="n"/>
      <c r="Q3709" s="7" t="inlineStr">
        <is>
          <t>SEM COTAÇÃO</t>
        </is>
      </c>
      <c r="R3709" s="8" t="n"/>
      <c r="S3709" s="14" t="n"/>
      <c r="T3709" s="7" t="inlineStr"/>
      <c r="U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8" t="n"/>
      <c r="M3710" s="8" t="n"/>
      <c r="N3710" s="8" t="n"/>
      <c r="O3710" s="15" t="n">
        <v>40.55240000000001</v>
      </c>
      <c r="P3710" s="8" t="n"/>
      <c r="Q3710" s="7" t="inlineStr">
        <is>
          <t>NAZARIA</t>
        </is>
      </c>
      <c r="R3710" s="8" t="n">
        <v>40.55240000000001</v>
      </c>
      <c r="S3710" s="14">
        <f>R3710/H3710-1</f>
        <v/>
      </c>
      <c r="T3710" s="16" t="inlineStr">
        <is>
          <t>ACIMA +6.8%</t>
        </is>
      </c>
      <c r="U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8" t="n"/>
      <c r="M3711" s="8" t="n"/>
      <c r="N3711" s="8" t="n"/>
      <c r="O3711" s="8" t="n"/>
      <c r="P3711" s="8" t="n"/>
      <c r="Q3711" s="7" t="inlineStr">
        <is>
          <t>SEM COTAÇÃO</t>
        </is>
      </c>
      <c r="R3711" s="8" t="n"/>
      <c r="S3711" s="14" t="n"/>
      <c r="T3711" s="7" t="inlineStr"/>
      <c r="U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15" t="n">
        <v>34.72</v>
      </c>
      <c r="M3712" s="8" t="n"/>
      <c r="N3712" s="8" t="n"/>
      <c r="O3712" s="8" t="n">
        <v>43.41</v>
      </c>
      <c r="P3712" s="8" t="n"/>
      <c r="Q3712" s="7" t="inlineStr">
        <is>
          <t>EPAN</t>
        </is>
      </c>
      <c r="R3712" s="8" t="n">
        <v>34.72</v>
      </c>
      <c r="S3712" s="14">
        <f>R3712/H3712-1</f>
        <v/>
      </c>
      <c r="T3712" s="17" t="inlineStr">
        <is>
          <t>OK (≤ últ. compra)</t>
        </is>
      </c>
      <c r="U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8" t="n"/>
      <c r="M3713" s="8" t="n"/>
      <c r="N3713" s="8" t="n"/>
      <c r="O3713" s="8" t="n"/>
      <c r="P3713" s="8" t="n"/>
      <c r="Q3713" s="7" t="inlineStr">
        <is>
          <t>SEM COTAÇÃO</t>
        </is>
      </c>
      <c r="R3713" s="8" t="n"/>
      <c r="S3713" s="14" t="n"/>
      <c r="T3713" s="7" t="inlineStr"/>
      <c r="U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8" t="n"/>
      <c r="M3714" s="8" t="n"/>
      <c r="N3714" s="8" t="n"/>
      <c r="O3714" s="15" t="n">
        <v>17.2</v>
      </c>
      <c r="P3714" s="8" t="n"/>
      <c r="Q3714" s="7" t="inlineStr">
        <is>
          <t>NAZARIA</t>
        </is>
      </c>
      <c r="R3714" s="8" t="n">
        <v>17.2</v>
      </c>
      <c r="S3714" s="14">
        <f>R3714/H3714-1</f>
        <v/>
      </c>
      <c r="T3714" s="17" t="inlineStr">
        <is>
          <t>OK (≤ menor hist.)</t>
        </is>
      </c>
      <c r="U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8" t="n"/>
      <c r="M3715" s="8" t="n"/>
      <c r="N3715" s="8" t="n"/>
      <c r="O3715" s="15" t="n">
        <v>19.84</v>
      </c>
      <c r="P3715" s="8" t="n"/>
      <c r="Q3715" s="7" t="inlineStr">
        <is>
          <t>NAZARIA</t>
        </is>
      </c>
      <c r="R3715" s="8" t="n">
        <v>19.84</v>
      </c>
      <c r="S3715" s="14">
        <f>R3715/H3715-1</f>
        <v/>
      </c>
      <c r="T3715" s="17" t="inlineStr">
        <is>
          <t>OK (≤ menor hist.)</t>
        </is>
      </c>
      <c r="U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8" t="n"/>
      <c r="M3716" s="8" t="n"/>
      <c r="N3716" s="8" t="n"/>
      <c r="O3716" s="8" t="n"/>
      <c r="P3716" s="8" t="n"/>
      <c r="Q3716" s="7" t="inlineStr">
        <is>
          <t>SEM COTAÇÃO</t>
        </is>
      </c>
      <c r="R3716" s="8" t="n"/>
      <c r="S3716" s="14" t="n"/>
      <c r="T3716" s="7" t="inlineStr"/>
      <c r="U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8" t="n"/>
      <c r="M3717" s="8" t="n"/>
      <c r="N3717" s="8" t="n"/>
      <c r="O3717" s="8" t="n"/>
      <c r="P3717" s="8" t="n"/>
      <c r="Q3717" s="7" t="inlineStr">
        <is>
          <t>SEM COTAÇÃO</t>
        </is>
      </c>
      <c r="R3717" s="8" t="n"/>
      <c r="S3717" s="14" t="n"/>
      <c r="T3717" s="7" t="inlineStr"/>
      <c r="U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8" t="n"/>
      <c r="M3718" s="8" t="n"/>
      <c r="N3718" s="8" t="n"/>
      <c r="O3718" s="8" t="n"/>
      <c r="P3718" s="8" t="n"/>
      <c r="Q3718" s="7" t="inlineStr">
        <is>
          <t>SEM COTAÇÃO</t>
        </is>
      </c>
      <c r="R3718" s="8" t="n"/>
      <c r="S3718" s="14" t="n"/>
      <c r="T3718" s="7" t="inlineStr"/>
      <c r="U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8" t="n"/>
      <c r="M3719" s="8" t="n"/>
      <c r="N3719" s="8" t="n"/>
      <c r="O3719" s="8" t="n"/>
      <c r="P3719" s="8" t="n"/>
      <c r="Q3719" s="7" t="inlineStr">
        <is>
          <t>SEM COTAÇÃO</t>
        </is>
      </c>
      <c r="R3719" s="8" t="n"/>
      <c r="S3719" s="14" t="n"/>
      <c r="T3719" s="7" t="inlineStr"/>
      <c r="U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8" t="n"/>
      <c r="M3720" s="8" t="n"/>
      <c r="N3720" s="8" t="n"/>
      <c r="O3720" s="8" t="n"/>
      <c r="P3720" s="8" t="n"/>
      <c r="Q3720" s="7" t="inlineStr">
        <is>
          <t>SEM COTAÇÃO</t>
        </is>
      </c>
      <c r="R3720" s="8" t="n"/>
      <c r="S3720" s="14" t="n"/>
      <c r="T3720" s="7" t="inlineStr"/>
      <c r="U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8" t="n"/>
      <c r="M3721" s="8" t="n"/>
      <c r="N3721" s="8" t="n"/>
      <c r="O3721" s="8" t="n"/>
      <c r="P3721" s="8" t="n"/>
      <c r="Q3721" s="7" t="inlineStr">
        <is>
          <t>SEM COTAÇÃO</t>
        </is>
      </c>
      <c r="R3721" s="8" t="n"/>
      <c r="S3721" s="14" t="n"/>
      <c r="T3721" s="7" t="inlineStr"/>
      <c r="U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8" t="n"/>
      <c r="M3722" s="8" t="n"/>
      <c r="N3722" s="8" t="n"/>
      <c r="O3722" s="8" t="n"/>
      <c r="P3722" s="8" t="n"/>
      <c r="Q3722" s="7" t="inlineStr">
        <is>
          <t>SEM COTAÇÃO</t>
        </is>
      </c>
      <c r="R3722" s="8" t="n"/>
      <c r="S3722" s="14" t="n"/>
      <c r="T3722" s="7" t="inlineStr"/>
      <c r="U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8" t="n"/>
      <c r="M3723" s="8" t="n"/>
      <c r="N3723" s="8" t="n"/>
      <c r="O3723" s="8" t="n">
        <v>32.3301</v>
      </c>
      <c r="P3723" s="8" t="n"/>
      <c r="Q3723" s="7" t="inlineStr">
        <is>
          <t>SEM COTAÇÃO</t>
        </is>
      </c>
      <c r="R3723" s="8" t="n"/>
      <c r="S3723" s="14" t="n"/>
      <c r="T3723" s="7" t="inlineStr"/>
      <c r="U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8" t="n"/>
      <c r="M3724" s="8" t="n"/>
      <c r="N3724" s="8" t="n"/>
      <c r="O3724" s="15" t="n">
        <v>66.73</v>
      </c>
      <c r="P3724" s="8" t="n"/>
      <c r="Q3724" s="7" t="inlineStr">
        <is>
          <t>NAZARIA</t>
        </is>
      </c>
      <c r="R3724" s="8" t="n">
        <v>66.73</v>
      </c>
      <c r="S3724" s="14">
        <f>R3724/H3724-1</f>
        <v/>
      </c>
      <c r="T3724" s="16" t="inlineStr">
        <is>
          <t>ACIMA +33.1%</t>
        </is>
      </c>
      <c r="U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8" t="n"/>
      <c r="M3725" s="8" t="n"/>
      <c r="N3725" s="8" t="n"/>
      <c r="O3725" s="15" t="n">
        <v>17.09</v>
      </c>
      <c r="P3725" s="8" t="n"/>
      <c r="Q3725" s="7" t="inlineStr">
        <is>
          <t>NAZARIA</t>
        </is>
      </c>
      <c r="R3725" s="8" t="n">
        <v>17.09</v>
      </c>
      <c r="S3725" s="14">
        <f>R3725/H3725-1</f>
        <v/>
      </c>
      <c r="T3725" s="17" t="inlineStr">
        <is>
          <t>OK (≤ menor hist.)</t>
        </is>
      </c>
      <c r="U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8" t="n"/>
      <c r="M3726" s="8" t="n"/>
      <c r="N3726" s="8" t="n"/>
      <c r="O3726" s="15" t="n">
        <v>27.22</v>
      </c>
      <c r="P3726" s="8" t="n"/>
      <c r="Q3726" s="7" t="inlineStr">
        <is>
          <t>NAZARIA</t>
        </is>
      </c>
      <c r="R3726" s="8" t="n">
        <v>27.22</v>
      </c>
      <c r="S3726" s="14">
        <f>R3726/H3726-1</f>
        <v/>
      </c>
      <c r="T3726" s="16" t="inlineStr">
        <is>
          <t>ACIMA +7.4%</t>
        </is>
      </c>
      <c r="U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16.97</v>
      </c>
      <c r="K3727" s="8" t="n">
        <v>99999999</v>
      </c>
      <c r="L3727" s="8" t="n"/>
      <c r="M3727" s="15" t="n">
        <v>16.83</v>
      </c>
      <c r="N3727" s="8" t="n"/>
      <c r="O3727" s="8" t="n"/>
      <c r="P3727" s="8" t="n"/>
      <c r="Q3727" s="7" t="inlineStr">
        <is>
          <t>CENTROFARMA</t>
        </is>
      </c>
      <c r="R3727" s="8" t="n">
        <v>16.83</v>
      </c>
      <c r="S3727" s="14">
        <f>R3727/H3727-1</f>
        <v/>
      </c>
      <c r="T3727" s="17" t="inlineStr">
        <is>
          <t>OK (≤ menor hist.)</t>
        </is>
      </c>
      <c r="U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8" t="n"/>
      <c r="M3728" s="8" t="n"/>
      <c r="N3728" s="8" t="n"/>
      <c r="O3728" s="8" t="n"/>
      <c r="P3728" s="8" t="n"/>
      <c r="Q3728" s="7" t="inlineStr">
        <is>
          <t>SEM COTAÇÃO</t>
        </is>
      </c>
      <c r="R3728" s="8" t="n"/>
      <c r="S3728" s="14" t="n"/>
      <c r="T3728" s="7" t="inlineStr"/>
      <c r="U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8" t="n"/>
      <c r="M3729" s="8" t="n"/>
      <c r="N3729" s="8" t="n"/>
      <c r="O3729" s="8" t="n"/>
      <c r="P3729" s="8" t="n"/>
      <c r="Q3729" s="7" t="inlineStr">
        <is>
          <t>SEM COTAÇÃO</t>
        </is>
      </c>
      <c r="R3729" s="8" t="n"/>
      <c r="S3729" s="14" t="n"/>
      <c r="T3729" s="7" t="inlineStr"/>
      <c r="U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8" t="n"/>
      <c r="M3730" s="15" t="n">
        <v>24.67</v>
      </c>
      <c r="N3730" s="8" t="n"/>
      <c r="O3730" s="8" t="n">
        <v>33.27</v>
      </c>
      <c r="P3730" s="8" t="n"/>
      <c r="Q3730" s="7" t="inlineStr">
        <is>
          <t>CENTROFARMA</t>
        </is>
      </c>
      <c r="R3730" s="8" t="n">
        <v>24.67</v>
      </c>
      <c r="S3730" s="14">
        <f>R3730/H3730-1</f>
        <v/>
      </c>
      <c r="T3730" s="16" t="inlineStr">
        <is>
          <t>ACIMA +11.3%</t>
        </is>
      </c>
      <c r="U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8" t="n"/>
      <c r="M3731" s="15" t="n">
        <v>25.07</v>
      </c>
      <c r="N3731" s="8" t="n"/>
      <c r="O3731" s="8" t="n">
        <v>33.27</v>
      </c>
      <c r="P3731" s="8" t="n"/>
      <c r="Q3731" s="7" t="inlineStr">
        <is>
          <t>CENTROFARMA</t>
        </is>
      </c>
      <c r="R3731" s="8" t="n">
        <v>25.07</v>
      </c>
      <c r="S3731" s="14">
        <f>R3731/H3731-1</f>
        <v/>
      </c>
      <c r="T3731" s="16" t="inlineStr">
        <is>
          <t>ACIMA +16.4%</t>
        </is>
      </c>
      <c r="U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8" t="n"/>
      <c r="M3732" s="8" t="n"/>
      <c r="N3732" s="8" t="n"/>
      <c r="O3732" s="8" t="n"/>
      <c r="P3732" s="8" t="n"/>
      <c r="Q3732" s="7" t="inlineStr">
        <is>
          <t>SEM COTAÇÃO</t>
        </is>
      </c>
      <c r="R3732" s="8" t="n"/>
      <c r="S3732" s="14" t="n"/>
      <c r="T3732" s="7" t="inlineStr"/>
      <c r="U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8" t="n"/>
      <c r="M3733" s="8" t="n"/>
      <c r="N3733" s="8" t="n"/>
      <c r="O3733" s="8" t="n">
        <v>35.22</v>
      </c>
      <c r="P3733" s="15" t="n">
        <v>23.25</v>
      </c>
      <c r="Q3733" s="7" t="inlineStr">
        <is>
          <t>MEDCENTRO</t>
        </is>
      </c>
      <c r="R3733" s="8" t="n">
        <v>23.25</v>
      </c>
      <c r="S3733" s="14">
        <f>R3733/H3733-1</f>
        <v/>
      </c>
      <c r="T3733" s="16" t="inlineStr">
        <is>
          <t>ACIMA +12.8%</t>
        </is>
      </c>
      <c r="U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8" t="n"/>
      <c r="M3734" s="8" t="n"/>
      <c r="N3734" s="8" t="n"/>
      <c r="O3734" s="15" t="n">
        <v>35.22</v>
      </c>
      <c r="P3734" s="8" t="n"/>
      <c r="Q3734" s="7" t="inlineStr">
        <is>
          <t>NAZARIA</t>
        </is>
      </c>
      <c r="R3734" s="8" t="n">
        <v>35.22</v>
      </c>
      <c r="S3734" s="14">
        <f>R3734/H3734-1</f>
        <v/>
      </c>
      <c r="T3734" s="16" t="inlineStr">
        <is>
          <t>ACIMA +59.2%</t>
        </is>
      </c>
      <c r="U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8" t="n"/>
      <c r="M3735" s="8" t="n">
        <v>35.1</v>
      </c>
      <c r="N3735" s="8" t="n">
        <v>33.23</v>
      </c>
      <c r="O3735" s="8" t="n">
        <v>48.11</v>
      </c>
      <c r="P3735" s="15" t="n">
        <v>26.83</v>
      </c>
      <c r="Q3735" s="7" t="inlineStr">
        <is>
          <t>MEDCENTRO</t>
        </is>
      </c>
      <c r="R3735" s="8" t="n">
        <v>26.83</v>
      </c>
      <c r="S3735" s="14">
        <f>R3735/H3735-1</f>
        <v/>
      </c>
      <c r="T3735" s="17" t="inlineStr">
        <is>
          <t>OK (≤ menor hist.)</t>
        </is>
      </c>
      <c r="U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8" t="n"/>
      <c r="M3736" s="8" t="n"/>
      <c r="N3736" s="8" t="n"/>
      <c r="O3736" s="8" t="n">
        <v>21.26</v>
      </c>
      <c r="P3736" s="8" t="n">
        <v>10.29</v>
      </c>
      <c r="Q3736" s="7" t="inlineStr">
        <is>
          <t>DIMEC</t>
        </is>
      </c>
      <c r="R3736" s="8" t="n">
        <v>9.41</v>
      </c>
      <c r="S3736" s="14">
        <f>R3736/H3736-1</f>
        <v/>
      </c>
      <c r="T3736" s="16" t="inlineStr">
        <is>
          <t>ACIMA +6.1%</t>
        </is>
      </c>
      <c r="U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8" t="n"/>
      <c r="M3737" s="8" t="n"/>
      <c r="N3737" s="8" t="n"/>
      <c r="O3737" s="8" t="n"/>
      <c r="P3737" s="8" t="n"/>
      <c r="Q3737" s="7" t="inlineStr">
        <is>
          <t>SEM COTAÇÃO</t>
        </is>
      </c>
      <c r="R3737" s="8" t="n"/>
      <c r="S3737" s="14" t="n"/>
      <c r="T3737" s="7" t="inlineStr"/>
      <c r="U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8" t="n"/>
      <c r="M3738" s="8" t="n"/>
      <c r="N3738" s="8" t="n"/>
      <c r="O3738" s="8" t="n"/>
      <c r="P3738" s="8" t="n"/>
      <c r="Q3738" s="7" t="inlineStr">
        <is>
          <t>SEM COTAÇÃO</t>
        </is>
      </c>
      <c r="R3738" s="8" t="n"/>
      <c r="S3738" s="14" t="n"/>
      <c r="T3738" s="7" t="inlineStr"/>
      <c r="U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8" t="n"/>
      <c r="M3739" s="8" t="n"/>
      <c r="N3739" s="8" t="n"/>
      <c r="O3739" s="15" t="n">
        <v>34.51</v>
      </c>
      <c r="P3739" s="8" t="n"/>
      <c r="Q3739" s="7" t="inlineStr">
        <is>
          <t>NAZARIA</t>
        </is>
      </c>
      <c r="R3739" s="8" t="n">
        <v>34.51</v>
      </c>
      <c r="S3739" s="14">
        <f>R3739/H3739-1</f>
        <v/>
      </c>
      <c r="T3739" s="16" t="inlineStr">
        <is>
          <t>ACIMA +6804.8%</t>
        </is>
      </c>
      <c r="U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8" t="n"/>
      <c r="M3740" s="8" t="n"/>
      <c r="N3740" s="8" t="n"/>
      <c r="O3740" s="8" t="n"/>
      <c r="P3740" s="8" t="n"/>
      <c r="Q3740" s="7" t="inlineStr">
        <is>
          <t>SEM COTAÇÃO</t>
        </is>
      </c>
      <c r="R3740" s="8" t="n"/>
      <c r="S3740" s="14" t="n"/>
      <c r="T3740" s="7" t="inlineStr"/>
      <c r="U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8" t="n"/>
      <c r="M3741" s="8" t="n"/>
      <c r="N3741" s="8" t="n"/>
      <c r="O3741" s="8" t="n"/>
      <c r="P3741" s="8" t="n"/>
      <c r="Q3741" s="7" t="inlineStr">
        <is>
          <t>SEM COTAÇÃO</t>
        </is>
      </c>
      <c r="R3741" s="8" t="n"/>
      <c r="S3741" s="14" t="n"/>
      <c r="T3741" s="7" t="inlineStr"/>
      <c r="U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8" t="n"/>
      <c r="M3742" s="8" t="n"/>
      <c r="N3742" s="8" t="n"/>
      <c r="O3742" s="8" t="n"/>
      <c r="P3742" s="8" t="n"/>
      <c r="Q3742" s="7" t="inlineStr">
        <is>
          <t>SEM COTAÇÃO</t>
        </is>
      </c>
      <c r="R3742" s="8" t="n"/>
      <c r="S3742" s="14" t="n"/>
      <c r="T3742" s="7" t="inlineStr"/>
      <c r="U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8" t="n"/>
      <c r="M3743" s="8" t="n"/>
      <c r="N3743" s="8" t="n"/>
      <c r="O3743" s="8" t="n"/>
      <c r="P3743" s="8" t="n"/>
      <c r="Q3743" s="7" t="inlineStr">
        <is>
          <t>SEM COTAÇÃO</t>
        </is>
      </c>
      <c r="R3743" s="8" t="n"/>
      <c r="S3743" s="14" t="n"/>
      <c r="T3743" s="7" t="inlineStr"/>
      <c r="U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8" t="n"/>
      <c r="M3744" s="8" t="n"/>
      <c r="N3744" s="8" t="n"/>
      <c r="O3744" s="8" t="n"/>
      <c r="P3744" s="8" t="n"/>
      <c r="Q3744" s="7" t="inlineStr">
        <is>
          <t>SEM COTAÇÃO</t>
        </is>
      </c>
      <c r="R3744" s="8" t="n"/>
      <c r="S3744" s="14" t="n"/>
      <c r="T3744" s="7" t="inlineStr"/>
      <c r="U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8" t="n"/>
      <c r="M3745" s="8" t="n"/>
      <c r="N3745" s="8" t="n"/>
      <c r="O3745" s="8" t="n">
        <v>26.662339</v>
      </c>
      <c r="P3745" s="8" t="n">
        <v>24.62</v>
      </c>
      <c r="Q3745" s="7" t="inlineStr">
        <is>
          <t>DIMEC</t>
        </is>
      </c>
      <c r="R3745" s="8" t="n">
        <v>9.99</v>
      </c>
      <c r="S3745" s="14">
        <f>R3745/H3745-1</f>
        <v/>
      </c>
      <c r="T3745" s="17" t="inlineStr">
        <is>
          <t>OK (≤ menor hist.)</t>
        </is>
      </c>
      <c r="U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8" t="n"/>
      <c r="M3746" s="8" t="n"/>
      <c r="N3746" s="8" t="n"/>
      <c r="O3746" s="15" t="n">
        <v>57.52</v>
      </c>
      <c r="P3746" s="8" t="n"/>
      <c r="Q3746" s="7" t="inlineStr">
        <is>
          <t>NAZARIA</t>
        </is>
      </c>
      <c r="R3746" s="8" t="n">
        <v>57.52</v>
      </c>
      <c r="S3746" s="14">
        <f>R3746/H3746-1</f>
        <v/>
      </c>
      <c r="T3746" s="16" t="inlineStr">
        <is>
          <t>ACIMA +16.2%</t>
        </is>
      </c>
      <c r="U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8" t="n"/>
      <c r="M3747" s="8" t="n"/>
      <c r="N3747" s="8" t="n"/>
      <c r="O3747" s="8" t="n"/>
      <c r="P3747" s="8" t="n"/>
      <c r="Q3747" s="7" t="inlineStr">
        <is>
          <t>SEM COTAÇÃO</t>
        </is>
      </c>
      <c r="R3747" s="8" t="n"/>
      <c r="S3747" s="14" t="n"/>
      <c r="T3747" s="7" t="inlineStr"/>
      <c r="U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8" t="n"/>
      <c r="M3748" s="8" t="n"/>
      <c r="N3748" s="8" t="n"/>
      <c r="O3748" s="8" t="n"/>
      <c r="P3748" s="8" t="n"/>
      <c r="Q3748" s="7" t="inlineStr">
        <is>
          <t>SEM COTAÇÃO</t>
        </is>
      </c>
      <c r="R3748" s="8" t="n"/>
      <c r="S3748" s="14" t="n"/>
      <c r="T3748" s="7" t="inlineStr"/>
      <c r="U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8" t="n"/>
      <c r="M3749" s="8" t="n"/>
      <c r="N3749" s="8" t="n"/>
      <c r="O3749" s="15" t="n">
        <v>33.65920000000001</v>
      </c>
      <c r="P3749" s="8" t="n"/>
      <c r="Q3749" s="7" t="inlineStr">
        <is>
          <t>NAZARIA</t>
        </is>
      </c>
      <c r="R3749" s="8" t="n">
        <v>33.65920000000001</v>
      </c>
      <c r="S3749" s="14">
        <f>R3749/H3749-1</f>
        <v/>
      </c>
      <c r="T3749" s="16" t="inlineStr">
        <is>
          <t>ACIMA +1.6%</t>
        </is>
      </c>
      <c r="U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8" t="n"/>
      <c r="M3750" s="8" t="n"/>
      <c r="N3750" s="8" t="n"/>
      <c r="O3750" s="15" t="n">
        <v>57.56225</v>
      </c>
      <c r="P3750" s="8" t="n"/>
      <c r="Q3750" s="7" t="inlineStr">
        <is>
          <t>NAZARIA</t>
        </is>
      </c>
      <c r="R3750" s="8" t="n">
        <v>57.56225</v>
      </c>
      <c r="S3750" s="14">
        <f>R3750/H3750-1</f>
        <v/>
      </c>
      <c r="T3750" s="17" t="inlineStr">
        <is>
          <t>OK (≤ últ. compra)</t>
        </is>
      </c>
      <c r="U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8" t="n">
        <v>7.14</v>
      </c>
      <c r="L3751" s="8" t="n"/>
      <c r="M3751" s="8" t="n"/>
      <c r="N3751" s="8" t="n"/>
      <c r="O3751" s="8" t="n"/>
      <c r="P3751" s="15" t="n">
        <v>4.88</v>
      </c>
      <c r="Q3751" s="7" t="inlineStr">
        <is>
          <t>MEDCENTRO</t>
        </is>
      </c>
      <c r="R3751" s="8" t="n">
        <v>4.88</v>
      </c>
      <c r="S3751" s="14">
        <f>R3751/H3751-1</f>
        <v/>
      </c>
      <c r="T3751" s="16" t="inlineStr">
        <is>
          <t>ACIMA +25.4%</t>
        </is>
      </c>
      <c r="U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8" t="n"/>
      <c r="M3752" s="8" t="n"/>
      <c r="N3752" s="8" t="n"/>
      <c r="O3752" s="8" t="n"/>
      <c r="P3752" s="8" t="n"/>
      <c r="Q3752" s="7" t="inlineStr">
        <is>
          <t>SEM COTAÇÃO</t>
        </is>
      </c>
      <c r="R3752" s="8" t="n"/>
      <c r="S3752" s="14" t="n"/>
      <c r="T3752" s="7" t="inlineStr"/>
      <c r="U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8" t="n"/>
      <c r="M3753" s="8" t="n"/>
      <c r="N3753" s="8" t="n"/>
      <c r="O3753" s="15" t="n">
        <v>37.690797</v>
      </c>
      <c r="P3753" s="8" t="n"/>
      <c r="Q3753" s="7" t="inlineStr">
        <is>
          <t>NAZARIA</t>
        </is>
      </c>
      <c r="R3753" s="8" t="n">
        <v>37.690797</v>
      </c>
      <c r="S3753" s="14">
        <f>R3753/H3753-1</f>
        <v/>
      </c>
      <c r="T3753" s="16" t="inlineStr">
        <is>
          <t>ACIMA +482.5%</t>
        </is>
      </c>
      <c r="U3753" s="7" t="inlineStr">
        <is>
          <t>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8" t="n"/>
      <c r="M3754" s="8" t="n"/>
      <c r="N3754" s="8" t="n"/>
      <c r="O3754" s="15" t="n">
        <v>52.31</v>
      </c>
      <c r="P3754" s="8" t="n"/>
      <c r="Q3754" s="7" t="inlineStr">
        <is>
          <t>NAZARIA</t>
        </is>
      </c>
      <c r="R3754" s="8" t="n">
        <v>52.31</v>
      </c>
      <c r="S3754" s="14">
        <f>R3754/H3754-1</f>
        <v/>
      </c>
      <c r="T3754" s="16" t="inlineStr">
        <is>
          <t>ACIMA +541.1%</t>
        </is>
      </c>
      <c r="U3754" s="7" t="inlineStr">
        <is>
          <t>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8" t="n"/>
      <c r="M3755" s="8" t="n"/>
      <c r="N3755" s="8" t="n"/>
      <c r="O3755" s="8" t="n"/>
      <c r="P3755" s="8" t="n"/>
      <c r="Q3755" s="7" t="inlineStr">
        <is>
          <t>SEM COTAÇÃO</t>
        </is>
      </c>
      <c r="R3755" s="8" t="n"/>
      <c r="S3755" s="14" t="n"/>
      <c r="T3755" s="7" t="inlineStr"/>
      <c r="U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8" t="n">
        <v>13.84</v>
      </c>
      <c r="L3756" s="8" t="n"/>
      <c r="M3756" s="8" t="n"/>
      <c r="N3756" s="8" t="n"/>
      <c r="O3756" s="8" t="n"/>
      <c r="P3756" s="15" t="n">
        <v>7.46</v>
      </c>
      <c r="Q3756" s="7" t="inlineStr">
        <is>
          <t>MEDCENTRO</t>
        </is>
      </c>
      <c r="R3756" s="8" t="n">
        <v>7.46</v>
      </c>
      <c r="S3756" s="14">
        <f>R3756/H3756-1</f>
        <v/>
      </c>
      <c r="T3756" s="16" t="inlineStr">
        <is>
          <t>ACIMA +9.2%</t>
        </is>
      </c>
      <c r="U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8" t="n"/>
      <c r="M3757" s="8" t="n"/>
      <c r="N3757" s="8" t="n"/>
      <c r="O3757" s="8" t="n"/>
      <c r="P3757" s="8" t="n"/>
      <c r="Q3757" s="7" t="inlineStr">
        <is>
          <t>SEM COTAÇÃO</t>
        </is>
      </c>
      <c r="R3757" s="8" t="n"/>
      <c r="S3757" s="14" t="n"/>
      <c r="T3757" s="7" t="inlineStr"/>
      <c r="U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8" t="n"/>
      <c r="M3758" s="8" t="n"/>
      <c r="N3758" s="8" t="n"/>
      <c r="O3758" s="8" t="n">
        <v>61.369336</v>
      </c>
      <c r="P3758" s="8" t="n"/>
      <c r="Q3758" s="7" t="inlineStr">
        <is>
          <t>SEM COTAÇÃO</t>
        </is>
      </c>
      <c r="R3758" s="8" t="n"/>
      <c r="S3758" s="14" t="n"/>
      <c r="T3758" s="7" t="inlineStr"/>
      <c r="U3758" s="7" t="inlineStr">
        <is>
          <t>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8" t="n"/>
      <c r="M3759" s="8" t="n"/>
      <c r="N3759" s="8" t="n"/>
      <c r="O3759" s="8" t="n"/>
      <c r="P3759" s="8" t="n"/>
      <c r="Q3759" s="7" t="inlineStr">
        <is>
          <t>SEM COTAÇÃO</t>
        </is>
      </c>
      <c r="R3759" s="8" t="n"/>
      <c r="S3759" s="14" t="n"/>
      <c r="T3759" s="7" t="inlineStr"/>
      <c r="U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8" t="n"/>
      <c r="M3760" s="8" t="n"/>
      <c r="N3760" s="8" t="n"/>
      <c r="O3760" s="8" t="n"/>
      <c r="P3760" s="8" t="n"/>
      <c r="Q3760" s="7" t="inlineStr">
        <is>
          <t>SEM COTAÇÃO</t>
        </is>
      </c>
      <c r="R3760" s="8" t="n"/>
      <c r="S3760" s="14" t="n"/>
      <c r="T3760" s="7" t="inlineStr"/>
      <c r="U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15" t="n">
        <v>6.13</v>
      </c>
      <c r="K3761" s="8" t="n"/>
      <c r="L3761" s="8" t="n"/>
      <c r="M3761" s="8" t="n">
        <v>6.21</v>
      </c>
      <c r="N3761" s="8" t="n"/>
      <c r="O3761" s="8" t="n"/>
      <c r="P3761" s="8" t="n"/>
      <c r="Q3761" s="7" t="inlineStr">
        <is>
          <t>DIMEC</t>
        </is>
      </c>
      <c r="R3761" s="8" t="n">
        <v>6.13</v>
      </c>
      <c r="S3761" s="14">
        <f>R3761/H3761-1</f>
        <v/>
      </c>
      <c r="T3761" s="16" t="inlineStr">
        <is>
          <t>ACIMA +3.9%</t>
        </is>
      </c>
      <c r="U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8" t="n"/>
      <c r="M3762" s="8" t="n"/>
      <c r="N3762" s="8" t="n"/>
      <c r="O3762" s="8" t="n"/>
      <c r="P3762" s="8" t="n"/>
      <c r="Q3762" s="7" t="inlineStr">
        <is>
          <t>SEM COTAÇÃO</t>
        </is>
      </c>
      <c r="R3762" s="8" t="n"/>
      <c r="S3762" s="14" t="n"/>
      <c r="T3762" s="7" t="inlineStr"/>
      <c r="U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8" t="n"/>
      <c r="M3763" s="8" t="n"/>
      <c r="N3763" s="8" t="n"/>
      <c r="O3763" s="8" t="n"/>
      <c r="P3763" s="8" t="n"/>
      <c r="Q3763" s="7" t="inlineStr">
        <is>
          <t>SEM COTAÇÃO</t>
        </is>
      </c>
      <c r="R3763" s="8" t="n"/>
      <c r="S3763" s="14" t="n"/>
      <c r="T3763" s="7" t="inlineStr"/>
      <c r="U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8" t="n"/>
      <c r="M3764" s="8" t="n"/>
      <c r="N3764" s="8" t="n"/>
      <c r="O3764" s="8" t="n"/>
      <c r="P3764" s="8" t="n"/>
      <c r="Q3764" s="7" t="inlineStr">
        <is>
          <t>SEM COTAÇÃO</t>
        </is>
      </c>
      <c r="R3764" s="8" t="n"/>
      <c r="S3764" s="14" t="n"/>
      <c r="T3764" s="7" t="inlineStr"/>
      <c r="U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8" t="n"/>
      <c r="M3765" s="8" t="n"/>
      <c r="N3765" s="8" t="n"/>
      <c r="O3765" s="8" t="n"/>
      <c r="P3765" s="8" t="n"/>
      <c r="Q3765" s="7" t="inlineStr">
        <is>
          <t>SEM COTAÇÃO</t>
        </is>
      </c>
      <c r="R3765" s="8" t="n"/>
      <c r="S3765" s="14" t="n"/>
      <c r="T3765" s="7" t="inlineStr"/>
      <c r="U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8" t="n"/>
      <c r="M3766" s="8" t="n"/>
      <c r="N3766" s="8" t="n"/>
      <c r="O3766" s="8" t="n"/>
      <c r="P3766" s="8" t="n"/>
      <c r="Q3766" s="7" t="inlineStr">
        <is>
          <t>SEM COTAÇÃO</t>
        </is>
      </c>
      <c r="R3766" s="8" t="n"/>
      <c r="S3766" s="14" t="n"/>
      <c r="T3766" s="7" t="inlineStr"/>
      <c r="U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8" t="n"/>
      <c r="M3767" s="8" t="n"/>
      <c r="N3767" s="8" t="n"/>
      <c r="O3767" s="8" t="n"/>
      <c r="P3767" s="8" t="n"/>
      <c r="Q3767" s="7" t="inlineStr">
        <is>
          <t>SEM COTAÇÃO</t>
        </is>
      </c>
      <c r="R3767" s="8" t="n"/>
      <c r="S3767" s="14" t="n"/>
      <c r="T3767" s="7" t="inlineStr"/>
      <c r="U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8" t="n"/>
      <c r="M3768" s="8" t="n"/>
      <c r="N3768" s="8" t="n"/>
      <c r="O3768" s="8" t="n"/>
      <c r="P3768" s="8" t="n"/>
      <c r="Q3768" s="7" t="inlineStr">
        <is>
          <t>SEM COTAÇÃO</t>
        </is>
      </c>
      <c r="R3768" s="8" t="n"/>
      <c r="S3768" s="14" t="n"/>
      <c r="T3768" s="7" t="inlineStr"/>
      <c r="U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8" t="n"/>
      <c r="M3769" s="8" t="n"/>
      <c r="N3769" s="8" t="n"/>
      <c r="O3769" s="8" t="n"/>
      <c r="P3769" s="8" t="n"/>
      <c r="Q3769" s="7" t="inlineStr">
        <is>
          <t>SEM COTAÇÃO</t>
        </is>
      </c>
      <c r="R3769" s="8" t="n"/>
      <c r="S3769" s="14" t="n"/>
      <c r="T3769" s="7" t="inlineStr"/>
      <c r="U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8" t="n"/>
      <c r="M3770" s="8" t="n"/>
      <c r="N3770" s="8" t="n"/>
      <c r="O3770" s="8" t="n"/>
      <c r="P3770" s="8" t="n"/>
      <c r="Q3770" s="7" t="inlineStr">
        <is>
          <t>SEM COTAÇÃO</t>
        </is>
      </c>
      <c r="R3770" s="8" t="n"/>
      <c r="S3770" s="14" t="n"/>
      <c r="T3770" s="7" t="inlineStr"/>
      <c r="U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8" t="n"/>
      <c r="M3771" s="8" t="n"/>
      <c r="N3771" s="8" t="n"/>
      <c r="O3771" s="8" t="n"/>
      <c r="P3771" s="8" t="n"/>
      <c r="Q3771" s="7" t="inlineStr">
        <is>
          <t>SEM COTAÇÃO</t>
        </is>
      </c>
      <c r="R3771" s="8" t="n"/>
      <c r="S3771" s="14" t="n"/>
      <c r="T3771" s="7" t="inlineStr"/>
      <c r="U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8" t="n"/>
      <c r="M3772" s="8" t="n"/>
      <c r="N3772" s="8" t="n"/>
      <c r="O3772" s="8" t="n"/>
      <c r="P3772" s="8" t="n"/>
      <c r="Q3772" s="7" t="inlineStr">
        <is>
          <t>SEM COTAÇÃO</t>
        </is>
      </c>
      <c r="R3772" s="8" t="n"/>
      <c r="S3772" s="14" t="n"/>
      <c r="T3772" s="7" t="inlineStr"/>
      <c r="U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8" t="n"/>
      <c r="M3773" s="8" t="n"/>
      <c r="N3773" s="8" t="n"/>
      <c r="O3773" s="8" t="n"/>
      <c r="P3773" s="8" t="n"/>
      <c r="Q3773" s="7" t="inlineStr">
        <is>
          <t>SEM COTAÇÃO</t>
        </is>
      </c>
      <c r="R3773" s="8" t="n"/>
      <c r="S3773" s="14" t="n"/>
      <c r="T3773" s="7" t="inlineStr"/>
      <c r="U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8" t="n"/>
      <c r="M3774" s="8" t="n"/>
      <c r="N3774" s="8" t="n"/>
      <c r="O3774" s="8" t="n"/>
      <c r="P3774" s="8" t="n"/>
      <c r="Q3774" s="7" t="inlineStr">
        <is>
          <t>SEM COTAÇÃO</t>
        </is>
      </c>
      <c r="R3774" s="8" t="n"/>
      <c r="S3774" s="14" t="n"/>
      <c r="T3774" s="7" t="inlineStr"/>
      <c r="U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8" t="n"/>
      <c r="M3775" s="8" t="n"/>
      <c r="N3775" s="8" t="n"/>
      <c r="O3775" s="8" t="n"/>
      <c r="P3775" s="8" t="n"/>
      <c r="Q3775" s="7" t="inlineStr">
        <is>
          <t>SEM COTAÇÃO</t>
        </is>
      </c>
      <c r="R3775" s="8" t="n"/>
      <c r="S3775" s="14" t="n"/>
      <c r="T3775" s="7" t="inlineStr"/>
      <c r="U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8" t="n"/>
      <c r="M3776" s="8" t="n"/>
      <c r="N3776" s="8" t="n"/>
      <c r="O3776" s="8" t="n"/>
      <c r="P3776" s="8" t="n"/>
      <c r="Q3776" s="7" t="inlineStr">
        <is>
          <t>SEM COTAÇÃO</t>
        </is>
      </c>
      <c r="R3776" s="8" t="n"/>
      <c r="S3776" s="14" t="n"/>
      <c r="T3776" s="7" t="inlineStr"/>
      <c r="U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8" t="n"/>
      <c r="M3777" s="8" t="n"/>
      <c r="N3777" s="8" t="n"/>
      <c r="O3777" s="8" t="n"/>
      <c r="P3777" s="8" t="n"/>
      <c r="Q3777" s="7" t="inlineStr">
        <is>
          <t>SEM COTAÇÃO</t>
        </is>
      </c>
      <c r="R3777" s="8" t="n"/>
      <c r="S3777" s="14" t="n"/>
      <c r="T3777" s="7" t="inlineStr"/>
      <c r="U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8" t="n"/>
      <c r="M3778" s="8" t="n"/>
      <c r="N3778" s="8" t="n"/>
      <c r="O3778" s="15" t="n">
        <v>4</v>
      </c>
      <c r="P3778" s="8" t="n"/>
      <c r="Q3778" s="7" t="inlineStr">
        <is>
          <t>NAZARIA</t>
        </is>
      </c>
      <c r="R3778" s="8" t="n">
        <v>4</v>
      </c>
      <c r="S3778" s="14">
        <f>R3778/H3778-1</f>
        <v/>
      </c>
      <c r="T3778" s="16" t="inlineStr">
        <is>
          <t>ACIMA +28.2%</t>
        </is>
      </c>
      <c r="U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8" t="n"/>
      <c r="M3779" s="8" t="n"/>
      <c r="N3779" s="8" t="n"/>
      <c r="O3779" s="8" t="n">
        <v>4</v>
      </c>
      <c r="P3779" s="8" t="n"/>
      <c r="Q3779" s="7" t="inlineStr">
        <is>
          <t>SEM COTAÇÃO</t>
        </is>
      </c>
      <c r="R3779" s="8" t="n"/>
      <c r="S3779" s="14" t="n"/>
      <c r="T3779" s="7" t="inlineStr"/>
      <c r="U3779" s="7" t="inlineStr">
        <is>
          <t>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8" t="n"/>
      <c r="M3780" s="8" t="n"/>
      <c r="N3780" s="8" t="n"/>
      <c r="O3780" s="15" t="n">
        <v>4</v>
      </c>
      <c r="P3780" s="8" t="n"/>
      <c r="Q3780" s="7" t="inlineStr">
        <is>
          <t>NAZARIA</t>
        </is>
      </c>
      <c r="R3780" s="8" t="n">
        <v>4</v>
      </c>
      <c r="S3780" s="14">
        <f>R3780/H3780-1</f>
        <v/>
      </c>
      <c r="T3780" s="16" t="inlineStr">
        <is>
          <t>ACIMA +28.2%</t>
        </is>
      </c>
      <c r="U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8" t="n"/>
      <c r="M3781" s="8" t="n"/>
      <c r="N3781" s="8" t="n"/>
      <c r="O3781" s="8" t="n">
        <v>4</v>
      </c>
      <c r="P3781" s="8" t="n"/>
      <c r="Q3781" s="7" t="inlineStr">
        <is>
          <t>SEM COTAÇÃO</t>
        </is>
      </c>
      <c r="R3781" s="8" t="n"/>
      <c r="S3781" s="14" t="n"/>
      <c r="T3781" s="7" t="inlineStr"/>
      <c r="U3781" s="7" t="inlineStr">
        <is>
          <t>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8" t="n"/>
      <c r="M3782" s="8" t="n"/>
      <c r="N3782" s="8" t="n"/>
      <c r="O3782" s="15" t="n">
        <v>3.55</v>
      </c>
      <c r="P3782" s="8" t="n"/>
      <c r="Q3782" s="7" t="inlineStr">
        <is>
          <t>NAZARIA</t>
        </is>
      </c>
      <c r="R3782" s="8" t="n">
        <v>3.55</v>
      </c>
      <c r="S3782" s="14">
        <f>R3782/H3782-1</f>
        <v/>
      </c>
      <c r="T3782" s="17" t="inlineStr">
        <is>
          <t>OK (≤ menor hist.)</t>
        </is>
      </c>
      <c r="U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8" t="n"/>
      <c r="M3783" s="8" t="n">
        <v>6.46</v>
      </c>
      <c r="N3783" s="8" t="n"/>
      <c r="O3783" s="8" t="n"/>
      <c r="P3783" s="8" t="n">
        <v>7.1</v>
      </c>
      <c r="Q3783" s="7" t="inlineStr">
        <is>
          <t>DIMEC</t>
        </is>
      </c>
      <c r="R3783" s="8" t="n">
        <v>5.74</v>
      </c>
      <c r="S3783" s="14" t="n"/>
      <c r="T3783" s="7" t="inlineStr">
        <is>
          <t>SEM HISTÓRICO</t>
        </is>
      </c>
      <c r="U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8" t="n"/>
      <c r="M3784" s="8" t="n"/>
      <c r="N3784" s="8" t="n"/>
      <c r="O3784" s="15" t="n">
        <v>5.41</v>
      </c>
      <c r="P3784" s="8" t="n"/>
      <c r="Q3784" s="7" t="inlineStr">
        <is>
          <t>NAZARIA</t>
        </is>
      </c>
      <c r="R3784" s="8" t="n">
        <v>5.41</v>
      </c>
      <c r="S3784" s="14">
        <f>R3784/H3784-1</f>
        <v/>
      </c>
      <c r="T3784" s="16" t="inlineStr">
        <is>
          <t>ACIMA +46.0%</t>
        </is>
      </c>
      <c r="U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8" t="n"/>
      <c r="M3785" s="8" t="n"/>
      <c r="N3785" s="8" t="n"/>
      <c r="O3785" s="15" t="n">
        <v>5.41</v>
      </c>
      <c r="P3785" s="8" t="n"/>
      <c r="Q3785" s="7" t="inlineStr">
        <is>
          <t>NAZARIA</t>
        </is>
      </c>
      <c r="R3785" s="8" t="n">
        <v>5.41</v>
      </c>
      <c r="S3785" s="14">
        <f>R3785/H3785-1</f>
        <v/>
      </c>
      <c r="T3785" s="16" t="inlineStr">
        <is>
          <t>ACIMA +45.5%</t>
        </is>
      </c>
      <c r="U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8" t="n"/>
      <c r="M3786" s="8" t="n"/>
      <c r="N3786" s="8" t="n"/>
      <c r="O3786" s="8" t="n"/>
      <c r="P3786" s="8" t="n"/>
      <c r="Q3786" s="7" t="inlineStr">
        <is>
          <t>SEM COTAÇÃO</t>
        </is>
      </c>
      <c r="R3786" s="8" t="n"/>
      <c r="S3786" s="14" t="n"/>
      <c r="T3786" s="7" t="inlineStr"/>
      <c r="U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8" t="n"/>
      <c r="M3787" s="8" t="n"/>
      <c r="N3787" s="8" t="n"/>
      <c r="O3787" s="15" t="n">
        <v>5.26</v>
      </c>
      <c r="P3787" s="8" t="n"/>
      <c r="Q3787" s="7" t="inlineStr">
        <is>
          <t>NAZARIA</t>
        </is>
      </c>
      <c r="R3787" s="8" t="n">
        <v>5.26</v>
      </c>
      <c r="S3787" s="14">
        <f>R3787/H3787-1</f>
        <v/>
      </c>
      <c r="T3787" s="16" t="inlineStr">
        <is>
          <t>ACIMA +3.3%</t>
        </is>
      </c>
      <c r="U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8" t="n"/>
      <c r="M3788" s="8" t="n"/>
      <c r="N3788" s="8" t="n"/>
      <c r="O3788" s="15" t="n">
        <v>5.26</v>
      </c>
      <c r="P3788" s="8" t="n"/>
      <c r="Q3788" s="7" t="inlineStr">
        <is>
          <t>NAZARIA</t>
        </is>
      </c>
      <c r="R3788" s="8" t="n">
        <v>5.26</v>
      </c>
      <c r="S3788" s="14">
        <f>R3788/H3788-1</f>
        <v/>
      </c>
      <c r="T3788" s="16" t="inlineStr">
        <is>
          <t>ACIMA +3.3%</t>
        </is>
      </c>
      <c r="U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8" t="n"/>
      <c r="M3789" s="8" t="n"/>
      <c r="N3789" s="8" t="n"/>
      <c r="O3789" s="15" t="n">
        <v>5.26</v>
      </c>
      <c r="P3789" s="8" t="n"/>
      <c r="Q3789" s="7" t="inlineStr">
        <is>
          <t>NAZARIA</t>
        </is>
      </c>
      <c r="R3789" s="8" t="n">
        <v>5.26</v>
      </c>
      <c r="S3789" s="14">
        <f>R3789/H3789-1</f>
        <v/>
      </c>
      <c r="T3789" s="16" t="inlineStr">
        <is>
          <t>ACIMA +3.3%</t>
        </is>
      </c>
      <c r="U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8" t="n"/>
      <c r="M3790" s="8" t="n"/>
      <c r="N3790" s="8" t="n"/>
      <c r="O3790" s="8" t="n">
        <v>21.99</v>
      </c>
      <c r="P3790" s="8" t="n"/>
      <c r="Q3790" s="7" t="inlineStr">
        <is>
          <t>SEM COTAÇÃO</t>
        </is>
      </c>
      <c r="R3790" s="8" t="n"/>
      <c r="S3790" s="14" t="n"/>
      <c r="T3790" s="7" t="inlineStr"/>
      <c r="U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8" t="n"/>
      <c r="M3791" s="8" t="n"/>
      <c r="N3791" s="8" t="n"/>
      <c r="O3791" s="8" t="n">
        <v>21.99</v>
      </c>
      <c r="P3791" s="8" t="n"/>
      <c r="Q3791" s="7" t="inlineStr">
        <is>
          <t>SEM COTAÇÃO</t>
        </is>
      </c>
      <c r="R3791" s="8" t="n"/>
      <c r="S3791" s="14" t="n"/>
      <c r="T3791" s="7" t="inlineStr"/>
      <c r="U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8" t="n"/>
      <c r="M3792" s="8" t="n"/>
      <c r="N3792" s="8" t="n"/>
      <c r="O3792" s="15" t="n">
        <v>27.85</v>
      </c>
      <c r="P3792" s="8" t="n"/>
      <c r="Q3792" s="7" t="inlineStr">
        <is>
          <t>NAZARIA</t>
        </is>
      </c>
      <c r="R3792" s="8" t="n">
        <v>27.85</v>
      </c>
      <c r="S3792" s="14">
        <f>R3792/H3792-1</f>
        <v/>
      </c>
      <c r="T3792" s="16" t="inlineStr">
        <is>
          <t>ACIMA +32.4%</t>
        </is>
      </c>
      <c r="U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8" t="n"/>
      <c r="M3793" s="8" t="n"/>
      <c r="N3793" s="8" t="n"/>
      <c r="O3793" s="15" t="n">
        <v>12.38</v>
      </c>
      <c r="P3793" s="8" t="n"/>
      <c r="Q3793" s="7" t="inlineStr">
        <is>
          <t>NAZARIA</t>
        </is>
      </c>
      <c r="R3793" s="8" t="n">
        <v>12.38</v>
      </c>
      <c r="S3793" s="14">
        <f>R3793/H3793-1</f>
        <v/>
      </c>
      <c r="T3793" s="16" t="inlineStr">
        <is>
          <t>ACIMA +5.9%</t>
        </is>
      </c>
      <c r="U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8" t="n"/>
      <c r="M3794" s="8" t="n"/>
      <c r="N3794" s="8" t="n"/>
      <c r="O3794" s="8" t="n"/>
      <c r="P3794" s="8" t="n"/>
      <c r="Q3794" s="7" t="inlineStr">
        <is>
          <t>SEM COTAÇÃO</t>
        </is>
      </c>
      <c r="R3794" s="8" t="n"/>
      <c r="S3794" s="14" t="n"/>
      <c r="T3794" s="7" t="inlineStr"/>
      <c r="U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8" t="n"/>
      <c r="M3795" s="8" t="n"/>
      <c r="N3795" s="8" t="n"/>
      <c r="O3795" s="8" t="n"/>
      <c r="P3795" s="8" t="n"/>
      <c r="Q3795" s="7" t="inlineStr">
        <is>
          <t>SEM COTAÇÃO</t>
        </is>
      </c>
      <c r="R3795" s="8" t="n"/>
      <c r="S3795" s="14" t="n"/>
      <c r="T3795" s="7" t="inlineStr"/>
      <c r="U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8" t="n"/>
      <c r="M3796" s="8" t="n"/>
      <c r="N3796" s="8" t="n"/>
      <c r="O3796" s="8" t="n"/>
      <c r="P3796" s="8" t="n"/>
      <c r="Q3796" s="7" t="inlineStr">
        <is>
          <t>SEM COTAÇÃO</t>
        </is>
      </c>
      <c r="R3796" s="8" t="n"/>
      <c r="S3796" s="14" t="n"/>
      <c r="T3796" s="7" t="inlineStr"/>
      <c r="U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8" t="n"/>
      <c r="M3797" s="8" t="n"/>
      <c r="N3797" s="8" t="n"/>
      <c r="O3797" s="8" t="n"/>
      <c r="P3797" s="8" t="n"/>
      <c r="Q3797" s="7" t="inlineStr">
        <is>
          <t>SEM COTAÇÃO</t>
        </is>
      </c>
      <c r="R3797" s="8" t="n"/>
      <c r="S3797" s="14" t="n"/>
      <c r="T3797" s="7" t="inlineStr"/>
      <c r="U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8" t="n"/>
      <c r="M3798" s="8" t="n"/>
      <c r="N3798" s="8" t="n"/>
      <c r="O3798" s="8" t="n"/>
      <c r="P3798" s="8" t="n"/>
      <c r="Q3798" s="7" t="inlineStr">
        <is>
          <t>SEM COTAÇÃO</t>
        </is>
      </c>
      <c r="R3798" s="8" t="n"/>
      <c r="S3798" s="14" t="n"/>
      <c r="T3798" s="7" t="inlineStr"/>
      <c r="U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8" t="n"/>
      <c r="M3799" s="8" t="n"/>
      <c r="N3799" s="8" t="n"/>
      <c r="O3799" s="8" t="n"/>
      <c r="P3799" s="8" t="n"/>
      <c r="Q3799" s="7" t="inlineStr">
        <is>
          <t>SEM COTAÇÃO</t>
        </is>
      </c>
      <c r="R3799" s="8" t="n"/>
      <c r="S3799" s="14" t="n"/>
      <c r="T3799" s="7" t="inlineStr"/>
      <c r="U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8" t="n"/>
      <c r="M3800" s="8" t="n"/>
      <c r="N3800" s="8" t="n"/>
      <c r="O3800" s="8" t="n"/>
      <c r="P3800" s="8" t="n"/>
      <c r="Q3800" s="7" t="inlineStr">
        <is>
          <t>SEM COTAÇÃO</t>
        </is>
      </c>
      <c r="R3800" s="8" t="n"/>
      <c r="S3800" s="14" t="n"/>
      <c r="T3800" s="7" t="inlineStr"/>
      <c r="U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8" t="n"/>
      <c r="M3801" s="8" t="n"/>
      <c r="N3801" s="8" t="n"/>
      <c r="O3801" s="15" t="n">
        <v>22.65</v>
      </c>
      <c r="P3801" s="8" t="n"/>
      <c r="Q3801" s="7" t="inlineStr">
        <is>
          <t>NAZARIA</t>
        </is>
      </c>
      <c r="R3801" s="8" t="n">
        <v>22.65</v>
      </c>
      <c r="S3801" s="14">
        <f>R3801/H3801-1</f>
        <v/>
      </c>
      <c r="T3801" s="16" t="inlineStr">
        <is>
          <t>ACIMA +11.1%</t>
        </is>
      </c>
      <c r="U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8" t="n"/>
      <c r="M3802" s="8" t="n"/>
      <c r="N3802" s="8" t="n"/>
      <c r="O3802" s="15" t="n">
        <v>22.65</v>
      </c>
      <c r="P3802" s="8" t="n"/>
      <c r="Q3802" s="7" t="inlineStr">
        <is>
          <t>NAZARIA</t>
        </is>
      </c>
      <c r="R3802" s="8" t="n">
        <v>22.65</v>
      </c>
      <c r="S3802" s="14">
        <f>R3802/H3802-1</f>
        <v/>
      </c>
      <c r="T3802" s="16" t="inlineStr">
        <is>
          <t>ACIMA +19.3%</t>
        </is>
      </c>
      <c r="U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8" t="n"/>
      <c r="M3803" s="8" t="n"/>
      <c r="N3803" s="8" t="n"/>
      <c r="O3803" s="15" t="n">
        <v>8.41</v>
      </c>
      <c r="P3803" s="8" t="n"/>
      <c r="Q3803" s="7" t="inlineStr">
        <is>
          <t>NAZARIA</t>
        </is>
      </c>
      <c r="R3803" s="8" t="n">
        <v>8.41</v>
      </c>
      <c r="S3803" s="14">
        <f>R3803/H3803-1</f>
        <v/>
      </c>
      <c r="T3803" s="16" t="inlineStr">
        <is>
          <t>ACIMA +26.1%</t>
        </is>
      </c>
      <c r="U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8" t="n"/>
      <c r="M3804" s="8" t="n"/>
      <c r="N3804" s="8" t="n"/>
      <c r="O3804" s="8" t="n"/>
      <c r="P3804" s="8" t="n"/>
      <c r="Q3804" s="7" t="inlineStr">
        <is>
          <t>SEM COTAÇÃO</t>
        </is>
      </c>
      <c r="R3804" s="8" t="n"/>
      <c r="S3804" s="14" t="n"/>
      <c r="T3804" s="7" t="inlineStr"/>
      <c r="U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8" t="n"/>
      <c r="M3805" s="8" t="n"/>
      <c r="N3805" s="8" t="n"/>
      <c r="O3805" s="15" t="n">
        <v>7.95</v>
      </c>
      <c r="P3805" s="8" t="n"/>
      <c r="Q3805" s="7" t="inlineStr">
        <is>
          <t>NAZARIA</t>
        </is>
      </c>
      <c r="R3805" s="8" t="n">
        <v>7.95</v>
      </c>
      <c r="S3805" s="14">
        <f>R3805/H3805-1</f>
        <v/>
      </c>
      <c r="T3805" s="16" t="inlineStr">
        <is>
          <t>ACIMA +16.5%</t>
        </is>
      </c>
      <c r="U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8" t="n"/>
      <c r="M3806" s="8" t="n"/>
      <c r="N3806" s="8" t="n"/>
      <c r="O3806" s="15" t="n">
        <v>7.95</v>
      </c>
      <c r="P3806" s="8" t="n"/>
      <c r="Q3806" s="7" t="inlineStr">
        <is>
          <t>NAZARIA</t>
        </is>
      </c>
      <c r="R3806" s="8" t="n">
        <v>7.95</v>
      </c>
      <c r="S3806" s="14">
        <f>R3806/H3806-1</f>
        <v/>
      </c>
      <c r="T3806" s="16" t="inlineStr">
        <is>
          <t>ACIMA +11.5%</t>
        </is>
      </c>
      <c r="U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8" t="n"/>
      <c r="M3807" s="8" t="n"/>
      <c r="N3807" s="8" t="n"/>
      <c r="O3807" s="8" t="n"/>
      <c r="P3807" s="8" t="n"/>
      <c r="Q3807" s="7" t="inlineStr">
        <is>
          <t>SEM COTAÇÃO</t>
        </is>
      </c>
      <c r="R3807" s="8" t="n"/>
      <c r="S3807" s="14" t="n"/>
      <c r="T3807" s="7" t="inlineStr"/>
      <c r="U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8" t="n"/>
      <c r="M3808" s="8" t="n"/>
      <c r="N3808" s="8" t="n"/>
      <c r="O3808" s="15" t="n">
        <v>6.17</v>
      </c>
      <c r="P3808" s="8" t="n"/>
      <c r="Q3808" s="7" t="inlineStr">
        <is>
          <t>NAZARIA</t>
        </is>
      </c>
      <c r="R3808" s="8" t="n">
        <v>6.17</v>
      </c>
      <c r="S3808" s="14">
        <f>R3808/H3808-1</f>
        <v/>
      </c>
      <c r="T3808" s="16" t="inlineStr">
        <is>
          <t>ACIMA +24.6%</t>
        </is>
      </c>
      <c r="U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8" t="n"/>
      <c r="M3809" s="8" t="n"/>
      <c r="N3809" s="8" t="n"/>
      <c r="O3809" s="8" t="n"/>
      <c r="P3809" s="8" t="n"/>
      <c r="Q3809" s="7" t="inlineStr">
        <is>
          <t>SEM COTAÇÃO</t>
        </is>
      </c>
      <c r="R3809" s="8" t="n"/>
      <c r="S3809" s="14" t="n"/>
      <c r="T3809" s="7" t="inlineStr"/>
      <c r="U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8" t="n"/>
      <c r="M3810" s="8" t="n"/>
      <c r="N3810" s="8" t="n"/>
      <c r="O3810" s="8" t="n"/>
      <c r="P3810" s="8" t="n"/>
      <c r="Q3810" s="7" t="inlineStr">
        <is>
          <t>SEM COTAÇÃO</t>
        </is>
      </c>
      <c r="R3810" s="8" t="n"/>
      <c r="S3810" s="14" t="n"/>
      <c r="T3810" s="7" t="inlineStr"/>
      <c r="U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8" t="n"/>
      <c r="M3811" s="8" t="n"/>
      <c r="N3811" s="8" t="n"/>
      <c r="O3811" s="8" t="n"/>
      <c r="P3811" s="8" t="n"/>
      <c r="Q3811" s="7" t="inlineStr">
        <is>
          <t>SEM COTAÇÃO</t>
        </is>
      </c>
      <c r="R3811" s="8" t="n"/>
      <c r="S3811" s="14" t="n"/>
      <c r="T3811" s="7" t="inlineStr"/>
      <c r="U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8" t="n"/>
      <c r="M3812" s="8" t="n"/>
      <c r="N3812" s="8" t="n"/>
      <c r="O3812" s="8" t="n"/>
      <c r="P3812" s="8" t="n"/>
      <c r="Q3812" s="7" t="inlineStr">
        <is>
          <t>SEM COTAÇÃO</t>
        </is>
      </c>
      <c r="R3812" s="8" t="n"/>
      <c r="S3812" s="14" t="n"/>
      <c r="T3812" s="7" t="inlineStr"/>
      <c r="U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8" t="n"/>
      <c r="M3813" s="8" t="n"/>
      <c r="N3813" s="8" t="n"/>
      <c r="O3813" s="8" t="n"/>
      <c r="P3813" s="8" t="n"/>
      <c r="Q3813" s="7" t="inlineStr">
        <is>
          <t>SEM COTAÇÃO</t>
        </is>
      </c>
      <c r="R3813" s="8" t="n"/>
      <c r="S3813" s="14" t="n"/>
      <c r="T3813" s="7" t="inlineStr"/>
      <c r="U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8" t="n"/>
      <c r="M3814" s="8" t="n"/>
      <c r="N3814" s="8" t="n"/>
      <c r="O3814" s="8" t="n"/>
      <c r="P3814" s="8" t="n"/>
      <c r="Q3814" s="7" t="inlineStr">
        <is>
          <t>SEM COTAÇÃO</t>
        </is>
      </c>
      <c r="R3814" s="8" t="n"/>
      <c r="S3814" s="14" t="n"/>
      <c r="T3814" s="7" t="inlineStr"/>
      <c r="U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8" t="n"/>
      <c r="M3815" s="8" t="n"/>
      <c r="N3815" s="8" t="n"/>
      <c r="O3815" s="8" t="n"/>
      <c r="P3815" s="8" t="n"/>
      <c r="Q3815" s="7" t="inlineStr">
        <is>
          <t>SEM COTAÇÃO</t>
        </is>
      </c>
      <c r="R3815" s="8" t="n"/>
      <c r="S3815" s="14" t="n"/>
      <c r="T3815" s="7" t="inlineStr"/>
      <c r="U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8" t="n"/>
      <c r="M3816" s="8" t="n"/>
      <c r="N3816" s="8" t="n"/>
      <c r="O3816" s="8" t="n"/>
      <c r="P3816" s="8" t="n"/>
      <c r="Q3816" s="7" t="inlineStr">
        <is>
          <t>SEM COTAÇÃO</t>
        </is>
      </c>
      <c r="R3816" s="8" t="n"/>
      <c r="S3816" s="14" t="n"/>
      <c r="T3816" s="7" t="inlineStr"/>
      <c r="U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8" t="n"/>
      <c r="M3817" s="8" t="n"/>
      <c r="N3817" s="8" t="n"/>
      <c r="O3817" s="8" t="n"/>
      <c r="P3817" s="8" t="n"/>
      <c r="Q3817" s="7" t="inlineStr">
        <is>
          <t>SEM COTAÇÃO</t>
        </is>
      </c>
      <c r="R3817" s="8" t="n"/>
      <c r="S3817" s="14" t="n"/>
      <c r="T3817" s="7" t="inlineStr"/>
      <c r="U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8" t="n"/>
      <c r="M3818" s="8" t="n"/>
      <c r="N3818" s="8" t="n"/>
      <c r="O3818" s="15" t="n">
        <v>34.11</v>
      </c>
      <c r="P3818" s="8" t="n"/>
      <c r="Q3818" s="7" t="inlineStr">
        <is>
          <t>NAZARIA</t>
        </is>
      </c>
      <c r="R3818" s="8" t="n">
        <v>34.11</v>
      </c>
      <c r="S3818" s="14">
        <f>R3818/H3818-1</f>
        <v/>
      </c>
      <c r="T3818" s="16" t="inlineStr">
        <is>
          <t>ACIMA +52.8%</t>
        </is>
      </c>
      <c r="U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8" t="n"/>
      <c r="M3819" s="8" t="n"/>
      <c r="N3819" s="8" t="n"/>
      <c r="O3819" s="15" t="n">
        <v>5.63</v>
      </c>
      <c r="P3819" s="8" t="n"/>
      <c r="Q3819" s="7" t="inlineStr">
        <is>
          <t>NAZARIA</t>
        </is>
      </c>
      <c r="R3819" s="8" t="n">
        <v>5.63</v>
      </c>
      <c r="S3819" s="14">
        <f>R3819/H3819-1</f>
        <v/>
      </c>
      <c r="T3819" s="17" t="inlineStr">
        <is>
          <t>OK (≤ menor hist.)</t>
        </is>
      </c>
      <c r="U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8" t="n"/>
      <c r="M3820" s="8" t="n"/>
      <c r="N3820" s="8" t="n"/>
      <c r="O3820" s="15" t="n">
        <v>13.88</v>
      </c>
      <c r="P3820" s="8" t="n"/>
      <c r="Q3820" s="7" t="inlineStr">
        <is>
          <t>NAZARIA</t>
        </is>
      </c>
      <c r="R3820" s="8" t="n">
        <v>13.88</v>
      </c>
      <c r="S3820" s="14">
        <f>R3820/H3820-1</f>
        <v/>
      </c>
      <c r="T3820" s="16" t="inlineStr">
        <is>
          <t>ACIMA +7.0%</t>
        </is>
      </c>
      <c r="U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8" t="n"/>
      <c r="M3821" s="8" t="n"/>
      <c r="N3821" s="8" t="n"/>
      <c r="O3821" s="15" t="n">
        <v>2.25</v>
      </c>
      <c r="P3821" s="8" t="n"/>
      <c r="Q3821" s="7" t="inlineStr">
        <is>
          <t>NAZARIA</t>
        </is>
      </c>
      <c r="R3821" s="8" t="n">
        <v>2.25</v>
      </c>
      <c r="S3821" s="14">
        <f>R3821/H3821-1</f>
        <v/>
      </c>
      <c r="T3821" s="17" t="inlineStr">
        <is>
          <t>OK (≤ menor hist.)</t>
        </is>
      </c>
      <c r="U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8" t="n"/>
      <c r="M3822" s="8" t="n"/>
      <c r="N3822" s="8" t="n"/>
      <c r="O3822" s="15" t="n">
        <v>2.25</v>
      </c>
      <c r="P3822" s="8" t="n"/>
      <c r="Q3822" s="7" t="inlineStr">
        <is>
          <t>NAZARIA</t>
        </is>
      </c>
      <c r="R3822" s="8" t="n">
        <v>2.25</v>
      </c>
      <c r="S3822" s="14">
        <f>R3822/H3822-1</f>
        <v/>
      </c>
      <c r="T3822" s="17" t="inlineStr">
        <is>
          <t>OK (≤ menor hist.)</t>
        </is>
      </c>
      <c r="U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8" t="n"/>
      <c r="M3823" s="8" t="n"/>
      <c r="N3823" s="8" t="n"/>
      <c r="O3823" s="15" t="n">
        <v>33.62</v>
      </c>
      <c r="P3823" s="8" t="n"/>
      <c r="Q3823" s="7" t="inlineStr">
        <is>
          <t>NAZARIA</t>
        </is>
      </c>
      <c r="R3823" s="8" t="n">
        <v>33.62</v>
      </c>
      <c r="S3823" s="14">
        <f>R3823/H3823-1</f>
        <v/>
      </c>
      <c r="T3823" s="16" t="inlineStr">
        <is>
          <t>ACIMA +18.6%</t>
        </is>
      </c>
      <c r="U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8" t="n"/>
      <c r="M3824" s="8" t="n"/>
      <c r="N3824" s="8" t="n"/>
      <c r="O3824" s="15" t="n">
        <v>6.4</v>
      </c>
      <c r="P3824" s="8" t="n"/>
      <c r="Q3824" s="7" t="inlineStr">
        <is>
          <t>NAZARIA</t>
        </is>
      </c>
      <c r="R3824" s="8" t="n">
        <v>6.4</v>
      </c>
      <c r="S3824" s="14">
        <f>R3824/H3824-1</f>
        <v/>
      </c>
      <c r="T3824" s="16" t="inlineStr">
        <is>
          <t>ACIMA +3.4%</t>
        </is>
      </c>
      <c r="U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8" t="n"/>
      <c r="M3825" s="8" t="n"/>
      <c r="N3825" s="8" t="n"/>
      <c r="O3825" s="15" t="n">
        <v>11.79</v>
      </c>
      <c r="P3825" s="8" t="n"/>
      <c r="Q3825" s="7" t="inlineStr">
        <is>
          <t>NAZARIA</t>
        </is>
      </c>
      <c r="R3825" s="8" t="n">
        <v>11.79</v>
      </c>
      <c r="S3825" s="14">
        <f>R3825/H3825-1</f>
        <v/>
      </c>
      <c r="T3825" s="16" t="inlineStr">
        <is>
          <t>ACIMA +50.9%</t>
        </is>
      </c>
      <c r="U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8" t="n"/>
      <c r="M3826" s="8" t="n"/>
      <c r="N3826" s="8" t="n"/>
      <c r="O3826" s="15" t="n">
        <v>7.58</v>
      </c>
      <c r="P3826" s="8" t="n"/>
      <c r="Q3826" s="7" t="inlineStr">
        <is>
          <t>NAZARIA</t>
        </is>
      </c>
      <c r="R3826" s="8" t="n">
        <v>7.58</v>
      </c>
      <c r="S3826" s="14">
        <f>R3826/H3826-1</f>
        <v/>
      </c>
      <c r="T3826" s="16" t="inlineStr">
        <is>
          <t>ACIMA +33.3%</t>
        </is>
      </c>
      <c r="U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8" t="n"/>
      <c r="M3827" s="8" t="n"/>
      <c r="N3827" s="8" t="n"/>
      <c r="O3827" s="8" t="n"/>
      <c r="P3827" s="8" t="n"/>
      <c r="Q3827" s="7" t="inlineStr">
        <is>
          <t>SEM COTAÇÃO</t>
        </is>
      </c>
      <c r="R3827" s="8" t="n"/>
      <c r="S3827" s="14" t="n"/>
      <c r="T3827" s="7" t="inlineStr"/>
      <c r="U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8" t="n"/>
      <c r="M3828" s="8" t="n"/>
      <c r="N3828" s="8" t="n"/>
      <c r="O3828" s="8" t="n"/>
      <c r="P3828" s="8" t="n"/>
      <c r="Q3828" s="7" t="inlineStr">
        <is>
          <t>SEM COTAÇÃO</t>
        </is>
      </c>
      <c r="R3828" s="8" t="n"/>
      <c r="S3828" s="14" t="n"/>
      <c r="T3828" s="7" t="inlineStr"/>
      <c r="U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8" t="n"/>
      <c r="M3829" s="8" t="n"/>
      <c r="N3829" s="8" t="n"/>
      <c r="O3829" s="8" t="n"/>
      <c r="P3829" s="8" t="n"/>
      <c r="Q3829" s="7" t="inlineStr">
        <is>
          <t>SEM COTAÇÃO</t>
        </is>
      </c>
      <c r="R3829" s="8" t="n"/>
      <c r="S3829" s="14" t="n"/>
      <c r="T3829" s="7" t="inlineStr"/>
      <c r="U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8" t="n"/>
      <c r="M3830" s="8" t="n"/>
      <c r="N3830" s="8" t="n"/>
      <c r="O3830" s="15" t="n">
        <v>26.05</v>
      </c>
      <c r="P3830" s="8" t="n"/>
      <c r="Q3830" s="7" t="inlineStr">
        <is>
          <t>NAZARIA</t>
        </is>
      </c>
      <c r="R3830" s="8" t="n">
        <v>26.05</v>
      </c>
      <c r="S3830" s="14">
        <f>R3830/H3830-1</f>
        <v/>
      </c>
      <c r="T3830" s="16" t="inlineStr">
        <is>
          <t>ACIMA +1.2%</t>
        </is>
      </c>
      <c r="U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8" t="n"/>
      <c r="M3831" s="8" t="n"/>
      <c r="N3831" s="8" t="n"/>
      <c r="O3831" s="8" t="n"/>
      <c r="P3831" s="8" t="n"/>
      <c r="Q3831" s="7" t="inlineStr">
        <is>
          <t>SEM COTAÇÃO</t>
        </is>
      </c>
      <c r="R3831" s="8" t="n"/>
      <c r="S3831" s="14" t="n"/>
      <c r="T3831" s="7" t="inlineStr"/>
      <c r="U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15" t="n">
        <v>11.64</v>
      </c>
      <c r="M3832" s="8" t="n"/>
      <c r="N3832" s="8" t="n"/>
      <c r="O3832" s="8" t="n">
        <v>16.9</v>
      </c>
      <c r="P3832" s="8" t="n"/>
      <c r="Q3832" s="7" t="inlineStr">
        <is>
          <t>EPAN</t>
        </is>
      </c>
      <c r="R3832" s="8" t="n">
        <v>11.64</v>
      </c>
      <c r="S3832" s="14">
        <f>R3832/H3832-1</f>
        <v/>
      </c>
      <c r="T3832" s="17" t="inlineStr">
        <is>
          <t>OK (≤ menor hist.)</t>
        </is>
      </c>
      <c r="U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8" t="n"/>
      <c r="M3833" s="8" t="n"/>
      <c r="N3833" s="8" t="n"/>
      <c r="O3833" s="8" t="n"/>
      <c r="P3833" s="8" t="n"/>
      <c r="Q3833" s="7" t="inlineStr">
        <is>
          <t>SEM COTAÇÃO</t>
        </is>
      </c>
      <c r="R3833" s="8" t="n"/>
      <c r="S3833" s="14" t="n"/>
      <c r="T3833" s="7" t="inlineStr"/>
      <c r="U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8" t="n"/>
      <c r="M3834" s="8" t="n"/>
      <c r="N3834" s="8" t="n"/>
      <c r="O3834" s="15" t="n">
        <v>16.9</v>
      </c>
      <c r="P3834" s="8" t="n"/>
      <c r="Q3834" s="7" t="inlineStr">
        <is>
          <t>NAZARIA</t>
        </is>
      </c>
      <c r="R3834" s="8" t="n">
        <v>16.9</v>
      </c>
      <c r="S3834" s="14">
        <f>R3834/H3834-1</f>
        <v/>
      </c>
      <c r="T3834" s="16" t="inlineStr">
        <is>
          <t>ACIMA +7.5%</t>
        </is>
      </c>
      <c r="U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8" t="n"/>
      <c r="M3835" s="8" t="n"/>
      <c r="N3835" s="8" t="n"/>
      <c r="O3835" s="8" t="n"/>
      <c r="P3835" s="8" t="n"/>
      <c r="Q3835" s="7" t="inlineStr">
        <is>
          <t>SEM COTAÇÃO</t>
        </is>
      </c>
      <c r="R3835" s="8" t="n"/>
      <c r="S3835" s="14" t="n"/>
      <c r="T3835" s="7" t="inlineStr"/>
      <c r="U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8" t="n"/>
      <c r="M3836" s="8" t="n"/>
      <c r="N3836" s="8" t="n"/>
      <c r="O3836" s="15" t="n">
        <v>8.58</v>
      </c>
      <c r="P3836" s="8" t="n"/>
      <c r="Q3836" s="7" t="inlineStr">
        <is>
          <t>NAZARIA</t>
        </is>
      </c>
      <c r="R3836" s="8" t="n">
        <v>8.58</v>
      </c>
      <c r="S3836" s="14">
        <f>R3836/H3836-1</f>
        <v/>
      </c>
      <c r="T3836" s="16" t="inlineStr">
        <is>
          <t>ACIMA +43.5%</t>
        </is>
      </c>
      <c r="U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8" t="n"/>
      <c r="M3837" s="8" t="n"/>
      <c r="N3837" s="8" t="n"/>
      <c r="O3837" s="8" t="n"/>
      <c r="P3837" s="8" t="n"/>
      <c r="Q3837" s="7" t="inlineStr">
        <is>
          <t>SEM COTAÇÃO</t>
        </is>
      </c>
      <c r="R3837" s="8" t="n"/>
      <c r="S3837" s="14" t="n"/>
      <c r="T3837" s="7" t="inlineStr"/>
      <c r="U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8" t="n"/>
      <c r="M3838" s="8" t="n"/>
      <c r="N3838" s="8" t="n"/>
      <c r="O3838" s="8" t="n"/>
      <c r="P3838" s="8" t="n"/>
      <c r="Q3838" s="7" t="inlineStr">
        <is>
          <t>SEM COTAÇÃO</t>
        </is>
      </c>
      <c r="R3838" s="8" t="n"/>
      <c r="S3838" s="14" t="n"/>
      <c r="T3838" s="7" t="inlineStr"/>
      <c r="U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8" t="n"/>
      <c r="M3839" s="8" t="n"/>
      <c r="N3839" s="8" t="n"/>
      <c r="O3839" s="8" t="n"/>
      <c r="P3839" s="8" t="n"/>
      <c r="Q3839" s="7" t="inlineStr">
        <is>
          <t>SEM COTAÇÃO</t>
        </is>
      </c>
      <c r="R3839" s="8" t="n"/>
      <c r="S3839" s="14" t="n"/>
      <c r="T3839" s="7" t="inlineStr"/>
      <c r="U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8" t="n"/>
      <c r="M3840" s="8" t="n"/>
      <c r="N3840" s="8" t="n"/>
      <c r="O3840" s="8" t="n"/>
      <c r="P3840" s="8" t="n"/>
      <c r="Q3840" s="7" t="inlineStr">
        <is>
          <t>SEM COTAÇÃO</t>
        </is>
      </c>
      <c r="R3840" s="8" t="n"/>
      <c r="S3840" s="14" t="n"/>
      <c r="T3840" s="7" t="inlineStr"/>
      <c r="U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8" t="n"/>
      <c r="M3841" s="8" t="n"/>
      <c r="N3841" s="8" t="n"/>
      <c r="O3841" s="15" t="n">
        <v>6.4</v>
      </c>
      <c r="P3841" s="8" t="n"/>
      <c r="Q3841" s="7" t="inlineStr">
        <is>
          <t>NAZARIA</t>
        </is>
      </c>
      <c r="R3841" s="8" t="n">
        <v>6.4</v>
      </c>
      <c r="S3841" s="14">
        <f>R3841/H3841-1</f>
        <v/>
      </c>
      <c r="T3841" s="16" t="inlineStr">
        <is>
          <t>ACIMA +7.7%</t>
        </is>
      </c>
      <c r="U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8" t="n"/>
      <c r="M3842" s="8" t="n"/>
      <c r="N3842" s="8" t="n"/>
      <c r="O3842" s="8" t="n"/>
      <c r="P3842" s="8" t="n"/>
      <c r="Q3842" s="7" t="inlineStr">
        <is>
          <t>SEM COTAÇÃO</t>
        </is>
      </c>
      <c r="R3842" s="8" t="n"/>
      <c r="S3842" s="14" t="n"/>
      <c r="T3842" s="7" t="inlineStr"/>
      <c r="U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8" t="n"/>
      <c r="M3843" s="8" t="n"/>
      <c r="N3843" s="8" t="n"/>
      <c r="O3843" s="8" t="n"/>
      <c r="P3843" s="8" t="n"/>
      <c r="Q3843" s="7" t="inlineStr">
        <is>
          <t>SEM COTAÇÃO</t>
        </is>
      </c>
      <c r="R3843" s="8" t="n"/>
      <c r="S3843" s="14" t="n"/>
      <c r="T3843" s="7" t="inlineStr"/>
      <c r="U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8" t="n"/>
      <c r="M3844" s="8" t="n"/>
      <c r="N3844" s="8" t="n"/>
      <c r="O3844" s="8" t="n"/>
      <c r="P3844" s="8" t="n"/>
      <c r="Q3844" s="7" t="inlineStr">
        <is>
          <t>SEM COTAÇÃO</t>
        </is>
      </c>
      <c r="R3844" s="8" t="n"/>
      <c r="S3844" s="14" t="n"/>
      <c r="T3844" s="7" t="inlineStr"/>
      <c r="U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8" t="n"/>
      <c r="M3845" s="8" t="n"/>
      <c r="N3845" s="8" t="n"/>
      <c r="O3845" s="15" t="n">
        <v>7.58</v>
      </c>
      <c r="P3845" s="8" t="n"/>
      <c r="Q3845" s="7" t="inlineStr">
        <is>
          <t>NAZARIA</t>
        </is>
      </c>
      <c r="R3845" s="8" t="n">
        <v>7.58</v>
      </c>
      <c r="S3845" s="14">
        <f>R3845/H3845-1</f>
        <v/>
      </c>
      <c r="T3845" s="16" t="inlineStr">
        <is>
          <t>ACIMA +36.4%</t>
        </is>
      </c>
      <c r="U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8" t="n"/>
      <c r="M3846" s="8" t="n"/>
      <c r="N3846" s="8" t="n"/>
      <c r="O3846" s="15" t="n">
        <v>11.82</v>
      </c>
      <c r="P3846" s="8" t="n"/>
      <c r="Q3846" s="7" t="inlineStr">
        <is>
          <t>NAZARIA</t>
        </is>
      </c>
      <c r="R3846" s="8" t="n">
        <v>11.82</v>
      </c>
      <c r="S3846" s="14">
        <f>R3846/H3846-1</f>
        <v/>
      </c>
      <c r="T3846" s="16" t="inlineStr">
        <is>
          <t>ACIMA +36.2%</t>
        </is>
      </c>
      <c r="U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8" t="n"/>
      <c r="M3847" s="8" t="n"/>
      <c r="N3847" s="8" t="n"/>
      <c r="O3847" s="15" t="n">
        <v>7.75</v>
      </c>
      <c r="P3847" s="8" t="n"/>
      <c r="Q3847" s="7" t="inlineStr">
        <is>
          <t>NAZARIA</t>
        </is>
      </c>
      <c r="R3847" s="8" t="n">
        <v>7.75</v>
      </c>
      <c r="S3847" s="14">
        <f>R3847/H3847-1</f>
        <v/>
      </c>
      <c r="T3847" s="16" t="inlineStr">
        <is>
          <t>ACIMA +2.1%</t>
        </is>
      </c>
      <c r="U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8" t="n"/>
      <c r="M3848" s="8" t="n"/>
      <c r="N3848" s="8" t="n"/>
      <c r="O3848" s="15" t="n">
        <v>11.7</v>
      </c>
      <c r="P3848" s="8" t="n"/>
      <c r="Q3848" s="7" t="inlineStr">
        <is>
          <t>NAZARIA</t>
        </is>
      </c>
      <c r="R3848" s="8" t="n">
        <v>11.7</v>
      </c>
      <c r="S3848" s="14">
        <f>R3848/H3848-1</f>
        <v/>
      </c>
      <c r="T3848" s="16" t="inlineStr">
        <is>
          <t>ACIMA +53.5%</t>
        </is>
      </c>
      <c r="U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8" t="n"/>
      <c r="M3849" s="8" t="n"/>
      <c r="N3849" s="8" t="n"/>
      <c r="O3849" s="8" t="n"/>
      <c r="P3849" s="8" t="n"/>
      <c r="Q3849" s="7" t="inlineStr">
        <is>
          <t>SEM COTAÇÃO</t>
        </is>
      </c>
      <c r="R3849" s="8" t="n"/>
      <c r="S3849" s="14" t="n"/>
      <c r="T3849" s="7" t="inlineStr"/>
      <c r="U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8" t="n"/>
      <c r="M3850" s="8" t="n"/>
      <c r="N3850" s="8" t="n"/>
      <c r="O3850" s="15" t="n">
        <v>20.24</v>
      </c>
      <c r="P3850" s="8" t="n"/>
      <c r="Q3850" s="7" t="inlineStr">
        <is>
          <t>NAZARIA</t>
        </is>
      </c>
      <c r="R3850" s="8" t="n">
        <v>20.24</v>
      </c>
      <c r="S3850" s="14">
        <f>R3850/H3850-1</f>
        <v/>
      </c>
      <c r="T3850" s="16" t="inlineStr">
        <is>
          <t>ACIMA +11.6%</t>
        </is>
      </c>
      <c r="U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8" t="n"/>
      <c r="M3851" s="8" t="n"/>
      <c r="N3851" s="8" t="n"/>
      <c r="O3851" s="8" t="n"/>
      <c r="P3851" s="8" t="n"/>
      <c r="Q3851" s="7" t="inlineStr">
        <is>
          <t>SEM COTAÇÃO</t>
        </is>
      </c>
      <c r="R3851" s="8" t="n"/>
      <c r="S3851" s="14" t="n"/>
      <c r="T3851" s="7" t="inlineStr"/>
      <c r="U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8" t="n"/>
      <c r="M3852" s="8" t="n"/>
      <c r="N3852" s="8" t="n"/>
      <c r="O3852" s="8" t="n"/>
      <c r="P3852" s="8" t="n"/>
      <c r="Q3852" s="7" t="inlineStr">
        <is>
          <t>SEM COTAÇÃO</t>
        </is>
      </c>
      <c r="R3852" s="8" t="n"/>
      <c r="S3852" s="14" t="n"/>
      <c r="T3852" s="7" t="inlineStr"/>
      <c r="U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8" t="n"/>
      <c r="M3853" s="8" t="n"/>
      <c r="N3853" s="8" t="n"/>
      <c r="O3853" s="8" t="n"/>
      <c r="P3853" s="8" t="n"/>
      <c r="Q3853" s="7" t="inlineStr">
        <is>
          <t>SEM COTAÇÃO</t>
        </is>
      </c>
      <c r="R3853" s="8" t="n"/>
      <c r="S3853" s="14" t="n"/>
      <c r="T3853" s="7" t="inlineStr"/>
      <c r="U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8" t="n"/>
      <c r="M3854" s="8" t="n"/>
      <c r="N3854" s="8" t="n"/>
      <c r="O3854" s="15" t="n">
        <v>16.67</v>
      </c>
      <c r="P3854" s="8" t="n"/>
      <c r="Q3854" s="7" t="inlineStr">
        <is>
          <t>NAZARIA</t>
        </is>
      </c>
      <c r="R3854" s="8" t="n">
        <v>16.67</v>
      </c>
      <c r="S3854" s="14">
        <f>R3854/H3854-1</f>
        <v/>
      </c>
      <c r="T3854" s="17" t="inlineStr">
        <is>
          <t>OK (≤ menor hist.)</t>
        </is>
      </c>
      <c r="U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8" t="n"/>
      <c r="M3855" s="8" t="n"/>
      <c r="N3855" s="8" t="n"/>
      <c r="O3855" s="15" t="n">
        <v>8.529999999999999</v>
      </c>
      <c r="P3855" s="8" t="n"/>
      <c r="Q3855" s="7" t="inlineStr">
        <is>
          <t>NAZARIA</t>
        </is>
      </c>
      <c r="R3855" s="8" t="n">
        <v>8.529999999999999</v>
      </c>
      <c r="S3855" s="14">
        <f>R3855/H3855-1</f>
        <v/>
      </c>
      <c r="T3855" s="17" t="inlineStr">
        <is>
          <t>OK (≤ menor hist.)</t>
        </is>
      </c>
      <c r="U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8" t="n"/>
      <c r="M3856" s="8" t="n"/>
      <c r="N3856" s="8" t="n"/>
      <c r="O3856" s="15" t="n">
        <v>6.4</v>
      </c>
      <c r="P3856" s="8" t="n"/>
      <c r="Q3856" s="7" t="inlineStr">
        <is>
          <t>NAZARIA</t>
        </is>
      </c>
      <c r="R3856" s="8" t="n">
        <v>6.4</v>
      </c>
      <c r="S3856" s="14">
        <f>R3856/H3856-1</f>
        <v/>
      </c>
      <c r="T3856" s="16" t="inlineStr">
        <is>
          <t>ACIMA +7.5%</t>
        </is>
      </c>
      <c r="U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8" t="n"/>
      <c r="M3857" s="8" t="n"/>
      <c r="N3857" s="8" t="n"/>
      <c r="O3857" s="8" t="n"/>
      <c r="P3857" s="8" t="n"/>
      <c r="Q3857" s="7" t="inlineStr">
        <is>
          <t>SEM COTAÇÃO</t>
        </is>
      </c>
      <c r="R3857" s="8" t="n"/>
      <c r="S3857" s="14" t="n"/>
      <c r="T3857" s="7" t="inlineStr"/>
      <c r="U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8" t="n"/>
      <c r="M3858" s="8" t="n"/>
      <c r="N3858" s="8" t="n"/>
      <c r="O3858" s="15" t="n">
        <v>3.52</v>
      </c>
      <c r="P3858" s="8" t="n"/>
      <c r="Q3858" s="7" t="inlineStr">
        <is>
          <t>NAZARIA</t>
        </is>
      </c>
      <c r="R3858" s="8" t="n">
        <v>3.52</v>
      </c>
      <c r="S3858" s="14">
        <f>R3858/H3858-1</f>
        <v/>
      </c>
      <c r="T3858" s="16" t="inlineStr">
        <is>
          <t>ACIMA +35.1%</t>
        </is>
      </c>
      <c r="U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8" t="n"/>
      <c r="M3859" s="8" t="n"/>
      <c r="N3859" s="8" t="n"/>
      <c r="O3859" s="15" t="n">
        <v>2.52</v>
      </c>
      <c r="P3859" s="8" t="n"/>
      <c r="Q3859" s="7" t="inlineStr">
        <is>
          <t>NAZARIA</t>
        </is>
      </c>
      <c r="R3859" s="8" t="n">
        <v>2.52</v>
      </c>
      <c r="S3859" s="14">
        <f>R3859/H3859-1</f>
        <v/>
      </c>
      <c r="T3859" s="16" t="inlineStr">
        <is>
          <t>ACIMA +33.2%</t>
        </is>
      </c>
      <c r="U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8" t="n"/>
      <c r="M3860" s="8" t="n"/>
      <c r="N3860" s="8" t="n"/>
      <c r="O3860" s="8" t="n"/>
      <c r="P3860" s="8" t="n"/>
      <c r="Q3860" s="7" t="inlineStr">
        <is>
          <t>SEM COTAÇÃO</t>
        </is>
      </c>
      <c r="R3860" s="8" t="n"/>
      <c r="S3860" s="14" t="n"/>
      <c r="T3860" s="7" t="inlineStr"/>
      <c r="U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8" t="n"/>
      <c r="M3861" s="8" t="n"/>
      <c r="N3861" s="8" t="n"/>
      <c r="O3861" s="15" t="n">
        <v>16.9</v>
      </c>
      <c r="P3861" s="8" t="n"/>
      <c r="Q3861" s="7" t="inlineStr">
        <is>
          <t>NAZARIA</t>
        </is>
      </c>
      <c r="R3861" s="8" t="n">
        <v>16.9</v>
      </c>
      <c r="S3861" s="14">
        <f>R3861/H3861-1</f>
        <v/>
      </c>
      <c r="T3861" s="16" t="inlineStr">
        <is>
          <t>ACIMA +19.0%</t>
        </is>
      </c>
      <c r="U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8" t="n"/>
      <c r="M3862" s="8" t="n"/>
      <c r="N3862" s="8" t="n"/>
      <c r="O3862" s="15" t="n">
        <v>10.77</v>
      </c>
      <c r="P3862" s="8" t="n"/>
      <c r="Q3862" s="7" t="inlineStr">
        <is>
          <t>NAZARIA</t>
        </is>
      </c>
      <c r="R3862" s="8" t="n">
        <v>10.77</v>
      </c>
      <c r="S3862" s="14">
        <f>R3862/H3862-1</f>
        <v/>
      </c>
      <c r="T3862" s="16" t="inlineStr">
        <is>
          <t>ACIMA +2.3%</t>
        </is>
      </c>
      <c r="U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8" t="n"/>
      <c r="M3863" s="8" t="n"/>
      <c r="N3863" s="8" t="n"/>
      <c r="O3863" s="15" t="n">
        <v>6.4</v>
      </c>
      <c r="P3863" s="8" t="n"/>
      <c r="Q3863" s="7" t="inlineStr">
        <is>
          <t>NAZARIA</t>
        </is>
      </c>
      <c r="R3863" s="8" t="n">
        <v>6.4</v>
      </c>
      <c r="S3863" s="14">
        <f>R3863/H3863-1</f>
        <v/>
      </c>
      <c r="T3863" s="16" t="inlineStr">
        <is>
          <t>ACIMA +30.9%</t>
        </is>
      </c>
      <c r="U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8" t="n"/>
      <c r="M3864" s="8" t="n"/>
      <c r="N3864" s="8" t="n"/>
      <c r="O3864" s="15" t="n">
        <v>8.58</v>
      </c>
      <c r="P3864" s="8" t="n"/>
      <c r="Q3864" s="7" t="inlineStr">
        <is>
          <t>NAZARIA</t>
        </is>
      </c>
      <c r="R3864" s="8" t="n">
        <v>8.58</v>
      </c>
      <c r="S3864" s="14">
        <f>R3864/H3864-1</f>
        <v/>
      </c>
      <c r="T3864" s="16" t="inlineStr">
        <is>
          <t>ACIMA +43.4%</t>
        </is>
      </c>
      <c r="U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8" t="n"/>
      <c r="M3865" s="8" t="n"/>
      <c r="N3865" s="8" t="n"/>
      <c r="O3865" s="15" t="n">
        <v>16.9</v>
      </c>
      <c r="P3865" s="8" t="n"/>
      <c r="Q3865" s="7" t="inlineStr">
        <is>
          <t>NAZARIA</t>
        </is>
      </c>
      <c r="R3865" s="8" t="n">
        <v>16.9</v>
      </c>
      <c r="S3865" s="14">
        <f>R3865/H3865-1</f>
        <v/>
      </c>
      <c r="T3865" s="16" t="inlineStr">
        <is>
          <t>ACIMA +7.5%</t>
        </is>
      </c>
      <c r="U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8" t="n"/>
      <c r="M3866" s="8" t="n"/>
      <c r="N3866" s="8" t="n"/>
      <c r="O3866" s="15" t="n">
        <v>5.44</v>
      </c>
      <c r="P3866" s="8" t="n"/>
      <c r="Q3866" s="7" t="inlineStr">
        <is>
          <t>NAZARIA</t>
        </is>
      </c>
      <c r="R3866" s="8" t="n">
        <v>5.44</v>
      </c>
      <c r="S3866" s="14">
        <f>R3866/H3866-1</f>
        <v/>
      </c>
      <c r="T3866" s="16" t="inlineStr">
        <is>
          <t>ACIMA +14.1%</t>
        </is>
      </c>
      <c r="U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8" t="n"/>
      <c r="M3867" s="8" t="n"/>
      <c r="N3867" s="8" t="n"/>
      <c r="O3867" s="8" t="n"/>
      <c r="P3867" s="8" t="n"/>
      <c r="Q3867" s="7" t="inlineStr">
        <is>
          <t>SEM COTAÇÃO</t>
        </is>
      </c>
      <c r="R3867" s="8" t="n"/>
      <c r="S3867" s="14" t="n"/>
      <c r="T3867" s="7" t="inlineStr"/>
      <c r="U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15" t="n">
        <v>27.4</v>
      </c>
      <c r="M3868" s="8" t="n"/>
      <c r="N3868" s="8" t="n"/>
      <c r="O3868" s="8" t="n">
        <v>28.59</v>
      </c>
      <c r="P3868" s="8" t="n"/>
      <c r="Q3868" s="7" t="inlineStr">
        <is>
          <t>EPAN</t>
        </is>
      </c>
      <c r="R3868" s="8" t="n">
        <v>27.4</v>
      </c>
      <c r="S3868" s="14">
        <f>R3868/H3868-1</f>
        <v/>
      </c>
      <c r="T3868" s="16" t="inlineStr">
        <is>
          <t>ACIMA +16.3%</t>
        </is>
      </c>
      <c r="U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8" t="n"/>
      <c r="M3869" s="8" t="n"/>
      <c r="N3869" s="8" t="n"/>
      <c r="O3869" s="15" t="n">
        <v>2.77</v>
      </c>
      <c r="P3869" s="8" t="n"/>
      <c r="Q3869" s="7" t="inlineStr">
        <is>
          <t>NAZARIA</t>
        </is>
      </c>
      <c r="R3869" s="8" t="n">
        <v>2.77</v>
      </c>
      <c r="S3869" s="14">
        <f>R3869/H3869-1</f>
        <v/>
      </c>
      <c r="T3869" s="16" t="inlineStr">
        <is>
          <t>ACIMA +23.0%</t>
        </is>
      </c>
      <c r="U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8" t="n"/>
      <c r="M3870" s="8" t="n"/>
      <c r="N3870" s="8" t="n"/>
      <c r="O3870" s="8" t="n"/>
      <c r="P3870" s="8" t="n"/>
      <c r="Q3870" s="7" t="inlineStr">
        <is>
          <t>SEM COTAÇÃO</t>
        </is>
      </c>
      <c r="R3870" s="8" t="n"/>
      <c r="S3870" s="14" t="n"/>
      <c r="T3870" s="7" t="inlineStr"/>
      <c r="U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8" t="n"/>
      <c r="M3871" s="8" t="n"/>
      <c r="N3871" s="8" t="n"/>
      <c r="O3871" s="15" t="n">
        <v>17.12</v>
      </c>
      <c r="P3871" s="8" t="n"/>
      <c r="Q3871" s="7" t="inlineStr">
        <is>
          <t>NAZARIA</t>
        </is>
      </c>
      <c r="R3871" s="8" t="n">
        <v>17.12</v>
      </c>
      <c r="S3871" s="14">
        <f>R3871/H3871-1</f>
        <v/>
      </c>
      <c r="T3871" s="16" t="inlineStr">
        <is>
          <t>ACIMA +0.7%</t>
        </is>
      </c>
      <c r="U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8" t="n"/>
      <c r="M3872" s="8" t="n"/>
      <c r="N3872" s="8" t="n"/>
      <c r="O3872" s="8" t="n"/>
      <c r="P3872" s="8" t="n"/>
      <c r="Q3872" s="7" t="inlineStr">
        <is>
          <t>SEM COTAÇÃO</t>
        </is>
      </c>
      <c r="R3872" s="8" t="n"/>
      <c r="S3872" s="14" t="n"/>
      <c r="T3872" s="7" t="inlineStr"/>
      <c r="U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8" t="n"/>
      <c r="M3873" s="8" t="n"/>
      <c r="N3873" s="8" t="n"/>
      <c r="O3873" s="8" t="n"/>
      <c r="P3873" s="8" t="n"/>
      <c r="Q3873" s="7" t="inlineStr">
        <is>
          <t>SEM COTAÇÃO</t>
        </is>
      </c>
      <c r="R3873" s="8" t="n"/>
      <c r="S3873" s="14" t="n"/>
      <c r="T3873" s="7" t="inlineStr"/>
      <c r="U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8" t="n"/>
      <c r="M3874" s="8" t="n"/>
      <c r="N3874" s="8" t="n"/>
      <c r="O3874" s="15" t="n">
        <v>4.99</v>
      </c>
      <c r="P3874" s="8" t="n"/>
      <c r="Q3874" s="7" t="inlineStr">
        <is>
          <t>NAZARIA</t>
        </is>
      </c>
      <c r="R3874" s="8" t="n">
        <v>4.99</v>
      </c>
      <c r="S3874" s="14">
        <f>R3874/H3874-1</f>
        <v/>
      </c>
      <c r="T3874" s="16" t="inlineStr">
        <is>
          <t>ACIMA +27.3%</t>
        </is>
      </c>
      <c r="U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8" t="n"/>
      <c r="M3875" s="8" t="n"/>
      <c r="N3875" s="8" t="n"/>
      <c r="O3875" s="15" t="n">
        <v>5.44</v>
      </c>
      <c r="P3875" s="8" t="n"/>
      <c r="Q3875" s="7" t="inlineStr">
        <is>
          <t>NAZARIA</t>
        </is>
      </c>
      <c r="R3875" s="8" t="n">
        <v>5.44</v>
      </c>
      <c r="S3875" s="14">
        <f>R3875/H3875-1</f>
        <v/>
      </c>
      <c r="T3875" s="16" t="inlineStr">
        <is>
          <t>ACIMA +14.1%</t>
        </is>
      </c>
      <c r="U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8" t="n"/>
      <c r="M3876" s="8" t="n"/>
      <c r="N3876" s="8" t="n"/>
      <c r="O3876" s="15" t="n">
        <v>5.44</v>
      </c>
      <c r="P3876" s="8" t="n"/>
      <c r="Q3876" s="7" t="inlineStr">
        <is>
          <t>NAZARIA</t>
        </is>
      </c>
      <c r="R3876" s="8" t="n">
        <v>5.44</v>
      </c>
      <c r="S3876" s="14">
        <f>R3876/H3876-1</f>
        <v/>
      </c>
      <c r="T3876" s="16" t="inlineStr">
        <is>
          <t>ACIMA +30.6%</t>
        </is>
      </c>
      <c r="U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8" t="n"/>
      <c r="M3877" s="8" t="n"/>
      <c r="N3877" s="8" t="n"/>
      <c r="O3877" s="15" t="n">
        <v>5.44</v>
      </c>
      <c r="P3877" s="8" t="n"/>
      <c r="Q3877" s="7" t="inlineStr">
        <is>
          <t>NAZARIA</t>
        </is>
      </c>
      <c r="R3877" s="8" t="n">
        <v>5.44</v>
      </c>
      <c r="S3877" s="14">
        <f>R3877/H3877-1</f>
        <v/>
      </c>
      <c r="T3877" s="16" t="inlineStr">
        <is>
          <t>ACIMA +30.6%</t>
        </is>
      </c>
      <c r="U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8" t="n"/>
      <c r="M3878" s="8" t="n"/>
      <c r="N3878" s="8" t="n"/>
      <c r="O3878" s="8" t="n"/>
      <c r="P3878" s="8" t="n"/>
      <c r="Q3878" s="7" t="inlineStr">
        <is>
          <t>SEM COTAÇÃO</t>
        </is>
      </c>
      <c r="R3878" s="8" t="n"/>
      <c r="S3878" s="14" t="n"/>
      <c r="T3878" s="7" t="inlineStr"/>
      <c r="U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8" t="n"/>
      <c r="M3879" s="8" t="n"/>
      <c r="N3879" s="8" t="n"/>
      <c r="O3879" s="15" t="n">
        <v>3.55</v>
      </c>
      <c r="P3879" s="8" t="n"/>
      <c r="Q3879" s="7" t="inlineStr">
        <is>
          <t>NAZARIA</t>
        </is>
      </c>
      <c r="R3879" s="8" t="n">
        <v>3.55</v>
      </c>
      <c r="S3879" s="14">
        <f>R3879/H3879-1</f>
        <v/>
      </c>
      <c r="T3879" s="17" t="inlineStr">
        <is>
          <t>OK (≤ menor hist.)</t>
        </is>
      </c>
      <c r="U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8" t="n"/>
      <c r="M3880" s="8" t="n"/>
      <c r="N3880" s="8" t="n"/>
      <c r="O3880" s="15" t="n">
        <v>12.5</v>
      </c>
      <c r="P3880" s="8" t="n"/>
      <c r="Q3880" s="7" t="inlineStr">
        <is>
          <t>NAZARIA</t>
        </is>
      </c>
      <c r="R3880" s="8" t="n">
        <v>12.5</v>
      </c>
      <c r="S3880" s="14">
        <f>R3880/H3880-1</f>
        <v/>
      </c>
      <c r="T3880" s="16" t="inlineStr">
        <is>
          <t>ACIMA +30.7%</t>
        </is>
      </c>
      <c r="U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8" t="n"/>
      <c r="M3881" s="8" t="n"/>
      <c r="N3881" s="8" t="n"/>
      <c r="O3881" s="8" t="n"/>
      <c r="P3881" s="8" t="n"/>
      <c r="Q3881" s="7" t="inlineStr">
        <is>
          <t>SEM COTAÇÃO</t>
        </is>
      </c>
      <c r="R3881" s="8" t="n"/>
      <c r="S3881" s="14" t="n"/>
      <c r="T3881" s="7" t="inlineStr"/>
      <c r="U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8" t="n"/>
      <c r="M3882" s="8" t="n"/>
      <c r="N3882" s="8" t="n"/>
      <c r="O3882" s="8" t="n"/>
      <c r="P3882" s="8" t="n"/>
      <c r="Q3882" s="7" t="inlineStr">
        <is>
          <t>SEM COTAÇÃO</t>
        </is>
      </c>
      <c r="R3882" s="8" t="n"/>
      <c r="S3882" s="14" t="n"/>
      <c r="T3882" s="7" t="inlineStr"/>
      <c r="U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8" t="n"/>
      <c r="M3883" s="8" t="n"/>
      <c r="N3883" s="8" t="n"/>
      <c r="O3883" s="8" t="n"/>
      <c r="P3883" s="8" t="n"/>
      <c r="Q3883" s="7" t="inlineStr">
        <is>
          <t>SEM COTAÇÃO</t>
        </is>
      </c>
      <c r="R3883" s="8" t="n"/>
      <c r="S3883" s="14" t="n"/>
      <c r="T3883" s="7" t="inlineStr"/>
      <c r="U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8" t="n"/>
      <c r="M3884" s="8" t="n"/>
      <c r="N3884" s="8" t="n"/>
      <c r="O3884" s="8" t="n"/>
      <c r="P3884" s="8" t="n"/>
      <c r="Q3884" s="7" t="inlineStr">
        <is>
          <t>SEM COTAÇÃO</t>
        </is>
      </c>
      <c r="R3884" s="8" t="n"/>
      <c r="S3884" s="14" t="n"/>
      <c r="T3884" s="7" t="inlineStr"/>
      <c r="U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8" t="n"/>
      <c r="M3885" s="8" t="n"/>
      <c r="N3885" s="8" t="n"/>
      <c r="O3885" s="8" t="n"/>
      <c r="P3885" s="8" t="n"/>
      <c r="Q3885" s="7" t="inlineStr">
        <is>
          <t>SEM COTAÇÃO</t>
        </is>
      </c>
      <c r="R3885" s="8" t="n"/>
      <c r="S3885" s="14" t="n"/>
      <c r="T3885" s="7" t="inlineStr"/>
      <c r="U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8" t="n"/>
      <c r="M3886" s="8" t="n"/>
      <c r="N3886" s="8" t="n"/>
      <c r="O3886" s="8" t="n"/>
      <c r="P3886" s="8" t="n"/>
      <c r="Q3886" s="7" t="inlineStr">
        <is>
          <t>SEM COTAÇÃO</t>
        </is>
      </c>
      <c r="R3886" s="8" t="n"/>
      <c r="S3886" s="14" t="n"/>
      <c r="T3886" s="7" t="inlineStr"/>
      <c r="U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15" t="n">
        <v>7</v>
      </c>
      <c r="M3887" s="8" t="n"/>
      <c r="N3887" s="8" t="n"/>
      <c r="O3887" s="8" t="n">
        <v>10.77</v>
      </c>
      <c r="P3887" s="8" t="n"/>
      <c r="Q3887" s="7" t="inlineStr">
        <is>
          <t>EPAN</t>
        </is>
      </c>
      <c r="R3887" s="8" t="n">
        <v>7</v>
      </c>
      <c r="S3887" s="14">
        <f>R3887/H3887-1</f>
        <v/>
      </c>
      <c r="T3887" s="17" t="inlineStr">
        <is>
          <t>OK (≤ menor hist.)</t>
        </is>
      </c>
      <c r="U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15" t="n">
        <v>9.77</v>
      </c>
      <c r="M3888" s="8" t="n"/>
      <c r="N3888" s="8" t="n"/>
      <c r="O3888" s="8" t="n">
        <v>14.48</v>
      </c>
      <c r="P3888" s="8" t="n"/>
      <c r="Q3888" s="7" t="inlineStr">
        <is>
          <t>EPAN</t>
        </is>
      </c>
      <c r="R3888" s="8" t="n">
        <v>9.77</v>
      </c>
      <c r="S3888" s="14">
        <f>R3888/H3888-1</f>
        <v/>
      </c>
      <c r="T3888" s="17" t="inlineStr">
        <is>
          <t>OK (≤ menor hist.)</t>
        </is>
      </c>
      <c r="U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8" t="n"/>
      <c r="M3889" s="8" t="n"/>
      <c r="N3889" s="8" t="n"/>
      <c r="O3889" s="15" t="n">
        <v>5.41</v>
      </c>
      <c r="P3889" s="8" t="n"/>
      <c r="Q3889" s="7" t="inlineStr">
        <is>
          <t>NAZARIA</t>
        </is>
      </c>
      <c r="R3889" s="8" t="n">
        <v>5.41</v>
      </c>
      <c r="S3889" s="14">
        <f>R3889/H3889-1</f>
        <v/>
      </c>
      <c r="T3889" s="16" t="inlineStr">
        <is>
          <t>ACIMA +9.8%</t>
        </is>
      </c>
      <c r="U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8" t="n"/>
      <c r="M3890" s="8" t="n"/>
      <c r="N3890" s="8" t="n"/>
      <c r="O3890" s="8" t="n"/>
      <c r="P3890" s="8" t="n"/>
      <c r="Q3890" s="7" t="inlineStr">
        <is>
          <t>SEM COTAÇÃO</t>
        </is>
      </c>
      <c r="R3890" s="8" t="n"/>
      <c r="S3890" s="14" t="n"/>
      <c r="T3890" s="7" t="inlineStr"/>
      <c r="U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8" t="n"/>
      <c r="M3891" s="8" t="n"/>
      <c r="N3891" s="8" t="n"/>
      <c r="O3891" s="15" t="n">
        <v>8.58</v>
      </c>
      <c r="P3891" s="8" t="n"/>
      <c r="Q3891" s="7" t="inlineStr">
        <is>
          <t>NAZARIA</t>
        </is>
      </c>
      <c r="R3891" s="8" t="n">
        <v>8.58</v>
      </c>
      <c r="S3891" s="14">
        <f>R3891/H3891-1</f>
        <v/>
      </c>
      <c r="T3891" s="16" t="inlineStr">
        <is>
          <t>ACIMA +7.4%</t>
        </is>
      </c>
      <c r="U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8" t="n"/>
      <c r="M3892" s="8" t="n"/>
      <c r="N3892" s="8" t="n"/>
      <c r="O3892" s="15" t="n">
        <v>8.58</v>
      </c>
      <c r="P3892" s="8" t="n"/>
      <c r="Q3892" s="7" t="inlineStr">
        <is>
          <t>NAZARIA</t>
        </is>
      </c>
      <c r="R3892" s="8" t="n">
        <v>8.58</v>
      </c>
      <c r="S3892" s="14">
        <f>R3892/H3892-1</f>
        <v/>
      </c>
      <c r="T3892" s="16" t="inlineStr">
        <is>
          <t>ACIMA +43.5%</t>
        </is>
      </c>
      <c r="U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8" t="n"/>
      <c r="M3893" s="8" t="n"/>
      <c r="N3893" s="8" t="n"/>
      <c r="O3893" s="8" t="n"/>
      <c r="P3893" s="8" t="n"/>
      <c r="Q3893" s="7" t="inlineStr">
        <is>
          <t>SEM COTAÇÃO</t>
        </is>
      </c>
      <c r="R3893" s="8" t="n"/>
      <c r="S3893" s="14" t="n"/>
      <c r="T3893" s="7" t="inlineStr"/>
      <c r="U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8" t="n"/>
      <c r="M3894" s="8" t="n"/>
      <c r="N3894" s="8" t="n"/>
      <c r="O3894" s="8" t="n"/>
      <c r="P3894" s="8" t="n"/>
      <c r="Q3894" s="7" t="inlineStr">
        <is>
          <t>SEM COTAÇÃO</t>
        </is>
      </c>
      <c r="R3894" s="8" t="n"/>
      <c r="S3894" s="14" t="n"/>
      <c r="T3894" s="7" t="inlineStr"/>
      <c r="U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8" t="n"/>
      <c r="M3895" s="8" t="n"/>
      <c r="N3895" s="8" t="n"/>
      <c r="O3895" s="8" t="n"/>
      <c r="P3895" s="8" t="n"/>
      <c r="Q3895" s="7" t="inlineStr">
        <is>
          <t>SEM COTAÇÃO</t>
        </is>
      </c>
      <c r="R3895" s="8" t="n"/>
      <c r="S3895" s="14" t="n"/>
      <c r="T3895" s="7" t="inlineStr"/>
      <c r="U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8" t="n"/>
      <c r="M3896" s="8" t="n"/>
      <c r="N3896" s="8" t="n"/>
      <c r="O3896" s="15" t="n">
        <v>2.77</v>
      </c>
      <c r="P3896" s="8" t="n"/>
      <c r="Q3896" s="7" t="inlineStr">
        <is>
          <t>NAZARIA</t>
        </is>
      </c>
      <c r="R3896" s="8" t="n">
        <v>2.77</v>
      </c>
      <c r="S3896" s="14">
        <f>R3896/H3896-1</f>
        <v/>
      </c>
      <c r="T3896" s="16" t="inlineStr">
        <is>
          <t>ACIMA +9.2%</t>
        </is>
      </c>
      <c r="U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8" t="n"/>
      <c r="M3897" s="8" t="n"/>
      <c r="N3897" s="8" t="n"/>
      <c r="O3897" s="8" t="n"/>
      <c r="P3897" s="8" t="n"/>
      <c r="Q3897" s="7" t="inlineStr">
        <is>
          <t>SEM COTAÇÃO</t>
        </is>
      </c>
      <c r="R3897" s="8" t="n"/>
      <c r="S3897" s="14" t="n"/>
      <c r="T3897" s="7" t="inlineStr"/>
      <c r="U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8" t="n"/>
      <c r="M3898" s="8" t="n"/>
      <c r="N3898" s="8" t="n"/>
      <c r="O3898" s="15" t="n">
        <v>22.65</v>
      </c>
      <c r="P3898" s="8" t="n"/>
      <c r="Q3898" s="7" t="inlineStr">
        <is>
          <t>NAZARIA</t>
        </is>
      </c>
      <c r="R3898" s="8" t="n">
        <v>22.65</v>
      </c>
      <c r="S3898" s="14">
        <f>R3898/H3898-1</f>
        <v/>
      </c>
      <c r="T3898" s="16" t="inlineStr">
        <is>
          <t>ACIMA +19.3%</t>
        </is>
      </c>
      <c r="U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8" t="n"/>
      <c r="M3899" s="8" t="n"/>
      <c r="N3899" s="8" t="n"/>
      <c r="O3899" s="8" t="n"/>
      <c r="P3899" s="8" t="n"/>
      <c r="Q3899" s="7" t="inlineStr">
        <is>
          <t>SEM COTAÇÃO</t>
        </is>
      </c>
      <c r="R3899" s="8" t="n"/>
      <c r="S3899" s="14" t="n"/>
      <c r="T3899" s="7" t="inlineStr"/>
      <c r="U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8" t="n"/>
      <c r="M3900" s="8" t="n"/>
      <c r="N3900" s="8" t="n"/>
      <c r="O3900" s="15" t="n">
        <v>2.52</v>
      </c>
      <c r="P3900" s="8" t="n"/>
      <c r="Q3900" s="7" t="inlineStr">
        <is>
          <t>NAZARIA</t>
        </is>
      </c>
      <c r="R3900" s="8" t="n">
        <v>2.52</v>
      </c>
      <c r="S3900" s="14">
        <f>R3900/H3900-1</f>
        <v/>
      </c>
      <c r="T3900" s="16" t="inlineStr">
        <is>
          <t>ACIMA +10.5%</t>
        </is>
      </c>
      <c r="U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8" t="n"/>
      <c r="M3901" s="8" t="n"/>
      <c r="N3901" s="8" t="n"/>
      <c r="O3901" s="15" t="n">
        <v>8.41</v>
      </c>
      <c r="P3901" s="8" t="n"/>
      <c r="Q3901" s="7" t="inlineStr">
        <is>
          <t>NAZARIA</t>
        </is>
      </c>
      <c r="R3901" s="8" t="n">
        <v>8.41</v>
      </c>
      <c r="S3901" s="14">
        <f>R3901/H3901-1</f>
        <v/>
      </c>
      <c r="T3901" s="16" t="inlineStr">
        <is>
          <t>ACIMA +26.2%</t>
        </is>
      </c>
      <c r="U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8" t="n"/>
      <c r="M3902" s="8" t="n"/>
      <c r="N3902" s="8" t="n"/>
      <c r="O3902" s="15" t="n">
        <v>2.52</v>
      </c>
      <c r="P3902" s="8" t="n"/>
      <c r="Q3902" s="7" t="inlineStr">
        <is>
          <t>NAZARIA</t>
        </is>
      </c>
      <c r="R3902" s="8" t="n">
        <v>2.52</v>
      </c>
      <c r="S3902" s="14">
        <f>R3902/H3902-1</f>
        <v/>
      </c>
      <c r="T3902" s="16" t="inlineStr">
        <is>
          <t>ACIMA +33.2%</t>
        </is>
      </c>
      <c r="U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8" t="n"/>
      <c r="M3903" s="8" t="n"/>
      <c r="N3903" s="8" t="n"/>
      <c r="O3903" s="15" t="n">
        <v>2.52</v>
      </c>
      <c r="P3903" s="8" t="n"/>
      <c r="Q3903" s="7" t="inlineStr">
        <is>
          <t>NAZARIA</t>
        </is>
      </c>
      <c r="R3903" s="8" t="n">
        <v>2.52</v>
      </c>
      <c r="S3903" s="14">
        <f>R3903/H3903-1</f>
        <v/>
      </c>
      <c r="T3903" s="16" t="inlineStr">
        <is>
          <t>ACIMA +33.2%</t>
        </is>
      </c>
      <c r="U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8" t="n"/>
      <c r="M3904" s="8" t="n"/>
      <c r="N3904" s="8" t="n"/>
      <c r="O3904" s="8" t="n"/>
      <c r="P3904" s="8" t="n"/>
      <c r="Q3904" s="7" t="inlineStr">
        <is>
          <t>SEM COTAÇÃO</t>
        </is>
      </c>
      <c r="R3904" s="8" t="n"/>
      <c r="S3904" s="14" t="n"/>
      <c r="T3904" s="7" t="inlineStr"/>
      <c r="U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8" t="n"/>
      <c r="M3905" s="8" t="n"/>
      <c r="N3905" s="8" t="n"/>
      <c r="O3905" s="15" t="n">
        <v>8.41</v>
      </c>
      <c r="P3905" s="8" t="n"/>
      <c r="Q3905" s="7" t="inlineStr">
        <is>
          <t>NAZARIA</t>
        </is>
      </c>
      <c r="R3905" s="8" t="n">
        <v>8.41</v>
      </c>
      <c r="S3905" s="14">
        <f>R3905/H3905-1</f>
        <v/>
      </c>
      <c r="T3905" s="16" t="inlineStr">
        <is>
          <t>ACIMA +26.2%</t>
        </is>
      </c>
      <c r="U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8" t="n"/>
      <c r="M3906" s="8" t="n"/>
      <c r="N3906" s="8" t="n"/>
      <c r="O3906" s="15" t="n">
        <v>4.68</v>
      </c>
      <c r="P3906" s="8" t="n"/>
      <c r="Q3906" s="7" t="inlineStr">
        <is>
          <t>NAZARIA</t>
        </is>
      </c>
      <c r="R3906" s="8" t="n">
        <v>4.68</v>
      </c>
      <c r="S3906" s="14">
        <f>R3906/H3906-1</f>
        <v/>
      </c>
      <c r="T3906" s="16" t="inlineStr">
        <is>
          <t>ACIMA +1.7%</t>
        </is>
      </c>
      <c r="U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15" t="n">
        <v>22.03</v>
      </c>
      <c r="M3907" s="8" t="n"/>
      <c r="N3907" s="8" t="n"/>
      <c r="O3907" s="8" t="n">
        <v>24.19</v>
      </c>
      <c r="P3907" s="8" t="n"/>
      <c r="Q3907" s="7" t="inlineStr">
        <is>
          <t>EPAN</t>
        </is>
      </c>
      <c r="R3907" s="8" t="n">
        <v>22.03</v>
      </c>
      <c r="S3907" s="14">
        <f>R3907/H3907-1</f>
        <v/>
      </c>
      <c r="T3907" s="17" t="inlineStr">
        <is>
          <t>OK (≤ últ. compra)</t>
        </is>
      </c>
      <c r="U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8" t="n"/>
      <c r="M3908" s="8" t="n"/>
      <c r="N3908" s="8" t="n"/>
      <c r="O3908" s="8" t="n"/>
      <c r="P3908" s="8" t="n"/>
      <c r="Q3908" s="7" t="inlineStr">
        <is>
          <t>SEM COTAÇÃO</t>
        </is>
      </c>
      <c r="R3908" s="8" t="n"/>
      <c r="S3908" s="14" t="n"/>
      <c r="T3908" s="7" t="inlineStr"/>
      <c r="U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8" t="n"/>
      <c r="M3909" s="8" t="n"/>
      <c r="N3909" s="8" t="n"/>
      <c r="O3909" s="8" t="n"/>
      <c r="P3909" s="8" t="n"/>
      <c r="Q3909" s="7" t="inlineStr">
        <is>
          <t>SEM COTAÇÃO</t>
        </is>
      </c>
      <c r="R3909" s="8" t="n"/>
      <c r="S3909" s="14" t="n"/>
      <c r="T3909" s="7" t="inlineStr"/>
      <c r="U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8" t="n"/>
      <c r="M3910" s="8" t="n"/>
      <c r="N3910" s="8" t="n"/>
      <c r="O3910" s="8" t="n"/>
      <c r="P3910" s="8" t="n"/>
      <c r="Q3910" s="7" t="inlineStr">
        <is>
          <t>SEM COTAÇÃO</t>
        </is>
      </c>
      <c r="R3910" s="8" t="n"/>
      <c r="S3910" s="14" t="n"/>
      <c r="T3910" s="7" t="inlineStr"/>
      <c r="U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8" t="n"/>
      <c r="M3911" s="8" t="n"/>
      <c r="N3911" s="8" t="n"/>
      <c r="O3911" s="8" t="n"/>
      <c r="P3911" s="8" t="n"/>
      <c r="Q3911" s="7" t="inlineStr">
        <is>
          <t>SEM COTAÇÃO</t>
        </is>
      </c>
      <c r="R3911" s="8" t="n"/>
      <c r="S3911" s="14" t="n"/>
      <c r="T3911" s="7" t="inlineStr"/>
      <c r="U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8" t="n"/>
      <c r="M3912" s="8" t="n"/>
      <c r="N3912" s="8" t="n"/>
      <c r="O3912" s="8" t="n"/>
      <c r="P3912" s="8" t="n"/>
      <c r="Q3912" s="7" t="inlineStr">
        <is>
          <t>SEM COTAÇÃO</t>
        </is>
      </c>
      <c r="R3912" s="8" t="n"/>
      <c r="S3912" s="14" t="n"/>
      <c r="T3912" s="7" t="inlineStr"/>
      <c r="U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8" t="n"/>
      <c r="M3913" s="8" t="n"/>
      <c r="N3913" s="8" t="n"/>
      <c r="O3913" s="8" t="n"/>
      <c r="P3913" s="8" t="n"/>
      <c r="Q3913" s="7" t="inlineStr">
        <is>
          <t>SEM COTAÇÃO</t>
        </is>
      </c>
      <c r="R3913" s="8" t="n"/>
      <c r="S3913" s="14" t="n"/>
      <c r="T3913" s="7" t="inlineStr"/>
      <c r="U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8" t="n"/>
      <c r="M3914" s="8" t="n"/>
      <c r="N3914" s="8" t="n"/>
      <c r="O3914" s="8" t="n"/>
      <c r="P3914" s="8" t="n"/>
      <c r="Q3914" s="7" t="inlineStr">
        <is>
          <t>SEM COTAÇÃO</t>
        </is>
      </c>
      <c r="R3914" s="8" t="n"/>
      <c r="S3914" s="14" t="n"/>
      <c r="T3914" s="7" t="inlineStr"/>
      <c r="U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8" t="n"/>
      <c r="M3915" s="8" t="n"/>
      <c r="N3915" s="8" t="n"/>
      <c r="O3915" s="15" t="n">
        <v>4.55</v>
      </c>
      <c r="P3915" s="8" t="n"/>
      <c r="Q3915" s="7" t="inlineStr">
        <is>
          <t>NAZARIA</t>
        </is>
      </c>
      <c r="R3915" s="8" t="n">
        <v>4.55</v>
      </c>
      <c r="S3915" s="14">
        <f>R3915/H3915-1</f>
        <v/>
      </c>
      <c r="T3915" s="17" t="inlineStr">
        <is>
          <t>OK (≤ menor hist.)</t>
        </is>
      </c>
      <c r="U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8" t="n"/>
      <c r="M3916" s="8" t="n"/>
      <c r="N3916" s="8" t="n"/>
      <c r="O3916" s="8" t="n"/>
      <c r="P3916" s="8" t="n"/>
      <c r="Q3916" s="7" t="inlineStr">
        <is>
          <t>SEM COTAÇÃO</t>
        </is>
      </c>
      <c r="R3916" s="8" t="n"/>
      <c r="S3916" s="14" t="n"/>
      <c r="T3916" s="7" t="inlineStr"/>
      <c r="U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8" t="n"/>
      <c r="M3917" s="8" t="n"/>
      <c r="N3917" s="8" t="n"/>
      <c r="O3917" s="8" t="n"/>
      <c r="P3917" s="8" t="n"/>
      <c r="Q3917" s="7" t="inlineStr">
        <is>
          <t>DIMEC</t>
        </is>
      </c>
      <c r="R3917" s="8" t="n">
        <v>3.33</v>
      </c>
      <c r="S3917" s="14">
        <f>R3917/H3917-1</f>
        <v/>
      </c>
      <c r="T3917" s="17" t="inlineStr">
        <is>
          <t>OK (≤ menor hist.)</t>
        </is>
      </c>
      <c r="U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8" t="n"/>
      <c r="M3918" s="8" t="n"/>
      <c r="N3918" s="8" t="n"/>
      <c r="O3918" s="8" t="n"/>
      <c r="P3918" s="8" t="n"/>
      <c r="Q3918" s="7" t="inlineStr">
        <is>
          <t>SEM COTAÇÃO</t>
        </is>
      </c>
      <c r="R3918" s="8" t="n"/>
      <c r="S3918" s="14" t="n"/>
      <c r="T3918" s="7" t="inlineStr"/>
      <c r="U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8" t="n"/>
      <c r="M3919" s="8" t="n"/>
      <c r="N3919" s="8" t="n"/>
      <c r="O3919" s="8" t="n"/>
      <c r="P3919" s="8" t="n"/>
      <c r="Q3919" s="7" t="inlineStr">
        <is>
          <t>SEM COTAÇÃO</t>
        </is>
      </c>
      <c r="R3919" s="8" t="n"/>
      <c r="S3919" s="14" t="n"/>
      <c r="T3919" s="7" t="inlineStr"/>
      <c r="U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8" t="n"/>
      <c r="M3920" s="8" t="n"/>
      <c r="N3920" s="8" t="n"/>
      <c r="O3920" s="8" t="n"/>
      <c r="P3920" s="8" t="n"/>
      <c r="Q3920" s="7" t="inlineStr">
        <is>
          <t>SEM COTAÇÃO</t>
        </is>
      </c>
      <c r="R3920" s="8" t="n"/>
      <c r="S3920" s="14" t="n"/>
      <c r="T3920" s="7" t="inlineStr"/>
      <c r="U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8" t="n"/>
      <c r="M3921" s="8" t="n"/>
      <c r="N3921" s="8" t="n"/>
      <c r="O3921" s="8" t="n"/>
      <c r="P3921" s="8" t="n"/>
      <c r="Q3921" s="7" t="inlineStr">
        <is>
          <t>SEM COTAÇÃO</t>
        </is>
      </c>
      <c r="R3921" s="8" t="n"/>
      <c r="S3921" s="14" t="n"/>
      <c r="T3921" s="7" t="inlineStr"/>
      <c r="U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8" t="n"/>
      <c r="M3922" s="8" t="n"/>
      <c r="N3922" s="8" t="n"/>
      <c r="O3922" s="8" t="n"/>
      <c r="P3922" s="8" t="n"/>
      <c r="Q3922" s="7" t="inlineStr">
        <is>
          <t>DIMEC</t>
        </is>
      </c>
      <c r="R3922" s="8" t="n">
        <v>3.36</v>
      </c>
      <c r="S3922" s="14">
        <f>R3922/H3922-1</f>
        <v/>
      </c>
      <c r="T3922" s="17" t="inlineStr">
        <is>
          <t>OK (≤ menor hist.)</t>
        </is>
      </c>
      <c r="U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8" t="n"/>
      <c r="M3923" s="8" t="n"/>
      <c r="N3923" s="8" t="n"/>
      <c r="O3923" s="8" t="n"/>
      <c r="P3923" s="8" t="n"/>
      <c r="Q3923" s="7" t="inlineStr">
        <is>
          <t>SEM COTAÇÃO</t>
        </is>
      </c>
      <c r="R3923" s="8" t="n"/>
      <c r="S3923" s="14" t="n"/>
      <c r="T3923" s="7" t="inlineStr"/>
      <c r="U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8" t="n"/>
      <c r="M3924" s="8" t="n"/>
      <c r="N3924" s="8" t="n"/>
      <c r="O3924" s="8" t="n"/>
      <c r="P3924" s="8" t="n"/>
      <c r="Q3924" s="7" t="inlineStr">
        <is>
          <t>SEM COTAÇÃO</t>
        </is>
      </c>
      <c r="R3924" s="8" t="n"/>
      <c r="S3924" s="14" t="n"/>
      <c r="T3924" s="7" t="inlineStr"/>
      <c r="U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8" t="n"/>
      <c r="M3925" s="8" t="n"/>
      <c r="N3925" s="8" t="n"/>
      <c r="O3925" s="8" t="n"/>
      <c r="P3925" s="8" t="n"/>
      <c r="Q3925" s="7" t="inlineStr">
        <is>
          <t>SEM COTAÇÃO</t>
        </is>
      </c>
      <c r="R3925" s="8" t="n"/>
      <c r="S3925" s="14" t="n"/>
      <c r="T3925" s="7" t="inlineStr"/>
      <c r="U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8" t="n"/>
      <c r="M3926" s="8" t="n"/>
      <c r="N3926" s="8" t="n"/>
      <c r="O3926" s="15" t="n">
        <v>15.73</v>
      </c>
      <c r="P3926" s="8" t="n"/>
      <c r="Q3926" s="7" t="inlineStr">
        <is>
          <t>NAZARIA</t>
        </is>
      </c>
      <c r="R3926" s="8" t="n">
        <v>15.73</v>
      </c>
      <c r="S3926" s="14">
        <f>R3926/H3926-1</f>
        <v/>
      </c>
      <c r="T3926" s="16" t="inlineStr">
        <is>
          <t>ACIMA +47.8%</t>
        </is>
      </c>
      <c r="U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8" t="n"/>
      <c r="M3927" s="8" t="n"/>
      <c r="N3927" s="8" t="n"/>
      <c r="O3927" s="8" t="n">
        <v>20.02</v>
      </c>
      <c r="P3927" s="8" t="n"/>
      <c r="Q3927" s="7" t="inlineStr">
        <is>
          <t>SEM COTAÇÃO</t>
        </is>
      </c>
      <c r="R3927" s="8" t="n"/>
      <c r="S3927" s="14" t="n"/>
      <c r="T3927" s="7" t="inlineStr"/>
      <c r="U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7" t="inlineStr">
        <is>
          <t>SEM COTAÇÃO</t>
        </is>
      </c>
      <c r="R3928" s="8" t="n"/>
      <c r="S3928" s="14" t="n"/>
      <c r="T3928" s="7" t="inlineStr"/>
      <c r="U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8" t="n"/>
      <c r="M3929" s="8" t="n"/>
      <c r="N3929" s="8" t="n"/>
      <c r="O3929" s="8" t="n"/>
      <c r="P3929" s="8" t="n"/>
      <c r="Q3929" s="7" t="inlineStr">
        <is>
          <t>SEM COTAÇÃO</t>
        </is>
      </c>
      <c r="R3929" s="8" t="n"/>
      <c r="S3929" s="14" t="n"/>
      <c r="T3929" s="7" t="inlineStr"/>
      <c r="U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8" t="n"/>
      <c r="M3930" s="8" t="n"/>
      <c r="N3930" s="8" t="n"/>
      <c r="O3930" s="15" t="n">
        <v>20.34</v>
      </c>
      <c r="P3930" s="8" t="n"/>
      <c r="Q3930" s="7" t="inlineStr">
        <is>
          <t>NAZARIA</t>
        </is>
      </c>
      <c r="R3930" s="8" t="n">
        <v>20.34</v>
      </c>
      <c r="S3930" s="14">
        <f>R3930/H3930-1</f>
        <v/>
      </c>
      <c r="T3930" s="16" t="inlineStr">
        <is>
          <t>ACIMA +14.5%</t>
        </is>
      </c>
      <c r="U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8" t="n"/>
      <c r="M3931" s="8" t="n"/>
      <c r="N3931" s="8" t="n"/>
      <c r="O3931" s="15" t="n">
        <v>11.7</v>
      </c>
      <c r="P3931" s="8" t="n"/>
      <c r="Q3931" s="7" t="inlineStr">
        <is>
          <t>NAZARIA</t>
        </is>
      </c>
      <c r="R3931" s="8" t="n">
        <v>11.7</v>
      </c>
      <c r="S3931" s="14">
        <f>R3931/H3931-1</f>
        <v/>
      </c>
      <c r="T3931" s="16" t="inlineStr">
        <is>
          <t>ACIMA +53.5%</t>
        </is>
      </c>
      <c r="U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8" t="n"/>
      <c r="M3932" s="8" t="n"/>
      <c r="N3932" s="8" t="n"/>
      <c r="O3932" s="15" t="n">
        <v>11.7</v>
      </c>
      <c r="P3932" s="8" t="n"/>
      <c r="Q3932" s="7" t="inlineStr">
        <is>
          <t>NAZARIA</t>
        </is>
      </c>
      <c r="R3932" s="8" t="n">
        <v>11.7</v>
      </c>
      <c r="S3932" s="14">
        <f>R3932/H3932-1</f>
        <v/>
      </c>
      <c r="T3932" s="16" t="inlineStr">
        <is>
          <t>ACIMA +33.3%</t>
        </is>
      </c>
      <c r="U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8" t="n"/>
      <c r="M3933" s="8" t="n"/>
      <c r="N3933" s="8" t="n"/>
      <c r="O3933" s="8" t="n"/>
      <c r="P3933" s="8" t="n"/>
      <c r="Q3933" s="7" t="inlineStr">
        <is>
          <t>SEM COTAÇÃO</t>
        </is>
      </c>
      <c r="R3933" s="8" t="n"/>
      <c r="S3933" s="14" t="n"/>
      <c r="T3933" s="7" t="inlineStr"/>
      <c r="U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7" t="inlineStr">
        <is>
          <t>SEM COTAÇÃO</t>
        </is>
      </c>
      <c r="R3934" s="8" t="n"/>
      <c r="S3934" s="14" t="n"/>
      <c r="T3934" s="7" t="inlineStr"/>
      <c r="U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8" t="n"/>
      <c r="M3935" s="8" t="n">
        <v>2.39</v>
      </c>
      <c r="N3935" s="8" t="n"/>
      <c r="O3935" s="8" t="n">
        <v>2.5</v>
      </c>
      <c r="P3935" s="8" t="n">
        <v>2.47</v>
      </c>
      <c r="Q3935" s="7" t="inlineStr">
        <is>
          <t>DIMEC</t>
        </is>
      </c>
      <c r="R3935" s="8" t="n">
        <v>2.36</v>
      </c>
      <c r="S3935" s="14">
        <f>R3935/H3935-1</f>
        <v/>
      </c>
      <c r="T3935" s="17" t="inlineStr">
        <is>
          <t>OK (≤ últ. compra)</t>
        </is>
      </c>
      <c r="U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8" t="n"/>
      <c r="M3936" s="8" t="n"/>
      <c r="N3936" s="8" t="n"/>
      <c r="O3936" s="8" t="n"/>
      <c r="P3936" s="8" t="n"/>
      <c r="Q3936" s="7" t="inlineStr">
        <is>
          <t>SEM COTAÇÃO</t>
        </is>
      </c>
      <c r="R3936" s="8" t="n"/>
      <c r="S3936" s="14" t="n"/>
      <c r="T3936" s="7" t="inlineStr"/>
      <c r="U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8" t="n"/>
      <c r="M3937" s="8" t="n"/>
      <c r="N3937" s="8" t="n"/>
      <c r="O3937" s="8" t="n"/>
      <c r="P3937" s="8" t="n"/>
      <c r="Q3937" s="7" t="inlineStr">
        <is>
          <t>SEM COTAÇÃO</t>
        </is>
      </c>
      <c r="R3937" s="8" t="n"/>
      <c r="S3937" s="14" t="n"/>
      <c r="T3937" s="7" t="inlineStr"/>
      <c r="U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8" t="n"/>
      <c r="M3938" s="8" t="n"/>
      <c r="N3938" s="8" t="n"/>
      <c r="O3938" s="8" t="n"/>
      <c r="P3938" s="8" t="n"/>
      <c r="Q3938" s="7" t="inlineStr">
        <is>
          <t>SEM COTAÇÃO</t>
        </is>
      </c>
      <c r="R3938" s="8" t="n"/>
      <c r="S3938" s="14" t="n"/>
      <c r="T3938" s="7" t="inlineStr"/>
      <c r="U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8" t="n"/>
      <c r="M3939" s="8" t="n"/>
      <c r="N3939" s="8" t="n"/>
      <c r="O3939" s="8" t="n"/>
      <c r="P3939" s="8" t="n"/>
      <c r="Q3939" s="7" t="inlineStr">
        <is>
          <t>SEM COTAÇÃO</t>
        </is>
      </c>
      <c r="R3939" s="8" t="n"/>
      <c r="S3939" s="14" t="n"/>
      <c r="T3939" s="7" t="inlineStr"/>
      <c r="U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8" t="n"/>
      <c r="M3940" s="8" t="n"/>
      <c r="N3940" s="8" t="n"/>
      <c r="O3940" s="8" t="n"/>
      <c r="P3940" s="8" t="n"/>
      <c r="Q3940" s="7" t="inlineStr">
        <is>
          <t>SEM COTAÇÃO</t>
        </is>
      </c>
      <c r="R3940" s="8" t="n"/>
      <c r="S3940" s="14" t="n"/>
      <c r="T3940" s="7" t="inlineStr"/>
      <c r="U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8" t="n"/>
      <c r="M3941" s="8" t="n"/>
      <c r="N3941" s="8" t="n"/>
      <c r="O3941" s="8" t="n"/>
      <c r="P3941" s="8" t="n"/>
      <c r="Q3941" s="7" t="inlineStr">
        <is>
          <t>SEM COTAÇÃO</t>
        </is>
      </c>
      <c r="R3941" s="8" t="n"/>
      <c r="S3941" s="14" t="n"/>
      <c r="T3941" s="7" t="inlineStr"/>
      <c r="U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8" t="n"/>
      <c r="M3942" s="8" t="n"/>
      <c r="N3942" s="8" t="n"/>
      <c r="O3942" s="8" t="n"/>
      <c r="P3942" s="8" t="n"/>
      <c r="Q3942" s="7" t="inlineStr">
        <is>
          <t>SEM COTAÇÃO</t>
        </is>
      </c>
      <c r="R3942" s="8" t="n"/>
      <c r="S3942" s="14" t="n"/>
      <c r="T3942" s="7" t="inlineStr"/>
      <c r="U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8" t="n"/>
      <c r="M3943" s="8" t="n"/>
      <c r="N3943" s="8" t="n"/>
      <c r="O3943" s="8" t="n"/>
      <c r="P3943" s="8" t="n"/>
      <c r="Q3943" s="7" t="inlineStr">
        <is>
          <t>SEM COTAÇÃO</t>
        </is>
      </c>
      <c r="R3943" s="8" t="n"/>
      <c r="S3943" s="14" t="n"/>
      <c r="T3943" s="7" t="inlineStr"/>
      <c r="U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8" t="n"/>
      <c r="M3944" s="8" t="n"/>
      <c r="N3944" s="8" t="n"/>
      <c r="O3944" s="8" t="n"/>
      <c r="P3944" s="8" t="n"/>
      <c r="Q3944" s="7" t="inlineStr">
        <is>
          <t>SEM COTAÇÃO</t>
        </is>
      </c>
      <c r="R3944" s="8" t="n"/>
      <c r="S3944" s="14" t="n"/>
      <c r="T3944" s="7" t="inlineStr"/>
      <c r="U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8" t="n"/>
      <c r="M3945" s="8" t="n"/>
      <c r="N3945" s="8" t="n"/>
      <c r="O3945" s="8" t="n"/>
      <c r="P3945" s="8" t="n"/>
      <c r="Q3945" s="7" t="inlineStr">
        <is>
          <t>SEM COTAÇÃO</t>
        </is>
      </c>
      <c r="R3945" s="8" t="n"/>
      <c r="S3945" s="14" t="n"/>
      <c r="T3945" s="7" t="inlineStr"/>
      <c r="U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8" t="n"/>
      <c r="M3946" s="8" t="n"/>
      <c r="N3946" s="8" t="n"/>
      <c r="O3946" s="8" t="n"/>
      <c r="P3946" s="8" t="n"/>
      <c r="Q3946" s="7" t="inlineStr">
        <is>
          <t>SEM COTAÇÃO</t>
        </is>
      </c>
      <c r="R3946" s="8" t="n"/>
      <c r="S3946" s="14" t="n"/>
      <c r="T3946" s="7" t="inlineStr"/>
      <c r="U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8" t="n"/>
      <c r="M3947" s="8" t="n"/>
      <c r="N3947" s="8" t="n"/>
      <c r="O3947" s="8" t="n"/>
      <c r="P3947" s="8" t="n"/>
      <c r="Q3947" s="7" t="inlineStr">
        <is>
          <t>SEM COTAÇÃO</t>
        </is>
      </c>
      <c r="R3947" s="8" t="n"/>
      <c r="S3947" s="14" t="n"/>
      <c r="T3947" s="7" t="inlineStr"/>
      <c r="U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8" t="n"/>
      <c r="M3948" s="8" t="n"/>
      <c r="N3948" s="8" t="n"/>
      <c r="O3948" s="8" t="n"/>
      <c r="P3948" s="8" t="n"/>
      <c r="Q3948" s="7" t="inlineStr">
        <is>
          <t>SEM COTAÇÃO</t>
        </is>
      </c>
      <c r="R3948" s="8" t="n"/>
      <c r="S3948" s="14" t="n"/>
      <c r="T3948" s="7" t="inlineStr"/>
      <c r="U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8" t="n"/>
      <c r="M3949" s="8" t="n"/>
      <c r="N3949" s="8" t="n"/>
      <c r="O3949" s="8" t="n"/>
      <c r="P3949" s="8" t="n"/>
      <c r="Q3949" s="7" t="inlineStr">
        <is>
          <t>SEM COTAÇÃO</t>
        </is>
      </c>
      <c r="R3949" s="8" t="n"/>
      <c r="S3949" s="14" t="n"/>
      <c r="T3949" s="7" t="inlineStr"/>
      <c r="U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8" t="n"/>
      <c r="M3950" s="8" t="n"/>
      <c r="N3950" s="8" t="n"/>
      <c r="O3950" s="8" t="n"/>
      <c r="P3950" s="8" t="n"/>
      <c r="Q3950" s="7" t="inlineStr">
        <is>
          <t>SEM COTAÇÃO</t>
        </is>
      </c>
      <c r="R3950" s="8" t="n"/>
      <c r="S3950" s="14" t="n"/>
      <c r="T3950" s="7" t="inlineStr"/>
      <c r="U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8" t="n"/>
      <c r="M3951" s="8" t="n"/>
      <c r="N3951" s="8" t="n"/>
      <c r="O3951" s="8" t="n"/>
      <c r="P3951" s="8" t="n"/>
      <c r="Q3951" s="7" t="inlineStr">
        <is>
          <t>SEM COTAÇÃO</t>
        </is>
      </c>
      <c r="R3951" s="8" t="n"/>
      <c r="S3951" s="14" t="n"/>
      <c r="T3951" s="7" t="inlineStr"/>
      <c r="U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8" t="n"/>
      <c r="M3952" s="8" t="n"/>
      <c r="N3952" s="8" t="n"/>
      <c r="O3952" s="8" t="n"/>
      <c r="P3952" s="8" t="n"/>
      <c r="Q3952" s="7" t="inlineStr">
        <is>
          <t>SEM COTAÇÃO</t>
        </is>
      </c>
      <c r="R3952" s="8" t="n"/>
      <c r="S3952" s="14" t="n"/>
      <c r="T3952" s="7" t="inlineStr"/>
      <c r="U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8" t="n"/>
      <c r="M3953" s="8" t="n"/>
      <c r="N3953" s="8" t="n"/>
      <c r="O3953" s="8" t="n"/>
      <c r="P3953" s="8" t="n"/>
      <c r="Q3953" s="7" t="inlineStr">
        <is>
          <t>SEM COTAÇÃO</t>
        </is>
      </c>
      <c r="R3953" s="8" t="n"/>
      <c r="S3953" s="14" t="n"/>
      <c r="T3953" s="7" t="inlineStr"/>
      <c r="U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8" t="n"/>
      <c r="M3954" s="8" t="n"/>
      <c r="N3954" s="8" t="n"/>
      <c r="O3954" s="8" t="n"/>
      <c r="P3954" s="8" t="n"/>
      <c r="Q3954" s="7" t="inlineStr">
        <is>
          <t>SEM COTAÇÃO</t>
        </is>
      </c>
      <c r="R3954" s="8" t="n"/>
      <c r="S3954" s="14" t="n"/>
      <c r="T3954" s="7" t="inlineStr"/>
      <c r="U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8" t="n"/>
      <c r="M3955" s="8" t="n"/>
      <c r="N3955" s="8" t="n"/>
      <c r="O3955" s="8" t="n"/>
      <c r="P3955" s="8" t="n"/>
      <c r="Q3955" s="7" t="inlineStr">
        <is>
          <t>SEM COTAÇÃO</t>
        </is>
      </c>
      <c r="R3955" s="8" t="n"/>
      <c r="S3955" s="14" t="n"/>
      <c r="T3955" s="7" t="inlineStr"/>
      <c r="U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8" t="n"/>
      <c r="M3956" s="8" t="n"/>
      <c r="N3956" s="8" t="n"/>
      <c r="O3956" s="8" t="n"/>
      <c r="P3956" s="8" t="n"/>
      <c r="Q3956" s="7" t="inlineStr">
        <is>
          <t>SEM COTAÇÃO</t>
        </is>
      </c>
      <c r="R3956" s="8" t="n"/>
      <c r="S3956" s="14" t="n"/>
      <c r="T3956" s="7" t="inlineStr"/>
      <c r="U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8" t="n"/>
      <c r="M3957" s="8" t="n"/>
      <c r="N3957" s="8" t="n"/>
      <c r="O3957" s="8" t="n"/>
      <c r="P3957" s="8" t="n"/>
      <c r="Q3957" s="7" t="inlineStr">
        <is>
          <t>SEM COTAÇÃO</t>
        </is>
      </c>
      <c r="R3957" s="8" t="n"/>
      <c r="S3957" s="14" t="n"/>
      <c r="T3957" s="7" t="inlineStr"/>
      <c r="U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8" t="n"/>
      <c r="M3958" s="8" t="n"/>
      <c r="N3958" s="8" t="n"/>
      <c r="O3958" s="8" t="n"/>
      <c r="P3958" s="8" t="n"/>
      <c r="Q3958" s="7" t="inlineStr">
        <is>
          <t>SEM COTAÇÃO</t>
        </is>
      </c>
      <c r="R3958" s="8" t="n"/>
      <c r="S3958" s="14" t="n"/>
      <c r="T3958" s="7" t="inlineStr"/>
      <c r="U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8" t="n"/>
      <c r="M3959" s="8" t="n"/>
      <c r="N3959" s="8" t="n"/>
      <c r="O3959" s="8" t="n"/>
      <c r="P3959" s="8" t="n"/>
      <c r="Q3959" s="7" t="inlineStr">
        <is>
          <t>SEM COTAÇÃO</t>
        </is>
      </c>
      <c r="R3959" s="8" t="n"/>
      <c r="S3959" s="14" t="n"/>
      <c r="T3959" s="7" t="inlineStr"/>
      <c r="U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8" t="n"/>
      <c r="M3960" s="8" t="n"/>
      <c r="N3960" s="8" t="n"/>
      <c r="O3960" s="8" t="n"/>
      <c r="P3960" s="8" t="n"/>
      <c r="Q3960" s="7" t="inlineStr">
        <is>
          <t>SEM COTAÇÃO</t>
        </is>
      </c>
      <c r="R3960" s="8" t="n"/>
      <c r="S3960" s="14" t="n"/>
      <c r="T3960" s="7" t="inlineStr"/>
      <c r="U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8" t="n"/>
      <c r="M3961" s="8" t="n"/>
      <c r="N3961" s="8" t="n"/>
      <c r="O3961" s="8" t="n"/>
      <c r="P3961" s="8" t="n"/>
      <c r="Q3961" s="7" t="inlineStr">
        <is>
          <t>SEM COTAÇÃO</t>
        </is>
      </c>
      <c r="R3961" s="8" t="n"/>
      <c r="S3961" s="14" t="n"/>
      <c r="T3961" s="7" t="inlineStr"/>
      <c r="U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8" t="n"/>
      <c r="M3962" s="8" t="n"/>
      <c r="N3962" s="8" t="n"/>
      <c r="O3962" s="8" t="n"/>
      <c r="P3962" s="8" t="n"/>
      <c r="Q3962" s="7" t="inlineStr">
        <is>
          <t>SEM COTAÇÃO</t>
        </is>
      </c>
      <c r="R3962" s="8" t="n"/>
      <c r="S3962" s="14" t="n"/>
      <c r="T3962" s="7" t="inlineStr"/>
      <c r="U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8" t="n"/>
      <c r="M3963" s="8" t="n"/>
      <c r="N3963" s="8" t="n"/>
      <c r="O3963" s="8" t="n"/>
      <c r="P3963" s="8" t="n"/>
      <c r="Q3963" s="7" t="inlineStr">
        <is>
          <t>SEM COTAÇÃO</t>
        </is>
      </c>
      <c r="R3963" s="8" t="n"/>
      <c r="S3963" s="14" t="n"/>
      <c r="T3963" s="7" t="inlineStr"/>
      <c r="U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8" t="n"/>
      <c r="M3964" s="8" t="n"/>
      <c r="N3964" s="8" t="n"/>
      <c r="O3964" s="8" t="n"/>
      <c r="P3964" s="8" t="n"/>
      <c r="Q3964" s="7" t="inlineStr">
        <is>
          <t>SEM COTAÇÃO</t>
        </is>
      </c>
      <c r="R3964" s="8" t="n"/>
      <c r="S3964" s="14" t="n"/>
      <c r="T3964" s="7" t="inlineStr"/>
      <c r="U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8" t="n"/>
      <c r="M3965" s="8" t="n"/>
      <c r="N3965" s="8" t="n"/>
      <c r="O3965" s="8" t="n"/>
      <c r="P3965" s="8" t="n"/>
      <c r="Q3965" s="7" t="inlineStr">
        <is>
          <t>SEM COTAÇÃO</t>
        </is>
      </c>
      <c r="R3965" s="8" t="n"/>
      <c r="S3965" s="14" t="n"/>
      <c r="T3965" s="7" t="inlineStr"/>
      <c r="U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8" t="n"/>
      <c r="M3966" s="8" t="n"/>
      <c r="N3966" s="8" t="n"/>
      <c r="O3966" s="8" t="n"/>
      <c r="P3966" s="8" t="n"/>
      <c r="Q3966" s="7" t="inlineStr">
        <is>
          <t>SEM COTAÇÃO</t>
        </is>
      </c>
      <c r="R3966" s="8" t="n"/>
      <c r="S3966" s="14" t="n"/>
      <c r="T3966" s="7" t="inlineStr"/>
      <c r="U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8" t="n"/>
      <c r="M3967" s="8" t="n"/>
      <c r="N3967" s="8" t="n"/>
      <c r="O3967" s="8" t="n"/>
      <c r="P3967" s="8" t="n"/>
      <c r="Q3967" s="7" t="inlineStr">
        <is>
          <t>SEM COTAÇÃO</t>
        </is>
      </c>
      <c r="R3967" s="8" t="n"/>
      <c r="S3967" s="14" t="n"/>
      <c r="T3967" s="7" t="inlineStr"/>
      <c r="U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8" t="n"/>
      <c r="M3968" s="8" t="n"/>
      <c r="N3968" s="8" t="n"/>
      <c r="O3968" s="8" t="n"/>
      <c r="P3968" s="8" t="n"/>
      <c r="Q3968" s="7" t="inlineStr">
        <is>
          <t>SEM COTAÇÃO</t>
        </is>
      </c>
      <c r="R3968" s="8" t="n"/>
      <c r="S3968" s="14" t="n"/>
      <c r="T3968" s="7" t="inlineStr"/>
      <c r="U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8" t="n"/>
      <c r="M3969" s="8" t="n"/>
      <c r="N3969" s="8" t="n"/>
      <c r="O3969" s="8" t="n"/>
      <c r="P3969" s="8" t="n"/>
      <c r="Q3969" s="7" t="inlineStr">
        <is>
          <t>SEM COTAÇÃO</t>
        </is>
      </c>
      <c r="R3969" s="8" t="n"/>
      <c r="S3969" s="14" t="n"/>
      <c r="T3969" s="7" t="inlineStr"/>
      <c r="U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8" t="n"/>
      <c r="M3970" s="8" t="n"/>
      <c r="N3970" s="8" t="n"/>
      <c r="O3970" s="8" t="n"/>
      <c r="P3970" s="8" t="n"/>
      <c r="Q3970" s="7" t="inlineStr">
        <is>
          <t>SEM COTAÇÃO</t>
        </is>
      </c>
      <c r="R3970" s="8" t="n"/>
      <c r="S3970" s="14" t="n"/>
      <c r="T3970" s="7" t="inlineStr"/>
      <c r="U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8" t="n"/>
      <c r="M3971" s="8" t="n"/>
      <c r="N3971" s="8" t="n"/>
      <c r="O3971" s="8" t="n"/>
      <c r="P3971" s="8" t="n"/>
      <c r="Q3971" s="7" t="inlineStr">
        <is>
          <t>SEM COTAÇÃO</t>
        </is>
      </c>
      <c r="R3971" s="8" t="n"/>
      <c r="S3971" s="14" t="n"/>
      <c r="T3971" s="7" t="inlineStr"/>
      <c r="U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8" t="n"/>
      <c r="M3972" s="8" t="n"/>
      <c r="N3972" s="8" t="n"/>
      <c r="O3972" s="8" t="n"/>
      <c r="P3972" s="8" t="n"/>
      <c r="Q3972" s="7" t="inlineStr">
        <is>
          <t>SEM COTAÇÃO</t>
        </is>
      </c>
      <c r="R3972" s="8" t="n"/>
      <c r="S3972" s="14" t="n"/>
      <c r="T3972" s="7" t="inlineStr"/>
      <c r="U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8" t="n"/>
      <c r="M3973" s="8" t="n"/>
      <c r="N3973" s="8" t="n"/>
      <c r="O3973" s="8" t="n"/>
      <c r="P3973" s="8" t="n"/>
      <c r="Q3973" s="7" t="inlineStr">
        <is>
          <t>SEM COTAÇÃO</t>
        </is>
      </c>
      <c r="R3973" s="8" t="n"/>
      <c r="S3973" s="14" t="n"/>
      <c r="T3973" s="7" t="inlineStr"/>
      <c r="U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8" t="n"/>
      <c r="M3974" s="8" t="n"/>
      <c r="N3974" s="8" t="n"/>
      <c r="O3974" s="8" t="n"/>
      <c r="P3974" s="8" t="n"/>
      <c r="Q3974" s="7" t="inlineStr">
        <is>
          <t>SEM COTAÇÃO</t>
        </is>
      </c>
      <c r="R3974" s="8" t="n"/>
      <c r="S3974" s="14" t="n"/>
      <c r="T3974" s="7" t="inlineStr"/>
      <c r="U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8" t="n"/>
      <c r="M3975" s="8" t="n"/>
      <c r="N3975" s="8" t="n"/>
      <c r="O3975" s="8" t="n"/>
      <c r="P3975" s="8" t="n"/>
      <c r="Q3975" s="7" t="inlineStr">
        <is>
          <t>SEM COTAÇÃO</t>
        </is>
      </c>
      <c r="R3975" s="8" t="n"/>
      <c r="S3975" s="14" t="n"/>
      <c r="T3975" s="7" t="inlineStr"/>
      <c r="U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8" t="n"/>
      <c r="M3976" s="8" t="n"/>
      <c r="N3976" s="8" t="n"/>
      <c r="O3976" s="8" t="n"/>
      <c r="P3976" s="8" t="n"/>
      <c r="Q3976" s="7" t="inlineStr">
        <is>
          <t>SEM COTAÇÃO</t>
        </is>
      </c>
      <c r="R3976" s="8" t="n"/>
      <c r="S3976" s="14" t="n"/>
      <c r="T3976" s="7" t="inlineStr"/>
      <c r="U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8" t="n"/>
      <c r="M3977" s="8" t="n"/>
      <c r="N3977" s="8" t="n"/>
      <c r="O3977" s="8" t="n"/>
      <c r="P3977" s="15" t="n">
        <v>12.26</v>
      </c>
      <c r="Q3977" s="7" t="inlineStr">
        <is>
          <t>MEDCENTRO</t>
        </is>
      </c>
      <c r="R3977" s="8" t="n">
        <v>12.26</v>
      </c>
      <c r="S3977" s="14">
        <f>R3977/H3977-1</f>
        <v/>
      </c>
      <c r="T3977" s="16" t="inlineStr">
        <is>
          <t>ACIMA +2354.5%</t>
        </is>
      </c>
      <c r="U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8" t="n"/>
      <c r="M3978" s="8" t="n"/>
      <c r="N3978" s="8" t="n"/>
      <c r="O3978" s="8" t="n"/>
      <c r="P3978" s="8" t="n"/>
      <c r="Q3978" s="7" t="inlineStr">
        <is>
          <t>SEM COTAÇÃO</t>
        </is>
      </c>
      <c r="R3978" s="8" t="n"/>
      <c r="S3978" s="14" t="n"/>
      <c r="T3978" s="7" t="inlineStr"/>
      <c r="U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8" t="n"/>
      <c r="M3979" s="8" t="n"/>
      <c r="N3979" s="8" t="n"/>
      <c r="O3979" s="8" t="n"/>
      <c r="P3979" s="8" t="n"/>
      <c r="Q3979" s="7" t="inlineStr">
        <is>
          <t>SEM COTAÇÃO</t>
        </is>
      </c>
      <c r="R3979" s="8" t="n"/>
      <c r="S3979" s="14" t="n"/>
      <c r="T3979" s="7" t="inlineStr"/>
      <c r="U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8" t="n"/>
      <c r="M3980" s="8" t="n"/>
      <c r="N3980" s="8" t="n"/>
      <c r="O3980" s="8" t="n"/>
      <c r="P3980" s="8" t="n"/>
      <c r="Q3980" s="7" t="inlineStr">
        <is>
          <t>SEM COTAÇÃO</t>
        </is>
      </c>
      <c r="R3980" s="8" t="n"/>
      <c r="S3980" s="14" t="n"/>
      <c r="T3980" s="7" t="inlineStr"/>
      <c r="U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8" t="n"/>
      <c r="M3981" s="8" t="n"/>
      <c r="N3981" s="8" t="n"/>
      <c r="O3981" s="8" t="n"/>
      <c r="P3981" s="8" t="n"/>
      <c r="Q3981" s="7" t="inlineStr">
        <is>
          <t>SEM COTAÇÃO</t>
        </is>
      </c>
      <c r="R3981" s="8" t="n"/>
      <c r="S3981" s="14" t="n"/>
      <c r="T3981" s="7" t="inlineStr"/>
      <c r="U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8" t="n"/>
      <c r="M3982" s="8" t="n"/>
      <c r="N3982" s="8" t="n"/>
      <c r="O3982" s="8" t="n"/>
      <c r="P3982" s="8" t="n"/>
      <c r="Q3982" s="7" t="inlineStr">
        <is>
          <t>SEM COTAÇÃO</t>
        </is>
      </c>
      <c r="R3982" s="8" t="n"/>
      <c r="S3982" s="14" t="n"/>
      <c r="T3982" s="7" t="inlineStr"/>
      <c r="U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8" t="n"/>
      <c r="M3983" s="8" t="n"/>
      <c r="N3983" s="8" t="n"/>
      <c r="O3983" s="8" t="n"/>
      <c r="P3983" s="8" t="n"/>
      <c r="Q3983" s="7" t="inlineStr">
        <is>
          <t>SEM COTAÇÃO</t>
        </is>
      </c>
      <c r="R3983" s="8" t="n"/>
      <c r="S3983" s="14" t="n"/>
      <c r="T3983" s="7" t="inlineStr"/>
      <c r="U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8" t="n"/>
      <c r="M3984" s="8" t="n"/>
      <c r="N3984" s="8" t="n"/>
      <c r="O3984" s="8" t="n"/>
      <c r="P3984" s="8" t="n"/>
      <c r="Q3984" s="7" t="inlineStr">
        <is>
          <t>SEM COTAÇÃO</t>
        </is>
      </c>
      <c r="R3984" s="8" t="n"/>
      <c r="S3984" s="14" t="n"/>
      <c r="T3984" s="7" t="inlineStr"/>
      <c r="U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8" t="n"/>
      <c r="M3985" s="8" t="n"/>
      <c r="N3985" s="8" t="n"/>
      <c r="O3985" s="8" t="n"/>
      <c r="P3985" s="8" t="n"/>
      <c r="Q3985" s="7" t="inlineStr">
        <is>
          <t>SEM COTAÇÃO</t>
        </is>
      </c>
      <c r="R3985" s="8" t="n"/>
      <c r="S3985" s="14" t="n"/>
      <c r="T3985" s="7" t="inlineStr"/>
      <c r="U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8" t="n"/>
      <c r="M3986" s="8" t="n"/>
      <c r="N3986" s="8" t="n"/>
      <c r="O3986" s="8" t="n"/>
      <c r="P3986" s="8" t="n"/>
      <c r="Q3986" s="7" t="inlineStr">
        <is>
          <t>SEM COTAÇÃO</t>
        </is>
      </c>
      <c r="R3986" s="8" t="n"/>
      <c r="S3986" s="14" t="n"/>
      <c r="T3986" s="7" t="inlineStr"/>
      <c r="U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8" t="n"/>
      <c r="M3987" s="8" t="n"/>
      <c r="N3987" s="8" t="n"/>
      <c r="O3987" s="8" t="n"/>
      <c r="P3987" s="8" t="n"/>
      <c r="Q3987" s="7" t="inlineStr">
        <is>
          <t>SEM COTAÇÃO</t>
        </is>
      </c>
      <c r="R3987" s="8" t="n"/>
      <c r="S3987" s="14" t="n"/>
      <c r="T3987" s="7" t="inlineStr"/>
      <c r="U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8" t="n"/>
      <c r="M3988" s="8" t="n"/>
      <c r="N3988" s="8" t="n"/>
      <c r="O3988" s="8" t="n"/>
      <c r="P3988" s="8" t="n"/>
      <c r="Q3988" s="7" t="inlineStr">
        <is>
          <t>SEM COTAÇÃO</t>
        </is>
      </c>
      <c r="R3988" s="8" t="n"/>
      <c r="S3988" s="14" t="n"/>
      <c r="T3988" s="7" t="inlineStr"/>
      <c r="U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8" t="n"/>
      <c r="M3989" s="8" t="n"/>
      <c r="N3989" s="8" t="n"/>
      <c r="O3989" s="8" t="n"/>
      <c r="P3989" s="8" t="n"/>
      <c r="Q3989" s="7" t="inlineStr">
        <is>
          <t>SEM COTAÇÃO</t>
        </is>
      </c>
      <c r="R3989" s="8" t="n"/>
      <c r="S3989" s="14" t="n"/>
      <c r="T3989" s="7" t="inlineStr"/>
      <c r="U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8" t="n"/>
      <c r="M3990" s="8" t="n"/>
      <c r="N3990" s="8" t="n"/>
      <c r="O3990" s="8" t="n"/>
      <c r="P3990" s="8" t="n"/>
      <c r="Q3990" s="7" t="inlineStr">
        <is>
          <t>SEM COTAÇÃO</t>
        </is>
      </c>
      <c r="R3990" s="8" t="n"/>
      <c r="S3990" s="14" t="n"/>
      <c r="T3990" s="7" t="inlineStr"/>
      <c r="U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8" t="n"/>
      <c r="M3991" s="8" t="n"/>
      <c r="N3991" s="8" t="n"/>
      <c r="O3991" s="8" t="n"/>
      <c r="P3991" s="8" t="n"/>
      <c r="Q3991" s="7" t="inlineStr">
        <is>
          <t>SEM COTAÇÃO</t>
        </is>
      </c>
      <c r="R3991" s="8" t="n"/>
      <c r="S3991" s="14" t="n"/>
      <c r="T3991" s="7" t="inlineStr"/>
      <c r="U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8" t="n"/>
      <c r="M3992" s="8" t="n"/>
      <c r="N3992" s="8" t="n"/>
      <c r="O3992" s="8" t="n"/>
      <c r="P3992" s="8" t="n"/>
      <c r="Q3992" s="7" t="inlineStr">
        <is>
          <t>SEM COTAÇÃO</t>
        </is>
      </c>
      <c r="R3992" s="8" t="n"/>
      <c r="S3992" s="14" t="n"/>
      <c r="T3992" s="7" t="inlineStr"/>
      <c r="U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8" t="n"/>
      <c r="M3993" s="8" t="n"/>
      <c r="N3993" s="8" t="n"/>
      <c r="O3993" s="8" t="n"/>
      <c r="P3993" s="8" t="n"/>
      <c r="Q3993" s="7" t="inlineStr">
        <is>
          <t>SEM COTAÇÃO</t>
        </is>
      </c>
      <c r="R3993" s="8" t="n"/>
      <c r="S3993" s="14" t="n"/>
      <c r="T3993" s="7" t="inlineStr"/>
      <c r="U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8" t="n"/>
      <c r="M3994" s="8" t="n"/>
      <c r="N3994" s="8" t="n"/>
      <c r="O3994" s="8" t="n"/>
      <c r="P3994" s="8" t="n"/>
      <c r="Q3994" s="7" t="inlineStr">
        <is>
          <t>SEM COTAÇÃO</t>
        </is>
      </c>
      <c r="R3994" s="8" t="n"/>
      <c r="S3994" s="14" t="n"/>
      <c r="T3994" s="7" t="inlineStr"/>
      <c r="U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8" t="n"/>
      <c r="M3995" s="8" t="n"/>
      <c r="N3995" s="8" t="n"/>
      <c r="O3995" s="8" t="n"/>
      <c r="P3995" s="8" t="n"/>
      <c r="Q3995" s="7" t="inlineStr">
        <is>
          <t>SEM COTAÇÃO</t>
        </is>
      </c>
      <c r="R3995" s="8" t="n"/>
      <c r="S3995" s="14" t="n"/>
      <c r="T3995" s="7" t="inlineStr"/>
      <c r="U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8" t="n"/>
      <c r="M3996" s="8" t="n"/>
      <c r="N3996" s="8" t="n"/>
      <c r="O3996" s="8" t="n"/>
      <c r="P3996" s="8" t="n"/>
      <c r="Q3996" s="7" t="inlineStr">
        <is>
          <t>SEM COTAÇÃO</t>
        </is>
      </c>
      <c r="R3996" s="8" t="n"/>
      <c r="S3996" s="14" t="n"/>
      <c r="T3996" s="7" t="inlineStr"/>
      <c r="U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8" t="n">
        <v>14.64</v>
      </c>
      <c r="M3997" s="8" t="n"/>
      <c r="N3997" s="15" t="n">
        <v>16.2</v>
      </c>
      <c r="O3997" s="8" t="n">
        <v>17.23</v>
      </c>
      <c r="P3997" s="8" t="n"/>
      <c r="Q3997" s="7" t="inlineStr">
        <is>
          <t>TAPAJOS</t>
        </is>
      </c>
      <c r="R3997" s="8" t="n">
        <v>16.2</v>
      </c>
      <c r="S3997" s="14">
        <f>R3997/H3997-1</f>
        <v/>
      </c>
      <c r="T3997" s="16" t="inlineStr">
        <is>
          <t>ACIMA +9.0%</t>
        </is>
      </c>
      <c r="U3997" s="7" t="inlineStr">
        <is>
          <t>EPAN: sem estoque; 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8" t="n">
        <v>6.98</v>
      </c>
      <c r="M3998" s="8" t="n"/>
      <c r="N3998" s="8" t="n"/>
      <c r="O3998" s="15" t="n">
        <v>8.220000000000001</v>
      </c>
      <c r="P3998" s="8" t="n"/>
      <c r="Q3998" s="7" t="inlineStr">
        <is>
          <t>NAZARIA</t>
        </is>
      </c>
      <c r="R3998" s="8" t="n">
        <v>8.220000000000001</v>
      </c>
      <c r="S3998" s="14">
        <f>R3998/H3998-1</f>
        <v/>
      </c>
      <c r="T3998" s="16" t="inlineStr">
        <is>
          <t>ACIMA +2.4%</t>
        </is>
      </c>
      <c r="U3998" s="7" t="inlineStr">
        <is>
          <t>EPAN: sem estoque; 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8" t="n">
        <v>12.58</v>
      </c>
      <c r="M3999" s="8" t="n"/>
      <c r="N3999" s="8" t="n"/>
      <c r="O3999" s="15" t="n">
        <v>14.8</v>
      </c>
      <c r="P3999" s="8" t="n"/>
      <c r="Q3999" s="7" t="inlineStr">
        <is>
          <t>NAZARIA</t>
        </is>
      </c>
      <c r="R3999" s="8" t="n">
        <v>14.8</v>
      </c>
      <c r="S3999" s="14">
        <f>R3999/H3999-1</f>
        <v/>
      </c>
      <c r="T3999" s="17" t="inlineStr">
        <is>
          <t>OK (≤ últ. compra)</t>
        </is>
      </c>
      <c r="U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8" t="n"/>
      <c r="M4000" s="8" t="n"/>
      <c r="N4000" s="8" t="n"/>
      <c r="O4000" s="15" t="n">
        <v>43.68</v>
      </c>
      <c r="P4000" s="8" t="n"/>
      <c r="Q4000" s="7" t="inlineStr">
        <is>
          <t>NAZARIA</t>
        </is>
      </c>
      <c r="R4000" s="8" t="n">
        <v>43.68</v>
      </c>
      <c r="S4000" s="14">
        <f>R4000/H4000-1</f>
        <v/>
      </c>
      <c r="T4000" s="16" t="inlineStr">
        <is>
          <t>ACIMA +15.9%</t>
        </is>
      </c>
      <c r="U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8" t="n">
        <v>7.89</v>
      </c>
      <c r="M4001" s="8" t="n"/>
      <c r="N4001" s="8" t="n"/>
      <c r="O4001" s="15" t="n">
        <v>9.279999999999999</v>
      </c>
      <c r="P4001" s="8" t="n"/>
      <c r="Q4001" s="7" t="inlineStr">
        <is>
          <t>NAZARIA</t>
        </is>
      </c>
      <c r="R4001" s="8" t="n">
        <v>9.279999999999999</v>
      </c>
      <c r="S4001" s="14">
        <f>R4001/H4001-1</f>
        <v/>
      </c>
      <c r="T4001" s="16" t="inlineStr">
        <is>
          <t>ACIMA +9.4%</t>
        </is>
      </c>
      <c r="U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8" t="n"/>
      <c r="M4002" s="8" t="n"/>
      <c r="N4002" s="8" t="n"/>
      <c r="O4002" s="8" t="n">
        <v>4.12</v>
      </c>
      <c r="P4002" s="8" t="n"/>
      <c r="Q4002" s="7" t="inlineStr">
        <is>
          <t>SEM COTAÇÃO</t>
        </is>
      </c>
      <c r="R4002" s="8" t="n"/>
      <c r="S4002" s="14" t="n"/>
      <c r="T4002" s="7" t="inlineStr"/>
      <c r="U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8" t="n"/>
      <c r="M4003" s="8" t="n"/>
      <c r="N4003" s="15" t="n">
        <v>15.07</v>
      </c>
      <c r="O4003" s="8" t="n">
        <v>16.03</v>
      </c>
      <c r="P4003" s="8" t="n"/>
      <c r="Q4003" s="7" t="inlineStr">
        <is>
          <t>TAPAJOS</t>
        </is>
      </c>
      <c r="R4003" s="8" t="n">
        <v>15.07</v>
      </c>
      <c r="S4003" s="14">
        <f>R4003/H4003-1</f>
        <v/>
      </c>
      <c r="T4003" s="17" t="inlineStr">
        <is>
          <t>OK (≤ últ. compra)</t>
        </is>
      </c>
      <c r="U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15" t="n">
        <v>31.3</v>
      </c>
      <c r="M4004" s="8" t="n"/>
      <c r="N4004" s="8" t="n"/>
      <c r="O4004" s="8" t="n">
        <v>37.6942</v>
      </c>
      <c r="P4004" s="8" t="n"/>
      <c r="Q4004" s="7" t="inlineStr">
        <is>
          <t>EPAN</t>
        </is>
      </c>
      <c r="R4004" s="8" t="n">
        <v>31.3</v>
      </c>
      <c r="S4004" s="14">
        <f>R4004/H4004-1</f>
        <v/>
      </c>
      <c r="T4004" s="17" t="inlineStr">
        <is>
          <t>OK (≤ últ. compra)</t>
        </is>
      </c>
      <c r="U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8" t="n"/>
      <c r="M4005" s="8" t="n"/>
      <c r="N4005" s="8" t="n"/>
      <c r="O4005" s="8" t="n"/>
      <c r="P4005" s="8" t="n"/>
      <c r="Q4005" s="7" t="inlineStr">
        <is>
          <t>SEM COTAÇÃO</t>
        </is>
      </c>
      <c r="R4005" s="8" t="n"/>
      <c r="S4005" s="14" t="n"/>
      <c r="T4005" s="7" t="inlineStr"/>
      <c r="U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8" t="n"/>
      <c r="M4006" s="8" t="n"/>
      <c r="N4006" s="8" t="n"/>
      <c r="O4006" s="8" t="n"/>
      <c r="P4006" s="8" t="n"/>
      <c r="Q4006" s="7" t="inlineStr">
        <is>
          <t>SEM COTAÇÃO</t>
        </is>
      </c>
      <c r="R4006" s="8" t="n"/>
      <c r="S4006" s="14" t="n"/>
      <c r="T4006" s="7" t="inlineStr"/>
      <c r="U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8" t="n"/>
      <c r="M4007" s="8" t="n"/>
      <c r="N4007" s="8" t="n"/>
      <c r="O4007" s="15" t="n">
        <v>9.35</v>
      </c>
      <c r="P4007" s="8" t="n"/>
      <c r="Q4007" s="7" t="inlineStr">
        <is>
          <t>NAZARIA</t>
        </is>
      </c>
      <c r="R4007" s="8" t="n">
        <v>9.35</v>
      </c>
      <c r="S4007" s="14">
        <f>R4007/H4007-1</f>
        <v/>
      </c>
      <c r="T4007" s="16" t="inlineStr">
        <is>
          <t>ACIMA +12.5%</t>
        </is>
      </c>
      <c r="U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15" t="n">
        <v>5.92</v>
      </c>
      <c r="M4008" s="8" t="n"/>
      <c r="N4008" s="8" t="n"/>
      <c r="O4008" s="8" t="n">
        <v>8.85</v>
      </c>
      <c r="P4008" s="8" t="n"/>
      <c r="Q4008" s="7" t="inlineStr">
        <is>
          <t>EPAN</t>
        </is>
      </c>
      <c r="R4008" s="8" t="n">
        <v>5.92</v>
      </c>
      <c r="S4008" s="14">
        <f>R4008/H4008-1</f>
        <v/>
      </c>
      <c r="T4008" s="17" t="inlineStr">
        <is>
          <t>OK (≤ menor hist.)</t>
        </is>
      </c>
      <c r="U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8" t="n"/>
      <c r="M4009" s="8" t="n"/>
      <c r="N4009" s="8" t="n"/>
      <c r="O4009" s="15" t="n">
        <v>12.38</v>
      </c>
      <c r="P4009" s="8" t="n"/>
      <c r="Q4009" s="7" t="inlineStr">
        <is>
          <t>NAZARIA</t>
        </is>
      </c>
      <c r="R4009" s="8" t="n">
        <v>12.38</v>
      </c>
      <c r="S4009" s="14">
        <f>R4009/H4009-1</f>
        <v/>
      </c>
      <c r="T4009" s="16" t="inlineStr">
        <is>
          <t>ACIMA +5.9%</t>
        </is>
      </c>
      <c r="U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8" t="n"/>
      <c r="M4010" s="8" t="n"/>
      <c r="N4010" s="8" t="n"/>
      <c r="O4010" s="15" t="n">
        <v>12.38</v>
      </c>
      <c r="P4010" s="8" t="n"/>
      <c r="Q4010" s="7" t="inlineStr">
        <is>
          <t>NAZARIA</t>
        </is>
      </c>
      <c r="R4010" s="8" t="n">
        <v>12.38</v>
      </c>
      <c r="S4010" s="14">
        <f>R4010/H4010-1</f>
        <v/>
      </c>
      <c r="T4010" s="17" t="inlineStr">
        <is>
          <t>OK (≤ menor hist.)</t>
        </is>
      </c>
      <c r="U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8" t="n"/>
      <c r="M4011" s="8" t="n"/>
      <c r="N4011" s="8" t="n"/>
      <c r="O4011" s="15" t="n">
        <v>12.03</v>
      </c>
      <c r="P4011" s="8" t="n"/>
      <c r="Q4011" s="7" t="inlineStr">
        <is>
          <t>NAZARIA</t>
        </is>
      </c>
      <c r="R4011" s="8" t="n">
        <v>12.03</v>
      </c>
      <c r="S4011" s="14">
        <f>R4011/H4011-1</f>
        <v/>
      </c>
      <c r="T4011" s="17" t="inlineStr">
        <is>
          <t>OK (≤ últ. compra)</t>
        </is>
      </c>
      <c r="U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8" t="n"/>
      <c r="M4012" s="8" t="n"/>
      <c r="N4012" s="8" t="n"/>
      <c r="O4012" s="8" t="n"/>
      <c r="P4012" s="8" t="n"/>
      <c r="Q4012" s="7" t="inlineStr">
        <is>
          <t>SEM COTAÇÃO</t>
        </is>
      </c>
      <c r="R4012" s="8" t="n"/>
      <c r="S4012" s="14" t="n"/>
      <c r="T4012" s="7" t="inlineStr"/>
      <c r="U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8" t="n"/>
      <c r="M4013" s="8" t="n"/>
      <c r="N4013" s="8" t="n"/>
      <c r="O4013" s="8" t="n"/>
      <c r="P4013" s="8" t="n"/>
      <c r="Q4013" s="7" t="inlineStr">
        <is>
          <t>SEM COTAÇÃO</t>
        </is>
      </c>
      <c r="R4013" s="8" t="n"/>
      <c r="S4013" s="14" t="n"/>
      <c r="T4013" s="7" t="inlineStr"/>
      <c r="U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8" t="n"/>
      <c r="M4014" s="8" t="n"/>
      <c r="N4014" s="8" t="n"/>
      <c r="O4014" s="8" t="n"/>
      <c r="P4014" s="8" t="n"/>
      <c r="Q4014" s="7" t="inlineStr">
        <is>
          <t>SEM COTAÇÃO</t>
        </is>
      </c>
      <c r="R4014" s="8" t="n"/>
      <c r="S4014" s="14" t="n"/>
      <c r="T4014" s="7" t="inlineStr"/>
      <c r="U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8" t="n"/>
      <c r="M4015" s="8" t="n"/>
      <c r="N4015" s="8" t="n"/>
      <c r="O4015" s="15" t="n">
        <v>6.4</v>
      </c>
      <c r="P4015" s="8" t="n"/>
      <c r="Q4015" s="7" t="inlineStr">
        <is>
          <t>NAZARIA</t>
        </is>
      </c>
      <c r="R4015" s="8" t="n">
        <v>6.4</v>
      </c>
      <c r="S4015" s="14">
        <f>R4015/H4015-1</f>
        <v/>
      </c>
      <c r="T4015" s="16" t="inlineStr">
        <is>
          <t>ACIMA +7.7%</t>
        </is>
      </c>
      <c r="U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8" t="n"/>
      <c r="M4016" s="8" t="n"/>
      <c r="N4016" s="8" t="n"/>
      <c r="O4016" s="15" t="n">
        <v>8.58</v>
      </c>
      <c r="P4016" s="8" t="n"/>
      <c r="Q4016" s="7" t="inlineStr">
        <is>
          <t>NAZARIA</t>
        </is>
      </c>
      <c r="R4016" s="8" t="n">
        <v>8.58</v>
      </c>
      <c r="S4016" s="14">
        <f>R4016/H4016-1</f>
        <v/>
      </c>
      <c r="T4016" s="16" t="inlineStr">
        <is>
          <t>ACIMA +6.9%</t>
        </is>
      </c>
      <c r="U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8" t="n"/>
      <c r="M4017" s="8" t="n"/>
      <c r="N4017" s="8" t="n"/>
      <c r="O4017" s="8" t="n"/>
      <c r="P4017" s="8" t="n"/>
      <c r="Q4017" s="7" t="inlineStr">
        <is>
          <t>SEM COTAÇÃO</t>
        </is>
      </c>
      <c r="R4017" s="8" t="n"/>
      <c r="S4017" s="14" t="n"/>
      <c r="T4017" s="7" t="inlineStr"/>
      <c r="U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8" t="n"/>
      <c r="M4018" s="8" t="n"/>
      <c r="N4018" s="8" t="n"/>
      <c r="O4018" s="15" t="n">
        <v>4.68</v>
      </c>
      <c r="P4018" s="8" t="n"/>
      <c r="Q4018" s="7" t="inlineStr">
        <is>
          <t>NAZARIA</t>
        </is>
      </c>
      <c r="R4018" s="8" t="n">
        <v>4.68</v>
      </c>
      <c r="S4018" s="14">
        <f>R4018/H4018-1</f>
        <v/>
      </c>
      <c r="T4018" s="16" t="inlineStr">
        <is>
          <t>ACIMA +11.1%</t>
        </is>
      </c>
      <c r="U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8" t="n"/>
      <c r="M4019" s="8" t="n"/>
      <c r="N4019" s="8" t="n"/>
      <c r="O4019" s="15" t="n">
        <v>6.17</v>
      </c>
      <c r="P4019" s="8" t="n"/>
      <c r="Q4019" s="7" t="inlineStr">
        <is>
          <t>NAZARIA</t>
        </is>
      </c>
      <c r="R4019" s="8" t="n">
        <v>6.17</v>
      </c>
      <c r="S4019" s="14">
        <f>R4019/H4019-1</f>
        <v/>
      </c>
      <c r="T4019" s="16" t="inlineStr">
        <is>
          <t>ACIMA +24.6%</t>
        </is>
      </c>
      <c r="U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8" t="n"/>
      <c r="M4020" s="8" t="n"/>
      <c r="N4020" s="8" t="n"/>
      <c r="O4020" s="15" t="n">
        <v>31.2032</v>
      </c>
      <c r="P4020" s="8" t="n"/>
      <c r="Q4020" s="7" t="inlineStr">
        <is>
          <t>NAZARIA</t>
        </is>
      </c>
      <c r="R4020" s="8" t="n">
        <v>31.2032</v>
      </c>
      <c r="S4020" s="14">
        <f>R4020/H4020-1</f>
        <v/>
      </c>
      <c r="T4020" s="17" t="inlineStr">
        <is>
          <t>OK (≤ menor hist.)</t>
        </is>
      </c>
      <c r="U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8" t="n"/>
      <c r="M4021" s="8" t="n"/>
      <c r="N4021" s="8" t="n"/>
      <c r="O4021" s="8" t="n"/>
      <c r="P4021" s="8" t="n"/>
      <c r="Q4021" s="7" t="inlineStr">
        <is>
          <t>SEM COTAÇÃO</t>
        </is>
      </c>
      <c r="R4021" s="8" t="n"/>
      <c r="S4021" s="14" t="n"/>
      <c r="T4021" s="7" t="inlineStr"/>
      <c r="U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8" t="n"/>
      <c r="M4022" s="15" t="n">
        <v>32.02</v>
      </c>
      <c r="N4022" s="8" t="n"/>
      <c r="O4022" s="8" t="n"/>
      <c r="P4022" s="8" t="n"/>
      <c r="Q4022" s="7" t="inlineStr">
        <is>
          <t>CENTROFARMA</t>
        </is>
      </c>
      <c r="R4022" s="8" t="n">
        <v>32.02</v>
      </c>
      <c r="S4022" s="14">
        <f>R4022/H4022-1</f>
        <v/>
      </c>
      <c r="T4022" s="16" t="inlineStr">
        <is>
          <t>ACIMA +4079.1%</t>
        </is>
      </c>
      <c r="U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8" t="n"/>
      <c r="M4023" s="8" t="n"/>
      <c r="N4023" s="8" t="n"/>
      <c r="O4023" s="8" t="n"/>
      <c r="P4023" s="8" t="n"/>
      <c r="Q4023" s="7" t="inlineStr">
        <is>
          <t>SEM COTAÇÃO</t>
        </is>
      </c>
      <c r="R4023" s="8" t="n"/>
      <c r="S4023" s="14" t="n"/>
      <c r="T4023" s="7" t="inlineStr"/>
      <c r="U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8" t="n"/>
      <c r="M4024" s="8" t="n"/>
      <c r="N4024" s="8" t="n"/>
      <c r="O4024" s="8" t="n"/>
      <c r="P4024" s="8" t="n"/>
      <c r="Q4024" s="7" t="inlineStr">
        <is>
          <t>SEM COTAÇÃO</t>
        </is>
      </c>
      <c r="R4024" s="8" t="n"/>
      <c r="S4024" s="14" t="n"/>
      <c r="T4024" s="7" t="inlineStr"/>
      <c r="U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8" t="n"/>
      <c r="M4025" s="8" t="n"/>
      <c r="N4025" s="8" t="n"/>
      <c r="O4025" s="8" t="n"/>
      <c r="P4025" s="8" t="n"/>
      <c r="Q4025" s="7" t="inlineStr">
        <is>
          <t>SEM COTAÇÃO</t>
        </is>
      </c>
      <c r="R4025" s="8" t="n"/>
      <c r="S4025" s="14" t="n"/>
      <c r="T4025" s="7" t="inlineStr"/>
      <c r="U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8" t="n"/>
      <c r="M4026" s="8" t="n"/>
      <c r="N4026" s="8" t="n"/>
      <c r="O4026" s="15" t="n">
        <v>5.26</v>
      </c>
      <c r="P4026" s="8" t="n"/>
      <c r="Q4026" s="7" t="inlineStr">
        <is>
          <t>NAZARIA</t>
        </is>
      </c>
      <c r="R4026" s="8" t="n">
        <v>5.26</v>
      </c>
      <c r="S4026" s="14">
        <f>R4026/H4026-1</f>
        <v/>
      </c>
      <c r="T4026" s="16" t="inlineStr">
        <is>
          <t>ACIMA +3.3%</t>
        </is>
      </c>
      <c r="U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15" t="n">
        <v>5.92</v>
      </c>
      <c r="M4027" s="8" t="n"/>
      <c r="N4027" s="8" t="n"/>
      <c r="O4027" s="8" t="n">
        <v>8.85</v>
      </c>
      <c r="P4027" s="8" t="n"/>
      <c r="Q4027" s="7" t="inlineStr">
        <is>
          <t>EPAN</t>
        </is>
      </c>
      <c r="R4027" s="8" t="n">
        <v>5.92</v>
      </c>
      <c r="S4027" s="14">
        <f>R4027/H4027-1</f>
        <v/>
      </c>
      <c r="T4027" s="17" t="inlineStr">
        <is>
          <t>OK (≤ menor hist.)</t>
        </is>
      </c>
      <c r="U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7" t="inlineStr">
        <is>
          <t>SEM COTAÇÃO</t>
        </is>
      </c>
      <c r="R4028" s="8" t="n"/>
      <c r="S4028" s="14" t="n"/>
      <c r="T4028" s="7" t="inlineStr"/>
      <c r="U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8" t="n"/>
      <c r="M4029" s="8" t="n"/>
      <c r="N4029" s="8" t="n"/>
      <c r="O4029" s="8" t="n"/>
      <c r="P4029" s="8" t="n"/>
      <c r="Q4029" s="7" t="inlineStr">
        <is>
          <t>SEM COTAÇÃO</t>
        </is>
      </c>
      <c r="R4029" s="8" t="n"/>
      <c r="S4029" s="14" t="n"/>
      <c r="T4029" s="7" t="inlineStr"/>
      <c r="U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8" t="n"/>
      <c r="M4030" s="8" t="n"/>
      <c r="N4030" s="8" t="n"/>
      <c r="O4030" s="8" t="n"/>
      <c r="P4030" s="8" t="n"/>
      <c r="Q4030" s="7" t="inlineStr">
        <is>
          <t>SEM COTAÇÃO</t>
        </is>
      </c>
      <c r="R4030" s="8" t="n"/>
      <c r="S4030" s="14" t="n"/>
      <c r="T4030" s="7" t="inlineStr"/>
      <c r="U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15" t="n">
        <v>2.67</v>
      </c>
      <c r="K4031" s="8" t="n"/>
      <c r="L4031" s="8" t="n"/>
      <c r="M4031" s="8" t="n">
        <v>2.71</v>
      </c>
      <c r="N4031" s="8" t="n"/>
      <c r="O4031" s="8" t="n"/>
      <c r="P4031" s="8" t="n"/>
      <c r="Q4031" s="7" t="inlineStr">
        <is>
          <t>DIMEC</t>
        </is>
      </c>
      <c r="R4031" s="8" t="n">
        <v>2.67</v>
      </c>
      <c r="S4031" s="14">
        <f>R4031/H4031-1</f>
        <v/>
      </c>
      <c r="T4031" s="16" t="inlineStr">
        <is>
          <t>ACIMA +0.8%</t>
        </is>
      </c>
      <c r="U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8" t="n"/>
      <c r="M4032" s="8" t="n"/>
      <c r="N4032" s="8" t="n"/>
      <c r="O4032" s="15" t="n">
        <v>9.875632</v>
      </c>
      <c r="P4032" s="8" t="n"/>
      <c r="Q4032" s="7" t="inlineStr">
        <is>
          <t>NAZARIA</t>
        </is>
      </c>
      <c r="R4032" s="8" t="n">
        <v>9.875632</v>
      </c>
      <c r="S4032" s="14">
        <f>R4032/H4032-1</f>
        <v/>
      </c>
      <c r="T4032" s="16" t="inlineStr">
        <is>
          <t>ACIMA +143.6%</t>
        </is>
      </c>
      <c r="U4032" s="7" t="inlineStr">
        <is>
          <t>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8" t="n"/>
      <c r="M4033" s="8" t="n">
        <v>2.66</v>
      </c>
      <c r="N4033" s="8" t="n">
        <v>2.64</v>
      </c>
      <c r="O4033" s="8" t="n"/>
      <c r="P4033" s="8" t="n"/>
      <c r="Q4033" s="7" t="inlineStr">
        <is>
          <t>DIMEC</t>
        </is>
      </c>
      <c r="R4033" s="8" t="n">
        <v>2.61</v>
      </c>
      <c r="S4033" s="14">
        <f>R4033/H4033-1</f>
        <v/>
      </c>
      <c r="T4033" s="16" t="inlineStr">
        <is>
          <t>ACIMA +4.8%</t>
        </is>
      </c>
      <c r="U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15" t="n">
        <v>14.15</v>
      </c>
      <c r="M4034" s="8" t="n"/>
      <c r="N4034" s="8" t="n"/>
      <c r="O4034" s="8" t="n"/>
      <c r="P4034" s="8" t="n"/>
      <c r="Q4034" s="7" t="inlineStr">
        <is>
          <t>EPAN</t>
        </is>
      </c>
      <c r="R4034" s="8" t="n">
        <v>14.15</v>
      </c>
      <c r="S4034" s="14">
        <f>R4034/H4034-1</f>
        <v/>
      </c>
      <c r="T4034" s="17" t="inlineStr">
        <is>
          <t>OK (≤ menor hist.)</t>
        </is>
      </c>
      <c r="U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8" t="n"/>
      <c r="M4035" s="8" t="n"/>
      <c r="N4035" s="8" t="n"/>
      <c r="O4035" s="8" t="n"/>
      <c r="P4035" s="8" t="n"/>
      <c r="Q4035" s="7" t="inlineStr">
        <is>
          <t>SEM COTAÇÃO</t>
        </is>
      </c>
      <c r="R4035" s="8" t="n"/>
      <c r="S4035" s="14" t="n"/>
      <c r="T4035" s="7" t="inlineStr"/>
      <c r="U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8" t="n"/>
      <c r="M4036" s="8" t="n"/>
      <c r="N4036" s="8" t="n"/>
      <c r="O4036" s="8" t="n"/>
      <c r="P4036" s="8" t="n"/>
      <c r="Q4036" s="7" t="inlineStr">
        <is>
          <t>SEM COTAÇÃO</t>
        </is>
      </c>
      <c r="R4036" s="8" t="n"/>
      <c r="S4036" s="14" t="n"/>
      <c r="T4036" s="7" t="inlineStr"/>
      <c r="U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8" t="n"/>
      <c r="M4037" s="8" t="n"/>
      <c r="N4037" s="8" t="n"/>
      <c r="O4037" s="15" t="n">
        <v>19.16</v>
      </c>
      <c r="P4037" s="8" t="n"/>
      <c r="Q4037" s="7" t="inlineStr">
        <is>
          <t>NAZARIA</t>
        </is>
      </c>
      <c r="R4037" s="8" t="n">
        <v>19.16</v>
      </c>
      <c r="S4037" s="14">
        <f>R4037/H4037-1</f>
        <v/>
      </c>
      <c r="T4037" s="16" t="inlineStr">
        <is>
          <t>ACIMA +28.9%</t>
        </is>
      </c>
      <c r="U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8" t="n"/>
      <c r="M4038" s="8" t="n"/>
      <c r="N4038" s="8" t="n"/>
      <c r="O4038" s="8" t="n">
        <v>19.16</v>
      </c>
      <c r="P4038" s="8" t="n"/>
      <c r="Q4038" s="7" t="inlineStr">
        <is>
          <t>SEM COTAÇÃO</t>
        </is>
      </c>
      <c r="R4038" s="8" t="n"/>
      <c r="S4038" s="14" t="n"/>
      <c r="T4038" s="7" t="inlineStr"/>
      <c r="U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8" t="n"/>
      <c r="M4039" s="8" t="n"/>
      <c r="N4039" s="8" t="n"/>
      <c r="O4039" s="8" t="n">
        <v>19.32</v>
      </c>
      <c r="P4039" s="8" t="n"/>
      <c r="Q4039" s="7" t="inlineStr">
        <is>
          <t>SEM COTAÇÃO</t>
        </is>
      </c>
      <c r="R4039" s="8" t="n"/>
      <c r="S4039" s="14" t="n"/>
      <c r="T4039" s="7" t="inlineStr"/>
      <c r="U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8" t="n"/>
      <c r="M4040" s="8" t="n"/>
      <c r="N4040" s="8" t="n"/>
      <c r="O4040" s="8" t="n"/>
      <c r="P4040" s="8" t="n"/>
      <c r="Q4040" s="7" t="inlineStr">
        <is>
          <t>SEM COTAÇÃO</t>
        </is>
      </c>
      <c r="R4040" s="8" t="n"/>
      <c r="S4040" s="14" t="n"/>
      <c r="T4040" s="7" t="inlineStr"/>
      <c r="U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8" t="n"/>
      <c r="M4041" s="8" t="n"/>
      <c r="N4041" s="8" t="n"/>
      <c r="O4041" s="8" t="n"/>
      <c r="P4041" s="8" t="n"/>
      <c r="Q4041" s="7" t="inlineStr">
        <is>
          <t>SEM COTAÇÃO</t>
        </is>
      </c>
      <c r="R4041" s="8" t="n"/>
      <c r="S4041" s="14" t="n"/>
      <c r="T4041" s="7" t="inlineStr"/>
      <c r="U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8" t="n"/>
      <c r="M4042" s="8" t="n"/>
      <c r="N4042" s="8" t="n"/>
      <c r="O4042" s="8" t="n"/>
      <c r="P4042" s="8" t="n"/>
      <c r="Q4042" s="7" t="inlineStr">
        <is>
          <t>SEM COTAÇÃO</t>
        </is>
      </c>
      <c r="R4042" s="8" t="n"/>
      <c r="S4042" s="14" t="n"/>
      <c r="T4042" s="7" t="inlineStr"/>
      <c r="U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8" t="n"/>
      <c r="M4043" s="8" t="n"/>
      <c r="N4043" s="15" t="n">
        <v>26.38</v>
      </c>
      <c r="O4043" s="8" t="n">
        <v>27.4988</v>
      </c>
      <c r="P4043" s="8" t="n"/>
      <c r="Q4043" s="7" t="inlineStr">
        <is>
          <t>TAPAJOS</t>
        </is>
      </c>
      <c r="R4043" s="8" t="n">
        <v>26.38</v>
      </c>
      <c r="S4043" s="14">
        <f>R4043/H4043-1</f>
        <v/>
      </c>
      <c r="T4043" s="17" t="inlineStr">
        <is>
          <t>OK (≤ últ. compra)</t>
        </is>
      </c>
      <c r="U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8" t="n"/>
      <c r="M4044" s="8" t="n"/>
      <c r="N4044" s="8" t="n"/>
      <c r="O4044" s="8" t="n"/>
      <c r="P4044" s="8" t="n"/>
      <c r="Q4044" s="7" t="inlineStr">
        <is>
          <t>SEM COTAÇÃO</t>
        </is>
      </c>
      <c r="R4044" s="8" t="n"/>
      <c r="S4044" s="14" t="n"/>
      <c r="T4044" s="7" t="inlineStr"/>
      <c r="U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8" t="n"/>
      <c r="M4045" s="8" t="n"/>
      <c r="N4045" s="8" t="n"/>
      <c r="O4045" s="8" t="n"/>
      <c r="P4045" s="8" t="n"/>
      <c r="Q4045" s="7" t="inlineStr">
        <is>
          <t>SEM COTAÇÃO</t>
        </is>
      </c>
      <c r="R4045" s="8" t="n"/>
      <c r="S4045" s="14" t="n"/>
      <c r="T4045" s="7" t="inlineStr"/>
      <c r="U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8" t="n"/>
      <c r="M4046" s="8" t="n"/>
      <c r="N4046" s="8" t="n"/>
      <c r="O4046" s="8" t="n"/>
      <c r="P4046" s="8" t="n"/>
      <c r="Q4046" s="7" t="inlineStr">
        <is>
          <t>SEM COTAÇÃO</t>
        </is>
      </c>
      <c r="R4046" s="8" t="n"/>
      <c r="S4046" s="14" t="n"/>
      <c r="T4046" s="7" t="inlineStr"/>
      <c r="U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8" t="n"/>
      <c r="M4047" s="8" t="n"/>
      <c r="N4047" s="8" t="n"/>
      <c r="O4047" s="8" t="n"/>
      <c r="P4047" s="8" t="n"/>
      <c r="Q4047" s="7" t="inlineStr">
        <is>
          <t>SEM COTAÇÃO</t>
        </is>
      </c>
      <c r="R4047" s="8" t="n"/>
      <c r="S4047" s="14" t="n"/>
      <c r="T4047" s="7" t="inlineStr"/>
      <c r="U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8" t="n"/>
      <c r="M4048" s="8" t="n"/>
      <c r="N4048" s="8" t="n"/>
      <c r="O4048" s="8" t="n"/>
      <c r="P4048" s="8" t="n"/>
      <c r="Q4048" s="7" t="inlineStr">
        <is>
          <t>SEM COTAÇÃO</t>
        </is>
      </c>
      <c r="R4048" s="8" t="n"/>
      <c r="S4048" s="14" t="n"/>
      <c r="T4048" s="7" t="inlineStr"/>
      <c r="U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7" t="inlineStr">
        <is>
          <t>SEM COTAÇÃO</t>
        </is>
      </c>
      <c r="R4049" s="8" t="n"/>
      <c r="S4049" s="14" t="n"/>
      <c r="T4049" s="7" t="inlineStr"/>
      <c r="U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7" t="inlineStr">
        <is>
          <t>SEM COTAÇÃO</t>
        </is>
      </c>
      <c r="R4050" s="8" t="n"/>
      <c r="S4050" s="14" t="n"/>
      <c r="T4050" s="7" t="inlineStr"/>
      <c r="U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8" t="n"/>
      <c r="M4051" s="8" t="n"/>
      <c r="N4051" s="8" t="n"/>
      <c r="O4051" s="8" t="n"/>
      <c r="P4051" s="8" t="n"/>
      <c r="Q4051" s="7" t="inlineStr">
        <is>
          <t>SEM COTAÇÃO</t>
        </is>
      </c>
      <c r="R4051" s="8" t="n"/>
      <c r="S4051" s="14" t="n"/>
      <c r="T4051" s="7" t="inlineStr"/>
      <c r="U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8" t="n"/>
      <c r="M4052" s="8" t="n"/>
      <c r="N4052" s="8" t="n"/>
      <c r="O4052" s="8" t="n"/>
      <c r="P4052" s="8" t="n"/>
      <c r="Q4052" s="7" t="inlineStr">
        <is>
          <t>SEM COTAÇÃO</t>
        </is>
      </c>
      <c r="R4052" s="8" t="n"/>
      <c r="S4052" s="14" t="n"/>
      <c r="T4052" s="7" t="inlineStr"/>
      <c r="U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8" t="n"/>
      <c r="M4053" s="8" t="n"/>
      <c r="N4053" s="8" t="n"/>
      <c r="O4053" s="8" t="n"/>
      <c r="P4053" s="8" t="n"/>
      <c r="Q4053" s="7" t="inlineStr">
        <is>
          <t>DIMEC</t>
        </is>
      </c>
      <c r="R4053" s="8" t="n">
        <v>0.89</v>
      </c>
      <c r="S4053" s="14">
        <f>R4053/H4053-1</f>
        <v/>
      </c>
      <c r="T4053" s="16" t="inlineStr">
        <is>
          <t>ACIMA +50.8%</t>
        </is>
      </c>
      <c r="U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8" t="n"/>
      <c r="M4054" s="8" t="n"/>
      <c r="N4054" s="8" t="n"/>
      <c r="O4054" s="8" t="n"/>
      <c r="P4054" s="8" t="n"/>
      <c r="Q4054" s="7" t="inlineStr">
        <is>
          <t>DIMEC</t>
        </is>
      </c>
      <c r="R4054" s="8" t="n">
        <v>0.57</v>
      </c>
      <c r="S4054" s="14">
        <f>R4054/H4054-1</f>
        <v/>
      </c>
      <c r="T4054" s="17" t="inlineStr">
        <is>
          <t>OK (≤ menor hist.)</t>
        </is>
      </c>
      <c r="U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8" t="n"/>
      <c r="M4055" s="8" t="n"/>
      <c r="N4055" s="8" t="n"/>
      <c r="O4055" s="8" t="n"/>
      <c r="P4055" s="8" t="n"/>
      <c r="Q4055" s="7" t="inlineStr">
        <is>
          <t>SEM COTAÇÃO</t>
        </is>
      </c>
      <c r="R4055" s="8" t="n"/>
      <c r="S4055" s="14" t="n"/>
      <c r="T4055" s="7" t="inlineStr"/>
      <c r="U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8" t="n"/>
      <c r="M4056" s="8" t="n"/>
      <c r="N4056" s="8" t="n"/>
      <c r="O4056" s="8" t="n"/>
      <c r="P4056" s="8" t="n"/>
      <c r="Q4056" s="7" t="inlineStr">
        <is>
          <t>SEM COTAÇÃO</t>
        </is>
      </c>
      <c r="R4056" s="8" t="n"/>
      <c r="S4056" s="14" t="n"/>
      <c r="T4056" s="7" t="inlineStr"/>
      <c r="U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8" t="n"/>
      <c r="M4057" s="8" t="n"/>
      <c r="N4057" s="8" t="n"/>
      <c r="O4057" s="8" t="n"/>
      <c r="P4057" s="8" t="n"/>
      <c r="Q4057" s="7" t="inlineStr">
        <is>
          <t>SEM COTAÇÃO</t>
        </is>
      </c>
      <c r="R4057" s="8" t="n"/>
      <c r="S4057" s="14" t="n"/>
      <c r="T4057" s="7" t="inlineStr"/>
      <c r="U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8" t="n"/>
      <c r="M4058" s="8" t="n"/>
      <c r="N4058" s="8" t="n"/>
      <c r="O4058" s="8" t="n"/>
      <c r="P4058" s="8" t="n"/>
      <c r="Q4058" s="7" t="inlineStr">
        <is>
          <t>SEM COTAÇÃO</t>
        </is>
      </c>
      <c r="R4058" s="8" t="n"/>
      <c r="S4058" s="14" t="n"/>
      <c r="T4058" s="7" t="inlineStr"/>
      <c r="U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8" t="n"/>
      <c r="M4059" s="8" t="n"/>
      <c r="N4059" s="8" t="n"/>
      <c r="O4059" s="8" t="n"/>
      <c r="P4059" s="8" t="n"/>
      <c r="Q4059" s="7" t="inlineStr">
        <is>
          <t>SEM COTAÇÃO</t>
        </is>
      </c>
      <c r="R4059" s="8" t="n"/>
      <c r="S4059" s="14" t="n"/>
      <c r="T4059" s="7" t="inlineStr"/>
      <c r="U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8" t="n"/>
      <c r="M4060" s="8" t="n"/>
      <c r="N4060" s="8" t="n"/>
      <c r="O4060" s="8" t="n"/>
      <c r="P4060" s="8" t="n"/>
      <c r="Q4060" s="7" t="inlineStr">
        <is>
          <t>SEM COTAÇÃO</t>
        </is>
      </c>
      <c r="R4060" s="8" t="n"/>
      <c r="S4060" s="14" t="n"/>
      <c r="T4060" s="7" t="inlineStr"/>
      <c r="U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8" t="n"/>
      <c r="M4061" s="8" t="n"/>
      <c r="N4061" s="8" t="n"/>
      <c r="O4061" s="8" t="n"/>
      <c r="P4061" s="8" t="n"/>
      <c r="Q4061" s="7" t="inlineStr">
        <is>
          <t>SEM COTAÇÃO</t>
        </is>
      </c>
      <c r="R4061" s="8" t="n"/>
      <c r="S4061" s="14" t="n"/>
      <c r="T4061" s="7" t="inlineStr"/>
      <c r="U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8" t="n"/>
      <c r="M4062" s="8" t="n"/>
      <c r="N4062" s="8" t="n"/>
      <c r="O4062" s="8" t="n"/>
      <c r="P4062" s="8" t="n"/>
      <c r="Q4062" s="7" t="inlineStr">
        <is>
          <t>SEM COTAÇÃO</t>
        </is>
      </c>
      <c r="R4062" s="8" t="n"/>
      <c r="S4062" s="14" t="n"/>
      <c r="T4062" s="7" t="inlineStr"/>
      <c r="U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8" t="n"/>
      <c r="M4063" s="8" t="n"/>
      <c r="N4063" s="8" t="n"/>
      <c r="O4063" s="8" t="n"/>
      <c r="P4063" s="8" t="n"/>
      <c r="Q4063" s="7" t="inlineStr">
        <is>
          <t>SEM COTAÇÃO</t>
        </is>
      </c>
      <c r="R4063" s="8" t="n"/>
      <c r="S4063" s="14" t="n"/>
      <c r="T4063" s="7" t="inlineStr"/>
      <c r="U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8" t="n"/>
      <c r="M4064" s="8" t="n"/>
      <c r="N4064" s="8" t="n"/>
      <c r="O4064" s="8" t="n"/>
      <c r="P4064" s="8" t="n"/>
      <c r="Q4064" s="7" t="inlineStr">
        <is>
          <t>SEM COTAÇÃO</t>
        </is>
      </c>
      <c r="R4064" s="8" t="n"/>
      <c r="S4064" s="14" t="n"/>
      <c r="T4064" s="7" t="inlineStr"/>
      <c r="U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8" t="n"/>
      <c r="M4065" s="8" t="n"/>
      <c r="N4065" s="8" t="n"/>
      <c r="O4065" s="8" t="n"/>
      <c r="P4065" s="8" t="n"/>
      <c r="Q4065" s="7" t="inlineStr">
        <is>
          <t>SEM COTAÇÃO</t>
        </is>
      </c>
      <c r="R4065" s="8" t="n"/>
      <c r="S4065" s="14" t="n"/>
      <c r="T4065" s="7" t="inlineStr"/>
      <c r="U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8" t="n"/>
      <c r="M4066" s="8" t="n"/>
      <c r="N4066" s="8" t="n"/>
      <c r="O4066" s="8" t="n"/>
      <c r="P4066" s="8" t="n"/>
      <c r="Q4066" s="7" t="inlineStr">
        <is>
          <t>SEM COTAÇÃO</t>
        </is>
      </c>
      <c r="R4066" s="8" t="n"/>
      <c r="S4066" s="14" t="n"/>
      <c r="T4066" s="7" t="inlineStr"/>
      <c r="U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8" t="n"/>
      <c r="M4067" s="15" t="n">
        <v>15.6</v>
      </c>
      <c r="N4067" s="8" t="n"/>
      <c r="O4067" s="8" t="n"/>
      <c r="P4067" s="8" t="n">
        <v>17.52</v>
      </c>
      <c r="Q4067" s="7" t="inlineStr">
        <is>
          <t>CENTROFARMA</t>
        </is>
      </c>
      <c r="R4067" s="8" t="n">
        <v>15.6</v>
      </c>
      <c r="S4067" s="14">
        <f>R4067/H4067-1</f>
        <v/>
      </c>
      <c r="T4067" s="16" t="inlineStr">
        <is>
          <t>ACIMA +5.3%</t>
        </is>
      </c>
      <c r="U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8" t="n"/>
      <c r="M4068" s="8" t="n"/>
      <c r="N4068" s="8" t="n"/>
      <c r="O4068" s="8" t="n"/>
      <c r="P4068" s="8" t="n"/>
      <c r="Q4068" s="7" t="inlineStr">
        <is>
          <t>SEM COTAÇÃO</t>
        </is>
      </c>
      <c r="R4068" s="8" t="n"/>
      <c r="S4068" s="14" t="n"/>
      <c r="T4068" s="7" t="inlineStr"/>
      <c r="U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8" t="n"/>
      <c r="M4069" s="15" t="n">
        <v>18.37</v>
      </c>
      <c r="N4069" s="8" t="n"/>
      <c r="O4069" s="8" t="n"/>
      <c r="P4069" s="8" t="n">
        <v>20.64</v>
      </c>
      <c r="Q4069" s="7" t="inlineStr">
        <is>
          <t>CENTROFARMA</t>
        </is>
      </c>
      <c r="R4069" s="8" t="n">
        <v>18.37</v>
      </c>
      <c r="S4069" s="14">
        <f>R4069/H4069-1</f>
        <v/>
      </c>
      <c r="T4069" s="16" t="inlineStr">
        <is>
          <t>ACIMA +16.0%</t>
        </is>
      </c>
      <c r="U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8" t="n"/>
      <c r="M4070" s="8" t="n"/>
      <c r="N4070" s="8" t="n"/>
      <c r="O4070" s="8" t="n"/>
      <c r="P4070" s="8" t="n"/>
      <c r="Q4070" s="7" t="inlineStr">
        <is>
          <t>SEM COTAÇÃO</t>
        </is>
      </c>
      <c r="R4070" s="8" t="n"/>
      <c r="S4070" s="14" t="n"/>
      <c r="T4070" s="7" t="inlineStr"/>
      <c r="U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8" t="n"/>
      <c r="M4071" s="15" t="n">
        <v>14.17</v>
      </c>
      <c r="N4071" s="8" t="n"/>
      <c r="O4071" s="8" t="n"/>
      <c r="P4071" s="8" t="n">
        <v>15.92</v>
      </c>
      <c r="Q4071" s="7" t="inlineStr">
        <is>
          <t>CENTROFARMA</t>
        </is>
      </c>
      <c r="R4071" s="8" t="n">
        <v>14.17</v>
      </c>
      <c r="S4071" s="14">
        <f>R4071/H4071-1</f>
        <v/>
      </c>
      <c r="T4071" s="17" t="inlineStr">
        <is>
          <t>OK (≤ últ. compra)</t>
        </is>
      </c>
      <c r="U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7" t="inlineStr">
        <is>
          <t>SEM COTAÇÃO</t>
        </is>
      </c>
      <c r="R4072" s="8" t="n"/>
      <c r="S4072" s="14" t="n"/>
      <c r="T4072" s="7" t="inlineStr"/>
      <c r="U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8" t="n"/>
      <c r="M4073" s="8" t="n"/>
      <c r="N4073" s="8" t="n"/>
      <c r="O4073" s="8" t="n"/>
      <c r="P4073" s="8" t="n"/>
      <c r="Q4073" s="7" t="inlineStr">
        <is>
          <t>SEM COTAÇÃO</t>
        </is>
      </c>
      <c r="R4073" s="8" t="n"/>
      <c r="S4073" s="14" t="n"/>
      <c r="T4073" s="7" t="inlineStr"/>
      <c r="U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8" t="n"/>
      <c r="M4074" s="8" t="n"/>
      <c r="N4074" s="8" t="n"/>
      <c r="O4074" s="8" t="n"/>
      <c r="P4074" s="8" t="n"/>
      <c r="Q4074" s="7" t="inlineStr">
        <is>
          <t>SEM COTAÇÃO</t>
        </is>
      </c>
      <c r="R4074" s="8" t="n"/>
      <c r="S4074" s="14" t="n"/>
      <c r="T4074" s="7" t="inlineStr"/>
      <c r="U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8" t="n"/>
      <c r="M4075" s="8" t="n"/>
      <c r="N4075" s="8" t="n"/>
      <c r="O4075" s="8" t="n"/>
      <c r="P4075" s="8" t="n"/>
      <c r="Q4075" s="7" t="inlineStr">
        <is>
          <t>SEM COTAÇÃO</t>
        </is>
      </c>
      <c r="R4075" s="8" t="n"/>
      <c r="S4075" s="14" t="n"/>
      <c r="T4075" s="7" t="inlineStr"/>
      <c r="U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8" t="n"/>
      <c r="M4076" s="8" t="n"/>
      <c r="N4076" s="8" t="n"/>
      <c r="O4076" s="8" t="n"/>
      <c r="P4076" s="8" t="n"/>
      <c r="Q4076" s="7" t="inlineStr">
        <is>
          <t>SEM COTAÇÃO</t>
        </is>
      </c>
      <c r="R4076" s="8" t="n"/>
      <c r="S4076" s="14" t="n"/>
      <c r="T4076" s="7" t="inlineStr"/>
      <c r="U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8" t="n"/>
      <c r="M4077" s="8" t="n"/>
      <c r="N4077" s="8" t="n"/>
      <c r="O4077" s="8" t="n">
        <v>38.02</v>
      </c>
      <c r="P4077" s="8" t="n"/>
      <c r="Q4077" s="7" t="inlineStr">
        <is>
          <t>SEM COTAÇÃO</t>
        </is>
      </c>
      <c r="R4077" s="8" t="n"/>
      <c r="S4077" s="14" t="n"/>
      <c r="T4077" s="7" t="inlineStr"/>
      <c r="U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15" t="n">
        <v>32.08</v>
      </c>
      <c r="M4078" s="8" t="n"/>
      <c r="N4078" s="8" t="n"/>
      <c r="O4078" s="8" t="n">
        <v>38.02</v>
      </c>
      <c r="P4078" s="8" t="n"/>
      <c r="Q4078" s="7" t="inlineStr">
        <is>
          <t>EPAN</t>
        </is>
      </c>
      <c r="R4078" s="8" t="n">
        <v>32.08</v>
      </c>
      <c r="S4078" s="14">
        <f>R4078/H4078-1</f>
        <v/>
      </c>
      <c r="T4078" s="17" t="inlineStr">
        <is>
          <t>OK (≤ menor hist.)</t>
        </is>
      </c>
      <c r="U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8" t="n"/>
      <c r="M4079" s="8" t="n"/>
      <c r="N4079" s="8" t="n"/>
      <c r="O4079" s="15" t="n">
        <v>36.53</v>
      </c>
      <c r="P4079" s="8" t="n"/>
      <c r="Q4079" s="7" t="inlineStr">
        <is>
          <t>NAZARIA</t>
        </is>
      </c>
      <c r="R4079" s="8" t="n">
        <v>36.53</v>
      </c>
      <c r="S4079" s="14">
        <f>R4079/H4079-1</f>
        <v/>
      </c>
      <c r="T4079" s="16" t="inlineStr">
        <is>
          <t>ACIMA +8.3%</t>
        </is>
      </c>
      <c r="U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8" t="n"/>
      <c r="M4080" s="8" t="n"/>
      <c r="N4080" s="8" t="n"/>
      <c r="O4080" s="15" t="n">
        <v>57.52</v>
      </c>
      <c r="P4080" s="8" t="n"/>
      <c r="Q4080" s="7" t="inlineStr">
        <is>
          <t>NAZARIA</t>
        </is>
      </c>
      <c r="R4080" s="8" t="n">
        <v>57.52</v>
      </c>
      <c r="S4080" s="14">
        <f>R4080/H4080-1</f>
        <v/>
      </c>
      <c r="T4080" s="16" t="inlineStr">
        <is>
          <t>ACIMA +7.7%</t>
        </is>
      </c>
      <c r="U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8" t="n"/>
      <c r="M4081" s="8" t="n"/>
      <c r="N4081" s="8" t="n"/>
      <c r="O4081" s="8" t="n"/>
      <c r="P4081" s="8" t="n"/>
      <c r="Q4081" s="7" t="inlineStr">
        <is>
          <t>SEM COTAÇÃO</t>
        </is>
      </c>
      <c r="R4081" s="8" t="n"/>
      <c r="S4081" s="14" t="n"/>
      <c r="T4081" s="7" t="inlineStr"/>
      <c r="U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8" t="n"/>
      <c r="M4082" s="8" t="n"/>
      <c r="N4082" s="8" t="n"/>
      <c r="O4082" s="8" t="n"/>
      <c r="P4082" s="8" t="n"/>
      <c r="Q4082" s="7" t="inlineStr">
        <is>
          <t>SEM COTAÇÃO</t>
        </is>
      </c>
      <c r="R4082" s="8" t="n"/>
      <c r="S4082" s="14" t="n"/>
      <c r="T4082" s="7" t="inlineStr"/>
      <c r="U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8" t="n"/>
      <c r="M4083" s="8" t="n"/>
      <c r="N4083" s="8" t="n"/>
      <c r="O4083" s="8" t="n"/>
      <c r="P4083" s="8" t="n"/>
      <c r="Q4083" s="7" t="inlineStr">
        <is>
          <t>SEM COTAÇÃO</t>
        </is>
      </c>
      <c r="R4083" s="8" t="n"/>
      <c r="S4083" s="14" t="n"/>
      <c r="T4083" s="7" t="inlineStr"/>
      <c r="U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8" t="n"/>
      <c r="M4084" s="8" t="n"/>
      <c r="N4084" s="8" t="n"/>
      <c r="O4084" s="8" t="n"/>
      <c r="P4084" s="8" t="n"/>
      <c r="Q4084" s="7" t="inlineStr">
        <is>
          <t>SEM COTAÇÃO</t>
        </is>
      </c>
      <c r="R4084" s="8" t="n"/>
      <c r="S4084" s="14" t="n"/>
      <c r="T4084" s="7" t="inlineStr"/>
      <c r="U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8" t="n"/>
      <c r="M4085" s="8" t="n"/>
      <c r="N4085" s="8" t="n"/>
      <c r="O4085" s="8" t="n"/>
      <c r="P4085" s="8" t="n"/>
      <c r="Q4085" s="7" t="inlineStr">
        <is>
          <t>SEM COTAÇÃO</t>
        </is>
      </c>
      <c r="R4085" s="8" t="n"/>
      <c r="S4085" s="14" t="n"/>
      <c r="T4085" s="7" t="inlineStr"/>
      <c r="U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8" t="n"/>
      <c r="M4086" s="8" t="n"/>
      <c r="N4086" s="8" t="n"/>
      <c r="O4086" s="8" t="n"/>
      <c r="P4086" s="8" t="n"/>
      <c r="Q4086" s="7" t="inlineStr">
        <is>
          <t>SEM COTAÇÃO</t>
        </is>
      </c>
      <c r="R4086" s="8" t="n"/>
      <c r="S4086" s="14" t="n"/>
      <c r="T4086" s="7" t="inlineStr"/>
      <c r="U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8" t="n"/>
      <c r="M4087" s="8" t="n"/>
      <c r="N4087" s="8" t="n"/>
      <c r="O4087" s="15" t="n">
        <v>14.37</v>
      </c>
      <c r="P4087" s="8" t="n"/>
      <c r="Q4087" s="7" t="inlineStr">
        <is>
          <t>NAZARIA</t>
        </is>
      </c>
      <c r="R4087" s="8" t="n">
        <v>14.37</v>
      </c>
      <c r="S4087" s="14">
        <f>R4087/H4087-1</f>
        <v/>
      </c>
      <c r="T4087" s="16" t="inlineStr">
        <is>
          <t>ACIMA +6.4%</t>
        </is>
      </c>
      <c r="U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8" t="n"/>
      <c r="M4088" s="8" t="n"/>
      <c r="N4088" s="8" t="n"/>
      <c r="O4088" s="15" t="n">
        <v>15.7</v>
      </c>
      <c r="P4088" s="8" t="n"/>
      <c r="Q4088" s="7" t="inlineStr">
        <is>
          <t>NAZARIA</t>
        </is>
      </c>
      <c r="R4088" s="8" t="n">
        <v>15.7</v>
      </c>
      <c r="S4088" s="14">
        <f>R4088/H4088-1</f>
        <v/>
      </c>
      <c r="T4088" s="16" t="inlineStr">
        <is>
          <t>ACIMA +54.7%</t>
        </is>
      </c>
      <c r="U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8" t="n"/>
      <c r="M4089" s="8" t="n"/>
      <c r="N4089" s="8" t="n"/>
      <c r="O4089" s="8" t="n">
        <v>15.7</v>
      </c>
      <c r="P4089" s="8" t="n"/>
      <c r="Q4089" s="7" t="inlineStr">
        <is>
          <t>SEM COTAÇÃO</t>
        </is>
      </c>
      <c r="R4089" s="8" t="n"/>
      <c r="S4089" s="14" t="n"/>
      <c r="T4089" s="7" t="inlineStr"/>
      <c r="U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8" t="n"/>
      <c r="M4090" s="8" t="n"/>
      <c r="N4090" s="8" t="n"/>
      <c r="O4090" s="15" t="n">
        <v>15.7</v>
      </c>
      <c r="P4090" s="8" t="n"/>
      <c r="Q4090" s="7" t="inlineStr">
        <is>
          <t>NAZARIA</t>
        </is>
      </c>
      <c r="R4090" s="8" t="n">
        <v>15.7</v>
      </c>
      <c r="S4090" s="14">
        <f>R4090/H4090-1</f>
        <v/>
      </c>
      <c r="T4090" s="16" t="inlineStr">
        <is>
          <t>ACIMA +11.3%</t>
        </is>
      </c>
      <c r="U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8" t="n"/>
      <c r="M4091" s="8" t="n"/>
      <c r="N4091" s="8" t="n"/>
      <c r="O4091" s="15" t="n">
        <v>15.7</v>
      </c>
      <c r="P4091" s="8" t="n"/>
      <c r="Q4091" s="7" t="inlineStr">
        <is>
          <t>NAZARIA</t>
        </is>
      </c>
      <c r="R4091" s="8" t="n">
        <v>15.7</v>
      </c>
      <c r="S4091" s="14">
        <f>R4091/H4091-1</f>
        <v/>
      </c>
      <c r="T4091" s="16" t="inlineStr">
        <is>
          <t>ACIMA +54.7%</t>
        </is>
      </c>
      <c r="U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8" t="n"/>
      <c r="M4092" s="8" t="n"/>
      <c r="N4092" s="8" t="n"/>
      <c r="O4092" s="8" t="n">
        <v>15.7</v>
      </c>
      <c r="P4092" s="8" t="n"/>
      <c r="Q4092" s="7" t="inlineStr">
        <is>
          <t>SEM COTAÇÃO</t>
        </is>
      </c>
      <c r="R4092" s="8" t="n"/>
      <c r="S4092" s="14" t="n"/>
      <c r="T4092" s="7" t="inlineStr"/>
      <c r="U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8" t="n"/>
      <c r="M4093" s="8" t="n"/>
      <c r="N4093" s="8" t="n"/>
      <c r="O4093" s="15" t="n">
        <v>15.7</v>
      </c>
      <c r="P4093" s="8" t="n"/>
      <c r="Q4093" s="7" t="inlineStr">
        <is>
          <t>NAZARIA</t>
        </is>
      </c>
      <c r="R4093" s="8" t="n">
        <v>15.7</v>
      </c>
      <c r="S4093" s="14">
        <f>R4093/H4093-1</f>
        <v/>
      </c>
      <c r="T4093" s="16" t="inlineStr">
        <is>
          <t>ACIMA +11.3%</t>
        </is>
      </c>
      <c r="U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8" t="n"/>
      <c r="M4094" s="8" t="n"/>
      <c r="N4094" s="8" t="n"/>
      <c r="O4094" s="15" t="n">
        <v>15.7</v>
      </c>
      <c r="P4094" s="8" t="n"/>
      <c r="Q4094" s="7" t="inlineStr">
        <is>
          <t>NAZARIA</t>
        </is>
      </c>
      <c r="R4094" s="8" t="n">
        <v>15.7</v>
      </c>
      <c r="S4094" s="14">
        <f>R4094/H4094-1</f>
        <v/>
      </c>
      <c r="T4094" s="16" t="inlineStr">
        <is>
          <t>ACIMA +5.7%</t>
        </is>
      </c>
      <c r="U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8" t="n"/>
      <c r="M4095" s="8" t="n"/>
      <c r="N4095" s="8" t="n"/>
      <c r="O4095" s="15" t="n">
        <v>21.52</v>
      </c>
      <c r="P4095" s="8" t="n"/>
      <c r="Q4095" s="7" t="inlineStr">
        <is>
          <t>NAZARIA</t>
        </is>
      </c>
      <c r="R4095" s="8" t="n">
        <v>21.52</v>
      </c>
      <c r="S4095" s="14">
        <f>R4095/H4095-1</f>
        <v/>
      </c>
      <c r="T4095" s="17" t="inlineStr">
        <is>
          <t>OK (≤ menor hist.)</t>
        </is>
      </c>
      <c r="U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8" t="n"/>
      <c r="M4096" s="8" t="n"/>
      <c r="N4096" s="8" t="n"/>
      <c r="O4096" s="8" t="n"/>
      <c r="P4096" s="8" t="n"/>
      <c r="Q4096" s="7" t="inlineStr">
        <is>
          <t>SEM COTAÇÃO</t>
        </is>
      </c>
      <c r="R4096" s="8" t="n"/>
      <c r="S4096" s="14" t="n"/>
      <c r="T4096" s="7" t="inlineStr"/>
      <c r="U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8" t="n"/>
      <c r="M4097" s="8" t="n"/>
      <c r="N4097" s="8" t="n"/>
      <c r="O4097" s="8" t="n"/>
      <c r="P4097" s="8" t="n"/>
      <c r="Q4097" s="7" t="inlineStr">
        <is>
          <t>SEM COTAÇÃO</t>
        </is>
      </c>
      <c r="R4097" s="8" t="n"/>
      <c r="S4097" s="14" t="n"/>
      <c r="T4097" s="7" t="inlineStr"/>
      <c r="U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8" t="n"/>
      <c r="M4098" s="8" t="n"/>
      <c r="N4098" s="8" t="n"/>
      <c r="O4098" s="8" t="n"/>
      <c r="P4098" s="8" t="n"/>
      <c r="Q4098" s="7" t="inlineStr">
        <is>
          <t>SEM COTAÇÃO</t>
        </is>
      </c>
      <c r="R4098" s="8" t="n"/>
      <c r="S4098" s="14" t="n"/>
      <c r="T4098" s="7" t="inlineStr"/>
      <c r="U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8" t="n"/>
      <c r="M4099" s="8" t="n"/>
      <c r="N4099" s="8" t="n"/>
      <c r="O4099" s="8" t="n"/>
      <c r="P4099" s="8" t="n"/>
      <c r="Q4099" s="7" t="inlineStr">
        <is>
          <t>SEM COTAÇÃO</t>
        </is>
      </c>
      <c r="R4099" s="8" t="n"/>
      <c r="S4099" s="14" t="n"/>
      <c r="T4099" s="7" t="inlineStr"/>
      <c r="U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8" t="n"/>
      <c r="M4100" s="8" t="n"/>
      <c r="N4100" s="8" t="n"/>
      <c r="O4100" s="8" t="n"/>
      <c r="P4100" s="8" t="n"/>
      <c r="Q4100" s="7" t="inlineStr">
        <is>
          <t>SEM COTAÇÃO</t>
        </is>
      </c>
      <c r="R4100" s="8" t="n"/>
      <c r="S4100" s="14" t="n"/>
      <c r="T4100" s="7" t="inlineStr"/>
      <c r="U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8" t="n"/>
      <c r="M4101" s="8" t="n"/>
      <c r="N4101" s="8" t="n"/>
      <c r="O4101" s="8" t="n"/>
      <c r="P4101" s="8" t="n"/>
      <c r="Q4101" s="7" t="inlineStr">
        <is>
          <t>SEM COTAÇÃO</t>
        </is>
      </c>
      <c r="R4101" s="8" t="n"/>
      <c r="S4101" s="14" t="n"/>
      <c r="T4101" s="7" t="inlineStr"/>
      <c r="U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8" t="n"/>
      <c r="M4102" s="8" t="n"/>
      <c r="N4102" s="8" t="n"/>
      <c r="O4102" s="8" t="n">
        <v>14.37</v>
      </c>
      <c r="P4102" s="8" t="n"/>
      <c r="Q4102" s="7" t="inlineStr">
        <is>
          <t>SEM COTAÇÃO</t>
        </is>
      </c>
      <c r="R4102" s="8" t="n"/>
      <c r="S4102" s="14" t="n"/>
      <c r="T4102" s="7" t="inlineStr"/>
      <c r="U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8" t="n"/>
      <c r="M4103" s="8" t="n"/>
      <c r="N4103" s="8" t="n"/>
      <c r="O4103" s="8" t="n"/>
      <c r="P4103" s="8" t="n"/>
      <c r="Q4103" s="7" t="inlineStr">
        <is>
          <t>SEM COTAÇÃO</t>
        </is>
      </c>
      <c r="R4103" s="8" t="n"/>
      <c r="S4103" s="14" t="n"/>
      <c r="T4103" s="7" t="inlineStr"/>
      <c r="U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8" t="n"/>
      <c r="M4104" s="8" t="n"/>
      <c r="N4104" s="8" t="n"/>
      <c r="O4104" s="8" t="n"/>
      <c r="P4104" s="8" t="n"/>
      <c r="Q4104" s="7" t="inlineStr">
        <is>
          <t>SEM COTAÇÃO</t>
        </is>
      </c>
      <c r="R4104" s="8" t="n"/>
      <c r="S4104" s="14" t="n"/>
      <c r="T4104" s="7" t="inlineStr"/>
      <c r="U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15" t="n">
        <v>21.03</v>
      </c>
      <c r="M4105" s="8" t="n"/>
      <c r="N4105" s="8" t="n"/>
      <c r="O4105" s="8" t="n">
        <v>26.42</v>
      </c>
      <c r="P4105" s="8" t="n"/>
      <c r="Q4105" s="7" t="inlineStr">
        <is>
          <t>EPAN</t>
        </is>
      </c>
      <c r="R4105" s="8" t="n">
        <v>21.03</v>
      </c>
      <c r="S4105" s="14">
        <f>R4105/H4105-1</f>
        <v/>
      </c>
      <c r="T4105" s="17" t="inlineStr">
        <is>
          <t>OK (≤ menor hist.)</t>
        </is>
      </c>
      <c r="U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8" t="n"/>
      <c r="M4106" s="8" t="n"/>
      <c r="N4106" s="8" t="n"/>
      <c r="O4106" s="15" t="n">
        <v>14.37</v>
      </c>
      <c r="P4106" s="8" t="n"/>
      <c r="Q4106" s="7" t="inlineStr">
        <is>
          <t>NAZARIA</t>
        </is>
      </c>
      <c r="R4106" s="8" t="n">
        <v>14.37</v>
      </c>
      <c r="S4106" s="14">
        <f>R4106/H4106-1</f>
        <v/>
      </c>
      <c r="T4106" s="17" t="inlineStr">
        <is>
          <t>OK (≤ últ. compra)</t>
        </is>
      </c>
      <c r="U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8" t="n"/>
      <c r="M4107" s="8" t="n"/>
      <c r="N4107" s="8" t="n"/>
      <c r="O4107" s="8" t="n"/>
      <c r="P4107" s="8" t="n"/>
      <c r="Q4107" s="7" t="inlineStr">
        <is>
          <t>SEM COTAÇÃO</t>
        </is>
      </c>
      <c r="R4107" s="8" t="n"/>
      <c r="S4107" s="14" t="n"/>
      <c r="T4107" s="7" t="inlineStr"/>
      <c r="U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8" t="n"/>
      <c r="M4108" s="8" t="n"/>
      <c r="N4108" s="8" t="n"/>
      <c r="O4108" s="15" t="n">
        <v>14.37</v>
      </c>
      <c r="P4108" s="8" t="n"/>
      <c r="Q4108" s="7" t="inlineStr">
        <is>
          <t>NAZARIA</t>
        </is>
      </c>
      <c r="R4108" s="8" t="n">
        <v>14.37</v>
      </c>
      <c r="S4108" s="14">
        <f>R4108/H4108-1</f>
        <v/>
      </c>
      <c r="T4108" s="16" t="inlineStr">
        <is>
          <t>ACIMA +6.4%</t>
        </is>
      </c>
      <c r="U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8" t="n"/>
      <c r="M4109" s="8" t="n"/>
      <c r="N4109" s="8" t="n"/>
      <c r="O4109" s="8" t="n"/>
      <c r="P4109" s="8" t="n"/>
      <c r="Q4109" s="7" t="inlineStr">
        <is>
          <t>SEM COTAÇÃO</t>
        </is>
      </c>
      <c r="R4109" s="8" t="n"/>
      <c r="S4109" s="14" t="n"/>
      <c r="T4109" s="7" t="inlineStr"/>
      <c r="U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8" t="n"/>
      <c r="M4110" s="8" t="n"/>
      <c r="N4110" s="8" t="n"/>
      <c r="O4110" s="8" t="n"/>
      <c r="P4110" s="8" t="n"/>
      <c r="Q4110" s="7" t="inlineStr">
        <is>
          <t>SEM COTAÇÃO</t>
        </is>
      </c>
      <c r="R4110" s="8" t="n"/>
      <c r="S4110" s="14" t="n"/>
      <c r="T4110" s="7" t="inlineStr"/>
      <c r="U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8" t="n"/>
      <c r="M4111" s="8" t="n"/>
      <c r="N4111" s="8" t="n"/>
      <c r="O4111" s="15" t="n">
        <v>12.81</v>
      </c>
      <c r="P4111" s="8" t="n"/>
      <c r="Q4111" s="7" t="inlineStr">
        <is>
          <t>NAZARIA</t>
        </is>
      </c>
      <c r="R4111" s="8" t="n">
        <v>12.81</v>
      </c>
      <c r="S4111" s="14">
        <f>R4111/H4111-1</f>
        <v/>
      </c>
      <c r="T4111" s="16" t="inlineStr">
        <is>
          <t>ACIMA +11.1%</t>
        </is>
      </c>
      <c r="U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8" t="n"/>
      <c r="M4112" s="8" t="n"/>
      <c r="N4112" s="8" t="n"/>
      <c r="O4112" s="15" t="n">
        <v>14.88</v>
      </c>
      <c r="P4112" s="8" t="n"/>
      <c r="Q4112" s="7" t="inlineStr">
        <is>
          <t>NAZARIA</t>
        </is>
      </c>
      <c r="R4112" s="8" t="n">
        <v>14.88</v>
      </c>
      <c r="S4112" s="14">
        <f>R4112/H4112-1</f>
        <v/>
      </c>
      <c r="T4112" s="16" t="inlineStr">
        <is>
          <t>ACIMA +10.7%</t>
        </is>
      </c>
      <c r="U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8" t="n"/>
      <c r="M4113" s="8" t="n"/>
      <c r="N4113" s="8" t="n"/>
      <c r="O4113" s="8" t="n"/>
      <c r="P4113" s="8" t="n"/>
      <c r="Q4113" s="7" t="inlineStr">
        <is>
          <t>SEM COTAÇÃO</t>
        </is>
      </c>
      <c r="R4113" s="8" t="n"/>
      <c r="S4113" s="14" t="n"/>
      <c r="T4113" s="7" t="inlineStr"/>
      <c r="U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8" t="n"/>
      <c r="M4114" s="8" t="n"/>
      <c r="N4114" s="8" t="n"/>
      <c r="O4114" s="8" t="n"/>
      <c r="P4114" s="8" t="n"/>
      <c r="Q4114" s="7" t="inlineStr">
        <is>
          <t>SEM COTAÇÃO</t>
        </is>
      </c>
      <c r="R4114" s="8" t="n"/>
      <c r="S4114" s="14" t="n"/>
      <c r="T4114" s="7" t="inlineStr"/>
      <c r="U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8" t="n"/>
      <c r="M4115" s="8" t="n"/>
      <c r="N4115" s="8" t="n"/>
      <c r="O4115" s="8" t="n"/>
      <c r="P4115" s="8" t="n"/>
      <c r="Q4115" s="7" t="inlineStr">
        <is>
          <t>SEM COTAÇÃO</t>
        </is>
      </c>
      <c r="R4115" s="8" t="n"/>
      <c r="S4115" s="14" t="n"/>
      <c r="T4115" s="7" t="inlineStr"/>
      <c r="U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8" t="n"/>
      <c r="M4116" s="8" t="n"/>
      <c r="N4116" s="8" t="n"/>
      <c r="O4116" s="8" t="n"/>
      <c r="P4116" s="8" t="n"/>
      <c r="Q4116" s="7" t="inlineStr">
        <is>
          <t>SEM COTAÇÃO</t>
        </is>
      </c>
      <c r="R4116" s="8" t="n"/>
      <c r="S4116" s="14" t="n"/>
      <c r="T4116" s="7" t="inlineStr"/>
      <c r="U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8" t="n"/>
      <c r="M4117" s="8" t="n"/>
      <c r="N4117" s="8" t="n"/>
      <c r="O4117" s="8" t="n"/>
      <c r="P4117" s="8" t="n"/>
      <c r="Q4117" s="7" t="inlineStr">
        <is>
          <t>SEM COTAÇÃO</t>
        </is>
      </c>
      <c r="R4117" s="8" t="n"/>
      <c r="S4117" s="14" t="n"/>
      <c r="T4117" s="7" t="inlineStr"/>
      <c r="U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8" t="n"/>
      <c r="M4118" s="8" t="n"/>
      <c r="N4118" s="8" t="n"/>
      <c r="O4118" s="8" t="n"/>
      <c r="P4118" s="8" t="n"/>
      <c r="Q4118" s="7" t="inlineStr">
        <is>
          <t>SEM COTAÇÃO</t>
        </is>
      </c>
      <c r="R4118" s="8" t="n"/>
      <c r="S4118" s="14" t="n"/>
      <c r="T4118" s="7" t="inlineStr"/>
      <c r="U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8" t="n"/>
      <c r="M4119" s="8" t="n"/>
      <c r="N4119" s="8" t="n"/>
      <c r="O4119" s="8" t="n"/>
      <c r="P4119" s="8" t="n"/>
      <c r="Q4119" s="7" t="inlineStr">
        <is>
          <t>SEM COTAÇÃO</t>
        </is>
      </c>
      <c r="R4119" s="8" t="n"/>
      <c r="S4119" s="14" t="n"/>
      <c r="T4119" s="7" t="inlineStr"/>
      <c r="U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8" t="n"/>
      <c r="M4120" s="8" t="n"/>
      <c r="N4120" s="8" t="n"/>
      <c r="O4120" s="15" t="n">
        <v>10.52</v>
      </c>
      <c r="P4120" s="8" t="n"/>
      <c r="Q4120" s="7" t="inlineStr">
        <is>
          <t>NAZARIA</t>
        </is>
      </c>
      <c r="R4120" s="8" t="n">
        <v>10.52</v>
      </c>
      <c r="S4120" s="14">
        <f>R4120/H4120-1</f>
        <v/>
      </c>
      <c r="T4120" s="16" t="inlineStr">
        <is>
          <t>ACIMA +9.2%</t>
        </is>
      </c>
      <c r="U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8" t="n"/>
      <c r="M4121" s="8" t="n"/>
      <c r="N4121" s="8" t="n"/>
      <c r="O4121" s="15" t="n">
        <v>10.52</v>
      </c>
      <c r="P4121" s="8" t="n"/>
      <c r="Q4121" s="7" t="inlineStr">
        <is>
          <t>NAZARIA</t>
        </is>
      </c>
      <c r="R4121" s="8" t="n">
        <v>10.52</v>
      </c>
      <c r="S4121" s="14">
        <f>R4121/H4121-1</f>
        <v/>
      </c>
      <c r="T4121" s="16" t="inlineStr">
        <is>
          <t>ACIMA +9.2%</t>
        </is>
      </c>
      <c r="U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8" t="n"/>
      <c r="M4122" s="8" t="n"/>
      <c r="N4122" s="8" t="n"/>
      <c r="O4122" s="8" t="n"/>
      <c r="P4122" s="8" t="n"/>
      <c r="Q4122" s="7" t="inlineStr">
        <is>
          <t>SEM COTAÇÃO</t>
        </is>
      </c>
      <c r="R4122" s="8" t="n"/>
      <c r="S4122" s="14" t="n"/>
      <c r="T4122" s="7" t="inlineStr"/>
      <c r="U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8" t="n"/>
      <c r="M4123" s="8" t="n"/>
      <c r="N4123" s="8" t="n"/>
      <c r="O4123" s="15" t="n">
        <v>10.52</v>
      </c>
      <c r="P4123" s="8" t="n"/>
      <c r="Q4123" s="7" t="inlineStr">
        <is>
          <t>NAZARIA</t>
        </is>
      </c>
      <c r="R4123" s="8" t="n">
        <v>10.52</v>
      </c>
      <c r="S4123" s="14">
        <f>R4123/H4123-1</f>
        <v/>
      </c>
      <c r="T4123" s="16" t="inlineStr">
        <is>
          <t>ACIMA +6.1%</t>
        </is>
      </c>
      <c r="U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8" t="n"/>
      <c r="M4124" s="8" t="n"/>
      <c r="N4124" s="8" t="n"/>
      <c r="O4124" s="15" t="n">
        <v>10.52</v>
      </c>
      <c r="P4124" s="8" t="n"/>
      <c r="Q4124" s="7" t="inlineStr">
        <is>
          <t>NAZARIA</t>
        </is>
      </c>
      <c r="R4124" s="8" t="n">
        <v>10.52</v>
      </c>
      <c r="S4124" s="14">
        <f>R4124/H4124-1</f>
        <v/>
      </c>
      <c r="T4124" s="16" t="inlineStr">
        <is>
          <t>ACIMA +13.7%</t>
        </is>
      </c>
      <c r="U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8" t="n"/>
      <c r="M4125" s="8" t="n"/>
      <c r="N4125" s="8" t="n"/>
      <c r="O4125" s="8" t="n"/>
      <c r="P4125" s="8" t="n"/>
      <c r="Q4125" s="7" t="inlineStr">
        <is>
          <t>SEM COTAÇÃO</t>
        </is>
      </c>
      <c r="R4125" s="8" t="n"/>
      <c r="S4125" s="14" t="n"/>
      <c r="T4125" s="7" t="inlineStr"/>
      <c r="U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8" t="n"/>
      <c r="M4126" s="8" t="n"/>
      <c r="N4126" s="8" t="n"/>
      <c r="O4126" s="8" t="n"/>
      <c r="P4126" s="8" t="n"/>
      <c r="Q4126" s="7" t="inlineStr">
        <is>
          <t>SEM COTAÇÃO</t>
        </is>
      </c>
      <c r="R4126" s="8" t="n"/>
      <c r="S4126" s="14" t="n"/>
      <c r="T4126" s="7" t="inlineStr"/>
      <c r="U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8" t="n"/>
      <c r="M4127" s="8" t="n"/>
      <c r="N4127" s="8" t="n"/>
      <c r="O4127" s="8" t="n"/>
      <c r="P4127" s="8" t="n"/>
      <c r="Q4127" s="7" t="inlineStr">
        <is>
          <t>SEM COTAÇÃO</t>
        </is>
      </c>
      <c r="R4127" s="8" t="n"/>
      <c r="S4127" s="14" t="n"/>
      <c r="T4127" s="7" t="inlineStr"/>
      <c r="U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8" t="n"/>
      <c r="M4128" s="8" t="n"/>
      <c r="N4128" s="8" t="n"/>
      <c r="O4128" s="8" t="n"/>
      <c r="P4128" s="8" t="n"/>
      <c r="Q4128" s="7" t="inlineStr">
        <is>
          <t>SEM COTAÇÃO</t>
        </is>
      </c>
      <c r="R4128" s="8" t="n"/>
      <c r="S4128" s="14" t="n"/>
      <c r="T4128" s="7" t="inlineStr"/>
      <c r="U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8" t="n"/>
      <c r="M4129" s="8" t="n"/>
      <c r="N4129" s="8" t="n"/>
      <c r="O4129" s="8" t="n"/>
      <c r="P4129" s="8" t="n"/>
      <c r="Q4129" s="7" t="inlineStr">
        <is>
          <t>SEM COTAÇÃO</t>
        </is>
      </c>
      <c r="R4129" s="8" t="n"/>
      <c r="S4129" s="14" t="n"/>
      <c r="T4129" s="7" t="inlineStr"/>
      <c r="U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8" t="n"/>
      <c r="M4130" s="8" t="n"/>
      <c r="N4130" s="8" t="n"/>
      <c r="O4130" s="8" t="n"/>
      <c r="P4130" s="8" t="n"/>
      <c r="Q4130" s="7" t="inlineStr">
        <is>
          <t>SEM COTAÇÃO</t>
        </is>
      </c>
      <c r="R4130" s="8" t="n"/>
      <c r="S4130" s="14" t="n"/>
      <c r="T4130" s="7" t="inlineStr"/>
      <c r="U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8" t="n"/>
      <c r="M4131" s="8" t="n"/>
      <c r="N4131" s="8" t="n"/>
      <c r="O4131" s="8" t="n"/>
      <c r="P4131" s="8" t="n"/>
      <c r="Q4131" s="7" t="inlineStr">
        <is>
          <t>SEM COTAÇÃO</t>
        </is>
      </c>
      <c r="R4131" s="8" t="n"/>
      <c r="S4131" s="14" t="n"/>
      <c r="T4131" s="7" t="inlineStr"/>
      <c r="U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8" t="n"/>
      <c r="M4132" s="8" t="n"/>
      <c r="N4132" s="8" t="n"/>
      <c r="O4132" s="8" t="n"/>
      <c r="P4132" s="8" t="n"/>
      <c r="Q4132" s="7" t="inlineStr">
        <is>
          <t>SEM COTAÇÃO</t>
        </is>
      </c>
      <c r="R4132" s="8" t="n"/>
      <c r="S4132" s="14" t="n"/>
      <c r="T4132" s="7" t="inlineStr"/>
      <c r="U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8" t="n"/>
      <c r="M4133" s="8" t="n"/>
      <c r="N4133" s="8" t="n"/>
      <c r="O4133" s="8" t="n"/>
      <c r="P4133" s="8" t="n"/>
      <c r="Q4133" s="7" t="inlineStr">
        <is>
          <t>SEM COTAÇÃO</t>
        </is>
      </c>
      <c r="R4133" s="8" t="n"/>
      <c r="S4133" s="14" t="n"/>
      <c r="T4133" s="7" t="inlineStr"/>
      <c r="U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8" t="n"/>
      <c r="M4134" s="8" t="n"/>
      <c r="N4134" s="8" t="n"/>
      <c r="O4134" s="8" t="n"/>
      <c r="P4134" s="8" t="n"/>
      <c r="Q4134" s="7" t="inlineStr">
        <is>
          <t>SEM COTAÇÃO</t>
        </is>
      </c>
      <c r="R4134" s="8" t="n"/>
      <c r="S4134" s="14" t="n"/>
      <c r="T4134" s="7" t="inlineStr"/>
      <c r="U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8" t="n"/>
      <c r="M4135" s="8" t="n"/>
      <c r="N4135" s="8" t="n"/>
      <c r="O4135" s="8" t="n"/>
      <c r="P4135" s="8" t="n"/>
      <c r="Q4135" s="7" t="inlineStr">
        <is>
          <t>SEM COTAÇÃO</t>
        </is>
      </c>
      <c r="R4135" s="8" t="n"/>
      <c r="S4135" s="14" t="n"/>
      <c r="T4135" s="7" t="inlineStr"/>
      <c r="U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8" t="n"/>
      <c r="M4136" s="8" t="n"/>
      <c r="N4136" s="8" t="n"/>
      <c r="O4136" s="8" t="n"/>
      <c r="P4136" s="8" t="n"/>
      <c r="Q4136" s="7" t="inlineStr">
        <is>
          <t>SEM COTAÇÃO</t>
        </is>
      </c>
      <c r="R4136" s="8" t="n"/>
      <c r="S4136" s="14" t="n"/>
      <c r="T4136" s="7" t="inlineStr"/>
      <c r="U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7" t="inlineStr">
        <is>
          <t>SEM COTAÇÃO</t>
        </is>
      </c>
      <c r="R4137" s="8" t="n"/>
      <c r="S4137" s="14" t="n"/>
      <c r="T4137" s="7" t="inlineStr"/>
      <c r="U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7" t="inlineStr">
        <is>
          <t>SEM COTAÇÃO</t>
        </is>
      </c>
      <c r="R4138" s="8" t="n"/>
      <c r="S4138" s="14" t="n"/>
      <c r="T4138" s="7" t="inlineStr"/>
      <c r="U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7" t="inlineStr">
        <is>
          <t>SEM COTAÇÃO</t>
        </is>
      </c>
      <c r="R4139" s="8" t="n"/>
      <c r="S4139" s="14" t="n"/>
      <c r="T4139" s="7" t="inlineStr"/>
      <c r="U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7" t="inlineStr">
        <is>
          <t>SEM COTAÇÃO</t>
        </is>
      </c>
      <c r="R4140" s="8" t="n"/>
      <c r="S4140" s="14" t="n"/>
      <c r="T4140" s="7" t="inlineStr"/>
      <c r="U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7" t="inlineStr">
        <is>
          <t>SEM COTAÇÃO</t>
        </is>
      </c>
      <c r="R4141" s="8" t="n"/>
      <c r="S4141" s="14" t="n"/>
      <c r="T4141" s="7" t="inlineStr"/>
      <c r="U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8" t="n"/>
      <c r="M4142" s="8" t="n"/>
      <c r="N4142" s="8" t="n"/>
      <c r="O4142" s="8" t="n"/>
      <c r="P4142" s="8" t="n"/>
      <c r="Q4142" s="7" t="inlineStr">
        <is>
          <t>SEM COTAÇÃO</t>
        </is>
      </c>
      <c r="R4142" s="8" t="n"/>
      <c r="S4142" s="14" t="n"/>
      <c r="T4142" s="7" t="inlineStr"/>
      <c r="U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8" t="n"/>
      <c r="M4143" s="8" t="n"/>
      <c r="N4143" s="8" t="n"/>
      <c r="O4143" s="8" t="n"/>
      <c r="P4143" s="8" t="n"/>
      <c r="Q4143" s="7" t="inlineStr">
        <is>
          <t>SEM COTAÇÃO</t>
        </is>
      </c>
      <c r="R4143" s="8" t="n"/>
      <c r="S4143" s="14" t="n"/>
      <c r="T4143" s="7" t="inlineStr"/>
      <c r="U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8" t="n"/>
      <c r="M4144" s="8" t="n"/>
      <c r="N4144" s="8" t="n"/>
      <c r="O4144" s="8" t="n"/>
      <c r="P4144" s="8" t="n"/>
      <c r="Q4144" s="7" t="inlineStr">
        <is>
          <t>SEM COTAÇÃO</t>
        </is>
      </c>
      <c r="R4144" s="8" t="n"/>
      <c r="S4144" s="14" t="n"/>
      <c r="T4144" s="7" t="inlineStr"/>
      <c r="U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8" t="n"/>
      <c r="M4145" s="8" t="n"/>
      <c r="N4145" s="8" t="n"/>
      <c r="O4145" s="8" t="n"/>
      <c r="P4145" s="8" t="n"/>
      <c r="Q4145" s="7" t="inlineStr">
        <is>
          <t>SEM COTAÇÃO</t>
        </is>
      </c>
      <c r="R4145" s="8" t="n"/>
      <c r="S4145" s="14" t="n"/>
      <c r="T4145" s="7" t="inlineStr"/>
      <c r="U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8" t="n"/>
      <c r="M4146" s="8" t="n"/>
      <c r="N4146" s="8" t="n"/>
      <c r="O4146" s="8" t="n"/>
      <c r="P4146" s="8" t="n"/>
      <c r="Q4146" s="7" t="inlineStr">
        <is>
          <t>SEM COTAÇÃO</t>
        </is>
      </c>
      <c r="R4146" s="8" t="n"/>
      <c r="S4146" s="14" t="n"/>
      <c r="T4146" s="7" t="inlineStr"/>
      <c r="U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8" t="n"/>
      <c r="M4147" s="8" t="n"/>
      <c r="N4147" s="8" t="n"/>
      <c r="O4147" s="8" t="n"/>
      <c r="P4147" s="8" t="n"/>
      <c r="Q4147" s="7" t="inlineStr">
        <is>
          <t>SEM COTAÇÃO</t>
        </is>
      </c>
      <c r="R4147" s="8" t="n"/>
      <c r="S4147" s="14" t="n"/>
      <c r="T4147" s="7" t="inlineStr"/>
      <c r="U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8" t="n"/>
      <c r="M4148" s="8" t="n"/>
      <c r="N4148" s="8" t="n"/>
      <c r="O4148" s="8" t="n"/>
      <c r="P4148" s="8" t="n"/>
      <c r="Q4148" s="7" t="inlineStr">
        <is>
          <t>SEM COTAÇÃO</t>
        </is>
      </c>
      <c r="R4148" s="8" t="n"/>
      <c r="S4148" s="14" t="n"/>
      <c r="T4148" s="7" t="inlineStr"/>
      <c r="U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8" t="n"/>
      <c r="M4149" s="8" t="n"/>
      <c r="N4149" s="8" t="n"/>
      <c r="O4149" s="8" t="n"/>
      <c r="P4149" s="8" t="n"/>
      <c r="Q4149" s="7" t="inlineStr">
        <is>
          <t>SEM COTAÇÃO</t>
        </is>
      </c>
      <c r="R4149" s="8" t="n"/>
      <c r="S4149" s="14" t="n"/>
      <c r="T4149" s="7" t="inlineStr"/>
      <c r="U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8" t="n"/>
      <c r="M4150" s="8" t="n"/>
      <c r="N4150" s="8" t="n"/>
      <c r="O4150" s="15" t="n">
        <v>26.73</v>
      </c>
      <c r="P4150" s="8" t="n"/>
      <c r="Q4150" s="7" t="inlineStr">
        <is>
          <t>NAZARIA</t>
        </is>
      </c>
      <c r="R4150" s="8" t="n">
        <v>26.73</v>
      </c>
      <c r="S4150" s="14">
        <f>R4150/H4150-1</f>
        <v/>
      </c>
      <c r="T4150" s="16" t="inlineStr">
        <is>
          <t>ACIMA +5.5%</t>
        </is>
      </c>
      <c r="U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8" t="n"/>
      <c r="M4151" s="8" t="n"/>
      <c r="N4151" s="8" t="n"/>
      <c r="O4151" s="15" t="n">
        <v>15.7</v>
      </c>
      <c r="P4151" s="8" t="n"/>
      <c r="Q4151" s="7" t="inlineStr">
        <is>
          <t>NAZARIA</t>
        </is>
      </c>
      <c r="R4151" s="8" t="n">
        <v>15.7</v>
      </c>
      <c r="S4151" s="14">
        <f>R4151/H4151-1</f>
        <v/>
      </c>
      <c r="T4151" s="16" t="inlineStr">
        <is>
          <t>ACIMA +11.7%</t>
        </is>
      </c>
      <c r="U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8" t="n"/>
      <c r="M4152" s="8" t="n"/>
      <c r="N4152" s="8" t="n"/>
      <c r="O4152" s="8" t="n"/>
      <c r="P4152" s="8" t="n"/>
      <c r="Q4152" s="7" t="inlineStr">
        <is>
          <t>SEM COTAÇÃO</t>
        </is>
      </c>
      <c r="R4152" s="8" t="n"/>
      <c r="S4152" s="14" t="n"/>
      <c r="T4152" s="7" t="inlineStr"/>
      <c r="U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8" t="n"/>
      <c r="M4153" s="8" t="n"/>
      <c r="N4153" s="8" t="n"/>
      <c r="O4153" s="8" t="n"/>
      <c r="P4153" s="8" t="n"/>
      <c r="Q4153" s="7" t="inlineStr">
        <is>
          <t>SEM COTAÇÃO</t>
        </is>
      </c>
      <c r="R4153" s="8" t="n"/>
      <c r="S4153" s="14" t="n"/>
      <c r="T4153" s="7" t="inlineStr"/>
      <c r="U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8" t="n"/>
      <c r="M4154" s="8" t="n"/>
      <c r="N4154" s="8" t="n"/>
      <c r="O4154" s="8" t="n"/>
      <c r="P4154" s="8" t="n"/>
      <c r="Q4154" s="7" t="inlineStr">
        <is>
          <t>SEM COTAÇÃO</t>
        </is>
      </c>
      <c r="R4154" s="8" t="n"/>
      <c r="S4154" s="14" t="n"/>
      <c r="T4154" s="7" t="inlineStr"/>
      <c r="U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8" t="n"/>
      <c r="M4155" s="8" t="n"/>
      <c r="N4155" s="8" t="n"/>
      <c r="O4155" s="8" t="n"/>
      <c r="P4155" s="8" t="n"/>
      <c r="Q4155" s="7" t="inlineStr">
        <is>
          <t>SEM COTAÇÃO</t>
        </is>
      </c>
      <c r="R4155" s="8" t="n"/>
      <c r="S4155" s="14" t="n"/>
      <c r="T4155" s="7" t="inlineStr"/>
      <c r="U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8" t="n"/>
      <c r="M4156" s="8" t="n"/>
      <c r="N4156" s="8" t="n"/>
      <c r="O4156" s="8" t="n"/>
      <c r="P4156" s="8" t="n"/>
      <c r="Q4156" s="7" t="inlineStr">
        <is>
          <t>SEM COTAÇÃO</t>
        </is>
      </c>
      <c r="R4156" s="8" t="n"/>
      <c r="S4156" s="14" t="n"/>
      <c r="T4156" s="7" t="inlineStr"/>
      <c r="U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8" t="n"/>
      <c r="M4157" s="8" t="n"/>
      <c r="N4157" s="8" t="n"/>
      <c r="O4157" s="8" t="n">
        <v>12.71</v>
      </c>
      <c r="P4157" s="8" t="n"/>
      <c r="Q4157" s="7" t="inlineStr">
        <is>
          <t>SEM COTAÇÃO</t>
        </is>
      </c>
      <c r="R4157" s="8" t="n"/>
      <c r="S4157" s="14" t="n"/>
      <c r="T4157" s="7" t="inlineStr"/>
      <c r="U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8" t="n"/>
      <c r="M4158" s="8" t="n"/>
      <c r="N4158" s="8" t="n"/>
      <c r="O4158" s="8" t="n"/>
      <c r="P4158" s="8" t="n"/>
      <c r="Q4158" s="7" t="inlineStr">
        <is>
          <t>SEM COTAÇÃO</t>
        </is>
      </c>
      <c r="R4158" s="8" t="n"/>
      <c r="S4158" s="14" t="n"/>
      <c r="T4158" s="7" t="inlineStr"/>
      <c r="U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8" t="n"/>
      <c r="M4159" s="8" t="n"/>
      <c r="N4159" s="8" t="n"/>
      <c r="O4159" s="8" t="n"/>
      <c r="P4159" s="8" t="n"/>
      <c r="Q4159" s="7" t="inlineStr">
        <is>
          <t>SEM COTAÇÃO</t>
        </is>
      </c>
      <c r="R4159" s="8" t="n"/>
      <c r="S4159" s="14" t="n"/>
      <c r="T4159" s="7" t="inlineStr"/>
      <c r="U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8" t="n"/>
      <c r="M4160" s="8" t="n"/>
      <c r="N4160" s="8" t="n"/>
      <c r="O4160" s="8" t="n"/>
      <c r="P4160" s="8" t="n"/>
      <c r="Q4160" s="7" t="inlineStr">
        <is>
          <t>SEM COTAÇÃO</t>
        </is>
      </c>
      <c r="R4160" s="8" t="n"/>
      <c r="S4160" s="14" t="n"/>
      <c r="T4160" s="7" t="inlineStr"/>
      <c r="U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8" t="n"/>
      <c r="M4161" s="8" t="n"/>
      <c r="N4161" s="8" t="n"/>
      <c r="O4161" s="8" t="n"/>
      <c r="P4161" s="8" t="n"/>
      <c r="Q4161" s="7" t="inlineStr">
        <is>
          <t>SEM COTAÇÃO</t>
        </is>
      </c>
      <c r="R4161" s="8" t="n"/>
      <c r="S4161" s="14" t="n"/>
      <c r="T4161" s="7" t="inlineStr"/>
      <c r="U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8" t="n"/>
      <c r="M4162" s="8" t="n"/>
      <c r="N4162" s="8" t="n"/>
      <c r="O4162" s="8" t="n"/>
      <c r="P4162" s="8" t="n"/>
      <c r="Q4162" s="7" t="inlineStr">
        <is>
          <t>SEM COTAÇÃO</t>
        </is>
      </c>
      <c r="R4162" s="8" t="n"/>
      <c r="S4162" s="14" t="n"/>
      <c r="T4162" s="7" t="inlineStr"/>
      <c r="U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8" t="n"/>
      <c r="M4163" s="8" t="n"/>
      <c r="N4163" s="8" t="n"/>
      <c r="O4163" s="8" t="n"/>
      <c r="P4163" s="8" t="n"/>
      <c r="Q4163" s="7" t="inlineStr">
        <is>
          <t>SEM COTAÇÃO</t>
        </is>
      </c>
      <c r="R4163" s="8" t="n"/>
      <c r="S4163" s="14" t="n"/>
      <c r="T4163" s="7" t="inlineStr"/>
      <c r="U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8" t="n"/>
      <c r="M4164" s="8" t="n"/>
      <c r="N4164" s="8" t="n"/>
      <c r="O4164" s="8" t="n"/>
      <c r="P4164" s="8" t="n"/>
      <c r="Q4164" s="7" t="inlineStr">
        <is>
          <t>SEM COTAÇÃO</t>
        </is>
      </c>
      <c r="R4164" s="8" t="n"/>
      <c r="S4164" s="14" t="n"/>
      <c r="T4164" s="7" t="inlineStr"/>
      <c r="U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8" t="n"/>
      <c r="M4165" s="8" t="n"/>
      <c r="N4165" s="8" t="n"/>
      <c r="O4165" s="8" t="n"/>
      <c r="P4165" s="8" t="n"/>
      <c r="Q4165" s="7" t="inlineStr">
        <is>
          <t>SEM COTAÇÃO</t>
        </is>
      </c>
      <c r="R4165" s="8" t="n"/>
      <c r="S4165" s="14" t="n"/>
      <c r="T4165" s="7" t="inlineStr"/>
      <c r="U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8" t="n"/>
      <c r="M4166" s="8" t="n"/>
      <c r="N4166" s="8" t="n"/>
      <c r="O4166" s="8" t="n"/>
      <c r="P4166" s="8" t="n"/>
      <c r="Q4166" s="7" t="inlineStr">
        <is>
          <t>SEM COTAÇÃO</t>
        </is>
      </c>
      <c r="R4166" s="8" t="n"/>
      <c r="S4166" s="14" t="n"/>
      <c r="T4166" s="7" t="inlineStr"/>
      <c r="U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8" t="n"/>
      <c r="M4167" s="8" t="n"/>
      <c r="N4167" s="8" t="n"/>
      <c r="O4167" s="8" t="n"/>
      <c r="P4167" s="8" t="n"/>
      <c r="Q4167" s="7" t="inlineStr">
        <is>
          <t>SEM COTAÇÃO</t>
        </is>
      </c>
      <c r="R4167" s="8" t="n"/>
      <c r="S4167" s="14" t="n"/>
      <c r="T4167" s="7" t="inlineStr"/>
      <c r="U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8" t="n"/>
      <c r="M4168" s="8" t="n"/>
      <c r="N4168" s="8" t="n"/>
      <c r="O4168" s="15" t="n">
        <v>13.59</v>
      </c>
      <c r="P4168" s="8" t="n"/>
      <c r="Q4168" s="7" t="inlineStr">
        <is>
          <t>NAZARIA</t>
        </is>
      </c>
      <c r="R4168" s="8" t="n">
        <v>13.59</v>
      </c>
      <c r="S4168" s="14">
        <f>R4168/H4168-1</f>
        <v/>
      </c>
      <c r="T4168" s="16" t="inlineStr">
        <is>
          <t>ACIMA +17.7%</t>
        </is>
      </c>
      <c r="U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8" t="n"/>
      <c r="M4169" s="8" t="n"/>
      <c r="N4169" s="8" t="n"/>
      <c r="O4169" s="15" t="n">
        <v>21.41</v>
      </c>
      <c r="P4169" s="8" t="n"/>
      <c r="Q4169" s="7" t="inlineStr">
        <is>
          <t>NAZARIA</t>
        </is>
      </c>
      <c r="R4169" s="8" t="n">
        <v>21.41</v>
      </c>
      <c r="S4169" s="14">
        <f>R4169/H4169-1</f>
        <v/>
      </c>
      <c r="T4169" s="16" t="inlineStr">
        <is>
          <t>ACIMA +26.1%</t>
        </is>
      </c>
      <c r="U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8" t="n"/>
      <c r="M4170" s="8" t="n"/>
      <c r="N4170" s="8" t="n"/>
      <c r="O4170" s="15" t="n">
        <v>21.41</v>
      </c>
      <c r="P4170" s="8" t="n"/>
      <c r="Q4170" s="7" t="inlineStr">
        <is>
          <t>NAZARIA</t>
        </is>
      </c>
      <c r="R4170" s="8" t="n">
        <v>21.41</v>
      </c>
      <c r="S4170" s="14">
        <f>R4170/H4170-1</f>
        <v/>
      </c>
      <c r="T4170" s="16" t="inlineStr">
        <is>
          <t>ACIMA +26.2%</t>
        </is>
      </c>
      <c r="U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8" t="n"/>
      <c r="M4171" s="8" t="n"/>
      <c r="N4171" s="8" t="n"/>
      <c r="O4171" s="15" t="n">
        <v>15.4</v>
      </c>
      <c r="P4171" s="8" t="n"/>
      <c r="Q4171" s="7" t="inlineStr">
        <is>
          <t>NAZARIA</t>
        </is>
      </c>
      <c r="R4171" s="8" t="n">
        <v>15.4</v>
      </c>
      <c r="S4171" s="14">
        <f>R4171/H4171-1</f>
        <v/>
      </c>
      <c r="T4171" s="16" t="inlineStr">
        <is>
          <t>ACIMA +26.0%</t>
        </is>
      </c>
      <c r="U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8" t="n"/>
      <c r="M4172" s="8" t="n"/>
      <c r="N4172" s="8" t="n"/>
      <c r="O4172" s="15" t="n">
        <v>17.02</v>
      </c>
      <c r="P4172" s="8" t="n"/>
      <c r="Q4172" s="7" t="inlineStr">
        <is>
          <t>NAZARIA</t>
        </is>
      </c>
      <c r="R4172" s="8" t="n">
        <v>17.02</v>
      </c>
      <c r="S4172" s="14">
        <f>R4172/H4172-1</f>
        <v/>
      </c>
      <c r="T4172" s="17" t="inlineStr">
        <is>
          <t>OK (≤ menor hist.)</t>
        </is>
      </c>
      <c r="U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8" t="n"/>
      <c r="M4173" s="8" t="n"/>
      <c r="N4173" s="8" t="n"/>
      <c r="O4173" s="15" t="n">
        <v>17.02</v>
      </c>
      <c r="P4173" s="8" t="n"/>
      <c r="Q4173" s="7" t="inlineStr">
        <is>
          <t>NAZARIA</t>
        </is>
      </c>
      <c r="R4173" s="8" t="n">
        <v>17.02</v>
      </c>
      <c r="S4173" s="14">
        <f>R4173/H4173-1</f>
        <v/>
      </c>
      <c r="T4173" s="16" t="inlineStr">
        <is>
          <t>ACIMA +12.3%</t>
        </is>
      </c>
      <c r="U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8" t="n"/>
      <c r="M4174" s="8" t="n"/>
      <c r="N4174" s="8" t="n"/>
      <c r="O4174" s="15" t="n">
        <v>10.52</v>
      </c>
      <c r="P4174" s="8" t="n"/>
      <c r="Q4174" s="7" t="inlineStr">
        <is>
          <t>NAZARIA</t>
        </is>
      </c>
      <c r="R4174" s="8" t="n">
        <v>10.52</v>
      </c>
      <c r="S4174" s="14">
        <f>R4174/H4174-1</f>
        <v/>
      </c>
      <c r="T4174" s="16" t="inlineStr">
        <is>
          <t>ACIMA +3.7%</t>
        </is>
      </c>
      <c r="U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8" t="n"/>
      <c r="M4175" s="8" t="n"/>
      <c r="N4175" s="8" t="n"/>
      <c r="O4175" s="15" t="n">
        <v>10.52</v>
      </c>
      <c r="P4175" s="8" t="n"/>
      <c r="Q4175" s="7" t="inlineStr">
        <is>
          <t>NAZARIA</t>
        </is>
      </c>
      <c r="R4175" s="8" t="n">
        <v>10.52</v>
      </c>
      <c r="S4175" s="14">
        <f>R4175/H4175-1</f>
        <v/>
      </c>
      <c r="T4175" s="16" t="inlineStr">
        <is>
          <t>ACIMA +13.7%</t>
        </is>
      </c>
      <c r="U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15" t="n">
        <v>25.73</v>
      </c>
      <c r="M4176" s="8" t="n"/>
      <c r="N4176" s="8" t="n"/>
      <c r="O4176" s="8" t="n">
        <v>36.11</v>
      </c>
      <c r="P4176" s="8" t="n"/>
      <c r="Q4176" s="7" t="inlineStr">
        <is>
          <t>EPAN</t>
        </is>
      </c>
      <c r="R4176" s="8" t="n">
        <v>25.73</v>
      </c>
      <c r="S4176" s="14">
        <f>R4176/H4176-1</f>
        <v/>
      </c>
      <c r="T4176" s="17" t="inlineStr">
        <is>
          <t>OK (≤ últ. compra)</t>
        </is>
      </c>
      <c r="U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8" t="n"/>
      <c r="M4177" s="8" t="n"/>
      <c r="N4177" s="8" t="n"/>
      <c r="O4177" s="15" t="n">
        <v>32.05</v>
      </c>
      <c r="P4177" s="8" t="n"/>
      <c r="Q4177" s="7" t="inlineStr">
        <is>
          <t>NAZARIA</t>
        </is>
      </c>
      <c r="R4177" s="8" t="n">
        <v>32.05</v>
      </c>
      <c r="S4177" s="14">
        <f>R4177/H4177-1</f>
        <v/>
      </c>
      <c r="T4177" s="16" t="inlineStr">
        <is>
          <t>ACIMA +34.2%</t>
        </is>
      </c>
      <c r="U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8" t="n"/>
      <c r="M4178" s="8" t="n"/>
      <c r="N4178" s="8" t="n"/>
      <c r="O4178" s="8" t="n">
        <v>14.8</v>
      </c>
      <c r="P4178" s="8" t="n"/>
      <c r="Q4178" s="7" t="inlineStr">
        <is>
          <t>SEM COTAÇÃO</t>
        </is>
      </c>
      <c r="R4178" s="8" t="n"/>
      <c r="S4178" s="14" t="n"/>
      <c r="T4178" s="7" t="inlineStr"/>
      <c r="U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8" t="n"/>
      <c r="M4179" s="8" t="n"/>
      <c r="N4179" s="8" t="n"/>
      <c r="O4179" s="8" t="n"/>
      <c r="P4179" s="8" t="n"/>
      <c r="Q4179" s="7" t="inlineStr">
        <is>
          <t>SEM COTAÇÃO</t>
        </is>
      </c>
      <c r="R4179" s="8" t="n"/>
      <c r="S4179" s="14" t="n"/>
      <c r="T4179" s="7" t="inlineStr"/>
      <c r="U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8" t="n"/>
      <c r="M4180" s="8" t="n"/>
      <c r="N4180" s="8" t="n"/>
      <c r="O4180" s="8" t="n"/>
      <c r="P4180" s="8" t="n"/>
      <c r="Q4180" s="7" t="inlineStr">
        <is>
          <t>SEM COTAÇÃO</t>
        </is>
      </c>
      <c r="R4180" s="8" t="n"/>
      <c r="S4180" s="14" t="n"/>
      <c r="T4180" s="7" t="inlineStr"/>
      <c r="U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8" t="n"/>
      <c r="M4181" s="8" t="n"/>
      <c r="N4181" s="8" t="n"/>
      <c r="O4181" s="15" t="n">
        <v>40.7</v>
      </c>
      <c r="P4181" s="8" t="n"/>
      <c r="Q4181" s="7" t="inlineStr">
        <is>
          <t>NAZARIA</t>
        </is>
      </c>
      <c r="R4181" s="8" t="n">
        <v>40.7</v>
      </c>
      <c r="S4181" s="14">
        <f>R4181/H4181-1</f>
        <v/>
      </c>
      <c r="T4181" s="17" t="inlineStr">
        <is>
          <t>OK (≤ menor hist.)</t>
        </is>
      </c>
      <c r="U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8" t="n"/>
      <c r="M4182" s="8" t="n"/>
      <c r="N4182" s="8" t="n"/>
      <c r="O4182" s="15" t="n">
        <v>40.7</v>
      </c>
      <c r="P4182" s="8" t="n"/>
      <c r="Q4182" s="7" t="inlineStr">
        <is>
          <t>NAZARIA</t>
        </is>
      </c>
      <c r="R4182" s="8" t="n">
        <v>40.7</v>
      </c>
      <c r="S4182" s="14">
        <f>R4182/H4182-1</f>
        <v/>
      </c>
      <c r="T4182" s="16" t="inlineStr">
        <is>
          <t>ACIMA +6.2%</t>
        </is>
      </c>
      <c r="U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15" t="n">
        <v>27.52</v>
      </c>
      <c r="M4183" s="8" t="n"/>
      <c r="N4183" s="8" t="n"/>
      <c r="O4183" s="8" t="n">
        <v>29.33775</v>
      </c>
      <c r="P4183" s="8" t="n"/>
      <c r="Q4183" s="7" t="inlineStr">
        <is>
          <t>EPAN</t>
        </is>
      </c>
      <c r="R4183" s="8" t="n">
        <v>27.52</v>
      </c>
      <c r="S4183" s="14">
        <f>R4183/H4183-1</f>
        <v/>
      </c>
      <c r="T4183" s="17" t="inlineStr">
        <is>
          <t>OK (≤ últ. compra)</t>
        </is>
      </c>
      <c r="U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15" t="n">
        <v>18.34</v>
      </c>
      <c r="M4184" s="8" t="n"/>
      <c r="N4184" s="8" t="n"/>
      <c r="O4184" s="8" t="n">
        <v>18.729</v>
      </c>
      <c r="P4184" s="8" t="n"/>
      <c r="Q4184" s="7" t="inlineStr">
        <is>
          <t>EPAN</t>
        </is>
      </c>
      <c r="R4184" s="8" t="n">
        <v>18.34</v>
      </c>
      <c r="S4184" s="14">
        <f>R4184/H4184-1</f>
        <v/>
      </c>
      <c r="T4184" s="17" t="inlineStr">
        <is>
          <t>OK (≤ últ. compra)</t>
        </is>
      </c>
      <c r="U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8" t="n"/>
      <c r="M4185" s="8" t="n"/>
      <c r="N4185" s="8" t="n"/>
      <c r="O4185" s="8" t="n"/>
      <c r="P4185" s="8" t="n"/>
      <c r="Q4185" s="7" t="inlineStr">
        <is>
          <t>SEM COTAÇÃO</t>
        </is>
      </c>
      <c r="R4185" s="8" t="n"/>
      <c r="S4185" s="14" t="n"/>
      <c r="T4185" s="7" t="inlineStr"/>
      <c r="U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8" t="n">
        <v>90.18000000000001</v>
      </c>
      <c r="M4186" s="8" t="n"/>
      <c r="N4186" s="8" t="n"/>
      <c r="O4186" s="15" t="n">
        <v>89.982</v>
      </c>
      <c r="P4186" s="8" t="n"/>
      <c r="Q4186" s="7" t="inlineStr">
        <is>
          <t>NAZARIA</t>
        </is>
      </c>
      <c r="R4186" s="8" t="n">
        <v>89.982</v>
      </c>
      <c r="S4186" s="14">
        <f>R4186/H4186-1</f>
        <v/>
      </c>
      <c r="T4186" s="17" t="inlineStr">
        <is>
          <t>OK (≤ últ. compra)</t>
        </is>
      </c>
      <c r="U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8" t="n">
        <v>137.87</v>
      </c>
      <c r="M4187" s="8" t="n"/>
      <c r="N4187" s="8" t="n"/>
      <c r="O4187" s="15" t="n">
        <v>137.556</v>
      </c>
      <c r="P4187" s="8" t="n"/>
      <c r="Q4187" s="7" t="inlineStr">
        <is>
          <t>NAZARIA</t>
        </is>
      </c>
      <c r="R4187" s="8" t="n">
        <v>137.556</v>
      </c>
      <c r="S4187" s="14">
        <f>R4187/H4187-1</f>
        <v/>
      </c>
      <c r="T4187" s="16" t="inlineStr">
        <is>
          <t>ACIMA +7.1%</t>
        </is>
      </c>
      <c r="U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7.98</v>
      </c>
      <c r="K4188" s="8" t="n"/>
      <c r="L4188" s="8" t="n"/>
      <c r="M4188" s="8" t="n">
        <v>8.08</v>
      </c>
      <c r="N4188" s="15" t="n">
        <v>7.91</v>
      </c>
      <c r="O4188" s="8" t="n"/>
      <c r="P4188" s="8" t="n">
        <v>8.52</v>
      </c>
      <c r="Q4188" s="7" t="inlineStr">
        <is>
          <t>TAPAJOS</t>
        </is>
      </c>
      <c r="R4188" s="8" t="n">
        <v>7.91</v>
      </c>
      <c r="S4188" s="14">
        <f>R4188/H4188-1</f>
        <v/>
      </c>
      <c r="T4188" s="16" t="inlineStr">
        <is>
          <t>ACIMA +3.0%</t>
        </is>
      </c>
      <c r="U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8" t="n"/>
      <c r="M4189" s="8" t="n"/>
      <c r="N4189" s="8" t="n"/>
      <c r="O4189" s="15" t="n">
        <v>9.103100000000001</v>
      </c>
      <c r="P4189" s="8" t="n"/>
      <c r="Q4189" s="7" t="inlineStr">
        <is>
          <t>NAZARIA</t>
        </is>
      </c>
      <c r="R4189" s="8" t="n">
        <v>9.103100000000001</v>
      </c>
      <c r="S4189" s="14">
        <f>R4189/H4189-1</f>
        <v/>
      </c>
      <c r="T4189" s="16" t="inlineStr">
        <is>
          <t>ACIMA +181.5%</t>
        </is>
      </c>
      <c r="U4189" s="7" t="inlineStr">
        <is>
          <t>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8" t="n"/>
      <c r="M4190" s="8" t="n"/>
      <c r="N4190" s="8" t="n"/>
      <c r="O4190" s="15" t="n">
        <v>6.177599999999999</v>
      </c>
      <c r="P4190" s="8" t="n"/>
      <c r="Q4190" s="7" t="inlineStr">
        <is>
          <t>NAZARIA</t>
        </is>
      </c>
      <c r="R4190" s="8" t="n">
        <v>6.177599999999999</v>
      </c>
      <c r="S4190" s="14">
        <f>R4190/H4190-1</f>
        <v/>
      </c>
      <c r="T4190" s="16" t="inlineStr">
        <is>
          <t>ACIMA +106.0%</t>
        </is>
      </c>
      <c r="U4190" s="7" t="inlineStr">
        <is>
          <t>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8" t="n"/>
      <c r="M4191" s="8" t="n"/>
      <c r="N4191" s="8" t="n"/>
      <c r="O4191" s="15" t="n">
        <v>7.3834</v>
      </c>
      <c r="P4191" s="8" t="n"/>
      <c r="Q4191" s="7" t="inlineStr">
        <is>
          <t>NAZARIA</t>
        </is>
      </c>
      <c r="R4191" s="8" t="n">
        <v>7.3834</v>
      </c>
      <c r="S4191" s="14">
        <f>R4191/H4191-1</f>
        <v/>
      </c>
      <c r="T4191" s="16" t="inlineStr">
        <is>
          <t>ACIMA +186.4%</t>
        </is>
      </c>
      <c r="U4191" s="7" t="inlineStr">
        <is>
          <t>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8" t="n"/>
      <c r="M4192" s="8" t="n">
        <v>3.15</v>
      </c>
      <c r="N4192" s="8" t="n">
        <v>3.07</v>
      </c>
      <c r="O4192" s="8" t="n"/>
      <c r="P4192" s="8" t="n"/>
      <c r="Q4192" s="7" t="inlineStr">
        <is>
          <t>DIMEC</t>
        </is>
      </c>
      <c r="R4192" s="8" t="n">
        <v>2.97</v>
      </c>
      <c r="S4192" s="14">
        <f>R4192/H4192-1</f>
        <v/>
      </c>
      <c r="T4192" s="17" t="inlineStr">
        <is>
          <t>OK (≤ menor hist.)</t>
        </is>
      </c>
      <c r="U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8" t="n"/>
      <c r="M4193" s="8" t="n"/>
      <c r="N4193" s="8" t="n"/>
      <c r="O4193" s="15" t="n">
        <v>14.12</v>
      </c>
      <c r="P4193" s="8" t="n"/>
      <c r="Q4193" s="7" t="inlineStr">
        <is>
          <t>NAZARIA</t>
        </is>
      </c>
      <c r="R4193" s="8" t="n">
        <v>14.12</v>
      </c>
      <c r="S4193" s="14">
        <f>R4193/H4193-1</f>
        <v/>
      </c>
      <c r="T4193" s="16" t="inlineStr">
        <is>
          <t>ACIMA +508.6%</t>
        </is>
      </c>
      <c r="U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8" t="n"/>
      <c r="M4194" s="15" t="n">
        <v>1.57</v>
      </c>
      <c r="N4194" s="8" t="n"/>
      <c r="O4194" s="8" t="n"/>
      <c r="P4194" s="8" t="n"/>
      <c r="Q4194" s="7" t="inlineStr">
        <is>
          <t>CENTROFARMA</t>
        </is>
      </c>
      <c r="R4194" s="8" t="n">
        <v>1.57</v>
      </c>
      <c r="S4194" s="14">
        <f>R4194/H4194-1</f>
        <v/>
      </c>
      <c r="T4194" s="17" t="inlineStr">
        <is>
          <t>OK (≤ menor hist.)</t>
        </is>
      </c>
      <c r="U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8" t="n"/>
      <c r="M4195" s="15" t="n">
        <v>2.31</v>
      </c>
      <c r="N4195" s="8" t="n"/>
      <c r="O4195" s="8" t="n"/>
      <c r="P4195" s="8" t="n"/>
      <c r="Q4195" s="7" t="inlineStr">
        <is>
          <t>CENTROFARMA</t>
        </is>
      </c>
      <c r="R4195" s="8" t="n">
        <v>2.31</v>
      </c>
      <c r="S4195" s="14">
        <f>R4195/H4195-1</f>
        <v/>
      </c>
      <c r="T4195" s="16" t="inlineStr">
        <is>
          <t>ACIMA +1.3%</t>
        </is>
      </c>
      <c r="U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8" t="n"/>
      <c r="M4196" s="8" t="n"/>
      <c r="N4196" s="8" t="n"/>
      <c r="O4196" s="15" t="n">
        <v>10.41</v>
      </c>
      <c r="P4196" s="8" t="n"/>
      <c r="Q4196" s="7" t="inlineStr">
        <is>
          <t>NAZARIA</t>
        </is>
      </c>
      <c r="R4196" s="8" t="n">
        <v>10.41</v>
      </c>
      <c r="S4196" s="14">
        <f>R4196/H4196-1</f>
        <v/>
      </c>
      <c r="T4196" s="16" t="inlineStr">
        <is>
          <t>ACIMA +398.1%</t>
        </is>
      </c>
      <c r="U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8" t="n"/>
      <c r="M4197" s="8" t="n"/>
      <c r="N4197" s="15" t="n">
        <v>59.77</v>
      </c>
      <c r="O4197" s="8" t="n">
        <v>62.3084</v>
      </c>
      <c r="P4197" s="8" t="n"/>
      <c r="Q4197" s="7" t="inlineStr">
        <is>
          <t>TAPAJOS</t>
        </is>
      </c>
      <c r="R4197" s="8" t="n">
        <v>59.77</v>
      </c>
      <c r="S4197" s="14">
        <f>R4197/H4197-1</f>
        <v/>
      </c>
      <c r="T4197" s="17" t="inlineStr">
        <is>
          <t>OK (≤ últ. compra)</t>
        </is>
      </c>
      <c r="U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8" t="n"/>
      <c r="M4198" s="8" t="n"/>
      <c r="N4198" s="8" t="n"/>
      <c r="O4198" s="8" t="n"/>
      <c r="P4198" s="8" t="n"/>
      <c r="Q4198" s="7" t="inlineStr">
        <is>
          <t>SEM COTAÇÃO</t>
        </is>
      </c>
      <c r="R4198" s="8" t="n"/>
      <c r="S4198" s="14" t="n"/>
      <c r="T4198" s="7" t="inlineStr"/>
      <c r="U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15" t="n">
        <v>16.46</v>
      </c>
      <c r="M4199" s="8" t="n"/>
      <c r="N4199" s="8" t="n"/>
      <c r="O4199" s="8" t="n">
        <v>18.2574</v>
      </c>
      <c r="P4199" s="8" t="n"/>
      <c r="Q4199" s="7" t="inlineStr">
        <is>
          <t>EPAN</t>
        </is>
      </c>
      <c r="R4199" s="8" t="n">
        <v>16.46</v>
      </c>
      <c r="S4199" s="14">
        <f>R4199/H4199-1</f>
        <v/>
      </c>
      <c r="T4199" s="16" t="inlineStr">
        <is>
          <t>ACIMA +23.0%</t>
        </is>
      </c>
      <c r="U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8" t="n"/>
      <c r="M4200" s="15" t="n">
        <v>5.46</v>
      </c>
      <c r="N4200" s="8" t="n"/>
      <c r="O4200" s="8" t="n"/>
      <c r="P4200" s="8" t="n"/>
      <c r="Q4200" s="7" t="inlineStr">
        <is>
          <t>CENTROFARMA</t>
        </is>
      </c>
      <c r="R4200" s="8" t="n">
        <v>5.46</v>
      </c>
      <c r="S4200" s="14">
        <f>R4200/H4200-1</f>
        <v/>
      </c>
      <c r="T4200" s="16" t="inlineStr">
        <is>
          <t>ACIMA +7.3%</t>
        </is>
      </c>
      <c r="U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8" t="n"/>
      <c r="M4201" s="8" t="n"/>
      <c r="N4201" s="8" t="n"/>
      <c r="O4201" s="15" t="n">
        <v>12.67</v>
      </c>
      <c r="P4201" s="8" t="n"/>
      <c r="Q4201" s="7" t="inlineStr">
        <is>
          <t>NAZARIA</t>
        </is>
      </c>
      <c r="R4201" s="8" t="n">
        <v>12.67</v>
      </c>
      <c r="S4201" s="14">
        <f>R4201/H4201-1</f>
        <v/>
      </c>
      <c r="T4201" s="16" t="inlineStr">
        <is>
          <t>ACIMA +378.1%</t>
        </is>
      </c>
      <c r="U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8" t="n"/>
      <c r="M4202" s="8" t="n"/>
      <c r="N4202" s="8" t="n"/>
      <c r="O4202" s="15" t="n">
        <v>18.37</v>
      </c>
      <c r="P4202" s="8" t="n"/>
      <c r="Q4202" s="7" t="inlineStr">
        <is>
          <t>NAZARIA</t>
        </is>
      </c>
      <c r="R4202" s="8" t="n">
        <v>18.37</v>
      </c>
      <c r="S4202" s="14">
        <f>R4202/H4202-1</f>
        <v/>
      </c>
      <c r="T4202" s="16" t="inlineStr">
        <is>
          <t>ACIMA +260.9%</t>
        </is>
      </c>
      <c r="U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15" t="n">
        <v>6.13</v>
      </c>
      <c r="K4203" s="8" t="n"/>
      <c r="L4203" s="8" t="n"/>
      <c r="M4203" s="8" t="n">
        <v>6.21</v>
      </c>
      <c r="N4203" s="8" t="n"/>
      <c r="O4203" s="8" t="n"/>
      <c r="P4203" s="8" t="n"/>
      <c r="Q4203" s="7" t="inlineStr">
        <is>
          <t>DIMEC</t>
        </is>
      </c>
      <c r="R4203" s="8" t="n">
        <v>6.13</v>
      </c>
      <c r="S4203" s="14">
        <f>R4203/H4203-1</f>
        <v/>
      </c>
      <c r="T4203" s="16" t="inlineStr">
        <is>
          <t>ACIMA +5.9%</t>
        </is>
      </c>
      <c r="U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8" t="n"/>
      <c r="M4204" s="8" t="n"/>
      <c r="N4204" s="8" t="n"/>
      <c r="O4204" s="8" t="n"/>
      <c r="P4204" s="8" t="n"/>
      <c r="Q4204" s="7" t="inlineStr">
        <is>
          <t>SEM COTAÇÃO</t>
        </is>
      </c>
      <c r="R4204" s="8" t="n"/>
      <c r="S4204" s="14" t="n"/>
      <c r="T4204" s="7" t="inlineStr"/>
      <c r="U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8" t="n"/>
      <c r="M4205" s="8" t="n"/>
      <c r="N4205" s="8" t="n">
        <v>226.51</v>
      </c>
      <c r="O4205" s="15" t="n">
        <v>219.2827</v>
      </c>
      <c r="P4205" s="8" t="n"/>
      <c r="Q4205" s="7" t="inlineStr">
        <is>
          <t>NAZARIA</t>
        </is>
      </c>
      <c r="R4205" s="8" t="n">
        <v>219.2827</v>
      </c>
      <c r="S4205" s="14">
        <f>R4205/H4205-1</f>
        <v/>
      </c>
      <c r="T4205" s="17" t="inlineStr">
        <is>
          <t>OK (≤ últ. compra)</t>
        </is>
      </c>
      <c r="U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8" t="n"/>
      <c r="M4206" s="8" t="n"/>
      <c r="N4206" s="8" t="n">
        <v>95.08</v>
      </c>
      <c r="O4206" s="15" t="n">
        <v>92.04650000000001</v>
      </c>
      <c r="P4206" s="8" t="n"/>
      <c r="Q4206" s="7" t="inlineStr">
        <is>
          <t>NAZARIA</t>
        </is>
      </c>
      <c r="R4206" s="8" t="n">
        <v>92.04650000000001</v>
      </c>
      <c r="S4206" s="14">
        <f>R4206/H4206-1</f>
        <v/>
      </c>
      <c r="T4206" s="17" t="inlineStr">
        <is>
          <t>OK (≤ últ. compra)</t>
        </is>
      </c>
      <c r="U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8" t="n"/>
      <c r="M4207" s="8" t="n"/>
      <c r="N4207" s="8" t="n"/>
      <c r="O4207" s="8" t="n"/>
      <c r="P4207" s="8" t="n"/>
      <c r="Q4207" s="7" t="inlineStr">
        <is>
          <t>SEM COTAÇÃO</t>
        </is>
      </c>
      <c r="R4207" s="8" t="n"/>
      <c r="S4207" s="14" t="n"/>
      <c r="T4207" s="7" t="inlineStr"/>
      <c r="U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8" t="n"/>
      <c r="M4208" s="8" t="n"/>
      <c r="N4208" s="8" t="n"/>
      <c r="O4208" s="8" t="n"/>
      <c r="P4208" s="8" t="n"/>
      <c r="Q4208" s="7" t="inlineStr">
        <is>
          <t>SEM COTAÇÃO</t>
        </is>
      </c>
      <c r="R4208" s="8" t="n"/>
      <c r="S4208" s="14" t="n"/>
      <c r="T4208" s="7" t="inlineStr"/>
      <c r="U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8" t="n"/>
      <c r="M4209" s="8" t="n"/>
      <c r="N4209" s="8" t="n"/>
      <c r="O4209" s="8" t="n"/>
      <c r="P4209" s="8" t="n"/>
      <c r="Q4209" s="7" t="inlineStr">
        <is>
          <t>SEM COTAÇÃO</t>
        </is>
      </c>
      <c r="R4209" s="8" t="n"/>
      <c r="S4209" s="14" t="n"/>
      <c r="T4209" s="7" t="inlineStr"/>
      <c r="U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8" t="n"/>
      <c r="M4210" s="8" t="n"/>
      <c r="N4210" s="8" t="n"/>
      <c r="O4210" s="8" t="n"/>
      <c r="P4210" s="8" t="n"/>
      <c r="Q4210" s="7" t="inlineStr">
        <is>
          <t>SEM COTAÇÃO</t>
        </is>
      </c>
      <c r="R4210" s="8" t="n"/>
      <c r="S4210" s="14" t="n"/>
      <c r="T4210" s="7" t="inlineStr"/>
      <c r="U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8" t="n"/>
      <c r="M4211" s="8" t="n"/>
      <c r="N4211" s="8" t="n"/>
      <c r="O4211" s="15" t="n">
        <v>44.1</v>
      </c>
      <c r="P4211" s="8" t="n"/>
      <c r="Q4211" s="7" t="inlineStr">
        <is>
          <t>NAZARIA</t>
        </is>
      </c>
      <c r="R4211" s="8" t="n">
        <v>44.1</v>
      </c>
      <c r="S4211" s="14">
        <f>R4211/H4211-1</f>
        <v/>
      </c>
      <c r="T4211" s="16" t="inlineStr">
        <is>
          <t>ACIMA +26.8%</t>
        </is>
      </c>
      <c r="U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8" t="n"/>
      <c r="M4212" s="8" t="n"/>
      <c r="N4212" s="8" t="n"/>
      <c r="O4212" s="8" t="n"/>
      <c r="P4212" s="8" t="n"/>
      <c r="Q4212" s="7" t="inlineStr">
        <is>
          <t>SEM COTAÇÃO</t>
        </is>
      </c>
      <c r="R4212" s="8" t="n"/>
      <c r="S4212" s="14" t="n"/>
      <c r="T4212" s="7" t="inlineStr"/>
      <c r="U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8" t="n"/>
      <c r="M4213" s="8" t="n"/>
      <c r="N4213" s="8" t="n"/>
      <c r="O4213" s="8" t="n"/>
      <c r="P4213" s="8" t="n"/>
      <c r="Q4213" s="7" t="inlineStr">
        <is>
          <t>DIMEC</t>
        </is>
      </c>
      <c r="R4213" s="8" t="n">
        <v>3.585</v>
      </c>
      <c r="S4213" s="14">
        <f>R4213/H4213-1</f>
        <v/>
      </c>
      <c r="T4213" s="16" t="inlineStr">
        <is>
          <t>ACIMA +16.0%</t>
        </is>
      </c>
      <c r="U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8" t="n"/>
      <c r="M4214" s="8" t="n"/>
      <c r="N4214" s="8" t="n"/>
      <c r="O4214" s="8" t="n"/>
      <c r="P4214" s="8" t="n"/>
      <c r="Q4214" s="7" t="inlineStr">
        <is>
          <t>SEM COTAÇÃO</t>
        </is>
      </c>
      <c r="R4214" s="8" t="n"/>
      <c r="S4214" s="14" t="n"/>
      <c r="T4214" s="7" t="inlineStr"/>
      <c r="U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2.72</v>
      </c>
      <c r="K4215" s="8" t="n"/>
      <c r="L4215" s="8" t="n"/>
      <c r="M4215" s="8" t="n">
        <v>2.7</v>
      </c>
      <c r="N4215" s="8" t="n"/>
      <c r="O4215" s="15" t="n">
        <v>2.39</v>
      </c>
      <c r="P4215" s="8" t="n"/>
      <c r="Q4215" s="7" t="inlineStr">
        <is>
          <t>NAZARIA</t>
        </is>
      </c>
      <c r="R4215" s="8" t="n">
        <v>2.39</v>
      </c>
      <c r="S4215" s="14">
        <f>R4215/H4215-1</f>
        <v/>
      </c>
      <c r="T4215" s="17" t="inlineStr">
        <is>
          <t>OK (≤ menor hist.)</t>
        </is>
      </c>
      <c r="U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8" t="n"/>
      <c r="M4216" s="8" t="n"/>
      <c r="N4216" s="8" t="n"/>
      <c r="O4216" s="15" t="n">
        <v>24.0045</v>
      </c>
      <c r="P4216" s="8" t="n"/>
      <c r="Q4216" s="7" t="inlineStr">
        <is>
          <t>NAZARIA</t>
        </is>
      </c>
      <c r="R4216" s="8" t="n">
        <v>24.0045</v>
      </c>
      <c r="S4216" s="14">
        <f>R4216/H4216-1</f>
        <v/>
      </c>
      <c r="T4216" s="16" t="inlineStr">
        <is>
          <t>ACIMA +4.8%</t>
        </is>
      </c>
      <c r="U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8" t="n"/>
      <c r="M4217" s="8" t="n"/>
      <c r="N4217" s="8" t="n"/>
      <c r="O4217" s="15" t="n">
        <v>41.5912</v>
      </c>
      <c r="P4217" s="8" t="n"/>
      <c r="Q4217" s="7" t="inlineStr">
        <is>
          <t>NAZARIA</t>
        </is>
      </c>
      <c r="R4217" s="8" t="n">
        <v>41.5912</v>
      </c>
      <c r="S4217" s="14">
        <f>R4217/H4217-1</f>
        <v/>
      </c>
      <c r="T4217" s="16" t="inlineStr">
        <is>
          <t>ACIMA +1.4%</t>
        </is>
      </c>
      <c r="U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8" t="n"/>
      <c r="M4218" s="8" t="n"/>
      <c r="N4218" s="8" t="n"/>
      <c r="O4218" s="8" t="n"/>
      <c r="P4218" s="8" t="n"/>
      <c r="Q4218" s="7" t="inlineStr">
        <is>
          <t>SEM COTAÇÃO</t>
        </is>
      </c>
      <c r="R4218" s="8" t="n"/>
      <c r="S4218" s="14" t="n"/>
      <c r="T4218" s="7" t="inlineStr"/>
      <c r="U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8" t="n"/>
      <c r="M4219" s="8" t="n">
        <v>7.06</v>
      </c>
      <c r="N4219" s="8" t="n"/>
      <c r="O4219" s="8" t="n">
        <v>7.94</v>
      </c>
      <c r="P4219" s="8" t="n"/>
      <c r="Q4219" s="7" t="inlineStr">
        <is>
          <t>DIMEC</t>
        </is>
      </c>
      <c r="R4219" s="8" t="n">
        <v>6.67</v>
      </c>
      <c r="S4219" s="14">
        <f>R4219/H4219-1</f>
        <v/>
      </c>
      <c r="T4219" s="16" t="inlineStr">
        <is>
          <t>ACIMA +1.8%</t>
        </is>
      </c>
      <c r="U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8" t="n"/>
      <c r="M4220" s="8" t="n"/>
      <c r="N4220" s="8" t="n"/>
      <c r="O4220" s="8" t="n"/>
      <c r="P4220" s="8" t="n"/>
      <c r="Q4220" s="7" t="inlineStr">
        <is>
          <t>SEM COTAÇÃO</t>
        </is>
      </c>
      <c r="R4220" s="8" t="n"/>
      <c r="S4220" s="14" t="n"/>
      <c r="T4220" s="7" t="inlineStr"/>
      <c r="U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8" t="n"/>
      <c r="M4221" s="8" t="n"/>
      <c r="N4221" s="15" t="n">
        <v>23.57</v>
      </c>
      <c r="O4221" s="8" t="n">
        <v>24.5686</v>
      </c>
      <c r="P4221" s="8" t="n"/>
      <c r="Q4221" s="7" t="inlineStr">
        <is>
          <t>TAPAJOS</t>
        </is>
      </c>
      <c r="R4221" s="8" t="n">
        <v>23.57</v>
      </c>
      <c r="S4221" s="14">
        <f>R4221/H4221-1</f>
        <v/>
      </c>
      <c r="T4221" s="17" t="inlineStr">
        <is>
          <t>OK (≤ menor hist.)</t>
        </is>
      </c>
      <c r="U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8" t="n"/>
      <c r="M4222" s="8" t="n"/>
      <c r="N4222" s="8" t="n"/>
      <c r="O4222" s="8" t="n"/>
      <c r="P4222" s="8" t="n"/>
      <c r="Q4222" s="7" t="inlineStr">
        <is>
          <t>PLUSFARMA</t>
        </is>
      </c>
      <c r="R4222" s="8" t="n">
        <v>4.99</v>
      </c>
      <c r="S4222" s="14">
        <f>R4222/H4222-1</f>
        <v/>
      </c>
      <c r="T4222" s="16" t="inlineStr">
        <is>
          <t>ACIMA +28.3%</t>
        </is>
      </c>
      <c r="U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8" t="n"/>
      <c r="M4223" s="8" t="n">
        <v>2.78</v>
      </c>
      <c r="N4223" s="8" t="n"/>
      <c r="O4223" s="8" t="n">
        <v>2.55</v>
      </c>
      <c r="P4223" s="8" t="n"/>
      <c r="Q4223" s="7" t="inlineStr">
        <is>
          <t>DIMEC</t>
        </is>
      </c>
      <c r="R4223" s="8" t="n">
        <v>2.28</v>
      </c>
      <c r="S4223" s="14">
        <f>R4223/H4223-1</f>
        <v/>
      </c>
      <c r="T4223" s="16" t="inlineStr">
        <is>
          <t>ACIMA +0.4%</t>
        </is>
      </c>
      <c r="U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8" t="n"/>
      <c r="M4224" s="8" t="n"/>
      <c r="N4224" s="8" t="n"/>
      <c r="O4224" s="8" t="n"/>
      <c r="P4224" s="8" t="n"/>
      <c r="Q4224" s="7" t="inlineStr">
        <is>
          <t>SEM COTAÇÃO</t>
        </is>
      </c>
      <c r="R4224" s="8" t="n"/>
      <c r="S4224" s="14" t="n"/>
      <c r="T4224" s="7" t="inlineStr"/>
      <c r="U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8" t="n"/>
      <c r="M4225" s="8" t="n"/>
      <c r="N4225" s="8" t="n"/>
      <c r="O4225" s="15" t="n">
        <v>9.74</v>
      </c>
      <c r="P4225" s="8" t="n"/>
      <c r="Q4225" s="7" t="inlineStr">
        <is>
          <t>NAZARIA</t>
        </is>
      </c>
      <c r="R4225" s="8" t="n">
        <v>9.74</v>
      </c>
      <c r="S4225" s="14">
        <f>R4225/H4225-1</f>
        <v/>
      </c>
      <c r="T4225" s="16" t="inlineStr">
        <is>
          <t>ACIMA +48.1%</t>
        </is>
      </c>
      <c r="U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8" t="n"/>
      <c r="M4226" s="8" t="n"/>
      <c r="N4226" s="8" t="n"/>
      <c r="O4226" s="15" t="n">
        <v>9.74</v>
      </c>
      <c r="P4226" s="8" t="n"/>
      <c r="Q4226" s="7" t="inlineStr">
        <is>
          <t>NAZARIA</t>
        </is>
      </c>
      <c r="R4226" s="8" t="n">
        <v>9.74</v>
      </c>
      <c r="S4226" s="14">
        <f>R4226/H4226-1</f>
        <v/>
      </c>
      <c r="T4226" s="16" t="inlineStr">
        <is>
          <t>ACIMA +48.1%</t>
        </is>
      </c>
      <c r="U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8" t="n"/>
      <c r="M4227" s="8" t="n"/>
      <c r="N4227" s="8" t="n"/>
      <c r="O4227" s="15" t="n">
        <v>9.74</v>
      </c>
      <c r="P4227" s="8" t="n"/>
      <c r="Q4227" s="7" t="inlineStr">
        <is>
          <t>NAZARIA</t>
        </is>
      </c>
      <c r="R4227" s="8" t="n">
        <v>9.74</v>
      </c>
      <c r="S4227" s="14">
        <f>R4227/H4227-1</f>
        <v/>
      </c>
      <c r="T4227" s="16" t="inlineStr">
        <is>
          <t>ACIMA +48.1%</t>
        </is>
      </c>
      <c r="U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8" t="n"/>
      <c r="M4228" s="8" t="n"/>
      <c r="N4228" s="8" t="n"/>
      <c r="O4228" s="15" t="n">
        <v>9.74</v>
      </c>
      <c r="P4228" s="8" t="n"/>
      <c r="Q4228" s="7" t="inlineStr">
        <is>
          <t>NAZARIA</t>
        </is>
      </c>
      <c r="R4228" s="8" t="n">
        <v>9.74</v>
      </c>
      <c r="S4228" s="14">
        <f>R4228/H4228-1</f>
        <v/>
      </c>
      <c r="T4228" s="16" t="inlineStr">
        <is>
          <t>ACIMA +48.1%</t>
        </is>
      </c>
      <c r="U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8" t="n"/>
      <c r="M4229" s="8" t="n"/>
      <c r="N4229" s="8" t="n"/>
      <c r="O4229" s="15" t="n">
        <v>9.74</v>
      </c>
      <c r="P4229" s="8" t="n"/>
      <c r="Q4229" s="7" t="inlineStr">
        <is>
          <t>NAZARIA</t>
        </is>
      </c>
      <c r="R4229" s="8" t="n">
        <v>9.74</v>
      </c>
      <c r="S4229" s="14">
        <f>R4229/H4229-1</f>
        <v/>
      </c>
      <c r="T4229" s="16" t="inlineStr">
        <is>
          <t>ACIMA +34.6%</t>
        </is>
      </c>
      <c r="U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8" t="n"/>
      <c r="M4230" s="8" t="n"/>
      <c r="N4230" s="8" t="n"/>
      <c r="O4230" s="15" t="n">
        <v>9.74</v>
      </c>
      <c r="P4230" s="8" t="n"/>
      <c r="Q4230" s="7" t="inlineStr">
        <is>
          <t>NAZARIA</t>
        </is>
      </c>
      <c r="R4230" s="8" t="n">
        <v>9.74</v>
      </c>
      <c r="S4230" s="14">
        <f>R4230/H4230-1</f>
        <v/>
      </c>
      <c r="T4230" s="16" t="inlineStr">
        <is>
          <t>ACIMA +48.1%</t>
        </is>
      </c>
      <c r="U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8" t="n"/>
      <c r="M4231" s="8" t="n"/>
      <c r="N4231" s="8" t="n"/>
      <c r="O4231" s="15" t="n">
        <v>9.74</v>
      </c>
      <c r="P4231" s="8" t="n"/>
      <c r="Q4231" s="7" t="inlineStr">
        <is>
          <t>NAZARIA</t>
        </is>
      </c>
      <c r="R4231" s="8" t="n">
        <v>9.74</v>
      </c>
      <c r="S4231" s="14">
        <f>R4231/H4231-1</f>
        <v/>
      </c>
      <c r="T4231" s="16" t="inlineStr">
        <is>
          <t>ACIMA +48.1%</t>
        </is>
      </c>
      <c r="U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8" t="n"/>
      <c r="M4232" s="8" t="n"/>
      <c r="N4232" s="8" t="n"/>
      <c r="O4232" s="8" t="n"/>
      <c r="P4232" s="8" t="n"/>
      <c r="Q4232" s="7" t="inlineStr">
        <is>
          <t>SEM COTAÇÃO</t>
        </is>
      </c>
      <c r="R4232" s="8" t="n"/>
      <c r="S4232" s="14" t="n"/>
      <c r="T4232" s="7" t="inlineStr"/>
      <c r="U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8" t="n"/>
      <c r="M4233" s="8" t="n"/>
      <c r="N4233" s="8" t="n"/>
      <c r="O4233" s="8" t="n"/>
      <c r="P4233" s="8" t="n"/>
      <c r="Q4233" s="7" t="inlineStr">
        <is>
          <t>SEM COTAÇÃO</t>
        </is>
      </c>
      <c r="R4233" s="8" t="n"/>
      <c r="S4233" s="14" t="n"/>
      <c r="T4233" s="7" t="inlineStr"/>
      <c r="U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8" t="n"/>
      <c r="M4234" s="8" t="n"/>
      <c r="N4234" s="8" t="n"/>
      <c r="O4234" s="8" t="n"/>
      <c r="P4234" s="8" t="n"/>
      <c r="Q4234" s="7" t="inlineStr">
        <is>
          <t>SEM COTAÇÃO</t>
        </is>
      </c>
      <c r="R4234" s="8" t="n"/>
      <c r="S4234" s="14" t="n"/>
      <c r="T4234" s="7" t="inlineStr"/>
      <c r="U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8" t="n"/>
      <c r="M4235" s="8" t="n"/>
      <c r="N4235" s="8" t="n"/>
      <c r="O4235" s="8" t="n"/>
      <c r="P4235" s="8" t="n"/>
      <c r="Q4235" s="7" t="inlineStr">
        <is>
          <t>SEM COTAÇÃO</t>
        </is>
      </c>
      <c r="R4235" s="8" t="n"/>
      <c r="S4235" s="14" t="n"/>
      <c r="T4235" s="7" t="inlineStr"/>
      <c r="U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8" t="n"/>
      <c r="M4236" s="8" t="n"/>
      <c r="N4236" s="8" t="n"/>
      <c r="O4236" s="8" t="n"/>
      <c r="P4236" s="8" t="n"/>
      <c r="Q4236" s="7" t="inlineStr">
        <is>
          <t>SEM COTAÇÃO</t>
        </is>
      </c>
      <c r="R4236" s="8" t="n"/>
      <c r="S4236" s="14" t="n"/>
      <c r="T4236" s="7" t="inlineStr"/>
      <c r="U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8" t="n"/>
      <c r="M4237" s="8" t="n"/>
      <c r="N4237" s="8" t="n"/>
      <c r="O4237" s="8" t="n"/>
      <c r="P4237" s="8" t="n"/>
      <c r="Q4237" s="7" t="inlineStr">
        <is>
          <t>SEM COTAÇÃO</t>
        </is>
      </c>
      <c r="R4237" s="8" t="n"/>
      <c r="S4237" s="14" t="n"/>
      <c r="T4237" s="7" t="inlineStr"/>
      <c r="U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8" t="n"/>
      <c r="M4238" s="8" t="n"/>
      <c r="N4238" s="8" t="n"/>
      <c r="O4238" s="8" t="n"/>
      <c r="P4238" s="8" t="n"/>
      <c r="Q4238" s="7" t="inlineStr">
        <is>
          <t>SEM COTAÇÃO</t>
        </is>
      </c>
      <c r="R4238" s="8" t="n"/>
      <c r="S4238" s="14" t="n"/>
      <c r="T4238" s="7" t="inlineStr"/>
      <c r="U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8" t="n"/>
      <c r="M4239" s="8" t="n"/>
      <c r="N4239" s="8" t="n"/>
      <c r="O4239" s="8" t="n"/>
      <c r="P4239" s="8" t="n"/>
      <c r="Q4239" s="7" t="inlineStr">
        <is>
          <t>SEM COTAÇÃO</t>
        </is>
      </c>
      <c r="R4239" s="8" t="n"/>
      <c r="S4239" s="14" t="n"/>
      <c r="T4239" s="7" t="inlineStr"/>
      <c r="U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8" t="n"/>
      <c r="M4240" s="8" t="n"/>
      <c r="N4240" s="8" t="n"/>
      <c r="O4240" s="8" t="n"/>
      <c r="P4240" s="8" t="n"/>
      <c r="Q4240" s="7" t="inlineStr">
        <is>
          <t>SEM COTAÇÃO</t>
        </is>
      </c>
      <c r="R4240" s="8" t="n"/>
      <c r="S4240" s="14" t="n"/>
      <c r="T4240" s="7" t="inlineStr"/>
      <c r="U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8" t="n"/>
      <c r="M4241" s="8" t="n"/>
      <c r="N4241" s="8" t="n"/>
      <c r="O4241" s="8" t="n"/>
      <c r="P4241" s="8" t="n"/>
      <c r="Q4241" s="7" t="inlineStr">
        <is>
          <t>SEM COTAÇÃO</t>
        </is>
      </c>
      <c r="R4241" s="8" t="n"/>
      <c r="S4241" s="14" t="n"/>
      <c r="T4241" s="7" t="inlineStr"/>
      <c r="U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8" t="n"/>
      <c r="M4242" s="8" t="n"/>
      <c r="N4242" s="8" t="n"/>
      <c r="O4242" s="8" t="n"/>
      <c r="P4242" s="8" t="n"/>
      <c r="Q4242" s="7" t="inlineStr">
        <is>
          <t>SEM COTAÇÃO</t>
        </is>
      </c>
      <c r="R4242" s="8" t="n"/>
      <c r="S4242" s="14" t="n"/>
      <c r="T4242" s="7" t="inlineStr"/>
      <c r="U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15" t="n">
        <v>42.05</v>
      </c>
      <c r="M4243" s="8" t="n"/>
      <c r="N4243" s="8" t="n"/>
      <c r="O4243" s="8" t="n">
        <v>42.59</v>
      </c>
      <c r="P4243" s="8" t="n"/>
      <c r="Q4243" s="7" t="inlineStr">
        <is>
          <t>EPAN</t>
        </is>
      </c>
      <c r="R4243" s="8" t="n">
        <v>42.05</v>
      </c>
      <c r="S4243" s="14">
        <f>R4243/H4243-1</f>
        <v/>
      </c>
      <c r="T4243" s="17" t="inlineStr">
        <is>
          <t>OK (≤ últ. compra)</t>
        </is>
      </c>
      <c r="U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8" t="n"/>
      <c r="M4244" s="8" t="n"/>
      <c r="N4244" s="8" t="n"/>
      <c r="O4244" s="8" t="n"/>
      <c r="P4244" s="8" t="n"/>
      <c r="Q4244" s="7" t="inlineStr">
        <is>
          <t>SEM COTAÇÃO</t>
        </is>
      </c>
      <c r="R4244" s="8" t="n"/>
      <c r="S4244" s="14" t="n"/>
      <c r="T4244" s="7" t="inlineStr"/>
      <c r="U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8" t="n"/>
      <c r="M4245" s="8" t="n"/>
      <c r="N4245" s="8" t="n"/>
      <c r="O4245" s="15" t="n">
        <v>27.38</v>
      </c>
      <c r="P4245" s="8" t="n"/>
      <c r="Q4245" s="7" t="inlineStr">
        <is>
          <t>NAZARIA</t>
        </is>
      </c>
      <c r="R4245" s="8" t="n">
        <v>27.38</v>
      </c>
      <c r="S4245" s="14">
        <f>R4245/H4245-1</f>
        <v/>
      </c>
      <c r="T4245" s="17" t="inlineStr">
        <is>
          <t>OK (≤ menor hist.)</t>
        </is>
      </c>
      <c r="U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8" t="n"/>
      <c r="M4246" s="8" t="n"/>
      <c r="N4246" s="8" t="n"/>
      <c r="O4246" s="8" t="n"/>
      <c r="P4246" s="8" t="n"/>
      <c r="Q4246" s="7" t="inlineStr">
        <is>
          <t>SEM COTAÇÃO</t>
        </is>
      </c>
      <c r="R4246" s="8" t="n"/>
      <c r="S4246" s="14" t="n"/>
      <c r="T4246" s="7" t="inlineStr"/>
      <c r="U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7" t="inlineStr">
        <is>
          <t>SEM COTAÇÃO</t>
        </is>
      </c>
      <c r="R4247" s="8" t="n"/>
      <c r="S4247" s="14" t="n"/>
      <c r="T4247" s="7" t="inlineStr"/>
      <c r="U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8" t="n"/>
      <c r="M4248" s="8" t="n"/>
      <c r="N4248" s="8" t="n"/>
      <c r="O4248" s="8" t="n"/>
      <c r="P4248" s="8" t="n"/>
      <c r="Q4248" s="7" t="inlineStr">
        <is>
          <t>SEM COTAÇÃO</t>
        </is>
      </c>
      <c r="R4248" s="8" t="n"/>
      <c r="S4248" s="14" t="n"/>
      <c r="T4248" s="7" t="inlineStr"/>
      <c r="U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8" t="n"/>
      <c r="M4249" s="8" t="n"/>
      <c r="N4249" s="8" t="n"/>
      <c r="O4249" s="8" t="n"/>
      <c r="P4249" s="8" t="n"/>
      <c r="Q4249" s="7" t="inlineStr">
        <is>
          <t>SEM COTAÇÃO</t>
        </is>
      </c>
      <c r="R4249" s="8" t="n"/>
      <c r="S4249" s="14" t="n"/>
      <c r="T4249" s="7" t="inlineStr"/>
      <c r="U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8" t="n">
        <v>45.8</v>
      </c>
      <c r="M4250" s="8" t="n"/>
      <c r="N4250" s="8" t="n"/>
      <c r="O4250" s="15" t="n">
        <v>46.39</v>
      </c>
      <c r="P4250" s="8" t="n"/>
      <c r="Q4250" s="7" t="inlineStr">
        <is>
          <t>NAZARIA</t>
        </is>
      </c>
      <c r="R4250" s="8" t="n">
        <v>46.39</v>
      </c>
      <c r="S4250" s="14">
        <f>R4250/H4250-1</f>
        <v/>
      </c>
      <c r="T4250" s="17" t="inlineStr">
        <is>
          <t>OK (≤ últ. compra)</t>
        </is>
      </c>
      <c r="U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8" t="n"/>
      <c r="M4251" s="8" t="n"/>
      <c r="N4251" s="8" t="n"/>
      <c r="O4251" s="8" t="n"/>
      <c r="P4251" s="8" t="n"/>
      <c r="Q4251" s="7" t="inlineStr">
        <is>
          <t>SEM COTAÇÃO</t>
        </is>
      </c>
      <c r="R4251" s="8" t="n"/>
      <c r="S4251" s="14" t="n"/>
      <c r="T4251" s="7" t="inlineStr"/>
      <c r="U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8" t="n"/>
      <c r="M4252" s="8" t="n"/>
      <c r="N4252" s="8" t="n"/>
      <c r="O4252" s="8" t="n"/>
      <c r="P4252" s="8" t="n"/>
      <c r="Q4252" s="7" t="inlineStr">
        <is>
          <t>SEM COTAÇÃO</t>
        </is>
      </c>
      <c r="R4252" s="8" t="n"/>
      <c r="S4252" s="14" t="n"/>
      <c r="T4252" s="7" t="inlineStr"/>
      <c r="U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8" t="n"/>
      <c r="M4253" s="8" t="n"/>
      <c r="N4253" s="8" t="n"/>
      <c r="O4253" s="8" t="n"/>
      <c r="P4253" s="8" t="n"/>
      <c r="Q4253" s="7" t="inlineStr">
        <is>
          <t>SEM COTAÇÃO</t>
        </is>
      </c>
      <c r="R4253" s="8" t="n"/>
      <c r="S4253" s="14" t="n"/>
      <c r="T4253" s="7" t="inlineStr"/>
      <c r="U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8" t="n"/>
      <c r="M4254" s="8" t="n"/>
      <c r="N4254" s="8" t="n"/>
      <c r="O4254" s="8" t="n"/>
      <c r="P4254" s="8" t="n"/>
      <c r="Q4254" s="7" t="inlineStr">
        <is>
          <t>SEM COTAÇÃO</t>
        </is>
      </c>
      <c r="R4254" s="8" t="n"/>
      <c r="S4254" s="14" t="n"/>
      <c r="T4254" s="7" t="inlineStr"/>
      <c r="U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8" t="n">
        <v>16.67</v>
      </c>
      <c r="M4255" s="8" t="n"/>
      <c r="N4255" s="8" t="n"/>
      <c r="O4255" s="15" t="n">
        <v>19.91</v>
      </c>
      <c r="P4255" s="8" t="n"/>
      <c r="Q4255" s="7" t="inlineStr">
        <is>
          <t>NAZARIA</t>
        </is>
      </c>
      <c r="R4255" s="8" t="n">
        <v>19.91</v>
      </c>
      <c r="S4255" s="14">
        <f>R4255/H4255-1</f>
        <v/>
      </c>
      <c r="T4255" s="16" t="inlineStr">
        <is>
          <t>ACIMA +22.1%</t>
        </is>
      </c>
      <c r="U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8" t="n"/>
      <c r="M4256" s="8" t="n"/>
      <c r="N4256" s="8" t="n"/>
      <c r="O4256" s="15" t="n">
        <v>35.1994</v>
      </c>
      <c r="P4256" s="8" t="n"/>
      <c r="Q4256" s="7" t="inlineStr">
        <is>
          <t>NAZARIA</t>
        </is>
      </c>
      <c r="R4256" s="8" t="n">
        <v>35.1994</v>
      </c>
      <c r="S4256" s="14">
        <f>R4256/H4256-1</f>
        <v/>
      </c>
      <c r="T4256" s="16" t="inlineStr">
        <is>
          <t>ACIMA +71.5%</t>
        </is>
      </c>
      <c r="U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8" t="n"/>
      <c r="M4257" s="8" t="n"/>
      <c r="N4257" s="8" t="n"/>
      <c r="O4257" s="8" t="n">
        <v>66.59</v>
      </c>
      <c r="P4257" s="8" t="n"/>
      <c r="Q4257" s="7" t="inlineStr">
        <is>
          <t>DIMEC</t>
        </is>
      </c>
      <c r="R4257" s="8" t="n">
        <v>0.01</v>
      </c>
      <c r="S4257" s="14">
        <f>R4257/H4257-1</f>
        <v/>
      </c>
      <c r="T4257" s="17" t="inlineStr">
        <is>
          <t>OK (≤ menor hist.)</t>
        </is>
      </c>
      <c r="U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8" t="n"/>
      <c r="M4258" s="8" t="n"/>
      <c r="N4258" s="8" t="n"/>
      <c r="O4258" s="8" t="n"/>
      <c r="P4258" s="8" t="n"/>
      <c r="Q4258" s="7" t="inlineStr">
        <is>
          <t>SEM COTAÇÃO</t>
        </is>
      </c>
      <c r="R4258" s="8" t="n"/>
      <c r="S4258" s="14" t="n"/>
      <c r="T4258" s="7" t="inlineStr"/>
      <c r="U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8" t="n"/>
      <c r="M4259" s="8" t="n"/>
      <c r="N4259" s="8" t="n"/>
      <c r="O4259" s="8" t="n"/>
      <c r="P4259" s="8" t="n"/>
      <c r="Q4259" s="7" t="inlineStr">
        <is>
          <t>SEM COTAÇÃO</t>
        </is>
      </c>
      <c r="R4259" s="8" t="n"/>
      <c r="S4259" s="14" t="n"/>
      <c r="T4259" s="7" t="inlineStr"/>
      <c r="U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8" t="n"/>
      <c r="M4260" s="8" t="n"/>
      <c r="N4260" s="8" t="n"/>
      <c r="O4260" s="8" t="n"/>
      <c r="P4260" s="8" t="n"/>
      <c r="Q4260" s="7" t="inlineStr">
        <is>
          <t>SEM COTAÇÃO</t>
        </is>
      </c>
      <c r="R4260" s="8" t="n"/>
      <c r="S4260" s="14" t="n"/>
      <c r="T4260" s="7" t="inlineStr"/>
      <c r="U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8" t="n"/>
      <c r="M4261" s="8" t="n"/>
      <c r="N4261" s="8" t="n"/>
      <c r="O4261" s="8" t="n"/>
      <c r="P4261" s="8" t="n"/>
      <c r="Q4261" s="7" t="inlineStr">
        <is>
          <t>SEM COTAÇÃO</t>
        </is>
      </c>
      <c r="R4261" s="8" t="n"/>
      <c r="S4261" s="14" t="n"/>
      <c r="T4261" s="7" t="inlineStr"/>
      <c r="U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8" t="n"/>
      <c r="M4262" s="8" t="n"/>
      <c r="N4262" s="8" t="n"/>
      <c r="O4262" s="8" t="n"/>
      <c r="P4262" s="8" t="n"/>
      <c r="Q4262" s="7" t="inlineStr">
        <is>
          <t>SEM COTAÇÃO</t>
        </is>
      </c>
      <c r="R4262" s="8" t="n"/>
      <c r="S4262" s="14" t="n"/>
      <c r="T4262" s="7" t="inlineStr"/>
      <c r="U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8" t="n"/>
      <c r="M4263" s="8" t="n"/>
      <c r="N4263" s="8" t="n"/>
      <c r="O4263" s="15" t="n">
        <v>14.476</v>
      </c>
      <c r="P4263" s="8" t="n"/>
      <c r="Q4263" s="7" t="inlineStr">
        <is>
          <t>NAZARIA</t>
        </is>
      </c>
      <c r="R4263" s="8" t="n">
        <v>14.476</v>
      </c>
      <c r="S4263" s="14">
        <f>R4263/H4263-1</f>
        <v/>
      </c>
      <c r="T4263" s="16" t="inlineStr">
        <is>
          <t>ACIMA +82.6%</t>
        </is>
      </c>
      <c r="U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8" t="n"/>
      <c r="M4264" s="8" t="n"/>
      <c r="N4264" s="8" t="n"/>
      <c r="O4264" s="8" t="n"/>
      <c r="P4264" s="8" t="n"/>
      <c r="Q4264" s="7" t="inlineStr">
        <is>
          <t>DIMEC</t>
        </is>
      </c>
      <c r="R4264" s="8" t="n">
        <v>4.04</v>
      </c>
      <c r="S4264" s="14">
        <f>R4264/H4264-1</f>
        <v/>
      </c>
      <c r="T4264" s="17" t="inlineStr">
        <is>
          <t>OK (≤ menor hist.)</t>
        </is>
      </c>
      <c r="U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8" t="n"/>
      <c r="M4265" s="8" t="n"/>
      <c r="N4265" s="8" t="n"/>
      <c r="O4265" s="8" t="n"/>
      <c r="P4265" s="8" t="n"/>
      <c r="Q4265" s="7" t="inlineStr">
        <is>
          <t>DIMEC</t>
        </is>
      </c>
      <c r="R4265" s="8" t="n">
        <v>2.69</v>
      </c>
      <c r="S4265" s="14">
        <f>R4265/H4265-1</f>
        <v/>
      </c>
      <c r="T4265" s="17" t="inlineStr">
        <is>
          <t>OK (≤ menor hist.)</t>
        </is>
      </c>
      <c r="U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8" t="n"/>
      <c r="M4266" s="8" t="n"/>
      <c r="N4266" s="8" t="n"/>
      <c r="O4266" s="8" t="n"/>
      <c r="P4266" s="8" t="n"/>
      <c r="Q4266" s="7" t="inlineStr">
        <is>
          <t>DIMEC</t>
        </is>
      </c>
      <c r="R4266" s="8" t="n">
        <v>4.37</v>
      </c>
      <c r="S4266" s="14">
        <f>R4266/H4266-1</f>
        <v/>
      </c>
      <c r="T4266" s="17" t="inlineStr">
        <is>
          <t>OK (≤ menor hist.)</t>
        </is>
      </c>
      <c r="U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8" t="n"/>
      <c r="M4267" s="8" t="n"/>
      <c r="N4267" s="8" t="n"/>
      <c r="O4267" s="8" t="n"/>
      <c r="P4267" s="8" t="n"/>
      <c r="Q4267" s="7" t="inlineStr">
        <is>
          <t>SEM COTAÇÃO</t>
        </is>
      </c>
      <c r="R4267" s="8" t="n"/>
      <c r="S4267" s="14" t="n"/>
      <c r="T4267" s="7" t="inlineStr"/>
      <c r="U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8" t="n"/>
      <c r="M4268" s="8" t="n">
        <v>3.34</v>
      </c>
      <c r="N4268" s="8" t="n"/>
      <c r="O4268" s="8" t="n"/>
      <c r="P4268" s="8" t="n">
        <v>3.52</v>
      </c>
      <c r="Q4268" s="7" t="inlineStr">
        <is>
          <t>DIMEC</t>
        </is>
      </c>
      <c r="R4268" s="8" t="n">
        <v>3.29</v>
      </c>
      <c r="S4268" s="14">
        <f>R4268/H4268-1</f>
        <v/>
      </c>
      <c r="T4268" s="16" t="inlineStr">
        <is>
          <t>ACIMA +3.8%</t>
        </is>
      </c>
      <c r="U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8" t="n">
        <v>28.8</v>
      </c>
      <c r="M4269" s="8" t="n"/>
      <c r="N4269" s="8" t="n"/>
      <c r="O4269" s="15" t="n">
        <v>28.2843</v>
      </c>
      <c r="P4269" s="8" t="n"/>
      <c r="Q4269" s="7" t="inlineStr">
        <is>
          <t>NAZARIA</t>
        </is>
      </c>
      <c r="R4269" s="8" t="n">
        <v>28.2843</v>
      </c>
      <c r="S4269" s="14">
        <f>R4269/H4269-1</f>
        <v/>
      </c>
      <c r="T4269" s="17" t="inlineStr">
        <is>
          <t>OK (≤ últ. compra)</t>
        </is>
      </c>
      <c r="U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8" t="n"/>
      <c r="M4270" s="8" t="n"/>
      <c r="N4270" s="8" t="n"/>
      <c r="O4270" s="15" t="n">
        <v>34.7787</v>
      </c>
      <c r="P4270" s="8" t="n"/>
      <c r="Q4270" s="7" t="inlineStr">
        <is>
          <t>NAZARIA</t>
        </is>
      </c>
      <c r="R4270" s="8" t="n">
        <v>34.7787</v>
      </c>
      <c r="S4270" s="14">
        <f>R4270/H4270-1</f>
        <v/>
      </c>
      <c r="T4270" s="17" t="inlineStr">
        <is>
          <t>OK (≤ últ. compra)</t>
        </is>
      </c>
      <c r="U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8" t="n"/>
      <c r="M4271" s="8" t="n"/>
      <c r="N4271" s="8" t="n"/>
      <c r="O4271" s="8" t="n"/>
      <c r="P4271" s="8" t="n"/>
      <c r="Q4271" s="7" t="inlineStr">
        <is>
          <t>SEM COTAÇÃO</t>
        </is>
      </c>
      <c r="R4271" s="8" t="n"/>
      <c r="S4271" s="14" t="n"/>
      <c r="T4271" s="7" t="inlineStr"/>
      <c r="U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8" t="n"/>
      <c r="M4272" s="8" t="n"/>
      <c r="N4272" s="8" t="n"/>
      <c r="O4272" s="8" t="n"/>
      <c r="P4272" s="8" t="n"/>
      <c r="Q4272" s="7" t="inlineStr">
        <is>
          <t>SEM COTAÇÃO</t>
        </is>
      </c>
      <c r="R4272" s="8" t="n"/>
      <c r="S4272" s="14" t="n"/>
      <c r="T4272" s="7" t="inlineStr"/>
      <c r="U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8" t="n"/>
      <c r="M4273" s="8" t="n"/>
      <c r="N4273" s="8" t="n"/>
      <c r="O4273" s="15" t="n">
        <v>16.8854</v>
      </c>
      <c r="P4273" s="8" t="n"/>
      <c r="Q4273" s="7" t="inlineStr">
        <is>
          <t>NAZARIA</t>
        </is>
      </c>
      <c r="R4273" s="8" t="n">
        <v>16.8854</v>
      </c>
      <c r="S4273" s="14">
        <f>R4273/H4273-1</f>
        <v/>
      </c>
      <c r="T4273" s="16" t="inlineStr">
        <is>
          <t>ACIMA +33.4%</t>
        </is>
      </c>
      <c r="U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8" t="n"/>
      <c r="M4274" s="8" t="n"/>
      <c r="N4274" s="8" t="n"/>
      <c r="O4274" s="8" t="n"/>
      <c r="P4274" s="8" t="n"/>
      <c r="Q4274" s="7" t="inlineStr">
        <is>
          <t>SEM COTAÇÃO</t>
        </is>
      </c>
      <c r="R4274" s="8" t="n"/>
      <c r="S4274" s="14" t="n"/>
      <c r="T4274" s="7" t="inlineStr"/>
      <c r="U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8" t="n"/>
      <c r="M4275" s="8" t="n"/>
      <c r="N4275" s="8" t="n"/>
      <c r="O4275" s="8" t="n"/>
      <c r="P4275" s="8" t="n"/>
      <c r="Q4275" s="7" t="inlineStr">
        <is>
          <t>SEM COTAÇÃO</t>
        </is>
      </c>
      <c r="R4275" s="8" t="n"/>
      <c r="S4275" s="14" t="n"/>
      <c r="T4275" s="7" t="inlineStr"/>
      <c r="U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8" t="n"/>
      <c r="M4276" s="8" t="n"/>
      <c r="N4276" s="8" t="n"/>
      <c r="O4276" s="8" t="n"/>
      <c r="P4276" s="8" t="n"/>
      <c r="Q4276" s="7" t="inlineStr">
        <is>
          <t>SEM COTAÇÃO</t>
        </is>
      </c>
      <c r="R4276" s="8" t="n"/>
      <c r="S4276" s="14" t="n"/>
      <c r="T4276" s="7" t="inlineStr"/>
      <c r="U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8" t="n"/>
      <c r="M4277" s="8" t="n"/>
      <c r="N4277" s="8" t="n"/>
      <c r="O4277" s="8" t="n"/>
      <c r="P4277" s="8" t="n"/>
      <c r="Q4277" s="7" t="inlineStr">
        <is>
          <t>SEM COTAÇÃO</t>
        </is>
      </c>
      <c r="R4277" s="8" t="n"/>
      <c r="S4277" s="14" t="n"/>
      <c r="T4277" s="7" t="inlineStr"/>
      <c r="U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8" t="n"/>
      <c r="M4278" s="8" t="n"/>
      <c r="N4278" s="8" t="n"/>
      <c r="O4278" s="8" t="n"/>
      <c r="P4278" s="8" t="n"/>
      <c r="Q4278" s="7" t="inlineStr">
        <is>
          <t>SEM COTAÇÃO</t>
        </is>
      </c>
      <c r="R4278" s="8" t="n"/>
      <c r="S4278" s="14" t="n"/>
      <c r="T4278" s="7" t="inlineStr"/>
      <c r="U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8" t="n"/>
      <c r="M4279" s="8" t="n"/>
      <c r="N4279" s="8" t="n"/>
      <c r="O4279" s="8" t="n"/>
      <c r="P4279" s="8" t="n"/>
      <c r="Q4279" s="7" t="inlineStr">
        <is>
          <t>SEM COTAÇÃO</t>
        </is>
      </c>
      <c r="R4279" s="8" t="n"/>
      <c r="S4279" s="14" t="n"/>
      <c r="T4279" s="7" t="inlineStr"/>
      <c r="U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8" t="n"/>
      <c r="M4280" s="8" t="n"/>
      <c r="N4280" s="8" t="n"/>
      <c r="O4280" s="8" t="n"/>
      <c r="P4280" s="8" t="n"/>
      <c r="Q4280" s="7" t="inlineStr">
        <is>
          <t>SEM COTAÇÃO</t>
        </is>
      </c>
      <c r="R4280" s="8" t="n"/>
      <c r="S4280" s="14" t="n"/>
      <c r="T4280" s="7" t="inlineStr"/>
      <c r="U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7" t="inlineStr">
        <is>
          <t>SEM COTAÇÃO</t>
        </is>
      </c>
      <c r="R4281" s="8" t="n"/>
      <c r="S4281" s="14" t="n"/>
      <c r="T4281" s="7" t="inlineStr"/>
      <c r="U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8" t="n"/>
      <c r="M4282" s="8" t="n"/>
      <c r="N4282" s="8" t="n"/>
      <c r="O4282" s="8" t="n"/>
      <c r="P4282" s="8" t="n"/>
      <c r="Q4282" s="7" t="inlineStr">
        <is>
          <t>SEM COTAÇÃO</t>
        </is>
      </c>
      <c r="R4282" s="8" t="n"/>
      <c r="S4282" s="14" t="n"/>
      <c r="T4282" s="7" t="inlineStr"/>
      <c r="U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8" t="n"/>
      <c r="M4283" s="8" t="n"/>
      <c r="N4283" s="8" t="n"/>
      <c r="O4283" s="8" t="n"/>
      <c r="P4283" s="8" t="n"/>
      <c r="Q4283" s="7" t="inlineStr">
        <is>
          <t>SEM COTAÇÃO</t>
        </is>
      </c>
      <c r="R4283" s="8" t="n"/>
      <c r="S4283" s="14" t="n"/>
      <c r="T4283" s="7" t="inlineStr"/>
      <c r="U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8" t="n"/>
      <c r="M4284" s="8" t="n"/>
      <c r="N4284" s="8" t="n"/>
      <c r="O4284" s="8" t="n"/>
      <c r="P4284" s="8" t="n"/>
      <c r="Q4284" s="7" t="inlineStr">
        <is>
          <t>SEM COTAÇÃO</t>
        </is>
      </c>
      <c r="R4284" s="8" t="n"/>
      <c r="S4284" s="14" t="n"/>
      <c r="T4284" s="7" t="inlineStr"/>
      <c r="U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8" t="n"/>
      <c r="M4285" s="8" t="n"/>
      <c r="N4285" s="8" t="n"/>
      <c r="O4285" s="8" t="n"/>
      <c r="P4285" s="8" t="n"/>
      <c r="Q4285" s="7" t="inlineStr">
        <is>
          <t>SEM COTAÇÃO</t>
        </is>
      </c>
      <c r="R4285" s="8" t="n"/>
      <c r="S4285" s="14" t="n"/>
      <c r="T4285" s="7" t="inlineStr"/>
      <c r="U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8" t="n"/>
      <c r="M4286" s="8" t="n"/>
      <c r="N4286" s="8" t="n"/>
      <c r="O4286" s="8" t="n"/>
      <c r="P4286" s="8" t="n"/>
      <c r="Q4286" s="7" t="inlineStr">
        <is>
          <t>SEM COTAÇÃO</t>
        </is>
      </c>
      <c r="R4286" s="8" t="n"/>
      <c r="S4286" s="14" t="n"/>
      <c r="T4286" s="7" t="inlineStr"/>
      <c r="U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8" t="n"/>
      <c r="M4287" s="8" t="n"/>
      <c r="N4287" s="8" t="n"/>
      <c r="O4287" s="8" t="n"/>
      <c r="P4287" s="8" t="n"/>
      <c r="Q4287" s="7" t="inlineStr">
        <is>
          <t>SEM COTAÇÃO</t>
        </is>
      </c>
      <c r="R4287" s="8" t="n"/>
      <c r="S4287" s="14" t="n"/>
      <c r="T4287" s="7" t="inlineStr"/>
      <c r="U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8" t="n"/>
      <c r="M4288" s="8" t="n"/>
      <c r="N4288" s="8" t="n"/>
      <c r="O4288" s="8" t="n"/>
      <c r="P4288" s="8" t="n"/>
      <c r="Q4288" s="7" t="inlineStr">
        <is>
          <t>SEM COTAÇÃO</t>
        </is>
      </c>
      <c r="R4288" s="8" t="n"/>
      <c r="S4288" s="14" t="n"/>
      <c r="T4288" s="7" t="inlineStr"/>
      <c r="U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8" t="n"/>
      <c r="M4289" s="8" t="n"/>
      <c r="N4289" s="8" t="n">
        <v>3.84</v>
      </c>
      <c r="O4289" s="8" t="n">
        <v>95.26000000000001</v>
      </c>
      <c r="P4289" s="8" t="n">
        <v>3.98</v>
      </c>
      <c r="Q4289" s="7" t="inlineStr">
        <is>
          <t>PLUSFARMA</t>
        </is>
      </c>
      <c r="R4289" s="8" t="n">
        <v>3.69</v>
      </c>
      <c r="S4289" s="14">
        <f>R4289/H4289-1</f>
        <v/>
      </c>
      <c r="T4289" s="17" t="inlineStr">
        <is>
          <t>OK (≤ menor hist.)</t>
        </is>
      </c>
      <c r="U4289" s="7" t="inlineStr">
        <is>
          <t>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8" t="n"/>
      <c r="M4290" s="8" t="n"/>
      <c r="N4290" s="8" t="n"/>
      <c r="O4290" s="8" t="n"/>
      <c r="P4290" s="8" t="n"/>
      <c r="Q4290" s="7" t="inlineStr">
        <is>
          <t>SEM COTAÇÃO</t>
        </is>
      </c>
      <c r="R4290" s="8" t="n"/>
      <c r="S4290" s="14" t="n"/>
      <c r="T4290" s="7" t="inlineStr"/>
      <c r="U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8" t="n"/>
      <c r="M4291" s="8" t="n"/>
      <c r="N4291" s="8" t="n"/>
      <c r="O4291" s="8" t="n"/>
      <c r="P4291" s="8" t="n"/>
      <c r="Q4291" s="7" t="inlineStr">
        <is>
          <t>SEM COTAÇÃO</t>
        </is>
      </c>
      <c r="R4291" s="8" t="n"/>
      <c r="S4291" s="14" t="n"/>
      <c r="T4291" s="7" t="inlineStr"/>
      <c r="U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8" t="n"/>
      <c r="M4292" s="8" t="n"/>
      <c r="N4292" s="8" t="n"/>
      <c r="O4292" s="8" t="n"/>
      <c r="P4292" s="8" t="n"/>
      <c r="Q4292" s="7" t="inlineStr">
        <is>
          <t>SEM COTAÇÃO</t>
        </is>
      </c>
      <c r="R4292" s="8" t="n"/>
      <c r="S4292" s="14" t="n"/>
      <c r="T4292" s="7" t="inlineStr"/>
      <c r="U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8" t="n"/>
      <c r="M4293" s="8" t="n"/>
      <c r="N4293" s="8" t="n"/>
      <c r="O4293" s="8" t="n"/>
      <c r="P4293" s="8" t="n"/>
      <c r="Q4293" s="7" t="inlineStr">
        <is>
          <t>SEM COTAÇÃO</t>
        </is>
      </c>
      <c r="R4293" s="8" t="n"/>
      <c r="S4293" s="14" t="n"/>
      <c r="T4293" s="7" t="inlineStr"/>
      <c r="U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8" t="n"/>
      <c r="M4294" s="8" t="n"/>
      <c r="N4294" s="8" t="n"/>
      <c r="O4294" s="15" t="n">
        <v>24.62</v>
      </c>
      <c r="P4294" s="8" t="n"/>
      <c r="Q4294" s="7" t="inlineStr">
        <is>
          <t>NAZARIA</t>
        </is>
      </c>
      <c r="R4294" s="8" t="n">
        <v>24.62</v>
      </c>
      <c r="S4294" s="14">
        <f>R4294/H4294-1</f>
        <v/>
      </c>
      <c r="T4294" s="16" t="inlineStr">
        <is>
          <t>ACIMA +52.1%</t>
        </is>
      </c>
      <c r="U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8" t="n"/>
      <c r="M4295" s="8" t="n"/>
      <c r="N4295" s="8" t="n"/>
      <c r="O4295" s="8" t="n">
        <v>37.13</v>
      </c>
      <c r="P4295" s="8" t="n"/>
      <c r="Q4295" s="7" t="inlineStr">
        <is>
          <t>SEM COTAÇÃO</t>
        </is>
      </c>
      <c r="R4295" s="8" t="n"/>
      <c r="S4295" s="14" t="n"/>
      <c r="T4295" s="7" t="inlineStr"/>
      <c r="U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8" t="n"/>
      <c r="M4296" s="8" t="n"/>
      <c r="N4296" s="8" t="n"/>
      <c r="O4296" s="15" t="n">
        <v>14.43</v>
      </c>
      <c r="P4296" s="8" t="n"/>
      <c r="Q4296" s="7" t="inlineStr">
        <is>
          <t>NAZARIA</t>
        </is>
      </c>
      <c r="R4296" s="8" t="n">
        <v>14.43</v>
      </c>
      <c r="S4296" s="14">
        <f>R4296/H4296-1</f>
        <v/>
      </c>
      <c r="T4296" s="16" t="inlineStr">
        <is>
          <t>ACIMA +33.2%</t>
        </is>
      </c>
      <c r="U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8" t="n"/>
      <c r="M4297" s="8" t="n"/>
      <c r="N4297" s="8" t="n"/>
      <c r="O4297" s="8" t="n"/>
      <c r="P4297" s="8" t="n"/>
      <c r="Q4297" s="7" t="inlineStr">
        <is>
          <t>SEM COTAÇÃO</t>
        </is>
      </c>
      <c r="R4297" s="8" t="n"/>
      <c r="S4297" s="14" t="n"/>
      <c r="T4297" s="7" t="inlineStr"/>
      <c r="U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8" t="n"/>
      <c r="M4298" s="8" t="n"/>
      <c r="N4298" s="8" t="n"/>
      <c r="O4298" s="8" t="n"/>
      <c r="P4298" s="8" t="n"/>
      <c r="Q4298" s="7" t="inlineStr">
        <is>
          <t>SEM COTAÇÃO</t>
        </is>
      </c>
      <c r="R4298" s="8" t="n"/>
      <c r="S4298" s="14" t="n"/>
      <c r="T4298" s="7" t="inlineStr"/>
      <c r="U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8" t="n"/>
      <c r="M4299" s="8" t="n"/>
      <c r="N4299" s="8" t="n"/>
      <c r="O4299" s="8" t="n"/>
      <c r="P4299" s="8" t="n"/>
      <c r="Q4299" s="7" t="inlineStr">
        <is>
          <t>SEM COTAÇÃO</t>
        </is>
      </c>
      <c r="R4299" s="8" t="n"/>
      <c r="S4299" s="14" t="n"/>
      <c r="T4299" s="7" t="inlineStr"/>
      <c r="U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8" t="n"/>
      <c r="M4300" s="8" t="n"/>
      <c r="N4300" s="8" t="n"/>
      <c r="O4300" s="8" t="n"/>
      <c r="P4300" s="8" t="n"/>
      <c r="Q4300" s="7" t="inlineStr">
        <is>
          <t>SEM COTAÇÃO</t>
        </is>
      </c>
      <c r="R4300" s="8" t="n"/>
      <c r="S4300" s="14" t="n"/>
      <c r="T4300" s="7" t="inlineStr"/>
      <c r="U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8" t="n"/>
      <c r="M4301" s="8" t="n"/>
      <c r="N4301" s="8" t="n"/>
      <c r="O4301" s="8" t="n"/>
      <c r="P4301" s="8" t="n"/>
      <c r="Q4301" s="7" t="inlineStr">
        <is>
          <t>SEM COTAÇÃO</t>
        </is>
      </c>
      <c r="R4301" s="8" t="n"/>
      <c r="S4301" s="14" t="n"/>
      <c r="T4301" s="7" t="inlineStr"/>
      <c r="U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15" t="n">
        <v>19.33</v>
      </c>
      <c r="M4302" s="8" t="n"/>
      <c r="N4302" s="8" t="n"/>
      <c r="O4302" s="8" t="n">
        <v>20.86</v>
      </c>
      <c r="P4302" s="8" t="n"/>
      <c r="Q4302" s="7" t="inlineStr">
        <is>
          <t>EPAN</t>
        </is>
      </c>
      <c r="R4302" s="8" t="n">
        <v>19.33</v>
      </c>
      <c r="S4302" s="14">
        <f>R4302/H4302-1</f>
        <v/>
      </c>
      <c r="T4302" s="17" t="inlineStr">
        <is>
          <t>OK (≤ últ. compra)</t>
        </is>
      </c>
      <c r="U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8" t="n"/>
      <c r="M4303" s="8" t="n"/>
      <c r="N4303" s="8" t="n"/>
      <c r="O4303" s="8" t="n"/>
      <c r="P4303" s="8" t="n"/>
      <c r="Q4303" s="7" t="inlineStr">
        <is>
          <t>SEM COTAÇÃO</t>
        </is>
      </c>
      <c r="R4303" s="8" t="n"/>
      <c r="S4303" s="14" t="n"/>
      <c r="T4303" s="7" t="inlineStr"/>
      <c r="U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8" t="n"/>
      <c r="M4304" s="8" t="n"/>
      <c r="N4304" s="8" t="n"/>
      <c r="O4304" s="8" t="n"/>
      <c r="P4304" s="8" t="n"/>
      <c r="Q4304" s="7" t="inlineStr">
        <is>
          <t>SEM COTAÇÃO</t>
        </is>
      </c>
      <c r="R4304" s="8" t="n"/>
      <c r="S4304" s="14" t="n"/>
      <c r="T4304" s="7" t="inlineStr"/>
      <c r="U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8" t="n"/>
      <c r="M4305" s="8" t="n"/>
      <c r="N4305" s="8" t="n"/>
      <c r="O4305" s="8" t="n"/>
      <c r="P4305" s="8" t="n"/>
      <c r="Q4305" s="7" t="inlineStr">
        <is>
          <t>SEM COTAÇÃO</t>
        </is>
      </c>
      <c r="R4305" s="8" t="n"/>
      <c r="S4305" s="14" t="n"/>
      <c r="T4305" s="7" t="inlineStr"/>
      <c r="U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8" t="n"/>
      <c r="M4306" s="8" t="n"/>
      <c r="N4306" s="8" t="n"/>
      <c r="O4306" s="8" t="n"/>
      <c r="P4306" s="8" t="n"/>
      <c r="Q4306" s="7" t="inlineStr">
        <is>
          <t>SEM COTAÇÃO</t>
        </is>
      </c>
      <c r="R4306" s="8" t="n"/>
      <c r="S4306" s="14" t="n"/>
      <c r="T4306" s="7" t="inlineStr"/>
      <c r="U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7" t="inlineStr">
        <is>
          <t>SEM COTAÇÃO</t>
        </is>
      </c>
      <c r="R4307" s="8" t="n"/>
      <c r="S4307" s="14" t="n"/>
      <c r="T4307" s="7" t="inlineStr"/>
      <c r="U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8" t="n"/>
      <c r="M4308" s="8" t="n"/>
      <c r="N4308" s="8" t="n"/>
      <c r="O4308" s="8" t="n"/>
      <c r="P4308" s="8" t="n"/>
      <c r="Q4308" s="7" t="inlineStr">
        <is>
          <t>SEM COTAÇÃO</t>
        </is>
      </c>
      <c r="R4308" s="8" t="n"/>
      <c r="S4308" s="14" t="n"/>
      <c r="T4308" s="7" t="inlineStr"/>
      <c r="U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8" t="n"/>
      <c r="M4309" s="8" t="n"/>
      <c r="N4309" s="8" t="n"/>
      <c r="O4309" s="8" t="n"/>
      <c r="P4309" s="8" t="n"/>
      <c r="Q4309" s="7" t="inlineStr">
        <is>
          <t>SEM COTAÇÃO</t>
        </is>
      </c>
      <c r="R4309" s="8" t="n"/>
      <c r="S4309" s="14" t="n"/>
      <c r="T4309" s="7" t="inlineStr"/>
      <c r="U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8" t="n"/>
      <c r="M4310" s="8" t="n"/>
      <c r="N4310" s="8" t="n"/>
      <c r="O4310" s="8" t="n"/>
      <c r="P4310" s="8" t="n"/>
      <c r="Q4310" s="7" t="inlineStr">
        <is>
          <t>SEM COTAÇÃO</t>
        </is>
      </c>
      <c r="R4310" s="8" t="n"/>
      <c r="S4310" s="14" t="n"/>
      <c r="T4310" s="7" t="inlineStr"/>
      <c r="U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8" t="n"/>
      <c r="M4311" s="8" t="n"/>
      <c r="N4311" s="8" t="n"/>
      <c r="O4311" s="8" t="n"/>
      <c r="P4311" s="8" t="n"/>
      <c r="Q4311" s="7" t="inlineStr">
        <is>
          <t>SEM COTAÇÃO</t>
        </is>
      </c>
      <c r="R4311" s="8" t="n"/>
      <c r="S4311" s="14" t="n"/>
      <c r="T4311" s="7" t="inlineStr"/>
      <c r="U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8" t="n"/>
      <c r="M4312" s="8" t="n"/>
      <c r="N4312" s="8" t="n"/>
      <c r="O4312" s="8" t="n"/>
      <c r="P4312" s="8" t="n"/>
      <c r="Q4312" s="7" t="inlineStr">
        <is>
          <t>SEM COTAÇÃO</t>
        </is>
      </c>
      <c r="R4312" s="8" t="n"/>
      <c r="S4312" s="14" t="n"/>
      <c r="T4312" s="7" t="inlineStr"/>
      <c r="U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8" t="n"/>
      <c r="M4313" s="8" t="n"/>
      <c r="N4313" s="8" t="n"/>
      <c r="O4313" s="8" t="n"/>
      <c r="P4313" s="8" t="n"/>
      <c r="Q4313" s="7" t="inlineStr">
        <is>
          <t>SEM COTAÇÃO</t>
        </is>
      </c>
      <c r="R4313" s="8" t="n"/>
      <c r="S4313" s="14" t="n"/>
      <c r="T4313" s="7" t="inlineStr"/>
      <c r="U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8" t="n">
        <v>29.2</v>
      </c>
      <c r="M4314" s="8" t="n"/>
      <c r="N4314" s="15" t="n">
        <v>28.4</v>
      </c>
      <c r="O4314" s="8" t="n">
        <v>29.6156</v>
      </c>
      <c r="P4314" s="8" t="n"/>
      <c r="Q4314" s="7" t="inlineStr">
        <is>
          <t>TAPAJOS</t>
        </is>
      </c>
      <c r="R4314" s="8" t="n">
        <v>28.4</v>
      </c>
      <c r="S4314" s="14">
        <f>R4314/H4314-1</f>
        <v/>
      </c>
      <c r="T4314" s="17" t="inlineStr">
        <is>
          <t>OK (≤ últ. compra)</t>
        </is>
      </c>
      <c r="U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8" t="n"/>
      <c r="M4315" s="8" t="n"/>
      <c r="N4315" s="15" t="n">
        <v>36.9</v>
      </c>
      <c r="O4315" s="8" t="n">
        <v>38.4552</v>
      </c>
      <c r="P4315" s="8" t="n"/>
      <c r="Q4315" s="7" t="inlineStr">
        <is>
          <t>TAPAJOS</t>
        </is>
      </c>
      <c r="R4315" s="8" t="n">
        <v>36.9</v>
      </c>
      <c r="S4315" s="14">
        <f>R4315/H4315-1</f>
        <v/>
      </c>
      <c r="T4315" s="16" t="inlineStr">
        <is>
          <t>ACIMA +21.6%</t>
        </is>
      </c>
      <c r="U4315" s="7" t="inlineStr">
        <is>
          <t>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15" t="n">
        <v>4.26</v>
      </c>
      <c r="K4316" s="8" t="n"/>
      <c r="L4316" s="8" t="n"/>
      <c r="M4316" s="8" t="n">
        <v>4.35</v>
      </c>
      <c r="N4316" s="8" t="n"/>
      <c r="O4316" s="8" t="n"/>
      <c r="P4316" s="8" t="n"/>
      <c r="Q4316" s="7" t="inlineStr">
        <is>
          <t>DIMEC</t>
        </is>
      </c>
      <c r="R4316" s="8" t="n">
        <v>4.26</v>
      </c>
      <c r="S4316" s="14">
        <f>R4316/H4316-1</f>
        <v/>
      </c>
      <c r="T4316" s="16" t="inlineStr">
        <is>
          <t>ACIMA +9.0%</t>
        </is>
      </c>
      <c r="U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15" t="n">
        <v>8.68</v>
      </c>
      <c r="K4317" s="8" t="n"/>
      <c r="L4317" s="8" t="n"/>
      <c r="M4317" s="8" t="n">
        <v>8.83</v>
      </c>
      <c r="N4317" s="8" t="n">
        <v>8.74</v>
      </c>
      <c r="O4317" s="8" t="n"/>
      <c r="P4317" s="8" t="n"/>
      <c r="Q4317" s="7" t="inlineStr">
        <is>
          <t>DIMEC</t>
        </is>
      </c>
      <c r="R4317" s="8" t="n">
        <v>8.68</v>
      </c>
      <c r="S4317" s="14">
        <f>R4317/H4317-1</f>
        <v/>
      </c>
      <c r="T4317" s="16" t="inlineStr">
        <is>
          <t>ACIMA +9.2%</t>
        </is>
      </c>
      <c r="U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8" t="n"/>
      <c r="M4318" s="8" t="n"/>
      <c r="N4318" s="8" t="n"/>
      <c r="O4318" s="8" t="n"/>
      <c r="P4318" s="8" t="n"/>
      <c r="Q4318" s="7" t="inlineStr">
        <is>
          <t>SEM COTAÇÃO</t>
        </is>
      </c>
      <c r="R4318" s="8" t="n"/>
      <c r="S4318" s="14" t="n"/>
      <c r="T4318" s="7" t="inlineStr"/>
      <c r="U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8" t="n"/>
      <c r="M4319" s="8" t="n"/>
      <c r="N4319" s="8" t="n"/>
      <c r="O4319" s="8" t="n"/>
      <c r="P4319" s="8" t="n"/>
      <c r="Q4319" s="7" t="inlineStr">
        <is>
          <t>SEM COTAÇÃO</t>
        </is>
      </c>
      <c r="R4319" s="8" t="n"/>
      <c r="S4319" s="14" t="n"/>
      <c r="T4319" s="7" t="inlineStr"/>
      <c r="U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8" t="n"/>
      <c r="M4320" s="8" t="n"/>
      <c r="N4320" s="8" t="n"/>
      <c r="O4320" s="8" t="n">
        <v>78.1011</v>
      </c>
      <c r="P4320" s="8" t="n"/>
      <c r="Q4320" s="7" t="inlineStr">
        <is>
          <t>SEM COTAÇÃO</t>
        </is>
      </c>
      <c r="R4320" s="8" t="n"/>
      <c r="S4320" s="14" t="n"/>
      <c r="T4320" s="7" t="inlineStr"/>
      <c r="U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8" t="n"/>
      <c r="M4321" s="8" t="n"/>
      <c r="N4321" s="8" t="n"/>
      <c r="O4321" s="8" t="n">
        <v>78.111</v>
      </c>
      <c r="P4321" s="8" t="n"/>
      <c r="Q4321" s="7" t="inlineStr">
        <is>
          <t>SEM COTAÇÃO</t>
        </is>
      </c>
      <c r="R4321" s="8" t="n"/>
      <c r="S4321" s="14" t="n"/>
      <c r="T4321" s="7" t="inlineStr"/>
      <c r="U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15" t="n">
        <v>31.91</v>
      </c>
      <c r="M4322" s="8" t="n"/>
      <c r="N4322" s="8" t="n">
        <v>32.51</v>
      </c>
      <c r="O4322" s="8" t="n">
        <v>33.8884</v>
      </c>
      <c r="P4322" s="8" t="n"/>
      <c r="Q4322" s="7" t="inlineStr">
        <is>
          <t>EPAN</t>
        </is>
      </c>
      <c r="R4322" s="8" t="n">
        <v>31.91</v>
      </c>
      <c r="S4322" s="14">
        <f>R4322/H4322-1</f>
        <v/>
      </c>
      <c r="T4322" s="17" t="inlineStr">
        <is>
          <t>OK (≤ últ. compra)</t>
        </is>
      </c>
      <c r="U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8" t="n"/>
      <c r="M4323" s="8" t="n"/>
      <c r="N4323" s="8" t="n"/>
      <c r="O4323" s="8" t="n">
        <v>52.4458</v>
      </c>
      <c r="P4323" s="8" t="n">
        <v>54.1</v>
      </c>
      <c r="Q4323" s="7" t="inlineStr">
        <is>
          <t>PLUSFARMA</t>
        </is>
      </c>
      <c r="R4323" s="8" t="n">
        <v>48.63</v>
      </c>
      <c r="S4323" s="14">
        <f>R4323/H4323-1</f>
        <v/>
      </c>
      <c r="T4323" s="16" t="inlineStr">
        <is>
          <t>ACIMA +17.9%</t>
        </is>
      </c>
      <c r="U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8" t="n"/>
      <c r="M4324" s="8" t="n"/>
      <c r="N4324" s="8" t="n"/>
      <c r="O4324" s="8" t="n"/>
      <c r="P4324" s="8" t="n"/>
      <c r="Q4324" s="7" t="inlineStr">
        <is>
          <t>SEM COTAÇÃO</t>
        </is>
      </c>
      <c r="R4324" s="8" t="n"/>
      <c r="S4324" s="14" t="n"/>
      <c r="T4324" s="7" t="inlineStr"/>
      <c r="U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8" t="n"/>
      <c r="M4325" s="8" t="n"/>
      <c r="N4325" s="8" t="n"/>
      <c r="O4325" s="8" t="n"/>
      <c r="P4325" s="8" t="n"/>
      <c r="Q4325" s="7" t="inlineStr">
        <is>
          <t>SEM COTAÇÃO</t>
        </is>
      </c>
      <c r="R4325" s="8" t="n"/>
      <c r="S4325" s="14" t="n"/>
      <c r="T4325" s="7" t="inlineStr"/>
      <c r="U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8" t="n"/>
      <c r="M4326" s="8" t="n"/>
      <c r="N4326" s="8" t="n"/>
      <c r="O4326" s="8" t="n"/>
      <c r="P4326" s="8" t="n"/>
      <c r="Q4326" s="7" t="inlineStr">
        <is>
          <t>SEM COTAÇÃO</t>
        </is>
      </c>
      <c r="R4326" s="8" t="n"/>
      <c r="S4326" s="14" t="n"/>
      <c r="T4326" s="7" t="inlineStr"/>
      <c r="U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8" t="n"/>
      <c r="M4327" s="8" t="n"/>
      <c r="N4327" s="8" t="n"/>
      <c r="O4327" s="8" t="n"/>
      <c r="P4327" s="8" t="n"/>
      <c r="Q4327" s="7" t="inlineStr">
        <is>
          <t>SEM COTAÇÃO</t>
        </is>
      </c>
      <c r="R4327" s="8" t="n"/>
      <c r="S4327" s="14" t="n"/>
      <c r="T4327" s="7" t="inlineStr"/>
      <c r="U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8" t="n"/>
      <c r="M4328" s="8" t="n"/>
      <c r="N4328" s="8" t="n"/>
      <c r="O4328" s="8" t="n"/>
      <c r="P4328" s="8" t="n"/>
      <c r="Q4328" s="7" t="inlineStr">
        <is>
          <t>SEM COTAÇÃO</t>
        </is>
      </c>
      <c r="R4328" s="8" t="n"/>
      <c r="S4328" s="14" t="n"/>
      <c r="T4328" s="7" t="inlineStr"/>
      <c r="U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8" t="n"/>
      <c r="M4329" s="8" t="n"/>
      <c r="N4329" s="8" t="n"/>
      <c r="O4329" s="8" t="n"/>
      <c r="P4329" s="8" t="n"/>
      <c r="Q4329" s="7" t="inlineStr">
        <is>
          <t>SEM COTAÇÃO</t>
        </is>
      </c>
      <c r="R4329" s="8" t="n"/>
      <c r="S4329" s="14" t="n"/>
      <c r="T4329" s="7" t="inlineStr"/>
      <c r="U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8" t="n"/>
      <c r="M4330" s="8" t="n"/>
      <c r="N4330" s="8" t="n"/>
      <c r="O4330" s="8" t="n"/>
      <c r="P4330" s="8" t="n"/>
      <c r="Q4330" s="7" t="inlineStr">
        <is>
          <t>SEM COTAÇÃO</t>
        </is>
      </c>
      <c r="R4330" s="8" t="n"/>
      <c r="S4330" s="14" t="n"/>
      <c r="T4330" s="7" t="inlineStr"/>
      <c r="U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15" t="n">
        <v>60.41</v>
      </c>
      <c r="M4331" s="8" t="n"/>
      <c r="N4331" s="8" t="n"/>
      <c r="O4331" s="8" t="n">
        <v>61.2943</v>
      </c>
      <c r="P4331" s="8" t="n"/>
      <c r="Q4331" s="7" t="inlineStr">
        <is>
          <t>EPAN</t>
        </is>
      </c>
      <c r="R4331" s="8" t="n">
        <v>60.41</v>
      </c>
      <c r="S4331" s="14">
        <f>R4331/H4331-1</f>
        <v/>
      </c>
      <c r="T4331" s="17" t="inlineStr">
        <is>
          <t>OK (≤ últ. compra)</t>
        </is>
      </c>
      <c r="U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>
        <v>13.62</v>
      </c>
      <c r="P4332" s="15" t="n">
        <v>13.04</v>
      </c>
      <c r="Q4332" s="7" t="inlineStr">
        <is>
          <t>MEDCENTRO</t>
        </is>
      </c>
      <c r="R4332" s="8" t="n">
        <v>13.04</v>
      </c>
      <c r="S4332" s="14" t="n"/>
      <c r="T4332" s="7" t="inlineStr">
        <is>
          <t>SEM HISTÓRICO</t>
        </is>
      </c>
      <c r="U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8" t="n"/>
      <c r="M4333" s="8" t="n">
        <v>14.18</v>
      </c>
      <c r="N4333" s="8" t="n"/>
      <c r="O4333" s="8" t="n"/>
      <c r="P4333" s="8" t="n"/>
      <c r="Q4333" s="7" t="inlineStr">
        <is>
          <t>DIMEC</t>
        </is>
      </c>
      <c r="R4333" s="8" t="n">
        <v>13.33</v>
      </c>
      <c r="S4333" s="14">
        <f>R4333/H4333-1</f>
        <v/>
      </c>
      <c r="T4333" s="16" t="inlineStr">
        <is>
          <t>ACIMA +6.1%</t>
        </is>
      </c>
      <c r="U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8" t="n"/>
      <c r="M4334" s="8" t="n"/>
      <c r="N4334" s="8" t="n"/>
      <c r="O4334" s="8" t="n"/>
      <c r="P4334" s="8" t="n"/>
      <c r="Q4334" s="7" t="inlineStr">
        <is>
          <t>SEM COTAÇÃO</t>
        </is>
      </c>
      <c r="R4334" s="8" t="n"/>
      <c r="S4334" s="14" t="n"/>
      <c r="T4334" s="7" t="inlineStr"/>
      <c r="U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8" t="n"/>
      <c r="M4335" s="8" t="n">
        <v>14.4</v>
      </c>
      <c r="N4335" s="8" t="n"/>
      <c r="O4335" s="8" t="n"/>
      <c r="P4335" s="8" t="n"/>
      <c r="Q4335" s="7" t="inlineStr">
        <is>
          <t>DIMEC</t>
        </is>
      </c>
      <c r="R4335" s="8" t="n">
        <v>11.88</v>
      </c>
      <c r="S4335" s="14">
        <f>R4335/H4335-1</f>
        <v/>
      </c>
      <c r="T4335" s="17" t="inlineStr">
        <is>
          <t>OK (≤ menor hist.)</t>
        </is>
      </c>
      <c r="U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8" t="n"/>
      <c r="M4336" s="15" t="n">
        <v>10.86</v>
      </c>
      <c r="N4336" s="8" t="n"/>
      <c r="O4336" s="8" t="n"/>
      <c r="P4336" s="8" t="n"/>
      <c r="Q4336" s="7" t="inlineStr">
        <is>
          <t>CENTROFARMA</t>
        </is>
      </c>
      <c r="R4336" s="8" t="n">
        <v>10.86</v>
      </c>
      <c r="S4336" s="14">
        <f>R4336/H4336-1</f>
        <v/>
      </c>
      <c r="T4336" s="16" t="inlineStr">
        <is>
          <t>ACIMA +5.2%</t>
        </is>
      </c>
      <c r="U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8" t="n"/>
      <c r="M4337" s="8" t="n"/>
      <c r="N4337" s="8" t="n"/>
      <c r="O4337" s="8" t="n"/>
      <c r="P4337" s="8" t="n"/>
      <c r="Q4337" s="7" t="inlineStr">
        <is>
          <t>SEM COTAÇÃO</t>
        </is>
      </c>
      <c r="R4337" s="8" t="n"/>
      <c r="S4337" s="14" t="n"/>
      <c r="T4337" s="7" t="inlineStr"/>
      <c r="U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8" t="n"/>
      <c r="M4338" s="8" t="n">
        <v>14.19</v>
      </c>
      <c r="N4338" s="8" t="n"/>
      <c r="O4338" s="8" t="n"/>
      <c r="P4338" s="8" t="n"/>
      <c r="Q4338" s="7" t="inlineStr">
        <is>
          <t>DIMEC</t>
        </is>
      </c>
      <c r="R4338" s="8" t="n">
        <v>13.33</v>
      </c>
      <c r="S4338" s="14">
        <f>R4338/H4338-1</f>
        <v/>
      </c>
      <c r="T4338" s="16" t="inlineStr">
        <is>
          <t>ACIMA +5.9%</t>
        </is>
      </c>
      <c r="U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8" t="n"/>
      <c r="M4339" s="8" t="n">
        <v>14.24</v>
      </c>
      <c r="N4339" s="8" t="n"/>
      <c r="O4339" s="8" t="n"/>
      <c r="P4339" s="8" t="n"/>
      <c r="Q4339" s="7" t="inlineStr">
        <is>
          <t>DIMEC</t>
        </is>
      </c>
      <c r="R4339" s="8" t="n">
        <v>13.33</v>
      </c>
      <c r="S4339" s="14">
        <f>R4339/H4339-1</f>
        <v/>
      </c>
      <c r="T4339" s="16" t="inlineStr">
        <is>
          <t>ACIMA +5.9%</t>
        </is>
      </c>
      <c r="U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8" t="n"/>
      <c r="M4340" s="8" t="n"/>
      <c r="N4340" s="8" t="n"/>
      <c r="O4340" s="8" t="n"/>
      <c r="P4340" s="8" t="n"/>
      <c r="Q4340" s="7" t="inlineStr">
        <is>
          <t>DIMEC</t>
        </is>
      </c>
      <c r="R4340" s="8" t="n">
        <v>1.69</v>
      </c>
      <c r="S4340" s="14">
        <f>R4340/H4340-1</f>
        <v/>
      </c>
      <c r="T4340" s="17" t="inlineStr">
        <is>
          <t>OK (≤ menor hist.)</t>
        </is>
      </c>
      <c r="U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8" t="n"/>
      <c r="M4341" s="8" t="n"/>
      <c r="N4341" s="15" t="n">
        <v>38.39</v>
      </c>
      <c r="O4341" s="8" t="n">
        <v>49.58</v>
      </c>
      <c r="P4341" s="8" t="n"/>
      <c r="Q4341" s="7" t="inlineStr">
        <is>
          <t>TAPAJOS</t>
        </is>
      </c>
      <c r="R4341" s="8" t="n">
        <v>38.39</v>
      </c>
      <c r="S4341" s="14">
        <f>R4341/H4341-1</f>
        <v/>
      </c>
      <c r="T4341" s="16" t="inlineStr">
        <is>
          <t>ACIMA +0.0%</t>
        </is>
      </c>
      <c r="U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8" t="n"/>
      <c r="M4342" s="8" t="n"/>
      <c r="N4342" s="8" t="n"/>
      <c r="O4342" s="8" t="n"/>
      <c r="P4342" s="8" t="n"/>
      <c r="Q4342" s="7" t="inlineStr">
        <is>
          <t>SEM COTAÇÃO</t>
        </is>
      </c>
      <c r="R4342" s="8" t="n"/>
      <c r="S4342" s="14" t="n"/>
      <c r="T4342" s="7" t="inlineStr"/>
      <c r="U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1.28</v>
      </c>
      <c r="K4343" s="8" t="n"/>
      <c r="L4343" s="8" t="n"/>
      <c r="M4343" s="15" t="n">
        <v>1.21</v>
      </c>
      <c r="N4343" s="8" t="n"/>
      <c r="O4343" s="8" t="n">
        <v>1.5865</v>
      </c>
      <c r="P4343" s="8" t="n">
        <v>1.59</v>
      </c>
      <c r="Q4343" s="7" t="inlineStr">
        <is>
          <t>CENTROFARMA</t>
        </is>
      </c>
      <c r="R4343" s="8" t="n">
        <v>1.21</v>
      </c>
      <c r="S4343" s="14">
        <f>R4343/H4343-1</f>
        <v/>
      </c>
      <c r="T4343" s="16" t="inlineStr">
        <is>
          <t>ACIMA +5.2%</t>
        </is>
      </c>
      <c r="U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8" t="n"/>
      <c r="M4344" s="8" t="n">
        <v>5.97</v>
      </c>
      <c r="N4344" s="8" t="n"/>
      <c r="O4344" s="8" t="n">
        <v>6.507499999999999</v>
      </c>
      <c r="P4344" s="8" t="n">
        <v>7.42</v>
      </c>
      <c r="Q4344" s="7" t="inlineStr">
        <is>
          <t>DIMEC</t>
        </is>
      </c>
      <c r="R4344" s="8" t="n">
        <v>5.57</v>
      </c>
      <c r="S4344" s="14">
        <f>R4344/H4344-1</f>
        <v/>
      </c>
      <c r="T4344" s="16" t="inlineStr">
        <is>
          <t>ACIMA +13.4%</t>
        </is>
      </c>
      <c r="U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8" t="n"/>
      <c r="M4345" s="8" t="n"/>
      <c r="N4345" s="8" t="n"/>
      <c r="O4345" s="8" t="n"/>
      <c r="P4345" s="8" t="n"/>
      <c r="Q4345" s="7" t="inlineStr">
        <is>
          <t>SEM COTAÇÃO</t>
        </is>
      </c>
      <c r="R4345" s="8" t="n"/>
      <c r="S4345" s="14" t="n"/>
      <c r="T4345" s="7" t="inlineStr"/>
      <c r="U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8" t="n"/>
      <c r="M4346" s="8" t="n"/>
      <c r="N4346" s="8" t="n"/>
      <c r="O4346" s="8" t="n"/>
      <c r="P4346" s="8" t="n"/>
      <c r="Q4346" s="7" t="inlineStr">
        <is>
          <t>SEM COTAÇÃO</t>
        </is>
      </c>
      <c r="R4346" s="8" t="n"/>
      <c r="S4346" s="14" t="n"/>
      <c r="T4346" s="7" t="inlineStr"/>
      <c r="U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8" t="n"/>
      <c r="M4347" s="8" t="n">
        <v>1.44</v>
      </c>
      <c r="N4347" s="8" t="n"/>
      <c r="O4347" s="8" t="n"/>
      <c r="P4347" s="8" t="n"/>
      <c r="Q4347" s="7" t="inlineStr">
        <is>
          <t>DIMEC</t>
        </is>
      </c>
      <c r="R4347" s="8" t="n">
        <v>1.35</v>
      </c>
      <c r="S4347" s="14">
        <f>R4347/H4347-1</f>
        <v/>
      </c>
      <c r="T4347" s="16" t="inlineStr">
        <is>
          <t>ACIMA +15.4%</t>
        </is>
      </c>
      <c r="U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8" t="n"/>
      <c r="M4348" s="8" t="n"/>
      <c r="N4348" s="8" t="n">
        <v>27.51</v>
      </c>
      <c r="O4348" s="15" t="n">
        <v>23.84</v>
      </c>
      <c r="P4348" s="8" t="n"/>
      <c r="Q4348" s="7" t="inlineStr">
        <is>
          <t>NAZARIA</t>
        </is>
      </c>
      <c r="R4348" s="8" t="n">
        <v>23.84</v>
      </c>
      <c r="S4348" s="14">
        <f>R4348/H4348-1</f>
        <v/>
      </c>
      <c r="T4348" s="17" t="inlineStr">
        <is>
          <t>OK (≤ últ. compra)</t>
        </is>
      </c>
      <c r="U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8" t="n">
        <v>20.95</v>
      </c>
      <c r="M4349" s="8" t="n"/>
      <c r="N4349" s="8" t="n">
        <v>22.77</v>
      </c>
      <c r="O4349" s="15" t="n">
        <v>18.753</v>
      </c>
      <c r="P4349" s="8" t="n"/>
      <c r="Q4349" s="7" t="inlineStr">
        <is>
          <t>NAZARIA</t>
        </is>
      </c>
      <c r="R4349" s="8" t="n">
        <v>18.753</v>
      </c>
      <c r="S4349" s="14">
        <f>R4349/H4349-1</f>
        <v/>
      </c>
      <c r="T4349" s="17" t="inlineStr">
        <is>
          <t>OK (≤ menor hist.)</t>
        </is>
      </c>
      <c r="U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8" t="n"/>
      <c r="M4350" s="8" t="n"/>
      <c r="N4350" s="8" t="n"/>
      <c r="O4350" s="8" t="n"/>
      <c r="P4350" s="8" t="n"/>
      <c r="Q4350" s="7" t="inlineStr">
        <is>
          <t>SEM COTAÇÃO</t>
        </is>
      </c>
      <c r="R4350" s="8" t="n"/>
      <c r="S4350" s="14" t="n"/>
      <c r="T4350" s="7" t="inlineStr"/>
      <c r="U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8" t="n"/>
      <c r="M4351" s="8" t="n">
        <v>12.57</v>
      </c>
      <c r="N4351" s="8" t="n"/>
      <c r="O4351" s="8" t="n"/>
      <c r="P4351" s="8" t="n">
        <v>10.22</v>
      </c>
      <c r="Q4351" s="7" t="inlineStr">
        <is>
          <t>DIMEC</t>
        </is>
      </c>
      <c r="R4351" s="8" t="n">
        <v>7.71</v>
      </c>
      <c r="S4351" s="14">
        <f>R4351/H4351-1</f>
        <v/>
      </c>
      <c r="T4351" s="17" t="inlineStr">
        <is>
          <t>OK (≤ menor hist.)</t>
        </is>
      </c>
      <c r="U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8" t="n"/>
      <c r="M4352" s="8" t="n"/>
      <c r="N4352" s="8" t="n"/>
      <c r="O4352" s="8" t="n"/>
      <c r="P4352" s="8" t="n"/>
      <c r="Q4352" s="7" t="inlineStr">
        <is>
          <t>SEM COTAÇÃO</t>
        </is>
      </c>
      <c r="R4352" s="8" t="n"/>
      <c r="S4352" s="14" t="n"/>
      <c r="T4352" s="7" t="inlineStr"/>
      <c r="U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8" t="n"/>
      <c r="M4353" s="8" t="n"/>
      <c r="N4353" s="8" t="n"/>
      <c r="O4353" s="8" t="n"/>
      <c r="P4353" s="8" t="n"/>
      <c r="Q4353" s="7" t="inlineStr">
        <is>
          <t>SEM COTAÇÃO</t>
        </is>
      </c>
      <c r="R4353" s="8" t="n"/>
      <c r="S4353" s="14" t="n"/>
      <c r="T4353" s="7" t="inlineStr"/>
      <c r="U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8" t="n"/>
      <c r="M4354" s="8" t="n">
        <v>44.44</v>
      </c>
      <c r="N4354" s="8" t="n"/>
      <c r="O4354" s="8" t="n">
        <v>43.51031</v>
      </c>
      <c r="P4354" s="8" t="n">
        <v>45.98</v>
      </c>
      <c r="Q4354" s="7" t="inlineStr">
        <is>
          <t>DIMEC</t>
        </is>
      </c>
      <c r="R4354" s="8" t="n">
        <v>1.6648</v>
      </c>
      <c r="S4354" s="14">
        <f>R4354/H4354-1</f>
        <v/>
      </c>
      <c r="T4354" s="16" t="inlineStr">
        <is>
          <t>ACIMA +12.5%</t>
        </is>
      </c>
      <c r="U4354" s="7" t="inlineStr">
        <is>
          <t>DIMEC: 1 emb = 25 un; CENTROFARMA: conferir emb.; NAZARIA: conferir emb.; MEDCENTRO: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8" t="n"/>
      <c r="M4355" s="8" t="n">
        <v>44.87</v>
      </c>
      <c r="N4355" s="8" t="n"/>
      <c r="O4355" s="8" t="n">
        <v>43.11002000000001</v>
      </c>
      <c r="P4355" s="8" t="n"/>
      <c r="Q4355" s="7" t="inlineStr">
        <is>
          <t>DIMEC</t>
        </is>
      </c>
      <c r="R4355" s="8" t="n">
        <v>4.372</v>
      </c>
      <c r="S4355" s="14">
        <f>R4355/H4355-1</f>
        <v/>
      </c>
      <c r="T4355" s="16" t="inlineStr">
        <is>
          <t>ACIMA +18.5%</t>
        </is>
      </c>
      <c r="U4355" s="7" t="inlineStr">
        <is>
          <t>DIMEC: 1 emb = 10 un; PLUSFARMA: conferir emb.; CENTROFARMA: conferir emb.; NAZARIA: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8" t="n"/>
      <c r="M4356" s="8" t="n"/>
      <c r="N4356" s="8" t="n"/>
      <c r="O4356" s="8" t="n"/>
      <c r="P4356" s="8" t="n"/>
      <c r="Q4356" s="7" t="inlineStr">
        <is>
          <t>SEM COTAÇÃO</t>
        </is>
      </c>
      <c r="R4356" s="8" t="n"/>
      <c r="S4356" s="14" t="n"/>
      <c r="T4356" s="7" t="inlineStr"/>
      <c r="U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8" t="n"/>
      <c r="M4357" s="8" t="n"/>
      <c r="N4357" s="8" t="n"/>
      <c r="O4357" s="8" t="n"/>
      <c r="P4357" s="8" t="n"/>
      <c r="Q4357" s="7" t="inlineStr">
        <is>
          <t>SEM COTAÇÃO</t>
        </is>
      </c>
      <c r="R4357" s="8" t="n"/>
      <c r="S4357" s="14" t="n"/>
      <c r="T4357" s="7" t="inlineStr"/>
      <c r="U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8" t="n"/>
      <c r="M4358" s="8" t="n">
        <v>14.07</v>
      </c>
      <c r="N4358" s="8" t="n"/>
      <c r="O4358" s="8" t="n"/>
      <c r="P4358" s="8" t="n"/>
      <c r="Q4358" s="7" t="inlineStr">
        <is>
          <t>DIMEC</t>
        </is>
      </c>
      <c r="R4358" s="8" t="n">
        <v>13.89</v>
      </c>
      <c r="S4358" s="14">
        <f>R4358/H4358-1</f>
        <v/>
      </c>
      <c r="T4358" s="16" t="inlineStr">
        <is>
          <t>ACIMA +4.0%</t>
        </is>
      </c>
      <c r="U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8" t="n"/>
      <c r="M4359" s="8" t="n"/>
      <c r="N4359" s="8" t="n"/>
      <c r="O4359" s="8" t="n">
        <v>65.64</v>
      </c>
      <c r="P4359" s="8" t="n">
        <v>26.87</v>
      </c>
      <c r="Q4359" s="7" t="inlineStr">
        <is>
          <t>PLUSFARMA</t>
        </is>
      </c>
      <c r="R4359" s="8" t="n">
        <v>24.85</v>
      </c>
      <c r="S4359" s="14">
        <f>R4359/H4359-1</f>
        <v/>
      </c>
      <c r="T4359" s="17" t="inlineStr">
        <is>
          <t>OK (≤ últ. compra)</t>
        </is>
      </c>
      <c r="U4359" s="7" t="inlineStr">
        <is>
          <t>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8" t="n"/>
      <c r="M4360" s="8" t="n"/>
      <c r="N4360" s="8" t="n"/>
      <c r="O4360" s="8" t="n"/>
      <c r="P4360" s="8" t="n"/>
      <c r="Q4360" s="7" t="inlineStr">
        <is>
          <t>SEM COTAÇÃO</t>
        </is>
      </c>
      <c r="R4360" s="8" t="n"/>
      <c r="S4360" s="14" t="n"/>
      <c r="T4360" s="7" t="inlineStr"/>
      <c r="U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8" t="n"/>
      <c r="M4361" s="8" t="n"/>
      <c r="N4361" s="8" t="n"/>
      <c r="O4361" s="8" t="n"/>
      <c r="P4361" s="8" t="n"/>
      <c r="Q4361" s="7" t="inlineStr">
        <is>
          <t>SEM COTAÇÃO</t>
        </is>
      </c>
      <c r="R4361" s="8" t="n"/>
      <c r="S4361" s="14" t="n"/>
      <c r="T4361" s="7" t="inlineStr"/>
      <c r="U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8" t="n"/>
      <c r="M4362" s="8" t="n"/>
      <c r="N4362" s="8" t="n"/>
      <c r="O4362" s="8" t="n"/>
      <c r="P4362" s="8" t="n"/>
      <c r="Q4362" s="7" t="inlineStr">
        <is>
          <t>SEM COTAÇÃO</t>
        </is>
      </c>
      <c r="R4362" s="8" t="n"/>
      <c r="S4362" s="14" t="n"/>
      <c r="T4362" s="7" t="inlineStr"/>
      <c r="U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8" t="n"/>
      <c r="M4363" s="8" t="n"/>
      <c r="N4363" s="8" t="n"/>
      <c r="O4363" s="8" t="n"/>
      <c r="P4363" s="8" t="n"/>
      <c r="Q4363" s="7" t="inlineStr">
        <is>
          <t>SEM COTAÇÃO</t>
        </is>
      </c>
      <c r="R4363" s="8" t="n"/>
      <c r="S4363" s="14" t="n"/>
      <c r="T4363" s="7" t="inlineStr"/>
      <c r="U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8" t="n"/>
      <c r="M4364" s="8" t="n"/>
      <c r="N4364" s="8" t="n"/>
      <c r="O4364" s="8" t="n"/>
      <c r="P4364" s="8" t="n"/>
      <c r="Q4364" s="7" t="inlineStr">
        <is>
          <t>SEM COTAÇÃO</t>
        </is>
      </c>
      <c r="R4364" s="8" t="n"/>
      <c r="S4364" s="14" t="n"/>
      <c r="T4364" s="7" t="inlineStr"/>
      <c r="U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8" t="n"/>
      <c r="O4365" s="8" t="n"/>
      <c r="P4365" s="8" t="n"/>
      <c r="Q4365" s="7" t="inlineStr">
        <is>
          <t>SEM COTAÇÃO</t>
        </is>
      </c>
      <c r="R4365" s="8" t="n"/>
      <c r="S4365" s="14" t="n"/>
      <c r="T4365" s="7" t="inlineStr"/>
      <c r="U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8" t="n"/>
      <c r="M4366" s="8" t="n"/>
      <c r="N4366" s="8" t="n"/>
      <c r="O4366" s="15" t="n">
        <v>28.51</v>
      </c>
      <c r="P4366" s="8" t="n"/>
      <c r="Q4366" s="7" t="inlineStr">
        <is>
          <t>NAZARIA</t>
        </is>
      </c>
      <c r="R4366" s="8" t="n">
        <v>28.51</v>
      </c>
      <c r="S4366" s="14">
        <f>R4366/H4366-1</f>
        <v/>
      </c>
      <c r="T4366" s="16" t="inlineStr">
        <is>
          <t>ACIMA +12.5%</t>
        </is>
      </c>
      <c r="U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8" t="n"/>
      <c r="M4367" s="8" t="n"/>
      <c r="N4367" s="8" t="n"/>
      <c r="O4367" s="15" t="n">
        <v>28.51</v>
      </c>
      <c r="P4367" s="8" t="n"/>
      <c r="Q4367" s="7" t="inlineStr">
        <is>
          <t>NAZARIA</t>
        </is>
      </c>
      <c r="R4367" s="8" t="n">
        <v>28.51</v>
      </c>
      <c r="S4367" s="14">
        <f>R4367/H4367-1</f>
        <v/>
      </c>
      <c r="T4367" s="16" t="inlineStr">
        <is>
          <t>ACIMA +9.2%</t>
        </is>
      </c>
      <c r="U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8" t="n"/>
      <c r="M4368" s="8" t="n"/>
      <c r="N4368" s="8" t="n"/>
      <c r="O4368" s="15" t="n">
        <v>28.51</v>
      </c>
      <c r="P4368" s="8" t="n"/>
      <c r="Q4368" s="7" t="inlineStr">
        <is>
          <t>NAZARIA</t>
        </is>
      </c>
      <c r="R4368" s="8" t="n">
        <v>28.51</v>
      </c>
      <c r="S4368" s="14">
        <f>R4368/H4368-1</f>
        <v/>
      </c>
      <c r="T4368" s="16" t="inlineStr">
        <is>
          <t>ACIMA +3.4%</t>
        </is>
      </c>
      <c r="U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8" t="n"/>
      <c r="M4369" s="8" t="n"/>
      <c r="N4369" s="8" t="n"/>
      <c r="O4369" s="15" t="n">
        <v>28.51</v>
      </c>
      <c r="P4369" s="8" t="n"/>
      <c r="Q4369" s="7" t="inlineStr">
        <is>
          <t>NAZARIA</t>
        </is>
      </c>
      <c r="R4369" s="8" t="n">
        <v>28.51</v>
      </c>
      <c r="S4369" s="14">
        <f>R4369/H4369-1</f>
        <v/>
      </c>
      <c r="T4369" s="16" t="inlineStr">
        <is>
          <t>ACIMA +12.5%</t>
        </is>
      </c>
      <c r="U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8" t="n"/>
      <c r="M4370" s="8" t="n"/>
      <c r="N4370" s="8" t="n"/>
      <c r="O4370" s="15" t="n">
        <v>12.87</v>
      </c>
      <c r="P4370" s="8" t="n"/>
      <c r="Q4370" s="7" t="inlineStr">
        <is>
          <t>NAZARIA</t>
        </is>
      </c>
      <c r="R4370" s="8" t="n">
        <v>12.87</v>
      </c>
      <c r="S4370" s="14">
        <f>R4370/H4370-1</f>
        <v/>
      </c>
      <c r="T4370" s="16" t="inlineStr">
        <is>
          <t>ACIMA +13.9%</t>
        </is>
      </c>
      <c r="U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8" t="n"/>
      <c r="M4371" s="8" t="n"/>
      <c r="N4371" s="8" t="n"/>
      <c r="O4371" s="15" t="n">
        <v>12.87</v>
      </c>
      <c r="P4371" s="8" t="n"/>
      <c r="Q4371" s="7" t="inlineStr">
        <is>
          <t>NAZARIA</t>
        </is>
      </c>
      <c r="R4371" s="8" t="n">
        <v>12.87</v>
      </c>
      <c r="S4371" s="14">
        <f>R4371/H4371-1</f>
        <v/>
      </c>
      <c r="T4371" s="16" t="inlineStr">
        <is>
          <t>ACIMA +2.3%</t>
        </is>
      </c>
      <c r="U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8" t="n"/>
      <c r="M4372" s="8" t="n"/>
      <c r="N4372" s="8" t="n"/>
      <c r="O4372" s="8" t="n"/>
      <c r="P4372" s="8" t="n"/>
      <c r="Q4372" s="7" t="inlineStr">
        <is>
          <t>SEM COTAÇÃO</t>
        </is>
      </c>
      <c r="R4372" s="8" t="n"/>
      <c r="S4372" s="14" t="n"/>
      <c r="T4372" s="7" t="inlineStr"/>
      <c r="U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8" t="n"/>
      <c r="M4373" s="8" t="n"/>
      <c r="N4373" s="8" t="n"/>
      <c r="O4373" s="8" t="n"/>
      <c r="P4373" s="8" t="n"/>
      <c r="Q4373" s="7" t="inlineStr">
        <is>
          <t>SEM COTAÇÃO</t>
        </is>
      </c>
      <c r="R4373" s="8" t="n"/>
      <c r="S4373" s="14" t="n"/>
      <c r="T4373" s="7" t="inlineStr"/>
      <c r="U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8" t="n"/>
      <c r="M4374" s="8" t="n"/>
      <c r="N4374" s="8" t="n"/>
      <c r="O4374" s="15" t="n">
        <v>12.87</v>
      </c>
      <c r="P4374" s="8" t="n"/>
      <c r="Q4374" s="7" t="inlineStr">
        <is>
          <t>NAZARIA</t>
        </is>
      </c>
      <c r="R4374" s="8" t="n">
        <v>12.87</v>
      </c>
      <c r="S4374" s="14">
        <f>R4374/H4374-1</f>
        <v/>
      </c>
      <c r="T4374" s="16" t="inlineStr">
        <is>
          <t>ACIMA +13.9%</t>
        </is>
      </c>
      <c r="U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8" t="n"/>
      <c r="M4375" s="8" t="n"/>
      <c r="N4375" s="8" t="n"/>
      <c r="O4375" s="8" t="n">
        <v>12.87</v>
      </c>
      <c r="P4375" s="8" t="n"/>
      <c r="Q4375" s="7" t="inlineStr">
        <is>
          <t>SEM COTAÇÃO</t>
        </is>
      </c>
      <c r="R4375" s="8" t="n"/>
      <c r="S4375" s="14" t="n"/>
      <c r="T4375" s="7" t="inlineStr"/>
      <c r="U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8" t="n"/>
      <c r="M4376" s="8" t="n"/>
      <c r="N4376" s="8" t="n"/>
      <c r="O4376" s="15" t="n">
        <v>12.87</v>
      </c>
      <c r="P4376" s="8" t="n"/>
      <c r="Q4376" s="7" t="inlineStr">
        <is>
          <t>NAZARIA</t>
        </is>
      </c>
      <c r="R4376" s="8" t="n">
        <v>12.87</v>
      </c>
      <c r="S4376" s="14">
        <f>R4376/H4376-1</f>
        <v/>
      </c>
      <c r="T4376" s="16" t="inlineStr">
        <is>
          <t>ACIMA +17.1%</t>
        </is>
      </c>
      <c r="U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8" t="n"/>
      <c r="M4377" s="8" t="n"/>
      <c r="N4377" s="8" t="n"/>
      <c r="O4377" s="8" t="n">
        <v>12.87</v>
      </c>
      <c r="P4377" s="8" t="n"/>
      <c r="Q4377" s="7" t="inlineStr">
        <is>
          <t>SEM COTAÇÃO</t>
        </is>
      </c>
      <c r="R4377" s="8" t="n"/>
      <c r="S4377" s="14" t="n"/>
      <c r="T4377" s="7" t="inlineStr"/>
      <c r="U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8" t="n"/>
      <c r="M4378" s="8" t="n"/>
      <c r="N4378" s="8" t="n"/>
      <c r="O4378" s="8" t="n"/>
      <c r="P4378" s="8" t="n"/>
      <c r="Q4378" s="7" t="inlineStr">
        <is>
          <t>SEM COTAÇÃO</t>
        </is>
      </c>
      <c r="R4378" s="8" t="n"/>
      <c r="S4378" s="14" t="n"/>
      <c r="T4378" s="7" t="inlineStr"/>
      <c r="U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8" t="n"/>
      <c r="M4379" s="8" t="n"/>
      <c r="N4379" s="8" t="n"/>
      <c r="O4379" s="15" t="n">
        <v>16.09</v>
      </c>
      <c r="P4379" s="8" t="n"/>
      <c r="Q4379" s="7" t="inlineStr">
        <is>
          <t>NAZARIA</t>
        </is>
      </c>
      <c r="R4379" s="8" t="n">
        <v>16.09</v>
      </c>
      <c r="S4379" s="14">
        <f>R4379/H4379-1</f>
        <v/>
      </c>
      <c r="T4379" s="16" t="inlineStr">
        <is>
          <t>ACIMA +2.3%</t>
        </is>
      </c>
      <c r="U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8" t="n"/>
      <c r="M4380" s="8" t="n"/>
      <c r="N4380" s="8" t="n"/>
      <c r="O4380" s="8" t="n"/>
      <c r="P4380" s="8" t="n"/>
      <c r="Q4380" s="7" t="inlineStr">
        <is>
          <t>SEM COTAÇÃO</t>
        </is>
      </c>
      <c r="R4380" s="8" t="n"/>
      <c r="S4380" s="14" t="n"/>
      <c r="T4380" s="7" t="inlineStr"/>
      <c r="U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8" t="n"/>
      <c r="M4381" s="8" t="n"/>
      <c r="N4381" s="8" t="n"/>
      <c r="O4381" s="15" t="n">
        <v>16.09</v>
      </c>
      <c r="P4381" s="8" t="n"/>
      <c r="Q4381" s="7" t="inlineStr">
        <is>
          <t>NAZARIA</t>
        </is>
      </c>
      <c r="R4381" s="8" t="n">
        <v>16.09</v>
      </c>
      <c r="S4381" s="14">
        <f>R4381/H4381-1</f>
        <v/>
      </c>
      <c r="T4381" s="16" t="inlineStr">
        <is>
          <t>ACIMA +2.3%</t>
        </is>
      </c>
      <c r="U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8" t="n"/>
      <c r="M4382" s="8" t="n"/>
      <c r="N4382" s="8" t="n"/>
      <c r="O4382" s="15" t="n">
        <v>16.09</v>
      </c>
      <c r="P4382" s="8" t="n"/>
      <c r="Q4382" s="7" t="inlineStr">
        <is>
          <t>NAZARIA</t>
        </is>
      </c>
      <c r="R4382" s="8" t="n">
        <v>16.09</v>
      </c>
      <c r="S4382" s="14">
        <f>R4382/H4382-1</f>
        <v/>
      </c>
      <c r="T4382" s="16" t="inlineStr">
        <is>
          <t>ACIMA +2.3%</t>
        </is>
      </c>
      <c r="U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8" t="n"/>
      <c r="M4383" s="8" t="n"/>
      <c r="N4383" s="8" t="n"/>
      <c r="O4383" s="15" t="n">
        <v>27.3</v>
      </c>
      <c r="P4383" s="8" t="n"/>
      <c r="Q4383" s="7" t="inlineStr">
        <is>
          <t>NAZARIA</t>
        </is>
      </c>
      <c r="R4383" s="8" t="n">
        <v>27.3</v>
      </c>
      <c r="S4383" s="14">
        <f>R4383/H4383-1</f>
        <v/>
      </c>
      <c r="T4383" s="16" t="inlineStr">
        <is>
          <t>ACIMA +12.5%</t>
        </is>
      </c>
      <c r="U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8" t="n"/>
      <c r="M4384" s="8" t="n"/>
      <c r="N4384" s="8" t="n"/>
      <c r="O4384" s="8" t="n"/>
      <c r="P4384" s="8" t="n"/>
      <c r="Q4384" s="7" t="inlineStr">
        <is>
          <t>SEM COTAÇÃO</t>
        </is>
      </c>
      <c r="R4384" s="8" t="n"/>
      <c r="S4384" s="14" t="n"/>
      <c r="T4384" s="7" t="inlineStr"/>
      <c r="U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8" t="n"/>
      <c r="M4385" s="8" t="n"/>
      <c r="N4385" s="8" t="n"/>
      <c r="O4385" s="8" t="n"/>
      <c r="P4385" s="8" t="n"/>
      <c r="Q4385" s="7" t="inlineStr">
        <is>
          <t>SEM COTAÇÃO</t>
        </is>
      </c>
      <c r="R4385" s="8" t="n"/>
      <c r="S4385" s="14" t="n"/>
      <c r="T4385" s="7" t="inlineStr"/>
      <c r="U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8" t="n"/>
      <c r="M4386" s="8" t="n"/>
      <c r="N4386" s="8" t="n"/>
      <c r="O4386" s="8" t="n"/>
      <c r="P4386" s="8" t="n"/>
      <c r="Q4386" s="7" t="inlineStr">
        <is>
          <t>SEM COTAÇÃO</t>
        </is>
      </c>
      <c r="R4386" s="8" t="n"/>
      <c r="S4386" s="14" t="n"/>
      <c r="T4386" s="7" t="inlineStr"/>
      <c r="U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8" t="n"/>
      <c r="M4387" s="8" t="n"/>
      <c r="N4387" s="8" t="n"/>
      <c r="O4387" s="8" t="n"/>
      <c r="P4387" s="8" t="n"/>
      <c r="Q4387" s="7" t="inlineStr">
        <is>
          <t>SEM COTAÇÃO</t>
        </is>
      </c>
      <c r="R4387" s="8" t="n"/>
      <c r="S4387" s="14" t="n"/>
      <c r="T4387" s="7" t="inlineStr"/>
      <c r="U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8" t="n"/>
      <c r="M4388" s="8" t="n"/>
      <c r="N4388" s="8" t="n"/>
      <c r="O4388" s="8" t="n"/>
      <c r="P4388" s="8" t="n"/>
      <c r="Q4388" s="7" t="inlineStr">
        <is>
          <t>SEM COTAÇÃO</t>
        </is>
      </c>
      <c r="R4388" s="8" t="n"/>
      <c r="S4388" s="14" t="n"/>
      <c r="T4388" s="7" t="inlineStr"/>
      <c r="U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8" t="n"/>
      <c r="M4389" s="8" t="n"/>
      <c r="N4389" s="8" t="n"/>
      <c r="O4389" s="8" t="n"/>
      <c r="P4389" s="8" t="n"/>
      <c r="Q4389" s="7" t="inlineStr">
        <is>
          <t>SEM COTAÇÃO</t>
        </is>
      </c>
      <c r="R4389" s="8" t="n"/>
      <c r="S4389" s="14" t="n"/>
      <c r="T4389" s="7" t="inlineStr"/>
      <c r="U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8" t="n"/>
      <c r="M4390" s="8" t="n"/>
      <c r="N4390" s="8" t="n"/>
      <c r="O4390" s="8" t="n"/>
      <c r="P4390" s="8" t="n"/>
      <c r="Q4390" s="7" t="inlineStr">
        <is>
          <t>SEM COTAÇÃO</t>
        </is>
      </c>
      <c r="R4390" s="8" t="n"/>
      <c r="S4390" s="14" t="n"/>
      <c r="T4390" s="7" t="inlineStr"/>
      <c r="U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8" t="n"/>
      <c r="M4391" s="8" t="n"/>
      <c r="N4391" s="8" t="n"/>
      <c r="O4391" s="8" t="n"/>
      <c r="P4391" s="8" t="n"/>
      <c r="Q4391" s="7" t="inlineStr">
        <is>
          <t>SEM COTAÇÃO</t>
        </is>
      </c>
      <c r="R4391" s="8" t="n"/>
      <c r="S4391" s="14" t="n"/>
      <c r="T4391" s="7" t="inlineStr"/>
      <c r="U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8" t="n"/>
      <c r="M4392" s="8" t="n"/>
      <c r="N4392" s="8" t="n"/>
      <c r="O4392" s="8" t="n"/>
      <c r="P4392" s="8" t="n"/>
      <c r="Q4392" s="7" t="inlineStr">
        <is>
          <t>SEM COTAÇÃO</t>
        </is>
      </c>
      <c r="R4392" s="8" t="n"/>
      <c r="S4392" s="14" t="n"/>
      <c r="T4392" s="7" t="inlineStr"/>
      <c r="U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8" t="n"/>
      <c r="M4393" s="8" t="n"/>
      <c r="N4393" s="8" t="n"/>
      <c r="O4393" s="8" t="n"/>
      <c r="P4393" s="8" t="n"/>
      <c r="Q4393" s="7" t="inlineStr">
        <is>
          <t>SEM COTAÇÃO</t>
        </is>
      </c>
      <c r="R4393" s="8" t="n"/>
      <c r="S4393" s="14" t="n"/>
      <c r="T4393" s="7" t="inlineStr"/>
      <c r="U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8" t="n"/>
      <c r="M4394" s="8" t="n"/>
      <c r="N4394" s="8" t="n"/>
      <c r="O4394" s="8" t="n"/>
      <c r="P4394" s="8" t="n"/>
      <c r="Q4394" s="7" t="inlineStr">
        <is>
          <t>SEM COTAÇÃO</t>
        </is>
      </c>
      <c r="R4394" s="8" t="n"/>
      <c r="S4394" s="14" t="n"/>
      <c r="T4394" s="7" t="inlineStr"/>
      <c r="U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8" t="n"/>
      <c r="M4395" s="8" t="n"/>
      <c r="N4395" s="8" t="n"/>
      <c r="O4395" s="8" t="n"/>
      <c r="P4395" s="8" t="n"/>
      <c r="Q4395" s="7" t="inlineStr">
        <is>
          <t>SEM COTAÇÃO</t>
        </is>
      </c>
      <c r="R4395" s="8" t="n"/>
      <c r="S4395" s="14" t="n"/>
      <c r="T4395" s="7" t="inlineStr"/>
      <c r="U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8" t="n"/>
      <c r="M4396" s="8" t="n"/>
      <c r="N4396" s="8" t="n"/>
      <c r="O4396" s="8" t="n"/>
      <c r="P4396" s="8" t="n"/>
      <c r="Q4396" s="7" t="inlineStr">
        <is>
          <t>SEM COTAÇÃO</t>
        </is>
      </c>
      <c r="R4396" s="8" t="n"/>
      <c r="S4396" s="14" t="n"/>
      <c r="T4396" s="7" t="inlineStr"/>
      <c r="U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8" t="n"/>
      <c r="M4397" s="8" t="n"/>
      <c r="N4397" s="8" t="n"/>
      <c r="O4397" s="8" t="n"/>
      <c r="P4397" s="8" t="n"/>
      <c r="Q4397" s="7" t="inlineStr">
        <is>
          <t>SEM COTAÇÃO</t>
        </is>
      </c>
      <c r="R4397" s="8" t="n"/>
      <c r="S4397" s="14" t="n"/>
      <c r="T4397" s="7" t="inlineStr"/>
      <c r="U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8" t="n"/>
      <c r="M4398" s="8" t="n"/>
      <c r="N4398" s="8" t="n"/>
      <c r="O4398" s="8" t="n"/>
      <c r="P4398" s="8" t="n"/>
      <c r="Q4398" s="7" t="inlineStr">
        <is>
          <t>SEM COTAÇÃO</t>
        </is>
      </c>
      <c r="R4398" s="8" t="n"/>
      <c r="S4398" s="14" t="n"/>
      <c r="T4398" s="7" t="inlineStr"/>
      <c r="U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8" t="n"/>
      <c r="M4399" s="8" t="n"/>
      <c r="N4399" s="8" t="n"/>
      <c r="O4399" s="8" t="n"/>
      <c r="P4399" s="8" t="n"/>
      <c r="Q4399" s="7" t="inlineStr">
        <is>
          <t>SEM COTAÇÃO</t>
        </is>
      </c>
      <c r="R4399" s="8" t="n"/>
      <c r="S4399" s="14" t="n"/>
      <c r="T4399" s="7" t="inlineStr"/>
      <c r="U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8" t="n"/>
      <c r="M4400" s="8" t="n"/>
      <c r="N4400" s="8" t="n"/>
      <c r="O4400" s="8" t="n"/>
      <c r="P4400" s="8" t="n"/>
      <c r="Q4400" s="7" t="inlineStr">
        <is>
          <t>SEM COTAÇÃO</t>
        </is>
      </c>
      <c r="R4400" s="8" t="n"/>
      <c r="S4400" s="14" t="n"/>
      <c r="T4400" s="7" t="inlineStr"/>
      <c r="U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8" t="n"/>
      <c r="M4401" s="8" t="n"/>
      <c r="N4401" s="8" t="n"/>
      <c r="O4401" s="8" t="n"/>
      <c r="P4401" s="8" t="n"/>
      <c r="Q4401" s="7" t="inlineStr">
        <is>
          <t>SEM COTAÇÃO</t>
        </is>
      </c>
      <c r="R4401" s="8" t="n"/>
      <c r="S4401" s="14" t="n"/>
      <c r="T4401" s="7" t="inlineStr"/>
      <c r="U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8" t="n"/>
      <c r="M4402" s="8" t="n"/>
      <c r="N4402" s="8" t="n"/>
      <c r="O4402" s="8" t="n"/>
      <c r="P4402" s="8" t="n"/>
      <c r="Q4402" s="7" t="inlineStr">
        <is>
          <t>SEM COTAÇÃO</t>
        </is>
      </c>
      <c r="R4402" s="8" t="n"/>
      <c r="S4402" s="14" t="n"/>
      <c r="T4402" s="7" t="inlineStr"/>
      <c r="U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8" t="n"/>
      <c r="M4403" s="8" t="n"/>
      <c r="N4403" s="8" t="n"/>
      <c r="O4403" s="8" t="n"/>
      <c r="P4403" s="8" t="n"/>
      <c r="Q4403" s="7" t="inlineStr">
        <is>
          <t>SEM COTAÇÃO</t>
        </is>
      </c>
      <c r="R4403" s="8" t="n"/>
      <c r="S4403" s="14" t="n"/>
      <c r="T4403" s="7" t="inlineStr"/>
      <c r="U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8" t="n"/>
      <c r="M4404" s="8" t="n"/>
      <c r="N4404" s="8" t="n"/>
      <c r="O4404" s="8" t="n"/>
      <c r="P4404" s="8" t="n"/>
      <c r="Q4404" s="7" t="inlineStr">
        <is>
          <t>SEM COTAÇÃO</t>
        </is>
      </c>
      <c r="R4404" s="8" t="n"/>
      <c r="S4404" s="14" t="n"/>
      <c r="T4404" s="7" t="inlineStr"/>
      <c r="U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8" t="n"/>
      <c r="M4405" s="8" t="n"/>
      <c r="N4405" s="8" t="n"/>
      <c r="O4405" s="15" t="n">
        <v>19.68</v>
      </c>
      <c r="P4405" s="8" t="n"/>
      <c r="Q4405" s="7" t="inlineStr">
        <is>
          <t>NAZARIA</t>
        </is>
      </c>
      <c r="R4405" s="8" t="n">
        <v>19.68</v>
      </c>
      <c r="S4405" s="14">
        <f>R4405/H4405-1</f>
        <v/>
      </c>
      <c r="T4405" s="16" t="inlineStr">
        <is>
          <t>ACIMA +14.8%</t>
        </is>
      </c>
      <c r="U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8" t="n"/>
      <c r="M4406" s="8" t="n"/>
      <c r="N4406" s="8" t="n"/>
      <c r="O4406" s="15" t="n">
        <v>12.87</v>
      </c>
      <c r="P4406" s="8" t="n"/>
      <c r="Q4406" s="7" t="inlineStr">
        <is>
          <t>NAZARIA</t>
        </is>
      </c>
      <c r="R4406" s="8" t="n">
        <v>12.87</v>
      </c>
      <c r="S4406" s="14">
        <f>R4406/H4406-1</f>
        <v/>
      </c>
      <c r="T4406" s="16" t="inlineStr">
        <is>
          <t>ACIMA +6.5%</t>
        </is>
      </c>
      <c r="U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8" t="n"/>
      <c r="M4407" s="8" t="n"/>
      <c r="N4407" s="8" t="n"/>
      <c r="O4407" s="8" t="n"/>
      <c r="P4407" s="8" t="n"/>
      <c r="Q4407" s="7" t="inlineStr">
        <is>
          <t>SEM COTAÇÃO</t>
        </is>
      </c>
      <c r="R4407" s="8" t="n"/>
      <c r="S4407" s="14" t="n"/>
      <c r="T4407" s="7" t="inlineStr"/>
      <c r="U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8" t="n"/>
      <c r="M4408" s="8" t="n"/>
      <c r="N4408" s="8" t="n"/>
      <c r="O4408" s="15" t="n">
        <v>19.68</v>
      </c>
      <c r="P4408" s="8" t="n"/>
      <c r="Q4408" s="7" t="inlineStr">
        <is>
          <t>NAZARIA</t>
        </is>
      </c>
      <c r="R4408" s="8" t="n">
        <v>19.68</v>
      </c>
      <c r="S4408" s="14">
        <f>R4408/H4408-1</f>
        <v/>
      </c>
      <c r="T4408" s="16" t="inlineStr">
        <is>
          <t>ACIMA +14.8%</t>
        </is>
      </c>
      <c r="U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8" t="n"/>
      <c r="M4409" s="8" t="n"/>
      <c r="N4409" s="8" t="n"/>
      <c r="O4409" s="8" t="n"/>
      <c r="P4409" s="8" t="n"/>
      <c r="Q4409" s="7" t="inlineStr">
        <is>
          <t>SEM COTAÇÃO</t>
        </is>
      </c>
      <c r="R4409" s="8" t="n"/>
      <c r="S4409" s="14" t="n"/>
      <c r="T4409" s="7" t="inlineStr"/>
      <c r="U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8" t="n"/>
      <c r="M4410" s="8" t="n">
        <v>4.58</v>
      </c>
      <c r="N4410" s="8" t="n"/>
      <c r="O4410" s="8" t="n">
        <v>5.88</v>
      </c>
      <c r="P4410" s="8" t="n">
        <v>5.27</v>
      </c>
      <c r="Q4410" s="7" t="inlineStr">
        <is>
          <t>DIMEC</t>
        </is>
      </c>
      <c r="R4410" s="8" t="n">
        <v>4.31</v>
      </c>
      <c r="S4410" s="14">
        <f>R4410/H4410-1</f>
        <v/>
      </c>
      <c r="T4410" s="17" t="inlineStr">
        <is>
          <t>OK (≤ menor hist.)</t>
        </is>
      </c>
      <c r="U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8" t="n"/>
      <c r="M4411" s="8" t="n"/>
      <c r="N4411" s="8" t="n"/>
      <c r="O4411" s="15" t="n">
        <v>12.87</v>
      </c>
      <c r="P4411" s="8" t="n"/>
      <c r="Q4411" s="7" t="inlineStr">
        <is>
          <t>NAZARIA</t>
        </is>
      </c>
      <c r="R4411" s="8" t="n">
        <v>12.87</v>
      </c>
      <c r="S4411" s="14">
        <f>R4411/H4411-1</f>
        <v/>
      </c>
      <c r="T4411" s="16" t="inlineStr">
        <is>
          <t>ACIMA +22.6%</t>
        </is>
      </c>
      <c r="U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8" t="n"/>
      <c r="M4412" s="8" t="n"/>
      <c r="N4412" s="8" t="n"/>
      <c r="O4412" s="15" t="n">
        <v>48.66</v>
      </c>
      <c r="P4412" s="8" t="n"/>
      <c r="Q4412" s="7" t="inlineStr">
        <is>
          <t>NAZARIA</t>
        </is>
      </c>
      <c r="R4412" s="8" t="n">
        <v>48.66</v>
      </c>
      <c r="S4412" s="14">
        <f>R4412/H4412-1</f>
        <v/>
      </c>
      <c r="T4412" s="16" t="inlineStr">
        <is>
          <t>ACIMA +9.1%</t>
        </is>
      </c>
      <c r="U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8" t="n"/>
      <c r="M4413" s="8" t="n"/>
      <c r="N4413" s="8" t="n"/>
      <c r="O4413" s="8" t="n"/>
      <c r="P4413" s="8" t="n"/>
      <c r="Q4413" s="7" t="inlineStr">
        <is>
          <t>SEM COTAÇÃO</t>
        </is>
      </c>
      <c r="R4413" s="8" t="n"/>
      <c r="S4413" s="14" t="n"/>
      <c r="T4413" s="7" t="inlineStr"/>
      <c r="U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8" t="n"/>
      <c r="M4414" s="15" t="n">
        <v>52.58</v>
      </c>
      <c r="N4414" s="8" t="n"/>
      <c r="O4414" s="8" t="n"/>
      <c r="P4414" s="8" t="n"/>
      <c r="Q4414" s="7" t="inlineStr">
        <is>
          <t>CENTROFARMA</t>
        </is>
      </c>
      <c r="R4414" s="8" t="n">
        <v>52.58</v>
      </c>
      <c r="S4414" s="14">
        <f>R4414/H4414-1</f>
        <v/>
      </c>
      <c r="T4414" s="16" t="inlineStr">
        <is>
          <t>ACIMA +6.1%</t>
        </is>
      </c>
      <c r="U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51.3</v>
      </c>
      <c r="K4415" s="8" t="n"/>
      <c r="L4415" s="15" t="n">
        <v>39.88</v>
      </c>
      <c r="M4415" s="8" t="n">
        <v>54.55</v>
      </c>
      <c r="N4415" s="8" t="n"/>
      <c r="O4415" s="8" t="n"/>
      <c r="P4415" s="8" t="n"/>
      <c r="Q4415" s="7" t="inlineStr">
        <is>
          <t>EPAN</t>
        </is>
      </c>
      <c r="R4415" s="8" t="n">
        <v>39.88</v>
      </c>
      <c r="S4415" s="14">
        <f>R4415/H4415-1</f>
        <v/>
      </c>
      <c r="T4415" s="17" t="inlineStr">
        <is>
          <t>OK (≤ menor hist.)</t>
        </is>
      </c>
      <c r="U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8" t="n"/>
      <c r="M4416" s="8" t="n"/>
      <c r="N4416" s="8" t="n"/>
      <c r="O4416" s="8" t="n"/>
      <c r="P4416" s="8" t="n"/>
      <c r="Q4416" s="7" t="inlineStr">
        <is>
          <t>PLUSFARMA</t>
        </is>
      </c>
      <c r="R4416" s="8" t="n">
        <v>29.9</v>
      </c>
      <c r="S4416" s="14">
        <f>R4416/H4416-1</f>
        <v/>
      </c>
      <c r="T4416" s="17" t="inlineStr">
        <is>
          <t>OK (≤ menor hist.)</t>
        </is>
      </c>
      <c r="U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67.45999999999999</v>
      </c>
      <c r="K4417" s="8" t="n"/>
      <c r="L4417" s="15" t="n">
        <v>52.34</v>
      </c>
      <c r="M4417" s="8" t="n">
        <v>68.90000000000001</v>
      </c>
      <c r="N4417" s="8" t="n"/>
      <c r="O4417" s="8" t="n"/>
      <c r="P4417" s="8" t="n">
        <v>77.98</v>
      </c>
      <c r="Q4417" s="7" t="inlineStr">
        <is>
          <t>EPAN</t>
        </is>
      </c>
      <c r="R4417" s="8" t="n">
        <v>52.34</v>
      </c>
      <c r="S4417" s="14">
        <f>R4417/H4417-1</f>
        <v/>
      </c>
      <c r="T4417" s="16" t="inlineStr">
        <is>
          <t>ACIMA +1.4%</t>
        </is>
      </c>
      <c r="U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8" t="n"/>
      <c r="M4418" s="8" t="n"/>
      <c r="N4418" s="8" t="n"/>
      <c r="O4418" s="8" t="n"/>
      <c r="P4418" s="8" t="n"/>
      <c r="Q4418" s="7" t="inlineStr">
        <is>
          <t>SEM COTAÇÃO</t>
        </is>
      </c>
      <c r="R4418" s="8" t="n"/>
      <c r="S4418" s="14" t="n"/>
      <c r="T4418" s="7" t="inlineStr"/>
      <c r="U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15" t="n">
        <v>175.73</v>
      </c>
      <c r="M4419" s="8" t="n"/>
      <c r="N4419" s="8" t="n"/>
      <c r="O4419" s="8" t="n">
        <v>211.55</v>
      </c>
      <c r="P4419" s="8" t="n"/>
      <c r="Q4419" s="7" t="inlineStr">
        <is>
          <t>EPAN</t>
        </is>
      </c>
      <c r="R4419" s="8" t="n">
        <v>175.73</v>
      </c>
      <c r="S4419" s="14">
        <f>R4419/H4419-1</f>
        <v/>
      </c>
      <c r="T4419" s="16" t="inlineStr">
        <is>
          <t>ACIMA +170.4%</t>
        </is>
      </c>
      <c r="U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8" t="n"/>
      <c r="M4420" s="8" t="n"/>
      <c r="N4420" s="8" t="n"/>
      <c r="O4420" s="8" t="n"/>
      <c r="P4420" s="8" t="n"/>
      <c r="Q4420" s="7" t="inlineStr">
        <is>
          <t>SEM COTAÇÃO</t>
        </is>
      </c>
      <c r="R4420" s="8" t="n"/>
      <c r="S4420" s="14" t="n"/>
      <c r="T4420" s="7" t="inlineStr"/>
      <c r="U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8" t="n"/>
      <c r="M4421" s="8" t="n"/>
      <c r="N4421" s="8" t="n"/>
      <c r="O4421" s="8" t="n"/>
      <c r="P4421" s="8" t="n"/>
      <c r="Q4421" s="7" t="inlineStr">
        <is>
          <t>SEM COTAÇÃO</t>
        </is>
      </c>
      <c r="R4421" s="8" t="n"/>
      <c r="S4421" s="14" t="n"/>
      <c r="T4421" s="7" t="inlineStr"/>
      <c r="U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8" t="n"/>
      <c r="M4422" s="8" t="n"/>
      <c r="N4422" s="8" t="n"/>
      <c r="O4422" s="8" t="n"/>
      <c r="P4422" s="8" t="n"/>
      <c r="Q4422" s="7" t="inlineStr">
        <is>
          <t>SEM COTAÇÃO</t>
        </is>
      </c>
      <c r="R4422" s="8" t="n"/>
      <c r="S4422" s="14" t="n"/>
      <c r="T4422" s="7" t="inlineStr"/>
      <c r="U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8" t="n"/>
      <c r="M4423" s="8" t="n"/>
      <c r="N4423" s="8" t="n"/>
      <c r="O4423" s="8" t="n"/>
      <c r="P4423" s="8" t="n"/>
      <c r="Q4423" s="7" t="inlineStr">
        <is>
          <t>SEM COTAÇÃO</t>
        </is>
      </c>
      <c r="R4423" s="8" t="n"/>
      <c r="S4423" s="14" t="n"/>
      <c r="T4423" s="7" t="inlineStr"/>
      <c r="U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8" t="n"/>
      <c r="M4424" s="8" t="n"/>
      <c r="N4424" s="8" t="n"/>
      <c r="O4424" s="8" t="n"/>
      <c r="P4424" s="8" t="n"/>
      <c r="Q4424" s="7" t="inlineStr">
        <is>
          <t>SEM COTAÇÃO</t>
        </is>
      </c>
      <c r="R4424" s="8" t="n"/>
      <c r="S4424" s="14" t="n"/>
      <c r="T4424" s="7" t="inlineStr"/>
      <c r="U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8" t="n"/>
      <c r="M4425" s="8" t="n"/>
      <c r="N4425" s="8" t="n"/>
      <c r="O4425" s="8" t="n"/>
      <c r="P4425" s="8" t="n"/>
      <c r="Q4425" s="7" t="inlineStr">
        <is>
          <t>SEM COTAÇÃO</t>
        </is>
      </c>
      <c r="R4425" s="8" t="n"/>
      <c r="S4425" s="14" t="n"/>
      <c r="T4425" s="7" t="inlineStr"/>
      <c r="U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8" t="n"/>
      <c r="M4426" s="8" t="n"/>
      <c r="N4426" s="8" t="n"/>
      <c r="O4426" s="15" t="n">
        <v>12.19</v>
      </c>
      <c r="P4426" s="8" t="n"/>
      <c r="Q4426" s="7" t="inlineStr">
        <is>
          <t>NAZARIA</t>
        </is>
      </c>
      <c r="R4426" s="8" t="n">
        <v>12.19</v>
      </c>
      <c r="S4426" s="14">
        <f>R4426/H4426-1</f>
        <v/>
      </c>
      <c r="T4426" s="16" t="inlineStr">
        <is>
          <t>ACIMA +75.9%</t>
        </is>
      </c>
      <c r="U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8" t="n"/>
      <c r="M4427" s="8" t="n"/>
      <c r="N4427" s="8" t="n"/>
      <c r="O4427" s="8" t="n"/>
      <c r="P4427" s="8" t="n"/>
      <c r="Q4427" s="7" t="inlineStr">
        <is>
          <t>SEM COTAÇÃO</t>
        </is>
      </c>
      <c r="R4427" s="8" t="n"/>
      <c r="S4427" s="14" t="n"/>
      <c r="T4427" s="7" t="inlineStr"/>
      <c r="U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8" t="n"/>
      <c r="M4428" s="8" t="n"/>
      <c r="N4428" s="8" t="n"/>
      <c r="O4428" s="15" t="n">
        <v>13.3</v>
      </c>
      <c r="P4428" s="8" t="n"/>
      <c r="Q4428" s="7" t="inlineStr">
        <is>
          <t>NAZARIA</t>
        </is>
      </c>
      <c r="R4428" s="8" t="n">
        <v>13.3</v>
      </c>
      <c r="S4428" s="14">
        <f>R4428/H4428-1</f>
        <v/>
      </c>
      <c r="T4428" s="16" t="inlineStr">
        <is>
          <t>ACIMA +104.0%</t>
        </is>
      </c>
      <c r="U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8" t="n"/>
      <c r="M4429" s="8" t="n"/>
      <c r="N4429" s="8" t="n"/>
      <c r="O4429" s="8" t="n"/>
      <c r="P4429" s="8" t="n"/>
      <c r="Q4429" s="7" t="inlineStr">
        <is>
          <t>SEM COTAÇÃO</t>
        </is>
      </c>
      <c r="R4429" s="8" t="n"/>
      <c r="S4429" s="14" t="n"/>
      <c r="T4429" s="7" t="inlineStr"/>
      <c r="U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8" t="n"/>
      <c r="M4430" s="8" t="n"/>
      <c r="N4430" s="8" t="n"/>
      <c r="O4430" s="8" t="n"/>
      <c r="P4430" s="8" t="n"/>
      <c r="Q4430" s="7" t="inlineStr">
        <is>
          <t>SEM COTAÇÃO</t>
        </is>
      </c>
      <c r="R4430" s="8" t="n"/>
      <c r="S4430" s="14" t="n"/>
      <c r="T4430" s="7" t="inlineStr"/>
      <c r="U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8" t="n"/>
      <c r="M4431" s="8" t="n"/>
      <c r="N4431" s="8" t="n"/>
      <c r="O4431" s="8" t="n">
        <v>28.15</v>
      </c>
      <c r="P4431" s="8" t="n"/>
      <c r="Q4431" s="7" t="inlineStr">
        <is>
          <t>SEM COTAÇÃO</t>
        </is>
      </c>
      <c r="R4431" s="8" t="n"/>
      <c r="S4431" s="14" t="n"/>
      <c r="T4431" s="7" t="inlineStr"/>
      <c r="U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8" t="n"/>
      <c r="M4432" s="8" t="n"/>
      <c r="N4432" s="8" t="n"/>
      <c r="O4432" s="15" t="n">
        <v>14.87</v>
      </c>
      <c r="P4432" s="8" t="n"/>
      <c r="Q4432" s="7" t="inlineStr">
        <is>
          <t>NAZARIA</t>
        </is>
      </c>
      <c r="R4432" s="8" t="n">
        <v>14.87</v>
      </c>
      <c r="S4432" s="14">
        <f>R4432/H4432-1</f>
        <v/>
      </c>
      <c r="T4432" s="16" t="inlineStr">
        <is>
          <t>ACIMA +65.0%</t>
        </is>
      </c>
      <c r="U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8" t="n"/>
      <c r="M4433" s="8" t="n"/>
      <c r="N4433" s="8" t="n"/>
      <c r="O4433" s="8" t="n"/>
      <c r="P4433" s="8" t="n"/>
      <c r="Q4433" s="7" t="inlineStr">
        <is>
          <t>SEM COTAÇÃO</t>
        </is>
      </c>
      <c r="R4433" s="8" t="n"/>
      <c r="S4433" s="14" t="n"/>
      <c r="T4433" s="7" t="inlineStr"/>
      <c r="U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8" t="n"/>
      <c r="M4434" s="8" t="n"/>
      <c r="N4434" s="8" t="n"/>
      <c r="O4434" s="8" t="n"/>
      <c r="P4434" s="8" t="n"/>
      <c r="Q4434" s="7" t="inlineStr">
        <is>
          <t>SEM COTAÇÃO</t>
        </is>
      </c>
      <c r="R4434" s="8" t="n"/>
      <c r="S4434" s="14" t="n"/>
      <c r="T4434" s="7" t="inlineStr"/>
      <c r="U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8" t="n"/>
      <c r="M4435" s="8" t="n"/>
      <c r="N4435" s="8" t="n"/>
      <c r="O4435" s="8" t="n"/>
      <c r="P4435" s="8" t="n"/>
      <c r="Q4435" s="7" t="inlineStr">
        <is>
          <t>SEM COTAÇÃO</t>
        </is>
      </c>
      <c r="R4435" s="8" t="n"/>
      <c r="S4435" s="14" t="n"/>
      <c r="T4435" s="7" t="inlineStr"/>
      <c r="U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8" t="n"/>
      <c r="M4436" s="8" t="n"/>
      <c r="N4436" s="8" t="n"/>
      <c r="O4436" s="8" t="n"/>
      <c r="P4436" s="8" t="n"/>
      <c r="Q4436" s="7" t="inlineStr">
        <is>
          <t>SEM COTAÇÃO</t>
        </is>
      </c>
      <c r="R4436" s="8" t="n"/>
      <c r="S4436" s="14" t="n"/>
      <c r="T4436" s="7" t="inlineStr"/>
      <c r="U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8" t="n"/>
      <c r="M4437" s="8" t="n"/>
      <c r="N4437" s="8" t="n"/>
      <c r="O4437" s="8" t="n"/>
      <c r="P4437" s="8" t="n"/>
      <c r="Q4437" s="7" t="inlineStr">
        <is>
          <t>SEM COTAÇÃO</t>
        </is>
      </c>
      <c r="R4437" s="8" t="n"/>
      <c r="S4437" s="14" t="n"/>
      <c r="T4437" s="7" t="inlineStr"/>
      <c r="U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8" t="n"/>
      <c r="M4438" s="8" t="n"/>
      <c r="N4438" s="8" t="n"/>
      <c r="O4438" s="15" t="n">
        <v>4.0255</v>
      </c>
      <c r="P4438" s="8" t="n"/>
      <c r="Q4438" s="7" t="inlineStr">
        <is>
          <t>NAZARIA</t>
        </is>
      </c>
      <c r="R4438" s="8" t="n">
        <v>4.0255</v>
      </c>
      <c r="S4438" s="14">
        <f>R4438/H4438-1</f>
        <v/>
      </c>
      <c r="T4438" s="17" t="inlineStr">
        <is>
          <t>OK (≤ menor hist.)</t>
        </is>
      </c>
      <c r="U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8" t="n"/>
      <c r="M4439" s="8" t="n"/>
      <c r="N4439" s="8" t="n"/>
      <c r="O4439" s="8" t="n"/>
      <c r="P4439" s="8" t="n"/>
      <c r="Q4439" s="7" t="inlineStr">
        <is>
          <t>SEM COTAÇÃO</t>
        </is>
      </c>
      <c r="R4439" s="8" t="n"/>
      <c r="S4439" s="14" t="n"/>
      <c r="T4439" s="7" t="inlineStr"/>
      <c r="U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8" t="n"/>
      <c r="M4440" s="8" t="n"/>
      <c r="N4440" s="8" t="n"/>
      <c r="O4440" s="8" t="n"/>
      <c r="P4440" s="8" t="n"/>
      <c r="Q4440" s="7" t="inlineStr">
        <is>
          <t>SEM COTAÇÃO</t>
        </is>
      </c>
      <c r="R4440" s="8" t="n"/>
      <c r="S4440" s="14" t="n"/>
      <c r="T4440" s="7" t="inlineStr"/>
      <c r="U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8" t="n"/>
      <c r="M4441" s="8" t="n"/>
      <c r="N4441" s="8" t="n"/>
      <c r="O4441" s="8" t="n"/>
      <c r="P4441" s="15" t="n">
        <v>7.38</v>
      </c>
      <c r="Q4441" s="7" t="inlineStr">
        <is>
          <t>MEDCENTRO</t>
        </is>
      </c>
      <c r="R4441" s="8" t="n">
        <v>7.38</v>
      </c>
      <c r="S4441" s="14">
        <f>R4441/H4441-1</f>
        <v/>
      </c>
      <c r="T4441" s="17" t="inlineStr">
        <is>
          <t>OK (≤ menor hist.)</t>
        </is>
      </c>
      <c r="U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8" t="n"/>
      <c r="M4442" s="8" t="n"/>
      <c r="N4442" s="15" t="n">
        <v>28.22</v>
      </c>
      <c r="O4442" s="8" t="n">
        <v>28.8288</v>
      </c>
      <c r="P4442" s="8" t="n"/>
      <c r="Q4442" s="7" t="inlineStr">
        <is>
          <t>TAPAJOS</t>
        </is>
      </c>
      <c r="R4442" s="8" t="n">
        <v>28.22</v>
      </c>
      <c r="S4442" s="14">
        <f>R4442/H4442-1</f>
        <v/>
      </c>
      <c r="T4442" s="16" t="inlineStr">
        <is>
          <t>ACIMA +0.5%</t>
        </is>
      </c>
      <c r="U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8" t="n"/>
      <c r="M4443" s="8" t="n"/>
      <c r="N4443" s="8" t="n"/>
      <c r="O4443" s="8" t="n"/>
      <c r="P4443" s="8" t="n"/>
      <c r="Q4443" s="7" t="inlineStr">
        <is>
          <t>SEM COTAÇÃO</t>
        </is>
      </c>
      <c r="R4443" s="8" t="n"/>
      <c r="S4443" s="14" t="n"/>
      <c r="T4443" s="7" t="inlineStr"/>
      <c r="U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7" t="inlineStr">
        <is>
          <t>SEM COTAÇÃO</t>
        </is>
      </c>
      <c r="R4444" s="8" t="n"/>
      <c r="S4444" s="14" t="n"/>
      <c r="T4444" s="7" t="inlineStr"/>
      <c r="U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8" t="n"/>
      <c r="M4445" s="8" t="n"/>
      <c r="N4445" s="8" t="n"/>
      <c r="O4445" s="8" t="n"/>
      <c r="P4445" s="8" t="n"/>
      <c r="Q4445" s="7" t="inlineStr">
        <is>
          <t>SEM COTAÇÃO</t>
        </is>
      </c>
      <c r="R4445" s="8" t="n"/>
      <c r="S4445" s="14" t="n"/>
      <c r="T4445" s="7" t="inlineStr"/>
      <c r="U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8" t="n"/>
      <c r="M4446" s="8" t="n"/>
      <c r="N4446" s="8" t="n"/>
      <c r="O4446" s="8" t="n"/>
      <c r="P4446" s="8" t="n"/>
      <c r="Q4446" s="7" t="inlineStr">
        <is>
          <t>SEM COTAÇÃO</t>
        </is>
      </c>
      <c r="R4446" s="8" t="n"/>
      <c r="S4446" s="14" t="n"/>
      <c r="T4446" s="7" t="inlineStr"/>
      <c r="U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15" t="n">
        <v>26.08</v>
      </c>
      <c r="M4447" s="8" t="n"/>
      <c r="N4447" s="8" t="n">
        <v>26.81</v>
      </c>
      <c r="O4447" s="8" t="n">
        <v>27.807</v>
      </c>
      <c r="P4447" s="8" t="n"/>
      <c r="Q4447" s="7" t="inlineStr">
        <is>
          <t>EPAN</t>
        </is>
      </c>
      <c r="R4447" s="8" t="n">
        <v>26.08</v>
      </c>
      <c r="S4447" s="14">
        <f>R4447/H4447-1</f>
        <v/>
      </c>
      <c r="T4447" s="17" t="inlineStr">
        <is>
          <t>OK (≤ últ. compra)</t>
        </is>
      </c>
      <c r="U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8" t="n"/>
      <c r="M4448" s="8" t="n"/>
      <c r="N4448" s="8" t="n"/>
      <c r="O4448" s="8" t="n"/>
      <c r="P4448" s="8" t="n"/>
      <c r="Q4448" s="7" t="inlineStr">
        <is>
          <t>SEM COTAÇÃO</t>
        </is>
      </c>
      <c r="R4448" s="8" t="n"/>
      <c r="S4448" s="14" t="n"/>
      <c r="T4448" s="7" t="inlineStr"/>
      <c r="U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8" t="n"/>
      <c r="M4449" s="8" t="n"/>
      <c r="N4449" s="8" t="n"/>
      <c r="O4449" s="15" t="n">
        <v>51.2246</v>
      </c>
      <c r="P4449" s="8" t="n"/>
      <c r="Q4449" s="7" t="inlineStr">
        <is>
          <t>NAZARIA</t>
        </is>
      </c>
      <c r="R4449" s="8" t="n">
        <v>51.2246</v>
      </c>
      <c r="S4449" s="14">
        <f>R4449/H4449-1</f>
        <v/>
      </c>
      <c r="T4449" s="16" t="inlineStr">
        <is>
          <t>ACIMA +1.4%</t>
        </is>
      </c>
      <c r="U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8" t="n"/>
      <c r="M4450" s="8" t="n"/>
      <c r="N4450" s="8" t="n"/>
      <c r="O4450" s="8" t="n"/>
      <c r="P4450" s="8" t="n"/>
      <c r="Q4450" s="7" t="inlineStr">
        <is>
          <t>SEM COTAÇÃO</t>
        </is>
      </c>
      <c r="R4450" s="8" t="n"/>
      <c r="S4450" s="14" t="n"/>
      <c r="T4450" s="7" t="inlineStr"/>
      <c r="U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8" t="n"/>
      <c r="M4451" s="8" t="n"/>
      <c r="N4451" s="8" t="n"/>
      <c r="O4451" s="8" t="n"/>
      <c r="P4451" s="8" t="n"/>
      <c r="Q4451" s="7" t="inlineStr">
        <is>
          <t>SEM COTAÇÃO</t>
        </is>
      </c>
      <c r="R4451" s="8" t="n"/>
      <c r="S4451" s="14" t="n"/>
      <c r="T4451" s="7" t="inlineStr"/>
      <c r="U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8" t="n"/>
      <c r="M4452" s="8" t="n"/>
      <c r="N4452" s="8" t="n"/>
      <c r="O4452" s="8" t="n"/>
      <c r="P4452" s="8" t="n"/>
      <c r="Q4452" s="7" t="inlineStr">
        <is>
          <t>SEM COTAÇÃO</t>
        </is>
      </c>
      <c r="R4452" s="8" t="n"/>
      <c r="S4452" s="14" t="n"/>
      <c r="T4452" s="7" t="inlineStr"/>
      <c r="U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8" t="n"/>
      <c r="M4453" s="8" t="n"/>
      <c r="N4453" s="8" t="n"/>
      <c r="O4453" s="8" t="n"/>
      <c r="P4453" s="8" t="n"/>
      <c r="Q4453" s="7" t="inlineStr">
        <is>
          <t>SEM COTAÇÃO</t>
        </is>
      </c>
      <c r="R4453" s="8" t="n"/>
      <c r="S4453" s="14" t="n"/>
      <c r="T4453" s="7" t="inlineStr"/>
      <c r="U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8" t="n"/>
      <c r="M4454" s="8" t="n"/>
      <c r="N4454" s="8" t="n"/>
      <c r="O4454" s="8" t="n"/>
      <c r="P4454" s="8" t="n"/>
      <c r="Q4454" s="7" t="inlineStr">
        <is>
          <t>SEM COTAÇÃO</t>
        </is>
      </c>
      <c r="R4454" s="8" t="n"/>
      <c r="S4454" s="14" t="n"/>
      <c r="T4454" s="7" t="inlineStr"/>
      <c r="U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8" t="n"/>
      <c r="M4455" s="8" t="n"/>
      <c r="N4455" s="8" t="n"/>
      <c r="O4455" s="8" t="n"/>
      <c r="P4455" s="8" t="n"/>
      <c r="Q4455" s="7" t="inlineStr">
        <is>
          <t>SEM COTAÇÃO</t>
        </is>
      </c>
      <c r="R4455" s="8" t="n"/>
      <c r="S4455" s="14" t="n"/>
      <c r="T4455" s="7" t="inlineStr"/>
      <c r="U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8" t="n"/>
      <c r="M4456" s="8" t="n"/>
      <c r="N4456" s="8" t="n"/>
      <c r="O4456" s="8" t="n">
        <v>42.86</v>
      </c>
      <c r="P4456" s="8" t="n">
        <v>36.85</v>
      </c>
      <c r="Q4456" s="7" t="inlineStr">
        <is>
          <t>DIMEC</t>
        </is>
      </c>
      <c r="R4456" s="8" t="n">
        <v>35.81</v>
      </c>
      <c r="S4456" s="14">
        <f>R4456/H4456-1</f>
        <v/>
      </c>
      <c r="T4456" s="17" t="inlineStr">
        <is>
          <t>OK (≤ menor hist.)</t>
        </is>
      </c>
      <c r="U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8" t="n"/>
      <c r="M4457" s="8" t="n"/>
      <c r="N4457" s="8" t="n"/>
      <c r="O4457" s="8" t="n"/>
      <c r="P4457" s="8" t="n"/>
      <c r="Q4457" s="7" t="inlineStr">
        <is>
          <t>SEM COTAÇÃO</t>
        </is>
      </c>
      <c r="R4457" s="8" t="n"/>
      <c r="S4457" s="14" t="n"/>
      <c r="T4457" s="7" t="inlineStr"/>
      <c r="U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8" t="n"/>
      <c r="M4458" s="8" t="n"/>
      <c r="N4458" s="8" t="n"/>
      <c r="O4458" s="8" t="n"/>
      <c r="P4458" s="8" t="n"/>
      <c r="Q4458" s="7" t="inlineStr">
        <is>
          <t>SEM COTAÇÃO</t>
        </is>
      </c>
      <c r="R4458" s="8" t="n"/>
      <c r="S4458" s="14" t="n"/>
      <c r="T4458" s="7" t="inlineStr"/>
      <c r="U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8" t="n"/>
      <c r="M4459" s="8" t="n"/>
      <c r="N4459" s="8" t="n"/>
      <c r="O4459" s="8" t="n"/>
      <c r="P4459" s="8" t="n"/>
      <c r="Q4459" s="7" t="inlineStr">
        <is>
          <t>SEM COTAÇÃO</t>
        </is>
      </c>
      <c r="R4459" s="8" t="n"/>
      <c r="S4459" s="14" t="n"/>
      <c r="T4459" s="7" t="inlineStr"/>
      <c r="U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8" t="n"/>
      <c r="M4460" s="8" t="n"/>
      <c r="N4460" s="8" t="n"/>
      <c r="O4460" s="8" t="n"/>
      <c r="P4460" s="8" t="n"/>
      <c r="Q4460" s="7" t="inlineStr">
        <is>
          <t>SEM COTAÇÃO</t>
        </is>
      </c>
      <c r="R4460" s="8" t="n"/>
      <c r="S4460" s="14" t="n"/>
      <c r="T4460" s="7" t="inlineStr"/>
      <c r="U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8" t="n"/>
      <c r="M4461" s="8" t="n"/>
      <c r="N4461" s="8" t="n"/>
      <c r="O4461" s="8" t="n"/>
      <c r="P4461" s="8" t="n"/>
      <c r="Q4461" s="7" t="inlineStr">
        <is>
          <t>SEM COTAÇÃO</t>
        </is>
      </c>
      <c r="R4461" s="8" t="n"/>
      <c r="S4461" s="14" t="n"/>
      <c r="T4461" s="7" t="inlineStr"/>
      <c r="U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8" t="n"/>
      <c r="M4462" s="8" t="n"/>
      <c r="N4462" s="8" t="n"/>
      <c r="O4462" s="8" t="n"/>
      <c r="P4462" s="8" t="n"/>
      <c r="Q4462" s="7" t="inlineStr">
        <is>
          <t>SEM COTAÇÃO</t>
        </is>
      </c>
      <c r="R4462" s="8" t="n"/>
      <c r="S4462" s="14" t="n"/>
      <c r="T4462" s="7" t="inlineStr"/>
      <c r="U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8" t="n"/>
      <c r="M4463" s="8" t="n"/>
      <c r="N4463" s="8" t="n"/>
      <c r="O4463" s="8" t="n"/>
      <c r="P4463" s="8" t="n"/>
      <c r="Q4463" s="7" t="inlineStr">
        <is>
          <t>SEM COTAÇÃO</t>
        </is>
      </c>
      <c r="R4463" s="8" t="n"/>
      <c r="S4463" s="14" t="n"/>
      <c r="T4463" s="7" t="inlineStr"/>
      <c r="U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8" t="n"/>
      <c r="M4464" s="8" t="n"/>
      <c r="N4464" s="8" t="n"/>
      <c r="O4464" s="8" t="n"/>
      <c r="P4464" s="8" t="n"/>
      <c r="Q4464" s="7" t="inlineStr">
        <is>
          <t>SEM COTAÇÃO</t>
        </is>
      </c>
      <c r="R4464" s="8" t="n"/>
      <c r="S4464" s="14" t="n"/>
      <c r="T4464" s="7" t="inlineStr"/>
      <c r="U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8" t="n"/>
      <c r="M4465" s="8" t="n"/>
      <c r="N4465" s="8" t="n"/>
      <c r="O4465" s="8" t="n"/>
      <c r="P4465" s="8" t="n"/>
      <c r="Q4465" s="7" t="inlineStr">
        <is>
          <t>SEM COTAÇÃO</t>
        </is>
      </c>
      <c r="R4465" s="8" t="n"/>
      <c r="S4465" s="14" t="n"/>
      <c r="T4465" s="7" t="inlineStr"/>
      <c r="U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8" t="n"/>
      <c r="M4466" s="8" t="n"/>
      <c r="N4466" s="8" t="n"/>
      <c r="O4466" s="8" t="n"/>
      <c r="P4466" s="8" t="n"/>
      <c r="Q4466" s="7" t="inlineStr">
        <is>
          <t>SEM COTAÇÃO</t>
        </is>
      </c>
      <c r="R4466" s="8" t="n"/>
      <c r="S4466" s="14" t="n"/>
      <c r="T4466" s="7" t="inlineStr"/>
      <c r="U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8" t="n"/>
      <c r="M4467" s="8" t="n"/>
      <c r="N4467" s="8" t="n"/>
      <c r="O4467" s="8" t="n"/>
      <c r="P4467" s="8" t="n"/>
      <c r="Q4467" s="7" t="inlineStr">
        <is>
          <t>SEM COTAÇÃO</t>
        </is>
      </c>
      <c r="R4467" s="8" t="n"/>
      <c r="S4467" s="14" t="n"/>
      <c r="T4467" s="7" t="inlineStr"/>
      <c r="U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8" t="n"/>
      <c r="M4468" s="8" t="n"/>
      <c r="N4468" s="8" t="n"/>
      <c r="O4468" s="8" t="n"/>
      <c r="P4468" s="8" t="n"/>
      <c r="Q4468" s="7" t="inlineStr">
        <is>
          <t>SEM COTAÇÃO</t>
        </is>
      </c>
      <c r="R4468" s="8" t="n"/>
      <c r="S4468" s="14" t="n"/>
      <c r="T4468" s="7" t="inlineStr"/>
      <c r="U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8" t="n"/>
      <c r="M4469" s="8" t="n"/>
      <c r="N4469" s="8" t="n"/>
      <c r="O4469" s="8" t="n"/>
      <c r="P4469" s="8" t="n"/>
      <c r="Q4469" s="7" t="inlineStr">
        <is>
          <t>SEM COTAÇÃO</t>
        </is>
      </c>
      <c r="R4469" s="8" t="n"/>
      <c r="S4469" s="14" t="n"/>
      <c r="T4469" s="7" t="inlineStr"/>
      <c r="U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8" t="n"/>
      <c r="M4470" s="8" t="n"/>
      <c r="N4470" s="8" t="n"/>
      <c r="O4470" s="8" t="n"/>
      <c r="P4470" s="8" t="n"/>
      <c r="Q4470" s="7" t="inlineStr">
        <is>
          <t>SEM COTAÇÃO</t>
        </is>
      </c>
      <c r="R4470" s="8" t="n"/>
      <c r="S4470" s="14" t="n"/>
      <c r="T4470" s="7" t="inlineStr"/>
      <c r="U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8" t="n"/>
      <c r="M4471" s="8" t="n"/>
      <c r="N4471" s="8" t="n"/>
      <c r="O4471" s="8" t="n"/>
      <c r="P4471" s="8" t="n"/>
      <c r="Q4471" s="7" t="inlineStr">
        <is>
          <t>SEM COTAÇÃO</t>
        </is>
      </c>
      <c r="R4471" s="8" t="n"/>
      <c r="S4471" s="14" t="n"/>
      <c r="T4471" s="7" t="inlineStr"/>
      <c r="U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8" t="n"/>
      <c r="M4472" s="8" t="n"/>
      <c r="N4472" s="8" t="n"/>
      <c r="O4472" s="8" t="n"/>
      <c r="P4472" s="8" t="n"/>
      <c r="Q4472" s="7" t="inlineStr">
        <is>
          <t>SEM COTAÇÃO</t>
        </is>
      </c>
      <c r="R4472" s="8" t="n"/>
      <c r="S4472" s="14" t="n"/>
      <c r="T4472" s="7" t="inlineStr"/>
      <c r="U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8" t="n"/>
      <c r="M4473" s="8" t="n"/>
      <c r="N4473" s="8" t="n"/>
      <c r="O4473" s="15" t="n">
        <v>127.3</v>
      </c>
      <c r="P4473" s="8" t="n"/>
      <c r="Q4473" s="7" t="inlineStr">
        <is>
          <t>NAZARIA</t>
        </is>
      </c>
      <c r="R4473" s="8" t="n">
        <v>127.3</v>
      </c>
      <c r="S4473" s="14">
        <f>R4473/H4473-1</f>
        <v/>
      </c>
      <c r="T4473" s="16" t="inlineStr">
        <is>
          <t>ACIMA +21.5%</t>
        </is>
      </c>
      <c r="U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8" t="n"/>
      <c r="M4474" s="8" t="n"/>
      <c r="N4474" s="8" t="n"/>
      <c r="O4474" s="8" t="n"/>
      <c r="P4474" s="8" t="n"/>
      <c r="Q4474" s="7" t="inlineStr">
        <is>
          <t>SEM COTAÇÃO</t>
        </is>
      </c>
      <c r="R4474" s="8" t="n"/>
      <c r="S4474" s="14" t="n"/>
      <c r="T4474" s="7" t="inlineStr"/>
      <c r="U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8" t="n"/>
      <c r="M4475" s="8" t="n"/>
      <c r="N4475" s="8" t="n"/>
      <c r="O4475" s="8" t="n"/>
      <c r="P4475" s="8" t="n"/>
      <c r="Q4475" s="7" t="inlineStr">
        <is>
          <t>SEM COTAÇÃO</t>
        </is>
      </c>
      <c r="R4475" s="8" t="n"/>
      <c r="S4475" s="14" t="n"/>
      <c r="T4475" s="7" t="inlineStr"/>
      <c r="U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8" t="n"/>
      <c r="M4476" s="8" t="n"/>
      <c r="N4476" s="8" t="n"/>
      <c r="O4476" s="8" t="n"/>
      <c r="P4476" s="8" t="n"/>
      <c r="Q4476" s="7" t="inlineStr">
        <is>
          <t>SEM COTAÇÃO</t>
        </is>
      </c>
      <c r="R4476" s="8" t="n"/>
      <c r="S4476" s="14" t="n"/>
      <c r="T4476" s="7" t="inlineStr"/>
      <c r="U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8" t="n"/>
      <c r="M4477" s="8" t="n"/>
      <c r="N4477" s="8" t="n"/>
      <c r="O4477" s="8" t="n"/>
      <c r="P4477" s="8" t="n"/>
      <c r="Q4477" s="7" t="inlineStr">
        <is>
          <t>SEM COTAÇÃO</t>
        </is>
      </c>
      <c r="R4477" s="8" t="n"/>
      <c r="S4477" s="14" t="n"/>
      <c r="T4477" s="7" t="inlineStr"/>
      <c r="U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8" t="n"/>
      <c r="M4478" s="8" t="n"/>
      <c r="N4478" s="8" t="n"/>
      <c r="O4478" s="8" t="n"/>
      <c r="P4478" s="15" t="n">
        <v>32.68</v>
      </c>
      <c r="Q4478" s="7" t="inlineStr">
        <is>
          <t>MEDCENTRO</t>
        </is>
      </c>
      <c r="R4478" s="8" t="n">
        <v>32.68</v>
      </c>
      <c r="S4478" s="14">
        <f>R4478/H4478-1</f>
        <v/>
      </c>
      <c r="T4478" s="16" t="inlineStr">
        <is>
          <t>ACIMA +10.6%</t>
        </is>
      </c>
      <c r="U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8" t="n"/>
      <c r="M4479" s="8" t="n"/>
      <c r="N4479" s="8" t="n"/>
      <c r="O4479" s="8" t="n"/>
      <c r="P4479" s="8" t="n">
        <v>23.95</v>
      </c>
      <c r="Q4479" s="7" t="inlineStr">
        <is>
          <t>DIMEC</t>
        </is>
      </c>
      <c r="R4479" s="8" t="n">
        <v>22.59</v>
      </c>
      <c r="S4479" s="14">
        <f>R4479/H4479-1</f>
        <v/>
      </c>
      <c r="T4479" s="16" t="inlineStr">
        <is>
          <t>ACIMA +37.9%</t>
        </is>
      </c>
      <c r="U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8" t="n"/>
      <c r="M4480" s="8" t="n"/>
      <c r="N4480" s="15" t="n">
        <v>17.91</v>
      </c>
      <c r="O4480" s="8" t="n">
        <v>18.669</v>
      </c>
      <c r="P4480" s="8" t="n"/>
      <c r="Q4480" s="7" t="inlineStr">
        <is>
          <t>TAPAJOS</t>
        </is>
      </c>
      <c r="R4480" s="8" t="n">
        <v>17.91</v>
      </c>
      <c r="S4480" s="14">
        <f>R4480/H4480-1</f>
        <v/>
      </c>
      <c r="T4480" s="17" t="inlineStr">
        <is>
          <t>OK (≤ últ. compra)</t>
        </is>
      </c>
      <c r="U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8" t="n"/>
      <c r="M4481" s="8" t="n"/>
      <c r="N4481" s="8" t="n"/>
      <c r="O4481" s="8" t="n"/>
      <c r="P4481" s="8" t="n"/>
      <c r="Q4481" s="7" t="inlineStr">
        <is>
          <t>SEM COTAÇÃO</t>
        </is>
      </c>
      <c r="R4481" s="8" t="n"/>
      <c r="S4481" s="14" t="n"/>
      <c r="T4481" s="7" t="inlineStr"/>
      <c r="U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8" t="n"/>
      <c r="M4482" s="8" t="n"/>
      <c r="N4482" s="8" t="n"/>
      <c r="O4482" s="8" t="n"/>
      <c r="P4482" s="8" t="n"/>
      <c r="Q4482" s="7" t="inlineStr">
        <is>
          <t>SEM COTAÇÃO</t>
        </is>
      </c>
      <c r="R4482" s="8" t="n"/>
      <c r="S4482" s="14" t="n"/>
      <c r="T4482" s="7" t="inlineStr"/>
      <c r="U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8" t="n"/>
      <c r="M4483" s="8" t="n"/>
      <c r="N4483" s="8" t="n"/>
      <c r="O4483" s="8" t="n"/>
      <c r="P4483" s="8" t="n"/>
      <c r="Q4483" s="7" t="inlineStr">
        <is>
          <t>SEM COTAÇÃO</t>
        </is>
      </c>
      <c r="R4483" s="8" t="n"/>
      <c r="S4483" s="14" t="n"/>
      <c r="T4483" s="7" t="inlineStr"/>
      <c r="U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8" t="n">
        <v>73.68000000000001</v>
      </c>
      <c r="M4484" s="8" t="n"/>
      <c r="N4484" s="15" t="n">
        <v>72.44</v>
      </c>
      <c r="O4484" s="8" t="n">
        <v>74.7482</v>
      </c>
      <c r="P4484" s="8" t="n"/>
      <c r="Q4484" s="7" t="inlineStr">
        <is>
          <t>TAPAJOS</t>
        </is>
      </c>
      <c r="R4484" s="8" t="n">
        <v>72.44</v>
      </c>
      <c r="S4484" s="14">
        <f>R4484/H4484-1</f>
        <v/>
      </c>
      <c r="T4484" s="17" t="inlineStr">
        <is>
          <t>OK (≤ últ. compra)</t>
        </is>
      </c>
      <c r="U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8" t="n">
        <v>15.42</v>
      </c>
      <c r="M4485" s="8" t="n"/>
      <c r="N4485" s="15" t="n">
        <v>15</v>
      </c>
      <c r="O4485" s="8" t="n">
        <v>15.6408</v>
      </c>
      <c r="P4485" s="8" t="n"/>
      <c r="Q4485" s="7" t="inlineStr">
        <is>
          <t>TAPAJOS</t>
        </is>
      </c>
      <c r="R4485" s="8" t="n">
        <v>15</v>
      </c>
      <c r="S4485" s="14">
        <f>R4485/H4485-1</f>
        <v/>
      </c>
      <c r="T4485" s="17" t="inlineStr">
        <is>
          <t>OK (≤ últ. compra)</t>
        </is>
      </c>
      <c r="U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8" t="n"/>
      <c r="M4486" s="8" t="n"/>
      <c r="N4486" s="8" t="n"/>
      <c r="O4486" s="8" t="n"/>
      <c r="P4486" s="8" t="n"/>
      <c r="Q4486" s="7" t="inlineStr">
        <is>
          <t>SEM COTAÇÃO</t>
        </is>
      </c>
      <c r="R4486" s="8" t="n"/>
      <c r="S4486" s="14" t="n"/>
      <c r="T4486" s="7" t="inlineStr"/>
      <c r="U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8" t="n">
        <v>31.85</v>
      </c>
      <c r="M4487" s="8" t="n"/>
      <c r="N4487" s="15" t="n">
        <v>30.98</v>
      </c>
      <c r="O4487" s="8" t="n">
        <v>32.3008</v>
      </c>
      <c r="P4487" s="8" t="n"/>
      <c r="Q4487" s="7" t="inlineStr">
        <is>
          <t>TAPAJOS</t>
        </is>
      </c>
      <c r="R4487" s="8" t="n">
        <v>30.98</v>
      </c>
      <c r="S4487" s="14">
        <f>R4487/H4487-1</f>
        <v/>
      </c>
      <c r="T4487" s="17" t="inlineStr">
        <is>
          <t>OK (≤ últ. compra)</t>
        </is>
      </c>
      <c r="U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8" t="n"/>
      <c r="M4488" s="8" t="n"/>
      <c r="N4488" s="8" t="n"/>
      <c r="O4488" s="8" t="n"/>
      <c r="P4488" s="8" t="n"/>
      <c r="Q4488" s="7" t="inlineStr">
        <is>
          <t>SEM COTAÇÃO</t>
        </is>
      </c>
      <c r="R4488" s="8" t="n"/>
      <c r="S4488" s="14" t="n"/>
      <c r="T4488" s="7" t="inlineStr"/>
      <c r="U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15" t="n">
        <v>32.62</v>
      </c>
      <c r="M4489" s="8" t="n"/>
      <c r="N4489" s="8" t="n">
        <v>32.85</v>
      </c>
      <c r="O4489" s="8" t="n">
        <v>34.94</v>
      </c>
      <c r="P4489" s="8" t="n"/>
      <c r="Q4489" s="7" t="inlineStr">
        <is>
          <t>EPAN</t>
        </is>
      </c>
      <c r="R4489" s="8" t="n">
        <v>32.62</v>
      </c>
      <c r="S4489" s="14">
        <f>R4489/H4489-1</f>
        <v/>
      </c>
      <c r="T4489" s="17" t="inlineStr">
        <is>
          <t>OK (≤ últ. compra)</t>
        </is>
      </c>
      <c r="U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8" t="n"/>
      <c r="M4490" s="8" t="n"/>
      <c r="N4490" s="8" t="n"/>
      <c r="O4490" s="8" t="n"/>
      <c r="P4490" s="8" t="n"/>
      <c r="Q4490" s="7" t="inlineStr">
        <is>
          <t>SEM COTAÇÃO</t>
        </is>
      </c>
      <c r="R4490" s="8" t="n"/>
      <c r="S4490" s="14" t="n"/>
      <c r="T4490" s="7" t="inlineStr"/>
      <c r="U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8" t="n"/>
      <c r="M4491" s="8" t="n"/>
      <c r="N4491" s="8" t="n"/>
      <c r="O4491" s="8" t="n"/>
      <c r="P4491" s="8" t="n"/>
      <c r="Q4491" s="7" t="inlineStr">
        <is>
          <t>SEM COTAÇÃO</t>
        </is>
      </c>
      <c r="R4491" s="8" t="n"/>
      <c r="S4491" s="14" t="n"/>
      <c r="T4491" s="7" t="inlineStr"/>
      <c r="U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8" t="n"/>
      <c r="M4492" s="8" t="n"/>
      <c r="N4492" s="8" t="n"/>
      <c r="O4492" s="8" t="n"/>
      <c r="P4492" s="8" t="n"/>
      <c r="Q4492" s="7" t="inlineStr">
        <is>
          <t>SEM COTAÇÃO</t>
        </is>
      </c>
      <c r="R4492" s="8" t="n"/>
      <c r="S4492" s="14" t="n"/>
      <c r="T4492" s="7" t="inlineStr"/>
      <c r="U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8" t="n"/>
      <c r="M4493" s="8" t="n"/>
      <c r="N4493" s="8" t="n"/>
      <c r="O4493" s="8" t="n"/>
      <c r="P4493" s="8" t="n"/>
      <c r="Q4493" s="7" t="inlineStr">
        <is>
          <t>SEM COTAÇÃO</t>
        </is>
      </c>
      <c r="R4493" s="8" t="n"/>
      <c r="S4493" s="14" t="n"/>
      <c r="T4493" s="7" t="inlineStr"/>
      <c r="U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8" t="n"/>
      <c r="M4494" s="8" t="n"/>
      <c r="N4494" s="8" t="n"/>
      <c r="O4494" s="8" t="n"/>
      <c r="P4494" s="8" t="n"/>
      <c r="Q4494" s="7" t="inlineStr">
        <is>
          <t>SEM COTAÇÃO</t>
        </is>
      </c>
      <c r="R4494" s="8" t="n"/>
      <c r="S4494" s="14" t="n"/>
      <c r="T4494" s="7" t="inlineStr"/>
      <c r="U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8" t="n"/>
      <c r="M4495" s="8" t="n"/>
      <c r="N4495" s="8" t="n"/>
      <c r="O4495" s="8" t="n"/>
      <c r="P4495" s="8" t="n"/>
      <c r="Q4495" s="7" t="inlineStr">
        <is>
          <t>SEM COTAÇÃO</t>
        </is>
      </c>
      <c r="R4495" s="8" t="n"/>
      <c r="S4495" s="14" t="n"/>
      <c r="T4495" s="7" t="inlineStr"/>
      <c r="U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8" t="n"/>
      <c r="M4496" s="8" t="n"/>
      <c r="N4496" s="8" t="n"/>
      <c r="O4496" s="8" t="n"/>
      <c r="P4496" s="8" t="n"/>
      <c r="Q4496" s="7" t="inlineStr">
        <is>
          <t>SEM COTAÇÃO</t>
        </is>
      </c>
      <c r="R4496" s="8" t="n"/>
      <c r="S4496" s="14" t="n"/>
      <c r="T4496" s="7" t="inlineStr"/>
      <c r="U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8" t="n"/>
      <c r="M4497" s="8" t="n"/>
      <c r="N4497" s="8" t="n"/>
      <c r="O4497" s="8" t="n"/>
      <c r="P4497" s="8" t="n"/>
      <c r="Q4497" s="7" t="inlineStr">
        <is>
          <t>SEM COTAÇÃO</t>
        </is>
      </c>
      <c r="R4497" s="8" t="n"/>
      <c r="S4497" s="14" t="n"/>
      <c r="T4497" s="7" t="inlineStr"/>
      <c r="U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8" t="n"/>
      <c r="M4498" s="8" t="n"/>
      <c r="N4498" s="8" t="n"/>
      <c r="O4498" s="8" t="n"/>
      <c r="P4498" s="8" t="n"/>
      <c r="Q4498" s="7" t="inlineStr">
        <is>
          <t>SEM COTAÇÃO</t>
        </is>
      </c>
      <c r="R4498" s="8" t="n"/>
      <c r="S4498" s="14" t="n"/>
      <c r="T4498" s="7" t="inlineStr"/>
      <c r="U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8" t="n"/>
      <c r="M4499" s="8" t="n"/>
      <c r="N4499" s="8" t="n"/>
      <c r="O4499" s="8" t="n"/>
      <c r="P4499" s="8" t="n"/>
      <c r="Q4499" s="7" t="inlineStr">
        <is>
          <t>SEM COTAÇÃO</t>
        </is>
      </c>
      <c r="R4499" s="8" t="n"/>
      <c r="S4499" s="14" t="n"/>
      <c r="T4499" s="7" t="inlineStr"/>
      <c r="U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8" t="n"/>
      <c r="M4500" s="8" t="n"/>
      <c r="N4500" s="8" t="n"/>
      <c r="O4500" s="8" t="n"/>
      <c r="P4500" s="8" t="n"/>
      <c r="Q4500" s="7" t="inlineStr">
        <is>
          <t>SEM COTAÇÃO</t>
        </is>
      </c>
      <c r="R4500" s="8" t="n"/>
      <c r="S4500" s="14" t="n"/>
      <c r="T4500" s="7" t="inlineStr"/>
      <c r="U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8" t="n"/>
      <c r="M4501" s="8" t="n">
        <v>27.22</v>
      </c>
      <c r="N4501" s="8" t="n">
        <v>29.26</v>
      </c>
      <c r="O4501" s="8" t="n"/>
      <c r="P4501" s="8" t="n">
        <v>26.95</v>
      </c>
      <c r="Q4501" s="7" t="inlineStr">
        <is>
          <t>DIMEC</t>
        </is>
      </c>
      <c r="R4501" s="8" t="n">
        <v>1.4775</v>
      </c>
      <c r="S4501" s="14">
        <f>R4501/H4501-1</f>
        <v/>
      </c>
      <c r="T4501" s="17" t="inlineStr">
        <is>
          <t>OK (≤ menor hist.)</t>
        </is>
      </c>
      <c r="U4501" s="7" t="inlineStr">
        <is>
          <t>DIMEC: 1 emb = 20 un; CENTROFARMA: conferir emb.; TAPAJOS: preços divergentes entre EANs (usado menor); conferir emb.; MEDCENTRO: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8" t="n"/>
      <c r="M4502" s="8" t="n"/>
      <c r="N4502" s="8" t="n"/>
      <c r="O4502" s="15" t="n">
        <v>36.49</v>
      </c>
      <c r="P4502" s="8" t="n"/>
      <c r="Q4502" s="7" t="inlineStr">
        <is>
          <t>NAZARIA</t>
        </is>
      </c>
      <c r="R4502" s="8" t="n">
        <v>36.49</v>
      </c>
      <c r="S4502" s="14">
        <f>R4502/H4502-1</f>
        <v/>
      </c>
      <c r="T4502" s="16" t="inlineStr">
        <is>
          <t>ACIMA +1.8%</t>
        </is>
      </c>
      <c r="U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8" t="n"/>
      <c r="M4503" s="8" t="n"/>
      <c r="N4503" s="8" t="n"/>
      <c r="O4503" s="15" t="n">
        <v>30.69</v>
      </c>
      <c r="P4503" s="8" t="n"/>
      <c r="Q4503" s="7" t="inlineStr">
        <is>
          <t>NAZARIA</t>
        </is>
      </c>
      <c r="R4503" s="8" t="n">
        <v>30.69</v>
      </c>
      <c r="S4503" s="14">
        <f>R4503/H4503-1</f>
        <v/>
      </c>
      <c r="T4503" s="16" t="inlineStr">
        <is>
          <t>ACIMA +11.9%</t>
        </is>
      </c>
      <c r="U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8" t="n"/>
      <c r="M4504" s="8" t="n"/>
      <c r="N4504" s="8" t="n"/>
      <c r="O4504" s="15" t="n">
        <v>49.56</v>
      </c>
      <c r="P4504" s="8" t="n"/>
      <c r="Q4504" s="7" t="inlineStr">
        <is>
          <t>NAZARIA</t>
        </is>
      </c>
      <c r="R4504" s="8" t="n">
        <v>49.56</v>
      </c>
      <c r="S4504" s="14">
        <f>R4504/H4504-1</f>
        <v/>
      </c>
      <c r="T4504" s="16" t="inlineStr">
        <is>
          <t>ACIMA +25.5%</t>
        </is>
      </c>
      <c r="U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8" t="n"/>
      <c r="M4505" s="8" t="n"/>
      <c r="N4505" s="8" t="n"/>
      <c r="O4505" s="8" t="n"/>
      <c r="P4505" s="8" t="n"/>
      <c r="Q4505" s="7" t="inlineStr">
        <is>
          <t>SEM COTAÇÃO</t>
        </is>
      </c>
      <c r="R4505" s="8" t="n"/>
      <c r="S4505" s="14" t="n"/>
      <c r="T4505" s="7" t="inlineStr"/>
      <c r="U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8" t="n"/>
      <c r="M4506" s="8" t="n"/>
      <c r="N4506" s="8" t="n"/>
      <c r="O4506" s="8" t="n"/>
      <c r="P4506" s="8" t="n"/>
      <c r="Q4506" s="7" t="inlineStr">
        <is>
          <t>SEM COTAÇÃO</t>
        </is>
      </c>
      <c r="R4506" s="8" t="n"/>
      <c r="S4506" s="14" t="n"/>
      <c r="T4506" s="7" t="inlineStr"/>
      <c r="U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8" t="n"/>
      <c r="M4507" s="8" t="n"/>
      <c r="N4507" s="8" t="n"/>
      <c r="O4507" s="8" t="n"/>
      <c r="P4507" s="8" t="n"/>
      <c r="Q4507" s="7" t="inlineStr">
        <is>
          <t>SEM COTAÇÃO</t>
        </is>
      </c>
      <c r="R4507" s="8" t="n"/>
      <c r="S4507" s="14" t="n"/>
      <c r="T4507" s="7" t="inlineStr"/>
      <c r="U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8" t="n"/>
      <c r="M4508" s="8" t="n"/>
      <c r="N4508" s="8" t="n"/>
      <c r="O4508" s="8" t="n"/>
      <c r="P4508" s="8" t="n"/>
      <c r="Q4508" s="7" t="inlineStr">
        <is>
          <t>SEM COTAÇÃO</t>
        </is>
      </c>
      <c r="R4508" s="8" t="n"/>
      <c r="S4508" s="14" t="n"/>
      <c r="T4508" s="7" t="inlineStr"/>
      <c r="U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8" t="n"/>
      <c r="M4509" s="8" t="n"/>
      <c r="N4509" s="8" t="n"/>
      <c r="O4509" s="8" t="n"/>
      <c r="P4509" s="8" t="n"/>
      <c r="Q4509" s="7" t="inlineStr">
        <is>
          <t>SEM COTAÇÃO</t>
        </is>
      </c>
      <c r="R4509" s="8" t="n"/>
      <c r="S4509" s="14" t="n"/>
      <c r="T4509" s="7" t="inlineStr"/>
      <c r="U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8" t="n"/>
      <c r="M4510" s="8" t="n"/>
      <c r="N4510" s="8" t="n"/>
      <c r="O4510" s="8" t="n"/>
      <c r="P4510" s="8" t="n"/>
      <c r="Q4510" s="7" t="inlineStr">
        <is>
          <t>SEM COTAÇÃO</t>
        </is>
      </c>
      <c r="R4510" s="8" t="n"/>
      <c r="S4510" s="14" t="n"/>
      <c r="T4510" s="7" t="inlineStr"/>
      <c r="U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8" t="n"/>
      <c r="M4511" s="15" t="n">
        <v>19.97</v>
      </c>
      <c r="N4511" s="8" t="n"/>
      <c r="O4511" s="8" t="n"/>
      <c r="P4511" s="8" t="n"/>
      <c r="Q4511" s="7" t="inlineStr">
        <is>
          <t>CENTROFARMA</t>
        </is>
      </c>
      <c r="R4511" s="8" t="n">
        <v>19.97</v>
      </c>
      <c r="S4511" s="14">
        <f>R4511/H4511-1</f>
        <v/>
      </c>
      <c r="T4511" s="17" t="inlineStr">
        <is>
          <t>OK (≤ últ. compra)</t>
        </is>
      </c>
      <c r="U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8" t="n"/>
      <c r="M4512" s="8" t="n"/>
      <c r="N4512" s="8" t="n"/>
      <c r="O4512" s="8" t="n"/>
      <c r="P4512" s="8" t="n"/>
      <c r="Q4512" s="7" t="inlineStr">
        <is>
          <t>DIMEC</t>
        </is>
      </c>
      <c r="R4512" s="8" t="n">
        <v>13.08</v>
      </c>
      <c r="S4512" s="14">
        <f>R4512/H4512-1</f>
        <v/>
      </c>
      <c r="T4512" s="17" t="inlineStr">
        <is>
          <t>OK (≤ últ. compra)</t>
        </is>
      </c>
      <c r="U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8" t="n"/>
      <c r="M4513" s="8" t="n"/>
      <c r="N4513" s="8" t="n"/>
      <c r="O4513" s="8" t="n"/>
      <c r="P4513" s="8" t="n"/>
      <c r="Q4513" s="7" t="inlineStr">
        <is>
          <t>SEM COTAÇÃO</t>
        </is>
      </c>
      <c r="R4513" s="8" t="n"/>
      <c r="S4513" s="14" t="n"/>
      <c r="T4513" s="7" t="inlineStr"/>
      <c r="U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8" t="n"/>
      <c r="M4514" s="8" t="n"/>
      <c r="N4514" s="8" t="n"/>
      <c r="O4514" s="8" t="n">
        <v>50.32</v>
      </c>
      <c r="P4514" s="8" t="n"/>
      <c r="Q4514" s="7" t="inlineStr">
        <is>
          <t>SEM COTAÇÃO</t>
        </is>
      </c>
      <c r="R4514" s="8" t="n"/>
      <c r="S4514" s="14" t="n"/>
      <c r="T4514" s="7" t="inlineStr"/>
      <c r="U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8" t="n">
        <v>64.64</v>
      </c>
      <c r="M4515" s="8" t="n"/>
      <c r="N4515" s="8" t="n"/>
      <c r="O4515" s="15" t="n">
        <v>63.12</v>
      </c>
      <c r="P4515" s="8" t="n"/>
      <c r="Q4515" s="7" t="inlineStr">
        <is>
          <t>NAZARIA</t>
        </is>
      </c>
      <c r="R4515" s="8" t="n">
        <v>63.12</v>
      </c>
      <c r="S4515" s="14">
        <f>R4515/H4515-1</f>
        <v/>
      </c>
      <c r="T4515" s="17" t="inlineStr">
        <is>
          <t>OK (≤ últ. compra)</t>
        </is>
      </c>
      <c r="U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8" t="n"/>
      <c r="M4516" s="8" t="n"/>
      <c r="N4516" s="8" t="n"/>
      <c r="O4516" s="15" t="n">
        <v>58.95</v>
      </c>
      <c r="P4516" s="8" t="n"/>
      <c r="Q4516" s="7" t="inlineStr">
        <is>
          <t>NAZARIA</t>
        </is>
      </c>
      <c r="R4516" s="8" t="n">
        <v>58.95</v>
      </c>
      <c r="S4516" s="14">
        <f>R4516/H4516-1</f>
        <v/>
      </c>
      <c r="T4516" s="17" t="inlineStr">
        <is>
          <t>OK (≤ últ. compra)</t>
        </is>
      </c>
      <c r="U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8" t="n">
        <v>10.31</v>
      </c>
      <c r="M4517" s="8" t="n"/>
      <c r="N4517" s="8" t="n"/>
      <c r="O4517" s="15" t="n">
        <v>9.927499999999998</v>
      </c>
      <c r="P4517" s="8" t="n"/>
      <c r="Q4517" s="7" t="inlineStr">
        <is>
          <t>NAZARIA</t>
        </is>
      </c>
      <c r="R4517" s="8" t="n">
        <v>9.927499999999998</v>
      </c>
      <c r="S4517" s="14">
        <f>R4517/H4517-1</f>
        <v/>
      </c>
      <c r="T4517" s="17" t="inlineStr">
        <is>
          <t>OK (≤ últ. compra)</t>
        </is>
      </c>
      <c r="U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8" t="n"/>
      <c r="M4518" s="8" t="n"/>
      <c r="N4518" s="8" t="n"/>
      <c r="O4518" s="8" t="n"/>
      <c r="P4518" s="8" t="n"/>
      <c r="Q4518" s="7" t="inlineStr">
        <is>
          <t>SEM COTAÇÃO</t>
        </is>
      </c>
      <c r="R4518" s="8" t="n"/>
      <c r="S4518" s="14" t="n"/>
      <c r="T4518" s="7" t="inlineStr"/>
      <c r="U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8" t="n"/>
      <c r="M4519" s="8" t="n"/>
      <c r="N4519" s="8" t="n"/>
      <c r="O4519" s="15" t="n">
        <v>25.77</v>
      </c>
      <c r="P4519" s="8" t="n"/>
      <c r="Q4519" s="7" t="inlineStr">
        <is>
          <t>NAZARIA</t>
        </is>
      </c>
      <c r="R4519" s="8" t="n">
        <v>25.77</v>
      </c>
      <c r="S4519" s="14">
        <f>R4519/H4519-1</f>
        <v/>
      </c>
      <c r="T4519" s="16" t="inlineStr">
        <is>
          <t>ACIMA +5.3%</t>
        </is>
      </c>
      <c r="U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8" t="n"/>
      <c r="M4520" s="8" t="n"/>
      <c r="N4520" s="8" t="n"/>
      <c r="O4520" s="15" t="n">
        <v>22.43</v>
      </c>
      <c r="P4520" s="8" t="n"/>
      <c r="Q4520" s="7" t="inlineStr">
        <is>
          <t>NAZARIA</t>
        </is>
      </c>
      <c r="R4520" s="8" t="n">
        <v>22.43</v>
      </c>
      <c r="S4520" s="14">
        <f>R4520/H4520-1</f>
        <v/>
      </c>
      <c r="T4520" s="17" t="inlineStr">
        <is>
          <t>OK (≤ últ. compra)</t>
        </is>
      </c>
      <c r="U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8" t="n"/>
      <c r="M4521" s="8" t="n"/>
      <c r="N4521" s="8" t="n"/>
      <c r="O4521" s="15" t="n">
        <v>21.67</v>
      </c>
      <c r="P4521" s="8" t="n"/>
      <c r="Q4521" s="7" t="inlineStr">
        <is>
          <t>NAZARIA</t>
        </is>
      </c>
      <c r="R4521" s="8" t="n">
        <v>21.67</v>
      </c>
      <c r="S4521" s="14">
        <f>R4521/H4521-1</f>
        <v/>
      </c>
      <c r="T4521" s="17" t="inlineStr">
        <is>
          <t>OK (≤ últ. compra)</t>
        </is>
      </c>
      <c r="U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8" t="n"/>
      <c r="M4522" s="8" t="n"/>
      <c r="N4522" s="8" t="n"/>
      <c r="O4522" s="8" t="n"/>
      <c r="P4522" s="8" t="n"/>
      <c r="Q4522" s="7" t="inlineStr">
        <is>
          <t>SEM COTAÇÃO</t>
        </is>
      </c>
      <c r="R4522" s="8" t="n"/>
      <c r="S4522" s="14" t="n"/>
      <c r="T4522" s="7" t="inlineStr"/>
      <c r="U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8" t="n"/>
      <c r="M4523" s="8" t="n"/>
      <c r="N4523" s="8" t="n"/>
      <c r="O4523" s="15" t="n">
        <v>5.368440000000001</v>
      </c>
      <c r="P4523" s="8" t="n"/>
      <c r="Q4523" s="7" t="inlineStr">
        <is>
          <t>NAZARIA</t>
        </is>
      </c>
      <c r="R4523" s="8" t="n">
        <v>5.368440000000001</v>
      </c>
      <c r="S4523" s="14">
        <f>R4523/H4523-1</f>
        <v/>
      </c>
      <c r="T4523" s="17" t="inlineStr">
        <is>
          <t>OK (≤ menor hist.)</t>
        </is>
      </c>
      <c r="U4523" s="7" t="inlineStr">
        <is>
          <t>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8" t="n"/>
      <c r="M4524" s="8" t="n"/>
      <c r="N4524" s="8" t="n"/>
      <c r="O4524" s="8" t="n"/>
      <c r="P4524" s="8" t="n"/>
      <c r="Q4524" s="7" t="inlineStr">
        <is>
          <t>SEM COTAÇÃO</t>
        </is>
      </c>
      <c r="R4524" s="8" t="n"/>
      <c r="S4524" s="14" t="n"/>
      <c r="T4524" s="7" t="inlineStr"/>
      <c r="U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8" t="n"/>
      <c r="M4525" s="8" t="n"/>
      <c r="N4525" s="8" t="n"/>
      <c r="O4525" s="8" t="n">
        <v>51.17</v>
      </c>
      <c r="P4525" s="8" t="n"/>
      <c r="Q4525" s="7" t="inlineStr">
        <is>
          <t>SEM COTAÇÃO</t>
        </is>
      </c>
      <c r="R4525" s="8" t="n"/>
      <c r="S4525" s="14" t="n"/>
      <c r="T4525" s="7" t="inlineStr"/>
      <c r="U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8" t="n"/>
      <c r="M4526" s="8" t="n"/>
      <c r="N4526" s="8" t="n"/>
      <c r="O4526" s="8" t="n"/>
      <c r="P4526" s="8" t="n">
        <v>26.77</v>
      </c>
      <c r="Q4526" s="7" t="inlineStr">
        <is>
          <t>PLUSFARMA</t>
        </is>
      </c>
      <c r="R4526" s="8" t="n">
        <v>25.05</v>
      </c>
      <c r="S4526" s="14">
        <f>R4526/H4526-1</f>
        <v/>
      </c>
      <c r="T4526" s="17" t="inlineStr">
        <is>
          <t>OK (≤ menor hist.)</t>
        </is>
      </c>
      <c r="U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8" t="n"/>
      <c r="M4527" s="8" t="n"/>
      <c r="N4527" s="8" t="n"/>
      <c r="O4527" s="8" t="n"/>
      <c r="P4527" s="8" t="n"/>
      <c r="Q4527" s="7" t="inlineStr">
        <is>
          <t>SEM COTAÇÃO</t>
        </is>
      </c>
      <c r="R4527" s="8" t="n"/>
      <c r="S4527" s="14" t="n"/>
      <c r="T4527" s="7" t="inlineStr"/>
      <c r="U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8" t="n"/>
      <c r="M4528" s="8" t="n"/>
      <c r="N4528" s="15" t="n">
        <v>29.62</v>
      </c>
      <c r="O4528" s="8" t="n">
        <v>30.8014</v>
      </c>
      <c r="P4528" s="8" t="n"/>
      <c r="Q4528" s="7" t="inlineStr">
        <is>
          <t>TAPAJOS</t>
        </is>
      </c>
      <c r="R4528" s="8" t="n">
        <v>29.62</v>
      </c>
      <c r="S4528" s="14">
        <f>R4528/H4528-1</f>
        <v/>
      </c>
      <c r="T4528" s="16" t="inlineStr">
        <is>
          <t>ACIMA +4.7%</t>
        </is>
      </c>
      <c r="U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5.68</v>
      </c>
      <c r="K4529" s="8" t="n"/>
      <c r="L4529" s="8" t="n"/>
      <c r="M4529" s="8" t="n">
        <v>6.03</v>
      </c>
      <c r="N4529" s="15" t="n">
        <v>3.9</v>
      </c>
      <c r="O4529" s="8" t="n"/>
      <c r="P4529" s="8" t="n">
        <v>6.77</v>
      </c>
      <c r="Q4529" s="7" t="inlineStr">
        <is>
          <t>TAPAJOS</t>
        </is>
      </c>
      <c r="R4529" s="8" t="n">
        <v>3.9</v>
      </c>
      <c r="S4529" s="14">
        <f>R4529/H4529-1</f>
        <v/>
      </c>
      <c r="T4529" s="17" t="inlineStr">
        <is>
          <t>OK (≤ menor hist.)</t>
        </is>
      </c>
      <c r="U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5.57</v>
      </c>
      <c r="K4530" s="8" t="n"/>
      <c r="L4530" s="8" t="n"/>
      <c r="M4530" s="8" t="n">
        <v>5.42</v>
      </c>
      <c r="N4530" s="8" t="n"/>
      <c r="O4530" s="15" t="n">
        <v>5.38</v>
      </c>
      <c r="P4530" s="8" t="n"/>
      <c r="Q4530" s="7" t="inlineStr">
        <is>
          <t>NAZARIA</t>
        </is>
      </c>
      <c r="R4530" s="8" t="n">
        <v>5.38</v>
      </c>
      <c r="S4530" s="14">
        <f>R4530/H4530-1</f>
        <v/>
      </c>
      <c r="T4530" s="16" t="inlineStr">
        <is>
          <t>ACIMA +23.4%</t>
        </is>
      </c>
      <c r="U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8" t="n"/>
      <c r="M4531" s="8" t="n">
        <v>5.64</v>
      </c>
      <c r="N4531" s="8" t="n"/>
      <c r="O4531" s="8" t="n"/>
      <c r="P4531" s="8" t="n">
        <v>6.34</v>
      </c>
      <c r="Q4531" s="7" t="inlineStr">
        <is>
          <t>DIMEC</t>
        </is>
      </c>
      <c r="R4531" s="8" t="n">
        <v>5.26</v>
      </c>
      <c r="S4531" s="14">
        <f>R4531/H4531-1</f>
        <v/>
      </c>
      <c r="T4531" s="17" t="inlineStr">
        <is>
          <t>OK (≤ últ. compra)</t>
        </is>
      </c>
      <c r="U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8" t="n"/>
      <c r="M4532" s="8" t="n">
        <v>5.16</v>
      </c>
      <c r="N4532" s="8" t="n"/>
      <c r="O4532" s="8" t="n">
        <v>5.79</v>
      </c>
      <c r="P4532" s="8" t="n">
        <v>10.23</v>
      </c>
      <c r="Q4532" s="7" t="inlineStr">
        <is>
          <t>DIMEC</t>
        </is>
      </c>
      <c r="R4532" s="8" t="n">
        <v>4.78</v>
      </c>
      <c r="S4532" s="14">
        <f>R4532/H4532-1</f>
        <v/>
      </c>
      <c r="T4532" s="16" t="inlineStr">
        <is>
          <t>ACIMA +6.7%</t>
        </is>
      </c>
      <c r="U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8" t="n"/>
      <c r="M4533" s="8" t="n"/>
      <c r="N4533" s="8" t="n"/>
      <c r="O4533" s="8" t="n"/>
      <c r="P4533" s="8" t="n"/>
      <c r="Q4533" s="7" t="inlineStr">
        <is>
          <t>DIMEC</t>
        </is>
      </c>
      <c r="R4533" s="8" t="n">
        <v>0.49875</v>
      </c>
      <c r="S4533" s="14">
        <f>R4533/H4533-1</f>
        <v/>
      </c>
      <c r="T4533" s="17" t="inlineStr">
        <is>
          <t>OK (≤ menor hist.)</t>
        </is>
      </c>
      <c r="U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8" t="n"/>
      <c r="M4534" s="8" t="n"/>
      <c r="N4534" s="8" t="n"/>
      <c r="O4534" s="8" t="n"/>
      <c r="P4534" s="8" t="n"/>
      <c r="Q4534" s="7" t="inlineStr">
        <is>
          <t>SEM COTAÇÃO</t>
        </is>
      </c>
      <c r="R4534" s="8" t="n"/>
      <c r="S4534" s="14" t="n"/>
      <c r="T4534" s="7" t="inlineStr"/>
      <c r="U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8" t="n"/>
      <c r="M4535" s="8" t="n"/>
      <c r="N4535" s="8" t="n"/>
      <c r="O4535" s="8" t="n"/>
      <c r="P4535" s="8" t="n"/>
      <c r="Q4535" s="7" t="inlineStr">
        <is>
          <t>SEM COTAÇÃO</t>
        </is>
      </c>
      <c r="R4535" s="8" t="n"/>
      <c r="S4535" s="14" t="n"/>
      <c r="T4535" s="7" t="inlineStr"/>
      <c r="U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8" t="n"/>
      <c r="M4536" s="8" t="n"/>
      <c r="N4536" s="8" t="n"/>
      <c r="O4536" s="8" t="n"/>
      <c r="P4536" s="8" t="n"/>
      <c r="Q4536" s="7" t="inlineStr">
        <is>
          <t>SEM COTAÇÃO</t>
        </is>
      </c>
      <c r="R4536" s="8" t="n"/>
      <c r="S4536" s="14" t="n"/>
      <c r="T4536" s="7" t="inlineStr"/>
      <c r="U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8" t="n"/>
      <c r="M4537" s="8" t="n"/>
      <c r="N4537" s="8" t="n"/>
      <c r="O4537" s="8" t="n"/>
      <c r="P4537" s="8" t="n"/>
      <c r="Q4537" s="7" t="inlineStr">
        <is>
          <t>SEM COTAÇÃO</t>
        </is>
      </c>
      <c r="R4537" s="8" t="n"/>
      <c r="S4537" s="14" t="n"/>
      <c r="T4537" s="7" t="inlineStr"/>
      <c r="U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8" t="n"/>
      <c r="M4538" s="8" t="n"/>
      <c r="N4538" s="8" t="n"/>
      <c r="O4538" s="8" t="n"/>
      <c r="P4538" s="8" t="n"/>
      <c r="Q4538" s="7" t="inlineStr">
        <is>
          <t>SEM COTAÇÃO</t>
        </is>
      </c>
      <c r="R4538" s="8" t="n"/>
      <c r="S4538" s="14" t="n"/>
      <c r="T4538" s="7" t="inlineStr"/>
      <c r="U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8" t="n"/>
      <c r="M4539" s="8" t="n"/>
      <c r="N4539" s="8" t="n"/>
      <c r="O4539" s="8" t="n"/>
      <c r="P4539" s="8" t="n"/>
      <c r="Q4539" s="7" t="inlineStr">
        <is>
          <t>SEM COTAÇÃO</t>
        </is>
      </c>
      <c r="R4539" s="8" t="n"/>
      <c r="S4539" s="14" t="n"/>
      <c r="T4539" s="7" t="inlineStr"/>
      <c r="U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7" t="inlineStr">
        <is>
          <t>SEM COTAÇÃO</t>
        </is>
      </c>
      <c r="R4540" s="8" t="n"/>
      <c r="S4540" s="14" t="n"/>
      <c r="T4540" s="7" t="inlineStr"/>
      <c r="U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8" t="n"/>
      <c r="M4541" s="8" t="n"/>
      <c r="N4541" s="8" t="n"/>
      <c r="O4541" s="8" t="n"/>
      <c r="P4541" s="8" t="n"/>
      <c r="Q4541" s="7" t="inlineStr">
        <is>
          <t>SEM COTAÇÃO</t>
        </is>
      </c>
      <c r="R4541" s="8" t="n"/>
      <c r="S4541" s="14" t="n"/>
      <c r="T4541" s="7" t="inlineStr"/>
      <c r="U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8" t="n"/>
      <c r="M4542" s="8" t="n"/>
      <c r="N4542" s="8" t="n"/>
      <c r="O4542" s="8" t="n"/>
      <c r="P4542" s="8" t="n"/>
      <c r="Q4542" s="7" t="inlineStr">
        <is>
          <t>SEM COTAÇÃO</t>
        </is>
      </c>
      <c r="R4542" s="8" t="n"/>
      <c r="S4542" s="14" t="n"/>
      <c r="T4542" s="7" t="inlineStr"/>
      <c r="U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8" t="n"/>
      <c r="M4543" s="15" t="n">
        <v>5.72</v>
      </c>
      <c r="N4543" s="8" t="n"/>
      <c r="O4543" s="8" t="n"/>
      <c r="P4543" s="8" t="n">
        <v>6.29</v>
      </c>
      <c r="Q4543" s="7" t="inlineStr">
        <is>
          <t>CENTROFARMA</t>
        </is>
      </c>
      <c r="R4543" s="8" t="n">
        <v>5.72</v>
      </c>
      <c r="S4543" s="14">
        <f>R4543/H4543-1</f>
        <v/>
      </c>
      <c r="T4543" s="16" t="inlineStr">
        <is>
          <t>ACIMA +5.3%</t>
        </is>
      </c>
      <c r="U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8" t="n"/>
      <c r="M4544" s="8" t="n"/>
      <c r="N4544" s="8" t="n"/>
      <c r="O4544" s="8" t="n"/>
      <c r="P4544" s="8" t="n"/>
      <c r="Q4544" s="7" t="inlineStr">
        <is>
          <t>SEM COTAÇÃO</t>
        </is>
      </c>
      <c r="R4544" s="8" t="n"/>
      <c r="S4544" s="14" t="n"/>
      <c r="T4544" s="7" t="inlineStr"/>
      <c r="U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8" t="n"/>
      <c r="M4545" s="8" t="n"/>
      <c r="N4545" s="8" t="n"/>
      <c r="O4545" s="8" t="n">
        <v>12.35</v>
      </c>
      <c r="P4545" s="8" t="n"/>
      <c r="Q4545" s="7" t="inlineStr">
        <is>
          <t>SEM COTAÇÃO</t>
        </is>
      </c>
      <c r="R4545" s="8" t="n"/>
      <c r="S4545" s="14" t="n"/>
      <c r="T4545" s="7" t="inlineStr"/>
      <c r="U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15" t="n">
        <v>17.55</v>
      </c>
      <c r="O4546" s="8" t="n"/>
      <c r="P4546" s="8" t="n"/>
      <c r="Q4546" s="7" t="inlineStr">
        <is>
          <t>TAPAJOS</t>
        </is>
      </c>
      <c r="R4546" s="8" t="n">
        <v>17.55</v>
      </c>
      <c r="S4546" s="14" t="n"/>
      <c r="T4546" s="7" t="inlineStr">
        <is>
          <t>SEM HISTÓRICO</t>
        </is>
      </c>
      <c r="U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8" t="n"/>
      <c r="M4547" s="8" t="n"/>
      <c r="N4547" s="8" t="n"/>
      <c r="O4547" s="8" t="n"/>
      <c r="P4547" s="8" t="n"/>
      <c r="Q4547" s="7" t="inlineStr">
        <is>
          <t>SEM COTAÇÃO</t>
        </is>
      </c>
      <c r="R4547" s="8" t="n"/>
      <c r="S4547" s="14" t="n"/>
      <c r="T4547" s="7" t="inlineStr"/>
      <c r="U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8" t="n"/>
      <c r="M4548" s="8" t="n"/>
      <c r="N4548" s="8" t="n"/>
      <c r="O4548" s="15" t="n">
        <v>46.73175</v>
      </c>
      <c r="P4548" s="8" t="n"/>
      <c r="Q4548" s="7" t="inlineStr">
        <is>
          <t>NAZARIA</t>
        </is>
      </c>
      <c r="R4548" s="8" t="n">
        <v>46.73175</v>
      </c>
      <c r="S4548" s="14">
        <f>R4548/H4548-1</f>
        <v/>
      </c>
      <c r="T4548" s="16" t="inlineStr">
        <is>
          <t>ACIMA +9.1%</t>
        </is>
      </c>
      <c r="U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8" t="n"/>
      <c r="M4549" s="8" t="n"/>
      <c r="N4549" s="8" t="n"/>
      <c r="O4549" s="8" t="n"/>
      <c r="P4549" s="8" t="n"/>
      <c r="Q4549" s="7" t="inlineStr">
        <is>
          <t>SEM COTAÇÃO</t>
        </is>
      </c>
      <c r="R4549" s="8" t="n"/>
      <c r="S4549" s="14" t="n"/>
      <c r="T4549" s="7" t="inlineStr"/>
      <c r="U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8" t="n"/>
      <c r="M4550" s="8" t="n"/>
      <c r="N4550" s="8" t="n"/>
      <c r="O4550" s="8" t="n"/>
      <c r="P4550" s="8" t="n"/>
      <c r="Q4550" s="7" t="inlineStr">
        <is>
          <t>SEM COTAÇÃO</t>
        </is>
      </c>
      <c r="R4550" s="8" t="n"/>
      <c r="S4550" s="14" t="n"/>
      <c r="T4550" s="7" t="inlineStr"/>
      <c r="U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8" t="n">
        <v>29.08</v>
      </c>
      <c r="M4551" s="8" t="n"/>
      <c r="N4551" s="8" t="n"/>
      <c r="O4551" s="8" t="n"/>
      <c r="P4551" s="8" t="n"/>
      <c r="Q4551" s="7" t="inlineStr">
        <is>
          <t>SEM COTAÇÃO</t>
        </is>
      </c>
      <c r="R4551" s="8" t="n"/>
      <c r="S4551" s="14" t="n"/>
      <c r="T4551" s="7" t="inlineStr"/>
      <c r="U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8" t="n"/>
      <c r="M4552" s="8" t="n"/>
      <c r="N4552" s="8" t="n"/>
      <c r="O4552" s="8" t="n"/>
      <c r="P4552" s="8" t="n"/>
      <c r="Q4552" s="7" t="inlineStr">
        <is>
          <t>SEM COTAÇÃO</t>
        </is>
      </c>
      <c r="R4552" s="8" t="n"/>
      <c r="S4552" s="14" t="n"/>
      <c r="T4552" s="7" t="inlineStr"/>
      <c r="U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8" t="n"/>
      <c r="M4553" s="8" t="n"/>
      <c r="N4553" s="8" t="n"/>
      <c r="O4553" s="8" t="n"/>
      <c r="P4553" s="8" t="n"/>
      <c r="Q4553" s="7" t="inlineStr">
        <is>
          <t>SEM COTAÇÃO</t>
        </is>
      </c>
      <c r="R4553" s="8" t="n"/>
      <c r="S4553" s="14" t="n"/>
      <c r="T4553" s="7" t="inlineStr"/>
      <c r="U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8" t="n"/>
      <c r="M4554" s="8" t="n"/>
      <c r="N4554" s="8" t="n"/>
      <c r="O4554" s="8" t="n"/>
      <c r="P4554" s="8" t="n"/>
      <c r="Q4554" s="7" t="inlineStr">
        <is>
          <t>SEM COTAÇÃO</t>
        </is>
      </c>
      <c r="R4554" s="8" t="n"/>
      <c r="S4554" s="14" t="n"/>
      <c r="T4554" s="7" t="inlineStr"/>
      <c r="U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8" t="n"/>
      <c r="M4555" s="8" t="n"/>
      <c r="N4555" s="8" t="n"/>
      <c r="O4555" s="8" t="n"/>
      <c r="P4555" s="8" t="n"/>
      <c r="Q4555" s="7" t="inlineStr">
        <is>
          <t>SEM COTAÇÃO</t>
        </is>
      </c>
      <c r="R4555" s="8" t="n"/>
      <c r="S4555" s="14" t="n"/>
      <c r="T4555" s="7" t="inlineStr"/>
      <c r="U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8" t="n"/>
      <c r="M4556" s="8" t="n"/>
      <c r="N4556" s="8" t="n"/>
      <c r="O4556" s="8" t="n"/>
      <c r="P4556" s="8" t="n"/>
      <c r="Q4556" s="7" t="inlineStr">
        <is>
          <t>SEM COTAÇÃO</t>
        </is>
      </c>
      <c r="R4556" s="8" t="n"/>
      <c r="S4556" s="14" t="n"/>
      <c r="T4556" s="7" t="inlineStr"/>
      <c r="U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18.94</v>
      </c>
      <c r="K4557" s="8" t="n"/>
      <c r="L4557" s="8" t="n"/>
      <c r="M4557" s="8" t="n">
        <v>19.19</v>
      </c>
      <c r="N4557" s="15" t="n">
        <v>18.4</v>
      </c>
      <c r="O4557" s="8" t="n"/>
      <c r="P4557" s="8" t="n"/>
      <c r="Q4557" s="7" t="inlineStr">
        <is>
          <t>TAPAJOS</t>
        </is>
      </c>
      <c r="R4557" s="8" t="n">
        <v>18.4</v>
      </c>
      <c r="S4557" s="14">
        <f>R4557/H4557-1</f>
        <v/>
      </c>
      <c r="T4557" s="17" t="inlineStr">
        <is>
          <t>OK (≤ menor hist.)</t>
        </is>
      </c>
      <c r="U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8" t="n"/>
      <c r="M4558" s="8" t="n"/>
      <c r="N4558" s="8" t="n"/>
      <c r="O4558" s="8" t="n"/>
      <c r="P4558" s="8" t="n"/>
      <c r="Q4558" s="7" t="inlineStr">
        <is>
          <t>SEM COTAÇÃO</t>
        </is>
      </c>
      <c r="R4558" s="8" t="n"/>
      <c r="S4558" s="14" t="n"/>
      <c r="T4558" s="7" t="inlineStr"/>
      <c r="U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8" t="n"/>
      <c r="M4559" s="8" t="n"/>
      <c r="N4559" s="8" t="n"/>
      <c r="O4559" s="8" t="n"/>
      <c r="P4559" s="8" t="n"/>
      <c r="Q4559" s="7" t="inlineStr">
        <is>
          <t>SEM COTAÇÃO</t>
        </is>
      </c>
      <c r="R4559" s="8" t="n"/>
      <c r="S4559" s="14" t="n"/>
      <c r="T4559" s="7" t="inlineStr"/>
      <c r="U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8" t="n"/>
      <c r="M4560" s="8" t="n"/>
      <c r="N4560" s="8" t="n"/>
      <c r="O4560" s="8" t="n"/>
      <c r="P4560" s="8" t="n"/>
      <c r="Q4560" s="7" t="inlineStr">
        <is>
          <t>SEM COTAÇÃO</t>
        </is>
      </c>
      <c r="R4560" s="8" t="n"/>
      <c r="S4560" s="14" t="n"/>
      <c r="T4560" s="7" t="inlineStr"/>
      <c r="U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7" t="inlineStr">
        <is>
          <t>SEM COTAÇÃO</t>
        </is>
      </c>
      <c r="R4561" s="8" t="n"/>
      <c r="S4561" s="14" t="n"/>
      <c r="T4561" s="7" t="inlineStr"/>
      <c r="U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8" t="n"/>
      <c r="M4562" s="8" t="n"/>
      <c r="N4562" s="8" t="n"/>
      <c r="O4562" s="8" t="n"/>
      <c r="P4562" s="8" t="n"/>
      <c r="Q4562" s="7" t="inlineStr">
        <is>
          <t>SEM COTAÇÃO</t>
        </is>
      </c>
      <c r="R4562" s="8" t="n"/>
      <c r="S4562" s="14" t="n"/>
      <c r="T4562" s="7" t="inlineStr"/>
      <c r="U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15" t="n">
        <v>35.24</v>
      </c>
      <c r="M4563" s="8" t="n"/>
      <c r="N4563" s="8" t="n"/>
      <c r="O4563" s="8" t="n">
        <v>35.7406</v>
      </c>
      <c r="P4563" s="8" t="n"/>
      <c r="Q4563" s="7" t="inlineStr">
        <is>
          <t>EPAN</t>
        </is>
      </c>
      <c r="R4563" s="8" t="n">
        <v>35.24</v>
      </c>
      <c r="S4563" s="14">
        <f>R4563/H4563-1</f>
        <v/>
      </c>
      <c r="T4563" s="17" t="inlineStr">
        <is>
          <t>OK (≤ últ. compra)</t>
        </is>
      </c>
      <c r="U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8" t="n"/>
      <c r="M4564" s="8" t="n"/>
      <c r="N4564" s="15" t="n">
        <v>29.05</v>
      </c>
      <c r="O4564" s="8" t="n">
        <v>30.666</v>
      </c>
      <c r="P4564" s="8" t="n"/>
      <c r="Q4564" s="7" t="inlineStr">
        <is>
          <t>TAPAJOS</t>
        </is>
      </c>
      <c r="R4564" s="8" t="n">
        <v>29.05</v>
      </c>
      <c r="S4564" s="14">
        <f>R4564/H4564-1</f>
        <v/>
      </c>
      <c r="T4564" s="17" t="inlineStr">
        <is>
          <t>OK (≤ menor hist.)</t>
        </is>
      </c>
      <c r="U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8" t="n"/>
      <c r="M4565" s="8" t="n"/>
      <c r="N4565" s="8" t="n"/>
      <c r="O4565" s="8" t="n"/>
      <c r="P4565" s="8" t="n"/>
      <c r="Q4565" s="7" t="inlineStr">
        <is>
          <t>SEM COTAÇÃO</t>
        </is>
      </c>
      <c r="R4565" s="8" t="n"/>
      <c r="S4565" s="14" t="n"/>
      <c r="T4565" s="7" t="inlineStr"/>
      <c r="U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8" t="n"/>
      <c r="M4566" s="8" t="n"/>
      <c r="N4566" s="15" t="n">
        <v>15.40666666666667</v>
      </c>
      <c r="O4566" s="8" t="n">
        <v>18.79258333333333</v>
      </c>
      <c r="P4566" s="8" t="n"/>
      <c r="Q4566" s="7" t="inlineStr">
        <is>
          <t>TAPAJOS</t>
        </is>
      </c>
      <c r="R4566" s="8" t="n">
        <v>15.40666666666667</v>
      </c>
      <c r="S4566" s="14">
        <f>R4566/H4566-1</f>
        <v/>
      </c>
      <c r="T4566" s="17" t="inlineStr">
        <is>
          <t>OK (≤ últ. compra)</t>
        </is>
      </c>
      <c r="U4566" s="7" t="inlineStr">
        <is>
          <t>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8" t="n"/>
      <c r="M4567" s="8" t="n"/>
      <c r="N4567" s="8" t="n"/>
      <c r="O4567" s="15" t="n">
        <v>10.9345</v>
      </c>
      <c r="P4567" s="8" t="n"/>
      <c r="Q4567" s="7" t="inlineStr">
        <is>
          <t>NAZARIA</t>
        </is>
      </c>
      <c r="R4567" s="8" t="n">
        <v>10.9345</v>
      </c>
      <c r="S4567" s="14">
        <f>R4567/H4567-1</f>
        <v/>
      </c>
      <c r="T4567" s="16" t="inlineStr">
        <is>
          <t>ACIMA +9.8%</t>
        </is>
      </c>
      <c r="U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8" t="n"/>
      <c r="M4568" s="8" t="n"/>
      <c r="N4568" s="8" t="n"/>
      <c r="O4568" s="15" t="n">
        <v>10.9345</v>
      </c>
      <c r="P4568" s="8" t="n"/>
      <c r="Q4568" s="7" t="inlineStr">
        <is>
          <t>NAZARIA</t>
        </is>
      </c>
      <c r="R4568" s="8" t="n">
        <v>10.9345</v>
      </c>
      <c r="S4568" s="14">
        <f>R4568/H4568-1</f>
        <v/>
      </c>
      <c r="T4568" s="17" t="inlineStr">
        <is>
          <t>OK (≤ últ. compra)</t>
        </is>
      </c>
      <c r="U4568" s="7" t="inlineStr">
        <is>
          <t>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8" t="n"/>
      <c r="M4569" s="8" t="n"/>
      <c r="N4569" s="8" t="n"/>
      <c r="O4569" s="8" t="n"/>
      <c r="P4569" s="8" t="n"/>
      <c r="Q4569" s="7" t="inlineStr">
        <is>
          <t>SEM COTAÇÃO</t>
        </is>
      </c>
      <c r="R4569" s="8" t="n"/>
      <c r="S4569" s="14" t="n"/>
      <c r="T4569" s="7" t="inlineStr"/>
      <c r="U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8" t="n"/>
      <c r="M4570" s="8" t="n"/>
      <c r="N4570" s="15" t="n">
        <v>3.851666666666667</v>
      </c>
      <c r="O4570" s="8" t="n">
        <v>17.309</v>
      </c>
      <c r="P4570" s="8" t="n"/>
      <c r="Q4570" s="7" t="inlineStr">
        <is>
          <t>TAPAJOS</t>
        </is>
      </c>
      <c r="R4570" s="8" t="n">
        <v>3.851666666666667</v>
      </c>
      <c r="S4570" s="14">
        <f>R4570/H4570-1</f>
        <v/>
      </c>
      <c r="T4570" s="17" t="inlineStr">
        <is>
          <t>OK (≤ menor hist.)</t>
        </is>
      </c>
      <c r="U4570" s="7" t="inlineStr">
        <is>
          <t>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8" t="n"/>
      <c r="M4571" s="8" t="n"/>
      <c r="N4571" s="8" t="n"/>
      <c r="O4571" s="8" t="n"/>
      <c r="P4571" s="8" t="n"/>
      <c r="Q4571" s="7" t="inlineStr">
        <is>
          <t>SEM COTAÇÃO</t>
        </is>
      </c>
      <c r="R4571" s="8" t="n"/>
      <c r="S4571" s="14" t="n"/>
      <c r="T4571" s="7" t="inlineStr"/>
      <c r="U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8" t="n"/>
      <c r="M4572" s="8" t="n"/>
      <c r="N4572" s="15" t="n">
        <v>36.32</v>
      </c>
      <c r="O4572" s="8" t="n">
        <v>39.20650000000001</v>
      </c>
      <c r="P4572" s="8" t="n"/>
      <c r="Q4572" s="7" t="inlineStr">
        <is>
          <t>TAPAJOS</t>
        </is>
      </c>
      <c r="R4572" s="8" t="n">
        <v>36.32</v>
      </c>
      <c r="S4572" s="14">
        <f>R4572/H4572-1</f>
        <v/>
      </c>
      <c r="T4572" s="17" t="inlineStr">
        <is>
          <t>OK (≤ últ. compra)</t>
        </is>
      </c>
      <c r="U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8" t="n"/>
      <c r="M4573" s="8" t="n"/>
      <c r="N4573" s="15" t="n">
        <v>30.05</v>
      </c>
      <c r="O4573" s="8" t="n">
        <v>32.433</v>
      </c>
      <c r="P4573" s="8" t="n"/>
      <c r="Q4573" s="7" t="inlineStr">
        <is>
          <t>TAPAJOS</t>
        </is>
      </c>
      <c r="R4573" s="8" t="n">
        <v>30.05</v>
      </c>
      <c r="S4573" s="14">
        <f>R4573/H4573-1</f>
        <v/>
      </c>
      <c r="T4573" s="16" t="inlineStr">
        <is>
          <t>ACIMA +4.6%</t>
        </is>
      </c>
      <c r="U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15" t="n">
        <v>37.75</v>
      </c>
      <c r="M4574" s="8" t="n"/>
      <c r="N4574" s="8" t="n">
        <v>38.7</v>
      </c>
      <c r="O4574" s="8" t="n">
        <v>39.69</v>
      </c>
      <c r="P4574" s="8" t="n"/>
      <c r="Q4574" s="7" t="inlineStr">
        <is>
          <t>EPAN</t>
        </is>
      </c>
      <c r="R4574" s="8" t="n">
        <v>37.75</v>
      </c>
      <c r="S4574" s="14">
        <f>R4574/H4574-1</f>
        <v/>
      </c>
      <c r="T4574" s="17" t="inlineStr">
        <is>
          <t>OK (≤ últ. compra)</t>
        </is>
      </c>
      <c r="U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8" t="n"/>
      <c r="M4575" s="8" t="n"/>
      <c r="N4575" s="8" t="n"/>
      <c r="O4575" s="8" t="n">
        <v>75.14</v>
      </c>
      <c r="P4575" s="8" t="n"/>
      <c r="Q4575" s="7" t="inlineStr">
        <is>
          <t>SEM COTAÇÃO</t>
        </is>
      </c>
      <c r="R4575" s="8" t="n"/>
      <c r="S4575" s="14" t="n"/>
      <c r="T4575" s="7" t="inlineStr"/>
      <c r="U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8" t="n"/>
      <c r="M4576" s="8" t="n"/>
      <c r="N4576" s="8" t="n"/>
      <c r="O4576" s="8" t="n"/>
      <c r="P4576" s="8" t="n"/>
      <c r="Q4576" s="7" t="inlineStr">
        <is>
          <t>SEM COTAÇÃO</t>
        </is>
      </c>
      <c r="R4576" s="8" t="n"/>
      <c r="S4576" s="14" t="n"/>
      <c r="T4576" s="7" t="inlineStr"/>
      <c r="U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8" t="n"/>
      <c r="M4577" s="8" t="n"/>
      <c r="N4577" s="8" t="n"/>
      <c r="O4577" s="8" t="n"/>
      <c r="P4577" s="15" t="n">
        <v>17.44</v>
      </c>
      <c r="Q4577" s="7" t="inlineStr">
        <is>
          <t>MEDCENTRO</t>
        </is>
      </c>
      <c r="R4577" s="8" t="n">
        <v>17.44</v>
      </c>
      <c r="S4577" s="14">
        <f>R4577/H4577-1</f>
        <v/>
      </c>
      <c r="T4577" s="16" t="inlineStr">
        <is>
          <t>ACIMA +19.7%</t>
        </is>
      </c>
      <c r="U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8" t="n"/>
      <c r="M4578" s="8" t="n"/>
      <c r="N4578" s="8" t="n"/>
      <c r="O4578" s="15" t="n">
        <v>58.3632</v>
      </c>
      <c r="P4578" s="8" t="n"/>
      <c r="Q4578" s="7" t="inlineStr">
        <is>
          <t>NAZARIA</t>
        </is>
      </c>
      <c r="R4578" s="8" t="n">
        <v>58.3632</v>
      </c>
      <c r="S4578" s="14">
        <f>R4578/H4578-1</f>
        <v/>
      </c>
      <c r="T4578" s="16" t="inlineStr">
        <is>
          <t>ACIMA +23.4%</t>
        </is>
      </c>
      <c r="U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8" t="n"/>
      <c r="M4579" s="8" t="n"/>
      <c r="N4579" s="8" t="n"/>
      <c r="O4579" s="8" t="n"/>
      <c r="P4579" s="8" t="n"/>
      <c r="Q4579" s="7" t="inlineStr">
        <is>
          <t>SEM COTAÇÃO</t>
        </is>
      </c>
      <c r="R4579" s="8" t="n"/>
      <c r="S4579" s="14" t="n"/>
      <c r="T4579" s="7" t="inlineStr"/>
      <c r="U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8" t="n"/>
      <c r="M4580" s="8" t="n"/>
      <c r="N4580" s="8" t="n"/>
      <c r="O4580" s="8" t="n"/>
      <c r="P4580" s="8" t="n"/>
      <c r="Q4580" s="7" t="inlineStr">
        <is>
          <t>SEM COTAÇÃO</t>
        </is>
      </c>
      <c r="R4580" s="8" t="n"/>
      <c r="S4580" s="14" t="n"/>
      <c r="T4580" s="7" t="inlineStr"/>
      <c r="U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8" t="n"/>
      <c r="M4581" s="8" t="n"/>
      <c r="N4581" s="8" t="n"/>
      <c r="O4581" s="8" t="n"/>
      <c r="P4581" s="8" t="n"/>
      <c r="Q4581" s="7" t="inlineStr">
        <is>
          <t>SEM COTAÇÃO</t>
        </is>
      </c>
      <c r="R4581" s="8" t="n"/>
      <c r="S4581" s="14" t="n"/>
      <c r="T4581" s="7" t="inlineStr"/>
      <c r="U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8" t="n"/>
      <c r="M4582" s="8" t="n"/>
      <c r="N4582" s="8" t="n"/>
      <c r="O4582" s="8" t="n"/>
      <c r="P4582" s="8" t="n"/>
      <c r="Q4582" s="7" t="inlineStr">
        <is>
          <t>SEM COTAÇÃO</t>
        </is>
      </c>
      <c r="R4582" s="8" t="n"/>
      <c r="S4582" s="14" t="n"/>
      <c r="T4582" s="7" t="inlineStr"/>
      <c r="U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8" t="n"/>
      <c r="M4583" s="8" t="n"/>
      <c r="N4583" s="8" t="n"/>
      <c r="O4583" s="8" t="n"/>
      <c r="P4583" s="8" t="n"/>
      <c r="Q4583" s="7" t="inlineStr">
        <is>
          <t>SEM COTAÇÃO</t>
        </is>
      </c>
      <c r="R4583" s="8" t="n"/>
      <c r="S4583" s="14" t="n"/>
      <c r="T4583" s="7" t="inlineStr"/>
      <c r="U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8" t="n"/>
      <c r="M4584" s="8" t="n"/>
      <c r="N4584" s="8" t="n"/>
      <c r="O4584" s="8" t="n"/>
      <c r="P4584" s="8" t="n"/>
      <c r="Q4584" s="7" t="inlineStr">
        <is>
          <t>SEM COTAÇÃO</t>
        </is>
      </c>
      <c r="R4584" s="8" t="n"/>
      <c r="S4584" s="14" t="n"/>
      <c r="T4584" s="7" t="inlineStr"/>
      <c r="U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8" t="n"/>
      <c r="M4585" s="8" t="n"/>
      <c r="N4585" s="8" t="n"/>
      <c r="O4585" s="8" t="n"/>
      <c r="P4585" s="8" t="n"/>
      <c r="Q4585" s="7" t="inlineStr">
        <is>
          <t>SEM COTAÇÃO</t>
        </is>
      </c>
      <c r="R4585" s="8" t="n"/>
      <c r="S4585" s="14" t="n"/>
      <c r="T4585" s="7" t="inlineStr"/>
      <c r="U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8" t="n"/>
      <c r="M4586" s="8" t="n"/>
      <c r="N4586" s="8" t="n"/>
      <c r="O4586" s="8" t="n"/>
      <c r="P4586" s="8" t="n"/>
      <c r="Q4586" s="7" t="inlineStr">
        <is>
          <t>SEM COTAÇÃO</t>
        </is>
      </c>
      <c r="R4586" s="8" t="n"/>
      <c r="S4586" s="14" t="n"/>
      <c r="T4586" s="7" t="inlineStr"/>
      <c r="U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8" t="n"/>
      <c r="M4587" s="8" t="n"/>
      <c r="N4587" s="8" t="n"/>
      <c r="O4587" s="8" t="n"/>
      <c r="P4587" s="8" t="n">
        <v>35.49</v>
      </c>
      <c r="Q4587" s="7" t="inlineStr">
        <is>
          <t>PLUSFARMA</t>
        </is>
      </c>
      <c r="R4587" s="8" t="n">
        <v>35.43</v>
      </c>
      <c r="S4587" s="14">
        <f>R4587/H4587-1</f>
        <v/>
      </c>
      <c r="T4587" s="16" t="inlineStr">
        <is>
          <t>ACIMA +21.0%</t>
        </is>
      </c>
      <c r="U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8" t="n"/>
      <c r="M4588" s="8" t="n">
        <v>27.35</v>
      </c>
      <c r="N4588" s="8" t="n"/>
      <c r="O4588" s="8" t="n"/>
      <c r="P4588" s="8" t="n">
        <v>28.22</v>
      </c>
      <c r="Q4588" s="7" t="inlineStr">
        <is>
          <t>PLUSFARMA</t>
        </is>
      </c>
      <c r="R4588" s="8" t="n">
        <v>26.49</v>
      </c>
      <c r="S4588" s="14">
        <f>R4588/H4588-1</f>
        <v/>
      </c>
      <c r="T4588" s="16" t="inlineStr">
        <is>
          <t>ACIMA +20.5%</t>
        </is>
      </c>
      <c r="U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17.54</v>
      </c>
      <c r="K4589" s="8" t="n">
        <v>18.43</v>
      </c>
      <c r="L4589" s="8" t="n"/>
      <c r="M4589" s="8" t="n">
        <v>17.77</v>
      </c>
      <c r="N4589" s="8" t="n"/>
      <c r="O4589" s="8" t="n"/>
      <c r="P4589" s="15" t="n">
        <v>16.85</v>
      </c>
      <c r="Q4589" s="7" t="inlineStr">
        <is>
          <t>MEDCENTRO</t>
        </is>
      </c>
      <c r="R4589" s="8" t="n">
        <v>16.85</v>
      </c>
      <c r="S4589" s="14">
        <f>R4589/H4589-1</f>
        <v/>
      </c>
      <c r="T4589" s="16" t="inlineStr">
        <is>
          <t>ACIMA +32.8%</t>
        </is>
      </c>
      <c r="U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8" t="n"/>
      <c r="M4590" s="8" t="n"/>
      <c r="N4590" s="8" t="n"/>
      <c r="O4590" s="8" t="n"/>
      <c r="P4590" s="8" t="n">
        <v>29.83</v>
      </c>
      <c r="Q4590" s="7" t="inlineStr">
        <is>
          <t>DIMEC</t>
        </is>
      </c>
      <c r="R4590" s="8" t="n">
        <v>23.22</v>
      </c>
      <c r="S4590" s="14">
        <f>R4590/H4590-1</f>
        <v/>
      </c>
      <c r="T4590" s="16" t="inlineStr">
        <is>
          <t>ACIMA +18.6%</t>
        </is>
      </c>
      <c r="U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13.39</v>
      </c>
      <c r="K4591" s="8" t="n">
        <v>15.89</v>
      </c>
      <c r="L4591" s="8" t="n"/>
      <c r="M4591" s="15" t="n">
        <v>13.35</v>
      </c>
      <c r="N4591" s="8" t="n"/>
      <c r="O4591" s="8" t="n"/>
      <c r="P4591" s="8" t="n">
        <v>16.03</v>
      </c>
      <c r="Q4591" s="7" t="inlineStr">
        <is>
          <t>CENTROFARMA</t>
        </is>
      </c>
      <c r="R4591" s="8" t="n">
        <v>13.35</v>
      </c>
      <c r="S4591" s="14">
        <f>R4591/H4591-1</f>
        <v/>
      </c>
      <c r="T4591" s="17" t="inlineStr">
        <is>
          <t>OK (≤ últ. compra)</t>
        </is>
      </c>
      <c r="U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8" t="n"/>
      <c r="M4592" s="8" t="n"/>
      <c r="N4592" s="8" t="n"/>
      <c r="O4592" s="8" t="n"/>
      <c r="P4592" s="8" t="n"/>
      <c r="Q4592" s="7" t="inlineStr">
        <is>
          <t>SEM COTAÇÃO</t>
        </is>
      </c>
      <c r="R4592" s="8" t="n"/>
      <c r="S4592" s="14" t="n"/>
      <c r="T4592" s="7" t="inlineStr"/>
      <c r="U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8" t="n"/>
      <c r="M4593" s="8" t="n"/>
      <c r="N4593" s="8" t="n"/>
      <c r="O4593" s="8" t="n"/>
      <c r="P4593" s="8" t="n"/>
      <c r="Q4593" s="7" t="inlineStr">
        <is>
          <t>SEM COTAÇÃO</t>
        </is>
      </c>
      <c r="R4593" s="8" t="n"/>
      <c r="S4593" s="14" t="n"/>
      <c r="T4593" s="7" t="inlineStr"/>
      <c r="U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8" t="n"/>
      <c r="M4594" s="15" t="n">
        <v>25.02</v>
      </c>
      <c r="N4594" s="8" t="n"/>
      <c r="O4594" s="8" t="n"/>
      <c r="P4594" s="8" t="n">
        <v>27.62</v>
      </c>
      <c r="Q4594" s="7" t="inlineStr">
        <is>
          <t>CENTROFARMA</t>
        </is>
      </c>
      <c r="R4594" s="8" t="n">
        <v>25.02</v>
      </c>
      <c r="S4594" s="14">
        <f>R4594/H4594-1</f>
        <v/>
      </c>
      <c r="T4594" s="16" t="inlineStr">
        <is>
          <t>ACIMA +5.3%</t>
        </is>
      </c>
      <c r="U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8" t="n"/>
      <c r="M4595" s="8" t="n"/>
      <c r="N4595" s="8" t="n"/>
      <c r="O4595" s="8" t="n"/>
      <c r="P4595" s="8" t="n">
        <v>34.59</v>
      </c>
      <c r="Q4595" s="7" t="inlineStr">
        <is>
          <t>PLUSFARMA</t>
        </is>
      </c>
      <c r="R4595" s="8" t="n">
        <v>31.11</v>
      </c>
      <c r="S4595" s="14">
        <f>R4595/H4595-1</f>
        <v/>
      </c>
      <c r="T4595" s="16" t="inlineStr">
        <is>
          <t>ACIMA +19.7%</t>
        </is>
      </c>
      <c r="U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8" t="n"/>
      <c r="M4596" s="8" t="n">
        <v>16.78</v>
      </c>
      <c r="N4596" s="8" t="n"/>
      <c r="O4596" s="8" t="n"/>
      <c r="P4596" s="8" t="n">
        <v>18.02</v>
      </c>
      <c r="Q4596" s="7" t="inlineStr">
        <is>
          <t>PLUSFARMA</t>
        </is>
      </c>
      <c r="R4596" s="8" t="n">
        <v>16.22</v>
      </c>
      <c r="S4596" s="14">
        <f>R4596/H4596-1</f>
        <v/>
      </c>
      <c r="T4596" s="16" t="inlineStr">
        <is>
          <t>ACIMA +16.3%</t>
        </is>
      </c>
      <c r="U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8" t="n">
        <v>15.73</v>
      </c>
      <c r="L4597" s="8" t="n"/>
      <c r="M4597" s="15" t="n">
        <v>14.04</v>
      </c>
      <c r="N4597" s="8" t="n"/>
      <c r="O4597" s="8" t="n">
        <v>62.29</v>
      </c>
      <c r="P4597" s="8" t="n">
        <v>15.39</v>
      </c>
      <c r="Q4597" s="7" t="inlineStr">
        <is>
          <t>CENTROFARMA</t>
        </is>
      </c>
      <c r="R4597" s="8" t="n">
        <v>14.04</v>
      </c>
      <c r="S4597" s="14">
        <f>R4597/H4597-1</f>
        <v/>
      </c>
      <c r="T4597" s="16" t="inlineStr">
        <is>
          <t>ACIMA +2.6%</t>
        </is>
      </c>
      <c r="U4597" s="7" t="inlineStr">
        <is>
          <t>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8" t="n"/>
      <c r="M4598" s="8" t="n">
        <v>23.71</v>
      </c>
      <c r="N4598" s="8" t="n"/>
      <c r="O4598" s="8" t="n">
        <v>52.43</v>
      </c>
      <c r="P4598" s="8" t="n">
        <v>26.08</v>
      </c>
      <c r="Q4598" s="7" t="inlineStr">
        <is>
          <t>PLUSFARMA</t>
        </is>
      </c>
      <c r="R4598" s="8" t="n">
        <v>23.44</v>
      </c>
      <c r="S4598" s="14">
        <f>R4598/H4598-1</f>
        <v/>
      </c>
      <c r="T4598" s="16" t="inlineStr">
        <is>
          <t>ACIMA +23.6%</t>
        </is>
      </c>
      <c r="U4598" s="7" t="inlineStr">
        <is>
          <t>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8" t="n"/>
      <c r="M4599" s="8" t="n"/>
      <c r="N4599" s="8" t="n"/>
      <c r="O4599" s="8" t="n"/>
      <c r="P4599" s="8" t="n"/>
      <c r="Q4599" s="7" t="inlineStr">
        <is>
          <t>SEM COTAÇÃO</t>
        </is>
      </c>
      <c r="R4599" s="8" t="n"/>
      <c r="S4599" s="14" t="n"/>
      <c r="T4599" s="7" t="inlineStr"/>
      <c r="U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8" t="n"/>
      <c r="M4600" s="8" t="n"/>
      <c r="N4600" s="8" t="n"/>
      <c r="O4600" s="8" t="n"/>
      <c r="P4600" s="8" t="n"/>
      <c r="Q4600" s="7" t="inlineStr">
        <is>
          <t>SEM COTAÇÃO</t>
        </is>
      </c>
      <c r="R4600" s="8" t="n"/>
      <c r="S4600" s="14" t="n"/>
      <c r="T4600" s="7" t="inlineStr"/>
      <c r="U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8" t="n"/>
      <c r="M4601" s="8" t="n"/>
      <c r="N4601" s="8" t="n"/>
      <c r="O4601" s="8" t="n"/>
      <c r="P4601" s="8" t="n"/>
      <c r="Q4601" s="7" t="inlineStr">
        <is>
          <t>SEM COTAÇÃO</t>
        </is>
      </c>
      <c r="R4601" s="8" t="n"/>
      <c r="S4601" s="14" t="n"/>
      <c r="T4601" s="7" t="inlineStr"/>
      <c r="U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7" t="inlineStr">
        <is>
          <t>SEM COTAÇÃO</t>
        </is>
      </c>
      <c r="R4602" s="8" t="n"/>
      <c r="S4602" s="14" t="n"/>
      <c r="T4602" s="7" t="inlineStr"/>
      <c r="U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8" t="n"/>
      <c r="M4603" s="8" t="n"/>
      <c r="N4603" s="8" t="n"/>
      <c r="O4603" s="8" t="n"/>
      <c r="P4603" s="8" t="n"/>
      <c r="Q4603" s="7" t="inlineStr">
        <is>
          <t>SEM COTAÇÃO</t>
        </is>
      </c>
      <c r="R4603" s="8" t="n"/>
      <c r="S4603" s="14" t="n"/>
      <c r="T4603" s="7" t="inlineStr"/>
      <c r="U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8" t="n"/>
      <c r="M4604" s="8" t="n"/>
      <c r="N4604" s="8" t="n"/>
      <c r="O4604" s="8" t="n"/>
      <c r="P4604" s="8" t="n"/>
      <c r="Q4604" s="7" t="inlineStr">
        <is>
          <t>SEM COTAÇÃO</t>
        </is>
      </c>
      <c r="R4604" s="8" t="n"/>
      <c r="S4604" s="14" t="n"/>
      <c r="T4604" s="7" t="inlineStr"/>
      <c r="U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8" t="n"/>
      <c r="M4605" s="8" t="n"/>
      <c r="N4605" s="8" t="n"/>
      <c r="O4605" s="8" t="n"/>
      <c r="P4605" s="8" t="n"/>
      <c r="Q4605" s="7" t="inlineStr">
        <is>
          <t>SEM COTAÇÃO</t>
        </is>
      </c>
      <c r="R4605" s="8" t="n"/>
      <c r="S4605" s="14" t="n"/>
      <c r="T4605" s="7" t="inlineStr"/>
      <c r="U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8" t="n"/>
      <c r="M4606" s="8" t="n"/>
      <c r="N4606" s="8" t="n"/>
      <c r="O4606" s="8" t="n"/>
      <c r="P4606" s="8" t="n"/>
      <c r="Q4606" s="7" t="inlineStr">
        <is>
          <t>SEM COTAÇÃO</t>
        </is>
      </c>
      <c r="R4606" s="8" t="n"/>
      <c r="S4606" s="14" t="n"/>
      <c r="T4606" s="7" t="inlineStr"/>
      <c r="U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8" t="n"/>
      <c r="M4607" s="8" t="n"/>
      <c r="N4607" s="8" t="n"/>
      <c r="O4607" s="8" t="n"/>
      <c r="P4607" s="8" t="n"/>
      <c r="Q4607" s="7" t="inlineStr">
        <is>
          <t>SEM COTAÇÃO</t>
        </is>
      </c>
      <c r="R4607" s="8" t="n"/>
      <c r="S4607" s="14" t="n"/>
      <c r="T4607" s="7" t="inlineStr"/>
      <c r="U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5.39</v>
      </c>
      <c r="K4608" s="8" t="n"/>
      <c r="L4608" s="8" t="n"/>
      <c r="M4608" s="8" t="n">
        <v>5.73</v>
      </c>
      <c r="N4608" s="15" t="n">
        <v>4.58</v>
      </c>
      <c r="O4608" s="8" t="n"/>
      <c r="P4608" s="8" t="n"/>
      <c r="Q4608" s="7" t="inlineStr">
        <is>
          <t>TAPAJOS</t>
        </is>
      </c>
      <c r="R4608" s="8" t="n">
        <v>4.58</v>
      </c>
      <c r="S4608" s="14">
        <f>R4608/H4608-1</f>
        <v/>
      </c>
      <c r="T4608" s="17" t="inlineStr">
        <is>
          <t>OK (≤ menor hist.)</t>
        </is>
      </c>
      <c r="U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8" t="n"/>
      <c r="M4609" s="8" t="n"/>
      <c r="N4609" s="8" t="n"/>
      <c r="O4609" s="8" t="n"/>
      <c r="P4609" s="8" t="n"/>
      <c r="Q4609" s="7" t="inlineStr">
        <is>
          <t>DIMEC</t>
        </is>
      </c>
      <c r="R4609" s="8" t="n">
        <v>14.84</v>
      </c>
      <c r="S4609" s="14">
        <f>R4609/H4609-1</f>
        <v/>
      </c>
      <c r="T4609" s="17" t="inlineStr">
        <is>
          <t>OK (≤ menor hist.)</t>
        </is>
      </c>
      <c r="U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8" t="n"/>
      <c r="M4610" s="8" t="n"/>
      <c r="N4610" s="8" t="n"/>
      <c r="O4610" s="8" t="n"/>
      <c r="P4610" s="8" t="n"/>
      <c r="Q4610" s="7" t="inlineStr">
        <is>
          <t>SEM COTAÇÃO</t>
        </is>
      </c>
      <c r="R4610" s="8" t="n"/>
      <c r="S4610" s="14" t="n"/>
      <c r="T4610" s="7" t="inlineStr"/>
      <c r="U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8" t="n"/>
      <c r="M4611" s="8" t="n"/>
      <c r="N4611" s="8" t="n"/>
      <c r="O4611" s="8" t="n"/>
      <c r="P4611" s="8" t="n"/>
      <c r="Q4611" s="7" t="inlineStr">
        <is>
          <t>SEM COTAÇÃO</t>
        </is>
      </c>
      <c r="R4611" s="8" t="n"/>
      <c r="S4611" s="14" t="n"/>
      <c r="T4611" s="7" t="inlineStr"/>
      <c r="U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8" t="n"/>
      <c r="M4612" s="8" t="n"/>
      <c r="N4612" s="8" t="n"/>
      <c r="O4612" s="8" t="n"/>
      <c r="P4612" s="8" t="n"/>
      <c r="Q4612" s="7" t="inlineStr">
        <is>
          <t>DIMEC</t>
        </is>
      </c>
      <c r="R4612" s="8" t="n">
        <v>11.73</v>
      </c>
      <c r="S4612" s="14">
        <f>R4612/H4612-1</f>
        <v/>
      </c>
      <c r="T4612" s="16" t="inlineStr">
        <is>
          <t>ACIMA +8.7%</t>
        </is>
      </c>
      <c r="U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8" t="n"/>
      <c r="M4613" s="8" t="n"/>
      <c r="N4613" s="15" t="n">
        <v>85.7</v>
      </c>
      <c r="O4613" s="8" t="n">
        <v>113.4609</v>
      </c>
      <c r="P4613" s="8" t="n"/>
      <c r="Q4613" s="7" t="inlineStr">
        <is>
          <t>TAPAJOS</t>
        </is>
      </c>
      <c r="R4613" s="8" t="n">
        <v>85.7</v>
      </c>
      <c r="S4613" s="14">
        <f>R4613/H4613-1</f>
        <v/>
      </c>
      <c r="T4613" s="17" t="inlineStr">
        <is>
          <t>OK (≤ menor hist.)</t>
        </is>
      </c>
      <c r="U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8" t="n"/>
      <c r="M4614" s="8" t="n"/>
      <c r="N4614" s="15" t="n">
        <v>81.81999999999999</v>
      </c>
      <c r="O4614" s="8" t="n">
        <v>84.4191</v>
      </c>
      <c r="P4614" s="8" t="n"/>
      <c r="Q4614" s="7" t="inlineStr">
        <is>
          <t>TAPAJOS</t>
        </is>
      </c>
      <c r="R4614" s="8" t="n">
        <v>81.81999999999999</v>
      </c>
      <c r="S4614" s="14">
        <f>R4614/H4614-1</f>
        <v/>
      </c>
      <c r="T4614" s="17" t="inlineStr">
        <is>
          <t>OK (≤ últ. compra)</t>
        </is>
      </c>
      <c r="U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8" t="n"/>
      <c r="M4615" s="8" t="n"/>
      <c r="N4615" s="8" t="n"/>
      <c r="O4615" s="15" t="n">
        <v>14.21</v>
      </c>
      <c r="P4615" s="8" t="n"/>
      <c r="Q4615" s="7" t="inlineStr">
        <is>
          <t>NAZARIA</t>
        </is>
      </c>
      <c r="R4615" s="8" t="n">
        <v>14.21</v>
      </c>
      <c r="S4615" s="14">
        <f>R4615/H4615-1</f>
        <v/>
      </c>
      <c r="T4615" s="16" t="inlineStr">
        <is>
          <t>ACIMA +509.9%</t>
        </is>
      </c>
      <c r="U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8" t="n"/>
      <c r="M4616" s="8" t="n"/>
      <c r="N4616" s="8" t="n"/>
      <c r="O4616" s="8" t="n">
        <v>45.69</v>
      </c>
      <c r="P4616" s="8" t="n">
        <v>7.48</v>
      </c>
      <c r="Q4616" s="7" t="inlineStr">
        <is>
          <t>DIMEC</t>
        </is>
      </c>
      <c r="R4616" s="8" t="n">
        <v>7.31</v>
      </c>
      <c r="S4616" s="14">
        <f>R4616/H4616-1</f>
        <v/>
      </c>
      <c r="T4616" s="16" t="inlineStr">
        <is>
          <t>ACIMA +0.3%</t>
        </is>
      </c>
      <c r="U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15" t="n">
        <v>17.14</v>
      </c>
      <c r="M4617" s="8" t="n"/>
      <c r="N4617" s="8" t="n">
        <v>20.4</v>
      </c>
      <c r="O4617" s="8" t="n">
        <v>20.832</v>
      </c>
      <c r="P4617" s="8" t="n"/>
      <c r="Q4617" s="7" t="inlineStr">
        <is>
          <t>EPAN</t>
        </is>
      </c>
      <c r="R4617" s="8" t="n">
        <v>17.14</v>
      </c>
      <c r="S4617" s="14">
        <f>R4617/H4617-1</f>
        <v/>
      </c>
      <c r="T4617" s="16" t="inlineStr">
        <is>
          <t>ACIMA +400.0%</t>
        </is>
      </c>
      <c r="U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8" t="n"/>
      <c r="M4618" s="8" t="n"/>
      <c r="N4618" s="8" t="n"/>
      <c r="O4618" s="15" t="n">
        <v>28.224</v>
      </c>
      <c r="P4618" s="8" t="n"/>
      <c r="Q4618" s="7" t="inlineStr">
        <is>
          <t>NAZARIA</t>
        </is>
      </c>
      <c r="R4618" s="8" t="n">
        <v>28.224</v>
      </c>
      <c r="S4618" s="14">
        <f>R4618/H4618-1</f>
        <v/>
      </c>
      <c r="T4618" s="16" t="inlineStr">
        <is>
          <t>ACIMA +95.4%</t>
        </is>
      </c>
      <c r="U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8" t="n"/>
      <c r="M4619" s="8" t="n"/>
      <c r="N4619" s="8" t="n"/>
      <c r="O4619" s="8" t="n"/>
      <c r="P4619" s="8" t="n"/>
      <c r="Q4619" s="7" t="inlineStr">
        <is>
          <t>SEM COTAÇÃO</t>
        </is>
      </c>
      <c r="R4619" s="8" t="n"/>
      <c r="S4619" s="14" t="n"/>
      <c r="T4619" s="7" t="inlineStr"/>
      <c r="U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8" t="n"/>
      <c r="M4620" s="8" t="n"/>
      <c r="N4620" s="8" t="n"/>
      <c r="O4620" s="8" t="n"/>
      <c r="P4620" s="8" t="n"/>
      <c r="Q4620" s="7" t="inlineStr">
        <is>
          <t>SEM COTAÇÃO</t>
        </is>
      </c>
      <c r="R4620" s="8" t="n"/>
      <c r="S4620" s="14" t="n"/>
      <c r="T4620" s="7" t="inlineStr"/>
      <c r="U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8" t="n"/>
      <c r="M4621" s="8" t="n"/>
      <c r="N4621" s="8" t="n"/>
      <c r="O4621" s="8" t="n"/>
      <c r="P4621" s="8" t="n"/>
      <c r="Q4621" s="7" t="inlineStr">
        <is>
          <t>SEM COTAÇÃO</t>
        </is>
      </c>
      <c r="R4621" s="8" t="n"/>
      <c r="S4621" s="14" t="n"/>
      <c r="T4621" s="7" t="inlineStr"/>
      <c r="U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8" t="n"/>
      <c r="M4622" s="8" t="n"/>
      <c r="N4622" s="8" t="n"/>
      <c r="O4622" s="8" t="n"/>
      <c r="P4622" s="8" t="n"/>
      <c r="Q4622" s="7" t="inlineStr">
        <is>
          <t>SEM COTAÇÃO</t>
        </is>
      </c>
      <c r="R4622" s="8" t="n"/>
      <c r="S4622" s="14" t="n"/>
      <c r="T4622" s="7" t="inlineStr"/>
      <c r="U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8" t="n"/>
      <c r="M4623" s="8" t="n"/>
      <c r="N4623" s="8" t="n"/>
      <c r="O4623" s="8" t="n"/>
      <c r="P4623" s="8" t="n"/>
      <c r="Q4623" s="7" t="inlineStr">
        <is>
          <t>SEM COTAÇÃO</t>
        </is>
      </c>
      <c r="R4623" s="8" t="n"/>
      <c r="S4623" s="14" t="n"/>
      <c r="T4623" s="7" t="inlineStr"/>
      <c r="U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8" t="n"/>
      <c r="M4624" s="8" t="n"/>
      <c r="N4624" s="8" t="n"/>
      <c r="O4624" s="8" t="n"/>
      <c r="P4624" s="8" t="n"/>
      <c r="Q4624" s="7" t="inlineStr">
        <is>
          <t>SEM COTAÇÃO</t>
        </is>
      </c>
      <c r="R4624" s="8" t="n"/>
      <c r="S4624" s="14" t="n"/>
      <c r="T4624" s="7" t="inlineStr"/>
      <c r="U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8" t="n"/>
      <c r="M4625" s="8" t="n"/>
      <c r="N4625" s="8" t="n"/>
      <c r="O4625" s="15" t="n">
        <v>20.72</v>
      </c>
      <c r="P4625" s="8" t="n"/>
      <c r="Q4625" s="7" t="inlineStr">
        <is>
          <t>NAZARIA</t>
        </is>
      </c>
      <c r="R4625" s="8" t="n">
        <v>20.72</v>
      </c>
      <c r="S4625" s="14">
        <f>R4625/H4625-1</f>
        <v/>
      </c>
      <c r="T4625" s="16" t="inlineStr">
        <is>
          <t>ACIMA +7.4%</t>
        </is>
      </c>
      <c r="U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8" t="n"/>
      <c r="M4626" s="8" t="n"/>
      <c r="N4626" s="8" t="n"/>
      <c r="O4626" s="8" t="n"/>
      <c r="P4626" s="8" t="n"/>
      <c r="Q4626" s="7" t="inlineStr">
        <is>
          <t>SEM COTAÇÃO</t>
        </is>
      </c>
      <c r="R4626" s="8" t="n"/>
      <c r="S4626" s="14" t="n"/>
      <c r="T4626" s="7" t="inlineStr"/>
      <c r="U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8" t="n"/>
      <c r="M4627" s="8" t="n"/>
      <c r="N4627" s="8" t="n"/>
      <c r="O4627" s="8" t="n"/>
      <c r="P4627" s="8" t="n"/>
      <c r="Q4627" s="7" t="inlineStr">
        <is>
          <t>SEM COTAÇÃO</t>
        </is>
      </c>
      <c r="R4627" s="8" t="n"/>
      <c r="S4627" s="14" t="n"/>
      <c r="T4627" s="7" t="inlineStr"/>
      <c r="U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8" t="n"/>
      <c r="M4628" s="8" t="n"/>
      <c r="N4628" s="8" t="n"/>
      <c r="O4628" s="8" t="n"/>
      <c r="P4628" s="8" t="n"/>
      <c r="Q4628" s="7" t="inlineStr">
        <is>
          <t>SEM COTAÇÃO</t>
        </is>
      </c>
      <c r="R4628" s="8" t="n"/>
      <c r="S4628" s="14" t="n"/>
      <c r="T4628" s="7" t="inlineStr"/>
      <c r="U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8" t="n"/>
      <c r="M4629" s="8" t="n"/>
      <c r="N4629" s="8" t="n"/>
      <c r="O4629" s="15" t="n">
        <v>20.72</v>
      </c>
      <c r="P4629" s="8" t="n"/>
      <c r="Q4629" s="7" t="inlineStr">
        <is>
          <t>NAZARIA</t>
        </is>
      </c>
      <c r="R4629" s="8" t="n">
        <v>20.72</v>
      </c>
      <c r="S4629" s="14">
        <f>R4629/H4629-1</f>
        <v/>
      </c>
      <c r="T4629" s="16" t="inlineStr">
        <is>
          <t>ACIMA +8.4%</t>
        </is>
      </c>
      <c r="U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8" t="n"/>
      <c r="M4630" s="8" t="n"/>
      <c r="N4630" s="8" t="n"/>
      <c r="O4630" s="8" t="n"/>
      <c r="P4630" s="8" t="n"/>
      <c r="Q4630" s="7" t="inlineStr">
        <is>
          <t>SEM COTAÇÃO</t>
        </is>
      </c>
      <c r="R4630" s="8" t="n"/>
      <c r="S4630" s="14" t="n"/>
      <c r="T4630" s="7" t="inlineStr"/>
      <c r="U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8" t="n"/>
      <c r="M4631" s="8" t="n"/>
      <c r="N4631" s="8" t="n"/>
      <c r="O4631" s="8" t="n"/>
      <c r="P4631" s="8" t="n"/>
      <c r="Q4631" s="7" t="inlineStr">
        <is>
          <t>SEM COTAÇÃO</t>
        </is>
      </c>
      <c r="R4631" s="8" t="n"/>
      <c r="S4631" s="14" t="n"/>
      <c r="T4631" s="7" t="inlineStr"/>
      <c r="U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8" t="n"/>
      <c r="M4632" s="8" t="n"/>
      <c r="N4632" s="8" t="n"/>
      <c r="O4632" s="15" t="n">
        <v>20.72</v>
      </c>
      <c r="P4632" s="8" t="n"/>
      <c r="Q4632" s="7" t="inlineStr">
        <is>
          <t>NAZARIA</t>
        </is>
      </c>
      <c r="R4632" s="8" t="n">
        <v>20.72</v>
      </c>
      <c r="S4632" s="14">
        <f>R4632/H4632-1</f>
        <v/>
      </c>
      <c r="T4632" s="16" t="inlineStr">
        <is>
          <t>ACIMA +13.7%</t>
        </is>
      </c>
      <c r="U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8" t="n"/>
      <c r="M4633" s="8" t="n"/>
      <c r="N4633" s="8" t="n"/>
      <c r="O4633" s="15" t="n">
        <v>18.5</v>
      </c>
      <c r="P4633" s="8" t="n"/>
      <c r="Q4633" s="7" t="inlineStr">
        <is>
          <t>NAZARIA</t>
        </is>
      </c>
      <c r="R4633" s="8" t="n">
        <v>18.5</v>
      </c>
      <c r="S4633" s="14">
        <f>R4633/H4633-1</f>
        <v/>
      </c>
      <c r="T4633" s="16" t="inlineStr">
        <is>
          <t>ACIMA +11.8%</t>
        </is>
      </c>
      <c r="U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8" t="n"/>
      <c r="M4634" s="8" t="n"/>
      <c r="N4634" s="8" t="n"/>
      <c r="O4634" s="8" t="n"/>
      <c r="P4634" s="8" t="n"/>
      <c r="Q4634" s="7" t="inlineStr">
        <is>
          <t>SEM COTAÇÃO</t>
        </is>
      </c>
      <c r="R4634" s="8" t="n"/>
      <c r="S4634" s="14" t="n"/>
      <c r="T4634" s="7" t="inlineStr"/>
      <c r="U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8" t="n"/>
      <c r="M4635" s="8" t="n"/>
      <c r="N4635" s="8" t="n"/>
      <c r="O4635" s="8" t="n"/>
      <c r="P4635" s="8" t="n"/>
      <c r="Q4635" s="7" t="inlineStr">
        <is>
          <t>SEM COTAÇÃO</t>
        </is>
      </c>
      <c r="R4635" s="8" t="n"/>
      <c r="S4635" s="14" t="n"/>
      <c r="T4635" s="7" t="inlineStr"/>
      <c r="U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8" t="n"/>
      <c r="M4636" s="8" t="n"/>
      <c r="N4636" s="8" t="n"/>
      <c r="O4636" s="8" t="n"/>
      <c r="P4636" s="8" t="n"/>
      <c r="Q4636" s="7" t="inlineStr">
        <is>
          <t>SEM COTAÇÃO</t>
        </is>
      </c>
      <c r="R4636" s="8" t="n"/>
      <c r="S4636" s="14" t="n"/>
      <c r="T4636" s="7" t="inlineStr"/>
      <c r="U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8" t="n"/>
      <c r="M4637" s="8" t="n"/>
      <c r="N4637" s="8" t="n"/>
      <c r="O4637" s="15" t="n">
        <v>18.5</v>
      </c>
      <c r="P4637" s="8" t="n"/>
      <c r="Q4637" s="7" t="inlineStr">
        <is>
          <t>NAZARIA</t>
        </is>
      </c>
      <c r="R4637" s="8" t="n">
        <v>18.5</v>
      </c>
      <c r="S4637" s="14">
        <f>R4637/H4637-1</f>
        <v/>
      </c>
      <c r="T4637" s="17" t="inlineStr">
        <is>
          <t>OK (≤ menor hist.)</t>
        </is>
      </c>
      <c r="U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8" t="n"/>
      <c r="M4638" s="8" t="n"/>
      <c r="N4638" s="8" t="n"/>
      <c r="O4638" s="8" t="n"/>
      <c r="P4638" s="8" t="n"/>
      <c r="Q4638" s="7" t="inlineStr">
        <is>
          <t>SEM COTAÇÃO</t>
        </is>
      </c>
      <c r="R4638" s="8" t="n"/>
      <c r="S4638" s="14" t="n"/>
      <c r="T4638" s="7" t="inlineStr"/>
      <c r="U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8" t="n"/>
      <c r="M4639" s="8" t="n"/>
      <c r="N4639" s="8" t="n"/>
      <c r="O4639" s="8" t="n"/>
      <c r="P4639" s="8" t="n"/>
      <c r="Q4639" s="7" t="inlineStr">
        <is>
          <t>SEM COTAÇÃO</t>
        </is>
      </c>
      <c r="R4639" s="8" t="n"/>
      <c r="S4639" s="14" t="n"/>
      <c r="T4639" s="7" t="inlineStr"/>
      <c r="U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8" t="n"/>
      <c r="M4640" s="8" t="n"/>
      <c r="N4640" s="8" t="n"/>
      <c r="O4640" s="8" t="n"/>
      <c r="P4640" s="8" t="n"/>
      <c r="Q4640" s="7" t="inlineStr">
        <is>
          <t>SEM COTAÇÃO</t>
        </is>
      </c>
      <c r="R4640" s="8" t="n"/>
      <c r="S4640" s="14" t="n"/>
      <c r="T4640" s="7" t="inlineStr"/>
      <c r="U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8" t="n"/>
      <c r="M4641" s="8" t="n"/>
      <c r="N4641" s="8" t="n"/>
      <c r="O4641" s="8" t="n"/>
      <c r="P4641" s="8" t="n"/>
      <c r="Q4641" s="7" t="inlineStr">
        <is>
          <t>SEM COTAÇÃO</t>
        </is>
      </c>
      <c r="R4641" s="8" t="n"/>
      <c r="S4641" s="14" t="n"/>
      <c r="T4641" s="7" t="inlineStr"/>
      <c r="U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8" t="n"/>
      <c r="M4642" s="8" t="n"/>
      <c r="N4642" s="8" t="n"/>
      <c r="O4642" s="8" t="n"/>
      <c r="P4642" s="8" t="n"/>
      <c r="Q4642" s="7" t="inlineStr">
        <is>
          <t>SEM COTAÇÃO</t>
        </is>
      </c>
      <c r="R4642" s="8" t="n"/>
      <c r="S4642" s="14" t="n"/>
      <c r="T4642" s="7" t="inlineStr"/>
      <c r="U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8" t="n"/>
      <c r="M4643" s="8" t="n"/>
      <c r="N4643" s="8" t="n"/>
      <c r="O4643" s="8" t="n"/>
      <c r="P4643" s="8" t="n"/>
      <c r="Q4643" s="7" t="inlineStr">
        <is>
          <t>SEM COTAÇÃO</t>
        </is>
      </c>
      <c r="R4643" s="8" t="n"/>
      <c r="S4643" s="14" t="n"/>
      <c r="T4643" s="7" t="inlineStr"/>
      <c r="U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8" t="n"/>
      <c r="M4644" s="8" t="n"/>
      <c r="N4644" s="8" t="n"/>
      <c r="O4644" s="8" t="n"/>
      <c r="P4644" s="8" t="n"/>
      <c r="Q4644" s="7" t="inlineStr">
        <is>
          <t>SEM COTAÇÃO</t>
        </is>
      </c>
      <c r="R4644" s="8" t="n"/>
      <c r="S4644" s="14" t="n"/>
      <c r="T4644" s="7" t="inlineStr"/>
      <c r="U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8" t="n"/>
      <c r="M4645" s="8" t="n"/>
      <c r="N4645" s="8" t="n"/>
      <c r="O4645" s="8" t="n"/>
      <c r="P4645" s="8" t="n"/>
      <c r="Q4645" s="7" t="inlineStr">
        <is>
          <t>SEM COTAÇÃO</t>
        </is>
      </c>
      <c r="R4645" s="8" t="n"/>
      <c r="S4645" s="14" t="n"/>
      <c r="T4645" s="7" t="inlineStr"/>
      <c r="U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8" t="n"/>
      <c r="M4646" s="8" t="n"/>
      <c r="N4646" s="8" t="n"/>
      <c r="O4646" s="8" t="n"/>
      <c r="P4646" s="8" t="n"/>
      <c r="Q4646" s="7" t="inlineStr">
        <is>
          <t>SEM COTAÇÃO</t>
        </is>
      </c>
      <c r="R4646" s="8" t="n"/>
      <c r="S4646" s="14" t="n"/>
      <c r="T4646" s="7" t="inlineStr"/>
      <c r="U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8" t="n"/>
      <c r="M4647" s="8" t="n"/>
      <c r="N4647" s="8" t="n"/>
      <c r="O4647" s="8" t="n"/>
      <c r="P4647" s="8" t="n"/>
      <c r="Q4647" s="7" t="inlineStr">
        <is>
          <t>SEM COTAÇÃO</t>
        </is>
      </c>
      <c r="R4647" s="8" t="n"/>
      <c r="S4647" s="14" t="n"/>
      <c r="T4647" s="7" t="inlineStr"/>
      <c r="U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8" t="n"/>
      <c r="M4648" s="8" t="n"/>
      <c r="N4648" s="8" t="n"/>
      <c r="O4648" s="8" t="n"/>
      <c r="P4648" s="8" t="n"/>
      <c r="Q4648" s="7" t="inlineStr">
        <is>
          <t>SEM COTAÇÃO</t>
        </is>
      </c>
      <c r="R4648" s="8" t="n"/>
      <c r="S4648" s="14" t="n"/>
      <c r="T4648" s="7" t="inlineStr"/>
      <c r="U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8" t="n"/>
      <c r="M4649" s="8" t="n"/>
      <c r="N4649" s="8" t="n"/>
      <c r="O4649" s="15" t="n">
        <v>13.72</v>
      </c>
      <c r="P4649" s="8" t="n"/>
      <c r="Q4649" s="7" t="inlineStr">
        <is>
          <t>NAZARIA</t>
        </is>
      </c>
      <c r="R4649" s="8" t="n">
        <v>13.72</v>
      </c>
      <c r="S4649" s="14">
        <f>R4649/H4649-1</f>
        <v/>
      </c>
      <c r="T4649" s="16" t="inlineStr">
        <is>
          <t>ACIMA +23.6%</t>
        </is>
      </c>
      <c r="U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8" t="n"/>
      <c r="M4650" s="8" t="n"/>
      <c r="N4650" s="8" t="n"/>
      <c r="O4650" s="15" t="n">
        <v>13.72</v>
      </c>
      <c r="P4650" s="8" t="n"/>
      <c r="Q4650" s="7" t="inlineStr">
        <is>
          <t>NAZARIA</t>
        </is>
      </c>
      <c r="R4650" s="8" t="n">
        <v>13.72</v>
      </c>
      <c r="S4650" s="14">
        <f>R4650/H4650-1</f>
        <v/>
      </c>
      <c r="T4650" s="16" t="inlineStr">
        <is>
          <t>ACIMA +55.6%</t>
        </is>
      </c>
      <c r="U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8" t="n"/>
      <c r="M4651" s="8" t="n"/>
      <c r="N4651" s="8" t="n"/>
      <c r="O4651" s="8" t="n"/>
      <c r="P4651" s="8" t="n"/>
      <c r="Q4651" s="7" t="inlineStr">
        <is>
          <t>SEM COTAÇÃO</t>
        </is>
      </c>
      <c r="R4651" s="8" t="n"/>
      <c r="S4651" s="14" t="n"/>
      <c r="T4651" s="7" t="inlineStr"/>
      <c r="U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8" t="n"/>
      <c r="M4652" s="8" t="n"/>
      <c r="N4652" s="8" t="n"/>
      <c r="O4652" s="8" t="n"/>
      <c r="P4652" s="8" t="n"/>
      <c r="Q4652" s="7" t="inlineStr">
        <is>
          <t>SEM COTAÇÃO</t>
        </is>
      </c>
      <c r="R4652" s="8" t="n"/>
      <c r="S4652" s="14" t="n"/>
      <c r="T4652" s="7" t="inlineStr"/>
      <c r="U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8" t="n"/>
      <c r="M4653" s="8" t="n"/>
      <c r="N4653" s="8" t="n"/>
      <c r="O4653" s="8" t="n"/>
      <c r="P4653" s="8" t="n"/>
      <c r="Q4653" s="7" t="inlineStr">
        <is>
          <t>SEM COTAÇÃO</t>
        </is>
      </c>
      <c r="R4653" s="8" t="n"/>
      <c r="S4653" s="14" t="n"/>
      <c r="T4653" s="7" t="inlineStr"/>
      <c r="U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8" t="n"/>
      <c r="M4654" s="8" t="n"/>
      <c r="N4654" s="8" t="n"/>
      <c r="O4654" s="8" t="n"/>
      <c r="P4654" s="8" t="n"/>
      <c r="Q4654" s="7" t="inlineStr">
        <is>
          <t>SEM COTAÇÃO</t>
        </is>
      </c>
      <c r="R4654" s="8" t="n"/>
      <c r="S4654" s="14" t="n"/>
      <c r="T4654" s="7" t="inlineStr"/>
      <c r="U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8" t="n"/>
      <c r="M4655" s="8" t="n"/>
      <c r="N4655" s="8" t="n"/>
      <c r="O4655" s="8" t="n"/>
      <c r="P4655" s="8" t="n"/>
      <c r="Q4655" s="7" t="inlineStr">
        <is>
          <t>SEM COTAÇÃO</t>
        </is>
      </c>
      <c r="R4655" s="8" t="n"/>
      <c r="S4655" s="14" t="n"/>
      <c r="T4655" s="7" t="inlineStr"/>
      <c r="U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8" t="n"/>
      <c r="M4656" s="8" t="n"/>
      <c r="N4656" s="8" t="n"/>
      <c r="O4656" s="8" t="n"/>
      <c r="P4656" s="8" t="n"/>
      <c r="Q4656" s="7" t="inlineStr">
        <is>
          <t>SEM COTAÇÃO</t>
        </is>
      </c>
      <c r="R4656" s="8" t="n"/>
      <c r="S4656" s="14" t="n"/>
      <c r="T4656" s="7" t="inlineStr"/>
      <c r="U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8" t="n"/>
      <c r="M4657" s="8" t="n"/>
      <c r="N4657" s="8" t="n"/>
      <c r="O4657" s="8" t="n"/>
      <c r="P4657" s="8" t="n"/>
      <c r="Q4657" s="7" t="inlineStr">
        <is>
          <t>SEM COTAÇÃO</t>
        </is>
      </c>
      <c r="R4657" s="8" t="n"/>
      <c r="S4657" s="14" t="n"/>
      <c r="T4657" s="7" t="inlineStr"/>
      <c r="U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8" t="n"/>
      <c r="M4658" s="8" t="n"/>
      <c r="N4658" s="8" t="n"/>
      <c r="O4658" s="8" t="n"/>
      <c r="P4658" s="8" t="n"/>
      <c r="Q4658" s="7" t="inlineStr">
        <is>
          <t>SEM COTAÇÃO</t>
        </is>
      </c>
      <c r="R4658" s="8" t="n"/>
      <c r="S4658" s="14" t="n"/>
      <c r="T4658" s="7" t="inlineStr"/>
      <c r="U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8" t="n"/>
      <c r="M4659" s="8" t="n"/>
      <c r="N4659" s="8" t="n"/>
      <c r="O4659" s="8" t="n"/>
      <c r="P4659" s="8" t="n"/>
      <c r="Q4659" s="7" t="inlineStr">
        <is>
          <t>SEM COTAÇÃO</t>
        </is>
      </c>
      <c r="R4659" s="8" t="n"/>
      <c r="S4659" s="14" t="n"/>
      <c r="T4659" s="7" t="inlineStr"/>
      <c r="U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8" t="n"/>
      <c r="M4660" s="8" t="n"/>
      <c r="N4660" s="8" t="n"/>
      <c r="O4660" s="8" t="n"/>
      <c r="P4660" s="8" t="n"/>
      <c r="Q4660" s="7" t="inlineStr">
        <is>
          <t>SEM COTAÇÃO</t>
        </is>
      </c>
      <c r="R4660" s="8" t="n"/>
      <c r="S4660" s="14" t="n"/>
      <c r="T4660" s="7" t="inlineStr"/>
      <c r="U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8" t="n"/>
      <c r="M4661" s="8" t="n"/>
      <c r="N4661" s="8" t="n"/>
      <c r="O4661" s="8" t="n"/>
      <c r="P4661" s="8" t="n"/>
      <c r="Q4661" s="7" t="inlineStr">
        <is>
          <t>SEM COTAÇÃO</t>
        </is>
      </c>
      <c r="R4661" s="8" t="n"/>
      <c r="S4661" s="14" t="n"/>
      <c r="T4661" s="7" t="inlineStr"/>
      <c r="U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8" t="n"/>
      <c r="M4662" s="8" t="n"/>
      <c r="N4662" s="8" t="n"/>
      <c r="O4662" s="8" t="n"/>
      <c r="P4662" s="8" t="n"/>
      <c r="Q4662" s="7" t="inlineStr">
        <is>
          <t>SEM COTAÇÃO</t>
        </is>
      </c>
      <c r="R4662" s="8" t="n"/>
      <c r="S4662" s="14" t="n"/>
      <c r="T4662" s="7" t="inlineStr"/>
      <c r="U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8" t="n"/>
      <c r="M4663" s="8" t="n"/>
      <c r="N4663" s="8" t="n"/>
      <c r="O4663" s="8" t="n"/>
      <c r="P4663" s="8" t="n"/>
      <c r="Q4663" s="7" t="inlineStr">
        <is>
          <t>SEM COTAÇÃO</t>
        </is>
      </c>
      <c r="R4663" s="8" t="n"/>
      <c r="S4663" s="14" t="n"/>
      <c r="T4663" s="7" t="inlineStr"/>
      <c r="U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8" t="n"/>
      <c r="M4664" s="8" t="n"/>
      <c r="N4664" s="8" t="n"/>
      <c r="O4664" s="8" t="n"/>
      <c r="P4664" s="8" t="n"/>
      <c r="Q4664" s="7" t="inlineStr">
        <is>
          <t>SEM COTAÇÃO</t>
        </is>
      </c>
      <c r="R4664" s="8" t="n"/>
      <c r="S4664" s="14" t="n"/>
      <c r="T4664" s="7" t="inlineStr"/>
      <c r="U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8" t="n"/>
      <c r="M4665" s="8" t="n"/>
      <c r="N4665" s="8" t="n"/>
      <c r="O4665" s="8" t="n"/>
      <c r="P4665" s="8" t="n"/>
      <c r="Q4665" s="7" t="inlineStr">
        <is>
          <t>SEM COTAÇÃO</t>
        </is>
      </c>
      <c r="R4665" s="8" t="n"/>
      <c r="S4665" s="14" t="n"/>
      <c r="T4665" s="7" t="inlineStr"/>
      <c r="U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8" t="n"/>
      <c r="M4666" s="8" t="n"/>
      <c r="N4666" s="8" t="n"/>
      <c r="O4666" s="8" t="n"/>
      <c r="P4666" s="8" t="n"/>
      <c r="Q4666" s="7" t="inlineStr">
        <is>
          <t>SEM COTAÇÃO</t>
        </is>
      </c>
      <c r="R4666" s="8" t="n"/>
      <c r="S4666" s="14" t="n"/>
      <c r="T4666" s="7" t="inlineStr"/>
      <c r="U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8" t="n"/>
      <c r="M4667" s="8" t="n"/>
      <c r="N4667" s="15" t="n">
        <v>54</v>
      </c>
      <c r="O4667" s="8" t="n">
        <v>58.292</v>
      </c>
      <c r="P4667" s="8" t="n"/>
      <c r="Q4667" s="7" t="inlineStr">
        <is>
          <t>TAPAJOS</t>
        </is>
      </c>
      <c r="R4667" s="8" t="n">
        <v>54</v>
      </c>
      <c r="S4667" s="14">
        <f>R4667/H4667-1</f>
        <v/>
      </c>
      <c r="T4667" s="16" t="inlineStr">
        <is>
          <t>ACIMA +4.5%</t>
        </is>
      </c>
      <c r="U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8" t="n"/>
      <c r="M4668" s="8" t="n"/>
      <c r="N4668" s="8" t="n"/>
      <c r="O4668" s="8" t="n"/>
      <c r="P4668" s="8" t="n"/>
      <c r="Q4668" s="7" t="inlineStr">
        <is>
          <t>SEM COTAÇÃO</t>
        </is>
      </c>
      <c r="R4668" s="8" t="n"/>
      <c r="S4668" s="14" t="n"/>
      <c r="T4668" s="7" t="inlineStr"/>
      <c r="U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8" t="n"/>
      <c r="M4669" s="8" t="n"/>
      <c r="N4669" s="8" t="n"/>
      <c r="O4669" s="8" t="n"/>
      <c r="P4669" s="8" t="n"/>
      <c r="Q4669" s="7" t="inlineStr">
        <is>
          <t>SEM COTAÇÃO</t>
        </is>
      </c>
      <c r="R4669" s="8" t="n"/>
      <c r="S4669" s="14" t="n"/>
      <c r="T4669" s="7" t="inlineStr"/>
      <c r="U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8" t="n"/>
      <c r="M4670" s="8" t="n"/>
      <c r="N4670" s="8" t="n"/>
      <c r="O4670" s="15" t="n">
        <v>12.22</v>
      </c>
      <c r="P4670" s="8" t="n"/>
      <c r="Q4670" s="7" t="inlineStr">
        <is>
          <t>NAZARIA</t>
        </is>
      </c>
      <c r="R4670" s="8" t="n">
        <v>12.22</v>
      </c>
      <c r="S4670" s="14">
        <f>R4670/H4670-1</f>
        <v/>
      </c>
      <c r="T4670" s="16" t="inlineStr">
        <is>
          <t>ACIMA +40.6%</t>
        </is>
      </c>
      <c r="U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8" t="n"/>
      <c r="M4671" s="8" t="n"/>
      <c r="N4671" s="8" t="n"/>
      <c r="O4671" s="8" t="n"/>
      <c r="P4671" s="8" t="n"/>
      <c r="Q4671" s="7" t="inlineStr">
        <is>
          <t>SEM COTAÇÃO</t>
        </is>
      </c>
      <c r="R4671" s="8" t="n"/>
      <c r="S4671" s="14" t="n"/>
      <c r="T4671" s="7" t="inlineStr"/>
      <c r="U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8" t="n"/>
      <c r="M4672" s="8" t="n"/>
      <c r="N4672" s="8" t="n"/>
      <c r="O4672" s="8" t="n"/>
      <c r="P4672" s="8" t="n"/>
      <c r="Q4672" s="7" t="inlineStr">
        <is>
          <t>SEM COTAÇÃO</t>
        </is>
      </c>
      <c r="R4672" s="8" t="n"/>
      <c r="S4672" s="14" t="n"/>
      <c r="T4672" s="7" t="inlineStr"/>
      <c r="U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8" t="n"/>
      <c r="M4673" s="8" t="n"/>
      <c r="N4673" s="8" t="n"/>
      <c r="O4673" s="8" t="n"/>
      <c r="P4673" s="8" t="n"/>
      <c r="Q4673" s="7" t="inlineStr">
        <is>
          <t>SEM COTAÇÃO</t>
        </is>
      </c>
      <c r="R4673" s="8" t="n"/>
      <c r="S4673" s="14" t="n"/>
      <c r="T4673" s="7" t="inlineStr"/>
      <c r="U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8" t="n"/>
      <c r="M4674" s="8" t="n"/>
      <c r="N4674" s="8" t="n"/>
      <c r="O4674" s="8" t="n"/>
      <c r="P4674" s="8" t="n"/>
      <c r="Q4674" s="7" t="inlineStr">
        <is>
          <t>SEM COTAÇÃO</t>
        </is>
      </c>
      <c r="R4674" s="8" t="n"/>
      <c r="S4674" s="14" t="n"/>
      <c r="T4674" s="7" t="inlineStr"/>
      <c r="U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8" t="n"/>
      <c r="M4675" s="8" t="n"/>
      <c r="N4675" s="8" t="n"/>
      <c r="O4675" s="8" t="n"/>
      <c r="P4675" s="8" t="n"/>
      <c r="Q4675" s="7" t="inlineStr">
        <is>
          <t>SEM COTAÇÃO</t>
        </is>
      </c>
      <c r="R4675" s="8" t="n"/>
      <c r="S4675" s="14" t="n"/>
      <c r="T4675" s="7" t="inlineStr"/>
      <c r="U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8" t="n"/>
      <c r="M4676" s="8" t="n"/>
      <c r="N4676" s="8" t="n"/>
      <c r="O4676" s="8" t="n"/>
      <c r="P4676" s="8" t="n"/>
      <c r="Q4676" s="7" t="inlineStr">
        <is>
          <t>SEM COTAÇÃO</t>
        </is>
      </c>
      <c r="R4676" s="8" t="n"/>
      <c r="S4676" s="14" t="n"/>
      <c r="T4676" s="7" t="inlineStr"/>
      <c r="U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8" t="n"/>
      <c r="M4677" s="8" t="n"/>
      <c r="N4677" s="8" t="n"/>
      <c r="O4677" s="8" t="n"/>
      <c r="P4677" s="8" t="n"/>
      <c r="Q4677" s="7" t="inlineStr">
        <is>
          <t>SEM COTAÇÃO</t>
        </is>
      </c>
      <c r="R4677" s="8" t="n"/>
      <c r="S4677" s="14" t="n"/>
      <c r="T4677" s="7" t="inlineStr"/>
      <c r="U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8" t="n"/>
      <c r="M4678" s="8" t="n"/>
      <c r="N4678" s="8" t="n"/>
      <c r="O4678" s="8" t="n"/>
      <c r="P4678" s="8" t="n"/>
      <c r="Q4678" s="7" t="inlineStr">
        <is>
          <t>SEM COTAÇÃO</t>
        </is>
      </c>
      <c r="R4678" s="8" t="n"/>
      <c r="S4678" s="14" t="n"/>
      <c r="T4678" s="7" t="inlineStr"/>
      <c r="U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8" t="n"/>
      <c r="M4679" s="8" t="n"/>
      <c r="N4679" s="8" t="n"/>
      <c r="O4679" s="8" t="n"/>
      <c r="P4679" s="8" t="n"/>
      <c r="Q4679" s="7" t="inlineStr">
        <is>
          <t>SEM COTAÇÃO</t>
        </is>
      </c>
      <c r="R4679" s="8" t="n"/>
      <c r="S4679" s="14" t="n"/>
      <c r="T4679" s="7" t="inlineStr"/>
      <c r="U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8" t="n"/>
      <c r="M4680" s="8" t="n"/>
      <c r="N4680" s="8" t="n"/>
      <c r="O4680" s="8" t="n">
        <v>7.52</v>
      </c>
      <c r="P4680" s="8" t="n"/>
      <c r="Q4680" s="7" t="inlineStr">
        <is>
          <t>SEM COTAÇÃO</t>
        </is>
      </c>
      <c r="R4680" s="8" t="n"/>
      <c r="S4680" s="14" t="n"/>
      <c r="T4680" s="7" t="inlineStr"/>
      <c r="U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8" t="n"/>
      <c r="M4681" s="8" t="n"/>
      <c r="N4681" s="8" t="n"/>
      <c r="O4681" s="8" t="n">
        <v>8.08</v>
      </c>
      <c r="P4681" s="8" t="n"/>
      <c r="Q4681" s="7" t="inlineStr">
        <is>
          <t>SEM COTAÇÃO</t>
        </is>
      </c>
      <c r="R4681" s="8" t="n"/>
      <c r="S4681" s="14" t="n"/>
      <c r="T4681" s="7" t="inlineStr"/>
      <c r="U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8" t="n"/>
      <c r="M4682" s="8" t="n"/>
      <c r="N4682" s="8" t="n"/>
      <c r="O4682" s="8" t="n"/>
      <c r="P4682" s="8" t="n"/>
      <c r="Q4682" s="7" t="inlineStr">
        <is>
          <t>SEM COTAÇÃO</t>
        </is>
      </c>
      <c r="R4682" s="8" t="n"/>
      <c r="S4682" s="14" t="n"/>
      <c r="T4682" s="7" t="inlineStr"/>
      <c r="U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15" t="n">
        <v>41.61</v>
      </c>
      <c r="M4683" s="8" t="n"/>
      <c r="N4683" s="8" t="n"/>
      <c r="O4683" s="8" t="n">
        <v>42.189</v>
      </c>
      <c r="P4683" s="8" t="n"/>
      <c r="Q4683" s="7" t="inlineStr">
        <is>
          <t>EPAN</t>
        </is>
      </c>
      <c r="R4683" s="8" t="n">
        <v>41.61</v>
      </c>
      <c r="S4683" s="14">
        <f>R4683/H4683-1</f>
        <v/>
      </c>
      <c r="T4683" s="17" t="inlineStr">
        <is>
          <t>OK (≤ últ. compra)</t>
        </is>
      </c>
      <c r="U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8" t="n"/>
      <c r="M4684" s="8" t="n"/>
      <c r="N4684" s="8" t="n"/>
      <c r="O4684" s="8" t="n"/>
      <c r="P4684" s="8" t="n"/>
      <c r="Q4684" s="7" t="inlineStr">
        <is>
          <t>SEM COTAÇÃO</t>
        </is>
      </c>
      <c r="R4684" s="8" t="n"/>
      <c r="S4684" s="14" t="n"/>
      <c r="T4684" s="7" t="inlineStr"/>
      <c r="U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8" t="n"/>
      <c r="M4685" s="8" t="n"/>
      <c r="N4685" s="15" t="n">
        <v>68.62</v>
      </c>
      <c r="O4685" s="8" t="n">
        <v>72.98</v>
      </c>
      <c r="P4685" s="8" t="n"/>
      <c r="Q4685" s="7" t="inlineStr">
        <is>
          <t>TAPAJOS</t>
        </is>
      </c>
      <c r="R4685" s="8" t="n">
        <v>68.62</v>
      </c>
      <c r="S4685" s="14">
        <f>R4685/H4685-1</f>
        <v/>
      </c>
      <c r="T4685" s="16" t="inlineStr">
        <is>
          <t>ACIMA +1.6%</t>
        </is>
      </c>
      <c r="U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8" t="n"/>
      <c r="M4686" s="8" t="n"/>
      <c r="N4686" s="8" t="n"/>
      <c r="O4686" s="8" t="n"/>
      <c r="P4686" s="8" t="n"/>
      <c r="Q4686" s="7" t="inlineStr">
        <is>
          <t>SEM COTAÇÃO</t>
        </is>
      </c>
      <c r="R4686" s="8" t="n"/>
      <c r="S4686" s="14" t="n"/>
      <c r="T4686" s="7" t="inlineStr"/>
      <c r="U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8" t="n"/>
      <c r="M4687" s="8" t="n"/>
      <c r="N4687" s="8" t="n"/>
      <c r="O4687" s="8" t="n"/>
      <c r="P4687" s="8" t="n"/>
      <c r="Q4687" s="7" t="inlineStr">
        <is>
          <t>SEM COTAÇÃO</t>
        </is>
      </c>
      <c r="R4687" s="8" t="n"/>
      <c r="S4687" s="14" t="n"/>
      <c r="T4687" s="7" t="inlineStr"/>
      <c r="U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2" t="inlineStr">
        <is>
          <t>7894164009008</t>
        </is>
      </c>
      <c r="D4" s="7" t="inlineStr">
        <is>
          <t>ABIDOR CRIANCA 32G 60ML SUS.</t>
        </is>
      </c>
      <c r="E4" s="13" t="n">
        <v>1</v>
      </c>
      <c r="F4" s="13" t="n">
        <v>4</v>
      </c>
      <c r="G4" s="13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4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2" t="inlineStr">
        <is>
          <t>7893454300115</t>
        </is>
      </c>
      <c r="D6" s="7" t="inlineStr">
        <is>
          <t>ACERATUM SOL FR 10ML</t>
        </is>
      </c>
      <c r="E6" s="13" t="n">
        <v>1</v>
      </c>
      <c r="F6" s="13" t="n">
        <v>1</v>
      </c>
      <c r="G6" s="13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2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3" t="n">
        <v>1</v>
      </c>
      <c r="F7" s="13" t="n">
        <v>1</v>
      </c>
      <c r="G7" s="13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2" t="inlineStr">
        <is>
          <t>7898277713739</t>
        </is>
      </c>
      <c r="D8" s="7" t="inlineStr">
        <is>
          <t>AFT RUB 30ML SPRAY BUCAL</t>
        </is>
      </c>
      <c r="E8" s="13" t="n">
        <v>1</v>
      </c>
      <c r="F8" s="13" t="n">
        <v>1</v>
      </c>
      <c r="G8" s="13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2" t="inlineStr">
        <is>
          <t>7894164005208</t>
        </is>
      </c>
      <c r="D9" s="7" t="inlineStr">
        <is>
          <t>AFTANAX 100MG/ML SPRAY 25ML</t>
        </is>
      </c>
      <c r="E9" s="13" t="n">
        <v>1</v>
      </c>
      <c r="F9" s="13" t="n">
        <v>1</v>
      </c>
      <c r="G9" s="13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2" t="inlineStr">
        <is>
          <t>7898031310082</t>
        </is>
      </c>
      <c r="D10" s="7" t="inlineStr">
        <is>
          <t>AGUA BORICADA 3% 100ML</t>
        </is>
      </c>
      <c r="E10" s="13" t="n">
        <v>1</v>
      </c>
      <c r="F10" s="13" t="n">
        <v>1</v>
      </c>
      <c r="G10" s="13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4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2" t="inlineStr">
        <is>
          <t>7898048691419</t>
        </is>
      </c>
      <c r="D11" s="7" t="inlineStr">
        <is>
          <t>AGUA FLOR DE LARANJEIRA 100ML</t>
        </is>
      </c>
      <c r="E11" s="13" t="n">
        <v>1</v>
      </c>
      <c r="F11" s="13" t="n">
        <v>2</v>
      </c>
      <c r="G11" s="13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2" t="inlineStr">
        <is>
          <t>7898048690771</t>
        </is>
      </c>
      <c r="D12" s="7" t="inlineStr">
        <is>
          <t>AGUA INGLESA 450ML (CINCHONA OFFICINALI)</t>
        </is>
      </c>
      <c r="E12" s="13" t="n">
        <v>1</v>
      </c>
      <c r="F12" s="13" t="n">
        <v>7</v>
      </c>
      <c r="G12" s="13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2" t="inlineStr">
        <is>
          <t>7896023705397</t>
        </is>
      </c>
      <c r="D13" s="7" t="inlineStr">
        <is>
          <t>AGUA INGLESA 500ML</t>
        </is>
      </c>
      <c r="E13" s="13" t="n">
        <v>1</v>
      </c>
      <c r="F13" s="13" t="n">
        <v>3</v>
      </c>
      <c r="G13" s="13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4">
        <f>J13/K13-1</f>
        <v/>
      </c>
      <c r="N13" s="7" t="inlineStr">
        <is>
          <t>ACIMA +0.2%</t>
        </is>
      </c>
      <c r="O13" s="7" t="inlineStr"/>
    </row>
    <row r="14">
      <c r="A14" s="7" t="n">
        <v>532201</v>
      </c>
      <c r="B14" s="7" t="inlineStr">
        <is>
          <t>854</t>
        </is>
      </c>
      <c r="C14" s="12" t="inlineStr">
        <is>
          <t>7898048690887</t>
        </is>
      </c>
      <c r="D14" s="7" t="inlineStr">
        <is>
          <t>AGUARDENTE ALEMA JALAPA D1 30ML</t>
        </is>
      </c>
      <c r="E14" s="13" t="n">
        <v>1</v>
      </c>
      <c r="F14" s="13" t="n">
        <v>3</v>
      </c>
      <c r="G14" s="13" t="n">
        <v>3</v>
      </c>
      <c r="H14" s="8" t="n">
        <v>2.4</v>
      </c>
      <c r="I14" s="8">
        <f>G14*H14</f>
        <v/>
      </c>
      <c r="J14" s="8">
        <f>H14/E14</f>
        <v/>
      </c>
      <c r="K14" s="8" t="n">
        <v>2.4</v>
      </c>
      <c r="L14" s="8" t="n">
        <v>2.38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578621</v>
      </c>
      <c r="B15" s="7" t="inlineStr">
        <is>
          <t>505</t>
        </is>
      </c>
      <c r="C15" s="12" t="inlineStr">
        <is>
          <t>7899780159182</t>
        </is>
      </c>
      <c r="D15" s="7" t="inlineStr">
        <is>
          <t>AGULHA 30X0,7 DESC. WILTEX</t>
        </is>
      </c>
      <c r="E15" s="13" t="n">
        <v>100</v>
      </c>
      <c r="F15" s="13" t="n">
        <v>1</v>
      </c>
      <c r="G15" s="13" t="n">
        <v>1</v>
      </c>
      <c r="H15" s="8" t="n">
        <v>11.6</v>
      </c>
      <c r="I15" s="8">
        <f>G15*H15</f>
        <v/>
      </c>
      <c r="J15" s="8">
        <f>H15/E15</f>
        <v/>
      </c>
      <c r="K15" s="8" t="n">
        <v>0.1234</v>
      </c>
      <c r="L15" s="8" t="n">
        <v>0.1234</v>
      </c>
      <c r="M15" s="14">
        <f>J15/K15-1</f>
        <v/>
      </c>
      <c r="N15" s="7" t="inlineStr">
        <is>
          <t>OK (≤ menor hist.)</t>
        </is>
      </c>
      <c r="O15" s="7" t="inlineStr">
        <is>
          <t>1 emb = 100 un</t>
        </is>
      </c>
    </row>
    <row r="16">
      <c r="A16" s="7" t="n">
        <v>553701</v>
      </c>
      <c r="B16" s="7" t="inlineStr">
        <is>
          <t>503</t>
        </is>
      </c>
      <c r="C16" s="12" t="inlineStr">
        <is>
          <t>78936263</t>
        </is>
      </c>
      <c r="D16" s="7" t="inlineStr">
        <is>
          <t>AGULHA 30X8 WILTEX</t>
        </is>
      </c>
      <c r="E16" s="13" t="n">
        <v>100</v>
      </c>
      <c r="F16" s="13" t="n">
        <v>3</v>
      </c>
      <c r="G16" s="13" t="n">
        <v>1</v>
      </c>
      <c r="H16" s="8" t="n">
        <v>11.42</v>
      </c>
      <c r="I16" s="8">
        <f>G16*H16</f>
        <v/>
      </c>
      <c r="J16" s="8">
        <f>H16/E16</f>
        <v/>
      </c>
      <c r="K16" s="8" t="n">
        <v>0.15</v>
      </c>
      <c r="L16" s="8" t="n">
        <v>0.15</v>
      </c>
      <c r="M16" s="14">
        <f>J16/K16-1</f>
        <v/>
      </c>
      <c r="N16" s="7" t="inlineStr">
        <is>
          <t>OK (≤ menor hist.)</t>
        </is>
      </c>
      <c r="O16" s="7" t="inlineStr">
        <is>
          <t>1 emb = 100 un</t>
        </is>
      </c>
    </row>
    <row r="17">
      <c r="A17" s="7" t="n">
        <v>532221</v>
      </c>
      <c r="B17" s="7" t="inlineStr">
        <is>
          <t>7101</t>
        </is>
      </c>
      <c r="C17" s="12" t="inlineStr">
        <is>
          <t>7898031311010</t>
        </is>
      </c>
      <c r="D17" s="7" t="inlineStr">
        <is>
          <t>ALCOOL 70% SPRAY 50 ML</t>
        </is>
      </c>
      <c r="E17" s="13" t="n">
        <v>1</v>
      </c>
      <c r="F17" s="13" t="n">
        <v>15</v>
      </c>
      <c r="G17" s="13" t="n">
        <v>15</v>
      </c>
      <c r="H17" s="8" t="n">
        <v>4.24</v>
      </c>
      <c r="I17" s="8">
        <f>G17*H17</f>
        <v/>
      </c>
      <c r="J17" s="8">
        <f>H17/E17</f>
        <v/>
      </c>
      <c r="K17" s="8" t="n">
        <v>4.01</v>
      </c>
      <c r="L17" s="8" t="n">
        <v>4.01</v>
      </c>
      <c r="M17" s="14">
        <f>J17/K17-1</f>
        <v/>
      </c>
      <c r="N17" s="7" t="inlineStr">
        <is>
          <t>ACIMA +5.7%</t>
        </is>
      </c>
      <c r="O17" s="7" t="inlineStr"/>
    </row>
    <row r="18">
      <c r="A18" s="7" t="n">
        <v>559941</v>
      </c>
      <c r="B18" s="7" t="inlineStr">
        <is>
          <t>5030</t>
        </is>
      </c>
      <c r="C18" s="12" t="inlineStr">
        <is>
          <t>7898179710775</t>
        </is>
      </c>
      <c r="D18" s="7" t="inlineStr">
        <is>
          <t>ALCOOL ETILICO 50ML</t>
        </is>
      </c>
      <c r="E18" s="13" t="n">
        <v>1</v>
      </c>
      <c r="F18" s="13" t="n">
        <v>7</v>
      </c>
      <c r="G18" s="13" t="n">
        <v>7</v>
      </c>
      <c r="H18" s="8" t="n">
        <v>2.43</v>
      </c>
      <c r="I18" s="8">
        <f>G18*H18</f>
        <v/>
      </c>
      <c r="J18" s="8">
        <f>H18/E18</f>
        <v/>
      </c>
      <c r="K18" s="8" t="n">
        <v>2.11</v>
      </c>
      <c r="L18" s="8" t="n">
        <v>2.11</v>
      </c>
      <c r="M18" s="14">
        <f>J18/K18-1</f>
        <v/>
      </c>
      <c r="N18" s="7" t="inlineStr">
        <is>
          <t>ACIMA +15.2%</t>
        </is>
      </c>
      <c r="O18" s="7" t="inlineStr"/>
    </row>
    <row r="19">
      <c r="A19" s="7" t="n">
        <v>4353</v>
      </c>
      <c r="B19" s="7" t="inlineStr">
        <is>
          <t>1959</t>
        </is>
      </c>
      <c r="C19" s="12" t="inlineStr">
        <is>
          <t>7898582292257</t>
        </is>
      </c>
      <c r="D19" s="7" t="inlineStr">
        <is>
          <t>ALCOOL GEL 60ML UNIPROTEGE</t>
        </is>
      </c>
      <c r="E19" s="13" t="n">
        <v>1</v>
      </c>
      <c r="F19" s="13" t="n">
        <v>4</v>
      </c>
      <c r="G19" s="13" t="n">
        <v>4</v>
      </c>
      <c r="H19" s="8" t="n">
        <v>5.17</v>
      </c>
      <c r="I19" s="8">
        <f>G19*H19</f>
        <v/>
      </c>
      <c r="J19" s="8">
        <f>H19/E19</f>
        <v/>
      </c>
      <c r="K19" s="8" t="n">
        <v>4.51</v>
      </c>
      <c r="L19" s="8" t="n">
        <v>4.51</v>
      </c>
      <c r="M19" s="14">
        <f>J19/K19-1</f>
        <v/>
      </c>
      <c r="N19" s="7" t="inlineStr">
        <is>
          <t>ACIMA +14.6%</t>
        </is>
      </c>
      <c r="O19" s="7" t="inlineStr"/>
    </row>
    <row r="20">
      <c r="A20" s="7" t="n">
        <v>571901</v>
      </c>
      <c r="B20" s="7" t="inlineStr">
        <is>
          <t>9310</t>
        </is>
      </c>
      <c r="C20" s="12" t="inlineStr">
        <is>
          <t>7898582291694</t>
        </is>
      </c>
      <c r="D20" s="7" t="inlineStr">
        <is>
          <t>ALCOOL GEL 70% PERFUMAD COM MICROES 60ML</t>
        </is>
      </c>
      <c r="E20" s="13" t="n">
        <v>1</v>
      </c>
      <c r="F20" s="13" t="n">
        <v>4</v>
      </c>
      <c r="G20" s="13" t="n">
        <v>4</v>
      </c>
      <c r="H20" s="8" t="n">
        <v>5.6</v>
      </c>
      <c r="I20" s="8">
        <f>G20*H20</f>
        <v/>
      </c>
      <c r="J20" s="8">
        <f>H20/E20</f>
        <v/>
      </c>
      <c r="K20" s="8" t="n">
        <v>5.59</v>
      </c>
      <c r="L20" s="8" t="n">
        <v>5.39</v>
      </c>
      <c r="M20" s="14">
        <f>J20/K20-1</f>
        <v/>
      </c>
      <c r="N20" s="7" t="inlineStr">
        <is>
          <t>ACIMA +0.2%</t>
        </is>
      </c>
      <c r="O20" s="7" t="inlineStr"/>
    </row>
    <row r="21">
      <c r="A21" s="7" t="n">
        <v>532241</v>
      </c>
      <c r="B21" s="7" t="inlineStr">
        <is>
          <t>141</t>
        </is>
      </c>
      <c r="C21" s="12" t="inlineStr">
        <is>
          <t>7898031310198</t>
        </is>
      </c>
      <c r="D21" s="7" t="inlineStr">
        <is>
          <t>ALCOOL IODADO 1% 100ML</t>
        </is>
      </c>
      <c r="E21" s="13" t="n">
        <v>1</v>
      </c>
      <c r="F21" s="13" t="n">
        <v>11</v>
      </c>
      <c r="G21" s="13" t="n">
        <v>11</v>
      </c>
      <c r="H21" s="8" t="n">
        <v>4.17</v>
      </c>
      <c r="I21" s="8">
        <f>G21*H21</f>
        <v/>
      </c>
      <c r="J21" s="8">
        <f>H21/E21</f>
        <v/>
      </c>
      <c r="K21" s="8" t="n">
        <v>3.91</v>
      </c>
      <c r="L21" s="8" t="n">
        <v>3.66</v>
      </c>
      <c r="M21" s="14">
        <f>J21/K21-1</f>
        <v/>
      </c>
      <c r="N21" s="7" t="inlineStr">
        <is>
          <t>ACIMA +6.6%</t>
        </is>
      </c>
      <c r="O21" s="7" t="inlineStr"/>
    </row>
    <row r="22">
      <c r="A22" s="7" t="n">
        <v>331061</v>
      </c>
      <c r="B22" s="7" t="inlineStr">
        <is>
          <t>1521</t>
        </is>
      </c>
      <c r="C22" s="12" t="inlineStr">
        <is>
          <t>7896523209715</t>
        </is>
      </c>
      <c r="D22" s="7" t="inlineStr">
        <is>
          <t>ALERGOMINE 10MG/G CREME BG 30G</t>
        </is>
      </c>
      <c r="E22" s="13" t="n">
        <v>1</v>
      </c>
      <c r="F22" s="13" t="n">
        <v>5</v>
      </c>
      <c r="G22" s="13" t="n">
        <v>5</v>
      </c>
      <c r="H22" s="8" t="n">
        <v>6.55</v>
      </c>
      <c r="I22" s="8">
        <f>G22*H22</f>
        <v/>
      </c>
      <c r="J22" s="8">
        <f>H22/E22</f>
        <v/>
      </c>
      <c r="K22" s="8" t="n">
        <v>6.89</v>
      </c>
      <c r="L22" s="8" t="n">
        <v>6.89</v>
      </c>
      <c r="M22" s="14">
        <f>J22/K22-1</f>
        <v/>
      </c>
      <c r="N22" s="7" t="inlineStr">
        <is>
          <t>OK (≤ menor hist.)</t>
        </is>
      </c>
      <c r="O22" s="7" t="inlineStr"/>
    </row>
    <row r="23">
      <c r="A23" s="7" t="n">
        <v>562421</v>
      </c>
      <c r="B23" s="7" t="inlineStr">
        <is>
          <t>812</t>
        </is>
      </c>
      <c r="C23" s="12" t="inlineStr">
        <is>
          <t>7894488000019</t>
        </is>
      </c>
      <c r="D23" s="7" t="inlineStr">
        <is>
          <t>ALGODAO SPARTERX MULTIUSO 25G</t>
        </is>
      </c>
      <c r="E23" s="13" t="n">
        <v>1</v>
      </c>
      <c r="F23" s="13" t="n">
        <v>25</v>
      </c>
      <c r="G23" s="13" t="n">
        <v>25</v>
      </c>
      <c r="H23" s="8" t="n">
        <v>1.09</v>
      </c>
      <c r="I23" s="8">
        <f>G23*H23</f>
        <v/>
      </c>
      <c r="J23" s="8">
        <f>H23/E23</f>
        <v/>
      </c>
      <c r="K23" s="8" t="n">
        <v>1.09</v>
      </c>
      <c r="L23" s="8" t="n">
        <v>1.09</v>
      </c>
      <c r="M23" s="14">
        <f>J23/K23-1</f>
        <v/>
      </c>
      <c r="N23" s="7" t="inlineStr">
        <is>
          <t>OK (≤ menor hist.)</t>
        </is>
      </c>
      <c r="O23" s="7" t="inlineStr"/>
    </row>
    <row r="24">
      <c r="A24" s="7" t="n">
        <v>4373</v>
      </c>
      <c r="B24" s="7" t="inlineStr">
        <is>
          <t>5181</t>
        </is>
      </c>
      <c r="C24" s="12" t="inlineStr">
        <is>
          <t>7896186003316</t>
        </is>
      </c>
      <c r="D24" s="7" t="inlineStr">
        <is>
          <t>ALIVIK 40G POTE</t>
        </is>
      </c>
      <c r="E24" s="13" t="n">
        <v>1</v>
      </c>
      <c r="F24" s="13" t="n">
        <v>5</v>
      </c>
      <c r="G24" s="13" t="n">
        <v>5</v>
      </c>
      <c r="H24" s="8" t="n">
        <v>8.02</v>
      </c>
      <c r="I24" s="8">
        <f>G24*H24</f>
        <v/>
      </c>
      <c r="J24" s="8">
        <f>H24/E24</f>
        <v/>
      </c>
      <c r="K24" s="8" t="n">
        <v>6.52</v>
      </c>
      <c r="L24" s="8" t="n">
        <v>6.52</v>
      </c>
      <c r="M24" s="14">
        <f>J24/K24-1</f>
        <v/>
      </c>
      <c r="N24" s="7" t="inlineStr">
        <is>
          <t>ACIMA +23.0%</t>
        </is>
      </c>
      <c r="O24" s="7" t="inlineStr"/>
    </row>
    <row r="25">
      <c r="A25" s="7" t="n">
        <v>29321</v>
      </c>
      <c r="B25" s="7" t="inlineStr">
        <is>
          <t>161</t>
        </is>
      </c>
      <c r="C25" s="12" t="inlineStr">
        <is>
          <t>7896422516921</t>
        </is>
      </c>
      <c r="D25" s="7" t="inlineStr">
        <is>
          <t>ALOPURINOL 100MG CX 30 COMP</t>
        </is>
      </c>
      <c r="E25" s="13" t="n">
        <v>1</v>
      </c>
      <c r="F25" s="13" t="n">
        <v>1</v>
      </c>
      <c r="G25" s="13" t="n">
        <v>1</v>
      </c>
      <c r="H25" s="8" t="n">
        <v>4.85</v>
      </c>
      <c r="I25" s="8">
        <f>G25*H25</f>
        <v/>
      </c>
      <c r="J25" s="8">
        <f>H25/E25</f>
        <v/>
      </c>
      <c r="K25" s="8" t="n">
        <v>4.0675</v>
      </c>
      <c r="L25" s="8" t="n">
        <v>3.83</v>
      </c>
      <c r="M25" s="14">
        <f>J25/K25-1</f>
        <v/>
      </c>
      <c r="N25" s="7" t="inlineStr">
        <is>
          <t>ACIMA +19.2%</t>
        </is>
      </c>
      <c r="O25" s="7" t="inlineStr"/>
    </row>
    <row r="26">
      <c r="A26" s="7" t="n">
        <v>122441</v>
      </c>
      <c r="B26" s="7" t="inlineStr">
        <is>
          <t>111</t>
        </is>
      </c>
      <c r="C26" s="12" t="inlineStr">
        <is>
          <t>7898100243143</t>
        </is>
      </c>
      <c r="D26" s="7" t="inlineStr">
        <is>
          <t>AMBROL 15MG/5ML XPE FR 100ML PED</t>
        </is>
      </c>
      <c r="E26" s="13" t="n">
        <v>1</v>
      </c>
      <c r="F26" s="13" t="n">
        <v>16</v>
      </c>
      <c r="G26" s="13" t="n">
        <v>16</v>
      </c>
      <c r="H26" s="8" t="n">
        <v>4.69</v>
      </c>
      <c r="I26" s="8">
        <f>G26*H26</f>
        <v/>
      </c>
      <c r="J26" s="8">
        <f>H26/E26</f>
        <v/>
      </c>
      <c r="K26" s="8" t="n">
        <v>3.69</v>
      </c>
      <c r="L26" s="8" t="n">
        <v>3.69</v>
      </c>
      <c r="M26" s="14">
        <f>J26/K26-1</f>
        <v/>
      </c>
      <c r="N26" s="7" t="inlineStr">
        <is>
          <t>ACIMA +27.1%</t>
        </is>
      </c>
      <c r="O26" s="7" t="inlineStr"/>
    </row>
    <row r="27">
      <c r="A27" s="7" t="n">
        <v>122461</v>
      </c>
      <c r="B27" s="7" t="inlineStr">
        <is>
          <t>110</t>
        </is>
      </c>
      <c r="C27" s="12" t="inlineStr">
        <is>
          <t>7898100243150</t>
        </is>
      </c>
      <c r="D27" s="7" t="inlineStr">
        <is>
          <t>AMBROL 30MG/5ML XPE FR 100ML ADU</t>
        </is>
      </c>
      <c r="E27" s="13" t="n">
        <v>1</v>
      </c>
      <c r="F27" s="13" t="n">
        <v>70</v>
      </c>
      <c r="G27" s="13" t="n">
        <v>70</v>
      </c>
      <c r="H27" s="8" t="n">
        <v>4.71</v>
      </c>
      <c r="I27" s="8">
        <f>G27*H27</f>
        <v/>
      </c>
      <c r="J27" s="8">
        <f>H27/E27</f>
        <v/>
      </c>
      <c r="K27" s="8" t="n">
        <v>4.68</v>
      </c>
      <c r="L27" s="8" t="n">
        <v>3.69</v>
      </c>
      <c r="M27" s="14">
        <f>J27/K27-1</f>
        <v/>
      </c>
      <c r="N27" s="7" t="inlineStr">
        <is>
          <t>ACIMA +0.6%</t>
        </is>
      </c>
      <c r="O27" s="7" t="inlineStr"/>
    </row>
    <row r="28">
      <c r="A28" s="7" t="n">
        <v>533061</v>
      </c>
      <c r="B28" s="7" t="inlineStr">
        <is>
          <t>6555</t>
        </is>
      </c>
      <c r="C28" s="12" t="inlineStr">
        <is>
          <t>7899620915091</t>
        </is>
      </c>
      <c r="D28" s="7" t="inlineStr">
        <is>
          <t>APETISINA BC 240ML MORANGO</t>
        </is>
      </c>
      <c r="E28" s="13" t="n">
        <v>1</v>
      </c>
      <c r="F28" s="13" t="n">
        <v>5</v>
      </c>
      <c r="G28" s="13" t="n">
        <v>5</v>
      </c>
      <c r="H28" s="8" t="n">
        <v>5.49</v>
      </c>
      <c r="I28" s="8">
        <f>G28*H28</f>
        <v/>
      </c>
      <c r="J28" s="8">
        <f>H28/E28</f>
        <v/>
      </c>
      <c r="K28" s="8" t="n">
        <v>4.35</v>
      </c>
      <c r="L28" s="8" t="n">
        <v>4.35</v>
      </c>
      <c r="M28" s="14">
        <f>J28/K28-1</f>
        <v/>
      </c>
      <c r="N28" s="7" t="inlineStr">
        <is>
          <t>ACIMA +26.2%</t>
        </is>
      </c>
      <c r="O28" s="7" t="inlineStr"/>
    </row>
    <row r="29">
      <c r="A29" s="7" t="n">
        <v>547741</v>
      </c>
      <c r="B29" s="7" t="inlineStr">
        <is>
          <t>2609</t>
        </is>
      </c>
      <c r="C29" s="12" t="inlineStr">
        <is>
          <t>7899620910584</t>
        </is>
      </c>
      <c r="D29" s="7" t="inlineStr">
        <is>
          <t>APETISINA BC 240ML UVA</t>
        </is>
      </c>
      <c r="E29" s="13" t="n">
        <v>1</v>
      </c>
      <c r="F29" s="13" t="n">
        <v>4</v>
      </c>
      <c r="G29" s="13" t="n">
        <v>4</v>
      </c>
      <c r="H29" s="8" t="n">
        <v>5.49</v>
      </c>
      <c r="I29" s="8">
        <f>G29*H29</f>
        <v/>
      </c>
      <c r="J29" s="8">
        <f>H29/E29</f>
        <v/>
      </c>
      <c r="K29" s="8" t="n">
        <v>5.48</v>
      </c>
      <c r="L29" s="8" t="n">
        <v>4.8</v>
      </c>
      <c r="M29" s="14">
        <f>J29/K29-1</f>
        <v/>
      </c>
      <c r="N29" s="7" t="inlineStr">
        <is>
          <t>ACIMA +0.2%</t>
        </is>
      </c>
      <c r="O29" s="7" t="inlineStr"/>
    </row>
    <row r="30">
      <c r="A30" s="7" t="n">
        <v>5503</v>
      </c>
      <c r="B30" s="7" t="inlineStr">
        <is>
          <t>9627</t>
        </is>
      </c>
      <c r="C30" s="12" t="inlineStr">
        <is>
          <t>7898767760922</t>
        </is>
      </c>
      <c r="D30" s="7" t="inlineStr">
        <is>
          <t>ARTRIFLEX 40MG C/60 CPS</t>
        </is>
      </c>
      <c r="E30" s="13" t="n">
        <v>1</v>
      </c>
      <c r="F30" s="13" t="n">
        <v>1</v>
      </c>
      <c r="G30" s="13" t="n">
        <v>1</v>
      </c>
      <c r="H30" s="8" t="n">
        <v>42.39</v>
      </c>
      <c r="I30" s="8">
        <f>G30*H30</f>
        <v/>
      </c>
      <c r="J30" s="8">
        <f>H30/E30</f>
        <v/>
      </c>
      <c r="K30" s="8" t="n">
        <v>26.99</v>
      </c>
      <c r="L30" s="8" t="n">
        <v>26.99</v>
      </c>
      <c r="M30" s="14">
        <f>J30/K30-1</f>
        <v/>
      </c>
      <c r="N30" s="7" t="inlineStr">
        <is>
          <t>ACIMA +57.1%</t>
        </is>
      </c>
      <c r="O30" s="7" t="inlineStr"/>
    </row>
    <row r="31">
      <c r="A31" s="7" t="n">
        <v>339181</v>
      </c>
      <c r="B31" s="7" t="inlineStr">
        <is>
          <t>9</t>
        </is>
      </c>
      <c r="C31" s="12" t="inlineStr">
        <is>
          <t>7898216360581</t>
        </is>
      </c>
      <c r="D31" s="7" t="inlineStr">
        <is>
          <t>ARTRITEC 7,5MG CX 10 COMP</t>
        </is>
      </c>
      <c r="E31" s="13" t="n">
        <v>1</v>
      </c>
      <c r="F31" s="13" t="n">
        <v>2</v>
      </c>
      <c r="G31" s="13" t="n">
        <v>2</v>
      </c>
      <c r="H31" s="8" t="n">
        <v>3.3</v>
      </c>
      <c r="I31" s="8">
        <f>G31*H31</f>
        <v/>
      </c>
      <c r="J31" s="8">
        <f>H31/E31</f>
        <v/>
      </c>
      <c r="K31" s="8" t="n">
        <v>3.22</v>
      </c>
      <c r="L31" s="8" t="n">
        <v>3.22</v>
      </c>
      <c r="M31" s="14">
        <f>J31/K31-1</f>
        <v/>
      </c>
      <c r="N31" s="7" t="inlineStr">
        <is>
          <t>ACIMA +2.5%</t>
        </is>
      </c>
      <c r="O31" s="7" t="inlineStr"/>
    </row>
    <row r="32">
      <c r="A32" s="7" t="n">
        <v>597791</v>
      </c>
      <c r="B32" s="7" t="inlineStr">
        <is>
          <t>7705</t>
        </is>
      </c>
      <c r="C32" s="12" t="inlineStr">
        <is>
          <t>7898933598625</t>
        </is>
      </c>
      <c r="D32" s="7" t="inlineStr">
        <is>
          <t>ATADURA DE CREPE 06CM UND</t>
        </is>
      </c>
      <c r="E32" s="13" t="n">
        <v>12</v>
      </c>
      <c r="F32" s="13" t="n">
        <v>7</v>
      </c>
      <c r="G32" s="13" t="n">
        <v>1</v>
      </c>
      <c r="H32" s="8" t="n">
        <v>5.25</v>
      </c>
      <c r="I32" s="8">
        <f>G32*H32</f>
        <v/>
      </c>
      <c r="J32" s="8">
        <f>H32/E32</f>
        <v/>
      </c>
      <c r="K32" s="8" t="n">
        <v>0.4992</v>
      </c>
      <c r="L32" s="8" t="n">
        <v>0.4992</v>
      </c>
      <c r="M32" s="14">
        <f>J32/K32-1</f>
        <v/>
      </c>
      <c r="N32" s="7" t="inlineStr">
        <is>
          <t>OK (≤ menor hist.)</t>
        </is>
      </c>
      <c r="O32" s="7" t="inlineStr">
        <is>
          <t>1 emb = 12 un</t>
        </is>
      </c>
    </row>
    <row r="33">
      <c r="A33" s="7" t="n">
        <v>621511</v>
      </c>
      <c r="B33" s="7" t="inlineStr">
        <is>
          <t>7648</t>
        </is>
      </c>
      <c r="C33" s="12" t="inlineStr">
        <is>
          <t>7898933598816</t>
        </is>
      </c>
      <c r="D33" s="7" t="inlineStr">
        <is>
          <t>ATADURA DE CREPE 10CM 13 FIOS TEXPHARMA</t>
        </is>
      </c>
      <c r="E33" s="13" t="n">
        <v>12</v>
      </c>
      <c r="F33" s="13" t="n">
        <v>12</v>
      </c>
      <c r="G33" s="13" t="n">
        <v>1</v>
      </c>
      <c r="H33" s="8" t="n">
        <v>6.53</v>
      </c>
      <c r="I33" s="8">
        <f>G33*H33</f>
        <v/>
      </c>
      <c r="J33" s="8">
        <f>H33/E33</f>
        <v/>
      </c>
      <c r="K33" s="8" t="n">
        <v>0.8325</v>
      </c>
      <c r="L33" s="8" t="n">
        <v>0.8325</v>
      </c>
      <c r="M33" s="14">
        <f>J33/K33-1</f>
        <v/>
      </c>
      <c r="N33" s="7" t="inlineStr">
        <is>
          <t>OK (≤ menor hist.)</t>
        </is>
      </c>
      <c r="O33" s="7" t="inlineStr">
        <is>
          <t>1 emb = 12 un</t>
        </is>
      </c>
    </row>
    <row r="34">
      <c r="A34" s="7" t="n">
        <v>623471</v>
      </c>
      <c r="B34" s="7" t="inlineStr">
        <is>
          <t>7553</t>
        </is>
      </c>
      <c r="C34" s="12" t="inlineStr">
        <is>
          <t>7898933598755</t>
        </is>
      </c>
      <c r="D34" s="7" t="inlineStr">
        <is>
          <t>ATADURA DE CREPE 15CM C/12 UND</t>
        </is>
      </c>
      <c r="E34" s="13" t="n">
        <v>12</v>
      </c>
      <c r="F34" s="13" t="n">
        <v>11</v>
      </c>
      <c r="G34" s="13" t="n">
        <v>1</v>
      </c>
      <c r="H34" s="8" t="n">
        <v>9.82</v>
      </c>
      <c r="I34" s="8">
        <f>G34*H34</f>
        <v/>
      </c>
      <c r="J34" s="8">
        <f>H34/E34</f>
        <v/>
      </c>
      <c r="K34" s="8" t="n">
        <v>1.2492</v>
      </c>
      <c r="L34" s="8" t="n">
        <v>1.1658</v>
      </c>
      <c r="M34" s="14">
        <f>J34/K34-1</f>
        <v/>
      </c>
      <c r="N34" s="7" t="inlineStr">
        <is>
          <t>OK (≤ menor hist.)</t>
        </is>
      </c>
      <c r="O34" s="7" t="inlineStr">
        <is>
          <t>1 emb = 12 un</t>
        </is>
      </c>
    </row>
    <row r="35">
      <c r="A35" s="7" t="n">
        <v>623481</v>
      </c>
      <c r="B35" s="7" t="inlineStr">
        <is>
          <t>7706</t>
        </is>
      </c>
      <c r="C35" s="12" t="inlineStr">
        <is>
          <t>7898933598847</t>
        </is>
      </c>
      <c r="D35" s="7" t="inlineStr">
        <is>
          <t>ATADURA DE CREPE 20CM 13 FIOS TEXPHARMA</t>
        </is>
      </c>
      <c r="E35" s="13" t="n">
        <v>12</v>
      </c>
      <c r="F35" s="13" t="n">
        <v>1</v>
      </c>
      <c r="G35" s="13" t="n">
        <v>1</v>
      </c>
      <c r="H35" s="8" t="n">
        <v>13.08</v>
      </c>
      <c r="I35" s="8">
        <f>G35*H35</f>
        <v/>
      </c>
      <c r="J35" s="8">
        <f>H35/E35</f>
        <v/>
      </c>
      <c r="K35" s="8" t="n">
        <v>1.6658</v>
      </c>
      <c r="L35" s="8" t="n">
        <v>1.6658</v>
      </c>
      <c r="M35" s="14">
        <f>J35/K35-1</f>
        <v/>
      </c>
      <c r="N35" s="7" t="inlineStr">
        <is>
          <t>OK (≤ menor hist.)</t>
        </is>
      </c>
      <c r="O35" s="7" t="inlineStr">
        <is>
          <t>1 emb = 12 un</t>
        </is>
      </c>
    </row>
    <row r="36">
      <c r="A36" s="7" t="n">
        <v>613211</v>
      </c>
      <c r="B36" s="7" t="inlineStr">
        <is>
          <t>7710</t>
        </is>
      </c>
      <c r="C36" s="12" t="inlineStr">
        <is>
          <t>7898933598786</t>
        </is>
      </c>
      <c r="D36" s="7" t="inlineStr">
        <is>
          <t>ATADURA DE CREPE 30CM C/12 UND</t>
        </is>
      </c>
      <c r="E36" s="13" t="n">
        <v>12</v>
      </c>
      <c r="F36" s="13" t="n">
        <v>3</v>
      </c>
      <c r="G36" s="13" t="n">
        <v>1</v>
      </c>
      <c r="H36" s="8" t="n">
        <v>19.67</v>
      </c>
      <c r="I36" s="8">
        <f>G36*H36</f>
        <v/>
      </c>
      <c r="J36" s="8">
        <f>H36/E36</f>
        <v/>
      </c>
      <c r="K36" s="8" t="n">
        <v>2.1658</v>
      </c>
      <c r="L36" s="8" t="n">
        <v>2.1658</v>
      </c>
      <c r="M36" s="14">
        <f>J36/K36-1</f>
        <v/>
      </c>
      <c r="N36" s="7" t="inlineStr">
        <is>
          <t>OK (≤ menor hist.)</t>
        </is>
      </c>
      <c r="O36" s="7" t="inlineStr">
        <is>
          <t>1 emb = 12 un</t>
        </is>
      </c>
    </row>
    <row r="37">
      <c r="A37" s="7" t="n">
        <v>648271</v>
      </c>
      <c r="B37" s="7" t="inlineStr">
        <is>
          <t>225</t>
        </is>
      </c>
      <c r="C37" s="12" t="inlineStr">
        <is>
          <t>7898108641354</t>
        </is>
      </c>
      <c r="D37" s="7" t="inlineStr">
        <is>
          <t>ATADURA DE CREPE SANF 15CMX1,80M</t>
        </is>
      </c>
      <c r="E37" s="13" t="n">
        <v>1</v>
      </c>
      <c r="F37" s="13" t="n">
        <v>1</v>
      </c>
      <c r="G37" s="13" t="n">
        <v>1</v>
      </c>
      <c r="H37" s="8" t="n">
        <v>3.07</v>
      </c>
      <c r="I37" s="8">
        <f>G37*H37</f>
        <v/>
      </c>
      <c r="J37" s="8">
        <f>H37/E37</f>
        <v/>
      </c>
      <c r="K37" s="8" t="n">
        <v>2.6808</v>
      </c>
      <c r="L37" s="8" t="n">
        <v>2.6808</v>
      </c>
      <c r="M37" s="14">
        <f>J37/K37-1</f>
        <v/>
      </c>
      <c r="N37" s="7" t="inlineStr">
        <is>
          <t>ACIMA +14.5%</t>
        </is>
      </c>
      <c r="O37" s="7" t="inlineStr"/>
    </row>
    <row r="38">
      <c r="A38" s="7" t="n">
        <v>648171</v>
      </c>
      <c r="B38" s="7" t="inlineStr">
        <is>
          <t>8460</t>
        </is>
      </c>
      <c r="C38" s="12" t="inlineStr">
        <is>
          <t>7908007905478</t>
        </is>
      </c>
      <c r="D38" s="7" t="inlineStr">
        <is>
          <t>AUTOTESTE COVID-19 AG (TESTE RAPIDO)</t>
        </is>
      </c>
      <c r="E38" s="13" t="n">
        <v>1</v>
      </c>
      <c r="F38" s="13" t="n">
        <v>1</v>
      </c>
      <c r="G38" s="13" t="n">
        <v>1</v>
      </c>
      <c r="H38" s="8" t="n">
        <v>8.289999999999999</v>
      </c>
      <c r="I38" s="8">
        <f>G38*H38</f>
        <v/>
      </c>
      <c r="J38" s="8">
        <f>H38/E38</f>
        <v/>
      </c>
      <c r="K38" s="8" t="n">
        <v>10.7</v>
      </c>
      <c r="L38" s="8" t="n">
        <v>10.7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533001</v>
      </c>
      <c r="B39" s="7" t="inlineStr">
        <is>
          <t>1371</t>
        </is>
      </c>
      <c r="C39" s="12" t="inlineStr">
        <is>
          <t>7896523223223</t>
        </is>
      </c>
      <c r="D39" s="7" t="inlineStr">
        <is>
          <t>BABYMED MENINO 45G POMADA</t>
        </is>
      </c>
      <c r="E39" s="13" t="n">
        <v>1</v>
      </c>
      <c r="F39" s="13" t="n">
        <v>11</v>
      </c>
      <c r="G39" s="13" t="n">
        <v>11</v>
      </c>
      <c r="H39" s="8" t="n">
        <v>6.74</v>
      </c>
      <c r="I39" s="8">
        <f>G39*H39</f>
        <v/>
      </c>
      <c r="J39" s="8">
        <f>H39/E39</f>
        <v/>
      </c>
      <c r="K39" s="8" t="n">
        <v>4.99</v>
      </c>
      <c r="L39" s="8" t="n">
        <v>4.99</v>
      </c>
      <c r="M39" s="14">
        <f>J39/K39-1</f>
        <v/>
      </c>
      <c r="N39" s="7" t="inlineStr">
        <is>
          <t>ACIMA +35.1%</t>
        </is>
      </c>
      <c r="O39" s="7" t="inlineStr"/>
    </row>
    <row r="40">
      <c r="A40" s="7" t="n">
        <v>541321</v>
      </c>
      <c r="B40" s="7" t="inlineStr">
        <is>
          <t>10510</t>
        </is>
      </c>
      <c r="C40" s="12" t="inlineStr">
        <is>
          <t>7898563802468</t>
        </is>
      </c>
      <c r="D40" s="7" t="inlineStr">
        <is>
          <t>BATOM DE CACAU UN</t>
        </is>
      </c>
      <c r="E40" s="13" t="n">
        <v>1</v>
      </c>
      <c r="F40" s="13" t="n">
        <v>1</v>
      </c>
      <c r="G40" s="13" t="n">
        <v>1</v>
      </c>
      <c r="H40" s="8" t="n">
        <v>1.61</v>
      </c>
      <c r="I40" s="8">
        <f>G40*H40</f>
        <v/>
      </c>
      <c r="J40" s="8">
        <f>H40/E40</f>
        <v/>
      </c>
      <c r="K40" s="8" t="n">
        <v>1.61</v>
      </c>
      <c r="L40" s="8" t="n">
        <v>1.61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590701</v>
      </c>
      <c r="B41" s="7" t="inlineStr">
        <is>
          <t>3079</t>
        </is>
      </c>
      <c r="C41" s="12" t="inlineStr">
        <is>
          <t>7898031310075</t>
        </is>
      </c>
      <c r="D41" s="7" t="inlineStr">
        <is>
          <t>BAZELIN 10G UN</t>
        </is>
      </c>
      <c r="E41" s="13" t="n">
        <v>1</v>
      </c>
      <c r="F41" s="13" t="n">
        <v>1</v>
      </c>
      <c r="G41" s="13" t="n">
        <v>1</v>
      </c>
      <c r="H41" s="8" t="n">
        <v>3.81</v>
      </c>
      <c r="I41" s="8">
        <f>G41*H41</f>
        <v/>
      </c>
      <c r="J41" s="8">
        <f>H41/E41</f>
        <v/>
      </c>
      <c r="K41" s="8" t="n">
        <v>3.79</v>
      </c>
      <c r="L41" s="8" t="n">
        <v>3.79</v>
      </c>
      <c r="M41" s="14">
        <f>J41/K41-1</f>
        <v/>
      </c>
      <c r="N41" s="7" t="inlineStr">
        <is>
          <t>ACIMA +0.5%</t>
        </is>
      </c>
      <c r="O41" s="7" t="inlineStr"/>
    </row>
    <row r="42">
      <c r="A42" s="7" t="n">
        <v>212561</v>
      </c>
      <c r="B42" s="7" t="inlineStr">
        <is>
          <t>181</t>
        </is>
      </c>
      <c r="C42" s="12" t="inlineStr">
        <is>
          <t>7897917001465</t>
        </is>
      </c>
      <c r="D42" s="7" t="inlineStr">
        <is>
          <t>BELFAREN 50MG CX 20 COMP</t>
        </is>
      </c>
      <c r="E42" s="13" t="n">
        <v>1</v>
      </c>
      <c r="F42" s="13" t="n">
        <v>2</v>
      </c>
      <c r="G42" s="13" t="n">
        <v>2</v>
      </c>
      <c r="H42" s="8" t="n">
        <v>1.78</v>
      </c>
      <c r="I42" s="8">
        <f>G42*H42</f>
        <v/>
      </c>
      <c r="J42" s="8">
        <f>H42/E42</f>
        <v/>
      </c>
      <c r="K42" s="8" t="n">
        <v>1.62</v>
      </c>
      <c r="L42" s="8" t="n">
        <v>1.62</v>
      </c>
      <c r="M42" s="14">
        <f>J42/K42-1</f>
        <v/>
      </c>
      <c r="N42" s="7" t="inlineStr">
        <is>
          <t>ACIMA +9.9%</t>
        </is>
      </c>
      <c r="O42" s="7" t="inlineStr"/>
    </row>
    <row r="43">
      <c r="A43" s="7" t="n">
        <v>210461</v>
      </c>
      <c r="B43" s="7" t="inlineStr">
        <is>
          <t>9611</t>
        </is>
      </c>
      <c r="C43" s="12" t="inlineStr">
        <is>
          <t>7896004800400</t>
        </is>
      </c>
      <c r="D43" s="7" t="inlineStr">
        <is>
          <t>BENEVRAN CX 20 DRG</t>
        </is>
      </c>
      <c r="E43" s="13" t="n">
        <v>1</v>
      </c>
      <c r="F43" s="13" t="n">
        <v>31</v>
      </c>
      <c r="G43" s="13" t="n">
        <v>31</v>
      </c>
      <c r="H43" s="8" t="n">
        <v>2.34</v>
      </c>
      <c r="I43" s="8">
        <f>G43*H43</f>
        <v/>
      </c>
      <c r="J43" s="8">
        <f>H43/E43</f>
        <v/>
      </c>
      <c r="K43" s="8" t="n">
        <v>2.34</v>
      </c>
      <c r="L43" s="8" t="n">
        <v>2.34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49581</v>
      </c>
      <c r="B44" s="7" t="inlineStr">
        <is>
          <t>453</t>
        </is>
      </c>
      <c r="C44" s="12" t="inlineStr">
        <is>
          <t>7898014560077</t>
        </is>
      </c>
      <c r="D44" s="7" t="inlineStr">
        <is>
          <t>BENZODERM 100 MG/G SAB CT FIL PP X 60 G</t>
        </is>
      </c>
      <c r="E44" s="13" t="n">
        <v>1</v>
      </c>
      <c r="F44" s="13" t="n">
        <v>1</v>
      </c>
      <c r="G44" s="13" t="n">
        <v>1</v>
      </c>
      <c r="H44" s="8" t="n">
        <v>6.59</v>
      </c>
      <c r="I44" s="8">
        <f>G44*H44</f>
        <v/>
      </c>
      <c r="J44" s="8">
        <f>H44/E44</f>
        <v/>
      </c>
      <c r="K44" s="8" t="n">
        <v>6.59</v>
      </c>
      <c r="L44" s="8" t="n">
        <v>6.59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50061</v>
      </c>
      <c r="B45" s="7" t="inlineStr">
        <is>
          <t>5589</t>
        </is>
      </c>
      <c r="C45" s="12" t="inlineStr">
        <is>
          <t>7897917000994</t>
        </is>
      </c>
      <c r="D45" s="7" t="inlineStr">
        <is>
          <t>BENZOILMETRONIDAZOL 40MG/ML SUS OR FR 100ML+COP MED</t>
        </is>
      </c>
      <c r="E45" s="13" t="n">
        <v>1</v>
      </c>
      <c r="F45" s="13" t="n">
        <v>10</v>
      </c>
      <c r="G45" s="13" t="n">
        <v>10</v>
      </c>
      <c r="H45" s="8" t="n">
        <v>9.83</v>
      </c>
      <c r="I45" s="8">
        <f>G45*H45</f>
        <v/>
      </c>
      <c r="J45" s="8">
        <f>H45/E45</f>
        <v/>
      </c>
      <c r="K45" s="8" t="n">
        <v>8.84</v>
      </c>
      <c r="L45" s="8" t="n">
        <v>8.84</v>
      </c>
      <c r="M45" s="14">
        <f>J45/K45-1</f>
        <v/>
      </c>
      <c r="N45" s="7" t="inlineStr">
        <is>
          <t>ACIMA +11.2%</t>
        </is>
      </c>
      <c r="O45" s="7" t="inlineStr"/>
    </row>
    <row r="46">
      <c r="A46" s="7" t="n">
        <v>208141</v>
      </c>
      <c r="B46" s="7" t="inlineStr">
        <is>
          <t>1357</t>
        </is>
      </c>
      <c r="C46" s="12" t="inlineStr">
        <is>
          <t>7896523210797</t>
        </is>
      </c>
      <c r="D46" s="7" t="inlineStr">
        <is>
          <t>BEPANTRIZ 50MG/G POM DERM BG 30G</t>
        </is>
      </c>
      <c r="E46" s="13" t="n">
        <v>1</v>
      </c>
      <c r="F46" s="13" t="n">
        <v>9</v>
      </c>
      <c r="G46" s="13" t="n">
        <v>9</v>
      </c>
      <c r="H46" s="8" t="n">
        <v>7.43</v>
      </c>
      <c r="I46" s="8">
        <f>G46*H46</f>
        <v/>
      </c>
      <c r="J46" s="8">
        <f>H46/E46</f>
        <v/>
      </c>
      <c r="K46" s="8" t="n">
        <v>6.49</v>
      </c>
      <c r="L46" s="8" t="n">
        <v>6.49</v>
      </c>
      <c r="M46" s="14">
        <f>J46/K46-1</f>
        <v/>
      </c>
      <c r="N46" s="7" t="inlineStr">
        <is>
          <t>ACIMA +14.5%</t>
        </is>
      </c>
      <c r="O46" s="7" t="inlineStr"/>
    </row>
    <row r="47">
      <c r="A47" s="7" t="n">
        <v>538061</v>
      </c>
      <c r="B47" s="7" t="inlineStr">
        <is>
          <t>143</t>
        </is>
      </c>
      <c r="C47" s="12" t="inlineStr">
        <is>
          <t>7898031310303</t>
        </is>
      </c>
      <c r="D47" s="7" t="inlineStr">
        <is>
          <t>BICARBONATO DE SODIO 100G</t>
        </is>
      </c>
      <c r="E47" s="13" t="n">
        <v>1</v>
      </c>
      <c r="F47" s="13" t="n">
        <v>24</v>
      </c>
      <c r="G47" s="13" t="n">
        <v>24</v>
      </c>
      <c r="H47" s="8" t="n">
        <v>3.23</v>
      </c>
      <c r="I47" s="8">
        <f>G47*H47</f>
        <v/>
      </c>
      <c r="J47" s="8">
        <f>H47/E47</f>
        <v/>
      </c>
      <c r="K47" s="8" t="n">
        <v>3.05</v>
      </c>
      <c r="L47" s="8" t="n">
        <v>3.05</v>
      </c>
      <c r="M47" s="14">
        <f>J47/K47-1</f>
        <v/>
      </c>
      <c r="N47" s="7" t="inlineStr">
        <is>
          <t>ACIMA +5.9%</t>
        </is>
      </c>
      <c r="O47" s="7" t="inlineStr"/>
    </row>
    <row r="48">
      <c r="A48" s="7" t="n">
        <v>619101</v>
      </c>
      <c r="B48" s="7" t="inlineStr">
        <is>
          <t>8452</t>
        </is>
      </c>
      <c r="C48" s="12" t="inlineStr">
        <is>
          <t>7898953484243</t>
        </is>
      </c>
      <c r="D48" s="7" t="inlineStr">
        <is>
          <t>BICO P/ SERINGA DE LAVAGEN NASAL C/2</t>
        </is>
      </c>
      <c r="E48" s="13" t="n">
        <v>1</v>
      </c>
      <c r="F48" s="13" t="n">
        <v>7</v>
      </c>
      <c r="G48" s="13" t="n">
        <v>7</v>
      </c>
      <c r="H48" s="8" t="n">
        <v>4.3</v>
      </c>
      <c r="I48" s="8">
        <f>G48*H48</f>
        <v/>
      </c>
      <c r="J48" s="8">
        <f>H48/E48</f>
        <v/>
      </c>
      <c r="K48" s="8" t="n">
        <v>4.3</v>
      </c>
      <c r="L48" s="8" t="n">
        <v>4.3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3893</v>
      </c>
      <c r="B49" s="7" t="inlineStr">
        <is>
          <t>7444</t>
        </is>
      </c>
      <c r="C49" s="12" t="inlineStr">
        <is>
          <t>7908414448933</t>
        </is>
      </c>
      <c r="D49" s="7" t="inlineStr">
        <is>
          <t>BOLSA TERMICA GEL AZUL HC353</t>
        </is>
      </c>
      <c r="E49" s="13" t="n">
        <v>1</v>
      </c>
      <c r="F49" s="13" t="n">
        <v>6</v>
      </c>
      <c r="G49" s="13" t="n">
        <v>6</v>
      </c>
      <c r="H49" s="8" t="n">
        <v>12.92</v>
      </c>
      <c r="I49" s="8">
        <f>G49*H49</f>
        <v/>
      </c>
      <c r="J49" s="8">
        <f>H49/E49</f>
        <v/>
      </c>
      <c r="K49" s="8" t="n">
        <v>12.92</v>
      </c>
      <c r="L49" s="8" t="n">
        <v>12.92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674321</v>
      </c>
      <c r="B50" s="7" t="inlineStr">
        <is>
          <t>9959</t>
        </is>
      </c>
      <c r="C50" s="12" t="inlineStr">
        <is>
          <t>7898975719040</t>
        </is>
      </c>
      <c r="D50" s="7" t="inlineStr">
        <is>
          <t>BOLSA TERMICA GEL QUENTE OU FRIO GRANDE</t>
        </is>
      </c>
      <c r="E50" s="13" t="n">
        <v>1</v>
      </c>
      <c r="F50" s="13" t="n">
        <v>1</v>
      </c>
      <c r="G50" s="13" t="n">
        <v>1</v>
      </c>
      <c r="H50" s="8" t="n">
        <v>10.63</v>
      </c>
      <c r="I50" s="8">
        <f>G50*H50</f>
        <v/>
      </c>
      <c r="J50" s="8">
        <f>H50/E50</f>
        <v/>
      </c>
      <c r="K50" s="8" t="n">
        <v>10.63</v>
      </c>
      <c r="L50" s="8" t="n">
        <v>10.63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194</v>
      </c>
      <c r="B51" s="7" t="inlineStr">
        <is>
          <t>10651</t>
        </is>
      </c>
      <c r="C51" s="12" t="inlineStr">
        <is>
          <t>7894164010264</t>
        </is>
      </c>
      <c r="D51" s="7" t="inlineStr">
        <is>
          <t>BROMOPRIDA 4MG/ML 20ML</t>
        </is>
      </c>
      <c r="E51" s="13" t="n">
        <v>1</v>
      </c>
      <c r="F51" s="13" t="n">
        <v>2</v>
      </c>
      <c r="G51" s="13" t="n">
        <v>2</v>
      </c>
      <c r="H51" s="8" t="n">
        <v>3.58</v>
      </c>
      <c r="I51" s="8">
        <f>G51*H51</f>
        <v/>
      </c>
      <c r="J51" s="8">
        <f>H51/E51</f>
        <v/>
      </c>
      <c r="K51" s="8" t="n">
        <v>3.58</v>
      </c>
      <c r="L51" s="8" t="n">
        <v>3.58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294981</v>
      </c>
      <c r="B52" s="7" t="inlineStr">
        <is>
          <t>1553</t>
        </is>
      </c>
      <c r="C52" s="12" t="inlineStr">
        <is>
          <t>7896472513284</t>
        </is>
      </c>
      <c r="D52" s="7" t="inlineStr">
        <is>
          <t>BUPROVIL 300MG CX 20 COMP</t>
        </is>
      </c>
      <c r="E52" s="13" t="n">
        <v>1</v>
      </c>
      <c r="F52" s="13" t="n">
        <v>1</v>
      </c>
      <c r="G52" s="13" t="n">
        <v>1</v>
      </c>
      <c r="H52" s="8" t="n">
        <v>5.63</v>
      </c>
      <c r="I52" s="8">
        <f>G52*H52</f>
        <v/>
      </c>
      <c r="J52" s="8">
        <f>H52/E52</f>
        <v/>
      </c>
      <c r="K52" s="8" t="n">
        <v>5.63</v>
      </c>
      <c r="L52" s="8" t="n">
        <v>5.63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596481</v>
      </c>
      <c r="B53" s="7" t="inlineStr">
        <is>
          <t>5564</t>
        </is>
      </c>
      <c r="C53" s="12" t="inlineStr">
        <is>
          <t>7894164005260</t>
        </is>
      </c>
      <c r="D53" s="7" t="inlineStr">
        <is>
          <t>CALOFIM 5ML SOL (AIRELA)</t>
        </is>
      </c>
      <c r="E53" s="13" t="n">
        <v>1</v>
      </c>
      <c r="F53" s="13" t="n">
        <v>8</v>
      </c>
      <c r="G53" s="13" t="n">
        <v>8</v>
      </c>
      <c r="H53" s="8" t="n">
        <v>8.9</v>
      </c>
      <c r="I53" s="8">
        <f>G53*H53</f>
        <v/>
      </c>
      <c r="J53" s="8">
        <f>H53/E53</f>
        <v/>
      </c>
      <c r="K53" s="8" t="n">
        <v>8.56</v>
      </c>
      <c r="L53" s="8" t="n">
        <v>8.48</v>
      </c>
      <c r="M53" s="14">
        <f>J53/K53-1</f>
        <v/>
      </c>
      <c r="N53" s="7" t="inlineStr">
        <is>
          <t>ACIMA +4.0%</t>
        </is>
      </c>
      <c r="O53" s="7" t="inlineStr"/>
    </row>
    <row r="54">
      <c r="A54" s="7" t="n">
        <v>74721</v>
      </c>
      <c r="B54" s="7" t="inlineStr">
        <is>
          <t>1128</t>
        </is>
      </c>
      <c r="C54" s="12" t="inlineStr">
        <is>
          <t>7899620910164</t>
        </is>
      </c>
      <c r="D54" s="7" t="inlineStr">
        <is>
          <t>CAPTOPRIL 50MG CX 30 COMP</t>
        </is>
      </c>
      <c r="E54" s="13" t="n">
        <v>1</v>
      </c>
      <c r="F54" s="13" t="n">
        <v>3</v>
      </c>
      <c r="G54" s="13" t="n">
        <v>3</v>
      </c>
      <c r="H54" s="8" t="n">
        <v>4.04</v>
      </c>
      <c r="I54" s="8">
        <f>G54*H54</f>
        <v/>
      </c>
      <c r="J54" s="8">
        <f>H54/E54</f>
        <v/>
      </c>
      <c r="K54" s="8" t="n">
        <v>4.04</v>
      </c>
      <c r="L54" s="8" t="n">
        <v>4.04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84281</v>
      </c>
      <c r="B55" s="7" t="inlineStr">
        <is>
          <t>2273</t>
        </is>
      </c>
      <c r="C55" s="12" t="inlineStr">
        <is>
          <t>7895296261036</t>
        </is>
      </c>
      <c r="D55" s="7" t="inlineStr">
        <is>
          <t>CARDBET 3,125MG CX 30 COMP</t>
        </is>
      </c>
      <c r="E55" s="13" t="n">
        <v>1</v>
      </c>
      <c r="F55" s="13" t="n">
        <v>3</v>
      </c>
      <c r="G55" s="13" t="n">
        <v>3</v>
      </c>
      <c r="H55" s="8" t="n">
        <v>3.62</v>
      </c>
      <c r="I55" s="8">
        <f>G55*H55</f>
        <v/>
      </c>
      <c r="J55" s="8">
        <f>H55/E55</f>
        <v/>
      </c>
      <c r="K55" s="8" t="n">
        <v>3</v>
      </c>
      <c r="L55" s="8" t="n">
        <v>3</v>
      </c>
      <c r="M55" s="14">
        <f>J55/K55-1</f>
        <v/>
      </c>
      <c r="N55" s="7" t="inlineStr">
        <is>
          <t>ACIMA +20.7%</t>
        </is>
      </c>
      <c r="O55" s="7" t="inlineStr"/>
    </row>
    <row r="56">
      <c r="A56" s="7" t="n">
        <v>86481</v>
      </c>
      <c r="B56" s="7" t="inlineStr">
        <is>
          <t>1669</t>
        </is>
      </c>
      <c r="C56" s="12" t="inlineStr">
        <is>
          <t>7896004718309</t>
        </is>
      </c>
      <c r="D56" s="7" t="inlineStr">
        <is>
          <t>CEDROXIL 500MG CX 8 CAP</t>
        </is>
      </c>
      <c r="E56" s="13" t="n">
        <v>1</v>
      </c>
      <c r="F56" s="13" t="n">
        <v>1</v>
      </c>
      <c r="G56" s="13" t="n">
        <v>1</v>
      </c>
      <c r="H56" s="8" t="n">
        <v>9.789999999999999</v>
      </c>
      <c r="I56" s="8">
        <f>G56*H56</f>
        <v/>
      </c>
      <c r="J56" s="8">
        <f>H56/E56</f>
        <v/>
      </c>
      <c r="K56" s="8" t="n">
        <v>9.4</v>
      </c>
      <c r="L56" s="8" t="n">
        <v>9.35</v>
      </c>
      <c r="M56" s="14">
        <f>J56/K56-1</f>
        <v/>
      </c>
      <c r="N56" s="7" t="inlineStr">
        <is>
          <t>ACIMA +4.1%</t>
        </is>
      </c>
      <c r="O56" s="7" t="inlineStr"/>
    </row>
    <row r="57">
      <c r="A57" s="7" t="n">
        <v>630661</v>
      </c>
      <c r="B57" s="7" t="inlineStr">
        <is>
          <t>8333</t>
        </is>
      </c>
      <c r="C57" s="12" t="inlineStr">
        <is>
          <t>7896920304556</t>
        </is>
      </c>
      <c r="D57" s="7" t="inlineStr">
        <is>
          <t>CENTROMAX A Z 60 CAPS</t>
        </is>
      </c>
      <c r="E57" s="13" t="n">
        <v>1</v>
      </c>
      <c r="F57" s="13" t="n">
        <v>1</v>
      </c>
      <c r="G57" s="13" t="n">
        <v>1</v>
      </c>
      <c r="H57" s="8" t="n">
        <v>28.48981</v>
      </c>
      <c r="I57" s="8">
        <f>G57*H57</f>
        <v/>
      </c>
      <c r="J57" s="8">
        <f>H57/E57</f>
        <v/>
      </c>
      <c r="K57" s="8" t="n">
        <v>26.85</v>
      </c>
      <c r="L57" s="8" t="n">
        <v>26.85</v>
      </c>
      <c r="M57" s="14">
        <f>J57/K57-1</f>
        <v/>
      </c>
      <c r="N57" s="7" t="inlineStr">
        <is>
          <t>ACIMA +6.1%</t>
        </is>
      </c>
      <c r="O57" s="7" t="inlineStr"/>
    </row>
    <row r="58">
      <c r="A58" s="7" t="n">
        <v>1301</v>
      </c>
      <c r="B58" s="7" t="inlineStr">
        <is>
          <t>372</t>
        </is>
      </c>
      <c r="C58" s="12" t="inlineStr">
        <is>
          <t>7893454100647</t>
        </is>
      </c>
      <c r="D58" s="7" t="inlineStr">
        <is>
          <t>CETOBETA 20+0,64+2,5MG/G POM BG 30G</t>
        </is>
      </c>
      <c r="E58" s="13" t="n">
        <v>1</v>
      </c>
      <c r="F58" s="13" t="n">
        <v>21</v>
      </c>
      <c r="G58" s="13" t="n">
        <v>21</v>
      </c>
      <c r="H58" s="8" t="n">
        <v>8.76</v>
      </c>
      <c r="I58" s="8">
        <f>G58*H58</f>
        <v/>
      </c>
      <c r="J58" s="8">
        <f>H58/E58</f>
        <v/>
      </c>
      <c r="K58" s="8" t="n">
        <v>8</v>
      </c>
      <c r="L58" s="8" t="n">
        <v>7.69</v>
      </c>
      <c r="M58" s="14">
        <f>J58/K58-1</f>
        <v/>
      </c>
      <c r="N58" s="7" t="inlineStr">
        <is>
          <t>ACIMA +9.5%</t>
        </is>
      </c>
      <c r="O58" s="7" t="inlineStr"/>
    </row>
    <row r="59">
      <c r="A59" s="7" t="n">
        <v>92221</v>
      </c>
      <c r="B59" s="7" t="inlineStr">
        <is>
          <t>3542</t>
        </is>
      </c>
      <c r="C59" s="12" t="inlineStr">
        <is>
          <t>7899620911352</t>
        </is>
      </c>
      <c r="D59" s="7" t="inlineStr">
        <is>
          <t>CETOCONAZOL 200MG CX 10 COMP</t>
        </is>
      </c>
      <c r="E59" s="13" t="n">
        <v>1</v>
      </c>
      <c r="F59" s="13" t="n">
        <v>2</v>
      </c>
      <c r="G59" s="13" t="n">
        <v>2</v>
      </c>
      <c r="H59" s="8" t="n">
        <v>4.28</v>
      </c>
      <c r="I59" s="8">
        <f>G59*H59</f>
        <v/>
      </c>
      <c r="J59" s="8">
        <f>H59/E59</f>
        <v/>
      </c>
      <c r="K59" s="8" t="n">
        <v>4.1</v>
      </c>
      <c r="L59" s="8" t="n">
        <v>4.1</v>
      </c>
      <c r="M59" s="14">
        <f>J59/K59-1</f>
        <v/>
      </c>
      <c r="N59" s="7" t="inlineStr">
        <is>
          <t>ACIMA +4.4%</t>
        </is>
      </c>
      <c r="O59" s="7" t="inlineStr"/>
    </row>
    <row r="60">
      <c r="A60" s="7" t="n">
        <v>92021</v>
      </c>
      <c r="B60" s="7" t="inlineStr">
        <is>
          <t>234</t>
        </is>
      </c>
      <c r="C60" s="12" t="inlineStr">
        <is>
          <t>7898216367535</t>
        </is>
      </c>
      <c r="D60" s="7" t="inlineStr">
        <is>
          <t>CETOCONAZOL 200MG CX 10 COMP</t>
        </is>
      </c>
      <c r="E60" s="13" t="n">
        <v>1</v>
      </c>
      <c r="F60" s="13" t="n">
        <v>4</v>
      </c>
      <c r="G60" s="13" t="n">
        <v>4</v>
      </c>
      <c r="H60" s="8" t="n">
        <v>6.16</v>
      </c>
      <c r="I60" s="8">
        <f>G60*H60</f>
        <v/>
      </c>
      <c r="J60" s="8">
        <f>H60/E60</f>
        <v/>
      </c>
      <c r="K60" s="8" t="n">
        <v>4.81</v>
      </c>
      <c r="L60" s="8" t="n">
        <v>4.81</v>
      </c>
      <c r="M60" s="14">
        <f>J60/K60-1</f>
        <v/>
      </c>
      <c r="N60" s="7" t="inlineStr">
        <is>
          <t>ACIMA +28.1%</t>
        </is>
      </c>
      <c r="O60" s="7" t="inlineStr"/>
    </row>
    <row r="61">
      <c r="A61" s="7" t="n">
        <v>96181</v>
      </c>
      <c r="B61" s="7" t="inlineStr">
        <is>
          <t>4848</t>
        </is>
      </c>
      <c r="C61" s="12" t="inlineStr">
        <is>
          <t>7896422507295</t>
        </is>
      </c>
      <c r="D61" s="7" t="inlineStr">
        <is>
          <t>CETOPROFENO 100MG CX 20 COMP</t>
        </is>
      </c>
      <c r="E61" s="13" t="n">
        <v>1</v>
      </c>
      <c r="F61" s="13" t="n">
        <v>36</v>
      </c>
      <c r="G61" s="13" t="n">
        <v>36</v>
      </c>
      <c r="H61" s="8" t="n">
        <v>22.49</v>
      </c>
      <c r="I61" s="8">
        <f>G61*H61</f>
        <v/>
      </c>
      <c r="J61" s="8">
        <f>H61/E61</f>
        <v/>
      </c>
      <c r="K61" s="8" t="n">
        <v>20.1267</v>
      </c>
      <c r="L61" s="8" t="n">
        <v>17.7656</v>
      </c>
      <c r="M61" s="14">
        <f>J61/K61-1</f>
        <v/>
      </c>
      <c r="N61" s="7" t="inlineStr">
        <is>
          <t>ACIMA +11.7%</t>
        </is>
      </c>
      <c r="O61" s="7" t="inlineStr"/>
    </row>
    <row r="62">
      <c r="A62" s="7" t="n">
        <v>95101</v>
      </c>
      <c r="B62" s="7" t="inlineStr">
        <is>
          <t>4849</t>
        </is>
      </c>
      <c r="C62" s="12" t="inlineStr">
        <is>
          <t>7891058002961</t>
        </is>
      </c>
      <c r="D62" s="7" t="inlineStr">
        <is>
          <t>CETOPROFENO 150MG CX 10 COMP REV LIB PROL</t>
        </is>
      </c>
      <c r="E62" s="13" t="n">
        <v>1</v>
      </c>
      <c r="F62" s="13" t="n">
        <v>153</v>
      </c>
      <c r="G62" s="13" t="n">
        <v>153</v>
      </c>
      <c r="H62" s="8" t="n">
        <v>5.99</v>
      </c>
      <c r="I62" s="8">
        <f>G62*H62</f>
        <v/>
      </c>
      <c r="J62" s="8">
        <f>H62/E62</f>
        <v/>
      </c>
      <c r="K62" s="8" t="n">
        <v>5.1338</v>
      </c>
      <c r="L62" s="8" t="n">
        <v>5.1338</v>
      </c>
      <c r="M62" s="14">
        <f>J62/K62-1</f>
        <v/>
      </c>
      <c r="N62" s="7" t="inlineStr">
        <is>
          <t>ACIMA +16.7%</t>
        </is>
      </c>
      <c r="O62" s="7" t="inlineStr"/>
    </row>
    <row r="63">
      <c r="A63" s="7" t="n">
        <v>95121</v>
      </c>
      <c r="B63" s="7" t="inlineStr">
        <is>
          <t>4850</t>
        </is>
      </c>
      <c r="C63" s="12" t="inlineStr">
        <is>
          <t>7896422507349</t>
        </is>
      </c>
      <c r="D63" s="7" t="inlineStr">
        <is>
          <t>CETOPROFENO 50MG CX 24 CAP</t>
        </is>
      </c>
      <c r="E63" s="13" t="n">
        <v>1</v>
      </c>
      <c r="F63" s="13" t="n">
        <v>1</v>
      </c>
      <c r="G63" s="13" t="n">
        <v>1</v>
      </c>
      <c r="H63" s="8" t="n">
        <v>10.49</v>
      </c>
      <c r="I63" s="8">
        <f>G63*H63</f>
        <v/>
      </c>
      <c r="J63" s="8">
        <f>H63/E63</f>
        <v/>
      </c>
      <c r="K63" s="8" t="n">
        <v>8.57</v>
      </c>
      <c r="L63" s="8" t="n">
        <v>7.375</v>
      </c>
      <c r="M63" s="14">
        <f>J63/K63-1</f>
        <v/>
      </c>
      <c r="N63" s="7" t="inlineStr">
        <is>
          <t>ACIMA +22.4%</t>
        </is>
      </c>
      <c r="O63" s="7" t="inlineStr"/>
    </row>
    <row r="64">
      <c r="A64" s="7" t="n">
        <v>608881</v>
      </c>
      <c r="B64" s="7" t="inlineStr">
        <is>
          <t>5415</t>
        </is>
      </c>
      <c r="C64" s="12" t="inlineStr">
        <is>
          <t>7898108640678</t>
        </is>
      </c>
      <c r="D64" s="7" t="inlineStr">
        <is>
          <t>CICATRISAN CURATIVO 10UN MICROPOROSO</t>
        </is>
      </c>
      <c r="E64" s="13" t="n">
        <v>1</v>
      </c>
      <c r="F64" s="13" t="n">
        <v>7</v>
      </c>
      <c r="G64" s="13" t="n">
        <v>7</v>
      </c>
      <c r="H64" s="8" t="n">
        <v>2.01</v>
      </c>
      <c r="I64" s="8">
        <f>G64*H64</f>
        <v/>
      </c>
      <c r="J64" s="8">
        <f>H64/E64</f>
        <v/>
      </c>
      <c r="K64" s="8" t="n">
        <v>1.96</v>
      </c>
      <c r="L64" s="8" t="n">
        <v>1.68</v>
      </c>
      <c r="M64" s="14">
        <f>J64/K64-1</f>
        <v/>
      </c>
      <c r="N64" s="7" t="inlineStr">
        <is>
          <t>ACIMA +2.6%</t>
        </is>
      </c>
      <c r="O64" s="7" t="inlineStr"/>
    </row>
    <row r="65">
      <c r="A65" s="7" t="n">
        <v>98201</v>
      </c>
      <c r="B65" s="7" t="inlineStr">
        <is>
          <t>9995</t>
        </is>
      </c>
      <c r="C65" s="12" t="inlineStr">
        <is>
          <t>7896422512169</t>
        </is>
      </c>
      <c r="D65" s="7" t="inlineStr">
        <is>
          <t>CICLOPIROX OLAMINA 10MG CREME DERM BG 20G</t>
        </is>
      </c>
      <c r="E65" s="13" t="n">
        <v>1</v>
      </c>
      <c r="F65" s="13" t="n">
        <v>1</v>
      </c>
      <c r="G65" s="13" t="n">
        <v>1</v>
      </c>
      <c r="H65" s="8" t="n">
        <v>12.91</v>
      </c>
      <c r="I65" s="8">
        <f>G65*H65</f>
        <v/>
      </c>
      <c r="J65" s="8">
        <f>H65/E65</f>
        <v/>
      </c>
      <c r="K65" s="8" t="n">
        <v>9.56</v>
      </c>
      <c r="L65" s="8" t="n">
        <v>9.19</v>
      </c>
      <c r="M65" s="14">
        <f>J65/K65-1</f>
        <v/>
      </c>
      <c r="N65" s="7" t="inlineStr">
        <is>
          <t>ACIMA +35.0%</t>
        </is>
      </c>
      <c r="O65" s="7" t="inlineStr"/>
    </row>
    <row r="66">
      <c r="A66" s="7" t="n">
        <v>127321</v>
      </c>
      <c r="B66" s="7" t="inlineStr">
        <is>
          <t>1135</t>
        </is>
      </c>
      <c r="C66" s="12" t="inlineStr">
        <is>
          <t>7896523216454</t>
        </is>
      </c>
      <c r="D66" s="7" t="inlineStr">
        <is>
          <t>CIFLOGEX 3,0MG CX 12 PAST SB LARANJA</t>
        </is>
      </c>
      <c r="E66" s="13" t="n">
        <v>1</v>
      </c>
      <c r="F66" s="13" t="n">
        <v>7</v>
      </c>
      <c r="G66" s="13" t="n">
        <v>7</v>
      </c>
      <c r="H66" s="8" t="n">
        <v>9.44</v>
      </c>
      <c r="I66" s="8">
        <f>G66*H66</f>
        <v/>
      </c>
      <c r="J66" s="8">
        <f>H66/E66</f>
        <v/>
      </c>
      <c r="K66" s="8" t="n">
        <v>7.49</v>
      </c>
      <c r="L66" s="8" t="n">
        <v>7.49</v>
      </c>
      <c r="M66" s="14">
        <f>J66/K66-1</f>
        <v/>
      </c>
      <c r="N66" s="7" t="inlineStr">
        <is>
          <t>ACIMA +26.0%</t>
        </is>
      </c>
      <c r="O66" s="7" t="inlineStr"/>
    </row>
    <row r="67">
      <c r="A67" s="7" t="n">
        <v>1103</v>
      </c>
      <c r="B67" s="7" t="inlineStr">
        <is>
          <t>8359</t>
        </is>
      </c>
      <c r="C67" s="12" t="inlineStr">
        <is>
          <t>7898216361267</t>
        </is>
      </c>
      <c r="D67" s="7" t="inlineStr">
        <is>
          <t>CLARITROMICINA 500MG CX 7 COMP REV</t>
        </is>
      </c>
      <c r="E67" s="13" t="n">
        <v>1</v>
      </c>
      <c r="F67" s="13" t="n">
        <v>5</v>
      </c>
      <c r="G67" s="13" t="n">
        <v>5</v>
      </c>
      <c r="H67" s="8" t="n">
        <v>25.38</v>
      </c>
      <c r="I67" s="8">
        <f>G67*H67</f>
        <v/>
      </c>
      <c r="J67" s="8">
        <f>H67/E67</f>
        <v/>
      </c>
      <c r="K67" s="8" t="n">
        <v>31.9</v>
      </c>
      <c r="L67" s="8" t="n">
        <v>23.13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646641</v>
      </c>
      <c r="B68" s="7" t="inlineStr">
        <is>
          <t>8003</t>
        </is>
      </c>
      <c r="C68" s="12" t="inlineStr">
        <is>
          <t>7898048690405</t>
        </is>
      </c>
      <c r="D68" s="7" t="inlineStr">
        <is>
          <t>CLORETO DE MAGNESIO P.A 600MG C/60 CPR</t>
        </is>
      </c>
      <c r="E68" s="13" t="n">
        <v>1</v>
      </c>
      <c r="F68" s="13" t="n">
        <v>5</v>
      </c>
      <c r="G68" s="13" t="n">
        <v>5</v>
      </c>
      <c r="H68" s="8" t="n">
        <v>9.18</v>
      </c>
      <c r="I68" s="8">
        <f>G68*H68</f>
        <v/>
      </c>
      <c r="J68" s="8">
        <f>H68/E68</f>
        <v/>
      </c>
      <c r="K68" s="8" t="n">
        <v>8.9</v>
      </c>
      <c r="L68" s="8" t="n">
        <v>8.9</v>
      </c>
      <c r="M68" s="14">
        <f>J68/K68-1</f>
        <v/>
      </c>
      <c r="N68" s="7" t="inlineStr">
        <is>
          <t>ACIMA +3.1%</t>
        </is>
      </c>
      <c r="O68" s="7" t="inlineStr"/>
    </row>
    <row r="69">
      <c r="A69" s="7" t="n">
        <v>560161</v>
      </c>
      <c r="B69" s="7" t="inlineStr">
        <is>
          <t>147</t>
        </is>
      </c>
      <c r="C69" s="12" t="inlineStr">
        <is>
          <t>7898031310365</t>
        </is>
      </c>
      <c r="D69" s="7" t="inlineStr">
        <is>
          <t>CLORETO DE MAGNESIO PA 33G</t>
        </is>
      </c>
      <c r="E69" s="13" t="n">
        <v>1</v>
      </c>
      <c r="F69" s="13" t="n">
        <v>1</v>
      </c>
      <c r="G69" s="13" t="n">
        <v>1</v>
      </c>
      <c r="H69" s="8" t="n">
        <v>5.39</v>
      </c>
      <c r="I69" s="8">
        <f>G69*H69</f>
        <v/>
      </c>
      <c r="J69" s="8">
        <f>H69/E69</f>
        <v/>
      </c>
      <c r="K69" s="8" t="n">
        <v>4.93</v>
      </c>
      <c r="L69" s="8" t="n">
        <v>4.93</v>
      </c>
      <c r="M69" s="14">
        <f>J69/K69-1</f>
        <v/>
      </c>
      <c r="N69" s="7" t="inlineStr">
        <is>
          <t>ACIMA +9.3%</t>
        </is>
      </c>
      <c r="O69" s="7" t="inlineStr"/>
    </row>
    <row r="70">
      <c r="A70" s="7" t="n">
        <v>619951</v>
      </c>
      <c r="B70" s="7" t="inlineStr">
        <is>
          <t>1332</t>
        </is>
      </c>
      <c r="C70" s="12" t="inlineStr">
        <is>
          <t>7898031310853</t>
        </is>
      </c>
      <c r="D70" s="7" t="inlineStr">
        <is>
          <t>CLORETO DE MAGNESIO PA 500MG C/60 CPS</t>
        </is>
      </c>
      <c r="E70" s="13" t="n">
        <v>1</v>
      </c>
      <c r="F70" s="13" t="n">
        <v>6</v>
      </c>
      <c r="G70" s="13" t="n">
        <v>6</v>
      </c>
      <c r="H70" s="8" t="n">
        <v>13.61</v>
      </c>
      <c r="I70" s="8">
        <f>G70*H70</f>
        <v/>
      </c>
      <c r="J70" s="8">
        <f>H70/E70</f>
        <v/>
      </c>
      <c r="K70" s="8" t="n">
        <v>13.61</v>
      </c>
      <c r="L70" s="8" t="n">
        <v>13.61</v>
      </c>
      <c r="M70" s="14">
        <f>J70/K70-1</f>
        <v/>
      </c>
      <c r="N70" s="7" t="inlineStr">
        <is>
          <t>OK (≤ menor hist.)</t>
        </is>
      </c>
      <c r="O70" s="7" t="inlineStr"/>
    </row>
    <row r="71">
      <c r="A71" s="7" t="n">
        <v>124681</v>
      </c>
      <c r="B71" s="7" t="inlineStr">
        <is>
          <t>9911</t>
        </is>
      </c>
      <c r="C71" s="12" t="inlineStr">
        <is>
          <t>7891058001681</t>
        </is>
      </c>
      <c r="D71" s="7" t="inlineStr">
        <is>
          <t>CLORIDRATO DE AMIODARONA 200MG CX 30 COMP</t>
        </is>
      </c>
      <c r="E71" s="13" t="n">
        <v>1</v>
      </c>
      <c r="F71" s="13" t="n">
        <v>1</v>
      </c>
      <c r="G71" s="13" t="n">
        <v>1</v>
      </c>
      <c r="H71" s="8" t="n">
        <v>20.44</v>
      </c>
      <c r="I71" s="8">
        <f>G71*H71</f>
        <v/>
      </c>
      <c r="J71" s="8">
        <f>H71/E71</f>
        <v/>
      </c>
      <c r="K71" s="8" t="n">
        <v>16.4233</v>
      </c>
      <c r="L71" s="8" t="n">
        <v>13.6767</v>
      </c>
      <c r="M71" s="14">
        <f>J71/K71-1</f>
        <v/>
      </c>
      <c r="N71" s="7" t="inlineStr">
        <is>
          <t>ACIMA +24.5%</t>
        </is>
      </c>
      <c r="O71" s="7" t="inlineStr"/>
    </row>
    <row r="72">
      <c r="A72" s="7" t="n">
        <v>132801</v>
      </c>
      <c r="B72" s="7" t="inlineStr">
        <is>
          <t>2260</t>
        </is>
      </c>
      <c r="C72" s="12" t="inlineStr">
        <is>
          <t>7896523214641</t>
        </is>
      </c>
      <c r="D72" s="7" t="inlineStr">
        <is>
          <t>CLORIDRATO DE CICLOBENZAPRINA 10MG CX 15 COMP REV</t>
        </is>
      </c>
      <c r="E72" s="13" t="n">
        <v>1</v>
      </c>
      <c r="F72" s="13" t="n">
        <v>34</v>
      </c>
      <c r="G72" s="13" t="n">
        <v>34</v>
      </c>
      <c r="H72" s="8" t="n">
        <v>2.63</v>
      </c>
      <c r="I72" s="8">
        <f>G72*H72</f>
        <v/>
      </c>
      <c r="J72" s="8">
        <f>H72/E72</f>
        <v/>
      </c>
      <c r="K72" s="8" t="n">
        <v>2.63</v>
      </c>
      <c r="L72" s="8" t="n">
        <v>2.49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134601</v>
      </c>
      <c r="B73" s="7" t="inlineStr">
        <is>
          <t>6559</t>
        </is>
      </c>
      <c r="C73" s="12" t="inlineStr">
        <is>
          <t>7898060139951</t>
        </is>
      </c>
      <c r="D73" s="7" t="inlineStr">
        <is>
          <t>CLORIDRATO DE CICLOBENZAPRINA 10MG CX 30 COMP REV</t>
        </is>
      </c>
      <c r="E73" s="13" t="n">
        <v>1</v>
      </c>
      <c r="F73" s="13" t="n">
        <v>4</v>
      </c>
      <c r="G73" s="13" t="n">
        <v>4</v>
      </c>
      <c r="H73" s="8" t="n">
        <v>5.58</v>
      </c>
      <c r="I73" s="8">
        <f>G73*H73</f>
        <v/>
      </c>
      <c r="J73" s="8">
        <f>H73/E73</f>
        <v/>
      </c>
      <c r="K73" s="8" t="n">
        <v>5.48</v>
      </c>
      <c r="L73" s="8" t="n">
        <v>5.48</v>
      </c>
      <c r="M73" s="14">
        <f>J73/K73-1</f>
        <v/>
      </c>
      <c r="N73" s="7" t="inlineStr">
        <is>
          <t>ACIMA +1.8%</t>
        </is>
      </c>
      <c r="O73" s="7" t="inlineStr"/>
    </row>
    <row r="74">
      <c r="A74" s="7" t="n">
        <v>134661</v>
      </c>
      <c r="B74" s="7" t="inlineStr">
        <is>
          <t>5401</t>
        </is>
      </c>
      <c r="C74" s="12" t="inlineStr">
        <is>
          <t>7898060139913</t>
        </is>
      </c>
      <c r="D74" s="7" t="inlineStr">
        <is>
          <t>CLORIDRATO DE CICLOBENZAPRINA 5MG CX 15 COMP REV</t>
        </is>
      </c>
      <c r="E74" s="13" t="n">
        <v>1</v>
      </c>
      <c r="F74" s="13" t="n">
        <v>1</v>
      </c>
      <c r="G74" s="13" t="n">
        <v>1</v>
      </c>
      <c r="H74" s="8" t="n">
        <v>2.55</v>
      </c>
      <c r="I74" s="8">
        <f>G74*H74</f>
        <v/>
      </c>
      <c r="J74" s="8">
        <f>H74/E74</f>
        <v/>
      </c>
      <c r="K74" s="8" t="n">
        <v>2.53</v>
      </c>
      <c r="L74" s="8" t="n">
        <v>2.53</v>
      </c>
      <c r="M74" s="14">
        <f>J74/K74-1</f>
        <v/>
      </c>
      <c r="N74" s="7" t="inlineStr">
        <is>
          <t>ACIMA +0.8%</t>
        </is>
      </c>
      <c r="O74" s="7" t="inlineStr"/>
    </row>
    <row r="75">
      <c r="A75" s="7" t="n">
        <v>135981</v>
      </c>
      <c r="B75" s="7" t="inlineStr">
        <is>
          <t>2006</t>
        </is>
      </c>
      <c r="C75" s="12" t="inlineStr">
        <is>
          <t>7898216360185</t>
        </is>
      </c>
      <c r="D75" s="7" t="inlineStr">
        <is>
          <t>CLORIDRATO DE CIPROFLOXACINO 500MG CX 14 COMP REV</t>
        </is>
      </c>
      <c r="E75" s="13" t="n">
        <v>1</v>
      </c>
      <c r="F75" s="13" t="n">
        <v>14</v>
      </c>
      <c r="G75" s="13" t="n">
        <v>14</v>
      </c>
      <c r="H75" s="8" t="n">
        <v>6.43</v>
      </c>
      <c r="I75" s="8">
        <f>G75*H75</f>
        <v/>
      </c>
      <c r="J75" s="8">
        <f>H75/E75</f>
        <v/>
      </c>
      <c r="K75" s="8" t="n">
        <v>6.19</v>
      </c>
      <c r="L75" s="8" t="n">
        <v>5.99</v>
      </c>
      <c r="M75" s="14">
        <f>J75/K75-1</f>
        <v/>
      </c>
      <c r="N75" s="7" t="inlineStr">
        <is>
          <t>ACIMA +3.9%</t>
        </is>
      </c>
      <c r="O75" s="7" t="inlineStr"/>
    </row>
    <row r="76">
      <c r="A76" s="7" t="n">
        <v>142821</v>
      </c>
      <c r="B76" s="7" t="inlineStr">
        <is>
          <t>5936</t>
        </is>
      </c>
      <c r="C76" s="12" t="inlineStr">
        <is>
          <t>7895296186018</t>
        </is>
      </c>
      <c r="D76" s="7" t="inlineStr">
        <is>
          <t>CLORIDRATO DE DORZOLAMIDA 20MG/ML FR X 5ML</t>
        </is>
      </c>
      <c r="E76" s="13" t="n">
        <v>1</v>
      </c>
      <c r="F76" s="13" t="n">
        <v>2</v>
      </c>
      <c r="G76" s="13" t="n">
        <v>2</v>
      </c>
      <c r="H76" s="8" t="n">
        <v>46.94</v>
      </c>
      <c r="I76" s="8">
        <f>G76*H76</f>
        <v/>
      </c>
      <c r="J76" s="8">
        <f>H76/E76</f>
        <v/>
      </c>
      <c r="K76" s="8" t="n">
        <v>29.87</v>
      </c>
      <c r="L76" s="8" t="n">
        <v>29.87</v>
      </c>
      <c r="M76" s="14">
        <f>J76/K76-1</f>
        <v/>
      </c>
      <c r="N76" s="7" t="inlineStr">
        <is>
          <t>ACIMA +57.1%</t>
        </is>
      </c>
      <c r="O76" s="7" t="inlineStr"/>
    </row>
    <row r="77">
      <c r="A77" s="7" t="n">
        <v>146661</v>
      </c>
      <c r="B77" s="7" t="inlineStr">
        <is>
          <t>4270</t>
        </is>
      </c>
      <c r="C77" s="12" t="inlineStr">
        <is>
          <t>7896523220239</t>
        </is>
      </c>
      <c r="D77" s="7" t="inlineStr">
        <is>
          <t>CLORIDRATO DE FEXOFENADINA 60MG CX 10 COMP REV</t>
        </is>
      </c>
      <c r="E77" s="13" t="n">
        <v>1</v>
      </c>
      <c r="F77" s="13" t="n">
        <v>3</v>
      </c>
      <c r="G77" s="13" t="n">
        <v>3</v>
      </c>
      <c r="H77" s="8" t="n">
        <v>8.4</v>
      </c>
      <c r="I77" s="8">
        <f>G77*H77</f>
        <v/>
      </c>
      <c r="J77" s="8">
        <f>H77/E77</f>
        <v/>
      </c>
      <c r="K77" s="8" t="n">
        <v>6.69</v>
      </c>
      <c r="L77" s="8" t="n">
        <v>6.18</v>
      </c>
      <c r="M77" s="14">
        <f>J77/K77-1</f>
        <v/>
      </c>
      <c r="N77" s="7" t="inlineStr">
        <is>
          <t>ACIMA +25.6%</t>
        </is>
      </c>
      <c r="O77" s="7" t="inlineStr"/>
    </row>
    <row r="78">
      <c r="A78" s="7" t="n">
        <v>323981</v>
      </c>
      <c r="B78" s="7" t="inlineStr">
        <is>
          <t>3580</t>
        </is>
      </c>
      <c r="C78" s="12" t="inlineStr">
        <is>
          <t>7898060132600</t>
        </is>
      </c>
      <c r="D78" s="7" t="inlineStr">
        <is>
          <t>CLORIDRATO DE LOPERAMIDA 2MG CX 12 COMP</t>
        </is>
      </c>
      <c r="E78" s="13" t="n">
        <v>1</v>
      </c>
      <c r="F78" s="13" t="n">
        <v>19</v>
      </c>
      <c r="G78" s="13" t="n">
        <v>19</v>
      </c>
      <c r="H78" s="8" t="n">
        <v>2.08</v>
      </c>
      <c r="I78" s="8">
        <f>G78*H78</f>
        <v/>
      </c>
      <c r="J78" s="8">
        <f>H78/E78</f>
        <v/>
      </c>
      <c r="K78" s="8" t="n">
        <v>2.02</v>
      </c>
      <c r="L78" s="8" t="n">
        <v>2.02</v>
      </c>
      <c r="M78" s="14">
        <f>J78/K78-1</f>
        <v/>
      </c>
      <c r="N78" s="7" t="inlineStr">
        <is>
          <t>ACIMA +3.0%</t>
        </is>
      </c>
      <c r="O78" s="7" t="inlineStr"/>
    </row>
    <row r="79">
      <c r="A79" s="7" t="n">
        <v>511621</v>
      </c>
      <c r="B79" s="7" t="inlineStr">
        <is>
          <t>8223</t>
        </is>
      </c>
      <c r="C79" s="12" t="inlineStr">
        <is>
          <t>7897917005708</t>
        </is>
      </c>
      <c r="D79" s="7" t="inlineStr">
        <is>
          <t>CLORIDRATO DE METOCLOPRAMIDA 10MG CX 20 COMP</t>
        </is>
      </c>
      <c r="E79" s="13" t="n">
        <v>1</v>
      </c>
      <c r="F79" s="13" t="n">
        <v>1</v>
      </c>
      <c r="G79" s="13" t="n">
        <v>1</v>
      </c>
      <c r="H79" s="8" t="n">
        <v>3.2</v>
      </c>
      <c r="I79" s="8">
        <f>G79*H79</f>
        <v/>
      </c>
      <c r="J79" s="8">
        <f>H79/E79</f>
        <v/>
      </c>
      <c r="K79" s="8" t="n">
        <v>3.2</v>
      </c>
      <c r="L79" s="8" t="n">
        <v>3.2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189601</v>
      </c>
      <c r="B80" s="7" t="inlineStr">
        <is>
          <t>9914</t>
        </is>
      </c>
      <c r="C80" s="12" t="inlineStr">
        <is>
          <t>7896422506427</t>
        </is>
      </c>
      <c r="D80" s="7" t="inlineStr">
        <is>
          <t>CLOTRIMAZOL 10MG CREM VAG BG 35G+6APLIC</t>
        </is>
      </c>
      <c r="E80" s="13" t="n">
        <v>1</v>
      </c>
      <c r="F80" s="13" t="n">
        <v>7</v>
      </c>
      <c r="G80" s="13" t="n">
        <v>7</v>
      </c>
      <c r="H80" s="8" t="n">
        <v>17.18</v>
      </c>
      <c r="I80" s="8">
        <f>G80*H80</f>
        <v/>
      </c>
      <c r="J80" s="8">
        <f>H80/E80</f>
        <v/>
      </c>
      <c r="K80" s="8" t="n">
        <v>15.376</v>
      </c>
      <c r="L80" s="8" t="n">
        <v>13.0614</v>
      </c>
      <c r="M80" s="14">
        <f>J80/K80-1</f>
        <v/>
      </c>
      <c r="N80" s="7" t="inlineStr">
        <is>
          <t>ACIMA +11.7%</t>
        </is>
      </c>
      <c r="O80" s="7" t="inlineStr"/>
    </row>
    <row r="81">
      <c r="A81" s="7" t="n">
        <v>189641</v>
      </c>
      <c r="B81" s="7" t="inlineStr">
        <is>
          <t>9898</t>
        </is>
      </c>
      <c r="C81" s="12" t="inlineStr">
        <is>
          <t>7896422506434</t>
        </is>
      </c>
      <c r="D81" s="7" t="inlineStr">
        <is>
          <t>CLOTRIMAZOL 20MG CREM VAG BG 20G+3APLIC</t>
        </is>
      </c>
      <c r="E81" s="13" t="n">
        <v>1</v>
      </c>
      <c r="F81" s="13" t="n">
        <v>7</v>
      </c>
      <c r="G81" s="13" t="n">
        <v>7</v>
      </c>
      <c r="H81" s="8" t="n">
        <v>17</v>
      </c>
      <c r="I81" s="8">
        <f>G81*H81</f>
        <v/>
      </c>
      <c r="J81" s="8">
        <f>H81/E81</f>
        <v/>
      </c>
      <c r="K81" s="8" t="n">
        <v>13.045</v>
      </c>
      <c r="L81" s="8" t="n">
        <v>13.045</v>
      </c>
      <c r="M81" s="14">
        <f>J81/K81-1</f>
        <v/>
      </c>
      <c r="N81" s="7" t="inlineStr">
        <is>
          <t>ACIMA +30.3%</t>
        </is>
      </c>
      <c r="O81" s="7" t="inlineStr"/>
    </row>
    <row r="82">
      <c r="A82" s="7" t="n">
        <v>189681</v>
      </c>
      <c r="B82" s="7" t="inlineStr">
        <is>
          <t>8235</t>
        </is>
      </c>
      <c r="C82" s="12" t="inlineStr">
        <is>
          <t>7896422504812</t>
        </is>
      </c>
      <c r="D82" s="7" t="inlineStr">
        <is>
          <t>CLOTRIMAZOL CREM DERM BG 20G</t>
        </is>
      </c>
      <c r="E82" s="13" t="n">
        <v>1</v>
      </c>
      <c r="F82" s="13" t="n">
        <v>6</v>
      </c>
      <c r="G82" s="13" t="n">
        <v>6</v>
      </c>
      <c r="H82" s="8" t="n">
        <v>5.44</v>
      </c>
      <c r="I82" s="8">
        <f>G82*H82</f>
        <v/>
      </c>
      <c r="J82" s="8">
        <f>H82/E82</f>
        <v/>
      </c>
      <c r="K82" s="8" t="n">
        <v>4.1567</v>
      </c>
      <c r="L82" s="8" t="n">
        <v>4.1567</v>
      </c>
      <c r="M82" s="14">
        <f>J82/K82-1</f>
        <v/>
      </c>
      <c r="N82" s="7" t="inlineStr">
        <is>
          <t>ACIMA +30.9%</t>
        </is>
      </c>
      <c r="O82" s="7" t="inlineStr"/>
    </row>
    <row r="83">
      <c r="A83" s="7" t="n">
        <v>570701</v>
      </c>
      <c r="B83" s="7" t="inlineStr">
        <is>
          <t>6994</t>
        </is>
      </c>
      <c r="C83" s="12" t="inlineStr">
        <is>
          <t>7898953484014</t>
        </is>
      </c>
      <c r="D83" s="7" t="inlineStr">
        <is>
          <t>COLETOR UNIV.BRANCO 80ML TAMPA VERDE</t>
        </is>
      </c>
      <c r="E83" s="13" t="n">
        <v>1</v>
      </c>
      <c r="F83" s="13" t="n">
        <v>113</v>
      </c>
      <c r="G83" s="13" t="n">
        <v>113</v>
      </c>
      <c r="H83" s="8" t="n">
        <v>0.6</v>
      </c>
      <c r="I83" s="8">
        <f>G83*H83</f>
        <v/>
      </c>
      <c r="J83" s="8">
        <f>H83/E83</f>
        <v/>
      </c>
      <c r="K83" s="8" t="n">
        <v>0.54</v>
      </c>
      <c r="L83" s="8" t="n">
        <v>0.54</v>
      </c>
      <c r="M83" s="14">
        <f>J83/K83-1</f>
        <v/>
      </c>
      <c r="N83" s="7" t="inlineStr">
        <is>
          <t>ACIMA +11.1%</t>
        </is>
      </c>
      <c r="O83" s="7" t="inlineStr"/>
    </row>
    <row r="84">
      <c r="A84" s="7" t="n">
        <v>661121</v>
      </c>
      <c r="B84" s="7" t="inlineStr">
        <is>
          <t>8069</t>
        </is>
      </c>
      <c r="C84" s="12" t="inlineStr">
        <is>
          <t>7897146650021</t>
        </is>
      </c>
      <c r="D84" s="7" t="inlineStr">
        <is>
          <t>COMPLEXO B C/100 CPR.</t>
        </is>
      </c>
      <c r="E84" s="13" t="n">
        <v>1</v>
      </c>
      <c r="F84" s="13" t="n">
        <v>1</v>
      </c>
      <c r="G84" s="13" t="n">
        <v>1</v>
      </c>
      <c r="H84" s="8" t="n">
        <v>7.97</v>
      </c>
      <c r="I84" s="8">
        <f>G84*H84</f>
        <v/>
      </c>
      <c r="J84" s="8">
        <f>H84/E84</f>
        <v/>
      </c>
      <c r="K84" s="8" t="n">
        <v>7.97</v>
      </c>
      <c r="L84" s="8" t="n">
        <v>7.97</v>
      </c>
      <c r="M84" s="14">
        <f>J84/K84-1</f>
        <v/>
      </c>
      <c r="N84" s="7" t="inlineStr">
        <is>
          <t>OK (≤ menor hist.)</t>
        </is>
      </c>
      <c r="O84" s="7" t="inlineStr"/>
    </row>
    <row r="85">
      <c r="A85" s="7" t="n">
        <v>608751</v>
      </c>
      <c r="B85" s="7" t="inlineStr">
        <is>
          <t>795</t>
        </is>
      </c>
      <c r="C85" s="12" t="inlineStr">
        <is>
          <t>7897146600200</t>
        </is>
      </c>
      <c r="D85" s="7" t="inlineStr">
        <is>
          <t>COMPLEXO B C/30 CPR</t>
        </is>
      </c>
      <c r="E85" s="13" t="n">
        <v>1</v>
      </c>
      <c r="F85" s="13" t="n">
        <v>1</v>
      </c>
      <c r="G85" s="13" t="n">
        <v>1</v>
      </c>
      <c r="H85" s="8" t="n">
        <v>3.38</v>
      </c>
      <c r="I85" s="8">
        <f>G85*H85</f>
        <v/>
      </c>
      <c r="J85" s="8">
        <f>H85/E85</f>
        <v/>
      </c>
      <c r="K85" s="8" t="n">
        <v>3.38</v>
      </c>
      <c r="L85" s="8" t="n">
        <v>3.38</v>
      </c>
      <c r="M85" s="14">
        <f>J85/K85-1</f>
        <v/>
      </c>
      <c r="N85" s="7" t="inlineStr">
        <is>
          <t>OK (≤ menor hist.)</t>
        </is>
      </c>
      <c r="O85" s="7" t="inlineStr"/>
    </row>
    <row r="86">
      <c r="A86" s="7" t="n">
        <v>592581</v>
      </c>
      <c r="B86" s="7" t="inlineStr">
        <is>
          <t>7632</t>
        </is>
      </c>
      <c r="C86" s="12" t="inlineStr">
        <is>
          <t>7897146600064</t>
        </is>
      </c>
      <c r="D86" s="7" t="inlineStr">
        <is>
          <t>COMPLEXO B C/50 CPR</t>
        </is>
      </c>
      <c r="E86" s="13" t="n">
        <v>1</v>
      </c>
      <c r="F86" s="13" t="n">
        <v>4</v>
      </c>
      <c r="G86" s="13" t="n">
        <v>4</v>
      </c>
      <c r="H86" s="8" t="n">
        <v>5</v>
      </c>
      <c r="I86" s="8">
        <f>G86*H86</f>
        <v/>
      </c>
      <c r="J86" s="8">
        <f>H86/E86</f>
        <v/>
      </c>
      <c r="K86" s="8" t="n">
        <v>5</v>
      </c>
      <c r="L86" s="8" t="n">
        <v>5</v>
      </c>
      <c r="M86" s="14">
        <f>J86/K86-1</f>
        <v/>
      </c>
      <c r="N86" s="7" t="inlineStr">
        <is>
          <t>OK (≤ menor hist.)</t>
        </is>
      </c>
      <c r="O86" s="7" t="inlineStr"/>
    </row>
    <row r="87">
      <c r="A87" s="7" t="n">
        <v>541341</v>
      </c>
      <c r="B87" s="7" t="inlineStr">
        <is>
          <t>5033</t>
        </is>
      </c>
      <c r="C87" s="12" t="inlineStr">
        <is>
          <t>7898964832156</t>
        </is>
      </c>
      <c r="D87" s="7" t="inlineStr">
        <is>
          <t>COMPLEXO B C/60COMP.</t>
        </is>
      </c>
      <c r="E87" s="13" t="n">
        <v>1</v>
      </c>
      <c r="F87" s="13" t="n">
        <v>10</v>
      </c>
      <c r="G87" s="13" t="n">
        <v>10</v>
      </c>
      <c r="H87" s="8" t="n">
        <v>5.24</v>
      </c>
      <c r="I87" s="8">
        <f>G87*H87</f>
        <v/>
      </c>
      <c r="J87" s="8">
        <f>H87/E87</f>
        <v/>
      </c>
      <c r="K87" s="8" t="n">
        <v>5.24</v>
      </c>
      <c r="L87" s="8" t="n">
        <v>5.13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581021</v>
      </c>
      <c r="B88" s="7" t="inlineStr">
        <is>
          <t>3494</t>
        </is>
      </c>
      <c r="C88" s="12" t="inlineStr">
        <is>
          <t>7898277713333</t>
        </is>
      </c>
      <c r="D88" s="7" t="inlineStr">
        <is>
          <t>COMPLEXO B SOL ORAL 100ML (POLIVITAMINAS</t>
        </is>
      </c>
      <c r="E88" s="13" t="n">
        <v>1</v>
      </c>
      <c r="F88" s="13" t="n">
        <v>3</v>
      </c>
      <c r="G88" s="13" t="n">
        <v>3</v>
      </c>
      <c r="H88" s="8" t="n">
        <v>3.9</v>
      </c>
      <c r="I88" s="8">
        <f>G88*H88</f>
        <v/>
      </c>
      <c r="J88" s="8">
        <f>H88/E88</f>
        <v/>
      </c>
      <c r="K88" s="8" t="n">
        <v>3.9</v>
      </c>
      <c r="L88" s="8" t="n">
        <v>3.9</v>
      </c>
      <c r="M88" s="14">
        <f>J88/K88-1</f>
        <v/>
      </c>
      <c r="N88" s="7" t="inlineStr">
        <is>
          <t>OK (≤ menor hist.)</t>
        </is>
      </c>
      <c r="O88" s="7" t="inlineStr"/>
    </row>
    <row r="89">
      <c r="A89" s="7" t="n">
        <v>556101</v>
      </c>
      <c r="B89" s="7" t="inlineStr">
        <is>
          <t>6037</t>
        </is>
      </c>
      <c r="C89" s="12" t="inlineStr">
        <is>
          <t>7898668060152</t>
        </is>
      </c>
      <c r="D89" s="7" t="inlineStr">
        <is>
          <t>COMPRESSA GAZE 11 FIOS C/10 UND LIVIA</t>
        </is>
      </c>
      <c r="E89" s="13" t="n">
        <v>1</v>
      </c>
      <c r="F89" s="13" t="n">
        <v>347</v>
      </c>
      <c r="G89" s="13" t="n">
        <v>347</v>
      </c>
      <c r="H89" s="8" t="n">
        <v>0.55</v>
      </c>
      <c r="I89" s="8">
        <f>G89*H89</f>
        <v/>
      </c>
      <c r="J89" s="8">
        <f>H89/E89</f>
        <v/>
      </c>
      <c r="K89" s="8" t="n">
        <v>0.55</v>
      </c>
      <c r="L89" s="8" t="n">
        <v>0.1</v>
      </c>
      <c r="M89" s="14">
        <f>J89/K89-1</f>
        <v/>
      </c>
      <c r="N89" s="7" t="inlineStr">
        <is>
          <t>OK (≤ últ. compra)</t>
        </is>
      </c>
      <c r="O89" s="7" t="inlineStr"/>
    </row>
    <row r="90">
      <c r="A90" s="7" t="n">
        <v>593361</v>
      </c>
      <c r="B90" s="7" t="inlineStr">
        <is>
          <t>5571</t>
        </is>
      </c>
      <c r="C90" s="12" t="inlineStr">
        <is>
          <t>7898933598168</t>
        </is>
      </c>
      <c r="D90" s="7" t="inlineStr">
        <is>
          <t>COMPRESSA GAZE 13 FIOS C/10 UN TEXPHARMA</t>
        </is>
      </c>
      <c r="E90" s="13" t="n">
        <v>1</v>
      </c>
      <c r="F90" s="13" t="n">
        <v>144</v>
      </c>
      <c r="G90" s="13" t="n">
        <v>144</v>
      </c>
      <c r="H90" s="8" t="n">
        <v>0.59</v>
      </c>
      <c r="I90" s="8">
        <f>G90*H90</f>
        <v/>
      </c>
      <c r="J90" s="8">
        <f>H90/E90</f>
        <v/>
      </c>
      <c r="K90" s="8" t="n">
        <v>0.1</v>
      </c>
      <c r="L90" s="8" t="n">
        <v>0.1</v>
      </c>
      <c r="M90" s="14">
        <f>J90/K90-1</f>
        <v/>
      </c>
      <c r="N90" s="7" t="inlineStr">
        <is>
          <t>ACIMA +490.0%</t>
        </is>
      </c>
      <c r="O90" s="7" t="inlineStr">
        <is>
          <t>conferir emb.</t>
        </is>
      </c>
    </row>
    <row r="91">
      <c r="A91" s="7" t="n">
        <v>538361</v>
      </c>
      <c r="B91" s="7" t="inlineStr">
        <is>
          <t>4382</t>
        </is>
      </c>
      <c r="C91" s="12" t="inlineStr">
        <is>
          <t>7898668060190</t>
        </is>
      </c>
      <c r="D91" s="7" t="inlineStr">
        <is>
          <t>COMPRESSA GAZE 13 FIOS C/10 UND LIVIA</t>
        </is>
      </c>
      <c r="E91" s="13" t="n">
        <v>1</v>
      </c>
      <c r="F91" s="13" t="n">
        <v>368</v>
      </c>
      <c r="G91" s="13" t="n">
        <v>368</v>
      </c>
      <c r="H91" s="8" t="n">
        <v>0.58</v>
      </c>
      <c r="I91" s="8">
        <f>G91*H91</f>
        <v/>
      </c>
      <c r="J91" s="8">
        <f>H91/E91</f>
        <v/>
      </c>
      <c r="K91" s="8" t="n">
        <v>0.58</v>
      </c>
      <c r="L91" s="8" t="n">
        <v>0.1</v>
      </c>
      <c r="M91" s="14">
        <f>J91/K91-1</f>
        <v/>
      </c>
      <c r="N91" s="7" t="inlineStr">
        <is>
          <t>OK (≤ últ. compra)</t>
        </is>
      </c>
      <c r="O91" s="7" t="inlineStr"/>
    </row>
    <row r="92">
      <c r="A92" s="7" t="n">
        <v>92041</v>
      </c>
      <c r="B92" s="7" t="inlineStr">
        <is>
          <t>1197</t>
        </is>
      </c>
      <c r="C92" s="12" t="inlineStr">
        <is>
          <t>7898100241279</t>
        </is>
      </c>
      <c r="D92" s="7" t="inlineStr">
        <is>
          <t>CONAZOL 20MG/G CREME BG 20G</t>
        </is>
      </c>
      <c r="E92" s="13" t="n">
        <v>1</v>
      </c>
      <c r="F92" s="13" t="n">
        <v>7</v>
      </c>
      <c r="G92" s="13" t="n">
        <v>7</v>
      </c>
      <c r="H92" s="8" t="n">
        <v>4.3</v>
      </c>
      <c r="I92" s="8">
        <f>G92*H92</f>
        <v/>
      </c>
      <c r="J92" s="8">
        <f>H92/E92</f>
        <v/>
      </c>
      <c r="K92" s="8" t="n">
        <v>3.69</v>
      </c>
      <c r="L92" s="8" t="n">
        <v>3.69</v>
      </c>
      <c r="M92" s="14">
        <f>J92/K92-1</f>
        <v/>
      </c>
      <c r="N92" s="7" t="inlineStr">
        <is>
          <t>ACIMA +16.5%</t>
        </is>
      </c>
      <c r="O92" s="7" t="inlineStr"/>
    </row>
    <row r="93">
      <c r="A93" s="7" t="n">
        <v>620061</v>
      </c>
      <c r="B93" s="7" t="inlineStr">
        <is>
          <t>9825</t>
        </is>
      </c>
      <c r="C93" s="12" t="inlineStr">
        <is>
          <t>7898136150446</t>
        </is>
      </c>
      <c r="D93" s="7" t="inlineStr">
        <is>
          <t>CURATIVO ADESIVO NATHY TRANSPARENTE 10UN</t>
        </is>
      </c>
      <c r="E93" s="13" t="n">
        <v>1</v>
      </c>
      <c r="F93" s="13" t="n">
        <v>2</v>
      </c>
      <c r="G93" s="13" t="n">
        <v>2</v>
      </c>
      <c r="H93" s="8" t="n">
        <v>1.42</v>
      </c>
      <c r="I93" s="8">
        <f>G93*H93</f>
        <v/>
      </c>
      <c r="J93" s="8">
        <f>H93/E93</f>
        <v/>
      </c>
      <c r="K93" s="8" t="n">
        <v>1.91</v>
      </c>
      <c r="L93" s="8" t="n">
        <v>1.91</v>
      </c>
      <c r="M93" s="14">
        <f>J93/K93-1</f>
        <v/>
      </c>
      <c r="N93" s="7" t="inlineStr">
        <is>
          <t>OK (≤ menor hist.)</t>
        </is>
      </c>
      <c r="O93" s="7" t="inlineStr"/>
    </row>
    <row r="94">
      <c r="A94" s="7" t="n">
        <v>3243</v>
      </c>
      <c r="B94" s="7" t="inlineStr">
        <is>
          <t>3468</t>
        </is>
      </c>
      <c r="C94" s="12" t="inlineStr">
        <is>
          <t>7898108640791</t>
        </is>
      </c>
      <c r="D94" s="7" t="inlineStr">
        <is>
          <t>CURATIVO HIDROCOLOIDE SANCARE C/24 UND</t>
        </is>
      </c>
      <c r="E94" s="13" t="n">
        <v>1</v>
      </c>
      <c r="F94" s="13" t="n">
        <v>5</v>
      </c>
      <c r="G94" s="13" t="n">
        <v>5</v>
      </c>
      <c r="H94" s="8" t="n">
        <v>17.17</v>
      </c>
      <c r="I94" s="8">
        <f>G94*H94</f>
        <v/>
      </c>
      <c r="J94" s="8">
        <f>H94/E94</f>
        <v/>
      </c>
      <c r="K94" s="8" t="n">
        <v>14.93</v>
      </c>
      <c r="L94" s="8" t="n">
        <v>14.93</v>
      </c>
      <c r="M94" s="14">
        <f>J94/K94-1</f>
        <v/>
      </c>
      <c r="N94" s="7" t="inlineStr">
        <is>
          <t>ACIMA +15.0%</t>
        </is>
      </c>
      <c r="O94" s="7" t="inlineStr"/>
    </row>
    <row r="95">
      <c r="A95" s="7" t="n">
        <v>656461</v>
      </c>
      <c r="B95" s="7" t="inlineStr">
        <is>
          <t>9828</t>
        </is>
      </c>
      <c r="C95" s="12" t="inlineStr">
        <is>
          <t>7898136150620</t>
        </is>
      </c>
      <c r="D95" s="7" t="inlineStr">
        <is>
          <t>CURATIVO NATHY C/35UN BEGE</t>
        </is>
      </c>
      <c r="E95" s="13" t="n">
        <v>1</v>
      </c>
      <c r="F95" s="13" t="n">
        <v>22</v>
      </c>
      <c r="G95" s="13" t="n">
        <v>22</v>
      </c>
      <c r="H95" s="8" t="n">
        <v>3.25</v>
      </c>
      <c r="I95" s="8">
        <f>G95*H95</f>
        <v/>
      </c>
      <c r="J95" s="8">
        <f>H95/E95</f>
        <v/>
      </c>
      <c r="K95" s="8" t="n">
        <v>3.25</v>
      </c>
      <c r="L95" s="8" t="n">
        <v>3.25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354681</v>
      </c>
      <c r="B96" s="7" t="inlineStr">
        <is>
          <t>1363</t>
        </is>
      </c>
      <c r="C96" s="12" t="inlineStr">
        <is>
          <t>7893736010220</t>
        </is>
      </c>
      <c r="D96" s="7" t="inlineStr">
        <is>
          <t>DERMOBAN 20MG CREME DERM BG 15G</t>
        </is>
      </c>
      <c r="E96" s="13" t="n">
        <v>1</v>
      </c>
      <c r="F96" s="13" t="n">
        <v>10</v>
      </c>
      <c r="G96" s="13" t="n">
        <v>10</v>
      </c>
      <c r="H96" s="8" t="n">
        <v>25.99</v>
      </c>
      <c r="I96" s="8">
        <f>G96*H96</f>
        <v/>
      </c>
      <c r="J96" s="8">
        <f>H96/E96</f>
        <v/>
      </c>
      <c r="K96" s="8" t="n">
        <v>32.99</v>
      </c>
      <c r="L96" s="8" t="n">
        <v>25.01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691501</v>
      </c>
      <c r="B97" s="7" t="inlineStr">
        <is>
          <t>6114</t>
        </is>
      </c>
      <c r="C97" s="12" t="inlineStr">
        <is>
          <t>7898593050716</t>
        </is>
      </c>
      <c r="D97" s="7" t="inlineStr">
        <is>
          <t>DERMUP COLAGENO VERISOL C/90 CPS</t>
        </is>
      </c>
      <c r="E97" s="13" t="n">
        <v>1</v>
      </c>
      <c r="F97" s="13" t="n">
        <v>1</v>
      </c>
      <c r="G97" s="13" t="n">
        <v>1</v>
      </c>
      <c r="H97" s="8" t="n">
        <v>42.53</v>
      </c>
      <c r="I97" s="8">
        <f>G97*H97</f>
        <v/>
      </c>
      <c r="J97" s="8">
        <f>H97/E97</f>
        <v/>
      </c>
      <c r="K97" s="8" t="n">
        <v>41.85</v>
      </c>
      <c r="L97" s="8" t="n">
        <v>41.85</v>
      </c>
      <c r="M97" s="14">
        <f>J97/K97-1</f>
        <v/>
      </c>
      <c r="N97" s="7" t="inlineStr">
        <is>
          <t>ACIMA +1.6%</t>
        </is>
      </c>
      <c r="O97" s="7" t="inlineStr"/>
    </row>
    <row r="98">
      <c r="A98" s="7" t="n">
        <v>573701</v>
      </c>
      <c r="B98" s="7" t="inlineStr">
        <is>
          <t>5772</t>
        </is>
      </c>
      <c r="C98" s="12" t="inlineStr">
        <is>
          <t>7898582290178</t>
        </is>
      </c>
      <c r="D98" s="7" t="inlineStr">
        <is>
          <t>DERSOL LOCAO OLEOSA 200ML</t>
        </is>
      </c>
      <c r="E98" s="13" t="n">
        <v>1</v>
      </c>
      <c r="F98" s="13" t="n">
        <v>5</v>
      </c>
      <c r="G98" s="13" t="n">
        <v>5</v>
      </c>
      <c r="H98" s="8" t="n">
        <v>11.41</v>
      </c>
      <c r="I98" s="8">
        <f>G98*H98</f>
        <v/>
      </c>
      <c r="J98" s="8">
        <f>H98/E98</f>
        <v/>
      </c>
      <c r="K98" s="8" t="n">
        <v>10.99</v>
      </c>
      <c r="L98" s="8" t="n">
        <v>10.99</v>
      </c>
      <c r="M98" s="14">
        <f>J98/K98-1</f>
        <v/>
      </c>
      <c r="N98" s="7" t="inlineStr">
        <is>
          <t>ACIMA +3.8%</t>
        </is>
      </c>
      <c r="O98" s="7" t="inlineStr"/>
    </row>
    <row r="99">
      <c r="A99" s="7" t="n">
        <v>668951</v>
      </c>
      <c r="B99" s="7" t="inlineStr">
        <is>
          <t>2447</t>
        </is>
      </c>
      <c r="C99" s="12" t="inlineStr">
        <is>
          <t>7896472520299</t>
        </is>
      </c>
      <c r="D99" s="7" t="inlineStr">
        <is>
          <t>DESLORATADINA 5MG CX 10 COMP REV</t>
        </is>
      </c>
      <c r="E99" s="13" t="n">
        <v>1</v>
      </c>
      <c r="F99" s="13" t="n">
        <v>25</v>
      </c>
      <c r="G99" s="13" t="n">
        <v>25</v>
      </c>
      <c r="H99" s="8" t="n">
        <v>4.83</v>
      </c>
      <c r="I99" s="8">
        <f>G99*H99</f>
        <v/>
      </c>
      <c r="J99" s="8">
        <f>H99/E99</f>
        <v/>
      </c>
      <c r="K99" s="8" t="n">
        <v>6.11</v>
      </c>
      <c r="L99" s="8" t="n">
        <v>5.7026</v>
      </c>
      <c r="M99" s="14">
        <f>J99/K99-1</f>
        <v/>
      </c>
      <c r="N99" s="7" t="inlineStr">
        <is>
          <t>OK (≤ menor hist.)</t>
        </is>
      </c>
      <c r="O99" s="7" t="inlineStr"/>
    </row>
    <row r="100">
      <c r="A100" s="7" t="n">
        <v>490121</v>
      </c>
      <c r="B100" s="7" t="inlineStr">
        <is>
          <t>5588</t>
        </is>
      </c>
      <c r="C100" s="12" t="inlineStr">
        <is>
          <t>7897917004008</t>
        </is>
      </c>
      <c r="D100" s="7" t="inlineStr">
        <is>
          <t>DICLOFENACO SODICO 50MG CX 20 COMP REV</t>
        </is>
      </c>
      <c r="E100" s="13" t="n">
        <v>1</v>
      </c>
      <c r="F100" s="13" t="n">
        <v>4</v>
      </c>
      <c r="G100" s="13" t="n">
        <v>4</v>
      </c>
      <c r="H100" s="8" t="n">
        <v>1.65</v>
      </c>
      <c r="I100" s="8">
        <f>G100*H100</f>
        <v/>
      </c>
      <c r="J100" s="8">
        <f>H100/E100</f>
        <v/>
      </c>
      <c r="K100" s="8" t="n">
        <v>1.65</v>
      </c>
      <c r="L100" s="8" t="n">
        <v>1.65</v>
      </c>
      <c r="M100" s="14">
        <f>J100/K100-1</f>
        <v/>
      </c>
      <c r="N100" s="7" t="inlineStr">
        <is>
          <t>OK (≤ menor hist.)</t>
        </is>
      </c>
      <c r="O100" s="7" t="inlineStr"/>
    </row>
    <row r="101">
      <c r="A101" s="7" t="n">
        <v>214</v>
      </c>
      <c r="B101" s="7" t="inlineStr">
        <is>
          <t>8507</t>
        </is>
      </c>
      <c r="C101" s="12" t="inlineStr">
        <is>
          <t>7898216367016</t>
        </is>
      </c>
      <c r="D101" s="7" t="inlineStr">
        <is>
          <t>DICLORIDRATO DE LEVOCETIRIZINA</t>
        </is>
      </c>
      <c r="E101" s="13" t="n">
        <v>1</v>
      </c>
      <c r="F101" s="13" t="n">
        <v>6</v>
      </c>
      <c r="G101" s="13" t="n">
        <v>6</v>
      </c>
      <c r="H101" s="8" t="n">
        <v>9.17</v>
      </c>
      <c r="I101" s="8">
        <f>G101*H101</f>
        <v/>
      </c>
      <c r="J101" s="8">
        <f>H101/E101</f>
        <v/>
      </c>
      <c r="K101" s="8" t="n">
        <v>8.48</v>
      </c>
      <c r="L101" s="8" t="n">
        <v>8.48</v>
      </c>
      <c r="M101" s="14">
        <f>J101/K101-1</f>
        <v/>
      </c>
      <c r="N101" s="7" t="inlineStr">
        <is>
          <t>ACIMA +8.1%</t>
        </is>
      </c>
      <c r="O101" s="7" t="inlineStr"/>
    </row>
    <row r="102">
      <c r="A102" s="7" t="n">
        <v>222121</v>
      </c>
      <c r="B102" s="7" t="inlineStr">
        <is>
          <t>1032</t>
        </is>
      </c>
      <c r="C102" s="12" t="inlineStr">
        <is>
          <t>7898166041004</t>
        </is>
      </c>
      <c r="D102" s="7" t="inlineStr">
        <is>
          <t>DIPIFARMA 500 MG/ML SOL INJ CX 100 AMP VD AMB X 2 ML (EMB HOSP)</t>
        </is>
      </c>
      <c r="E102" s="13" t="n">
        <v>1</v>
      </c>
      <c r="F102" s="13" t="n">
        <v>1</v>
      </c>
      <c r="G102" s="13" t="n">
        <v>1</v>
      </c>
      <c r="H102" s="8" t="n">
        <v>81</v>
      </c>
      <c r="I102" s="8">
        <f>G102*H102</f>
        <v/>
      </c>
      <c r="J102" s="8">
        <f>H102/E102</f>
        <v/>
      </c>
      <c r="K102" s="8" t="n">
        <v>2.56</v>
      </c>
      <c r="L102" s="8" t="n">
        <v>2.56</v>
      </c>
      <c r="M102" s="14">
        <f>J102/K102-1</f>
        <v/>
      </c>
      <c r="N102" s="7" t="inlineStr">
        <is>
          <t>ACIMA +3064.1%</t>
        </is>
      </c>
      <c r="O102" s="7" t="inlineStr">
        <is>
          <t>conferir emb.</t>
        </is>
      </c>
    </row>
    <row r="103">
      <c r="A103" s="7" t="n">
        <v>558021</v>
      </c>
      <c r="B103" s="7" t="inlineStr">
        <is>
          <t>3021</t>
        </is>
      </c>
      <c r="C103" s="12" t="inlineStr">
        <is>
          <t>00742832304719</t>
        </is>
      </c>
      <c r="D103" s="7" t="inlineStr">
        <is>
          <t>DIPIRONA 500MG CT 10CP</t>
        </is>
      </c>
      <c r="E103" s="13" t="n">
        <v>1</v>
      </c>
      <c r="F103" s="13" t="n">
        <v>1</v>
      </c>
      <c r="G103" s="13" t="n">
        <v>1</v>
      </c>
      <c r="H103" s="8" t="n">
        <v>17.91</v>
      </c>
      <c r="I103" s="8">
        <f>G103*H103</f>
        <v/>
      </c>
      <c r="J103" s="8">
        <f>H103/E103</f>
        <v/>
      </c>
      <c r="K103" s="8" t="n"/>
      <c r="L103" s="8" t="n"/>
      <c r="M103" s="14" t="n"/>
      <c r="N103" s="7" t="inlineStr">
        <is>
          <t>SEM HISTÓRICO</t>
        </is>
      </c>
      <c r="O103" s="7" t="inlineStr"/>
    </row>
    <row r="104">
      <c r="A104" s="7" t="n">
        <v>526021</v>
      </c>
      <c r="B104" s="7" t="inlineStr">
        <is>
          <t>8168</t>
        </is>
      </c>
      <c r="C104" s="12" t="inlineStr">
        <is>
          <t>7896523201054</t>
        </is>
      </c>
      <c r="D104" s="7" t="inlineStr">
        <is>
          <t>DOMPERIDONA 10MG CX 30 COMP</t>
        </is>
      </c>
      <c r="E104" s="13" t="n">
        <v>1</v>
      </c>
      <c r="F104" s="13" t="n">
        <v>23</v>
      </c>
      <c r="G104" s="13" t="n">
        <v>23</v>
      </c>
      <c r="H104" s="8" t="n">
        <v>3.23</v>
      </c>
      <c r="I104" s="8">
        <f>G104*H104</f>
        <v/>
      </c>
      <c r="J104" s="8">
        <f>H104/E104</f>
        <v/>
      </c>
      <c r="K104" s="8" t="n">
        <v>2.28</v>
      </c>
      <c r="L104" s="8" t="n">
        <v>2.19</v>
      </c>
      <c r="M104" s="14">
        <f>J104/K104-1</f>
        <v/>
      </c>
      <c r="N104" s="7" t="inlineStr">
        <is>
          <t>ACIMA +41.7%</t>
        </is>
      </c>
      <c r="O104" s="7" t="inlineStr"/>
    </row>
    <row r="105">
      <c r="A105" s="7" t="n">
        <v>13361</v>
      </c>
      <c r="B105" s="7" t="inlineStr">
        <is>
          <t>4788</t>
        </is>
      </c>
      <c r="C105" s="12" t="inlineStr">
        <is>
          <t>7898179710065</t>
        </is>
      </c>
      <c r="D105" s="7" t="inlineStr">
        <is>
          <t>DORMEC 100 MG C/10 (CARTELA)</t>
        </is>
      </c>
      <c r="E105" s="13" t="n">
        <v>20</v>
      </c>
      <c r="F105" s="13" t="n">
        <v>21</v>
      </c>
      <c r="G105" s="13" t="n">
        <v>2</v>
      </c>
      <c r="H105" s="8" t="n">
        <v>12.12</v>
      </c>
      <c r="I105" s="8">
        <f>G105*H105</f>
        <v/>
      </c>
      <c r="J105" s="8">
        <f>H105/E105</f>
        <v/>
      </c>
      <c r="K105" s="8" t="n">
        <v>0.5885</v>
      </c>
      <c r="L105" s="8" t="n">
        <v>0.5855</v>
      </c>
      <c r="M105" s="14">
        <f>J105/K105-1</f>
        <v/>
      </c>
      <c r="N105" s="7" t="inlineStr">
        <is>
          <t>ACIMA +3.0%</t>
        </is>
      </c>
      <c r="O105" s="7" t="inlineStr">
        <is>
          <t>1 emb = 20 un</t>
        </is>
      </c>
    </row>
    <row r="106">
      <c r="A106" s="7" t="n">
        <v>393461</v>
      </c>
      <c r="B106" s="7" t="inlineStr">
        <is>
          <t>270</t>
        </is>
      </c>
      <c r="C106" s="12" t="inlineStr">
        <is>
          <t>7896023701436</t>
        </is>
      </c>
      <c r="D106" s="7" t="inlineStr">
        <is>
          <t>ELIXIR PAREGORICO 0,05ML/ML SOL OR FR GOT 30ML</t>
        </is>
      </c>
      <c r="E106" s="13" t="n">
        <v>1</v>
      </c>
      <c r="F106" s="13" t="n">
        <v>13</v>
      </c>
      <c r="G106" s="13" t="n">
        <v>13</v>
      </c>
      <c r="H106" s="8" t="n">
        <v>10.65</v>
      </c>
      <c r="I106" s="8">
        <f>G106*H106</f>
        <v/>
      </c>
      <c r="J106" s="8">
        <f>H106/E106</f>
        <v/>
      </c>
      <c r="K106" s="8" t="n">
        <v>10.65</v>
      </c>
      <c r="L106" s="8" t="n">
        <v>10.65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604941</v>
      </c>
      <c r="B107" s="7" t="inlineStr">
        <is>
          <t>6901</t>
        </is>
      </c>
      <c r="C107" s="12" t="inlineStr">
        <is>
          <t>7898687731996</t>
        </is>
      </c>
      <c r="D107" s="7" t="inlineStr">
        <is>
          <t>EQUALIV MELATONINA 0,21MG X120</t>
        </is>
      </c>
      <c r="E107" s="13" t="n">
        <v>1</v>
      </c>
      <c r="F107" s="13" t="n">
        <v>1</v>
      </c>
      <c r="G107" s="13" t="n">
        <v>1</v>
      </c>
      <c r="H107" s="8" t="n">
        <v>23.73</v>
      </c>
      <c r="I107" s="8">
        <f>G107*H107</f>
        <v/>
      </c>
      <c r="J107" s="8">
        <f>H107/E107</f>
        <v/>
      </c>
      <c r="K107" s="8" t="n">
        <v>18.9925</v>
      </c>
      <c r="L107" s="8" t="n">
        <v>18.9925</v>
      </c>
      <c r="M107" s="14">
        <f>J107/K107-1</f>
        <v/>
      </c>
      <c r="N107" s="7" t="inlineStr">
        <is>
          <t>ACIMA +24.9%</t>
        </is>
      </c>
      <c r="O107" s="7" t="inlineStr"/>
    </row>
    <row r="108">
      <c r="A108" s="7" t="n">
        <v>611991</v>
      </c>
      <c r="B108" s="7" t="inlineStr">
        <is>
          <t>6875</t>
        </is>
      </c>
      <c r="C108" s="12" t="inlineStr">
        <is>
          <t>7898157722707</t>
        </is>
      </c>
      <c r="D108" s="7" t="inlineStr">
        <is>
          <t>EQUIPO MACROGOTAS MOD L2 - M25</t>
        </is>
      </c>
      <c r="E108" s="13" t="n">
        <v>1</v>
      </c>
      <c r="F108" s="13" t="n">
        <v>5</v>
      </c>
      <c r="G108" s="13" t="n">
        <v>5</v>
      </c>
      <c r="H108" s="8" t="n">
        <v>0.9</v>
      </c>
      <c r="I108" s="8">
        <f>G108*H108</f>
        <v/>
      </c>
      <c r="J108" s="8">
        <f>H108/E108</f>
        <v/>
      </c>
      <c r="K108" s="8" t="n">
        <v>1.49</v>
      </c>
      <c r="L108" s="8" t="n">
        <v>1.49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234861</v>
      </c>
      <c r="B109" s="7" t="inlineStr">
        <is>
          <t>406</t>
        </is>
      </c>
      <c r="C109" s="12" t="inlineStr">
        <is>
          <t>7895296128124</t>
        </is>
      </c>
      <c r="D109" s="7" t="inlineStr">
        <is>
          <t>ESOP 20MG CX 28 COMP REV</t>
        </is>
      </c>
      <c r="E109" s="13" t="n">
        <v>1</v>
      </c>
      <c r="F109" s="13" t="n">
        <v>1</v>
      </c>
      <c r="G109" s="13" t="n">
        <v>1</v>
      </c>
      <c r="H109" s="8" t="n">
        <v>24.96</v>
      </c>
      <c r="I109" s="8">
        <f>G109*H109</f>
        <v/>
      </c>
      <c r="J109" s="8">
        <f>H109/E109</f>
        <v/>
      </c>
      <c r="K109" s="8" t="n">
        <v>21.71</v>
      </c>
      <c r="L109" s="8" t="n">
        <v>21.71</v>
      </c>
      <c r="M109" s="14">
        <f>J109/K109-1</f>
        <v/>
      </c>
      <c r="N109" s="7" t="inlineStr">
        <is>
          <t>ACIMA +15.0%</t>
        </is>
      </c>
      <c r="O109" s="7" t="inlineStr"/>
    </row>
    <row r="110">
      <c r="A110" s="7" t="n">
        <v>234881</v>
      </c>
      <c r="B110" s="7" t="inlineStr">
        <is>
          <t>1127</t>
        </is>
      </c>
      <c r="C110" s="12" t="inlineStr">
        <is>
          <t>7895296128162</t>
        </is>
      </c>
      <c r="D110" s="7" t="inlineStr">
        <is>
          <t>ESOP 40MG CX 28 COMP REV</t>
        </is>
      </c>
      <c r="E110" s="13" t="n">
        <v>1</v>
      </c>
      <c r="F110" s="13" t="n">
        <v>1</v>
      </c>
      <c r="G110" s="13" t="n">
        <v>1</v>
      </c>
      <c r="H110" s="8" t="n">
        <v>43.2</v>
      </c>
      <c r="I110" s="8">
        <f>G110*H110</f>
        <v/>
      </c>
      <c r="J110" s="8">
        <f>H110/E110</f>
        <v/>
      </c>
      <c r="K110" s="8" t="n">
        <v>41.75</v>
      </c>
      <c r="L110" s="8" t="n">
        <v>41.75</v>
      </c>
      <c r="M110" s="14">
        <f>J110/K110-1</f>
        <v/>
      </c>
      <c r="N110" s="7" t="inlineStr">
        <is>
          <t>ACIMA +3.5%</t>
        </is>
      </c>
      <c r="O110" s="7" t="inlineStr"/>
    </row>
    <row r="111">
      <c r="A111" s="7" t="n">
        <v>613791</v>
      </c>
      <c r="B111" s="7" t="inlineStr">
        <is>
          <t>232</t>
        </is>
      </c>
      <c r="C111" s="12" t="inlineStr">
        <is>
          <t>7896544900073</t>
        </is>
      </c>
      <c r="D111" s="7" t="inlineStr">
        <is>
          <t>ESPARAD IMP MISSNER 1,2CMX4,5M</t>
        </is>
      </c>
      <c r="E111" s="13" t="n">
        <v>1</v>
      </c>
      <c r="F111" s="13" t="n">
        <v>2</v>
      </c>
      <c r="G111" s="13" t="n">
        <v>2</v>
      </c>
      <c r="H111" s="8" t="n">
        <v>2.83</v>
      </c>
      <c r="I111" s="8">
        <f>G111*H111</f>
        <v/>
      </c>
      <c r="J111" s="8">
        <f>H111/E111</f>
        <v/>
      </c>
      <c r="K111" s="8" t="n">
        <v>2.83</v>
      </c>
      <c r="L111" s="8" t="n">
        <v>2.83</v>
      </c>
      <c r="M111" s="14">
        <f>J111/K111-1</f>
        <v/>
      </c>
      <c r="N111" s="7" t="inlineStr">
        <is>
          <t>OK (≤ menor hist.)</t>
        </is>
      </c>
      <c r="O111" s="7" t="inlineStr"/>
    </row>
    <row r="112">
      <c r="A112" s="7" t="n">
        <v>540961</v>
      </c>
      <c r="B112" s="7" t="inlineStr">
        <is>
          <t>229</t>
        </is>
      </c>
      <c r="C112" s="12" t="inlineStr">
        <is>
          <t>7896544910102</t>
        </is>
      </c>
      <c r="D112" s="7" t="inlineStr">
        <is>
          <t>ESPARADRAPO BRANCO 10 X 4,5</t>
        </is>
      </c>
      <c r="E112" s="13" t="n">
        <v>1</v>
      </c>
      <c r="F112" s="13" t="n">
        <v>13</v>
      </c>
      <c r="G112" s="13" t="n">
        <v>13</v>
      </c>
      <c r="H112" s="8" t="n">
        <v>12.33</v>
      </c>
      <c r="I112" s="8">
        <f>G112*H112</f>
        <v/>
      </c>
      <c r="J112" s="8">
        <f>H112/E112</f>
        <v/>
      </c>
      <c r="K112" s="8" t="n">
        <v>12.32</v>
      </c>
      <c r="L112" s="8" t="n">
        <v>12.32</v>
      </c>
      <c r="M112" s="14">
        <f>J112/K112-1</f>
        <v/>
      </c>
      <c r="N112" s="7" t="inlineStr">
        <is>
          <t>ACIMA +0.1%</t>
        </is>
      </c>
      <c r="O112" s="7" t="inlineStr"/>
    </row>
    <row r="113">
      <c r="A113" s="7" t="n">
        <v>541301</v>
      </c>
      <c r="B113" s="7" t="inlineStr">
        <is>
          <t>231</t>
        </is>
      </c>
      <c r="C113" s="12" t="inlineStr">
        <is>
          <t>7896544925014</t>
        </is>
      </c>
      <c r="D113" s="7" t="inlineStr">
        <is>
          <t>ESPARADRAPO IMP BRANCO 2,5CM X 0,90MTS UND QTD. 14.00 UN</t>
        </is>
      </c>
      <c r="E113" s="13" t="n">
        <v>1</v>
      </c>
      <c r="F113" s="13" t="n">
        <v>17</v>
      </c>
      <c r="G113" s="13" t="n">
        <v>17</v>
      </c>
      <c r="H113" s="8" t="n">
        <v>2.15</v>
      </c>
      <c r="I113" s="8">
        <f>G113*H113</f>
        <v/>
      </c>
      <c r="J113" s="8">
        <f>H113/E113</f>
        <v/>
      </c>
      <c r="K113" s="8" t="n">
        <v>2.15</v>
      </c>
      <c r="L113" s="8" t="n">
        <v>2.15</v>
      </c>
      <c r="M113" s="14">
        <f>J113/K113-1</f>
        <v/>
      </c>
      <c r="N113" s="7" t="inlineStr">
        <is>
          <t>OK (≤ menor hist.)</t>
        </is>
      </c>
      <c r="O113" s="7" t="inlineStr"/>
    </row>
    <row r="114">
      <c r="A114" s="7" t="n">
        <v>541421</v>
      </c>
      <c r="B114" s="7" t="inlineStr">
        <is>
          <t>230</t>
        </is>
      </c>
      <c r="C114" s="12" t="inlineStr">
        <is>
          <t>7896544925458</t>
        </is>
      </c>
      <c r="D114" s="7" t="inlineStr">
        <is>
          <t>ESPARADRAPO IMP BRANCO 2,5CM X 4,5MTS UND QTD. 10.00 UN</t>
        </is>
      </c>
      <c r="E114" s="13" t="n">
        <v>1</v>
      </c>
      <c r="F114" s="13" t="n">
        <v>41</v>
      </c>
      <c r="G114" s="13" t="n">
        <v>41</v>
      </c>
      <c r="H114" s="8" t="n">
        <v>3.71</v>
      </c>
      <c r="I114" s="8">
        <f>G114*H114</f>
        <v/>
      </c>
      <c r="J114" s="8">
        <f>H114/E114</f>
        <v/>
      </c>
      <c r="K114" s="8" t="n">
        <v>3.71</v>
      </c>
      <c r="L114" s="8" t="n">
        <v>3.71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552501</v>
      </c>
      <c r="B115" s="7" t="inlineStr">
        <is>
          <t>1049</t>
        </is>
      </c>
      <c r="C115" s="12" t="inlineStr">
        <is>
          <t>7896544910058</t>
        </is>
      </c>
      <c r="D115" s="7" t="inlineStr">
        <is>
          <t>ESPARADRAPO IMPERM. BRANCO 5CMX4,5M</t>
        </is>
      </c>
      <c r="E115" s="13" t="n">
        <v>1</v>
      </c>
      <c r="F115" s="13" t="n">
        <v>14</v>
      </c>
      <c r="G115" s="13" t="n">
        <v>14</v>
      </c>
      <c r="H115" s="8" t="n">
        <v>5.98</v>
      </c>
      <c r="I115" s="8">
        <f>G115*H115</f>
        <v/>
      </c>
      <c r="J115" s="8">
        <f>H115/E115</f>
        <v/>
      </c>
      <c r="K115" s="8" t="n">
        <v>5.98</v>
      </c>
      <c r="L115" s="8" t="n">
        <v>5.97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631171</v>
      </c>
      <c r="B116" s="7" t="inlineStr">
        <is>
          <t>8601</t>
        </is>
      </c>
      <c r="C116" s="12" t="inlineStr">
        <is>
          <t>7898687733990</t>
        </is>
      </c>
      <c r="D116" s="7" t="inlineStr">
        <is>
          <t>ETODOLACO 500MG CX 14 COMP REV</t>
        </is>
      </c>
      <c r="E116" s="13" t="n">
        <v>1</v>
      </c>
      <c r="F116" s="13" t="n">
        <v>13</v>
      </c>
      <c r="G116" s="13" t="n">
        <v>13</v>
      </c>
      <c r="H116" s="8" t="n">
        <v>19.83</v>
      </c>
      <c r="I116" s="8">
        <f>G116*H116</f>
        <v/>
      </c>
      <c r="J116" s="8">
        <f>H116/E116</f>
        <v/>
      </c>
      <c r="K116" s="8" t="n">
        <v>16.3492</v>
      </c>
      <c r="L116" s="8" t="n">
        <v>16.3492</v>
      </c>
      <c r="M116" s="14">
        <f>J116/K116-1</f>
        <v/>
      </c>
      <c r="N116" s="7" t="inlineStr">
        <is>
          <t>ACIMA +21.3%</t>
        </is>
      </c>
      <c r="O116" s="7" t="inlineStr"/>
    </row>
    <row r="117">
      <c r="A117" s="7" t="n">
        <v>607431</v>
      </c>
      <c r="B117" s="7" t="inlineStr">
        <is>
          <t>9066</t>
        </is>
      </c>
      <c r="C117" s="12" t="inlineStr">
        <is>
          <t>7897732607897</t>
        </is>
      </c>
      <c r="D117" s="7" t="inlineStr">
        <is>
          <t>EXTRATO DE PROPOLIS VERDE 30ML</t>
        </is>
      </c>
      <c r="E117" s="13" t="n">
        <v>1</v>
      </c>
      <c r="F117" s="13" t="n">
        <v>6</v>
      </c>
      <c r="G117" s="13" t="n">
        <v>6</v>
      </c>
      <c r="H117" s="8" t="n">
        <v>9.76</v>
      </c>
      <c r="I117" s="8">
        <f>G117*H117</f>
        <v/>
      </c>
      <c r="J117" s="8">
        <f>H117/E117</f>
        <v/>
      </c>
      <c r="K117" s="8" t="n">
        <v>9.51</v>
      </c>
      <c r="L117" s="8" t="n">
        <v>9.51</v>
      </c>
      <c r="M117" s="14">
        <f>J117/K117-1</f>
        <v/>
      </c>
      <c r="N117" s="7" t="inlineStr">
        <is>
          <t>ACIMA +2.6%</t>
        </is>
      </c>
      <c r="O117" s="7" t="inlineStr"/>
    </row>
    <row r="118">
      <c r="A118" s="7" t="n">
        <v>21941</v>
      </c>
      <c r="B118" s="7" t="inlineStr">
        <is>
          <t>1172</t>
        </is>
      </c>
      <c r="C118" s="12" t="inlineStr">
        <is>
          <t>7898166040328</t>
        </is>
      </c>
      <c r="D118" s="7" t="inlineStr">
        <is>
          <t>FARMACE -AGUA PARA INJECAO 1 ML/ML SOL INJ CX 200 AMP PLAS TRANS X 10 ML</t>
        </is>
      </c>
      <c r="E118" s="13" t="n">
        <v>1</v>
      </c>
      <c r="F118" s="13" t="n">
        <v>1</v>
      </c>
      <c r="G118" s="13" t="n">
        <v>1</v>
      </c>
      <c r="H118" s="8" t="n">
        <v>0.32</v>
      </c>
      <c r="I118" s="8">
        <f>G118*H118</f>
        <v/>
      </c>
      <c r="J118" s="8">
        <f>H118/E118</f>
        <v/>
      </c>
      <c r="K118" s="8" t="n">
        <v>0.45</v>
      </c>
      <c r="L118" s="8" t="n">
        <v>0.45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591221</v>
      </c>
      <c r="B119" s="7" t="inlineStr">
        <is>
          <t>7313</t>
        </is>
      </c>
      <c r="C119" s="12" t="inlineStr">
        <is>
          <t>7898216362172</t>
        </is>
      </c>
      <c r="D119" s="7" t="inlineStr">
        <is>
          <t>FARMOXICAM 20MG CX 10 CAP</t>
        </is>
      </c>
      <c r="E119" s="13" t="n">
        <v>1</v>
      </c>
      <c r="F119" s="13" t="n">
        <v>4</v>
      </c>
      <c r="G119" s="13" t="n">
        <v>4</v>
      </c>
      <c r="H119" s="8" t="n">
        <v>4.4</v>
      </c>
      <c r="I119" s="8">
        <f>G119*H119</f>
        <v/>
      </c>
      <c r="J119" s="8">
        <f>H119/E119</f>
        <v/>
      </c>
      <c r="K119" s="8" t="n">
        <v>3.52</v>
      </c>
      <c r="L119" s="8" t="n">
        <v>3.52</v>
      </c>
      <c r="M119" s="14">
        <f>J119/K119-1</f>
        <v/>
      </c>
      <c r="N119" s="7" t="inlineStr">
        <is>
          <t>ACIMA +25.0%</t>
        </is>
      </c>
      <c r="O119" s="7" t="inlineStr"/>
    </row>
    <row r="120">
      <c r="A120" s="7" t="n">
        <v>532361</v>
      </c>
      <c r="B120" s="7" t="inlineStr">
        <is>
          <t>1045</t>
        </is>
      </c>
      <c r="C120" s="12" t="inlineStr">
        <is>
          <t>7896544900011</t>
        </is>
      </c>
      <c r="D120" s="7" t="inlineStr">
        <is>
          <t>FITA CIRUGICA MICRO 1,2X4,5 MISSNER</t>
        </is>
      </c>
      <c r="E120" s="13" t="n">
        <v>1</v>
      </c>
      <c r="F120" s="13" t="n">
        <v>41</v>
      </c>
      <c r="G120" s="13" t="n">
        <v>41</v>
      </c>
      <c r="H120" s="8" t="n">
        <v>2.23</v>
      </c>
      <c r="I120" s="8">
        <f>G120*H120</f>
        <v/>
      </c>
      <c r="J120" s="8">
        <f>H120/E120</f>
        <v/>
      </c>
      <c r="K120" s="8" t="n">
        <v>2.23</v>
      </c>
      <c r="L120" s="8" t="n">
        <v>2.23</v>
      </c>
      <c r="M120" s="14">
        <f>J120/K120-1</f>
        <v/>
      </c>
      <c r="N120" s="7" t="inlineStr">
        <is>
          <t>OK (≤ menor hist.)</t>
        </is>
      </c>
      <c r="O120" s="7" t="inlineStr"/>
    </row>
    <row r="121">
      <c r="A121" s="7" t="n">
        <v>532401</v>
      </c>
      <c r="B121" s="7" t="inlineStr">
        <is>
          <t>1047</t>
        </is>
      </c>
      <c r="C121" s="12" t="inlineStr">
        <is>
          <t>7896544900097</t>
        </is>
      </c>
      <c r="D121" s="7" t="inlineStr">
        <is>
          <t>FITA CIRURGICA MICROPOROSA MISSNER 2,5CM X 4,5M</t>
        </is>
      </c>
      <c r="E121" s="13" t="n">
        <v>1</v>
      </c>
      <c r="F121" s="13" t="n">
        <v>95</v>
      </c>
      <c r="G121" s="13" t="n">
        <v>95</v>
      </c>
      <c r="H121" s="8" t="n">
        <v>3.14</v>
      </c>
      <c r="I121" s="8">
        <f>G121*H121</f>
        <v/>
      </c>
      <c r="J121" s="8">
        <f>H121/E121</f>
        <v/>
      </c>
      <c r="K121" s="8" t="n">
        <v>3.14</v>
      </c>
      <c r="L121" s="8" t="n">
        <v>3.14</v>
      </c>
      <c r="M121" s="14">
        <f>J121/K121-1</f>
        <v/>
      </c>
      <c r="N121" s="7" t="inlineStr">
        <is>
          <t>OK (≤ menor hist.)</t>
        </is>
      </c>
      <c r="O121" s="7" t="inlineStr"/>
    </row>
    <row r="122">
      <c r="A122" s="7" t="n">
        <v>606871</v>
      </c>
      <c r="B122" s="7" t="inlineStr">
        <is>
          <t>7377</t>
        </is>
      </c>
      <c r="C122" s="12" t="inlineStr">
        <is>
          <t>7899838831992</t>
        </is>
      </c>
      <c r="D122" s="7" t="inlineStr">
        <is>
          <t>FITA DE KINESIO 5CM X 5M BEGE</t>
        </is>
      </c>
      <c r="E122" s="13" t="n">
        <v>1</v>
      </c>
      <c r="F122" s="13" t="n">
        <v>1</v>
      </c>
      <c r="G122" s="13" t="n">
        <v>1</v>
      </c>
      <c r="H122" s="8" t="n">
        <v>20.48</v>
      </c>
      <c r="I122" s="8">
        <f>G122*H122</f>
        <v/>
      </c>
      <c r="J122" s="8">
        <f>H122/E122</f>
        <v/>
      </c>
      <c r="K122" s="8" t="n">
        <v>20.48</v>
      </c>
      <c r="L122" s="8" t="n">
        <v>20.48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591031</v>
      </c>
      <c r="B123" s="7" t="inlineStr">
        <is>
          <t>7428</t>
        </is>
      </c>
      <c r="C123" s="12" t="inlineStr">
        <is>
          <t>7899838832005</t>
        </is>
      </c>
      <c r="D123" s="7" t="inlineStr">
        <is>
          <t>FITA KINESIO ROLO 5CMX5M AZUL HC042</t>
        </is>
      </c>
      <c r="E123" s="13" t="n">
        <v>1</v>
      </c>
      <c r="F123" s="13" t="n">
        <v>2</v>
      </c>
      <c r="G123" s="13" t="n">
        <v>2</v>
      </c>
      <c r="H123" s="8" t="n">
        <v>20.43</v>
      </c>
      <c r="I123" s="8">
        <f>G123*H123</f>
        <v/>
      </c>
      <c r="J123" s="8">
        <f>H123/E123</f>
        <v/>
      </c>
      <c r="K123" s="8" t="n">
        <v>20.43</v>
      </c>
      <c r="L123" s="8" t="n">
        <v>19.65</v>
      </c>
      <c r="M123" s="14">
        <f>J123/K123-1</f>
        <v/>
      </c>
      <c r="N123" s="7" t="inlineStr">
        <is>
          <t>OK (≤ últ. compra)</t>
        </is>
      </c>
      <c r="O123" s="7" t="inlineStr"/>
    </row>
    <row r="124">
      <c r="A124" s="7" t="n">
        <v>594901</v>
      </c>
      <c r="B124" s="7" t="inlineStr">
        <is>
          <t>7307</t>
        </is>
      </c>
      <c r="C124" s="12" t="inlineStr">
        <is>
          <t>7899838831985</t>
        </is>
      </c>
      <c r="D124" s="7" t="inlineStr">
        <is>
          <t>FITA KINESIO ROLO 5CMX5M PRETA HC040</t>
        </is>
      </c>
      <c r="E124" s="13" t="n">
        <v>1</v>
      </c>
      <c r="F124" s="13" t="n">
        <v>1</v>
      </c>
      <c r="G124" s="13" t="n">
        <v>1</v>
      </c>
      <c r="H124" s="8" t="n">
        <v>20.48</v>
      </c>
      <c r="I124" s="8">
        <f>G124*H124</f>
        <v/>
      </c>
      <c r="J124" s="8">
        <f>H124/E124</f>
        <v/>
      </c>
      <c r="K124" s="8" t="n">
        <v>23.3</v>
      </c>
      <c r="L124" s="8" t="n">
        <v>23.3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547461</v>
      </c>
      <c r="B125" s="7" t="inlineStr">
        <is>
          <t>1046</t>
        </is>
      </c>
      <c r="C125" s="12" t="inlineStr">
        <is>
          <t>7896544900103</t>
        </is>
      </c>
      <c r="D125" s="7" t="inlineStr">
        <is>
          <t>FITA MICROPORO BRANCO 2,5CM X 0,90MTS</t>
        </is>
      </c>
      <c r="E125" s="13" t="n">
        <v>1</v>
      </c>
      <c r="F125" s="13" t="n">
        <v>28</v>
      </c>
      <c r="G125" s="13" t="n">
        <v>28</v>
      </c>
      <c r="H125" s="8" t="n">
        <v>1.86</v>
      </c>
      <c r="I125" s="8">
        <f>G125*H125</f>
        <v/>
      </c>
      <c r="J125" s="8">
        <f>H125/E125</f>
        <v/>
      </c>
      <c r="K125" s="8" t="n">
        <v>1.86</v>
      </c>
      <c r="L125" s="8" t="n">
        <v>1.86</v>
      </c>
      <c r="M125" s="14">
        <f>J125/K125-1</f>
        <v/>
      </c>
      <c r="N125" s="7" t="inlineStr">
        <is>
          <t>OK (≤ menor hist.)</t>
        </is>
      </c>
      <c r="O125" s="7" t="inlineStr"/>
    </row>
    <row r="126">
      <c r="A126" s="7" t="n">
        <v>541021</v>
      </c>
      <c r="B126" s="7" t="inlineStr">
        <is>
          <t>1048</t>
        </is>
      </c>
      <c r="C126" s="12" t="inlineStr">
        <is>
          <t>7896544900158</t>
        </is>
      </c>
      <c r="D126" s="7" t="inlineStr">
        <is>
          <t>FITA MICROPOROSA BRANCO 10 X 4,5</t>
        </is>
      </c>
      <c r="E126" s="13" t="n">
        <v>1</v>
      </c>
      <c r="F126" s="13" t="n">
        <v>4</v>
      </c>
      <c r="G126" s="13" t="n">
        <v>4</v>
      </c>
      <c r="H126" s="8" t="n">
        <v>8.1</v>
      </c>
      <c r="I126" s="8">
        <f>G126*H126</f>
        <v/>
      </c>
      <c r="J126" s="8">
        <f>H126/E126</f>
        <v/>
      </c>
      <c r="K126" s="8" t="n">
        <v>8.1</v>
      </c>
      <c r="L126" s="8" t="n">
        <v>8.1</v>
      </c>
      <c r="M126" s="14">
        <f>J126/K126-1</f>
        <v/>
      </c>
      <c r="N126" s="7" t="inlineStr">
        <is>
          <t>OK (≤ menor hist.)</t>
        </is>
      </c>
      <c r="O126" s="7" t="inlineStr"/>
    </row>
    <row r="127">
      <c r="A127" s="7" t="n">
        <v>541381</v>
      </c>
      <c r="B127" s="7" t="inlineStr">
        <is>
          <t>942</t>
        </is>
      </c>
      <c r="C127" s="12" t="inlineStr">
        <is>
          <t>7896544900165</t>
        </is>
      </c>
      <c r="D127" s="7" t="inlineStr">
        <is>
          <t>FITA MICROPOROSA BRANCO 5,0CM X 4,5MTS UND QTD. 4.00 UN</t>
        </is>
      </c>
      <c r="E127" s="13" t="n">
        <v>1</v>
      </c>
      <c r="F127" s="13" t="n">
        <v>33</v>
      </c>
      <c r="G127" s="13" t="n">
        <v>33</v>
      </c>
      <c r="H127" s="8" t="n">
        <v>5.02</v>
      </c>
      <c r="I127" s="8">
        <f>G127*H127</f>
        <v/>
      </c>
      <c r="J127" s="8">
        <f>H127/E127</f>
        <v/>
      </c>
      <c r="K127" s="8" t="n">
        <v>5.02</v>
      </c>
      <c r="L127" s="8" t="n">
        <v>5.02</v>
      </c>
      <c r="M127" s="14">
        <f>J127/K127-1</f>
        <v/>
      </c>
      <c r="N127" s="7" t="inlineStr">
        <is>
          <t>OK (≤ menor hist.)</t>
        </is>
      </c>
      <c r="O127" s="7" t="inlineStr"/>
    </row>
    <row r="128">
      <c r="A128" s="7" t="n">
        <v>606861</v>
      </c>
      <c r="B128" s="7" t="inlineStr">
        <is>
          <t>4781</t>
        </is>
      </c>
      <c r="C128" s="12" t="inlineStr">
        <is>
          <t>7894164005239</t>
        </is>
      </c>
      <c r="D128" s="7" t="inlineStr">
        <is>
          <t>FLEXENEMA 130ML (ARL)</t>
        </is>
      </c>
      <c r="E128" s="13" t="n">
        <v>1</v>
      </c>
      <c r="F128" s="13" t="n">
        <v>3</v>
      </c>
      <c r="G128" s="13" t="n">
        <v>3</v>
      </c>
      <c r="H128" s="8" t="n">
        <v>14.17</v>
      </c>
      <c r="I128" s="8">
        <f>G128*H128</f>
        <v/>
      </c>
      <c r="J128" s="8">
        <f>H128/E128</f>
        <v/>
      </c>
      <c r="K128" s="8" t="n">
        <v>13.49</v>
      </c>
      <c r="L128" s="8" t="n">
        <v>13.49</v>
      </c>
      <c r="M128" s="14">
        <f>J128/K128-1</f>
        <v/>
      </c>
      <c r="N128" s="7" t="inlineStr">
        <is>
          <t>ACIMA +5.0%</t>
        </is>
      </c>
      <c r="O128" s="7" t="inlineStr"/>
    </row>
    <row r="129">
      <c r="A129" s="7" t="n">
        <v>550941</v>
      </c>
      <c r="B129" s="7" t="inlineStr">
        <is>
          <t>2233</t>
        </is>
      </c>
      <c r="C129" s="12" t="inlineStr">
        <is>
          <t>7894488000101</t>
        </is>
      </c>
      <c r="D129" s="7" t="inlineStr">
        <is>
          <t>FLOCONETES SEGUROS E ABSORVENTES 75UN</t>
        </is>
      </c>
      <c r="E129" s="13" t="n">
        <v>1</v>
      </c>
      <c r="F129" s="13" t="n">
        <v>2</v>
      </c>
      <c r="G129" s="13" t="n">
        <v>2</v>
      </c>
      <c r="H129" s="8" t="n">
        <v>1.35</v>
      </c>
      <c r="I129" s="8">
        <f>G129*H129</f>
        <v/>
      </c>
      <c r="J129" s="8">
        <f>H129/E129</f>
        <v/>
      </c>
      <c r="K129" s="8" t="n">
        <v>1.35</v>
      </c>
      <c r="L129" s="8" t="n">
        <v>1.35</v>
      </c>
      <c r="M129" s="14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592591</v>
      </c>
      <c r="B130" s="7" t="inlineStr">
        <is>
          <t>1982</t>
        </is>
      </c>
      <c r="C130" s="12" t="inlineStr">
        <is>
          <t>7898556850049</t>
        </is>
      </c>
      <c r="D130" s="7" t="inlineStr">
        <is>
          <t>GEL INTIMO LUBRIF MENTA 50G RILEX</t>
        </is>
      </c>
      <c r="E130" s="13" t="n">
        <v>1</v>
      </c>
      <c r="F130" s="13" t="n">
        <v>2</v>
      </c>
      <c r="G130" s="13" t="n">
        <v>2</v>
      </c>
      <c r="H130" s="8" t="n">
        <v>7.05</v>
      </c>
      <c r="I130" s="8">
        <f>G130*H130</f>
        <v/>
      </c>
      <c r="J130" s="8">
        <f>H130/E130</f>
        <v/>
      </c>
      <c r="K130" s="8" t="n">
        <v>6.25</v>
      </c>
      <c r="L130" s="8" t="n">
        <v>6.25</v>
      </c>
      <c r="M130" s="14">
        <f>J130/K130-1</f>
        <v/>
      </c>
      <c r="N130" s="7" t="inlineStr">
        <is>
          <t>ACIMA +12.8%</t>
        </is>
      </c>
      <c r="O130" s="7" t="inlineStr"/>
    </row>
    <row r="131">
      <c r="A131" s="7" t="n">
        <v>557181</v>
      </c>
      <c r="B131" s="7" t="inlineStr">
        <is>
          <t>5498</t>
        </is>
      </c>
      <c r="C131" s="12" t="inlineStr">
        <is>
          <t>7898556850506</t>
        </is>
      </c>
      <c r="D131" s="7" t="inlineStr">
        <is>
          <t>GEL INTIMO LUBRIF. MORANGO 100G TOY RILE</t>
        </is>
      </c>
      <c r="E131" s="13" t="n">
        <v>1</v>
      </c>
      <c r="F131" s="13" t="n">
        <v>2</v>
      </c>
      <c r="G131" s="13" t="n">
        <v>2</v>
      </c>
      <c r="H131" s="8" t="n">
        <v>15.36</v>
      </c>
      <c r="I131" s="8">
        <f>G131*H131</f>
        <v/>
      </c>
      <c r="J131" s="8">
        <f>H131/E131</f>
        <v/>
      </c>
      <c r="K131" s="8" t="n">
        <v>13.54</v>
      </c>
      <c r="L131" s="8" t="n">
        <v>13.54</v>
      </c>
      <c r="M131" s="14">
        <f>J131/K131-1</f>
        <v/>
      </c>
      <c r="N131" s="7" t="inlineStr">
        <is>
          <t>ACIMA +13.4%</t>
        </is>
      </c>
      <c r="O131" s="7" t="inlineStr"/>
    </row>
    <row r="132">
      <c r="A132" s="7" t="n">
        <v>630481</v>
      </c>
      <c r="B132" s="7" t="inlineStr">
        <is>
          <t>9931</t>
        </is>
      </c>
      <c r="C132" s="12" t="inlineStr">
        <is>
          <t>7898556851084</t>
        </is>
      </c>
      <c r="D132" s="7" t="inlineStr">
        <is>
          <t>GEL INTIMO LUBRIF.TRADICIONAL 200G RILEX</t>
        </is>
      </c>
      <c r="E132" s="13" t="n">
        <v>1</v>
      </c>
      <c r="F132" s="13" t="n">
        <v>1</v>
      </c>
      <c r="G132" s="13" t="n">
        <v>1</v>
      </c>
      <c r="H132" s="8" t="n">
        <v>23.26</v>
      </c>
      <c r="I132" s="8">
        <f>G132*H132</f>
        <v/>
      </c>
      <c r="J132" s="8">
        <f>H132/E132</f>
        <v/>
      </c>
      <c r="K132" s="8" t="n">
        <v>24.89</v>
      </c>
      <c r="L132" s="8" t="n">
        <v>24.89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584681</v>
      </c>
      <c r="B133" s="7" t="inlineStr">
        <is>
          <t>1983</t>
        </is>
      </c>
      <c r="C133" s="12" t="inlineStr">
        <is>
          <t>7898556850025</t>
        </is>
      </c>
      <c r="D133" s="7" t="inlineStr">
        <is>
          <t>GEL LUBRIFICANTE RILEX MORANGO 50G</t>
        </is>
      </c>
      <c r="E133" s="13" t="n">
        <v>1</v>
      </c>
      <c r="F133" s="13" t="n">
        <v>2</v>
      </c>
      <c r="G133" s="13" t="n">
        <v>2</v>
      </c>
      <c r="H133" s="8" t="n">
        <v>7.07</v>
      </c>
      <c r="I133" s="8">
        <f>G133*H133</f>
        <v/>
      </c>
      <c r="J133" s="8">
        <f>H133/E133</f>
        <v/>
      </c>
      <c r="K133" s="8" t="n">
        <v>6.25</v>
      </c>
      <c r="L133" s="8" t="n">
        <v>6.25</v>
      </c>
      <c r="M133" s="14">
        <f>J133/K133-1</f>
        <v/>
      </c>
      <c r="N133" s="7" t="inlineStr">
        <is>
          <t>ACIMA +13.1%</t>
        </is>
      </c>
      <c r="O133" s="7" t="inlineStr"/>
    </row>
    <row r="134">
      <c r="A134" s="7" t="n">
        <v>584661</v>
      </c>
      <c r="B134" s="7" t="inlineStr">
        <is>
          <t>1951</t>
        </is>
      </c>
      <c r="C134" s="12" t="inlineStr">
        <is>
          <t>7898903991951</t>
        </is>
      </c>
      <c r="D134" s="7" t="inlineStr">
        <is>
          <t>GEL LUBRIFICANTE RILEX TRADIOCIONAL 50G</t>
        </is>
      </c>
      <c r="E134" s="13" t="n">
        <v>1</v>
      </c>
      <c r="F134" s="13" t="n">
        <v>1</v>
      </c>
      <c r="G134" s="13" t="n">
        <v>1</v>
      </c>
      <c r="H134" s="8" t="n">
        <v>6.64</v>
      </c>
      <c r="I134" s="8">
        <f>G134*H134</f>
        <v/>
      </c>
      <c r="J134" s="8">
        <f>H134/E134</f>
        <v/>
      </c>
      <c r="K134" s="8" t="n">
        <v>6.57</v>
      </c>
      <c r="L134" s="8" t="n">
        <v>6.57</v>
      </c>
      <c r="M134" s="14">
        <f>J134/K134-1</f>
        <v/>
      </c>
      <c r="N134" s="7" t="inlineStr">
        <is>
          <t>ACIMA +1.1%</t>
        </is>
      </c>
      <c r="O134" s="7" t="inlineStr"/>
    </row>
    <row r="135">
      <c r="A135" s="7" t="n">
        <v>691301</v>
      </c>
      <c r="B135" s="7" t="inlineStr">
        <is>
          <t>10354</t>
        </is>
      </c>
      <c r="C135" s="12" t="inlineStr">
        <is>
          <t>7898741951353</t>
        </is>
      </c>
      <c r="D135" s="7" t="inlineStr">
        <is>
          <t>GEL MASSAGEADOR BLUE ICE 240G</t>
        </is>
      </c>
      <c r="E135" s="13" t="n">
        <v>1</v>
      </c>
      <c r="F135" s="13" t="n">
        <v>1</v>
      </c>
      <c r="G135" s="13" t="n">
        <v>1</v>
      </c>
      <c r="H135" s="8" t="n">
        <v>6.15</v>
      </c>
      <c r="I135" s="8">
        <f>G135*H135</f>
        <v/>
      </c>
      <c r="J135" s="8">
        <f>H135/E135</f>
        <v/>
      </c>
      <c r="K135" s="8" t="n">
        <v>6.15</v>
      </c>
      <c r="L135" s="8" t="n">
        <v>6.15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691801</v>
      </c>
      <c r="B136" s="7" t="inlineStr">
        <is>
          <t>7193</t>
        </is>
      </c>
      <c r="C136" s="12" t="inlineStr">
        <is>
          <t>7898936049612</t>
        </is>
      </c>
      <c r="D136" s="7" t="inlineStr">
        <is>
          <t>GEL MASSAGEM 17 ERVAS 250G POTE</t>
        </is>
      </c>
      <c r="E136" s="13" t="n">
        <v>1</v>
      </c>
      <c r="F136" s="13" t="n">
        <v>1</v>
      </c>
      <c r="G136" s="13" t="n">
        <v>1</v>
      </c>
      <c r="H136" s="8" t="n">
        <v>4.19</v>
      </c>
      <c r="I136" s="8">
        <f>G136*H136</f>
        <v/>
      </c>
      <c r="J136" s="8">
        <f>H136/E136</f>
        <v/>
      </c>
      <c r="K136" s="8" t="n">
        <v>4.19</v>
      </c>
      <c r="L136" s="8" t="n">
        <v>4.19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691601</v>
      </c>
      <c r="B137" s="7" t="inlineStr">
        <is>
          <t>9398</t>
        </is>
      </c>
      <c r="C137" s="12" t="inlineStr">
        <is>
          <t>7898936049704</t>
        </is>
      </c>
      <c r="D137" s="7" t="inlineStr">
        <is>
          <t>GEL MASSAGEM ARNICA E COPAIBA 250G POTE</t>
        </is>
      </c>
      <c r="E137" s="13" t="n">
        <v>1</v>
      </c>
      <c r="F137" s="13" t="n">
        <v>10</v>
      </c>
      <c r="G137" s="13" t="n">
        <v>10</v>
      </c>
      <c r="H137" s="8" t="n">
        <v>3.67</v>
      </c>
      <c r="I137" s="8">
        <f>G137*H137</f>
        <v/>
      </c>
      <c r="J137" s="8">
        <f>H137/E137</f>
        <v/>
      </c>
      <c r="K137" s="8" t="n">
        <v>3.67</v>
      </c>
      <c r="L137" s="8" t="n">
        <v>3.67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627931</v>
      </c>
      <c r="B138" s="7" t="inlineStr">
        <is>
          <t>8354</t>
        </is>
      </c>
      <c r="C138" s="12" t="inlineStr">
        <is>
          <t>7898741950288</t>
        </is>
      </c>
      <c r="D138" s="7" t="inlineStr">
        <is>
          <t>GEL MASSAGEM COPAIBA 190G FRASCO</t>
        </is>
      </c>
      <c r="E138" s="13" t="n">
        <v>1</v>
      </c>
      <c r="F138" s="13" t="n">
        <v>2</v>
      </c>
      <c r="G138" s="13" t="n">
        <v>2</v>
      </c>
      <c r="H138" s="8" t="n">
        <v>4.36</v>
      </c>
      <c r="I138" s="8">
        <f>G138*H138</f>
        <v/>
      </c>
      <c r="J138" s="8">
        <f>H138/E138</f>
        <v/>
      </c>
      <c r="K138" s="8" t="n">
        <v>4.36</v>
      </c>
      <c r="L138" s="8" t="n">
        <v>4.36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627901</v>
      </c>
      <c r="B139" s="7" t="inlineStr">
        <is>
          <t>7190</t>
        </is>
      </c>
      <c r="C139" s="12" t="inlineStr">
        <is>
          <t>7898936049506</t>
        </is>
      </c>
      <c r="D139" s="7" t="inlineStr">
        <is>
          <t>GEL MASSAGEM EXTRA FORTE ANDIROBA 200G</t>
        </is>
      </c>
      <c r="E139" s="13" t="n">
        <v>1</v>
      </c>
      <c r="F139" s="13" t="n">
        <v>2</v>
      </c>
      <c r="G139" s="13" t="n">
        <v>2</v>
      </c>
      <c r="H139" s="8" t="n">
        <v>4.39</v>
      </c>
      <c r="I139" s="8">
        <f>G139*H139</f>
        <v/>
      </c>
      <c r="J139" s="8">
        <f>H139/E139</f>
        <v/>
      </c>
      <c r="K139" s="8" t="n">
        <v>4.41</v>
      </c>
      <c r="L139" s="8" t="n">
        <v>4.41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627921</v>
      </c>
      <c r="B140" s="7" t="inlineStr">
        <is>
          <t>7192</t>
        </is>
      </c>
      <c r="C140" s="12" t="inlineStr">
        <is>
          <t>7898936049278</t>
        </is>
      </c>
      <c r="D140" s="7" t="inlineStr">
        <is>
          <t>GEL MASSAGEM TUBARAO BRANCO 250G POTE</t>
        </is>
      </c>
      <c r="E140" s="13" t="n">
        <v>1</v>
      </c>
      <c r="F140" s="13" t="n">
        <v>5</v>
      </c>
      <c r="G140" s="13" t="n">
        <v>5</v>
      </c>
      <c r="H140" s="8" t="n">
        <v>3.7</v>
      </c>
      <c r="I140" s="8">
        <f>G140*H140</f>
        <v/>
      </c>
      <c r="J140" s="8">
        <f>H140/E140</f>
        <v/>
      </c>
      <c r="K140" s="8" t="n">
        <v>3.7</v>
      </c>
      <c r="L140" s="8" t="n">
        <v>3.7</v>
      </c>
      <c r="M140" s="14">
        <f>J140/K140-1</f>
        <v/>
      </c>
      <c r="N140" s="7" t="inlineStr">
        <is>
          <t>OK (≤ menor hist.)</t>
        </is>
      </c>
      <c r="O140" s="7" t="inlineStr"/>
    </row>
    <row r="141">
      <c r="A141" s="7" t="n">
        <v>610041</v>
      </c>
      <c r="B141" s="7" t="inlineStr">
        <is>
          <t>7509</t>
        </is>
      </c>
      <c r="C141" s="12" t="inlineStr">
        <is>
          <t>7898719040195</t>
        </is>
      </c>
      <c r="D141" s="7" t="inlineStr">
        <is>
          <t>GELOFLAN BALSAMO AEROSSOL 120ML</t>
        </is>
      </c>
      <c r="E141" s="13" t="n">
        <v>1</v>
      </c>
      <c r="F141" s="13" t="n">
        <v>3</v>
      </c>
      <c r="G141" s="13" t="n">
        <v>3</v>
      </c>
      <c r="H141" s="8" t="n">
        <v>12.1</v>
      </c>
      <c r="I141" s="8">
        <f>G141*H141</f>
        <v/>
      </c>
      <c r="J141" s="8">
        <f>H141/E141</f>
        <v/>
      </c>
      <c r="K141" s="8" t="n">
        <v>12.59</v>
      </c>
      <c r="L141" s="8" t="n">
        <v>12.1</v>
      </c>
      <c r="M141" s="14">
        <f>J141/K141-1</f>
        <v/>
      </c>
      <c r="N141" s="7" t="inlineStr">
        <is>
          <t>OK (≤ menor hist.)</t>
        </is>
      </c>
      <c r="O141" s="7" t="inlineStr"/>
    </row>
    <row r="142">
      <c r="A142" s="7" t="n">
        <v>324</v>
      </c>
      <c r="B142" s="7" t="inlineStr">
        <is>
          <t>8419</t>
        </is>
      </c>
      <c r="C142" s="12" t="inlineStr">
        <is>
          <t>7896920305225</t>
        </is>
      </c>
      <c r="D142" s="7" t="inlineStr">
        <is>
          <t>GEROFOR TESTO C/60 CAPS</t>
        </is>
      </c>
      <c r="E142" s="13" t="n">
        <v>1</v>
      </c>
      <c r="F142" s="13" t="n">
        <v>1</v>
      </c>
      <c r="G142" s="13" t="n">
        <v>1</v>
      </c>
      <c r="H142" s="8" t="n">
        <v>42.612902</v>
      </c>
      <c r="I142" s="8">
        <f>G142*H142</f>
        <v/>
      </c>
      <c r="J142" s="8">
        <f>H142/E142</f>
        <v/>
      </c>
      <c r="K142" s="8" t="n">
        <v>37.48</v>
      </c>
      <c r="L142" s="8" t="n">
        <v>37.48</v>
      </c>
      <c r="M142" s="14">
        <f>J142/K142-1</f>
        <v/>
      </c>
      <c r="N142" s="7" t="inlineStr">
        <is>
          <t>ACIMA +13.7%</t>
        </is>
      </c>
      <c r="O142" s="7" t="inlineStr"/>
    </row>
    <row r="143">
      <c r="A143" s="7" t="n">
        <v>599261</v>
      </c>
      <c r="B143" s="7" t="inlineStr">
        <is>
          <t>3877</t>
        </is>
      </c>
      <c r="C143" s="12" t="inlineStr">
        <is>
          <t>7899620911840</t>
        </is>
      </c>
      <c r="D143" s="7" t="inlineStr">
        <is>
          <t>GLICENIX (N.S.) 0,91G CX 6 GLICEROL LACTENTE</t>
        </is>
      </c>
      <c r="E143" s="13" t="n">
        <v>1</v>
      </c>
      <c r="F143" s="13" t="n">
        <v>4</v>
      </c>
      <c r="G143" s="13" t="n">
        <v>4</v>
      </c>
      <c r="H143" s="8" t="n">
        <v>5.94</v>
      </c>
      <c r="I143" s="8">
        <f>G143*H143</f>
        <v/>
      </c>
      <c r="J143" s="8">
        <f>H143/E143</f>
        <v/>
      </c>
      <c r="K143" s="8" t="n">
        <v>5.79</v>
      </c>
      <c r="L143" s="8" t="n">
        <v>5.79</v>
      </c>
      <c r="M143" s="14">
        <f>J143/K143-1</f>
        <v/>
      </c>
      <c r="N143" s="7" t="inlineStr">
        <is>
          <t>ACIMA +2.6%</t>
        </is>
      </c>
      <c r="O143" s="7" t="inlineStr"/>
    </row>
    <row r="144">
      <c r="A144" s="7" t="n">
        <v>531401</v>
      </c>
      <c r="B144" s="7" t="inlineStr">
        <is>
          <t>1541</t>
        </is>
      </c>
      <c r="C144" s="12" t="inlineStr">
        <is>
          <t>7898216360604</t>
        </is>
      </c>
      <c r="D144" s="7" t="inlineStr">
        <is>
          <t>GLICLAZIDA 30MG CX 30 COMP LIB PROL</t>
        </is>
      </c>
      <c r="E144" s="13" t="n">
        <v>1</v>
      </c>
      <c r="F144" s="13" t="n">
        <v>7</v>
      </c>
      <c r="G144" s="13" t="n">
        <v>7</v>
      </c>
      <c r="H144" s="8" t="n">
        <v>9.67</v>
      </c>
      <c r="I144" s="8">
        <f>G144*H144</f>
        <v/>
      </c>
      <c r="J144" s="8">
        <f>H144/E144</f>
        <v/>
      </c>
      <c r="K144" s="8" t="n">
        <v>8.300000000000001</v>
      </c>
      <c r="L144" s="8" t="n">
        <v>8.300000000000001</v>
      </c>
      <c r="M144" s="14">
        <f>J144/K144-1</f>
        <v/>
      </c>
      <c r="N144" s="7" t="inlineStr">
        <is>
          <t>ACIMA +16.5%</t>
        </is>
      </c>
      <c r="O144" s="7" t="inlineStr"/>
    </row>
    <row r="145">
      <c r="A145" s="7" t="n">
        <v>532961</v>
      </c>
      <c r="B145" s="7" t="inlineStr">
        <is>
          <t>1253</t>
        </is>
      </c>
      <c r="C145" s="12" t="inlineStr">
        <is>
          <t>7898100243587</t>
        </is>
      </c>
      <c r="D145" s="7" t="inlineStr">
        <is>
          <t>GRIPALCE 400MG+4MG+4MG CARTELA C/10 CP</t>
        </is>
      </c>
      <c r="E145" s="13" t="n">
        <v>20</v>
      </c>
      <c r="F145" s="13" t="n">
        <v>18</v>
      </c>
      <c r="G145" s="13" t="n">
        <v>1</v>
      </c>
      <c r="H145" s="8" t="n">
        <v>44.97</v>
      </c>
      <c r="I145" s="8">
        <f>G145*H145</f>
        <v/>
      </c>
      <c r="J145" s="8">
        <f>H145/E145</f>
        <v/>
      </c>
      <c r="K145" s="8" t="n">
        <v>1.9845</v>
      </c>
      <c r="L145" s="8" t="n">
        <v>1.85</v>
      </c>
      <c r="M145" s="14">
        <f>J145/K145-1</f>
        <v/>
      </c>
      <c r="N145" s="7" t="inlineStr">
        <is>
          <t>ACIMA +13.3%</t>
        </is>
      </c>
      <c r="O145" s="7" t="inlineStr">
        <is>
          <t>1 emb = 20 un</t>
        </is>
      </c>
    </row>
    <row r="146">
      <c r="A146" s="7" t="n">
        <v>330261</v>
      </c>
      <c r="B146" s="7" t="inlineStr">
        <is>
          <t>6660</t>
        </is>
      </c>
      <c r="C146" s="12" t="inlineStr">
        <is>
          <t>7898100244430</t>
        </is>
      </c>
      <c r="D146" s="7" t="inlineStr">
        <is>
          <t>GRIPALCE CX 20BL X 5 COMP</t>
        </is>
      </c>
      <c r="E146" s="13" t="n">
        <v>20</v>
      </c>
      <c r="F146" s="13" t="n">
        <v>107</v>
      </c>
      <c r="G146" s="13" t="n">
        <v>6</v>
      </c>
      <c r="H146" s="8" t="n">
        <v>26.99</v>
      </c>
      <c r="I146" s="8">
        <f>G146*H146</f>
        <v/>
      </c>
      <c r="J146" s="8">
        <f>H146/E146</f>
        <v/>
      </c>
      <c r="K146" s="8" t="n">
        <v>1.0425</v>
      </c>
      <c r="L146" s="8" t="n">
        <v>1.0425</v>
      </c>
      <c r="M146" s="14">
        <f>J146/K146-1</f>
        <v/>
      </c>
      <c r="N146" s="7" t="inlineStr">
        <is>
          <t>ACIMA +29.4%</t>
        </is>
      </c>
      <c r="O146" s="7" t="inlineStr">
        <is>
          <t>1 emb = 20 un</t>
        </is>
      </c>
    </row>
    <row r="147">
      <c r="A147" s="7" t="n">
        <v>531481</v>
      </c>
      <c r="B147" s="7" t="inlineStr">
        <is>
          <t>5565</t>
        </is>
      </c>
      <c r="C147" s="12" t="inlineStr">
        <is>
          <t>7894164005420</t>
        </is>
      </c>
      <c r="D147" s="7" t="inlineStr">
        <is>
          <t>HIDRALI 500ML LARANJA AIRELA</t>
        </is>
      </c>
      <c r="E147" s="13" t="n">
        <v>1</v>
      </c>
      <c r="F147" s="13" t="n">
        <v>7</v>
      </c>
      <c r="G147" s="13" t="n">
        <v>7</v>
      </c>
      <c r="H147" s="8" t="n">
        <v>8.359999999999999</v>
      </c>
      <c r="I147" s="8">
        <f>G147*H147</f>
        <v/>
      </c>
      <c r="J147" s="8">
        <f>H147/E147</f>
        <v/>
      </c>
      <c r="K147" s="8" t="n">
        <v>8.300000000000001</v>
      </c>
      <c r="L147" s="8" t="n">
        <v>7.97</v>
      </c>
      <c r="M147" s="14">
        <f>J147/K147-1</f>
        <v/>
      </c>
      <c r="N147" s="7" t="inlineStr">
        <is>
          <t>ACIMA +0.7%</t>
        </is>
      </c>
      <c r="O147" s="7" t="inlineStr"/>
    </row>
    <row r="148">
      <c r="A148" s="7" t="n">
        <v>531501</v>
      </c>
      <c r="B148" s="7" t="inlineStr">
        <is>
          <t>5688</t>
        </is>
      </c>
      <c r="C148" s="12" t="inlineStr">
        <is>
          <t>7894164005406</t>
        </is>
      </c>
      <c r="D148" s="7" t="inlineStr">
        <is>
          <t>HIDRALI 500ML UVA ROXA AIRELA</t>
        </is>
      </c>
      <c r="E148" s="13" t="n">
        <v>1</v>
      </c>
      <c r="F148" s="13" t="n">
        <v>2</v>
      </c>
      <c r="G148" s="13" t="n">
        <v>2</v>
      </c>
      <c r="H148" s="8" t="n">
        <v>8.359999999999999</v>
      </c>
      <c r="I148" s="8">
        <f>G148*H148</f>
        <v/>
      </c>
      <c r="J148" s="8">
        <f>H148/E148</f>
        <v/>
      </c>
      <c r="K148" s="8" t="n">
        <v>8.300000000000001</v>
      </c>
      <c r="L148" s="8" t="n">
        <v>7.97</v>
      </c>
      <c r="M148" s="14">
        <f>J148/K148-1</f>
        <v/>
      </c>
      <c r="N148" s="7" t="inlineStr">
        <is>
          <t>ACIMA +0.7%</t>
        </is>
      </c>
      <c r="O148" s="7" t="inlineStr"/>
    </row>
    <row r="149">
      <c r="A149" s="7" t="n">
        <v>604151</v>
      </c>
      <c r="B149" s="7" t="inlineStr">
        <is>
          <t>7783</t>
        </is>
      </c>
      <c r="C149" s="12" t="inlineStr">
        <is>
          <t>7894164009473</t>
        </is>
      </c>
      <c r="D149" s="7" t="inlineStr">
        <is>
          <t>HIDRALI PO 28,29G  ENVELOPE CX COM 4 (GUARANÁ)</t>
        </is>
      </c>
      <c r="E149" s="13" t="n">
        <v>1</v>
      </c>
      <c r="F149" s="13" t="n">
        <v>9</v>
      </c>
      <c r="G149" s="13" t="n">
        <v>9</v>
      </c>
      <c r="H149" s="8" t="n">
        <v>8.94</v>
      </c>
      <c r="I149" s="8">
        <f>G149*H149</f>
        <v/>
      </c>
      <c r="J149" s="8">
        <f>H149/E149</f>
        <v/>
      </c>
      <c r="K149" s="8" t="n">
        <v>8.94</v>
      </c>
      <c r="L149" s="8" t="n">
        <v>8.890000000000001</v>
      </c>
      <c r="M149" s="14">
        <f>J149/K149-1</f>
        <v/>
      </c>
      <c r="N149" s="7" t="inlineStr">
        <is>
          <t>OK (≤ últ. compra)</t>
        </is>
      </c>
      <c r="O149" s="7" t="inlineStr"/>
    </row>
    <row r="150">
      <c r="A150" s="7" t="n">
        <v>602561</v>
      </c>
      <c r="B150" s="7" t="inlineStr">
        <is>
          <t>7708</t>
        </is>
      </c>
      <c r="C150" s="12" t="inlineStr">
        <is>
          <t>7894164009466</t>
        </is>
      </c>
      <c r="D150" s="7" t="inlineStr">
        <is>
          <t>HIDRALI PO 28,29G 4ENV LARANJA SOL</t>
        </is>
      </c>
      <c r="E150" s="13" t="n">
        <v>1</v>
      </c>
      <c r="F150" s="13" t="n">
        <v>8</v>
      </c>
      <c r="G150" s="13" t="n">
        <v>8</v>
      </c>
      <c r="H150" s="8" t="n">
        <v>8.94</v>
      </c>
      <c r="I150" s="8">
        <f>G150*H150</f>
        <v/>
      </c>
      <c r="J150" s="8">
        <f>H150/E150</f>
        <v/>
      </c>
      <c r="K150" s="8" t="n">
        <v>8.6</v>
      </c>
      <c r="L150" s="8" t="n">
        <v>8.6</v>
      </c>
      <c r="M150" s="14">
        <f>J150/K150-1</f>
        <v/>
      </c>
      <c r="N150" s="7" t="inlineStr">
        <is>
          <t>ACIMA +4.0%</t>
        </is>
      </c>
      <c r="O150" s="7" t="inlineStr"/>
    </row>
    <row r="151">
      <c r="A151" s="7" t="n">
        <v>604091</v>
      </c>
      <c r="B151" s="7" t="inlineStr">
        <is>
          <t>7693</t>
        </is>
      </c>
      <c r="C151" s="12" t="inlineStr">
        <is>
          <t>7894164009510</t>
        </is>
      </c>
      <c r="D151" s="7" t="inlineStr">
        <is>
          <t>HIDRALI PO NATURAL  UND</t>
        </is>
      </c>
      <c r="E151" s="13" t="n">
        <v>1</v>
      </c>
      <c r="F151" s="13" t="n">
        <v>2</v>
      </c>
      <c r="G151" s="13" t="n">
        <v>2</v>
      </c>
      <c r="H151" s="8" t="n">
        <v>8.94</v>
      </c>
      <c r="I151" s="8">
        <f>G151*H151</f>
        <v/>
      </c>
      <c r="J151" s="8">
        <f>H151/E151</f>
        <v/>
      </c>
      <c r="K151" s="8" t="n">
        <v>8.890000000000001</v>
      </c>
      <c r="L151" s="8" t="n">
        <v>8.890000000000001</v>
      </c>
      <c r="M151" s="14">
        <f>J151/K151-1</f>
        <v/>
      </c>
      <c r="N151" s="7" t="inlineStr">
        <is>
          <t>ACIMA +0.6%</t>
        </is>
      </c>
      <c r="O151" s="7" t="inlineStr"/>
    </row>
    <row r="152">
      <c r="A152" s="7" t="n">
        <v>558881</v>
      </c>
      <c r="B152" s="7" t="inlineStr">
        <is>
          <t>313</t>
        </is>
      </c>
      <c r="C152" s="12" t="inlineStr">
        <is>
          <t>7898133137358</t>
        </is>
      </c>
      <c r="D152" s="7" t="inlineStr">
        <is>
          <t>HIDRAPLEX PO 27,9G ENVELOPE  FRACIONADO  UVA EN</t>
        </is>
      </c>
      <c r="E152" s="13" t="n">
        <v>1</v>
      </c>
      <c r="F152" s="13" t="n">
        <v>2</v>
      </c>
      <c r="G152" s="13" t="n">
        <v>2</v>
      </c>
      <c r="H152" s="8" t="n">
        <v>11.41</v>
      </c>
      <c r="I152" s="8">
        <f>G152*H152</f>
        <v/>
      </c>
      <c r="J152" s="8">
        <f>H152/E152</f>
        <v/>
      </c>
      <c r="K152" s="8" t="n">
        <v>2.475</v>
      </c>
      <c r="L152" s="8" t="n">
        <v>2.475</v>
      </c>
      <c r="M152" s="14">
        <f>J152/K152-1</f>
        <v/>
      </c>
      <c r="N152" s="7" t="inlineStr">
        <is>
          <t>ACIMA +361.0%</t>
        </is>
      </c>
      <c r="O152" s="7" t="inlineStr">
        <is>
          <t>conferir emb.</t>
        </is>
      </c>
    </row>
    <row r="153">
      <c r="A153" s="7" t="n">
        <v>531541</v>
      </c>
      <c r="B153" s="7" t="inlineStr">
        <is>
          <t>6293</t>
        </is>
      </c>
      <c r="C153" s="12" t="inlineStr">
        <is>
          <t>7894164006755</t>
        </is>
      </c>
      <c r="D153" s="7" t="inlineStr">
        <is>
          <t>HIDROXIDO ALUMINIO SAB HORTELA 100ML</t>
        </is>
      </c>
      <c r="E153" s="13" t="n">
        <v>1</v>
      </c>
      <c r="F153" s="13" t="n">
        <v>53</v>
      </c>
      <c r="G153" s="13" t="n">
        <v>53</v>
      </c>
      <c r="H153" s="8" t="n">
        <v>6.08</v>
      </c>
      <c r="I153" s="8">
        <f>G153*H153</f>
        <v/>
      </c>
      <c r="J153" s="8">
        <f>H153/E153</f>
        <v/>
      </c>
      <c r="K153" s="8" t="n">
        <v>5.28</v>
      </c>
      <c r="L153" s="8" t="n">
        <v>4.65</v>
      </c>
      <c r="M153" s="14">
        <f>J153/K153-1</f>
        <v/>
      </c>
      <c r="N153" s="7" t="inlineStr">
        <is>
          <t>ACIMA +15.2%</t>
        </is>
      </c>
      <c r="O153" s="7" t="inlineStr"/>
    </row>
    <row r="154">
      <c r="A154" s="7" t="n">
        <v>531561</v>
      </c>
      <c r="B154" s="7" t="inlineStr">
        <is>
          <t>6167</t>
        </is>
      </c>
      <c r="C154" s="12" t="inlineStr">
        <is>
          <t>7894164006762</t>
        </is>
      </c>
      <c r="D154" s="7" t="inlineStr">
        <is>
          <t>HIDROXIDO ALUMINIO SAB HORTELA 150ML</t>
        </is>
      </c>
      <c r="E154" s="13" t="n">
        <v>1</v>
      </c>
      <c r="F154" s="13" t="n">
        <v>4</v>
      </c>
      <c r="G154" s="13" t="n">
        <v>4</v>
      </c>
      <c r="H154" s="8" t="n">
        <v>7.25</v>
      </c>
      <c r="I154" s="8">
        <f>G154*H154</f>
        <v/>
      </c>
      <c r="J154" s="8">
        <f>H154/E154</f>
        <v/>
      </c>
      <c r="K154" s="8" t="n">
        <v>7.25</v>
      </c>
      <c r="L154" s="8" t="n">
        <v>7.25</v>
      </c>
      <c r="M154" s="14">
        <f>J154/K154-1</f>
        <v/>
      </c>
      <c r="N154" s="7" t="inlineStr">
        <is>
          <t>OK (≤ menor hist.)</t>
        </is>
      </c>
      <c r="O154" s="7" t="inlineStr"/>
    </row>
    <row r="155">
      <c r="A155" s="7" t="n">
        <v>359601</v>
      </c>
      <c r="B155" s="7" t="inlineStr">
        <is>
          <t>578</t>
        </is>
      </c>
      <c r="C155" s="12" t="inlineStr">
        <is>
          <t>7898122911587</t>
        </is>
      </c>
      <c r="D155" s="7" t="inlineStr">
        <is>
          <t>HYPLEX B SOL INJ IM CX 100 AMP VD AMB X 2 ML</t>
        </is>
      </c>
      <c r="E155" s="13" t="n">
        <v>1</v>
      </c>
      <c r="F155" s="13" t="n">
        <v>1</v>
      </c>
      <c r="G155" s="13" t="n">
        <v>1</v>
      </c>
      <c r="H155" s="8" t="n">
        <v>126.14</v>
      </c>
      <c r="I155" s="8">
        <f>G155*H155</f>
        <v/>
      </c>
      <c r="J155" s="8">
        <f>H155/E155</f>
        <v/>
      </c>
      <c r="K155" s="8" t="n">
        <v>1.4052</v>
      </c>
      <c r="L155" s="8" t="n">
        <v>1.4052</v>
      </c>
      <c r="M155" s="14">
        <f>J155/K155-1</f>
        <v/>
      </c>
      <c r="N155" s="7" t="inlineStr">
        <is>
          <t>ACIMA +8876.7%</t>
        </is>
      </c>
      <c r="O155" s="7" t="inlineStr">
        <is>
          <t>conferir emb.</t>
        </is>
      </c>
    </row>
    <row r="156">
      <c r="A156" s="7" t="n">
        <v>627841</v>
      </c>
      <c r="B156" s="7" t="inlineStr">
        <is>
          <t>379</t>
        </is>
      </c>
      <c r="C156" s="12" t="inlineStr">
        <is>
          <t>7897344301527</t>
        </is>
      </c>
      <c r="D156" s="7" t="inlineStr">
        <is>
          <t>ICE GEL 250G POTE</t>
        </is>
      </c>
      <c r="E156" s="13" t="n">
        <v>1</v>
      </c>
      <c r="F156" s="13" t="n">
        <v>5</v>
      </c>
      <c r="G156" s="13" t="n">
        <v>5</v>
      </c>
      <c r="H156" s="8" t="n">
        <v>8.1</v>
      </c>
      <c r="I156" s="8">
        <f>G156*H156</f>
        <v/>
      </c>
      <c r="J156" s="8">
        <f>H156/E156</f>
        <v/>
      </c>
      <c r="K156" s="8" t="n">
        <v>8.1</v>
      </c>
      <c r="L156" s="8" t="n">
        <v>8.1</v>
      </c>
      <c r="M156" s="14">
        <f>J156/K156-1</f>
        <v/>
      </c>
      <c r="N156" s="7" t="inlineStr">
        <is>
          <t>OK (≤ menor hist.)</t>
        </is>
      </c>
      <c r="O156" s="7" t="inlineStr"/>
    </row>
    <row r="157">
      <c r="A157" s="7" t="n">
        <v>153041</v>
      </c>
      <c r="B157" s="7" t="inlineStr">
        <is>
          <t>3581</t>
        </is>
      </c>
      <c r="C157" s="12" t="inlineStr">
        <is>
          <t>7898060132297</t>
        </is>
      </c>
      <c r="D157" s="7" t="inlineStr">
        <is>
          <t>INTESTIN 2MG CX 12 COMP</t>
        </is>
      </c>
      <c r="E157" s="13" t="n">
        <v>1</v>
      </c>
      <c r="F157" s="13" t="n">
        <v>2</v>
      </c>
      <c r="G157" s="13" t="n">
        <v>2</v>
      </c>
      <c r="H157" s="8" t="n">
        <v>2.08</v>
      </c>
      <c r="I157" s="8">
        <f>G157*H157</f>
        <v/>
      </c>
      <c r="J157" s="8">
        <f>H157/E157</f>
        <v/>
      </c>
      <c r="K157" s="8" t="n">
        <v>2.02</v>
      </c>
      <c r="L157" s="8" t="n">
        <v>2.02</v>
      </c>
      <c r="M157" s="14">
        <f>J157/K157-1</f>
        <v/>
      </c>
      <c r="N157" s="7" t="inlineStr">
        <is>
          <t>ACIMA +3.0%</t>
        </is>
      </c>
      <c r="O157" s="7" t="inlineStr"/>
    </row>
    <row r="158">
      <c r="A158" s="7" t="n">
        <v>553601</v>
      </c>
      <c r="B158" s="7" t="inlineStr">
        <is>
          <t>3745</t>
        </is>
      </c>
      <c r="C158" s="12" t="inlineStr">
        <is>
          <t>7896523207834</t>
        </is>
      </c>
      <c r="D158" s="7" t="inlineStr">
        <is>
          <t>K-MED GEL BG 25 G</t>
        </is>
      </c>
      <c r="E158" s="13" t="n">
        <v>1</v>
      </c>
      <c r="F158" s="13" t="n">
        <v>13</v>
      </c>
      <c r="G158" s="13" t="n">
        <v>13</v>
      </c>
      <c r="H158" s="8" t="n">
        <v>5.67</v>
      </c>
      <c r="I158" s="8">
        <f>G158*H158</f>
        <v/>
      </c>
      <c r="J158" s="8">
        <f>H158/E158</f>
        <v/>
      </c>
      <c r="K158" s="8" t="n">
        <v>6.59</v>
      </c>
      <c r="L158" s="8" t="n">
        <v>2.99</v>
      </c>
      <c r="M158" s="14">
        <f>J158/K158-1</f>
        <v/>
      </c>
      <c r="N158" s="7" t="inlineStr">
        <is>
          <t>OK (≤ últ. compra)</t>
        </is>
      </c>
      <c r="O158" s="7" t="inlineStr"/>
    </row>
    <row r="159">
      <c r="A159" s="7" t="n">
        <v>3583</v>
      </c>
      <c r="B159" s="7" t="inlineStr">
        <is>
          <t>8512</t>
        </is>
      </c>
      <c r="C159" s="12" t="inlineStr">
        <is>
          <t>7898953484311</t>
        </is>
      </c>
      <c r="D159" s="7" t="inlineStr">
        <is>
          <t>KIT PARA COLETA DE URINA C/1 TUBO</t>
        </is>
      </c>
      <c r="E159" s="13" t="n">
        <v>1</v>
      </c>
      <c r="F159" s="13" t="n">
        <v>8</v>
      </c>
      <c r="G159" s="13" t="n">
        <v>8</v>
      </c>
      <c r="H159" s="8" t="n">
        <v>1.03</v>
      </c>
      <c r="I159" s="8">
        <f>G159*H159</f>
        <v/>
      </c>
      <c r="J159" s="8">
        <f>H159/E159</f>
        <v/>
      </c>
      <c r="K159" s="8" t="n">
        <v>0.89</v>
      </c>
      <c r="L159" s="8" t="n">
        <v>0.89</v>
      </c>
      <c r="M159" s="14">
        <f>J159/K159-1</f>
        <v/>
      </c>
      <c r="N159" s="7" t="inlineStr">
        <is>
          <t>ACIMA +15.7%</t>
        </is>
      </c>
      <c r="O159" s="7" t="inlineStr"/>
    </row>
    <row r="160">
      <c r="A160" s="7" t="n">
        <v>3203</v>
      </c>
      <c r="B160" s="7" t="inlineStr">
        <is>
          <t>8602</t>
        </is>
      </c>
      <c r="C160" s="12" t="inlineStr">
        <is>
          <t>7898953484304</t>
        </is>
      </c>
      <c r="D160" s="7" t="inlineStr">
        <is>
          <t>LAVADOR NASAL COM FRASCO 300ML C/2 BICOS</t>
        </is>
      </c>
      <c r="E160" s="13" t="n">
        <v>1</v>
      </c>
      <c r="F160" s="13" t="n">
        <v>2</v>
      </c>
      <c r="G160" s="13" t="n">
        <v>2</v>
      </c>
      <c r="H160" s="8" t="n">
        <v>11.49</v>
      </c>
      <c r="I160" s="8">
        <f>G160*H160</f>
        <v/>
      </c>
      <c r="J160" s="8">
        <f>H160/E160</f>
        <v/>
      </c>
      <c r="K160" s="8" t="n">
        <v>11.49</v>
      </c>
      <c r="L160" s="8" t="n">
        <v>11.49</v>
      </c>
      <c r="M160" s="14">
        <f>J160/K160-1</f>
        <v/>
      </c>
      <c r="N160" s="7" t="inlineStr">
        <is>
          <t>OK (≤ menor hist.)</t>
        </is>
      </c>
      <c r="O160" s="7" t="inlineStr"/>
    </row>
    <row r="161">
      <c r="A161" s="7" t="n">
        <v>546081</v>
      </c>
      <c r="B161" s="7" t="inlineStr">
        <is>
          <t>2228</t>
        </is>
      </c>
      <c r="C161" s="12" t="inlineStr">
        <is>
          <t>7897947612358</t>
        </is>
      </c>
      <c r="D161" s="7" t="inlineStr">
        <is>
          <t>LAVITAN MEMORIA 60CP</t>
        </is>
      </c>
      <c r="E161" s="13" t="n">
        <v>1</v>
      </c>
      <c r="F161" s="13" t="n">
        <v>7</v>
      </c>
      <c r="G161" s="13" t="n">
        <v>7</v>
      </c>
      <c r="H161" s="8" t="n">
        <v>14.85</v>
      </c>
      <c r="I161" s="8">
        <f>G161*H161</f>
        <v/>
      </c>
      <c r="J161" s="8">
        <f>H161/E161</f>
        <v/>
      </c>
      <c r="K161" s="8" t="n">
        <v>21.27</v>
      </c>
      <c r="L161" s="8" t="n">
        <v>21.27</v>
      </c>
      <c r="M161" s="14">
        <f>J161/K161-1</f>
        <v/>
      </c>
      <c r="N161" s="7" t="inlineStr">
        <is>
          <t>OK (≤ menor hist.)</t>
        </is>
      </c>
      <c r="O161" s="7" t="inlineStr"/>
    </row>
    <row r="162">
      <c r="A162" s="7" t="n">
        <v>546481</v>
      </c>
      <c r="B162" s="7" t="inlineStr">
        <is>
          <t>6961</t>
        </is>
      </c>
      <c r="C162" s="12" t="inlineStr">
        <is>
          <t>7897947600928</t>
        </is>
      </c>
      <c r="D162" s="7" t="inlineStr">
        <is>
          <t>LAVITAN VIT 50+ 60CP</t>
        </is>
      </c>
      <c r="E162" s="13" t="n">
        <v>1</v>
      </c>
      <c r="F162" s="13" t="n">
        <v>11</v>
      </c>
      <c r="G162" s="13" t="n">
        <v>11</v>
      </c>
      <c r="H162" s="8" t="n">
        <v>14.85</v>
      </c>
      <c r="I162" s="8">
        <f>G162*H162</f>
        <v/>
      </c>
      <c r="J162" s="8">
        <f>H162/E162</f>
        <v/>
      </c>
      <c r="K162" s="8" t="n">
        <v>14.85</v>
      </c>
      <c r="L162" s="8" t="n">
        <v>14.85</v>
      </c>
      <c r="M162" s="14">
        <f>J162/K162-1</f>
        <v/>
      </c>
      <c r="N162" s="7" t="inlineStr">
        <is>
          <t>OK (≤ menor hist.)</t>
        </is>
      </c>
      <c r="O162" s="7" t="inlineStr"/>
    </row>
    <row r="163">
      <c r="A163" s="7" t="n">
        <v>550901</v>
      </c>
      <c r="B163" s="7" t="inlineStr">
        <is>
          <t>660</t>
        </is>
      </c>
      <c r="C163" s="12" t="inlineStr">
        <is>
          <t>7897947606517</t>
        </is>
      </c>
      <c r="D163" s="7" t="inlineStr">
        <is>
          <t>LAVITAN VIT AZ ORIGINAL COMP REV FR C/60</t>
        </is>
      </c>
      <c r="E163" s="13" t="n">
        <v>1</v>
      </c>
      <c r="F163" s="13" t="n">
        <v>19</v>
      </c>
      <c r="G163" s="13" t="n">
        <v>19</v>
      </c>
      <c r="H163" s="8" t="n">
        <v>14.85</v>
      </c>
      <c r="I163" s="8">
        <f>G163*H163</f>
        <v/>
      </c>
      <c r="J163" s="8">
        <f>H163/E163</f>
        <v/>
      </c>
      <c r="K163" s="8" t="n">
        <v>9.99</v>
      </c>
      <c r="L163" s="8" t="n">
        <v>9.99</v>
      </c>
      <c r="M163" s="14">
        <f>J163/K163-1</f>
        <v/>
      </c>
      <c r="N163" s="7" t="inlineStr">
        <is>
          <t>ACIMA +48.6%</t>
        </is>
      </c>
      <c r="O163" s="7" t="inlineStr"/>
    </row>
    <row r="164">
      <c r="A164" s="7" t="n">
        <v>556981</v>
      </c>
      <c r="B164" s="7" t="inlineStr">
        <is>
          <t>2944</t>
        </is>
      </c>
      <c r="C164" s="12" t="inlineStr">
        <is>
          <t>7897947607996</t>
        </is>
      </c>
      <c r="D164" s="7" t="inlineStr">
        <is>
          <t>LAVITAN VIT CABELOS E UNHAS 30CP</t>
        </is>
      </c>
      <c r="E164" s="13" t="n">
        <v>1</v>
      </c>
      <c r="F164" s="13" t="n">
        <v>8</v>
      </c>
      <c r="G164" s="13" t="n">
        <v>8</v>
      </c>
      <c r="H164" s="8" t="n">
        <v>12.62</v>
      </c>
      <c r="I164" s="8">
        <f>G164*H164</f>
        <v/>
      </c>
      <c r="J164" s="8">
        <f>H164/E164</f>
        <v/>
      </c>
      <c r="K164" s="8" t="n">
        <v>8.99</v>
      </c>
      <c r="L164" s="8" t="n">
        <v>6.99</v>
      </c>
      <c r="M164" s="14">
        <f>J164/K164-1</f>
        <v/>
      </c>
      <c r="N164" s="7" t="inlineStr">
        <is>
          <t>ACIMA +40.4%</t>
        </is>
      </c>
      <c r="O164" s="7" t="inlineStr"/>
    </row>
    <row r="165">
      <c r="A165" s="7" t="n">
        <v>553661</v>
      </c>
      <c r="B165" s="7" t="inlineStr">
        <is>
          <t>716</t>
        </is>
      </c>
      <c r="C165" s="12" t="inlineStr">
        <is>
          <t>7897947614673</t>
        </is>
      </c>
      <c r="D165" s="7" t="inlineStr">
        <is>
          <t>LAVITAN VIT INF SOL OR FR 240ML TUT FRUT</t>
        </is>
      </c>
      <c r="E165" s="13" t="n">
        <v>1</v>
      </c>
      <c r="F165" s="13" t="n">
        <v>2</v>
      </c>
      <c r="G165" s="13" t="n">
        <v>2</v>
      </c>
      <c r="H165" s="8" t="n">
        <v>13.85</v>
      </c>
      <c r="I165" s="8">
        <f>G165*H165</f>
        <v/>
      </c>
      <c r="J165" s="8">
        <f>H165/E165</f>
        <v/>
      </c>
      <c r="K165" s="8" t="n">
        <v>10.99</v>
      </c>
      <c r="L165" s="8" t="n">
        <v>8.99</v>
      </c>
      <c r="M165" s="14">
        <f>J165/K165-1</f>
        <v/>
      </c>
      <c r="N165" s="7" t="inlineStr">
        <is>
          <t>ACIMA +26.0%</t>
        </is>
      </c>
      <c r="O165" s="7" t="inlineStr"/>
    </row>
    <row r="166">
      <c r="A166" s="7" t="n">
        <v>627791</v>
      </c>
      <c r="B166" s="7" t="inlineStr">
        <is>
          <t>8628</t>
        </is>
      </c>
      <c r="C166" s="12" t="inlineStr">
        <is>
          <t>7897947617605</t>
        </is>
      </c>
      <c r="D166" s="7" t="inlineStr">
        <is>
          <t>LAVITAN ZMA PERFORMANCE COMP 2 BL X 15</t>
        </is>
      </c>
      <c r="E166" s="13" t="n">
        <v>1</v>
      </c>
      <c r="F166" s="13" t="n">
        <v>10</v>
      </c>
      <c r="G166" s="13" t="n">
        <v>10</v>
      </c>
      <c r="H166" s="8" t="n">
        <v>13.5</v>
      </c>
      <c r="I166" s="8">
        <f>G166*H166</f>
        <v/>
      </c>
      <c r="J166" s="8">
        <f>H166/E166</f>
        <v/>
      </c>
      <c r="K166" s="8" t="n">
        <v>18.36</v>
      </c>
      <c r="L166" s="8" t="n">
        <v>16.39</v>
      </c>
      <c r="M166" s="14">
        <f>J166/K166-1</f>
        <v/>
      </c>
      <c r="N166" s="7" t="inlineStr">
        <is>
          <t>OK (≤ menor hist.)</t>
        </is>
      </c>
      <c r="O166" s="7" t="inlineStr"/>
    </row>
    <row r="167">
      <c r="A167" s="7" t="n">
        <v>4083</v>
      </c>
      <c r="B167" s="7" t="inlineStr">
        <is>
          <t>8859</t>
        </is>
      </c>
      <c r="C167" s="12" t="inlineStr">
        <is>
          <t>7898575780754</t>
        </is>
      </c>
      <c r="D167" s="7" t="inlineStr">
        <is>
          <t>LEITE DE MAGNESIA 100ML HORTELA</t>
        </is>
      </c>
      <c r="E167" s="13" t="n">
        <v>1</v>
      </c>
      <c r="F167" s="13" t="n">
        <v>6</v>
      </c>
      <c r="G167" s="13" t="n">
        <v>6</v>
      </c>
      <c r="H167" s="8" t="n">
        <v>1.99</v>
      </c>
      <c r="I167" s="8">
        <f>G167*H167</f>
        <v/>
      </c>
      <c r="J167" s="8">
        <f>H167/E167</f>
        <v/>
      </c>
      <c r="K167" s="8" t="n">
        <v>3.54</v>
      </c>
      <c r="L167" s="8" t="n">
        <v>3.54</v>
      </c>
      <c r="M167" s="14">
        <f>J167/K167-1</f>
        <v/>
      </c>
      <c r="N167" s="7" t="inlineStr">
        <is>
          <t>OK (≤ menor hist.)</t>
        </is>
      </c>
      <c r="O167" s="7" t="inlineStr"/>
    </row>
    <row r="168">
      <c r="A168" s="7" t="n">
        <v>646631</v>
      </c>
      <c r="B168" s="7" t="inlineStr">
        <is>
          <t>7615</t>
        </is>
      </c>
      <c r="C168" s="12" t="inlineStr">
        <is>
          <t>7898031310211</t>
        </is>
      </c>
      <c r="D168" s="7" t="inlineStr">
        <is>
          <t>LEITE DE MAGNESIA 120ML TRADICIONAL</t>
        </is>
      </c>
      <c r="E168" s="13" t="n">
        <v>1</v>
      </c>
      <c r="F168" s="13" t="n">
        <v>2</v>
      </c>
      <c r="G168" s="13" t="n">
        <v>2</v>
      </c>
      <c r="H168" s="8" t="n">
        <v>5</v>
      </c>
      <c r="I168" s="8">
        <f>G168*H168</f>
        <v/>
      </c>
      <c r="J168" s="8">
        <f>H168/E168</f>
        <v/>
      </c>
      <c r="K168" s="8" t="n">
        <v>5.01</v>
      </c>
      <c r="L168" s="8" t="n">
        <v>5.01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651461</v>
      </c>
      <c r="B169" s="7" t="inlineStr">
        <is>
          <t>8917</t>
        </is>
      </c>
      <c r="C169" s="12" t="inlineStr">
        <is>
          <t>7898179711314</t>
        </is>
      </c>
      <c r="D169" s="7" t="inlineStr">
        <is>
          <t>LEITE DE MAGNESIA GASTRIMEC 100ML TRADIC</t>
        </is>
      </c>
      <c r="E169" s="13" t="n">
        <v>1</v>
      </c>
      <c r="F169" s="13" t="n">
        <v>11</v>
      </c>
      <c r="G169" s="13" t="n">
        <v>11</v>
      </c>
      <c r="H169" s="8" t="n">
        <v>4.58</v>
      </c>
      <c r="I169" s="8">
        <f>G169*H169</f>
        <v/>
      </c>
      <c r="J169" s="8">
        <f>H169/E169</f>
        <v/>
      </c>
      <c r="K169" s="8" t="n">
        <v>4.5</v>
      </c>
      <c r="L169" s="8" t="n">
        <v>4.5</v>
      </c>
      <c r="M169" s="14">
        <f>J169/K169-1</f>
        <v/>
      </c>
      <c r="N169" s="7" t="inlineStr">
        <is>
          <t>ACIMA +1.8%</t>
        </is>
      </c>
      <c r="O169" s="7" t="inlineStr"/>
    </row>
    <row r="170">
      <c r="A170" s="7" t="n">
        <v>55801</v>
      </c>
      <c r="B170" s="7" t="inlineStr">
        <is>
          <t>2610</t>
        </is>
      </c>
      <c r="C170" s="12" t="inlineStr">
        <is>
          <t>7898060133904</t>
        </is>
      </c>
      <c r="D170" s="7" t="inlineStr">
        <is>
          <t>LERGIDRIN 0,4+0,05MG/ML XPE FR X 120ML+CM</t>
        </is>
      </c>
      <c r="E170" s="13" t="n">
        <v>1</v>
      </c>
      <c r="F170" s="13" t="n">
        <v>4</v>
      </c>
      <c r="G170" s="13" t="n">
        <v>4</v>
      </c>
      <c r="H170" s="8" t="n">
        <v>4.5</v>
      </c>
      <c r="I170" s="8">
        <f>G170*H170</f>
        <v/>
      </c>
      <c r="J170" s="8">
        <f>H170/E170</f>
        <v/>
      </c>
      <c r="K170" s="8" t="n">
        <v>4.31</v>
      </c>
      <c r="L170" s="8" t="n">
        <v>4.31</v>
      </c>
      <c r="M170" s="14">
        <f>J170/K170-1</f>
        <v/>
      </c>
      <c r="N170" s="7" t="inlineStr">
        <is>
          <t>ACIMA +4.4%</t>
        </is>
      </c>
      <c r="O170" s="7" t="inlineStr"/>
    </row>
    <row r="171">
      <c r="A171" s="7" t="n">
        <v>151761</v>
      </c>
      <c r="B171" s="7" t="inlineStr">
        <is>
          <t>385</t>
        </is>
      </c>
      <c r="C171" s="12" t="inlineStr">
        <is>
          <t>7893454100555</t>
        </is>
      </c>
      <c r="D171" s="7" t="inlineStr">
        <is>
          <t>LIDIAL 50MG/G POM BG 25G</t>
        </is>
      </c>
      <c r="E171" s="13" t="n">
        <v>1</v>
      </c>
      <c r="F171" s="13" t="n">
        <v>3</v>
      </c>
      <c r="G171" s="13" t="n">
        <v>3</v>
      </c>
      <c r="H171" s="8" t="n">
        <v>6.95</v>
      </c>
      <c r="I171" s="8">
        <f>G171*H171</f>
        <v/>
      </c>
      <c r="J171" s="8">
        <f>H171/E171</f>
        <v/>
      </c>
      <c r="K171" s="8" t="n">
        <v>6.73</v>
      </c>
      <c r="L171" s="8" t="n">
        <v>6.73</v>
      </c>
      <c r="M171" s="14">
        <f>J171/K171-1</f>
        <v/>
      </c>
      <c r="N171" s="7" t="inlineStr">
        <is>
          <t>ACIMA +3.3%</t>
        </is>
      </c>
      <c r="O171" s="7" t="inlineStr"/>
    </row>
    <row r="172">
      <c r="A172" s="7" t="n">
        <v>616271</v>
      </c>
      <c r="B172" s="7" t="inlineStr">
        <is>
          <t>7932</t>
        </is>
      </c>
      <c r="C172" s="12" t="inlineStr">
        <is>
          <t>7894164010301</t>
        </is>
      </c>
      <c r="D172" s="7" t="inlineStr">
        <is>
          <t>LORATADINA 1MG/ML 100ML XPE UN</t>
        </is>
      </c>
      <c r="E172" s="13" t="n">
        <v>1</v>
      </c>
      <c r="F172" s="13" t="n">
        <v>4</v>
      </c>
      <c r="G172" s="13" t="n">
        <v>4</v>
      </c>
      <c r="H172" s="8" t="n">
        <v>5.93</v>
      </c>
      <c r="I172" s="8">
        <f>G172*H172</f>
        <v/>
      </c>
      <c r="J172" s="8">
        <f>H172/E172</f>
        <v/>
      </c>
      <c r="K172" s="8" t="n">
        <v>5.65</v>
      </c>
      <c r="L172" s="8" t="n">
        <v>5.65</v>
      </c>
      <c r="M172" s="14">
        <f>J172/K172-1</f>
        <v/>
      </c>
      <c r="N172" s="7" t="inlineStr">
        <is>
          <t>ACIMA +5.0%</t>
        </is>
      </c>
      <c r="O172" s="7" t="inlineStr"/>
    </row>
    <row r="173">
      <c r="A173" s="7" t="n">
        <v>324761</v>
      </c>
      <c r="B173" s="7" t="inlineStr">
        <is>
          <t>931</t>
        </is>
      </c>
      <c r="C173" s="12" t="inlineStr">
        <is>
          <t>7896523202822</t>
        </is>
      </c>
      <c r="D173" s="7" t="inlineStr">
        <is>
          <t>LORATAMED 10MG CX 12 COMP</t>
        </is>
      </c>
      <c r="E173" s="13" t="n">
        <v>1</v>
      </c>
      <c r="F173" s="13" t="n">
        <v>42</v>
      </c>
      <c r="G173" s="13" t="n">
        <v>42</v>
      </c>
      <c r="H173" s="8" t="n">
        <v>1.76</v>
      </c>
      <c r="I173" s="8">
        <f>G173*H173</f>
        <v/>
      </c>
      <c r="J173" s="8">
        <f>H173/E173</f>
        <v/>
      </c>
      <c r="K173" s="8" t="n">
        <v>1.69</v>
      </c>
      <c r="L173" s="8" t="n">
        <v>1.49</v>
      </c>
      <c r="M173" s="14">
        <f>J173/K173-1</f>
        <v/>
      </c>
      <c r="N173" s="7" t="inlineStr">
        <is>
          <t>ACIMA +4.1%</t>
        </is>
      </c>
      <c r="O173" s="7" t="inlineStr"/>
    </row>
    <row r="174">
      <c r="A174" s="7" t="n">
        <v>668941</v>
      </c>
      <c r="B174" s="7" t="inlineStr">
        <is>
          <t>7927</t>
        </is>
      </c>
      <c r="C174" s="12" t="inlineStr">
        <is>
          <t>7896004785769</t>
        </is>
      </c>
      <c r="D174" s="7" t="inlineStr">
        <is>
          <t>LOZEPREL 40MG CX 28 CAP</t>
        </is>
      </c>
      <c r="E174" s="13" t="n">
        <v>1</v>
      </c>
      <c r="F174" s="13" t="n">
        <v>9</v>
      </c>
      <c r="G174" s="13" t="n">
        <v>9</v>
      </c>
      <c r="H174" s="8" t="n">
        <v>9.07</v>
      </c>
      <c r="I174" s="8">
        <f>G174*H174</f>
        <v/>
      </c>
      <c r="J174" s="8">
        <f>H174/E174</f>
        <v/>
      </c>
      <c r="K174" s="8" t="n">
        <v>9.9</v>
      </c>
      <c r="L174" s="8" t="n">
        <v>9.9</v>
      </c>
      <c r="M174" s="14">
        <f>J174/K174-1</f>
        <v/>
      </c>
      <c r="N174" s="7" t="inlineStr">
        <is>
          <t>OK (≤ menor hist.)</t>
        </is>
      </c>
      <c r="O174" s="7" t="inlineStr"/>
    </row>
    <row r="175">
      <c r="A175" s="7" t="n">
        <v>558921</v>
      </c>
      <c r="B175" s="7" t="inlineStr">
        <is>
          <t>5499</t>
        </is>
      </c>
      <c r="C175" s="12" t="inlineStr">
        <is>
          <t>7898556850513</t>
        </is>
      </c>
      <c r="D175" s="7" t="inlineStr">
        <is>
          <t>LUBRIFICANTE GEL RILEX MENTA 100G</t>
        </is>
      </c>
      <c r="E175" s="13" t="n">
        <v>1</v>
      </c>
      <c r="F175" s="13" t="n">
        <v>1</v>
      </c>
      <c r="G175" s="13" t="n">
        <v>1</v>
      </c>
      <c r="H175" s="8" t="n">
        <v>15.34</v>
      </c>
      <c r="I175" s="8">
        <f>G175*H175</f>
        <v/>
      </c>
      <c r="J175" s="8">
        <f>H175/E175</f>
        <v/>
      </c>
      <c r="K175" s="8" t="n">
        <v>15.27</v>
      </c>
      <c r="L175" s="8" t="n">
        <v>15.27</v>
      </c>
      <c r="M175" s="14">
        <f>J175/K175-1</f>
        <v/>
      </c>
      <c r="N175" s="7" t="inlineStr">
        <is>
          <t>ACIMA +0.5%</t>
        </is>
      </c>
      <c r="O175" s="7" t="inlineStr"/>
    </row>
    <row r="176">
      <c r="A176" s="7" t="n">
        <v>557121</v>
      </c>
      <c r="B176" s="7" t="inlineStr">
        <is>
          <t>5469</t>
        </is>
      </c>
      <c r="C176" s="12" t="inlineStr">
        <is>
          <t>7896523200026</t>
        </is>
      </c>
      <c r="D176" s="7" t="inlineStr">
        <is>
          <t>LUBRIFIK LUBRIFICANTE INTIMO GEL BG 50G</t>
        </is>
      </c>
      <c r="E176" s="13" t="n">
        <v>1</v>
      </c>
      <c r="F176" s="13" t="n">
        <v>17</v>
      </c>
      <c r="G176" s="13" t="n">
        <v>17</v>
      </c>
      <c r="H176" s="8" t="n">
        <v>4.32</v>
      </c>
      <c r="I176" s="8">
        <f>G176*H176</f>
        <v/>
      </c>
      <c r="J176" s="8">
        <f>H176/E176</f>
        <v/>
      </c>
      <c r="K176" s="8" t="n">
        <v>4.32</v>
      </c>
      <c r="L176" s="8" t="n">
        <v>4.32</v>
      </c>
      <c r="M176" s="14">
        <f>J176/K176-1</f>
        <v/>
      </c>
      <c r="N176" s="7" t="inlineStr">
        <is>
          <t>OK (≤ menor hist.)</t>
        </is>
      </c>
      <c r="O176" s="7" t="inlineStr"/>
    </row>
    <row r="177">
      <c r="A177" s="7" t="n">
        <v>4143</v>
      </c>
      <c r="B177" s="7" t="inlineStr">
        <is>
          <t>9434</t>
        </is>
      </c>
      <c r="C177" s="12" t="inlineStr">
        <is>
          <t>7898947170176</t>
        </is>
      </c>
      <c r="D177" s="7" t="inlineStr">
        <is>
          <t>LUVA CIRURGICA 7,0 ESTERIL COM PO</t>
        </is>
      </c>
      <c r="E177" s="13" t="n">
        <v>1</v>
      </c>
      <c r="F177" s="13" t="n">
        <v>2</v>
      </c>
      <c r="G177" s="13" t="n">
        <v>2</v>
      </c>
      <c r="H177" s="8" t="n">
        <v>1.76</v>
      </c>
      <c r="I177" s="8">
        <f>G177*H177</f>
        <v/>
      </c>
      <c r="J177" s="8">
        <f>H177/E177</f>
        <v/>
      </c>
      <c r="K177" s="8" t="n">
        <v>1.76</v>
      </c>
      <c r="L177" s="8" t="n">
        <v>1.76</v>
      </c>
      <c r="M177" s="14">
        <f>J177/K177-1</f>
        <v/>
      </c>
      <c r="N177" s="7" t="inlineStr">
        <is>
          <t>OK (≤ menor hist.)</t>
        </is>
      </c>
      <c r="O177" s="7" t="inlineStr"/>
    </row>
    <row r="178">
      <c r="A178" s="7" t="n">
        <v>4153</v>
      </c>
      <c r="B178" s="7" t="inlineStr">
        <is>
          <t>9437</t>
        </is>
      </c>
      <c r="C178" s="12" t="inlineStr">
        <is>
          <t>7898947170190</t>
        </is>
      </c>
      <c r="D178" s="7" t="inlineStr">
        <is>
          <t>LUVA CIRURGICA 8,0 ESTERIL COM PO</t>
        </is>
      </c>
      <c r="E178" s="13" t="n">
        <v>1</v>
      </c>
      <c r="F178" s="13" t="n">
        <v>2</v>
      </c>
      <c r="G178" s="13" t="n">
        <v>2</v>
      </c>
      <c r="H178" s="8" t="n">
        <v>1.74</v>
      </c>
      <c r="I178" s="8">
        <f>G178*H178</f>
        <v/>
      </c>
      <c r="J178" s="8">
        <f>H178/E178</f>
        <v/>
      </c>
      <c r="K178" s="8" t="n">
        <v>1.74</v>
      </c>
      <c r="L178" s="8" t="n">
        <v>1.74</v>
      </c>
      <c r="M178" s="14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675981</v>
      </c>
      <c r="B179" s="7" t="inlineStr">
        <is>
          <t>9414</t>
        </is>
      </c>
      <c r="C179" s="12" t="inlineStr">
        <is>
          <t>7898947170619</t>
        </is>
      </c>
      <c r="D179" s="7" t="inlineStr">
        <is>
          <t>LUVA LATEX MEDIX PROFI C/PO TAM PP C/100 UN</t>
        </is>
      </c>
      <c r="E179" s="13" t="n">
        <v>1</v>
      </c>
      <c r="F179" s="13" t="n">
        <v>2</v>
      </c>
      <c r="G179" s="13" t="n">
        <v>2</v>
      </c>
      <c r="H179" s="8" t="n">
        <v>26.33</v>
      </c>
      <c r="I179" s="8">
        <f>G179*H179</f>
        <v/>
      </c>
      <c r="J179" s="8">
        <f>H179/E179</f>
        <v/>
      </c>
      <c r="K179" s="8" t="n">
        <v>19.9</v>
      </c>
      <c r="L179" s="8" t="n">
        <v>19.9</v>
      </c>
      <c r="M179" s="14">
        <f>J179/K179-1</f>
        <v/>
      </c>
      <c r="N179" s="7" t="inlineStr">
        <is>
          <t>ACIMA +32.3%</t>
        </is>
      </c>
      <c r="O179" s="7" t="inlineStr"/>
    </row>
    <row r="180">
      <c r="A180" s="7" t="n">
        <v>591291</v>
      </c>
      <c r="B180" s="7" t="inlineStr">
        <is>
          <t>7719</t>
        </is>
      </c>
      <c r="C180" s="12" t="inlineStr">
        <is>
          <t>7898048699651</t>
        </is>
      </c>
      <c r="D180" s="7" t="inlineStr">
        <is>
          <t>MAGNESIO DIMALATO 60CP</t>
        </is>
      </c>
      <c r="E180" s="13" t="n">
        <v>1</v>
      </c>
      <c r="F180" s="13" t="n">
        <v>8</v>
      </c>
      <c r="G180" s="13" t="n">
        <v>8</v>
      </c>
      <c r="H180" s="8" t="n">
        <v>15.98</v>
      </c>
      <c r="I180" s="8">
        <f>G180*H180</f>
        <v/>
      </c>
      <c r="J180" s="8">
        <f>H180/E180</f>
        <v/>
      </c>
      <c r="K180" s="8" t="n">
        <v>15.98</v>
      </c>
      <c r="L180" s="8" t="n">
        <v>13.84</v>
      </c>
      <c r="M180" s="14">
        <f>J180/K180-1</f>
        <v/>
      </c>
      <c r="N180" s="7" t="inlineStr">
        <is>
          <t>OK (≤ últ. compra)</t>
        </is>
      </c>
      <c r="O180" s="7" t="inlineStr"/>
    </row>
    <row r="181">
      <c r="A181" s="7" t="n">
        <v>512501</v>
      </c>
      <c r="B181" s="7" t="inlineStr">
        <is>
          <t>4401</t>
        </is>
      </c>
      <c r="C181" s="12" t="inlineStr">
        <is>
          <t>7896523210773</t>
        </is>
      </c>
      <c r="D181" s="7" t="inlineStr">
        <is>
          <t>MALEATO DE ENALAPRIL 20MG CX 30 COMP</t>
        </is>
      </c>
      <c r="E181" s="13" t="n">
        <v>1</v>
      </c>
      <c r="F181" s="13" t="n">
        <v>26</v>
      </c>
      <c r="G181" s="13" t="n">
        <v>26</v>
      </c>
      <c r="H181" s="8" t="n">
        <v>2.86</v>
      </c>
      <c r="I181" s="8">
        <f>G181*H181</f>
        <v/>
      </c>
      <c r="J181" s="8">
        <f>H181/E181</f>
        <v/>
      </c>
      <c r="K181" s="8" t="n">
        <v>2.35</v>
      </c>
      <c r="L181" s="8" t="n">
        <v>2.23</v>
      </c>
      <c r="M181" s="14">
        <f>J181/K181-1</f>
        <v/>
      </c>
      <c r="N181" s="7" t="inlineStr">
        <is>
          <t>ACIMA +21.7%</t>
        </is>
      </c>
      <c r="O181" s="7" t="inlineStr"/>
    </row>
    <row r="182">
      <c r="A182" s="7" t="n">
        <v>346381</v>
      </c>
      <c r="B182" s="7" t="inlineStr">
        <is>
          <t>4558</t>
        </is>
      </c>
      <c r="C182" s="12" t="inlineStr">
        <is>
          <t>7895296445085</t>
        </is>
      </c>
      <c r="D182" s="7" t="inlineStr">
        <is>
          <t>MEFLAGIN 400MG 2BL X 10 COMP REV</t>
        </is>
      </c>
      <c r="E182" s="13" t="n">
        <v>1</v>
      </c>
      <c r="F182" s="13" t="n">
        <v>1</v>
      </c>
      <c r="G182" s="13" t="n">
        <v>1</v>
      </c>
      <c r="H182" s="8" t="n">
        <v>7.35</v>
      </c>
      <c r="I182" s="8">
        <f>G182*H182</f>
        <v/>
      </c>
      <c r="J182" s="8">
        <f>H182/E182</f>
        <v/>
      </c>
      <c r="K182" s="8" t="n">
        <v>7.08</v>
      </c>
      <c r="L182" s="8" t="n">
        <v>7.08</v>
      </c>
      <c r="M182" s="14">
        <f>J182/K182-1</f>
        <v/>
      </c>
      <c r="N182" s="7" t="inlineStr">
        <is>
          <t>ACIMA +3.8%</t>
        </is>
      </c>
      <c r="O182" s="7" t="inlineStr"/>
    </row>
    <row r="183">
      <c r="A183" s="7" t="n">
        <v>3223</v>
      </c>
      <c r="B183" s="7" t="inlineStr">
        <is>
          <t>4729</t>
        </is>
      </c>
      <c r="C183" s="12" t="inlineStr">
        <is>
          <t>7896023708626</t>
        </is>
      </c>
      <c r="D183" s="7" t="inlineStr">
        <is>
          <t>MELAGRIAO SPRAY 30ML EXTRA FORTE</t>
        </is>
      </c>
      <c r="E183" s="13" t="n">
        <v>1</v>
      </c>
      <c r="F183" s="13" t="n">
        <v>2</v>
      </c>
      <c r="G183" s="13" t="n">
        <v>2</v>
      </c>
      <c r="H183" s="8" t="n">
        <v>13.22</v>
      </c>
      <c r="I183" s="8">
        <f>G183*H183</f>
        <v/>
      </c>
      <c r="J183" s="8">
        <f>H183/E183</f>
        <v/>
      </c>
      <c r="K183" s="8" t="n">
        <v>21.72</v>
      </c>
      <c r="L183" s="8" t="n">
        <v>18.02</v>
      </c>
      <c r="M183" s="14">
        <f>J183/K183-1</f>
        <v/>
      </c>
      <c r="N183" s="7" t="inlineStr">
        <is>
          <t>OK (≤ menor hist.)</t>
        </is>
      </c>
      <c r="O183" s="7" t="inlineStr"/>
    </row>
    <row r="184">
      <c r="A184" s="7" t="n">
        <v>548221</v>
      </c>
      <c r="B184" s="7" t="inlineStr">
        <is>
          <t>625</t>
        </is>
      </c>
      <c r="C184" s="12" t="inlineStr">
        <is>
          <t>7896023719899</t>
        </is>
      </c>
      <c r="D184" s="7" t="inlineStr">
        <is>
          <t>MELAGRIÃO EXPECTORANTE CATARINENSE 150ML</t>
        </is>
      </c>
      <c r="E184" s="13" t="n">
        <v>1</v>
      </c>
      <c r="F184" s="13" t="n">
        <v>3</v>
      </c>
      <c r="G184" s="13" t="n">
        <v>3</v>
      </c>
      <c r="H184" s="8" t="n">
        <v>15.82</v>
      </c>
      <c r="I184" s="8">
        <f>G184*H184</f>
        <v/>
      </c>
      <c r="J184" s="8">
        <f>H184/E184</f>
        <v/>
      </c>
      <c r="K184" s="8" t="n">
        <v>35.31</v>
      </c>
      <c r="L184" s="8" t="n">
        <v>14.77</v>
      </c>
      <c r="M184" s="14">
        <f>J184/K184-1</f>
        <v/>
      </c>
      <c r="N184" s="7" t="inlineStr">
        <is>
          <t>OK (≤ últ. compra)</t>
        </is>
      </c>
      <c r="O184" s="7" t="inlineStr">
        <is>
          <t>conferir emb.</t>
        </is>
      </c>
    </row>
    <row r="185">
      <c r="A185" s="7" t="n">
        <v>3573</v>
      </c>
      <c r="B185" s="7" t="inlineStr">
        <is>
          <t>6951</t>
        </is>
      </c>
      <c r="C185" s="12" t="inlineStr">
        <is>
          <t>7894164008551</t>
        </is>
      </c>
      <c r="D185" s="7" t="inlineStr">
        <is>
          <t>MELATONINA 210MCG 20ML GTS</t>
        </is>
      </c>
      <c r="E185" s="13" t="n">
        <v>1</v>
      </c>
      <c r="F185" s="13" t="n">
        <v>6</v>
      </c>
      <c r="G185" s="13" t="n">
        <v>6</v>
      </c>
      <c r="H185" s="8" t="n">
        <v>10.65</v>
      </c>
      <c r="I185" s="8">
        <f>G185*H185</f>
        <v/>
      </c>
      <c r="J185" s="8">
        <f>H185/E185</f>
        <v/>
      </c>
      <c r="K185" s="8" t="n">
        <v>10.65</v>
      </c>
      <c r="L185" s="8" t="n">
        <v>8.57</v>
      </c>
      <c r="M185" s="14">
        <f>J185/K185-1</f>
        <v/>
      </c>
      <c r="N185" s="7" t="inlineStr">
        <is>
          <t>OK (≤ últ. compra)</t>
        </is>
      </c>
      <c r="O185" s="7" t="inlineStr"/>
    </row>
    <row r="186">
      <c r="A186" s="7" t="n">
        <v>639011</v>
      </c>
      <c r="B186" s="7" t="inlineStr">
        <is>
          <t>8820</t>
        </is>
      </c>
      <c r="C186" s="12" t="inlineStr">
        <is>
          <t>7894164011483</t>
        </is>
      </c>
      <c r="D186" s="7" t="inlineStr">
        <is>
          <t>METIOCURE 10MG 45ML SPRAY</t>
        </is>
      </c>
      <c r="E186" s="13" t="n">
        <v>1</v>
      </c>
      <c r="F186" s="13" t="n">
        <v>1</v>
      </c>
      <c r="G186" s="13" t="n">
        <v>1</v>
      </c>
      <c r="H186" s="8" t="n">
        <v>8.26</v>
      </c>
      <c r="I186" s="8">
        <f>G186*H186</f>
        <v/>
      </c>
      <c r="J186" s="8">
        <f>H186/E186</f>
        <v/>
      </c>
      <c r="K186" s="8" t="n">
        <v>8.26</v>
      </c>
      <c r="L186" s="8" t="n">
        <v>7.88</v>
      </c>
      <c r="M186" s="14">
        <f>J186/K186-1</f>
        <v/>
      </c>
      <c r="N186" s="7" t="inlineStr">
        <is>
          <t>OK (≤ últ. compra)</t>
        </is>
      </c>
      <c r="O186" s="7" t="inlineStr"/>
    </row>
    <row r="187">
      <c r="A187" s="7" t="n">
        <v>605891</v>
      </c>
      <c r="B187" s="7" t="inlineStr">
        <is>
          <t>201</t>
        </is>
      </c>
      <c r="C187" s="12" t="inlineStr">
        <is>
          <t>7897917004589</t>
        </is>
      </c>
      <c r="D187" s="7" t="inlineStr">
        <is>
          <t>MICOSBEL 50MG 30G POMADA</t>
        </is>
      </c>
      <c r="E187" s="13" t="n">
        <v>1</v>
      </c>
      <c r="F187" s="13" t="n">
        <v>3</v>
      </c>
      <c r="G187" s="13" t="n">
        <v>3</v>
      </c>
      <c r="H187" s="8" t="n">
        <v>10.3</v>
      </c>
      <c r="I187" s="8">
        <f>G187*H187</f>
        <v/>
      </c>
      <c r="J187" s="8">
        <f>H187/E187</f>
        <v/>
      </c>
      <c r="K187" s="8" t="n">
        <v>10.3</v>
      </c>
      <c r="L187" s="8" t="n">
        <v>10.3</v>
      </c>
      <c r="M187" s="14">
        <f>J187/K187-1</f>
        <v/>
      </c>
      <c r="N187" s="7" t="inlineStr">
        <is>
          <t>OK (≤ menor hist.)</t>
        </is>
      </c>
      <c r="O187" s="7" t="inlineStr"/>
    </row>
    <row r="188">
      <c r="A188" s="7" t="n">
        <v>621241</v>
      </c>
      <c r="B188" s="7" t="inlineStr">
        <is>
          <t>5739</t>
        </is>
      </c>
      <c r="C188" s="12" t="inlineStr">
        <is>
          <t>7896920304334</t>
        </is>
      </c>
      <c r="D188" s="7" t="inlineStr">
        <is>
          <t>MILMUNE CONCENTRADO 120ML</t>
        </is>
      </c>
      <c r="E188" s="13" t="n">
        <v>1</v>
      </c>
      <c r="F188" s="13" t="n">
        <v>4</v>
      </c>
      <c r="G188" s="13" t="n">
        <v>4</v>
      </c>
      <c r="H188" s="8" t="n">
        <v>26.484262</v>
      </c>
      <c r="I188" s="8">
        <f>G188*H188</f>
        <v/>
      </c>
      <c r="J188" s="8">
        <f>H188/E188</f>
        <v/>
      </c>
      <c r="K188" s="8" t="n">
        <v>21.33</v>
      </c>
      <c r="L188" s="8" t="n">
        <v>21.33</v>
      </c>
      <c r="M188" s="14">
        <f>J188/K188-1</f>
        <v/>
      </c>
      <c r="N188" s="7" t="inlineStr">
        <is>
          <t>ACIMA +24.2%</t>
        </is>
      </c>
      <c r="O188" s="7" t="inlineStr"/>
    </row>
    <row r="189">
      <c r="A189" s="7" t="n">
        <v>557961</v>
      </c>
      <c r="B189" s="7" t="inlineStr">
        <is>
          <t>5738</t>
        </is>
      </c>
      <c r="C189" s="12" t="inlineStr">
        <is>
          <t>7896920304037</t>
        </is>
      </c>
      <c r="D189" s="7" t="inlineStr">
        <is>
          <t>MILMUNE CONCENTRADO 30CP</t>
        </is>
      </c>
      <c r="E189" s="13" t="n">
        <v>1</v>
      </c>
      <c r="F189" s="13" t="n">
        <v>6</v>
      </c>
      <c r="G189" s="13" t="n">
        <v>6</v>
      </c>
      <c r="H189" s="8" t="n">
        <v>42.609678</v>
      </c>
      <c r="I189" s="8">
        <f>G189*H189</f>
        <v/>
      </c>
      <c r="J189" s="8">
        <f>H189/E189</f>
        <v/>
      </c>
      <c r="K189" s="8" t="n">
        <v>37.65</v>
      </c>
      <c r="L189" s="8" t="n">
        <v>34.22</v>
      </c>
      <c r="M189" s="14">
        <f>J189/K189-1</f>
        <v/>
      </c>
      <c r="N189" s="7" t="inlineStr">
        <is>
          <t>ACIMA +13.2%</t>
        </is>
      </c>
      <c r="O189" s="7" t="inlineStr"/>
    </row>
    <row r="190">
      <c r="A190" s="7" t="n">
        <v>531621</v>
      </c>
      <c r="B190" s="7" t="inlineStr">
        <is>
          <t>1584</t>
        </is>
      </c>
      <c r="C190" s="12" t="inlineStr">
        <is>
          <t>7896472501694</t>
        </is>
      </c>
      <c r="D190" s="7" t="inlineStr">
        <is>
          <t>MULTISORO INFANTIL 30ML</t>
        </is>
      </c>
      <c r="E190" s="13" t="n">
        <v>1</v>
      </c>
      <c r="F190" s="13" t="n">
        <v>3</v>
      </c>
      <c r="G190" s="13" t="n">
        <v>3</v>
      </c>
      <c r="H190" s="8" t="n">
        <v>2.9</v>
      </c>
      <c r="I190" s="8">
        <f>G190*H190</f>
        <v/>
      </c>
      <c r="J190" s="8">
        <f>H190/E190</f>
        <v/>
      </c>
      <c r="K190" s="8" t="n">
        <v>2.53</v>
      </c>
      <c r="L190" s="8" t="n">
        <v>2.53</v>
      </c>
      <c r="M190" s="14">
        <f>J190/K190-1</f>
        <v/>
      </c>
      <c r="N190" s="7" t="inlineStr">
        <is>
          <t>ACIMA +14.6%</t>
        </is>
      </c>
      <c r="O190" s="7" t="inlineStr"/>
    </row>
    <row r="191">
      <c r="A191" s="7" t="n">
        <v>485261</v>
      </c>
      <c r="B191" s="7" t="inlineStr">
        <is>
          <t>3819</t>
        </is>
      </c>
      <c r="C191" s="12" t="inlineStr">
        <is>
          <t>7899620915039</t>
        </is>
      </c>
      <c r="D191" s="7" t="inlineStr">
        <is>
          <t>NIMESULIDA 100MG CX 12 COMP</t>
        </is>
      </c>
      <c r="E191" s="13" t="n">
        <v>1</v>
      </c>
      <c r="F191" s="13" t="n">
        <v>11</v>
      </c>
      <c r="G191" s="13" t="n">
        <v>11</v>
      </c>
      <c r="H191" s="8" t="n">
        <v>1.37</v>
      </c>
      <c r="I191" s="8">
        <f>G191*H191</f>
        <v/>
      </c>
      <c r="J191" s="8">
        <f>H191/E191</f>
        <v/>
      </c>
      <c r="K191" s="8" t="n">
        <v>1.1</v>
      </c>
      <c r="L191" s="8" t="n">
        <v>1.1</v>
      </c>
      <c r="M191" s="14">
        <f>J191/K191-1</f>
        <v/>
      </c>
      <c r="N191" s="7" t="inlineStr">
        <is>
          <t>ACIMA +24.5%</t>
        </is>
      </c>
      <c r="O191" s="7" t="inlineStr"/>
    </row>
    <row r="192">
      <c r="A192" s="7" t="n">
        <v>3503</v>
      </c>
      <c r="B192" s="7" t="inlineStr">
        <is>
          <t>2629</t>
        </is>
      </c>
      <c r="C192" s="12" t="inlineStr">
        <is>
          <t>7897344300933</t>
        </is>
      </c>
      <c r="D192" s="7" t="inlineStr">
        <is>
          <t>OLEO DE ANDIROBA 30ML</t>
        </is>
      </c>
      <c r="E192" s="13" t="n">
        <v>1</v>
      </c>
      <c r="F192" s="13" t="n">
        <v>2</v>
      </c>
      <c r="G192" s="13" t="n">
        <v>2</v>
      </c>
      <c r="H192" s="8" t="n">
        <v>7.59</v>
      </c>
      <c r="I192" s="8">
        <f>G192*H192</f>
        <v/>
      </c>
      <c r="J192" s="8">
        <f>H192/E192</f>
        <v/>
      </c>
      <c r="K192" s="8" t="n">
        <v>7.59</v>
      </c>
      <c r="L192" s="8" t="n">
        <v>7.59</v>
      </c>
      <c r="M192" s="14">
        <f>J192/K192-1</f>
        <v/>
      </c>
      <c r="N192" s="7" t="inlineStr">
        <is>
          <t>OK (≤ menor hist.)</t>
        </is>
      </c>
      <c r="O192" s="7" t="inlineStr"/>
    </row>
    <row r="193">
      <c r="A193" s="7" t="n">
        <v>565841</v>
      </c>
      <c r="B193" s="7" t="inlineStr">
        <is>
          <t>3</t>
        </is>
      </c>
      <c r="C193" s="12" t="inlineStr">
        <is>
          <t>7898031313335</t>
        </is>
      </c>
      <c r="D193" s="7" t="inlineStr">
        <is>
          <t>OLEO DE COPAIBA 30ML</t>
        </is>
      </c>
      <c r="E193" s="13" t="n">
        <v>1</v>
      </c>
      <c r="F193" s="13" t="n">
        <v>3</v>
      </c>
      <c r="G193" s="13" t="n">
        <v>3</v>
      </c>
      <c r="H193" s="8" t="n">
        <v>7.16</v>
      </c>
      <c r="I193" s="8">
        <f>G193*H193</f>
        <v/>
      </c>
      <c r="J193" s="8">
        <f>H193/E193</f>
        <v/>
      </c>
      <c r="K193" s="8" t="n">
        <v>7.16</v>
      </c>
      <c r="L193" s="8" t="n">
        <v>7.16</v>
      </c>
      <c r="M193" s="14">
        <f>J193/K193-1</f>
        <v/>
      </c>
      <c r="N193" s="7" t="inlineStr">
        <is>
          <t>OK (≤ menor hist.)</t>
        </is>
      </c>
      <c r="O193" s="7" t="inlineStr"/>
    </row>
    <row r="194">
      <c r="A194" s="7" t="n">
        <v>4983</v>
      </c>
      <c r="B194" s="7" t="inlineStr">
        <is>
          <t>9599</t>
        </is>
      </c>
      <c r="C194" s="12" t="inlineStr">
        <is>
          <t>7896544927704</t>
        </is>
      </c>
      <c r="D194" s="7" t="inlineStr">
        <is>
          <t>OLEO DE GIRASSOL DERMA PROTECT 100ML</t>
        </is>
      </c>
      <c r="E194" s="13" t="n">
        <v>1</v>
      </c>
      <c r="F194" s="13" t="n">
        <v>12</v>
      </c>
      <c r="G194" s="13" t="n">
        <v>12</v>
      </c>
      <c r="H194" s="8" t="n">
        <v>3.6</v>
      </c>
      <c r="I194" s="8">
        <f>G194*H194</f>
        <v/>
      </c>
      <c r="J194" s="8">
        <f>H194/E194</f>
        <v/>
      </c>
      <c r="K194" s="8" t="n">
        <v>3.61</v>
      </c>
      <c r="L194" s="8" t="n">
        <v>3.61</v>
      </c>
      <c r="M194" s="14">
        <f>J194/K194-1</f>
        <v/>
      </c>
      <c r="N194" s="7" t="inlineStr">
        <is>
          <t>OK (≤ menor hist.)</t>
        </is>
      </c>
      <c r="O194" s="7" t="inlineStr"/>
    </row>
    <row r="195">
      <c r="A195" s="7" t="n">
        <v>5053</v>
      </c>
      <c r="B195" s="7" t="inlineStr">
        <is>
          <t>9598</t>
        </is>
      </c>
      <c r="C195" s="12" t="inlineStr">
        <is>
          <t>7896544927698</t>
        </is>
      </c>
      <c r="D195" s="7" t="inlineStr">
        <is>
          <t>OLEO DE GIRASSOL DERMA PROTECT 200ML</t>
        </is>
      </c>
      <c r="E195" s="13" t="n">
        <v>1</v>
      </c>
      <c r="F195" s="13" t="n">
        <v>7</v>
      </c>
      <c r="G195" s="13" t="n">
        <v>7</v>
      </c>
      <c r="H195" s="8" t="n">
        <v>5.79</v>
      </c>
      <c r="I195" s="8">
        <f>G195*H195</f>
        <v/>
      </c>
      <c r="J195" s="8">
        <f>H195/E195</f>
        <v/>
      </c>
      <c r="K195" s="8" t="n">
        <v>5.45</v>
      </c>
      <c r="L195" s="8" t="n">
        <v>5.45</v>
      </c>
      <c r="M195" s="14">
        <f>J195/K195-1</f>
        <v/>
      </c>
      <c r="N195" s="7" t="inlineStr">
        <is>
          <t>ACIMA +6.2%</t>
        </is>
      </c>
      <c r="O195" s="7" t="inlineStr"/>
    </row>
    <row r="196">
      <c r="A196" s="7" t="n">
        <v>605901</v>
      </c>
      <c r="B196" s="7" t="inlineStr">
        <is>
          <t>7508</t>
        </is>
      </c>
      <c r="C196" s="12" t="inlineStr">
        <is>
          <t>7898719040157</t>
        </is>
      </c>
      <c r="D196" s="7" t="inlineStr">
        <is>
          <t>OLEO DE GIRASSOL DERSIN 100ML</t>
        </is>
      </c>
      <c r="E196" s="13" t="n">
        <v>1</v>
      </c>
      <c r="F196" s="13" t="n">
        <v>22</v>
      </c>
      <c r="G196" s="13" t="n">
        <v>22</v>
      </c>
      <c r="H196" s="8" t="n">
        <v>5.3</v>
      </c>
      <c r="I196" s="8">
        <f>G196*H196</f>
        <v/>
      </c>
      <c r="J196" s="8">
        <f>H196/E196</f>
        <v/>
      </c>
      <c r="K196" s="8" t="n">
        <v>5.22</v>
      </c>
      <c r="L196" s="8" t="n">
        <v>5.22</v>
      </c>
      <c r="M196" s="14">
        <f>J196/K196-1</f>
        <v/>
      </c>
      <c r="N196" s="7" t="inlineStr">
        <is>
          <t>ACIMA +1.5%</t>
        </is>
      </c>
      <c r="O196" s="7" t="inlineStr"/>
    </row>
    <row r="197">
      <c r="A197" s="7" t="n">
        <v>613861</v>
      </c>
      <c r="B197" s="7" t="inlineStr">
        <is>
          <t>7541</t>
        </is>
      </c>
      <c r="C197" s="12" t="inlineStr">
        <is>
          <t>7898719040164</t>
        </is>
      </c>
      <c r="D197" s="7" t="inlineStr">
        <is>
          <t>OLEO DE GIRASSOL DERSIN 200ML</t>
        </is>
      </c>
      <c r="E197" s="13" t="n">
        <v>1</v>
      </c>
      <c r="F197" s="13" t="n">
        <v>4</v>
      </c>
      <c r="G197" s="13" t="n">
        <v>4</v>
      </c>
      <c r="H197" s="8" t="n">
        <v>8.67</v>
      </c>
      <c r="I197" s="8">
        <f>G197*H197</f>
        <v/>
      </c>
      <c r="J197" s="8">
        <f>H197/E197</f>
        <v/>
      </c>
      <c r="K197" s="8" t="n">
        <v>8.67</v>
      </c>
      <c r="L197" s="8" t="n">
        <v>8.67</v>
      </c>
      <c r="M197" s="14">
        <f>J197/K197-1</f>
        <v/>
      </c>
      <c r="N197" s="7" t="inlineStr">
        <is>
          <t>OK (≤ menor hist.)</t>
        </is>
      </c>
      <c r="O197" s="7" t="inlineStr"/>
    </row>
    <row r="198">
      <c r="A198" s="7" t="n">
        <v>37703</v>
      </c>
      <c r="B198" s="7" t="inlineStr">
        <is>
          <t>2959</t>
        </is>
      </c>
      <c r="C198" s="12" t="inlineStr">
        <is>
          <t>7898582292639</t>
        </is>
      </c>
      <c r="D198" s="7" t="inlineStr">
        <is>
          <t>OLEO DE GIRASSOL DERSOL 100ML</t>
        </is>
      </c>
      <c r="E198" s="13" t="n">
        <v>1</v>
      </c>
      <c r="F198" s="13" t="n">
        <v>9</v>
      </c>
      <c r="G198" s="13" t="n">
        <v>9</v>
      </c>
      <c r="H198" s="8" t="n">
        <v>6.89</v>
      </c>
      <c r="I198" s="8">
        <f>G198*H198</f>
        <v/>
      </c>
      <c r="J198" s="8">
        <f>H198/E198</f>
        <v/>
      </c>
      <c r="K198" s="8" t="n">
        <v>5.66</v>
      </c>
      <c r="L198" s="8" t="n">
        <v>5.66</v>
      </c>
      <c r="M198" s="14">
        <f>J198/K198-1</f>
        <v/>
      </c>
      <c r="N198" s="7" t="inlineStr">
        <is>
          <t>ACIMA +21.7%</t>
        </is>
      </c>
      <c r="O198" s="7" t="inlineStr"/>
    </row>
    <row r="199">
      <c r="A199" s="7" t="n">
        <v>653701</v>
      </c>
      <c r="B199" s="7" t="inlineStr">
        <is>
          <t>5186</t>
        </is>
      </c>
      <c r="C199" s="12" t="inlineStr">
        <is>
          <t>7898639690999</t>
        </is>
      </c>
      <c r="D199" s="7" t="inlineStr">
        <is>
          <t>OXIMETRO DE DEDO LED OXILED1</t>
        </is>
      </c>
      <c r="E199" s="13" t="n">
        <v>1</v>
      </c>
      <c r="F199" s="13" t="n">
        <v>1</v>
      </c>
      <c r="G199" s="13" t="n">
        <v>1</v>
      </c>
      <c r="H199" s="8" t="n">
        <v>78.61</v>
      </c>
      <c r="I199" s="8">
        <f>G199*H199</f>
        <v/>
      </c>
      <c r="J199" s="8">
        <f>H199/E199</f>
        <v/>
      </c>
      <c r="K199" s="8" t="n">
        <v>72.55</v>
      </c>
      <c r="L199" s="8" t="n">
        <v>71.25</v>
      </c>
      <c r="M199" s="14">
        <f>J199/K199-1</f>
        <v/>
      </c>
      <c r="N199" s="7" t="inlineStr">
        <is>
          <t>ACIMA +8.4%</t>
        </is>
      </c>
      <c r="O199" s="7" t="inlineStr"/>
    </row>
    <row r="200">
      <c r="A200" s="7" t="n">
        <v>531661</v>
      </c>
      <c r="B200" s="7" t="inlineStr">
        <is>
          <t>153</t>
        </is>
      </c>
      <c r="C200" s="12" t="inlineStr">
        <is>
          <t>7898031310709</t>
        </is>
      </c>
      <c r="D200" s="7" t="inlineStr">
        <is>
          <t>PASTA D AGUA 100G</t>
        </is>
      </c>
      <c r="E200" s="13" t="n">
        <v>1</v>
      </c>
      <c r="F200" s="13" t="n">
        <v>12</v>
      </c>
      <c r="G200" s="13" t="n">
        <v>12</v>
      </c>
      <c r="H200" s="8" t="n">
        <v>6.28</v>
      </c>
      <c r="I200" s="8">
        <f>G200*H200</f>
        <v/>
      </c>
      <c r="J200" s="8">
        <f>H200/E200</f>
        <v/>
      </c>
      <c r="K200" s="8" t="n">
        <v>6.28</v>
      </c>
      <c r="L200" s="8" t="n">
        <v>6.13</v>
      </c>
      <c r="M200" s="14">
        <f>J200/K200-1</f>
        <v/>
      </c>
      <c r="N200" s="7" t="inlineStr">
        <is>
          <t>OK (≤ últ. compra)</t>
        </is>
      </c>
      <c r="O200" s="7" t="inlineStr"/>
    </row>
    <row r="201">
      <c r="A201" s="7" t="n">
        <v>4063</v>
      </c>
      <c r="B201" s="7" t="inlineStr">
        <is>
          <t>7284</t>
        </is>
      </c>
      <c r="C201" s="12" t="inlineStr">
        <is>
          <t>7898031311102</t>
        </is>
      </c>
      <c r="D201" s="7" t="inlineStr">
        <is>
          <t>PASTA DAGUA SIMPLES 90G BISNAGA</t>
        </is>
      </c>
      <c r="E201" s="13" t="n">
        <v>1</v>
      </c>
      <c r="F201" s="13" t="n">
        <v>3</v>
      </c>
      <c r="G201" s="13" t="n">
        <v>3</v>
      </c>
      <c r="H201" s="8" t="n">
        <v>7.74</v>
      </c>
      <c r="I201" s="8">
        <f>G201*H201</f>
        <v/>
      </c>
      <c r="J201" s="8">
        <f>H201/E201</f>
        <v/>
      </c>
      <c r="K201" s="8" t="n">
        <v>7.74</v>
      </c>
      <c r="L201" s="8" t="n">
        <v>7.57</v>
      </c>
      <c r="M201" s="14">
        <f>J201/K201-1</f>
        <v/>
      </c>
      <c r="N201" s="7" t="inlineStr">
        <is>
          <t>OK (≤ últ. compra)</t>
        </is>
      </c>
      <c r="O201" s="7" t="inlineStr"/>
    </row>
    <row r="202">
      <c r="A202" s="7" t="n">
        <v>662241</v>
      </c>
      <c r="B202" s="7" t="inlineStr">
        <is>
          <t>6841</t>
        </is>
      </c>
      <c r="C202" s="12" t="inlineStr">
        <is>
          <t>7898719041048</t>
        </is>
      </c>
      <c r="D202" s="7" t="inlineStr">
        <is>
          <t>PEDRA HUME 35ML SPRAY</t>
        </is>
      </c>
      <c r="E202" s="13" t="n">
        <v>1</v>
      </c>
      <c r="F202" s="13" t="n">
        <v>2</v>
      </c>
      <c r="G202" s="13" t="n">
        <v>2</v>
      </c>
      <c r="H202" s="8" t="n">
        <v>6.59</v>
      </c>
      <c r="I202" s="8">
        <f>G202*H202</f>
        <v/>
      </c>
      <c r="J202" s="8">
        <f>H202/E202</f>
        <v/>
      </c>
      <c r="K202" s="8" t="n">
        <v>6.59</v>
      </c>
      <c r="L202" s="8" t="n">
        <v>6.59</v>
      </c>
      <c r="M202" s="14">
        <f>J202/K202-1</f>
        <v/>
      </c>
      <c r="N202" s="7" t="inlineStr">
        <is>
          <t>OK (≤ menor hist.)</t>
        </is>
      </c>
      <c r="O202" s="7" t="inlineStr"/>
    </row>
    <row r="203">
      <c r="A203" s="7" t="n">
        <v>639911</v>
      </c>
      <c r="B203" s="7" t="inlineStr">
        <is>
          <t>8454</t>
        </is>
      </c>
      <c r="C203" s="12" t="inlineStr">
        <is>
          <t>7898953484410</t>
        </is>
      </c>
      <c r="D203" s="7" t="inlineStr">
        <is>
          <t>PENTE FINO TIRA PIOLHO 1 UN ROSA</t>
        </is>
      </c>
      <c r="E203" s="13" t="n">
        <v>1</v>
      </c>
      <c r="F203" s="13" t="n">
        <v>5</v>
      </c>
      <c r="G203" s="13" t="n">
        <v>5</v>
      </c>
      <c r="H203" s="8" t="n">
        <v>11.84</v>
      </c>
      <c r="I203" s="8">
        <f>G203*H203</f>
        <v/>
      </c>
      <c r="J203" s="8">
        <f>H203/E203</f>
        <v/>
      </c>
      <c r="K203" s="8" t="n">
        <v>11.84</v>
      </c>
      <c r="L203" s="8" t="n">
        <v>11.84</v>
      </c>
      <c r="M203" s="14">
        <f>J203/K203-1</f>
        <v/>
      </c>
      <c r="N203" s="7" t="inlineStr">
        <is>
          <t>OK (≤ menor hist.)</t>
        </is>
      </c>
      <c r="O203" s="7" t="inlineStr"/>
    </row>
    <row r="204">
      <c r="A204" s="7" t="n">
        <v>3563</v>
      </c>
      <c r="B204" s="7" t="inlineStr">
        <is>
          <t>6735</t>
        </is>
      </c>
      <c r="C204" s="12" t="inlineStr">
        <is>
          <t>7898719040539</t>
        </is>
      </c>
      <c r="D204" s="7" t="inlineStr">
        <is>
          <t>PERIOASSEPT 250ML MENTA COM ALCOOL</t>
        </is>
      </c>
      <c r="E204" s="13" t="n">
        <v>1</v>
      </c>
      <c r="F204" s="13" t="n">
        <v>1</v>
      </c>
      <c r="G204" s="13" t="n">
        <v>1</v>
      </c>
      <c r="H204" s="8" t="n">
        <v>12.95</v>
      </c>
      <c r="I204" s="8">
        <f>G204*H204</f>
        <v/>
      </c>
      <c r="J204" s="8">
        <f>H204/E204</f>
        <v/>
      </c>
      <c r="K204" s="8" t="n">
        <v>11.99</v>
      </c>
      <c r="L204" s="8" t="n">
        <v>11.99</v>
      </c>
      <c r="M204" s="14">
        <f>J204/K204-1</f>
        <v/>
      </c>
      <c r="N204" s="7" t="inlineStr">
        <is>
          <t>ACIMA +8.0%</t>
        </is>
      </c>
      <c r="O204" s="7" t="inlineStr"/>
    </row>
    <row r="205">
      <c r="A205" s="7" t="n">
        <v>547801</v>
      </c>
      <c r="B205" s="7" t="inlineStr">
        <is>
          <t>3806</t>
        </is>
      </c>
      <c r="C205" s="12" t="inlineStr">
        <is>
          <t>7899620913059</t>
        </is>
      </c>
      <c r="D205" s="7" t="inlineStr">
        <is>
          <t>PERIODENT SOLUCAO BUCAL 250 ML</t>
        </is>
      </c>
      <c r="E205" s="13" t="n">
        <v>1</v>
      </c>
      <c r="F205" s="13" t="n">
        <v>2</v>
      </c>
      <c r="G205" s="13" t="n">
        <v>2</v>
      </c>
      <c r="H205" s="8" t="n">
        <v>10.79</v>
      </c>
      <c r="I205" s="8">
        <f>G205*H205</f>
        <v/>
      </c>
      <c r="J205" s="8">
        <f>H205/E205</f>
        <v/>
      </c>
      <c r="K205" s="8" t="n">
        <v>10.79</v>
      </c>
      <c r="L205" s="8" t="n">
        <v>10.79</v>
      </c>
      <c r="M205" s="14">
        <f>J205/K205-1</f>
        <v/>
      </c>
      <c r="N205" s="7" t="inlineStr">
        <is>
          <t>OK (≤ menor hist.)</t>
        </is>
      </c>
      <c r="O205" s="7" t="inlineStr"/>
    </row>
    <row r="206">
      <c r="A206" s="7" t="n">
        <v>565861</v>
      </c>
      <c r="B206" s="7" t="inlineStr">
        <is>
          <t>7371</t>
        </is>
      </c>
      <c r="C206" s="12" t="inlineStr">
        <is>
          <t>7898100244669</t>
        </is>
      </c>
      <c r="D206" s="7" t="inlineStr">
        <is>
          <t>PHITOSS KIDS 7MG/ML XPE 100ML</t>
        </is>
      </c>
      <c r="E206" s="13" t="n">
        <v>1</v>
      </c>
      <c r="F206" s="13" t="n">
        <v>1</v>
      </c>
      <c r="G206" s="13" t="n">
        <v>1</v>
      </c>
      <c r="H206" s="8" t="n">
        <v>6.96</v>
      </c>
      <c r="I206" s="8">
        <f>G206*H206</f>
        <v/>
      </c>
      <c r="J206" s="8">
        <f>H206/E206</f>
        <v/>
      </c>
      <c r="K206" s="8" t="n">
        <v>5.66</v>
      </c>
      <c r="L206" s="8" t="n">
        <v>5.66</v>
      </c>
      <c r="M206" s="14">
        <f>J206/K206-1</f>
        <v/>
      </c>
      <c r="N206" s="7" t="inlineStr">
        <is>
          <t>ACIMA +23.0%</t>
        </is>
      </c>
      <c r="O206" s="7" t="inlineStr"/>
    </row>
    <row r="207">
      <c r="A207" s="7" t="n">
        <v>5703</v>
      </c>
      <c r="B207" s="7" t="inlineStr">
        <is>
          <t>9657</t>
        </is>
      </c>
      <c r="C207" s="12" t="inlineStr">
        <is>
          <t>609963917563</t>
        </is>
      </c>
      <c r="D207" s="7" t="inlineStr">
        <is>
          <t>POLIVITAMINICO AZ C/60 CPS</t>
        </is>
      </c>
      <c r="E207" s="13" t="n">
        <v>1</v>
      </c>
      <c r="F207" s="13" t="n">
        <v>1</v>
      </c>
      <c r="G207" s="13" t="n">
        <v>1</v>
      </c>
      <c r="H207" s="8" t="n">
        <v>12.62</v>
      </c>
      <c r="I207" s="8">
        <f>G207*H207</f>
        <v/>
      </c>
      <c r="J207" s="8">
        <f>H207/E207</f>
        <v/>
      </c>
      <c r="K207" s="8" t="n"/>
      <c r="L207" s="8" t="n"/>
      <c r="M207" s="14" t="n"/>
      <c r="N207" s="7" t="inlineStr">
        <is>
          <t>SEM HISTÓRICO</t>
        </is>
      </c>
      <c r="O207" s="7" t="inlineStr"/>
    </row>
    <row r="208">
      <c r="A208" s="7" t="n">
        <v>588931</v>
      </c>
      <c r="B208" s="7" t="inlineStr">
        <is>
          <t>1212</t>
        </is>
      </c>
      <c r="C208" s="12" t="inlineStr">
        <is>
          <t>7897146600583</t>
        </is>
      </c>
      <c r="D208" s="7" t="inlineStr">
        <is>
          <t>PRANFIGALDO 10ML ABACAXI UN (FLACONETE)</t>
        </is>
      </c>
      <c r="E208" s="13" t="n">
        <v>60</v>
      </c>
      <c r="F208" s="13" t="n">
        <v>2</v>
      </c>
      <c r="G208" s="13" t="n">
        <v>1</v>
      </c>
      <c r="H208" s="8" t="n">
        <v>24.29</v>
      </c>
      <c r="I208" s="8">
        <f>G208*H208</f>
        <v/>
      </c>
      <c r="J208" s="8">
        <f>H208/E208</f>
        <v/>
      </c>
      <c r="K208" s="8" t="n">
        <v>0.4048</v>
      </c>
      <c r="L208" s="8" t="n">
        <v>0.4048</v>
      </c>
      <c r="M208" s="14">
        <f>J208/K208-1</f>
        <v/>
      </c>
      <c r="N208" s="7" t="inlineStr">
        <is>
          <t>OK (≤ menor hist.)</t>
        </is>
      </c>
      <c r="O208" s="7" t="inlineStr">
        <is>
          <t>1 emb = 60 un</t>
        </is>
      </c>
    </row>
    <row r="209">
      <c r="A209" s="7" t="n">
        <v>543501</v>
      </c>
      <c r="B209" s="7" t="inlineStr">
        <is>
          <t>794</t>
        </is>
      </c>
      <c r="C209" s="12" t="inlineStr">
        <is>
          <t>7897146600040</t>
        </is>
      </c>
      <c r="D209" s="7" t="inlineStr">
        <is>
          <t>PRANFIGALDO BOLDO 10ML(FLACONETES)</t>
        </is>
      </c>
      <c r="E209" s="13" t="n">
        <v>60</v>
      </c>
      <c r="F209" s="13" t="n">
        <v>4</v>
      </c>
      <c r="G209" s="13" t="n">
        <v>1</v>
      </c>
      <c r="H209" s="8" t="n">
        <v>33.75</v>
      </c>
      <c r="I209" s="8">
        <f>G209*H209</f>
        <v/>
      </c>
      <c r="J209" s="8">
        <f>H209/E209</f>
        <v/>
      </c>
      <c r="K209" s="8" t="n">
        <v>0.5625</v>
      </c>
      <c r="L209" s="8" t="n">
        <v>0.5367</v>
      </c>
      <c r="M209" s="14">
        <f>J209/K209-1</f>
        <v/>
      </c>
      <c r="N209" s="7" t="inlineStr">
        <is>
          <t>OK (≤ últ. compra)</t>
        </is>
      </c>
      <c r="O209" s="7" t="inlineStr">
        <is>
          <t>1 emb = 60 un</t>
        </is>
      </c>
    </row>
    <row r="210">
      <c r="A210" s="7" t="n">
        <v>483381</v>
      </c>
      <c r="B210" s="7" t="inlineStr">
        <is>
          <t>7290</t>
        </is>
      </c>
      <c r="C210" s="12" t="inlineStr">
        <is>
          <t>7899620912144</t>
        </is>
      </c>
      <c r="D210" s="7" t="inlineStr">
        <is>
          <t>PREDNISONA 20MG CX 20 COMP</t>
        </is>
      </c>
      <c r="E210" s="13" t="n">
        <v>1</v>
      </c>
      <c r="F210" s="13" t="n">
        <v>1</v>
      </c>
      <c r="G210" s="13" t="n">
        <v>1</v>
      </c>
      <c r="H210" s="8" t="n">
        <v>7.02</v>
      </c>
      <c r="I210" s="8">
        <f>G210*H210</f>
        <v/>
      </c>
      <c r="J210" s="8">
        <f>H210/E210</f>
        <v/>
      </c>
      <c r="K210" s="8" t="n">
        <v>6.97</v>
      </c>
      <c r="L210" s="8" t="n">
        <v>6.69</v>
      </c>
      <c r="M210" s="14">
        <f>J210/K210-1</f>
        <v/>
      </c>
      <c r="N210" s="7" t="inlineStr">
        <is>
          <t>ACIMA +0.7%</t>
        </is>
      </c>
      <c r="O210" s="7" t="inlineStr"/>
    </row>
    <row r="211">
      <c r="A211" s="7" t="n">
        <v>550201</v>
      </c>
      <c r="B211" s="7" t="inlineStr">
        <is>
          <t>4713</t>
        </is>
      </c>
      <c r="C211" s="12" t="inlineStr">
        <is>
          <t>7898556850254</t>
        </is>
      </c>
      <c r="D211" s="7" t="inlineStr">
        <is>
          <t>PRES RILEX HOT 3UN</t>
        </is>
      </c>
      <c r="E211" s="13" t="n">
        <v>1</v>
      </c>
      <c r="F211" s="13" t="n">
        <v>2</v>
      </c>
      <c r="G211" s="13" t="n">
        <v>2</v>
      </c>
      <c r="H211" s="8" t="n">
        <v>5.3</v>
      </c>
      <c r="I211" s="8">
        <f>G211*H211</f>
        <v/>
      </c>
      <c r="J211" s="8">
        <f>H211/E211</f>
        <v/>
      </c>
      <c r="K211" s="8" t="n">
        <v>5.07</v>
      </c>
      <c r="L211" s="8" t="n">
        <v>4.85</v>
      </c>
      <c r="M211" s="14">
        <f>J211/K211-1</f>
        <v/>
      </c>
      <c r="N211" s="7" t="inlineStr">
        <is>
          <t>ACIMA +4.5%</t>
        </is>
      </c>
      <c r="O211" s="7" t="inlineStr"/>
    </row>
    <row r="212">
      <c r="A212" s="7" t="n">
        <v>550161</v>
      </c>
      <c r="B212" s="7" t="inlineStr">
        <is>
          <t>4711</t>
        </is>
      </c>
      <c r="C212" s="12" t="inlineStr">
        <is>
          <t>7898556850209</t>
        </is>
      </c>
      <c r="D212" s="7" t="inlineStr">
        <is>
          <t>PRES RILEX TEXTURIZADO 3UN</t>
        </is>
      </c>
      <c r="E212" s="13" t="n">
        <v>1</v>
      </c>
      <c r="F212" s="13" t="n">
        <v>1</v>
      </c>
      <c r="G212" s="13" t="n">
        <v>1</v>
      </c>
      <c r="H212" s="8" t="n">
        <v>4.73</v>
      </c>
      <c r="I212" s="8">
        <f>G212*H212</f>
        <v/>
      </c>
      <c r="J212" s="8">
        <f>H212/E212</f>
        <v/>
      </c>
      <c r="K212" s="8" t="n">
        <v>4.56</v>
      </c>
      <c r="L212" s="8" t="n">
        <v>4.55</v>
      </c>
      <c r="M212" s="14">
        <f>J212/K212-1</f>
        <v/>
      </c>
      <c r="N212" s="7" t="inlineStr">
        <is>
          <t>ACIMA +3.7%</t>
        </is>
      </c>
      <c r="O212" s="7" t="inlineStr"/>
    </row>
    <row r="213">
      <c r="A213" s="7" t="n">
        <v>584461</v>
      </c>
      <c r="B213" s="7" t="inlineStr">
        <is>
          <t>5736</t>
        </is>
      </c>
      <c r="C213" s="12" t="inlineStr">
        <is>
          <t>7898556850452</t>
        </is>
      </c>
      <c r="D213" s="7" t="inlineStr">
        <is>
          <t>PRESERVATIVO RILEX LEITE CONDENSADO 3UN</t>
        </is>
      </c>
      <c r="E213" s="13" t="n">
        <v>1</v>
      </c>
      <c r="F213" s="13" t="n">
        <v>4</v>
      </c>
      <c r="G213" s="13" t="n">
        <v>4</v>
      </c>
      <c r="H213" s="8" t="n">
        <v>2.33</v>
      </c>
      <c r="I213" s="8">
        <f>G213*H213</f>
        <v/>
      </c>
      <c r="J213" s="8">
        <f>H213/E213</f>
        <v/>
      </c>
      <c r="K213" s="8" t="n">
        <v>2.22</v>
      </c>
      <c r="L213" s="8" t="n">
        <v>2.22</v>
      </c>
      <c r="M213" s="14">
        <f>J213/K213-1</f>
        <v/>
      </c>
      <c r="N213" s="7" t="inlineStr">
        <is>
          <t>ACIMA +5.0%</t>
        </is>
      </c>
      <c r="O213" s="7" t="inlineStr"/>
    </row>
    <row r="214">
      <c r="A214" s="7" t="n">
        <v>532801</v>
      </c>
      <c r="B214" s="7" t="inlineStr">
        <is>
          <t>879</t>
        </is>
      </c>
      <c r="C214" s="12" t="inlineStr">
        <is>
          <t>7898903991487</t>
        </is>
      </c>
      <c r="D214" s="7" t="inlineStr">
        <is>
          <t>PRESERVATIVO RILEX LUBRIFICADO C/3</t>
        </is>
      </c>
      <c r="E214" s="13" t="n">
        <v>1</v>
      </c>
      <c r="F214" s="13" t="n">
        <v>3</v>
      </c>
      <c r="G214" s="13" t="n">
        <v>3</v>
      </c>
      <c r="H214" s="8" t="n">
        <v>2.17</v>
      </c>
      <c r="I214" s="8">
        <f>G214*H214</f>
        <v/>
      </c>
      <c r="J214" s="8">
        <f>H214/E214</f>
        <v/>
      </c>
      <c r="K214" s="8" t="n">
        <v>2.11</v>
      </c>
      <c r="L214" s="8" t="n">
        <v>2.09</v>
      </c>
      <c r="M214" s="14">
        <f>J214/K214-1</f>
        <v/>
      </c>
      <c r="N214" s="7" t="inlineStr">
        <is>
          <t>ACIMA +2.8%</t>
        </is>
      </c>
      <c r="O214" s="7" t="inlineStr"/>
    </row>
    <row r="215">
      <c r="A215" s="7" t="n">
        <v>532821</v>
      </c>
      <c r="B215" s="7" t="inlineStr">
        <is>
          <t>882</t>
        </is>
      </c>
      <c r="C215" s="12" t="inlineStr">
        <is>
          <t>7898903991517</t>
        </is>
      </c>
      <c r="D215" s="7" t="inlineStr">
        <is>
          <t>PRESERVATIVO RILEX MORANGO C/3</t>
        </is>
      </c>
      <c r="E215" s="13" t="n">
        <v>1</v>
      </c>
      <c r="F215" s="13" t="n">
        <v>1</v>
      </c>
      <c r="G215" s="13" t="n">
        <v>1</v>
      </c>
      <c r="H215" s="8" t="n">
        <v>2.21</v>
      </c>
      <c r="I215" s="8">
        <f>G215*H215</f>
        <v/>
      </c>
      <c r="J215" s="8">
        <f>H215/E215</f>
        <v/>
      </c>
      <c r="K215" s="8" t="n">
        <v>2.14</v>
      </c>
      <c r="L215" s="8" t="n">
        <v>2.13</v>
      </c>
      <c r="M215" s="14">
        <f>J215/K215-1</f>
        <v/>
      </c>
      <c r="N215" s="7" t="inlineStr">
        <is>
          <t>ACIMA +3.3%</t>
        </is>
      </c>
      <c r="O215" s="7" t="inlineStr"/>
    </row>
    <row r="216">
      <c r="A216" s="7" t="n">
        <v>532781</v>
      </c>
      <c r="B216" s="7" t="inlineStr">
        <is>
          <t>877</t>
        </is>
      </c>
      <c r="C216" s="12" t="inlineStr">
        <is>
          <t>7898556850193</t>
        </is>
      </c>
      <c r="D216" s="7" t="inlineStr">
        <is>
          <t>PRESERVATIVO RILEX SENSITIVE C/3</t>
        </is>
      </c>
      <c r="E216" s="13" t="n">
        <v>1</v>
      </c>
      <c r="F216" s="13" t="n">
        <v>5</v>
      </c>
      <c r="G216" s="13" t="n">
        <v>5</v>
      </c>
      <c r="H216" s="8" t="n">
        <v>4.55</v>
      </c>
      <c r="I216" s="8">
        <f>G216*H216</f>
        <v/>
      </c>
      <c r="J216" s="8">
        <f>H216/E216</f>
        <v/>
      </c>
      <c r="K216" s="8" t="n">
        <v>4.38</v>
      </c>
      <c r="L216" s="8" t="n">
        <v>4.37</v>
      </c>
      <c r="M216" s="14">
        <f>J216/K216-1</f>
        <v/>
      </c>
      <c r="N216" s="7" t="inlineStr">
        <is>
          <t>ACIMA +3.9%</t>
        </is>
      </c>
      <c r="O216" s="7" t="inlineStr"/>
    </row>
    <row r="217">
      <c r="A217" s="7" t="n">
        <v>201921</v>
      </c>
      <c r="B217" s="7" t="inlineStr">
        <is>
          <t>1567</t>
        </is>
      </c>
      <c r="C217" s="12" t="inlineStr">
        <is>
          <t>7896472500253</t>
        </is>
      </c>
      <c r="D217" s="7" t="inlineStr">
        <is>
          <t>PV - DELTALAB 0,2MG LOCAO FR 100ML</t>
        </is>
      </c>
      <c r="E217" s="13" t="n">
        <v>1</v>
      </c>
      <c r="F217" s="13" t="n">
        <v>1</v>
      </c>
      <c r="G217" s="13" t="n">
        <v>1</v>
      </c>
      <c r="H217" s="8" t="n">
        <v>6.88</v>
      </c>
      <c r="I217" s="8">
        <f>G217*H217</f>
        <v/>
      </c>
      <c r="J217" s="8">
        <f>H217/E217</f>
        <v/>
      </c>
      <c r="K217" s="8" t="n">
        <v>5.6</v>
      </c>
      <c r="L217" s="8" t="n">
        <v>5.6</v>
      </c>
      <c r="M217" s="14">
        <f>J217/K217-1</f>
        <v/>
      </c>
      <c r="N217" s="7" t="inlineStr">
        <is>
          <t>ACIMA +22.9%</t>
        </is>
      </c>
      <c r="O217" s="7" t="inlineStr"/>
    </row>
    <row r="218">
      <c r="A218" s="7" t="n">
        <v>68841</v>
      </c>
      <c r="B218" s="7" t="inlineStr">
        <is>
          <t>4578</t>
        </is>
      </c>
      <c r="C218" s="12" t="inlineStr">
        <is>
          <t>7896004765709</t>
        </is>
      </c>
      <c r="D218" s="7" t="inlineStr">
        <is>
          <t>PV - INALIDE 64MPV - CG SUS SPR NAS FR 120 ACION</t>
        </is>
      </c>
      <c r="E218" s="13" t="n">
        <v>1</v>
      </c>
      <c r="F218" s="13" t="n">
        <v>2</v>
      </c>
      <c r="G218" s="13" t="n">
        <v>2</v>
      </c>
      <c r="H218" s="8" t="n">
        <v>20.33</v>
      </c>
      <c r="I218" s="8">
        <f>G218*H218</f>
        <v/>
      </c>
      <c r="J218" s="8">
        <f>H218/E218</f>
        <v/>
      </c>
      <c r="K218" s="8" t="n">
        <v>23.98</v>
      </c>
      <c r="L218" s="8" t="n">
        <v>23.98</v>
      </c>
      <c r="M218" s="14">
        <f>J218/K218-1</f>
        <v/>
      </c>
      <c r="N218" s="7" t="inlineStr">
        <is>
          <t>OK (≤ menor hist.)</t>
        </is>
      </c>
      <c r="O218" s="7" t="inlineStr"/>
    </row>
    <row r="219">
      <c r="A219" s="7" t="n">
        <v>660341</v>
      </c>
      <c r="B219" s="7" t="inlineStr">
        <is>
          <t>10727</t>
        </is>
      </c>
      <c r="C219" s="12" t="inlineStr">
        <is>
          <t>7891058005658</t>
        </is>
      </c>
      <c r="D219" s="7" t="inlineStr">
        <is>
          <t>PV - PREDNISONA 5MG CX 20 COMP</t>
        </is>
      </c>
      <c r="E219" s="13" t="n">
        <v>1</v>
      </c>
      <c r="F219" s="13" t="n">
        <v>13</v>
      </c>
      <c r="G219" s="13" t="n">
        <v>13</v>
      </c>
      <c r="H219" s="8" t="n">
        <v>4.14</v>
      </c>
      <c r="I219" s="8">
        <f>G219*H219</f>
        <v/>
      </c>
      <c r="J219" s="8">
        <f>H219/E219</f>
        <v/>
      </c>
      <c r="K219" s="8" t="n">
        <v>3.468</v>
      </c>
      <c r="L219" s="8" t="n">
        <v>2.967</v>
      </c>
      <c r="M219" s="14">
        <f>J219/K219-1</f>
        <v/>
      </c>
      <c r="N219" s="7" t="inlineStr">
        <is>
          <t>ACIMA +19.4%</t>
        </is>
      </c>
      <c r="O219" s="7" t="inlineStr"/>
    </row>
    <row r="220">
      <c r="A220" s="7" t="n">
        <v>1353</v>
      </c>
      <c r="B220" s="7" t="inlineStr">
        <is>
          <t>8774</t>
        </is>
      </c>
      <c r="C220" s="12" t="inlineStr">
        <is>
          <t>7898714761477</t>
        </is>
      </c>
      <c r="D220" s="7" t="inlineStr">
        <is>
          <t>PV K2+D3 CAPS REV X 30</t>
        </is>
      </c>
      <c r="E220" s="13" t="n">
        <v>1</v>
      </c>
      <c r="F220" s="13" t="n">
        <v>1</v>
      </c>
      <c r="G220" s="13" t="n">
        <v>1</v>
      </c>
      <c r="H220" s="8" t="n">
        <v>20.61</v>
      </c>
      <c r="I220" s="8">
        <f>G220*H220</f>
        <v/>
      </c>
      <c r="J220" s="8">
        <f>H220/E220</f>
        <v/>
      </c>
      <c r="K220" s="8" t="n">
        <v>41.8867</v>
      </c>
      <c r="L220" s="8" t="n">
        <v>41.8867</v>
      </c>
      <c r="M220" s="14">
        <f>J220/K220-1</f>
        <v/>
      </c>
      <c r="N220" s="7" t="inlineStr">
        <is>
          <t>OK (≤ menor hist.)</t>
        </is>
      </c>
      <c r="O220" s="7" t="inlineStr">
        <is>
          <t>conferir emb.</t>
        </is>
      </c>
    </row>
    <row r="221">
      <c r="A221" s="7" t="n">
        <v>622411</v>
      </c>
      <c r="B221" s="7" t="inlineStr">
        <is>
          <t>7803</t>
        </is>
      </c>
      <c r="C221" s="12" t="inlineStr">
        <is>
          <t>7898582291854</t>
        </is>
      </c>
      <c r="D221" s="7" t="inlineStr">
        <is>
          <t>QUEIMADOL POMADA 30G</t>
        </is>
      </c>
      <c r="E221" s="13" t="n">
        <v>1</v>
      </c>
      <c r="F221" s="13" t="n">
        <v>3</v>
      </c>
      <c r="G221" s="13" t="n">
        <v>3</v>
      </c>
      <c r="H221" s="8" t="n">
        <v>12.34</v>
      </c>
      <c r="I221" s="8">
        <f>G221*H221</f>
        <v/>
      </c>
      <c r="J221" s="8">
        <f>H221/E221</f>
        <v/>
      </c>
      <c r="K221" s="8" t="n">
        <v>11.52</v>
      </c>
      <c r="L221" s="8" t="n">
        <v>11.52</v>
      </c>
      <c r="M221" s="14">
        <f>J221/K221-1</f>
        <v/>
      </c>
      <c r="N221" s="7" t="inlineStr">
        <is>
          <t>ACIMA +7.1%</t>
        </is>
      </c>
      <c r="O221" s="7" t="inlineStr"/>
    </row>
    <row r="222">
      <c r="A222" s="7" t="n">
        <v>5603</v>
      </c>
      <c r="B222" s="7" t="inlineStr">
        <is>
          <t>9721</t>
        </is>
      </c>
      <c r="C222" s="12" t="inlineStr">
        <is>
          <t>7898767761684</t>
        </is>
      </c>
      <c r="D222" s="7" t="inlineStr">
        <is>
          <t>REHIDRAX PO C/04 ENVE AGUA DE COCO</t>
        </is>
      </c>
      <c r="E222" s="13" t="n">
        <v>1</v>
      </c>
      <c r="F222" s="13" t="n">
        <v>1</v>
      </c>
      <c r="G222" s="13" t="n">
        <v>1</v>
      </c>
      <c r="H222" s="8" t="n">
        <v>8.76</v>
      </c>
      <c r="I222" s="8">
        <f>G222*H222</f>
        <v/>
      </c>
      <c r="J222" s="8">
        <f>H222/E222</f>
        <v/>
      </c>
      <c r="K222" s="8" t="n">
        <v>8.07</v>
      </c>
      <c r="L222" s="8" t="n">
        <v>8.07</v>
      </c>
      <c r="M222" s="14">
        <f>J222/K222-1</f>
        <v/>
      </c>
      <c r="N222" s="7" t="inlineStr">
        <is>
          <t>ACIMA +8.6%</t>
        </is>
      </c>
      <c r="O222" s="7" t="inlineStr"/>
    </row>
    <row r="223">
      <c r="A223" s="7" t="n">
        <v>5903</v>
      </c>
      <c r="B223" s="7" t="inlineStr">
        <is>
          <t>9719</t>
        </is>
      </c>
      <c r="C223" s="12" t="inlineStr">
        <is>
          <t>7898767761707</t>
        </is>
      </c>
      <c r="D223" s="7" t="inlineStr">
        <is>
          <t>REHIDRAX PO C/04 ENVE LARANJA</t>
        </is>
      </c>
      <c r="E223" s="13" t="n">
        <v>1</v>
      </c>
      <c r="F223" s="13" t="n">
        <v>1</v>
      </c>
      <c r="G223" s="13" t="n">
        <v>1</v>
      </c>
      <c r="H223" s="8" t="n">
        <v>8.76</v>
      </c>
      <c r="I223" s="8">
        <f>G223*H223</f>
        <v/>
      </c>
      <c r="J223" s="8">
        <f>H223/E223</f>
        <v/>
      </c>
      <c r="K223" s="8" t="n">
        <v>8.07</v>
      </c>
      <c r="L223" s="8" t="n">
        <v>8.07</v>
      </c>
      <c r="M223" s="14">
        <f>J223/K223-1</f>
        <v/>
      </c>
      <c r="N223" s="7" t="inlineStr">
        <is>
          <t>ACIMA +8.6%</t>
        </is>
      </c>
      <c r="O223" s="7" t="inlineStr"/>
    </row>
    <row r="224">
      <c r="A224" s="7" t="n">
        <v>4701</v>
      </c>
      <c r="B224" s="7" t="inlineStr">
        <is>
          <t>1702</t>
        </is>
      </c>
      <c r="C224" s="12" t="inlineStr">
        <is>
          <t>7896004703954</t>
        </is>
      </c>
      <c r="D224" s="7" t="inlineStr">
        <is>
          <t>REPOPIL 35 2+0,035MG CX 21 COMP REV</t>
        </is>
      </c>
      <c r="E224" s="13" t="n">
        <v>1</v>
      </c>
      <c r="F224" s="13" t="n">
        <v>8</v>
      </c>
      <c r="G224" s="13" t="n">
        <v>8</v>
      </c>
      <c r="H224" s="8" t="n">
        <v>9.41</v>
      </c>
      <c r="I224" s="8">
        <f>G224*H224</f>
        <v/>
      </c>
      <c r="J224" s="8">
        <f>H224/E224</f>
        <v/>
      </c>
      <c r="K224" s="8" t="n">
        <v>8.869999999999999</v>
      </c>
      <c r="L224" s="8" t="n">
        <v>8.869999999999999</v>
      </c>
      <c r="M224" s="14">
        <f>J224/K224-1</f>
        <v/>
      </c>
      <c r="N224" s="7" t="inlineStr">
        <is>
          <t>ACIMA +6.1%</t>
        </is>
      </c>
      <c r="O224" s="7" t="inlineStr"/>
    </row>
    <row r="225">
      <c r="A225" s="7" t="n">
        <v>419001</v>
      </c>
      <c r="B225" s="7" t="inlineStr">
        <is>
          <t>4865</t>
        </is>
      </c>
      <c r="C225" s="12" t="inlineStr">
        <is>
          <t>7898569763916</t>
        </is>
      </c>
      <c r="D225" s="7" t="inlineStr">
        <is>
          <t>RISEDRONATO SODICO 150MG CX 1 COMP REV</t>
        </is>
      </c>
      <c r="E225" s="13" t="n">
        <v>1</v>
      </c>
      <c r="F225" s="13" t="n">
        <v>1</v>
      </c>
      <c r="G225" s="13" t="n">
        <v>1</v>
      </c>
      <c r="H225" s="8" t="n">
        <v>9.99</v>
      </c>
      <c r="I225" s="8">
        <f>G225*H225</f>
        <v/>
      </c>
      <c r="J225" s="8">
        <f>H225/E225</f>
        <v/>
      </c>
      <c r="K225" s="8" t="n">
        <v>18.43</v>
      </c>
      <c r="L225" s="8" t="n">
        <v>13.5</v>
      </c>
      <c r="M225" s="14">
        <f>J225/K225-1</f>
        <v/>
      </c>
      <c r="N225" s="7" t="inlineStr">
        <is>
          <t>OK (≤ menor hist.)</t>
        </is>
      </c>
      <c r="O225" s="7" t="inlineStr"/>
    </row>
    <row r="226">
      <c r="A226" s="7" t="n">
        <v>667251</v>
      </c>
      <c r="B226" s="7" t="inlineStr">
        <is>
          <t>8084</t>
        </is>
      </c>
      <c r="C226" s="12" t="inlineStr">
        <is>
          <t>7898216366088</t>
        </is>
      </c>
      <c r="D226" s="7" t="inlineStr">
        <is>
          <t>ROSUVASTATINA CALCICA 5MG CX 30 COMP REV</t>
        </is>
      </c>
      <c r="E226" s="13" t="n">
        <v>1</v>
      </c>
      <c r="F226" s="13" t="n">
        <v>2</v>
      </c>
      <c r="G226" s="13" t="n">
        <v>2</v>
      </c>
      <c r="H226" s="8" t="n">
        <v>6.13</v>
      </c>
      <c r="I226" s="8">
        <f>G226*H226</f>
        <v/>
      </c>
      <c r="J226" s="8">
        <f>H226/E226</f>
        <v/>
      </c>
      <c r="K226" s="8" t="n">
        <v>5.9</v>
      </c>
      <c r="L226" s="8" t="n">
        <v>5.9</v>
      </c>
      <c r="M226" s="14">
        <f>J226/K226-1</f>
        <v/>
      </c>
      <c r="N226" s="7" t="inlineStr">
        <is>
          <t>ACIMA +3.9%</t>
        </is>
      </c>
      <c r="O226" s="7" t="inlineStr"/>
    </row>
    <row r="227">
      <c r="A227" s="7" t="n">
        <v>234</v>
      </c>
      <c r="B227" s="7" t="inlineStr">
        <is>
          <t>528</t>
        </is>
      </c>
      <c r="C227" s="12" t="inlineStr">
        <is>
          <t>7898277711421</t>
        </is>
      </c>
      <c r="D227" s="7" t="inlineStr">
        <is>
          <t>SAB DE COCO BARRA 100G</t>
        </is>
      </c>
      <c r="E227" s="13" t="n">
        <v>1</v>
      </c>
      <c r="F227" s="13" t="n">
        <v>1</v>
      </c>
      <c r="G227" s="13" t="n">
        <v>1</v>
      </c>
      <c r="H227" s="8" t="n">
        <v>5.74</v>
      </c>
      <c r="I227" s="8">
        <f>G227*H227</f>
        <v/>
      </c>
      <c r="J227" s="8">
        <f>H227/E227</f>
        <v/>
      </c>
      <c r="K227" s="8" t="n"/>
      <c r="L227" s="8" t="n"/>
      <c r="M227" s="14" t="n"/>
      <c r="N227" s="7" t="inlineStr">
        <is>
          <t>SEM HISTÓRICO</t>
        </is>
      </c>
      <c r="O227" s="7" t="inlineStr"/>
    </row>
    <row r="228">
      <c r="A228" s="7" t="n">
        <v>674361</v>
      </c>
      <c r="B228" s="7" t="inlineStr">
        <is>
          <t>7213</t>
        </is>
      </c>
      <c r="C228" s="12" t="inlineStr">
        <is>
          <t>7898936049049</t>
        </is>
      </c>
      <c r="D228" s="7" t="inlineStr">
        <is>
          <t>SABONETE INTIMO 17 ERVAS 210ML</t>
        </is>
      </c>
      <c r="E228" s="13" t="n">
        <v>1</v>
      </c>
      <c r="F228" s="13" t="n">
        <v>7</v>
      </c>
      <c r="G228" s="13" t="n">
        <v>7</v>
      </c>
      <c r="H228" s="8" t="n">
        <v>3.33</v>
      </c>
      <c r="I228" s="8">
        <f>G228*H228</f>
        <v/>
      </c>
      <c r="J228" s="8">
        <f>H228/E228</f>
        <v/>
      </c>
      <c r="K228" s="8" t="n">
        <v>3.35</v>
      </c>
      <c r="L228" s="8" t="n">
        <v>3.35</v>
      </c>
      <c r="M228" s="14">
        <f>J228/K228-1</f>
        <v/>
      </c>
      <c r="N228" s="7" t="inlineStr">
        <is>
          <t>OK (≤ menor hist.)</t>
        </is>
      </c>
      <c r="O228" s="7" t="inlineStr"/>
    </row>
    <row r="229">
      <c r="A229" s="7" t="n">
        <v>1503</v>
      </c>
      <c r="B229" s="7" t="inlineStr">
        <is>
          <t>7206</t>
        </is>
      </c>
      <c r="C229" s="12" t="inlineStr">
        <is>
          <t>7898936049735</t>
        </is>
      </c>
      <c r="D229" s="7" t="inlineStr">
        <is>
          <t>SABONETE INTIMO BARBATIMAO AROEIRA 210ML</t>
        </is>
      </c>
      <c r="E229" s="13" t="n">
        <v>1</v>
      </c>
      <c r="F229" s="13" t="n">
        <v>3</v>
      </c>
      <c r="G229" s="13" t="n">
        <v>3</v>
      </c>
      <c r="H229" s="8" t="n">
        <v>3.36</v>
      </c>
      <c r="I229" s="8">
        <f>G229*H229</f>
        <v/>
      </c>
      <c r="J229" s="8">
        <f>H229/E229</f>
        <v/>
      </c>
      <c r="K229" s="8" t="n">
        <v>3.38</v>
      </c>
      <c r="L229" s="8" t="n">
        <v>3.38</v>
      </c>
      <c r="M229" s="14">
        <f>J229/K229-1</f>
        <v/>
      </c>
      <c r="N229" s="7" t="inlineStr">
        <is>
          <t>OK (≤ menor hist.)</t>
        </is>
      </c>
      <c r="O229" s="7" t="inlineStr"/>
    </row>
    <row r="230">
      <c r="A230" s="7" t="n">
        <v>531721</v>
      </c>
      <c r="B230" s="7" t="inlineStr">
        <is>
          <t>157</t>
        </is>
      </c>
      <c r="C230" s="12" t="inlineStr">
        <is>
          <t>7898031311324</t>
        </is>
      </c>
      <c r="D230" s="7" t="inlineStr">
        <is>
          <t>SAL AMARGO 30G</t>
        </is>
      </c>
      <c r="E230" s="13" t="n">
        <v>1</v>
      </c>
      <c r="F230" s="13" t="n">
        <v>5</v>
      </c>
      <c r="G230" s="13" t="n">
        <v>5</v>
      </c>
      <c r="H230" s="8" t="n">
        <v>2.36</v>
      </c>
      <c r="I230" s="8">
        <f>G230*H230</f>
        <v/>
      </c>
      <c r="J230" s="8">
        <f>H230/E230</f>
        <v/>
      </c>
      <c r="K230" s="8" t="n">
        <v>2.49</v>
      </c>
      <c r="L230" s="8" t="n">
        <v>2.23</v>
      </c>
      <c r="M230" s="14">
        <f>J230/K230-1</f>
        <v/>
      </c>
      <c r="N230" s="7" t="inlineStr">
        <is>
          <t>OK (≤ últ. compra)</t>
        </is>
      </c>
      <c r="O230" s="7" t="inlineStr"/>
    </row>
    <row r="231">
      <c r="A231" s="7" t="n">
        <v>431481</v>
      </c>
      <c r="B231" s="7" t="inlineStr">
        <is>
          <t>1502</t>
        </is>
      </c>
      <c r="C231" s="12" t="inlineStr">
        <is>
          <t>7899620911857</t>
        </is>
      </c>
      <c r="D231" s="7" t="inlineStr">
        <is>
          <t>SECNIDAZOL 1000MG CX 2 COMP</t>
        </is>
      </c>
      <c r="E231" s="13" t="n">
        <v>1</v>
      </c>
      <c r="F231" s="13" t="n">
        <v>54</v>
      </c>
      <c r="G231" s="13" t="n">
        <v>54</v>
      </c>
      <c r="H231" s="8" t="n">
        <v>2.67</v>
      </c>
      <c r="I231" s="8">
        <f>G231*H231</f>
        <v/>
      </c>
      <c r="J231" s="8">
        <f>H231/E231</f>
        <v/>
      </c>
      <c r="K231" s="8" t="n">
        <v>2.65</v>
      </c>
      <c r="L231" s="8" t="n">
        <v>2.16</v>
      </c>
      <c r="M231" s="14">
        <f>J231/K231-1</f>
        <v/>
      </c>
      <c r="N231" s="7" t="inlineStr">
        <is>
          <t>ACIMA +0.8%</t>
        </is>
      </c>
      <c r="O231" s="7" t="inlineStr"/>
    </row>
    <row r="232">
      <c r="A232" s="7" t="n">
        <v>432121</v>
      </c>
      <c r="B232" s="7" t="inlineStr">
        <is>
          <t>253</t>
        </is>
      </c>
      <c r="C232" s="12" t="inlineStr">
        <is>
          <t>7898060138220</t>
        </is>
      </c>
      <c r="D232" s="7" t="inlineStr">
        <is>
          <t>SECNIMAX 1000MG CX 2 COMP</t>
        </is>
      </c>
      <c r="E232" s="13" t="n">
        <v>1</v>
      </c>
      <c r="F232" s="13" t="n">
        <v>134</v>
      </c>
      <c r="G232" s="13" t="n">
        <v>134</v>
      </c>
      <c r="H232" s="8" t="n">
        <v>2.61</v>
      </c>
      <c r="I232" s="8">
        <f>G232*H232</f>
        <v/>
      </c>
      <c r="J232" s="8">
        <f>H232/E232</f>
        <v/>
      </c>
      <c r="K232" s="8" t="n">
        <v>2.49</v>
      </c>
      <c r="L232" s="8" t="n">
        <v>2.39</v>
      </c>
      <c r="M232" s="14">
        <f>J232/K232-1</f>
        <v/>
      </c>
      <c r="N232" s="7" t="inlineStr">
        <is>
          <t>ACIMA +4.8%</t>
        </is>
      </c>
      <c r="O232" s="7" t="inlineStr"/>
    </row>
    <row r="233">
      <c r="A233" s="7" t="n">
        <v>671301</v>
      </c>
      <c r="B233" s="7" t="inlineStr">
        <is>
          <t>8808</t>
        </is>
      </c>
      <c r="C233" s="12" t="inlineStr">
        <is>
          <t>7898652375736</t>
        </is>
      </c>
      <c r="D233" s="7" t="inlineStr">
        <is>
          <t>SERINGA 20ML LL AGULHA 0,7X25</t>
        </is>
      </c>
      <c r="E233" s="13" t="n">
        <v>1</v>
      </c>
      <c r="F233" s="13" t="n">
        <v>24</v>
      </c>
      <c r="G233" s="13" t="n">
        <v>24</v>
      </c>
      <c r="H233" s="8" t="n">
        <v>0.89</v>
      </c>
      <c r="I233" s="8">
        <f>G233*H233</f>
        <v/>
      </c>
      <c r="J233" s="8">
        <f>H233/E233</f>
        <v/>
      </c>
      <c r="K233" s="8" t="n">
        <v>0.59</v>
      </c>
      <c r="L233" s="8" t="n">
        <v>0.59</v>
      </c>
      <c r="M233" s="14">
        <f>J233/K233-1</f>
        <v/>
      </c>
      <c r="N233" s="7" t="inlineStr">
        <is>
          <t>ACIMA +50.8%</t>
        </is>
      </c>
      <c r="O233" s="7" t="inlineStr"/>
    </row>
    <row r="234">
      <c r="A234" s="7" t="n">
        <v>639041</v>
      </c>
      <c r="B234" s="7" t="inlineStr">
        <is>
          <t>7222</t>
        </is>
      </c>
      <c r="C234" s="12" t="inlineStr">
        <is>
          <t>7898259496001</t>
        </is>
      </c>
      <c r="D234" s="7" t="inlineStr">
        <is>
          <t>SERINGA 20ML LL AGULHA 0,7X25</t>
        </is>
      </c>
      <c r="E234" s="13" t="n">
        <v>1</v>
      </c>
      <c r="F234" s="13" t="n">
        <v>76</v>
      </c>
      <c r="G234" s="13" t="n">
        <v>76</v>
      </c>
      <c r="H234" s="8" t="n">
        <v>0.57</v>
      </c>
      <c r="I234" s="8">
        <f>G234*H234</f>
        <v/>
      </c>
      <c r="J234" s="8">
        <f>H234/E234</f>
        <v/>
      </c>
      <c r="K234" s="8" t="n">
        <v>0.64</v>
      </c>
      <c r="L234" s="8" t="n">
        <v>0.64</v>
      </c>
      <c r="M234" s="14">
        <f>J234/K234-1</f>
        <v/>
      </c>
      <c r="N234" s="7" t="inlineStr">
        <is>
          <t>OK (≤ menor hist.)</t>
        </is>
      </c>
      <c r="O234" s="7" t="inlineStr"/>
    </row>
    <row r="235">
      <c r="A235" s="7" t="n">
        <v>619851</v>
      </c>
      <c r="B235" s="7" t="inlineStr">
        <is>
          <t>3550</t>
        </is>
      </c>
      <c r="C235" s="12" t="inlineStr">
        <is>
          <t>7899620912441</t>
        </is>
      </c>
      <c r="D235" s="7" t="inlineStr">
        <is>
          <t>SIMETICONA (N.S.) 40MG CX 20 COMP</t>
        </is>
      </c>
      <c r="E235" s="13" t="n">
        <v>1</v>
      </c>
      <c r="F235" s="13" t="n">
        <v>16</v>
      </c>
      <c r="G235" s="13" t="n">
        <v>16</v>
      </c>
      <c r="H235" s="8" t="n">
        <v>2.97</v>
      </c>
      <c r="I235" s="8">
        <f>G235*H235</f>
        <v/>
      </c>
      <c r="J235" s="8">
        <f>H235/E235</f>
        <v/>
      </c>
      <c r="K235" s="8" t="n">
        <v>2.97</v>
      </c>
      <c r="L235" s="8" t="n">
        <v>2.97</v>
      </c>
      <c r="M235" s="14">
        <f>J235/K235-1</f>
        <v/>
      </c>
      <c r="N235" s="7" t="inlineStr">
        <is>
          <t>OK (≤ menor hist.)</t>
        </is>
      </c>
      <c r="O235" s="7" t="inlineStr"/>
    </row>
    <row r="236">
      <c r="A236" s="7" t="n">
        <v>436201</v>
      </c>
      <c r="B236" s="7" t="inlineStr">
        <is>
          <t>3671</t>
        </is>
      </c>
      <c r="C236" s="12" t="inlineStr">
        <is>
          <t>7899620911079</t>
        </is>
      </c>
      <c r="D236" s="7" t="inlineStr">
        <is>
          <t>SINVASTATINA 40MG CX 30 COMP REV</t>
        </is>
      </c>
      <c r="E236" s="13" t="n">
        <v>1</v>
      </c>
      <c r="F236" s="13" t="n">
        <v>3</v>
      </c>
      <c r="G236" s="13" t="n">
        <v>3</v>
      </c>
      <c r="H236" s="8" t="n">
        <v>6.13</v>
      </c>
      <c r="I236" s="8">
        <f>G236*H236</f>
        <v/>
      </c>
      <c r="J236" s="8">
        <f>H236/E236</f>
        <v/>
      </c>
      <c r="K236" s="8" t="n">
        <v>5.79</v>
      </c>
      <c r="L236" s="8" t="n">
        <v>5.79</v>
      </c>
      <c r="M236" s="14">
        <f>J236/K236-1</f>
        <v/>
      </c>
      <c r="N236" s="7" t="inlineStr">
        <is>
          <t>ACIMA +5.9%</t>
        </is>
      </c>
      <c r="O236" s="7" t="inlineStr"/>
    </row>
    <row r="237">
      <c r="A237" s="7" t="n">
        <v>588661</v>
      </c>
      <c r="B237" s="7" t="inlineStr">
        <is>
          <t>7576</t>
        </is>
      </c>
      <c r="C237" s="12" t="inlineStr">
        <is>
          <t>7898031310594</t>
        </is>
      </c>
      <c r="D237" s="7" t="inlineStr">
        <is>
          <t>SOLUCAO FISIOLOGICA 0,9% 250ML UN</t>
        </is>
      </c>
      <c r="E237" s="13" t="n">
        <v>1</v>
      </c>
      <c r="F237" s="13" t="n">
        <v>4</v>
      </c>
      <c r="G237" s="13" t="n">
        <v>4</v>
      </c>
      <c r="H237" s="8" t="n">
        <v>3.585</v>
      </c>
      <c r="I237" s="8">
        <f>G237*H237</f>
        <v/>
      </c>
      <c r="J237" s="8">
        <f>H237/E237</f>
        <v/>
      </c>
      <c r="K237" s="8" t="n">
        <v>3.09</v>
      </c>
      <c r="L237" s="8" t="n">
        <v>3.09</v>
      </c>
      <c r="M237" s="14">
        <f>J237/K237-1</f>
        <v/>
      </c>
      <c r="N237" s="7" t="inlineStr">
        <is>
          <t>ACIMA +16.0%</t>
        </is>
      </c>
      <c r="O237" s="7" t="inlineStr"/>
    </row>
    <row r="238">
      <c r="A238" s="7" t="n">
        <v>614021</v>
      </c>
      <c r="B238" s="7" t="inlineStr">
        <is>
          <t>8240</t>
        </is>
      </c>
      <c r="C238" s="12" t="inlineStr">
        <is>
          <t>7897732608146</t>
        </is>
      </c>
      <c r="D238" s="7" t="inlineStr">
        <is>
          <t>SORALYT 450ML SABOR MORANGO</t>
        </is>
      </c>
      <c r="E238" s="13" t="n">
        <v>1</v>
      </c>
      <c r="F238" s="13" t="n">
        <v>7</v>
      </c>
      <c r="G238" s="13" t="n">
        <v>7</v>
      </c>
      <c r="H238" s="8" t="n">
        <v>6.67</v>
      </c>
      <c r="I238" s="8">
        <f>G238*H238</f>
        <v/>
      </c>
      <c r="J238" s="8">
        <f>H238/E238</f>
        <v/>
      </c>
      <c r="K238" s="8" t="n">
        <v>6.55</v>
      </c>
      <c r="L238" s="8" t="n">
        <v>6.55</v>
      </c>
      <c r="M238" s="14">
        <f>J238/K238-1</f>
        <v/>
      </c>
      <c r="N238" s="7" t="inlineStr">
        <is>
          <t>ACIMA +1.8%</t>
        </is>
      </c>
      <c r="O238" s="7" t="inlineStr"/>
    </row>
    <row r="239">
      <c r="A239" s="7" t="n">
        <v>531861</v>
      </c>
      <c r="B239" s="7" t="inlineStr">
        <is>
          <t>809</t>
        </is>
      </c>
      <c r="C239" s="12" t="inlineStr">
        <is>
          <t>7898031310389</t>
        </is>
      </c>
      <c r="D239" s="7" t="inlineStr">
        <is>
          <t>SORO FISIOLOGICO 9% 100ML</t>
        </is>
      </c>
      <c r="E239" s="13" t="n">
        <v>1</v>
      </c>
      <c r="F239" s="13" t="n">
        <v>103</v>
      </c>
      <c r="G239" s="13" t="n">
        <v>103</v>
      </c>
      <c r="H239" s="8" t="n">
        <v>2.28</v>
      </c>
      <c r="I239" s="8">
        <f>G239*H239</f>
        <v/>
      </c>
      <c r="J239" s="8">
        <f>H239/E239</f>
        <v/>
      </c>
      <c r="K239" s="8" t="n">
        <v>2.27</v>
      </c>
      <c r="L239" s="8" t="n">
        <v>2.0228</v>
      </c>
      <c r="M239" s="14">
        <f>J239/K239-1</f>
        <v/>
      </c>
      <c r="N239" s="7" t="inlineStr">
        <is>
          <t>ACIMA +0.4%</t>
        </is>
      </c>
      <c r="O239" s="7" t="inlineStr"/>
    </row>
    <row r="240">
      <c r="A240" s="7" t="n">
        <v>616441</v>
      </c>
      <c r="B240" s="7" t="inlineStr">
        <is>
          <t>10045</t>
        </is>
      </c>
      <c r="C240" s="12" t="inlineStr">
        <is>
          <t>7896523201542</t>
        </is>
      </c>
      <c r="D240" s="7" t="inlineStr">
        <is>
          <t>SUCCINATO METOPROLOL 100MG CX 30 COMP REV</t>
        </is>
      </c>
      <c r="E240" s="13" t="n">
        <v>1</v>
      </c>
      <c r="F240" s="13" t="n">
        <v>1</v>
      </c>
      <c r="G240" s="13" t="n">
        <v>1</v>
      </c>
      <c r="H240" s="8" t="n">
        <v>0.01</v>
      </c>
      <c r="I240" s="8">
        <f>G240*H240</f>
        <v/>
      </c>
      <c r="J240" s="8">
        <f>H240/E240</f>
        <v/>
      </c>
      <c r="K240" s="8" t="n">
        <v>18.99</v>
      </c>
      <c r="L240" s="8" t="n">
        <v>17.03</v>
      </c>
      <c r="M240" s="14">
        <f>J240/K240-1</f>
        <v/>
      </c>
      <c r="N240" s="7" t="inlineStr">
        <is>
          <t>OK (≤ menor hist.)</t>
        </is>
      </c>
      <c r="O240" s="7" t="inlineStr">
        <is>
          <t>conferir emb.</t>
        </is>
      </c>
    </row>
    <row r="241">
      <c r="A241" s="7" t="n">
        <v>691001</v>
      </c>
      <c r="B241" s="7" t="inlineStr">
        <is>
          <t>8698</t>
        </is>
      </c>
      <c r="C241" s="12" t="inlineStr">
        <is>
          <t>7898575780792</t>
        </is>
      </c>
      <c r="D241" s="7" t="inlineStr">
        <is>
          <t>SULFATO FERROSO 125MG 120ML SUS..</t>
        </is>
      </c>
      <c r="E241" s="13" t="n">
        <v>1</v>
      </c>
      <c r="F241" s="13" t="n">
        <v>9</v>
      </c>
      <c r="G241" s="13" t="n">
        <v>9</v>
      </c>
      <c r="H241" s="8" t="n">
        <v>4.04</v>
      </c>
      <c r="I241" s="8">
        <f>G241*H241</f>
        <v/>
      </c>
      <c r="J241" s="8">
        <f>H241/E241</f>
        <v/>
      </c>
      <c r="K241" s="8" t="n">
        <v>4.04</v>
      </c>
      <c r="L241" s="8" t="n">
        <v>4.04</v>
      </c>
      <c r="M241" s="14">
        <f>J241/K241-1</f>
        <v/>
      </c>
      <c r="N241" s="7" t="inlineStr">
        <is>
          <t>OK (≤ menor hist.)</t>
        </is>
      </c>
      <c r="O241" s="7" t="inlineStr"/>
    </row>
    <row r="242">
      <c r="A242" s="7" t="n">
        <v>3593</v>
      </c>
      <c r="B242" s="7" t="inlineStr">
        <is>
          <t>8743</t>
        </is>
      </c>
      <c r="C242" s="12" t="inlineStr">
        <is>
          <t>7898575780808</t>
        </is>
      </c>
      <c r="D242" s="7" t="inlineStr">
        <is>
          <t>SULFATO FERROSO 125MG 30ML GTS</t>
        </is>
      </c>
      <c r="E242" s="13" t="n">
        <v>1</v>
      </c>
      <c r="F242" s="13" t="n">
        <v>3</v>
      </c>
      <c r="G242" s="13" t="n">
        <v>3</v>
      </c>
      <c r="H242" s="8" t="n">
        <v>2.69</v>
      </c>
      <c r="I242" s="8">
        <f>G242*H242</f>
        <v/>
      </c>
      <c r="J242" s="8">
        <f>H242/E242</f>
        <v/>
      </c>
      <c r="K242" s="8" t="n">
        <v>2.69</v>
      </c>
      <c r="L242" s="8" t="n">
        <v>2.69</v>
      </c>
      <c r="M242" s="14">
        <f>J242/K242-1</f>
        <v/>
      </c>
      <c r="N242" s="7" t="inlineStr">
        <is>
          <t>OK (≤ menor hist.)</t>
        </is>
      </c>
      <c r="O242" s="7" t="inlineStr"/>
    </row>
    <row r="243">
      <c r="A243" s="7" t="n">
        <v>548381</v>
      </c>
      <c r="B243" s="7" t="inlineStr">
        <is>
          <t>1422</t>
        </is>
      </c>
      <c r="C243" s="12" t="inlineStr">
        <is>
          <t>7897146600255</t>
        </is>
      </c>
      <c r="D243" s="7" t="inlineStr">
        <is>
          <t>SULFATO FERROSO 200MG C/50 CPR</t>
        </is>
      </c>
      <c r="E243" s="13" t="n">
        <v>1</v>
      </c>
      <c r="F243" s="13" t="n">
        <v>7</v>
      </c>
      <c r="G243" s="13" t="n">
        <v>7</v>
      </c>
      <c r="H243" s="8" t="n">
        <v>4.37</v>
      </c>
      <c r="I243" s="8">
        <f>G243*H243</f>
        <v/>
      </c>
      <c r="J243" s="8">
        <f>H243/E243</f>
        <v/>
      </c>
      <c r="K243" s="8" t="n">
        <v>4.37</v>
      </c>
      <c r="L243" s="8" t="n">
        <v>4.37</v>
      </c>
      <c r="M243" s="14">
        <f>J243/K243-1</f>
        <v/>
      </c>
      <c r="N243" s="7" t="inlineStr">
        <is>
          <t>OK (≤ menor hist.)</t>
        </is>
      </c>
      <c r="O243" s="7" t="inlineStr"/>
    </row>
    <row r="244">
      <c r="A244" s="7" t="n">
        <v>612291</v>
      </c>
      <c r="B244" s="7" t="inlineStr">
        <is>
          <t>4795</t>
        </is>
      </c>
      <c r="C244" s="12" t="inlineStr">
        <is>
          <t>7894164005802</t>
        </is>
      </c>
      <c r="D244" s="7" t="inlineStr">
        <is>
          <t>SULFERMAX GTS 30ML (SULFATO FERROSO)</t>
        </is>
      </c>
      <c r="E244" s="13" t="n">
        <v>1</v>
      </c>
      <c r="F244" s="13" t="n">
        <v>3</v>
      </c>
      <c r="G244" s="13" t="n">
        <v>3</v>
      </c>
      <c r="H244" s="8" t="n">
        <v>3.29</v>
      </c>
      <c r="I244" s="8">
        <f>G244*H244</f>
        <v/>
      </c>
      <c r="J244" s="8">
        <f>H244/E244</f>
        <v/>
      </c>
      <c r="K244" s="8" t="n">
        <v>3.17</v>
      </c>
      <c r="L244" s="8" t="n">
        <v>3.08</v>
      </c>
      <c r="M244" s="14">
        <f>J244/K244-1</f>
        <v/>
      </c>
      <c r="N244" s="7" t="inlineStr">
        <is>
          <t>ACIMA +3.8%</t>
        </is>
      </c>
      <c r="O244" s="7" t="inlineStr"/>
    </row>
    <row r="245">
      <c r="A245" s="7" t="n">
        <v>201</v>
      </c>
      <c r="B245" s="7" t="inlineStr">
        <is>
          <t>1442</t>
        </is>
      </c>
      <c r="C245" s="12" t="inlineStr">
        <is>
          <t>7893454100678</t>
        </is>
      </c>
      <c r="D245" s="7" t="inlineStr">
        <is>
          <t>TANDENE 125+50+300+30MG CX 15 COMP</t>
        </is>
      </c>
      <c r="E245" s="13" t="n">
        <v>1</v>
      </c>
      <c r="F245" s="13" t="n">
        <v>26</v>
      </c>
      <c r="G245" s="13" t="n">
        <v>26</v>
      </c>
      <c r="H245" s="8" t="n">
        <v>4.26</v>
      </c>
      <c r="I245" s="8">
        <f>G245*H245</f>
        <v/>
      </c>
      <c r="J245" s="8">
        <f>H245/E245</f>
        <v/>
      </c>
      <c r="K245" s="8" t="n">
        <v>3.91</v>
      </c>
      <c r="L245" s="8" t="n">
        <v>3.77</v>
      </c>
      <c r="M245" s="14">
        <f>J245/K245-1</f>
        <v/>
      </c>
      <c r="N245" s="7" t="inlineStr">
        <is>
          <t>ACIMA +9.0%</t>
        </is>
      </c>
      <c r="O245" s="7" t="inlineStr"/>
    </row>
    <row r="246">
      <c r="A246" s="7" t="n">
        <v>82461</v>
      </c>
      <c r="B246" s="7" t="inlineStr">
        <is>
          <t>383</t>
        </is>
      </c>
      <c r="C246" s="12" t="inlineStr">
        <is>
          <t>7893454100685</t>
        </is>
      </c>
      <c r="D246" s="7" t="inlineStr">
        <is>
          <t>TANDENE 125+50+300+30MG CX 30 COMP</t>
        </is>
      </c>
      <c r="E246" s="13" t="n">
        <v>1</v>
      </c>
      <c r="F246" s="13" t="n">
        <v>6</v>
      </c>
      <c r="G246" s="13" t="n">
        <v>6</v>
      </c>
      <c r="H246" s="8" t="n">
        <v>8.68</v>
      </c>
      <c r="I246" s="8">
        <f>G246*H246</f>
        <v/>
      </c>
      <c r="J246" s="8">
        <f>H246/E246</f>
        <v/>
      </c>
      <c r="K246" s="8" t="n">
        <v>7.95</v>
      </c>
      <c r="L246" s="8" t="n">
        <v>7.95</v>
      </c>
      <c r="M246" s="14">
        <f>J246/K246-1</f>
        <v/>
      </c>
      <c r="N246" s="7" t="inlineStr">
        <is>
          <t>ACIMA +9.2%</t>
        </is>
      </c>
      <c r="O246" s="7" t="inlineStr"/>
    </row>
    <row r="247">
      <c r="A247" s="7" t="n">
        <v>601291</v>
      </c>
      <c r="B247" s="7" t="inlineStr">
        <is>
          <t>4759</t>
        </is>
      </c>
      <c r="C247" s="12" t="inlineStr">
        <is>
          <t>7898301056955</t>
        </is>
      </c>
      <c r="D247" s="7" t="inlineStr">
        <is>
          <t>TERMOMETRO CLIN. DIG. AZUL G-TECH</t>
        </is>
      </c>
      <c r="E247" s="13" t="n">
        <v>1</v>
      </c>
      <c r="F247" s="13" t="n">
        <v>1</v>
      </c>
      <c r="G247" s="13" t="n">
        <v>1</v>
      </c>
      <c r="H247" s="8" t="n">
        <v>13.33</v>
      </c>
      <c r="I247" s="8">
        <f>G247*H247</f>
        <v/>
      </c>
      <c r="J247" s="8">
        <f>H247/E247</f>
        <v/>
      </c>
      <c r="K247" s="8" t="n">
        <v>12.56</v>
      </c>
      <c r="L247" s="8" t="n">
        <v>12.56</v>
      </c>
      <c r="M247" s="14">
        <f>J247/K247-1</f>
        <v/>
      </c>
      <c r="N247" s="7" t="inlineStr">
        <is>
          <t>ACIMA +6.1%</t>
        </is>
      </c>
      <c r="O247" s="7" t="inlineStr"/>
    </row>
    <row r="248">
      <c r="A248" s="7" t="n">
        <v>578801</v>
      </c>
      <c r="B248" s="7" t="inlineStr">
        <is>
          <t>4760</t>
        </is>
      </c>
      <c r="C248" s="12" t="inlineStr">
        <is>
          <t>7898301056986</t>
        </is>
      </c>
      <c r="D248" s="7" t="inlineStr">
        <is>
          <t>TERMOMETRO DIGITAL CLINICO TH150 LARANJA</t>
        </is>
      </c>
      <c r="E248" s="13" t="n">
        <v>1</v>
      </c>
      <c r="F248" s="13" t="n">
        <v>1</v>
      </c>
      <c r="G248" s="13" t="n">
        <v>1</v>
      </c>
      <c r="H248" s="8" t="n">
        <v>11.88</v>
      </c>
      <c r="I248" s="8">
        <f>G248*H248</f>
        <v/>
      </c>
      <c r="J248" s="8">
        <f>H248/E248</f>
        <v/>
      </c>
      <c r="K248" s="8" t="n">
        <v>12.59</v>
      </c>
      <c r="L248" s="8" t="n">
        <v>12.59</v>
      </c>
      <c r="M248" s="14">
        <f>J248/K248-1</f>
        <v/>
      </c>
      <c r="N248" s="7" t="inlineStr">
        <is>
          <t>OK (≤ menor hist.)</t>
        </is>
      </c>
      <c r="O248" s="7" t="inlineStr"/>
    </row>
    <row r="249">
      <c r="A249" s="7" t="n">
        <v>543341</v>
      </c>
      <c r="B249" s="7" t="inlineStr">
        <is>
          <t>4761</t>
        </is>
      </c>
      <c r="C249" s="12" t="inlineStr">
        <is>
          <t>7898301056979</t>
        </is>
      </c>
      <c r="D249" s="7" t="inlineStr">
        <is>
          <t>TERMOMETRO DIGITAL G-TECH ROSA UNIDADE</t>
        </is>
      </c>
      <c r="E249" s="13" t="n">
        <v>1</v>
      </c>
      <c r="F249" s="13" t="n">
        <v>1</v>
      </c>
      <c r="G249" s="13" t="n">
        <v>1</v>
      </c>
      <c r="H249" s="8" t="n">
        <v>13.33</v>
      </c>
      <c r="I249" s="8">
        <f>G249*H249</f>
        <v/>
      </c>
      <c r="J249" s="8">
        <f>H249/E249</f>
        <v/>
      </c>
      <c r="K249" s="8" t="n">
        <v>12.59</v>
      </c>
      <c r="L249" s="8" t="n">
        <v>12.59</v>
      </c>
      <c r="M249" s="14">
        <f>J249/K249-1</f>
        <v/>
      </c>
      <c r="N249" s="7" t="inlineStr">
        <is>
          <t>ACIMA +5.9%</t>
        </is>
      </c>
      <c r="O249" s="7" t="inlineStr"/>
    </row>
    <row r="250">
      <c r="A250" s="7" t="n">
        <v>543361</v>
      </c>
      <c r="B250" s="7" t="inlineStr">
        <is>
          <t>4762</t>
        </is>
      </c>
      <c r="C250" s="12" t="inlineStr">
        <is>
          <t>7898301056962</t>
        </is>
      </c>
      <c r="D250" s="7" t="inlineStr">
        <is>
          <t>TERMÔMETRO DIGITAL G-TECH COM PONTA RIGIDA THGTH150V - VERDE</t>
        </is>
      </c>
      <c r="E250" s="13" t="n">
        <v>1</v>
      </c>
      <c r="F250" s="13" t="n">
        <v>1</v>
      </c>
      <c r="G250" s="13" t="n">
        <v>1</v>
      </c>
      <c r="H250" s="8" t="n">
        <v>13.33</v>
      </c>
      <c r="I250" s="8">
        <f>G250*H250</f>
        <v/>
      </c>
      <c r="J250" s="8">
        <f>H250/E250</f>
        <v/>
      </c>
      <c r="K250" s="8" t="n">
        <v>12.59</v>
      </c>
      <c r="L250" s="8" t="n">
        <v>12.59</v>
      </c>
      <c r="M250" s="14">
        <f>J250/K250-1</f>
        <v/>
      </c>
      <c r="N250" s="7" t="inlineStr">
        <is>
          <t>ACIMA +5.9%</t>
        </is>
      </c>
      <c r="O250" s="7" t="inlineStr"/>
    </row>
    <row r="251">
      <c r="A251" s="7" t="n">
        <v>532641</v>
      </c>
      <c r="B251" s="7" t="inlineStr">
        <is>
          <t>271</t>
        </is>
      </c>
      <c r="C251" s="12" t="inlineStr">
        <is>
          <t>7898126050022</t>
        </is>
      </c>
      <c r="D251" s="7" t="inlineStr">
        <is>
          <t>TESTE CONFIRME C/01 UND</t>
        </is>
      </c>
      <c r="E251" s="13" t="n">
        <v>1</v>
      </c>
      <c r="F251" s="13" t="n">
        <v>4</v>
      </c>
      <c r="G251" s="13" t="n">
        <v>4</v>
      </c>
      <c r="H251" s="8" t="n">
        <v>1.69</v>
      </c>
      <c r="I251" s="8">
        <f>G251*H251</f>
        <v/>
      </c>
      <c r="J251" s="8">
        <f>H251/E251</f>
        <v/>
      </c>
      <c r="K251" s="8" t="n">
        <v>1.69</v>
      </c>
      <c r="L251" s="8" t="n">
        <v>1.69</v>
      </c>
      <c r="M251" s="14">
        <f>J251/K251-1</f>
        <v/>
      </c>
      <c r="N251" s="7" t="inlineStr">
        <is>
          <t>OK (≤ menor hist.)</t>
        </is>
      </c>
      <c r="O251" s="7" t="inlineStr"/>
    </row>
    <row r="252">
      <c r="A252" s="7" t="n">
        <v>588881</v>
      </c>
      <c r="B252" s="7" t="inlineStr">
        <is>
          <t>3232</t>
        </is>
      </c>
      <c r="C252" s="12" t="inlineStr">
        <is>
          <t>7898108611968</t>
        </is>
      </c>
      <c r="D252" s="7" t="inlineStr">
        <is>
          <t>TESTE DE GRAVIDEZ CONFIRA PRATIC CANETA</t>
        </is>
      </c>
      <c r="E252" s="13" t="n">
        <v>1</v>
      </c>
      <c r="F252" s="13" t="n">
        <v>8</v>
      </c>
      <c r="G252" s="13" t="n">
        <v>8</v>
      </c>
      <c r="H252" s="8" t="n">
        <v>5.57</v>
      </c>
      <c r="I252" s="8">
        <f>G252*H252</f>
        <v/>
      </c>
      <c r="J252" s="8">
        <f>H252/E252</f>
        <v/>
      </c>
      <c r="K252" s="8" t="n">
        <v>4.91</v>
      </c>
      <c r="L252" s="8" t="n">
        <v>4.91</v>
      </c>
      <c r="M252" s="14">
        <f>J252/K252-1</f>
        <v/>
      </c>
      <c r="N252" s="7" t="inlineStr">
        <is>
          <t>ACIMA +13.4%</t>
        </is>
      </c>
      <c r="O252" s="7" t="inlineStr"/>
    </row>
    <row r="253">
      <c r="A253" s="7" t="n">
        <v>532741</v>
      </c>
      <c r="B253" s="7" t="inlineStr">
        <is>
          <t>5792</t>
        </is>
      </c>
      <c r="C253" s="12" t="inlineStr">
        <is>
          <t>7898126050091</t>
        </is>
      </c>
      <c r="D253" s="7" t="inlineStr">
        <is>
          <t>TESTE DE GRAVIDEZ VERIFIK C/01 UND</t>
        </is>
      </c>
      <c r="E253" s="13" t="n">
        <v>1</v>
      </c>
      <c r="F253" s="13" t="n">
        <v>38</v>
      </c>
      <c r="G253" s="13" t="n">
        <v>38</v>
      </c>
      <c r="H253" s="8" t="n">
        <v>1.35</v>
      </c>
      <c r="I253" s="8">
        <f>G253*H253</f>
        <v/>
      </c>
      <c r="J253" s="8">
        <f>H253/E253</f>
        <v/>
      </c>
      <c r="K253" s="8" t="n">
        <v>1.17</v>
      </c>
      <c r="L253" s="8" t="n">
        <v>1.17</v>
      </c>
      <c r="M253" s="14">
        <f>J253/K253-1</f>
        <v/>
      </c>
      <c r="N253" s="7" t="inlineStr">
        <is>
          <t>ACIMA +15.4%</t>
        </is>
      </c>
      <c r="O253" s="7" t="inlineStr"/>
    </row>
    <row r="254">
      <c r="A254" s="7" t="n">
        <v>640411</v>
      </c>
      <c r="B254" s="7" t="inlineStr">
        <is>
          <t>7368</t>
        </is>
      </c>
      <c r="C254" s="12" t="inlineStr">
        <is>
          <t>7898126050220</t>
        </is>
      </c>
      <c r="D254" s="7" t="inlineStr">
        <is>
          <t>TESTE GRAVIDEZ CONFIRME SEMANAS TIRA C/1</t>
        </is>
      </c>
      <c r="E254" s="13" t="n">
        <v>1</v>
      </c>
      <c r="F254" s="13" t="n">
        <v>2</v>
      </c>
      <c r="G254" s="13" t="n">
        <v>2</v>
      </c>
      <c r="H254" s="8" t="n">
        <v>7.71</v>
      </c>
      <c r="I254" s="8">
        <f>G254*H254</f>
        <v/>
      </c>
      <c r="J254" s="8">
        <f>H254/E254</f>
        <v/>
      </c>
      <c r="K254" s="8" t="n">
        <v>10.85</v>
      </c>
      <c r="L254" s="8" t="n">
        <v>10.85</v>
      </c>
      <c r="M254" s="14">
        <f>J254/K254-1</f>
        <v/>
      </c>
      <c r="N254" s="7" t="inlineStr">
        <is>
          <t>OK (≤ menor hist.)</t>
        </is>
      </c>
      <c r="O254" s="7" t="inlineStr"/>
    </row>
    <row r="255">
      <c r="A255" s="7" t="n">
        <v>180141</v>
      </c>
      <c r="B255" s="7" t="inlineStr">
        <is>
          <t>1534</t>
        </is>
      </c>
      <c r="C255" s="12" t="inlineStr">
        <is>
          <t>7896862970031</t>
        </is>
      </c>
      <c r="D255" s="7" t="inlineStr">
        <is>
          <t>TETRAMED 500MG CART C/ 4CP</t>
        </is>
      </c>
      <c r="E255" s="13" t="n">
        <v>25</v>
      </c>
      <c r="F255" s="13" t="n">
        <v>1</v>
      </c>
      <c r="G255" s="13" t="n">
        <v>1</v>
      </c>
      <c r="H255" s="8" t="n">
        <v>41.62</v>
      </c>
      <c r="I255" s="8">
        <f>G255*H255</f>
        <v/>
      </c>
      <c r="J255" s="8">
        <f>H255/E255</f>
        <v/>
      </c>
      <c r="K255" s="8" t="n">
        <v>1.4796</v>
      </c>
      <c r="L255" s="8" t="n">
        <v>1.4796</v>
      </c>
      <c r="M255" s="14">
        <f>J255/K255-1</f>
        <v/>
      </c>
      <c r="N255" s="7" t="inlineStr">
        <is>
          <t>ACIMA +12.5%</t>
        </is>
      </c>
      <c r="O255" s="7" t="inlineStr">
        <is>
          <t>1 emb = 25 un</t>
        </is>
      </c>
    </row>
    <row r="256">
      <c r="A256" s="7" t="n">
        <v>568541</v>
      </c>
      <c r="B256" s="7" t="inlineStr">
        <is>
          <t>2886</t>
        </is>
      </c>
      <c r="C256" s="12" t="inlineStr">
        <is>
          <t>7896862970208</t>
        </is>
      </c>
      <c r="D256" s="7" t="inlineStr">
        <is>
          <t>TETRAMED 500MG CX100 CAP (10X10)</t>
        </is>
      </c>
      <c r="E256" s="13" t="n">
        <v>10</v>
      </c>
      <c r="F256" s="13" t="n">
        <v>1</v>
      </c>
      <c r="G256" s="13" t="n">
        <v>1</v>
      </c>
      <c r="H256" s="8" t="n">
        <v>43.72</v>
      </c>
      <c r="I256" s="8">
        <f>G256*H256</f>
        <v/>
      </c>
      <c r="J256" s="8">
        <f>H256/E256</f>
        <v/>
      </c>
      <c r="K256" s="8" t="n">
        <v>3.69</v>
      </c>
      <c r="L256" s="8" t="n">
        <v>3.69</v>
      </c>
      <c r="M256" s="14">
        <f>J256/K256-1</f>
        <v/>
      </c>
      <c r="N256" s="7" t="inlineStr">
        <is>
          <t>ACIMA +18.5%</t>
        </is>
      </c>
      <c r="O256" s="7" t="inlineStr">
        <is>
          <t>1 emb = 10 un</t>
        </is>
      </c>
    </row>
    <row r="257">
      <c r="A257" s="7" t="n">
        <v>461941</v>
      </c>
      <c r="B257" s="7" t="inlineStr">
        <is>
          <t>386</t>
        </is>
      </c>
      <c r="C257" s="12" t="inlineStr">
        <is>
          <t>7893454100715</t>
        </is>
      </c>
      <c r="D257" s="7" t="inlineStr">
        <is>
          <t>TIADOL 50MG/G POM DERM BG 20G</t>
        </is>
      </c>
      <c r="E257" s="13" t="n">
        <v>1</v>
      </c>
      <c r="F257" s="13" t="n">
        <v>3</v>
      </c>
      <c r="G257" s="13" t="n">
        <v>3</v>
      </c>
      <c r="H257" s="8" t="n">
        <v>13.89</v>
      </c>
      <c r="I257" s="8">
        <f>G257*H257</f>
        <v/>
      </c>
      <c r="J257" s="8">
        <f>H257/E257</f>
        <v/>
      </c>
      <c r="K257" s="8" t="n">
        <v>13.36</v>
      </c>
      <c r="L257" s="8" t="n">
        <v>13.36</v>
      </c>
      <c r="M257" s="14">
        <f>J257/K257-1</f>
        <v/>
      </c>
      <c r="N257" s="7" t="inlineStr">
        <is>
          <t>ACIMA +4.0%</t>
        </is>
      </c>
      <c r="O257" s="7" t="inlineStr"/>
    </row>
    <row r="258">
      <c r="A258" s="7" t="n">
        <v>540941</v>
      </c>
      <c r="B258" s="7" t="inlineStr">
        <is>
          <t>177</t>
        </is>
      </c>
      <c r="C258" s="12" t="inlineStr">
        <is>
          <t>7898031310952</t>
        </is>
      </c>
      <c r="D258" s="7" t="inlineStr">
        <is>
          <t>TINTURA DE ARNICA 30ML</t>
        </is>
      </c>
      <c r="E258" s="13" t="n">
        <v>1</v>
      </c>
      <c r="F258" s="13" t="n">
        <v>19</v>
      </c>
      <c r="G258" s="13" t="n">
        <v>19</v>
      </c>
      <c r="H258" s="8" t="n">
        <v>4.31</v>
      </c>
      <c r="I258" s="8">
        <f>G258*H258</f>
        <v/>
      </c>
      <c r="J258" s="8">
        <f>H258/E258</f>
        <v/>
      </c>
      <c r="K258" s="8" t="n">
        <v>4.31</v>
      </c>
      <c r="L258" s="8" t="n">
        <v>4.31</v>
      </c>
      <c r="M258" s="14">
        <f>J258/K258-1</f>
        <v/>
      </c>
      <c r="N258" s="7" t="inlineStr">
        <is>
          <t>OK (≤ menor hist.)</t>
        </is>
      </c>
      <c r="O258" s="7" t="inlineStr"/>
    </row>
    <row r="259">
      <c r="A259" s="7" t="n">
        <v>18001</v>
      </c>
      <c r="B259" s="7" t="inlineStr">
        <is>
          <t>1121</t>
        </is>
      </c>
      <c r="C259" s="12" t="inlineStr">
        <is>
          <t>7896004739083</t>
        </is>
      </c>
      <c r="D259" s="7" t="inlineStr">
        <is>
          <t>TREXACONT 250MG 1BL X 12 COMP</t>
        </is>
      </c>
      <c r="E259" s="13" t="n">
        <v>1</v>
      </c>
      <c r="F259" s="13" t="n">
        <v>1</v>
      </c>
      <c r="G259" s="13" t="n">
        <v>1</v>
      </c>
      <c r="H259" s="8" t="n">
        <v>35.81</v>
      </c>
      <c r="I259" s="8">
        <f>G259*H259</f>
        <v/>
      </c>
      <c r="J259" s="8">
        <f>H259/E259</f>
        <v/>
      </c>
      <c r="K259" s="8" t="n">
        <v>40.53</v>
      </c>
      <c r="L259" s="8" t="n">
        <v>40.53</v>
      </c>
      <c r="M259" s="14">
        <f>J259/K259-1</f>
        <v/>
      </c>
      <c r="N259" s="7" t="inlineStr">
        <is>
          <t>OK (≤ menor hist.)</t>
        </is>
      </c>
      <c r="O259" s="7" t="inlineStr"/>
    </row>
    <row r="260">
      <c r="A260" s="7" t="n">
        <v>39303</v>
      </c>
      <c r="B260" s="7" t="inlineStr">
        <is>
          <t>10612</t>
        </is>
      </c>
      <c r="C260" s="12" t="inlineStr">
        <is>
          <t>7896004821993</t>
        </is>
      </c>
      <c r="D260" s="7" t="inlineStr">
        <is>
          <t>TRIMETAZIDINA 35MG 30CPR</t>
        </is>
      </c>
      <c r="E260" s="13" t="n">
        <v>1</v>
      </c>
      <c r="F260" s="13" t="n">
        <v>8</v>
      </c>
      <c r="G260" s="13" t="n">
        <v>8</v>
      </c>
      <c r="H260" s="8" t="n">
        <v>22.59</v>
      </c>
      <c r="I260" s="8">
        <f>G260*H260</f>
        <v/>
      </c>
      <c r="J260" s="8">
        <f>H260/E260</f>
        <v/>
      </c>
      <c r="K260" s="8" t="n">
        <v>16.385</v>
      </c>
      <c r="L260" s="8" t="n">
        <v>16.385</v>
      </c>
      <c r="M260" s="14">
        <f>J260/K260-1</f>
        <v/>
      </c>
      <c r="N260" s="7" t="inlineStr">
        <is>
          <t>ACIMA +37.9%</t>
        </is>
      </c>
      <c r="O260" s="7" t="inlineStr"/>
    </row>
    <row r="261">
      <c r="A261" s="7" t="n">
        <v>563961</v>
      </c>
      <c r="B261" s="7" t="inlineStr">
        <is>
          <t>395</t>
        </is>
      </c>
      <c r="C261" s="12" t="inlineStr">
        <is>
          <t>7898100243945</t>
        </is>
      </c>
      <c r="D261" s="7" t="inlineStr">
        <is>
          <t>TYFLEN 500MG CARTELA COM 10CP</t>
        </is>
      </c>
      <c r="E261" s="13" t="n">
        <v>20</v>
      </c>
      <c r="F261" s="13" t="n">
        <v>1</v>
      </c>
      <c r="G261" s="13" t="n">
        <v>1</v>
      </c>
      <c r="H261" s="8" t="n">
        <v>29.55</v>
      </c>
      <c r="I261" s="8">
        <f>G261*H261</f>
        <v/>
      </c>
      <c r="J261" s="8">
        <f>H261/E261</f>
        <v/>
      </c>
      <c r="K261" s="8" t="n">
        <v>1.8355</v>
      </c>
      <c r="L261" s="8" t="n">
        <v>1.8355</v>
      </c>
      <c r="M261" s="14">
        <f>J261/K261-1</f>
        <v/>
      </c>
      <c r="N261" s="7" t="inlineStr">
        <is>
          <t>OK (≤ menor hist.)</t>
        </is>
      </c>
      <c r="O261" s="7" t="inlineStr">
        <is>
          <t>1 emb = 20 un</t>
        </is>
      </c>
    </row>
    <row r="262">
      <c r="A262" s="7" t="n">
        <v>565801</v>
      </c>
      <c r="B262" s="7" t="inlineStr">
        <is>
          <t>3126</t>
        </is>
      </c>
      <c r="C262" s="12" t="inlineStr">
        <is>
          <t>7898031310600</t>
        </is>
      </c>
      <c r="D262" s="7" t="inlineStr">
        <is>
          <t>UNISSEPT ALCOOL GEL ANTISSEPTICO 450G</t>
        </is>
      </c>
      <c r="E262" s="13" t="n">
        <v>1</v>
      </c>
      <c r="F262" s="13" t="n">
        <v>13</v>
      </c>
      <c r="G262" s="13" t="n">
        <v>13</v>
      </c>
      <c r="H262" s="8" t="n">
        <v>13.08</v>
      </c>
      <c r="I262" s="8">
        <f>G262*H262</f>
        <v/>
      </c>
      <c r="J262" s="8">
        <f>H262/E262</f>
        <v/>
      </c>
      <c r="K262" s="8" t="n">
        <v>13.08</v>
      </c>
      <c r="L262" s="8" t="n">
        <v>12.51</v>
      </c>
      <c r="M262" s="14">
        <f>J262/K262-1</f>
        <v/>
      </c>
      <c r="N262" s="7" t="inlineStr">
        <is>
          <t>OK (≤ últ. compra)</t>
        </is>
      </c>
      <c r="O262" s="7" t="inlineStr"/>
    </row>
    <row r="263">
      <c r="A263" s="7" t="n">
        <v>2973</v>
      </c>
      <c r="B263" s="7" t="inlineStr">
        <is>
          <t>163</t>
        </is>
      </c>
      <c r="C263" s="12" t="inlineStr">
        <is>
          <t>7898031313533</t>
        </is>
      </c>
      <c r="D263" s="7" t="inlineStr">
        <is>
          <t>VASELINA SOLIDA 20G BISNAGA</t>
        </is>
      </c>
      <c r="E263" s="13" t="n">
        <v>1</v>
      </c>
      <c r="F263" s="13" t="n">
        <v>12</v>
      </c>
      <c r="G263" s="13" t="n">
        <v>12</v>
      </c>
      <c r="H263" s="8" t="n">
        <v>5.26</v>
      </c>
      <c r="I263" s="8">
        <f>G263*H263</f>
        <v/>
      </c>
      <c r="J263" s="8">
        <f>H263/E263</f>
        <v/>
      </c>
      <c r="K263" s="8" t="n">
        <v>5.26</v>
      </c>
      <c r="L263" s="8" t="n">
        <v>5.06</v>
      </c>
      <c r="M263" s="14">
        <f>J263/K263-1</f>
        <v/>
      </c>
      <c r="N263" s="7" t="inlineStr">
        <is>
          <t>OK (≤ últ. compra)</t>
        </is>
      </c>
      <c r="O263" s="7" t="inlineStr"/>
    </row>
    <row r="264">
      <c r="A264" s="7" t="n">
        <v>604001</v>
      </c>
      <c r="B264" s="7" t="inlineStr">
        <is>
          <t>851</t>
        </is>
      </c>
      <c r="C264" s="12" t="inlineStr">
        <is>
          <t>7898031310495</t>
        </is>
      </c>
      <c r="D264" s="7" t="inlineStr">
        <is>
          <t>VASELINA SOLIDA 25G POTE (UNIPHAR)</t>
        </is>
      </c>
      <c r="E264" s="13" t="n">
        <v>1</v>
      </c>
      <c r="F264" s="13" t="n">
        <v>10</v>
      </c>
      <c r="G264" s="13" t="n">
        <v>10</v>
      </c>
      <c r="H264" s="8" t="n">
        <v>4.78</v>
      </c>
      <c r="I264" s="8">
        <f>G264*H264</f>
        <v/>
      </c>
      <c r="J264" s="8">
        <f>H264/E264</f>
        <v/>
      </c>
      <c r="K264" s="8" t="n">
        <v>4.48</v>
      </c>
      <c r="L264" s="8" t="n">
        <v>4.35</v>
      </c>
      <c r="M264" s="14">
        <f>J264/K264-1</f>
        <v/>
      </c>
      <c r="N264" s="7" t="inlineStr">
        <is>
          <t>ACIMA +6.7%</t>
        </is>
      </c>
      <c r="O264" s="7" t="inlineStr"/>
    </row>
    <row r="265">
      <c r="A265" s="7" t="n">
        <v>591211</v>
      </c>
      <c r="B265" s="7" t="inlineStr">
        <is>
          <t>7292</t>
        </is>
      </c>
      <c r="C265" s="12" t="inlineStr">
        <is>
          <t>7898241250031</t>
        </is>
      </c>
      <c r="D265" s="7" t="inlineStr">
        <is>
          <t>VELA SEBO DE HOLANDA</t>
        </is>
      </c>
      <c r="E265" s="13" t="n">
        <v>8</v>
      </c>
      <c r="F265" s="13" t="n">
        <v>3</v>
      </c>
      <c r="G265" s="13" t="n">
        <v>1</v>
      </c>
      <c r="H265" s="8" t="n">
        <v>3.99</v>
      </c>
      <c r="I265" s="8">
        <f>G265*H265</f>
        <v/>
      </c>
      <c r="J265" s="8">
        <f>H265/E265</f>
        <v/>
      </c>
      <c r="K265" s="8" t="n">
        <v>0.4988</v>
      </c>
      <c r="L265" s="8" t="n">
        <v>0.4988</v>
      </c>
      <c r="M265" s="14">
        <f>J265/K265-1</f>
        <v/>
      </c>
      <c r="N265" s="7" t="inlineStr">
        <is>
          <t>OK (≤ menor hist.)</t>
        </is>
      </c>
      <c r="O265" s="7" t="inlineStr">
        <is>
          <t>1 emb = 8 un</t>
        </is>
      </c>
    </row>
    <row r="266">
      <c r="A266" s="7" t="n">
        <v>653211</v>
      </c>
      <c r="B266" s="7" t="inlineStr">
        <is>
          <t>8544</t>
        </is>
      </c>
      <c r="C266" s="12" t="inlineStr">
        <is>
          <t>7898687734096</t>
        </is>
      </c>
      <c r="D266" s="7" t="inlineStr">
        <is>
          <t>VITAMINA D3 15000UI CX 10 CAP</t>
        </is>
      </c>
      <c r="E266" s="13" t="n">
        <v>1</v>
      </c>
      <c r="F266" s="13" t="n">
        <v>2</v>
      </c>
      <c r="G266" s="13" t="n">
        <v>2</v>
      </c>
      <c r="H266" s="8" t="n">
        <v>23.22</v>
      </c>
      <c r="I266" s="8">
        <f>G266*H266</f>
        <v/>
      </c>
      <c r="J266" s="8">
        <f>H266/E266</f>
        <v/>
      </c>
      <c r="K266" s="8" t="n">
        <v>19.58</v>
      </c>
      <c r="L266" s="8" t="n">
        <v>19.58</v>
      </c>
      <c r="M266" s="14">
        <f>J266/K266-1</f>
        <v/>
      </c>
      <c r="N266" s="7" t="inlineStr">
        <is>
          <t>ACIMA +18.6%</t>
        </is>
      </c>
      <c r="O266" s="7" t="inlineStr"/>
    </row>
    <row r="267">
      <c r="A267" s="7" t="n">
        <v>4053</v>
      </c>
      <c r="B267" s="7" t="inlineStr">
        <is>
          <t>5175</t>
        </is>
      </c>
      <c r="C267" s="12" t="inlineStr">
        <is>
          <t>7894164007127</t>
        </is>
      </c>
      <c r="D267" s="7" t="inlineStr">
        <is>
          <t>VITAXON C TRIPLA ACAO IMUNO C/30 CPR.</t>
        </is>
      </c>
      <c r="E267" s="13" t="n">
        <v>1</v>
      </c>
      <c r="F267" s="13" t="n">
        <v>1</v>
      </c>
      <c r="G267" s="13" t="n">
        <v>1</v>
      </c>
      <c r="H267" s="8" t="n">
        <v>14.84</v>
      </c>
      <c r="I267" s="8">
        <f>G267*H267</f>
        <v/>
      </c>
      <c r="J267" s="8">
        <f>H267/E267</f>
        <v/>
      </c>
      <c r="K267" s="8" t="n">
        <v>14.84</v>
      </c>
      <c r="L267" s="8" t="n">
        <v>14.84</v>
      </c>
      <c r="M267" s="14">
        <f>J267/K267-1</f>
        <v/>
      </c>
      <c r="N267" s="7" t="inlineStr">
        <is>
          <t>OK (≤ menor hist.)</t>
        </is>
      </c>
      <c r="O267" s="7" t="inlineStr"/>
    </row>
    <row r="268">
      <c r="A268" s="7" t="n">
        <v>604081</v>
      </c>
      <c r="B268" s="7" t="inlineStr">
        <is>
          <t>5905</t>
        </is>
      </c>
      <c r="C268" s="12" t="inlineStr">
        <is>
          <t>7894164007134</t>
        </is>
      </c>
      <c r="D268" s="7" t="inlineStr">
        <is>
          <t>VITAXON C+ZINCO ACAO PROLONGADA 30CP</t>
        </is>
      </c>
      <c r="E268" s="13" t="n">
        <v>1</v>
      </c>
      <c r="F268" s="13" t="n">
        <v>1</v>
      </c>
      <c r="G268" s="13" t="n">
        <v>1</v>
      </c>
      <c r="H268" s="8" t="n">
        <v>11.73</v>
      </c>
      <c r="I268" s="8">
        <f>G268*H268</f>
        <v/>
      </c>
      <c r="J268" s="8">
        <f>H268/E268</f>
        <v/>
      </c>
      <c r="K268" s="8" t="n">
        <v>10.79</v>
      </c>
      <c r="L268" s="8" t="n">
        <v>10.79</v>
      </c>
      <c r="M268" s="14">
        <f>J268/K268-1</f>
        <v/>
      </c>
      <c r="N268" s="7" t="inlineStr">
        <is>
          <t>ACIMA +8.7%</t>
        </is>
      </c>
      <c r="O268" s="7" t="inlineStr"/>
    </row>
    <row r="269">
      <c r="A269" s="7" t="n">
        <v>121961</v>
      </c>
      <c r="B269" s="7" t="inlineStr">
        <is>
          <t>6402</t>
        </is>
      </c>
      <c r="C269" s="12" t="inlineStr">
        <is>
          <t>7896004774947</t>
        </is>
      </c>
      <c r="D269" s="7" t="inlineStr">
        <is>
          <t>VOLIG 8MG CX 10 COMP</t>
        </is>
      </c>
      <c r="E269" s="13" t="n">
        <v>1</v>
      </c>
      <c r="F269" s="13" t="n">
        <v>8</v>
      </c>
      <c r="G269" s="13" t="n">
        <v>8</v>
      </c>
      <c r="H269" s="8" t="n">
        <v>7.31</v>
      </c>
      <c r="I269" s="8">
        <f>G269*H269</f>
        <v/>
      </c>
      <c r="J269" s="8">
        <f>H269/E269</f>
        <v/>
      </c>
      <c r="K269" s="8" t="n">
        <v>7.29</v>
      </c>
      <c r="L269" s="8" t="n">
        <v>7.29</v>
      </c>
      <c r="M269" s="14">
        <f>J269/K269-1</f>
        <v/>
      </c>
      <c r="N269" s="7" t="inlineStr">
        <is>
          <t>ACIMA +0.3%</t>
        </is>
      </c>
      <c r="O269" s="7" t="inlineStr"/>
    </row>
    <row r="270">
      <c r="D270" s="5" t="inlineStr">
        <is>
          <t>TOTAL</t>
        </is>
      </c>
      <c r="I270" s="18">
        <f>SUM(I2:I269)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146381</v>
      </c>
      <c r="B5" s="7" t="inlineStr">
        <is>
          <t>193615</t>
        </is>
      </c>
      <c r="C5" s="12" t="inlineStr">
        <is>
          <t>7895296447317</t>
        </is>
      </c>
      <c r="D5" s="7" t="inlineStr">
        <is>
          <t>CLOR.FEXOFENADINA 120MG 1BLX10COM REV-NQ</t>
        </is>
      </c>
      <c r="E5" s="13" t="n">
        <v>1</v>
      </c>
      <c r="F5" s="13" t="n">
        <v>1</v>
      </c>
      <c r="G5" s="13" t="n">
        <v>1</v>
      </c>
      <c r="H5" s="8" t="n">
        <v>7.35</v>
      </c>
      <c r="I5" s="8">
        <f>G5*H5</f>
        <v/>
      </c>
      <c r="J5" s="8">
        <f>H5/E5</f>
        <v/>
      </c>
      <c r="K5" s="8" t="n">
        <v>5.6</v>
      </c>
      <c r="L5" s="8" t="n">
        <v>5.6</v>
      </c>
      <c r="M5" s="14">
        <f>J5/K5-1</f>
        <v/>
      </c>
      <c r="N5" s="7" t="inlineStr">
        <is>
          <t>ACIMA +31.2%</t>
        </is>
      </c>
      <c r="O5" s="7" t="inlineStr"/>
    </row>
    <row r="6">
      <c r="A6" s="7" t="n">
        <v>4923</v>
      </c>
      <c r="B6" s="7" t="inlineStr">
        <is>
          <t>183130</t>
        </is>
      </c>
      <c r="C6" s="12" t="inlineStr">
        <is>
          <t>7896472521821</t>
        </is>
      </c>
      <c r="D6" s="7" t="inlineStr">
        <is>
          <t>CLORIDRATO DE FEXOFENADINA 6MG/ML 60ML-NQ</t>
        </is>
      </c>
      <c r="E6" s="13" t="n">
        <v>1</v>
      </c>
      <c r="F6" s="13" t="n">
        <v>2</v>
      </c>
      <c r="G6" s="13" t="n">
        <v>2</v>
      </c>
      <c r="H6" s="8" t="n">
        <v>10.19</v>
      </c>
      <c r="I6" s="8">
        <f>G6*H6</f>
        <v/>
      </c>
      <c r="J6" s="8">
        <f>H6/E6</f>
        <v/>
      </c>
      <c r="K6" s="8" t="n">
        <v>13.28</v>
      </c>
      <c r="L6" s="8" t="n">
        <v>13.28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651091</v>
      </c>
      <c r="B7" s="7" t="inlineStr">
        <is>
          <t>140287</t>
        </is>
      </c>
      <c r="C7" s="12" t="inlineStr">
        <is>
          <t>7895296449823</t>
        </is>
      </c>
      <c r="D7" s="7" t="inlineStr">
        <is>
          <t>CLORIDRATO DE NARATRIPTANA 2,5MG 10 CPR</t>
        </is>
      </c>
      <c r="E7" s="13" t="n">
        <v>1</v>
      </c>
      <c r="F7" s="13" t="n">
        <v>2</v>
      </c>
      <c r="G7" s="13" t="n">
        <v>2</v>
      </c>
      <c r="H7" s="8" t="n">
        <v>18.09</v>
      </c>
      <c r="I7" s="8">
        <f>G7*H7</f>
        <v/>
      </c>
      <c r="J7" s="8">
        <f>H7/E7</f>
        <v/>
      </c>
      <c r="K7" s="8" t="n">
        <v>14.9512</v>
      </c>
      <c r="L7" s="8" t="n">
        <v>14.9512</v>
      </c>
      <c r="M7" s="14">
        <f>J7/K7-1</f>
        <v/>
      </c>
      <c r="N7" s="7" t="inlineStr">
        <is>
          <t>ACIMA +21.0%</t>
        </is>
      </c>
      <c r="O7" s="7" t="inlineStr"/>
    </row>
    <row r="8">
      <c r="A8" s="7" t="n">
        <v>597761</v>
      </c>
      <c r="B8" s="7" t="inlineStr">
        <is>
          <t>190829</t>
        </is>
      </c>
      <c r="C8" s="12" t="inlineStr">
        <is>
          <t>7898687731552</t>
        </is>
      </c>
      <c r="D8" s="7" t="inlineStr">
        <is>
          <t>CLORIDRATO DE ONDANSETRONA DI-HIDRATADO 4MG CX 10 COMP ORODISP</t>
        </is>
      </c>
      <c r="E8" s="13" t="n">
        <v>1</v>
      </c>
      <c r="F8" s="13" t="n">
        <v>1</v>
      </c>
      <c r="G8" s="13" t="n">
        <v>1</v>
      </c>
      <c r="H8" s="8" t="n">
        <v>8.15</v>
      </c>
      <c r="I8" s="8">
        <f>G8*H8</f>
        <v/>
      </c>
      <c r="J8" s="8">
        <f>H8/E8</f>
        <v/>
      </c>
      <c r="K8" s="8" t="n">
        <v>6.71</v>
      </c>
      <c r="L8" s="8" t="n">
        <v>6.71</v>
      </c>
      <c r="M8" s="14">
        <f>J8/K8-1</f>
        <v/>
      </c>
      <c r="N8" s="7" t="inlineStr">
        <is>
          <t>ACIMA +21.5%</t>
        </is>
      </c>
      <c r="O8" s="7" t="inlineStr"/>
    </row>
    <row r="9">
      <c r="A9" s="7" t="n">
        <v>182141</v>
      </c>
      <c r="B9" s="7" t="inlineStr">
        <is>
          <t>193976</t>
        </is>
      </c>
      <c r="C9" s="12" t="inlineStr">
        <is>
          <t>7895296014014</t>
        </is>
      </c>
      <c r="D9" s="7" t="inlineStr">
        <is>
          <t>CLORIDRATO DE TRAMADOL 50MG CX 10 CAP</t>
        </is>
      </c>
      <c r="E9" s="13" t="n">
        <v>1</v>
      </c>
      <c r="F9" s="13" t="n">
        <v>6</v>
      </c>
      <c r="G9" s="13" t="n">
        <v>6</v>
      </c>
      <c r="H9" s="8" t="n">
        <v>4.75</v>
      </c>
      <c r="I9" s="8">
        <f>G9*H9</f>
        <v/>
      </c>
      <c r="J9" s="8">
        <f>H9/E9</f>
        <v/>
      </c>
      <c r="K9" s="8" t="n">
        <v>4.7842</v>
      </c>
      <c r="L9" s="8" t="n">
        <v>4.7842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3433</v>
      </c>
      <c r="B10" s="7" t="inlineStr">
        <is>
          <t>187984</t>
        </is>
      </c>
      <c r="C10" s="12" t="inlineStr">
        <is>
          <t>7898108640692</t>
        </is>
      </c>
      <c r="D10" s="7" t="inlineStr">
        <is>
          <t>CURATIVO REDONDO CICATRISAN C/20 UND</t>
        </is>
      </c>
      <c r="E10" s="13" t="n">
        <v>1</v>
      </c>
      <c r="F10" s="13" t="n">
        <v>2</v>
      </c>
      <c r="G10" s="13" t="n">
        <v>2</v>
      </c>
      <c r="H10" s="8" t="n">
        <v>5.95</v>
      </c>
      <c r="I10" s="8">
        <f>G10*H10</f>
        <v/>
      </c>
      <c r="J10" s="8">
        <f>H10/E10</f>
        <v/>
      </c>
      <c r="K10" s="8" t="n">
        <v>5.815</v>
      </c>
      <c r="L10" s="8" t="n">
        <v>5.815</v>
      </c>
      <c r="M10" s="14">
        <f>J10/K10-1</f>
        <v/>
      </c>
      <c r="N10" s="7" t="inlineStr">
        <is>
          <t>ACIMA +2.3%</t>
        </is>
      </c>
      <c r="O10" s="7" t="inlineStr"/>
    </row>
    <row r="11">
      <c r="A11" s="7" t="n">
        <v>201421</v>
      </c>
      <c r="B11" s="7" t="inlineStr">
        <is>
          <t>194123</t>
        </is>
      </c>
      <c r="C11" s="12" t="inlineStr">
        <is>
          <t>7895296277051</t>
        </is>
      </c>
      <c r="D11" s="7" t="inlineStr">
        <is>
          <t>DEFLAZACORTE 6MG CX 20 COMP</t>
        </is>
      </c>
      <c r="E11" s="13" t="n">
        <v>1</v>
      </c>
      <c r="F11" s="13" t="n">
        <v>1</v>
      </c>
      <c r="G11" s="13" t="n">
        <v>1</v>
      </c>
      <c r="H11" s="8" t="n">
        <v>36.45</v>
      </c>
      <c r="I11" s="8">
        <f>G11*H11</f>
        <v/>
      </c>
      <c r="J11" s="8">
        <f>H11/E11</f>
        <v/>
      </c>
      <c r="K11" s="8" t="n">
        <v>34.39</v>
      </c>
      <c r="L11" s="8" t="n">
        <v>34.39</v>
      </c>
      <c r="M11" s="14">
        <f>J11/K11-1</f>
        <v/>
      </c>
      <c r="N11" s="7" t="inlineStr">
        <is>
          <t>ACIMA +6.0%</t>
        </is>
      </c>
      <c r="O11" s="7" t="inlineStr"/>
    </row>
    <row r="12">
      <c r="A12" s="7" t="n">
        <v>661161</v>
      </c>
      <c r="B12" s="7" t="inlineStr">
        <is>
          <t>190659</t>
        </is>
      </c>
      <c r="C12" s="12" t="inlineStr">
        <is>
          <t>7898569767556</t>
        </is>
      </c>
      <c r="D12" s="7" t="inlineStr">
        <is>
          <t>DESVENLAFAXINA 50MG CX 30 COMP REV</t>
        </is>
      </c>
      <c r="E12" s="13" t="n">
        <v>1</v>
      </c>
      <c r="F12" s="13" t="n">
        <v>1</v>
      </c>
      <c r="G12" s="13" t="n">
        <v>1</v>
      </c>
      <c r="H12" s="8" t="n">
        <v>29.27</v>
      </c>
      <c r="I12" s="8">
        <f>G12*H12</f>
        <v/>
      </c>
      <c r="J12" s="8">
        <f>H12/E12</f>
        <v/>
      </c>
      <c r="K12" s="8" t="n">
        <v>24.56</v>
      </c>
      <c r="L12" s="8" t="n">
        <v>24.56</v>
      </c>
      <c r="M12" s="14">
        <f>J12/K12-1</f>
        <v/>
      </c>
      <c r="N12" s="7" t="inlineStr">
        <is>
          <t>ACIMA +19.2%</t>
        </is>
      </c>
      <c r="O12" s="7" t="inlineStr"/>
    </row>
    <row r="13">
      <c r="A13" s="7" t="n">
        <v>150061</v>
      </c>
      <c r="B13" s="7" t="inlineStr">
        <is>
          <t>162922</t>
        </is>
      </c>
      <c r="C13" s="12" t="inlineStr">
        <is>
          <t>7895296053044</t>
        </is>
      </c>
      <c r="D13" s="7" t="inlineStr">
        <is>
          <t>DICLORIDRATO DE HIDROXIZINA 25MG CX 30 COMP</t>
        </is>
      </c>
      <c r="E13" s="13" t="n">
        <v>1</v>
      </c>
      <c r="F13" s="13" t="n">
        <v>1</v>
      </c>
      <c r="G13" s="13" t="n">
        <v>1</v>
      </c>
      <c r="H13" s="8" t="n">
        <v>28.55</v>
      </c>
      <c r="I13" s="8">
        <f>G13*H13</f>
        <v/>
      </c>
      <c r="J13" s="8">
        <f>H13/E13</f>
        <v/>
      </c>
      <c r="K13" s="8" t="n">
        <v>26.56</v>
      </c>
      <c r="L13" s="8" t="n">
        <v>26.56</v>
      </c>
      <c r="M13" s="14">
        <f>J13/K13-1</f>
        <v/>
      </c>
      <c r="N13" s="7" t="inlineStr">
        <is>
          <t>ACIMA +7.5%</t>
        </is>
      </c>
      <c r="O13" s="7" t="inlineStr"/>
    </row>
    <row r="14">
      <c r="A14" s="7" t="n">
        <v>238761</v>
      </c>
      <c r="B14" s="7" t="inlineStr">
        <is>
          <t>194379</t>
        </is>
      </c>
      <c r="C14" s="12" t="inlineStr">
        <is>
          <t>7895296100038</t>
        </is>
      </c>
      <c r="D14" s="7" t="inlineStr">
        <is>
          <t>DROSPIRENONA+ETINILESTRADIOL 3+0,03MG CX 21 COMP REV</t>
        </is>
      </c>
      <c r="E14" s="13" t="n">
        <v>1</v>
      </c>
      <c r="F14" s="13" t="n">
        <v>11</v>
      </c>
      <c r="G14" s="13" t="n">
        <v>11</v>
      </c>
      <c r="H14" s="8" t="n">
        <v>10.39</v>
      </c>
      <c r="I14" s="8">
        <f>G14*H14</f>
        <v/>
      </c>
      <c r="J14" s="8">
        <f>H14/E14</f>
        <v/>
      </c>
      <c r="K14" s="8" t="n">
        <v>10.44</v>
      </c>
      <c r="L14" s="8" t="n">
        <v>8.948700000000001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660351</v>
      </c>
      <c r="B15" s="7" t="inlineStr">
        <is>
          <t>194328</t>
        </is>
      </c>
      <c r="C15" s="12" t="inlineStr">
        <is>
          <t>7896472521845</t>
        </is>
      </c>
      <c r="D15" s="7" t="inlineStr">
        <is>
          <t>EZETIMIBA 10MG 30 CPR</t>
        </is>
      </c>
      <c r="E15" s="13" t="n">
        <v>1</v>
      </c>
      <c r="F15" s="13" t="n">
        <v>6</v>
      </c>
      <c r="G15" s="13" t="n">
        <v>6</v>
      </c>
      <c r="H15" s="8" t="n">
        <v>16.49</v>
      </c>
      <c r="I15" s="8">
        <f>G15*H15</f>
        <v/>
      </c>
      <c r="J15" s="8">
        <f>H15/E15</f>
        <v/>
      </c>
      <c r="K15" s="8" t="n">
        <v>15.99</v>
      </c>
      <c r="L15" s="8" t="n">
        <v>15.99</v>
      </c>
      <c r="M15" s="14">
        <f>J15/K15-1</f>
        <v/>
      </c>
      <c r="N15" s="7" t="inlineStr">
        <is>
          <t>ACIMA +3.1%</t>
        </is>
      </c>
      <c r="O15" s="7" t="inlineStr"/>
    </row>
    <row r="16">
      <c r="A16" s="7" t="n">
        <v>249001</v>
      </c>
      <c r="B16" s="7" t="inlineStr">
        <is>
          <t>194280</t>
        </is>
      </c>
      <c r="C16" s="12" t="inlineStr">
        <is>
          <t>7895296276047</t>
        </is>
      </c>
      <c r="D16" s="7" t="inlineStr">
        <is>
          <t>FINASTERIDA 5MG CX 30 COMP REV</t>
        </is>
      </c>
      <c r="E16" s="13" t="n">
        <v>1</v>
      </c>
      <c r="F16" s="13" t="n">
        <v>2</v>
      </c>
      <c r="G16" s="13" t="n">
        <v>2</v>
      </c>
      <c r="H16" s="8" t="n">
        <v>19.99</v>
      </c>
      <c r="I16" s="8">
        <f>G16*H16</f>
        <v/>
      </c>
      <c r="J16" s="8">
        <f>H16/E16</f>
        <v/>
      </c>
      <c r="K16" s="8" t="n">
        <v>18.78</v>
      </c>
      <c r="L16" s="8" t="n">
        <v>18.78</v>
      </c>
      <c r="M16" s="14">
        <f>J16/K16-1</f>
        <v/>
      </c>
      <c r="N16" s="7" t="inlineStr">
        <is>
          <t>ACIMA +6.4%</t>
        </is>
      </c>
      <c r="O16" s="7" t="inlineStr"/>
    </row>
    <row r="17">
      <c r="A17" s="7" t="n">
        <v>645451</v>
      </c>
      <c r="B17" s="7" t="inlineStr">
        <is>
          <t>62685</t>
        </is>
      </c>
      <c r="C17" s="12" t="inlineStr">
        <is>
          <t>7898108641262</t>
        </is>
      </c>
      <c r="D17" s="7" t="inlineStr">
        <is>
          <t>FITA MICROPOROSA SANFARMA 25MMX4,5M</t>
        </is>
      </c>
      <c r="E17" s="13" t="n">
        <v>1</v>
      </c>
      <c r="F17" s="13" t="n">
        <v>2</v>
      </c>
      <c r="G17" s="13" t="n">
        <v>2</v>
      </c>
      <c r="H17" s="8" t="n">
        <v>4.65</v>
      </c>
      <c r="I17" s="8">
        <f>G17*H17</f>
        <v/>
      </c>
      <c r="J17" s="8">
        <f>H17/E17</f>
        <v/>
      </c>
      <c r="K17" s="8" t="n">
        <v>4.09</v>
      </c>
      <c r="L17" s="8" t="n">
        <v>4.09</v>
      </c>
      <c r="M17" s="14">
        <f>J17/K17-1</f>
        <v/>
      </c>
      <c r="N17" s="7" t="inlineStr">
        <is>
          <t>ACIMA +13.7%</t>
        </is>
      </c>
      <c r="O17" s="7" t="inlineStr"/>
    </row>
    <row r="18">
      <c r="A18" s="7" t="n">
        <v>294061</v>
      </c>
      <c r="B18" s="7" t="inlineStr">
        <is>
          <t>141305</t>
        </is>
      </c>
      <c r="C18" s="12" t="inlineStr">
        <is>
          <t>7898569763633</t>
        </is>
      </c>
      <c r="D18" s="7" t="inlineStr">
        <is>
          <t>IBANDRONATO DE SODIO 150MG CX 1 COMP REV</t>
        </is>
      </c>
      <c r="E18" s="13" t="n">
        <v>1</v>
      </c>
      <c r="F18" s="13" t="n">
        <v>1</v>
      </c>
      <c r="G18" s="13" t="n">
        <v>1</v>
      </c>
      <c r="H18" s="8" t="n">
        <v>24.46</v>
      </c>
      <c r="I18" s="8">
        <f>G18*H18</f>
        <v/>
      </c>
      <c r="J18" s="8">
        <f>H18/E18</f>
        <v/>
      </c>
      <c r="K18" s="8" t="n">
        <v>19.51</v>
      </c>
      <c r="L18" s="8" t="n">
        <v>19.51</v>
      </c>
      <c r="M18" s="14">
        <f>J18/K18-1</f>
        <v/>
      </c>
      <c r="N18" s="7" t="inlineStr">
        <is>
          <t>ACIMA +25.4%</t>
        </is>
      </c>
      <c r="O18" s="7" t="inlineStr"/>
    </row>
    <row r="19">
      <c r="A19" s="7" t="n">
        <v>630321</v>
      </c>
      <c r="B19" s="7" t="inlineStr">
        <is>
          <t>179620</t>
        </is>
      </c>
      <c r="C19" s="12" t="inlineStr">
        <is>
          <t>7898687735918</t>
        </is>
      </c>
      <c r="D19" s="7" t="inlineStr">
        <is>
          <t>IROSE  NITAZOXANIDA 20MG/ML PO SUS OR FR 100ML+SER DOS</t>
        </is>
      </c>
      <c r="E19" s="13" t="n">
        <v>1</v>
      </c>
      <c r="F19" s="13" t="n">
        <v>11</v>
      </c>
      <c r="G19" s="13" t="n">
        <v>11</v>
      </c>
      <c r="H19" s="8" t="n">
        <v>15.11</v>
      </c>
      <c r="I19" s="8">
        <f>G19*H19</f>
        <v/>
      </c>
      <c r="J19" s="8">
        <f>H19/E19</f>
        <v/>
      </c>
      <c r="K19" s="8" t="n">
        <v>14.56</v>
      </c>
      <c r="L19" s="8" t="n">
        <v>14.56</v>
      </c>
      <c r="M19" s="14">
        <f>J19/K19-1</f>
        <v/>
      </c>
      <c r="N19" s="7" t="inlineStr">
        <is>
          <t>ACIMA +3.8%</t>
        </is>
      </c>
      <c r="O19" s="7" t="inlineStr"/>
    </row>
    <row r="20">
      <c r="A20" s="7" t="n">
        <v>305921</v>
      </c>
      <c r="B20" s="7" t="inlineStr">
        <is>
          <t>194093</t>
        </is>
      </c>
      <c r="C20" s="12" t="inlineStr">
        <is>
          <t>7895296043069</t>
        </is>
      </c>
      <c r="D20" s="7" t="inlineStr">
        <is>
          <t>ISOTRETINOINA 20MG CX 30 CAP</t>
        </is>
      </c>
      <c r="E20" s="13" t="n">
        <v>1</v>
      </c>
      <c r="F20" s="13" t="n">
        <v>1</v>
      </c>
      <c r="G20" s="13" t="n">
        <v>1</v>
      </c>
      <c r="H20" s="8" t="n">
        <v>36.39</v>
      </c>
      <c r="I20" s="8">
        <f>G20*H20</f>
        <v/>
      </c>
      <c r="J20" s="8">
        <f>H20/E20</f>
        <v/>
      </c>
      <c r="K20" s="8" t="n">
        <v>31.09</v>
      </c>
      <c r="L20" s="8" t="n">
        <v>31.09</v>
      </c>
      <c r="M20" s="14">
        <f>J20/K20-1</f>
        <v/>
      </c>
      <c r="N20" s="7" t="inlineStr">
        <is>
          <t>ACIMA +17.0%</t>
        </is>
      </c>
      <c r="O20" s="7" t="inlineStr"/>
    </row>
    <row r="21">
      <c r="A21" s="7" t="n">
        <v>336001</v>
      </c>
      <c r="B21" s="7" t="inlineStr">
        <is>
          <t>132721</t>
        </is>
      </c>
      <c r="C21" s="12" t="inlineStr">
        <is>
          <t>7898945030212</t>
        </is>
      </c>
      <c r="D21" s="7" t="inlineStr">
        <is>
          <t>MALEATO DE TRIMEBUTINA 200MG CX 30 COMP</t>
        </is>
      </c>
      <c r="E21" s="13" t="n">
        <v>1</v>
      </c>
      <c r="F21" s="13" t="n">
        <v>1</v>
      </c>
      <c r="G21" s="13" t="n">
        <v>1</v>
      </c>
      <c r="H21" s="8" t="n">
        <v>34.66</v>
      </c>
      <c r="I21" s="8">
        <f>G21*H21</f>
        <v/>
      </c>
      <c r="J21" s="8">
        <f>H21/E21</f>
        <v/>
      </c>
      <c r="K21" s="8" t="n">
        <v>33.8</v>
      </c>
      <c r="L21" s="8" t="n">
        <v>31.95</v>
      </c>
      <c r="M21" s="14">
        <f>J21/K21-1</f>
        <v/>
      </c>
      <c r="N21" s="7" t="inlineStr">
        <is>
          <t>ACIMA +2.5%</t>
        </is>
      </c>
      <c r="O21" s="7" t="inlineStr"/>
    </row>
    <row r="22">
      <c r="A22" s="7" t="n">
        <v>652061</v>
      </c>
      <c r="B22" s="7" t="inlineStr">
        <is>
          <t>184640</t>
        </is>
      </c>
      <c r="C22" s="12" t="inlineStr">
        <is>
          <t>7891317029951</t>
        </is>
      </c>
      <c r="D22" s="7" t="inlineStr">
        <is>
          <t>MAQ SENIOR PREMIUM 30CPR-DEMAIS PROD</t>
        </is>
      </c>
      <c r="E22" s="13" t="n">
        <v>1</v>
      </c>
      <c r="F22" s="13" t="n">
        <v>1</v>
      </c>
      <c r="G22" s="13" t="n">
        <v>1</v>
      </c>
      <c r="H22" s="8" t="n">
        <v>39.15</v>
      </c>
      <c r="I22" s="8">
        <f>G22*H22</f>
        <v/>
      </c>
      <c r="J22" s="8">
        <f>H22/E22</f>
        <v/>
      </c>
      <c r="K22" s="8" t="n">
        <v>40.97</v>
      </c>
      <c r="L22" s="8" t="n">
        <v>40.97</v>
      </c>
      <c r="M22" s="14">
        <f>J22/K22-1</f>
        <v/>
      </c>
      <c r="N22" s="7" t="inlineStr">
        <is>
          <t>OK (≤ menor hist.)</t>
        </is>
      </c>
      <c r="O22" s="7" t="inlineStr"/>
    </row>
    <row r="23">
      <c r="A23" s="7" t="n">
        <v>613381</v>
      </c>
      <c r="B23" s="7" t="inlineStr">
        <is>
          <t>190764</t>
        </is>
      </c>
      <c r="C23" s="12" t="inlineStr">
        <is>
          <t>7898687730487</t>
        </is>
      </c>
      <c r="D23" s="7" t="inlineStr">
        <is>
          <t>NITAZOXANIDA 20MG/ML PO SUS OR FR 100ML+SER DOS</t>
        </is>
      </c>
      <c r="E23" s="13" t="n">
        <v>1</v>
      </c>
      <c r="F23" s="13" t="n">
        <v>7</v>
      </c>
      <c r="G23" s="13" t="n">
        <v>7</v>
      </c>
      <c r="H23" s="8" t="n">
        <v>15.07</v>
      </c>
      <c r="I23" s="8">
        <f>G23*H23</f>
        <v/>
      </c>
      <c r="J23" s="8">
        <f>H23/E23</f>
        <v/>
      </c>
      <c r="K23" s="8" t="n">
        <v>12.23</v>
      </c>
      <c r="L23" s="8" t="n">
        <v>12.23</v>
      </c>
      <c r="M23" s="14">
        <f>J23/K23-1</f>
        <v/>
      </c>
      <c r="N23" s="7" t="inlineStr">
        <is>
          <t>ACIMA +23.2%</t>
        </is>
      </c>
      <c r="O23" s="7" t="inlineStr"/>
    </row>
    <row r="24">
      <c r="A24" s="7" t="n">
        <v>610201</v>
      </c>
      <c r="B24" s="7" t="inlineStr">
        <is>
          <t>190721</t>
        </is>
      </c>
      <c r="C24" s="12" t="inlineStr">
        <is>
          <t>7898687730470</t>
        </is>
      </c>
      <c r="D24" s="7" t="inlineStr">
        <is>
          <t>NITAZOXANIDA 20MG/ML PO SUS OR FR 45ML+SER DOS</t>
        </is>
      </c>
      <c r="E24" s="13" t="n">
        <v>1</v>
      </c>
      <c r="F24" s="13" t="n">
        <v>11</v>
      </c>
      <c r="G24" s="13" t="n">
        <v>11</v>
      </c>
      <c r="H24" s="8" t="n">
        <v>7.68</v>
      </c>
      <c r="I24" s="8">
        <f>G24*H24</f>
        <v/>
      </c>
      <c r="J24" s="8">
        <f>H24/E24</f>
        <v/>
      </c>
      <c r="K24" s="8" t="n">
        <v>6.62</v>
      </c>
      <c r="L24" s="8" t="n">
        <v>6.62</v>
      </c>
      <c r="M24" s="14">
        <f>J24/K24-1</f>
        <v/>
      </c>
      <c r="N24" s="7" t="inlineStr">
        <is>
          <t>ACIMA +16.0%</t>
        </is>
      </c>
      <c r="O24" s="7" t="inlineStr"/>
    </row>
    <row r="25">
      <c r="A25" s="7" t="n">
        <v>375941</v>
      </c>
      <c r="B25" s="7" t="inlineStr">
        <is>
          <t>143162</t>
        </is>
      </c>
      <c r="C25" s="12" t="inlineStr">
        <is>
          <t>7898569763015</t>
        </is>
      </c>
      <c r="D25" s="7" t="inlineStr">
        <is>
          <t>OLMESARTANA MEDOXOMILA 20MG CX 30 COMP REV</t>
        </is>
      </c>
      <c r="E25" s="13" t="n">
        <v>1</v>
      </c>
      <c r="F25" s="13" t="n">
        <v>3</v>
      </c>
      <c r="G25" s="13" t="n">
        <v>3</v>
      </c>
      <c r="H25" s="8" t="n">
        <v>14.13</v>
      </c>
      <c r="I25" s="8">
        <f>G25*H25</f>
        <v/>
      </c>
      <c r="J25" s="8">
        <f>H25/E25</f>
        <v/>
      </c>
      <c r="K25" s="8" t="n">
        <v>11.77</v>
      </c>
      <c r="L25" s="8" t="n">
        <v>9.99</v>
      </c>
      <c r="M25" s="14">
        <f>J25/K25-1</f>
        <v/>
      </c>
      <c r="N25" s="7" t="inlineStr">
        <is>
          <t>ACIMA +20.1%</t>
        </is>
      </c>
      <c r="O25" s="7" t="inlineStr"/>
    </row>
    <row r="26">
      <c r="A26" s="7" t="n">
        <v>388861</v>
      </c>
      <c r="B26" s="7" t="inlineStr">
        <is>
          <t>193720</t>
        </is>
      </c>
      <c r="C26" s="12" t="inlineStr">
        <is>
          <t>7895296199025</t>
        </is>
      </c>
      <c r="D26" s="7" t="inlineStr">
        <is>
          <t>PANTOPRAZOL 20MG CX 4BL X 7 COMP REV</t>
        </is>
      </c>
      <c r="E26" s="13" t="n">
        <v>1</v>
      </c>
      <c r="F26" s="13" t="n">
        <v>1</v>
      </c>
      <c r="G26" s="13" t="n">
        <v>1</v>
      </c>
      <c r="H26" s="8" t="n">
        <v>4.69</v>
      </c>
      <c r="I26" s="8">
        <f>G26*H26</f>
        <v/>
      </c>
      <c r="J26" s="8">
        <f>H26/E26</f>
        <v/>
      </c>
      <c r="K26" s="8" t="n">
        <v>6.5</v>
      </c>
      <c r="L26" s="8" t="n">
        <v>6.38</v>
      </c>
      <c r="M26" s="14">
        <f>J26/K26-1</f>
        <v/>
      </c>
      <c r="N26" s="7" t="inlineStr">
        <is>
          <t>OK (≤ menor hist.)</t>
        </is>
      </c>
      <c r="O26" s="7" t="inlineStr"/>
    </row>
    <row r="27">
      <c r="A27" s="7" t="n">
        <v>407821</v>
      </c>
      <c r="B27" s="7" t="inlineStr">
        <is>
          <t>190837</t>
        </is>
      </c>
      <c r="C27" s="12" t="inlineStr">
        <is>
          <t>7898569765347</t>
        </is>
      </c>
      <c r="D27" s="7" t="inlineStr">
        <is>
          <t>PREDNISOLONA 5MG CX 10 COMP</t>
        </is>
      </c>
      <c r="E27" s="13" t="n">
        <v>1</v>
      </c>
      <c r="F27" s="13" t="n">
        <v>3</v>
      </c>
      <c r="G27" s="13" t="n">
        <v>3</v>
      </c>
      <c r="H27" s="8" t="n">
        <v>4.22</v>
      </c>
      <c r="I27" s="8">
        <f>G27*H27</f>
        <v/>
      </c>
      <c r="J27" s="8">
        <f>H27/E27</f>
        <v/>
      </c>
      <c r="K27" s="8" t="n">
        <v>4.32</v>
      </c>
      <c r="L27" s="8" t="n">
        <v>4.32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409221</v>
      </c>
      <c r="B28" s="7" t="inlineStr">
        <is>
          <t>193518</t>
        </is>
      </c>
      <c r="C28" s="12" t="inlineStr">
        <is>
          <t>7895296286022</t>
        </is>
      </c>
      <c r="D28" s="7" t="inlineStr">
        <is>
          <t>PREDNISONA 5MG CX 20 COMP</t>
        </is>
      </c>
      <c r="E28" s="13" t="n">
        <v>1</v>
      </c>
      <c r="F28" s="13" t="n">
        <v>2</v>
      </c>
      <c r="G28" s="13" t="n">
        <v>2</v>
      </c>
      <c r="H28" s="8" t="n">
        <v>4.49</v>
      </c>
      <c r="I28" s="8">
        <f>G28*H28</f>
        <v/>
      </c>
      <c r="J28" s="8">
        <f>H28/E28</f>
        <v/>
      </c>
      <c r="K28" s="8" t="n">
        <v>4.28</v>
      </c>
      <c r="L28" s="8" t="n">
        <v>4.28</v>
      </c>
      <c r="M28" s="14">
        <f>J28/K28-1</f>
        <v/>
      </c>
      <c r="N28" s="7" t="inlineStr">
        <is>
          <t>ACIMA +4.9%</t>
        </is>
      </c>
      <c r="O28" s="7" t="inlineStr"/>
    </row>
    <row r="29">
      <c r="A29" s="7" t="n">
        <v>414621</v>
      </c>
      <c r="B29" s="7" t="inlineStr">
        <is>
          <t>193470</t>
        </is>
      </c>
      <c r="C29" s="12" t="inlineStr">
        <is>
          <t>7895296210324</t>
        </is>
      </c>
      <c r="D29" s="7" t="inlineStr">
        <is>
          <t>PROPIONATO DE CLOBETASOL 0,5MG/G CREME DERM BG 30G</t>
        </is>
      </c>
      <c r="E29" s="13" t="n">
        <v>1</v>
      </c>
      <c r="F29" s="13" t="n">
        <v>7</v>
      </c>
      <c r="G29" s="13" t="n">
        <v>7</v>
      </c>
      <c r="H29" s="8" t="n">
        <v>6.85</v>
      </c>
      <c r="I29" s="8">
        <f>G29*H29</f>
        <v/>
      </c>
      <c r="J29" s="8">
        <f>H29/E29</f>
        <v/>
      </c>
      <c r="K29" s="8" t="n">
        <v>6.19</v>
      </c>
      <c r="L29" s="8" t="n">
        <v>6.19</v>
      </c>
      <c r="M29" s="14">
        <f>J29/K29-1</f>
        <v/>
      </c>
      <c r="N29" s="7" t="inlineStr">
        <is>
          <t>ACIMA +10.7%</t>
        </is>
      </c>
      <c r="O29" s="7" t="inlineStr"/>
    </row>
    <row r="30">
      <c r="A30" s="7" t="n">
        <v>630531</v>
      </c>
      <c r="B30" s="7" t="inlineStr">
        <is>
          <t>200441</t>
        </is>
      </c>
      <c r="C30" s="12" t="inlineStr">
        <is>
          <t>7892643940019</t>
        </is>
      </c>
      <c r="D30" s="7" t="inlineStr">
        <is>
          <t>SORO FISIOLOGICO 0,9% 500ML - SANDOM</t>
        </is>
      </c>
      <c r="E30" s="13" t="n">
        <v>1</v>
      </c>
      <c r="F30" s="13" t="n">
        <v>183</v>
      </c>
      <c r="G30" s="13" t="n">
        <v>183</v>
      </c>
      <c r="H30" s="8" t="n">
        <v>4.99</v>
      </c>
      <c r="I30" s="8">
        <f>G30*H30</f>
        <v/>
      </c>
      <c r="J30" s="8">
        <f>H30/E30</f>
        <v/>
      </c>
      <c r="K30" s="8" t="n">
        <v>3.89</v>
      </c>
      <c r="L30" s="8" t="n">
        <v>3.89</v>
      </c>
      <c r="M30" s="14">
        <f>J30/K30-1</f>
        <v/>
      </c>
      <c r="N30" s="7" t="inlineStr">
        <is>
          <t>ACIMA +28.3%</t>
        </is>
      </c>
      <c r="O30" s="7" t="inlineStr"/>
    </row>
    <row r="31">
      <c r="A31" s="7" t="n">
        <v>457261</v>
      </c>
      <c r="B31" s="7" t="inlineStr">
        <is>
          <t>193143</t>
        </is>
      </c>
      <c r="C31" s="12" t="inlineStr">
        <is>
          <t>7895296240031</t>
        </is>
      </c>
      <c r="D31" s="7" t="inlineStr">
        <is>
          <t>TADALAFILA 5MG CX 2BL X 15 COMP REV</t>
        </is>
      </c>
      <c r="E31" s="13" t="n">
        <v>1</v>
      </c>
      <c r="F31" s="13" t="n">
        <v>2</v>
      </c>
      <c r="G31" s="13" t="n">
        <v>2</v>
      </c>
      <c r="H31" s="8" t="n">
        <v>3.69</v>
      </c>
      <c r="I31" s="8">
        <f>G31*H31</f>
        <v/>
      </c>
      <c r="J31" s="8">
        <f>H31/E31</f>
        <v/>
      </c>
      <c r="K31" s="8" t="n">
        <v>3.74</v>
      </c>
      <c r="L31" s="8" t="n">
        <v>3.74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460261</v>
      </c>
      <c r="B32" s="7" t="inlineStr">
        <is>
          <t>161691</t>
        </is>
      </c>
      <c r="C32" s="12" t="inlineStr">
        <is>
          <t>7898569762858</t>
        </is>
      </c>
      <c r="D32" s="7" t="inlineStr">
        <is>
          <t>TELMISARTANA 80MG CX 30 COMP</t>
        </is>
      </c>
      <c r="E32" s="13" t="n">
        <v>1</v>
      </c>
      <c r="F32" s="13" t="n">
        <v>1</v>
      </c>
      <c r="G32" s="13" t="n">
        <v>1</v>
      </c>
      <c r="H32" s="8" t="n">
        <v>48.63</v>
      </c>
      <c r="I32" s="8">
        <f>G32*H32</f>
        <v/>
      </c>
      <c r="J32" s="8">
        <f>H32/E32</f>
        <v/>
      </c>
      <c r="K32" s="8" t="n">
        <v>41.255</v>
      </c>
      <c r="L32" s="8" t="n">
        <v>41.255</v>
      </c>
      <c r="M32" s="14">
        <f>J32/K32-1</f>
        <v/>
      </c>
      <c r="N32" s="7" t="inlineStr">
        <is>
          <t>ACIMA +17.9%</t>
        </is>
      </c>
      <c r="O32" s="7" t="inlineStr"/>
    </row>
    <row r="33">
      <c r="A33" s="7" t="n">
        <v>462441</v>
      </c>
      <c r="B33" s="7" t="inlineStr">
        <is>
          <t>193135</t>
        </is>
      </c>
      <c r="C33" s="12" t="inlineStr">
        <is>
          <t>7895296132039</t>
        </is>
      </c>
      <c r="D33" s="7" t="inlineStr">
        <is>
          <t>TIBOLONA 2,5MG  CX 30 COMP</t>
        </is>
      </c>
      <c r="E33" s="13" t="n">
        <v>1</v>
      </c>
      <c r="F33" s="13" t="n">
        <v>3</v>
      </c>
      <c r="G33" s="13" t="n">
        <v>3</v>
      </c>
      <c r="H33" s="8" t="n">
        <v>24.85</v>
      </c>
      <c r="I33" s="8">
        <f>G33*H33</f>
        <v/>
      </c>
      <c r="J33" s="8">
        <f>H33/E33</f>
        <v/>
      </c>
      <c r="K33" s="8" t="n">
        <v>25.2</v>
      </c>
      <c r="L33" s="8" t="n">
        <v>24.21</v>
      </c>
      <c r="M33" s="14">
        <f>J33/K33-1</f>
        <v/>
      </c>
      <c r="N33" s="7" t="inlineStr">
        <is>
          <t>OK (≤ últ. compra)</t>
        </is>
      </c>
      <c r="O33" s="7" t="inlineStr"/>
    </row>
    <row r="34">
      <c r="A34" s="7" t="n">
        <v>648221</v>
      </c>
      <c r="B34" s="7" t="inlineStr">
        <is>
          <t>204820</t>
        </is>
      </c>
      <c r="C34" s="12" t="inlineStr">
        <is>
          <t>6939184632407</t>
        </is>
      </c>
      <c r="D34" s="7" t="inlineStr">
        <is>
          <t>TIRA DE TESTE DE GLICOSE C/50 UND</t>
        </is>
      </c>
      <c r="E34" s="13" t="n">
        <v>1</v>
      </c>
      <c r="F34" s="13" t="n">
        <v>2</v>
      </c>
      <c r="G34" s="13" t="n">
        <v>2</v>
      </c>
      <c r="H34" s="8" t="n">
        <v>29.9</v>
      </c>
      <c r="I34" s="8">
        <f>G34*H34</f>
        <v/>
      </c>
      <c r="J34" s="8">
        <f>H34/E34</f>
        <v/>
      </c>
      <c r="K34" s="8" t="n">
        <v>44.53</v>
      </c>
      <c r="L34" s="8" t="n">
        <v>44.53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662781</v>
      </c>
      <c r="B35" s="7" t="inlineStr">
        <is>
          <t>192929</t>
        </is>
      </c>
      <c r="C35" s="12" t="inlineStr">
        <is>
          <t>7896472521784</t>
        </is>
      </c>
      <c r="D35" s="7" t="inlineStr">
        <is>
          <t>VALSARTANA 320MG 30 COM-NQ</t>
        </is>
      </c>
      <c r="E35" s="13" t="n">
        <v>1</v>
      </c>
      <c r="F35" s="13" t="n">
        <v>5</v>
      </c>
      <c r="G35" s="13" t="n">
        <v>5</v>
      </c>
      <c r="H35" s="8" t="n">
        <v>25.05</v>
      </c>
      <c r="I35" s="8">
        <f>G35*H35</f>
        <v/>
      </c>
      <c r="J35" s="8">
        <f>H35/E35</f>
        <v/>
      </c>
      <c r="K35" s="8" t="n">
        <v>25.39</v>
      </c>
      <c r="L35" s="8" t="n">
        <v>25.39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653221</v>
      </c>
      <c r="B36" s="7" t="inlineStr">
        <is>
          <t>190624</t>
        </is>
      </c>
      <c r="C36" s="12" t="inlineStr">
        <is>
          <t>7898687737684</t>
        </is>
      </c>
      <c r="D36" s="7" t="inlineStr">
        <is>
          <t>VITAMINA D 50000UI CX 12 CAP</t>
        </is>
      </c>
      <c r="E36" s="13" t="n">
        <v>1</v>
      </c>
      <c r="F36" s="13" t="n">
        <v>1</v>
      </c>
      <c r="G36" s="13" t="n">
        <v>1</v>
      </c>
      <c r="H36" s="8" t="n">
        <v>35.43</v>
      </c>
      <c r="I36" s="8">
        <f>G36*H36</f>
        <v/>
      </c>
      <c r="J36" s="8">
        <f>H36/E36</f>
        <v/>
      </c>
      <c r="K36" s="8" t="n">
        <v>29.28</v>
      </c>
      <c r="L36" s="8" t="n">
        <v>29.28</v>
      </c>
      <c r="M36" s="14">
        <f>J36/K36-1</f>
        <v/>
      </c>
      <c r="N36" s="7" t="inlineStr">
        <is>
          <t>ACIMA +21.0%</t>
        </is>
      </c>
      <c r="O36" s="7" t="inlineStr"/>
    </row>
    <row r="37">
      <c r="A37" s="7" t="n">
        <v>193221</v>
      </c>
      <c r="B37" s="7" t="inlineStr">
        <is>
          <t>143685</t>
        </is>
      </c>
      <c r="C37" s="12" t="inlineStr">
        <is>
          <t>7898569765149</t>
        </is>
      </c>
      <c r="D37" s="7" t="inlineStr">
        <is>
          <t>VITAMINA D3 10000UI CX 30 CAP</t>
        </is>
      </c>
      <c r="E37" s="13" t="n">
        <v>1</v>
      </c>
      <c r="F37" s="13" t="n">
        <v>2</v>
      </c>
      <c r="G37" s="13" t="n">
        <v>2</v>
      </c>
      <c r="H37" s="8" t="n">
        <v>26.49</v>
      </c>
      <c r="I37" s="8">
        <f>G37*H37</f>
        <v/>
      </c>
      <c r="J37" s="8">
        <f>H37/E37</f>
        <v/>
      </c>
      <c r="K37" s="8" t="n">
        <v>21.98</v>
      </c>
      <c r="L37" s="8" t="n">
        <v>21.98</v>
      </c>
      <c r="M37" s="14">
        <f>J37/K37-1</f>
        <v/>
      </c>
      <c r="N37" s="7" t="inlineStr">
        <is>
          <t>ACIMA +20.5%</t>
        </is>
      </c>
      <c r="O37" s="7" t="inlineStr"/>
    </row>
    <row r="38">
      <c r="A38" s="7" t="n">
        <v>198101</v>
      </c>
      <c r="B38" s="7" t="inlineStr">
        <is>
          <t>175439</t>
        </is>
      </c>
      <c r="C38" s="12" t="inlineStr">
        <is>
          <t>7898569765828</t>
        </is>
      </c>
      <c r="D38" s="7" t="inlineStr">
        <is>
          <t>VITAMINA D3 50000UI CX 10 CAP</t>
        </is>
      </c>
      <c r="E38" s="13" t="n">
        <v>1</v>
      </c>
      <c r="F38" s="13" t="n">
        <v>2</v>
      </c>
      <c r="G38" s="13" t="n">
        <v>2</v>
      </c>
      <c r="H38" s="8" t="n">
        <v>31.11</v>
      </c>
      <c r="I38" s="8">
        <f>G38*H38</f>
        <v/>
      </c>
      <c r="J38" s="8">
        <f>H38/E38</f>
        <v/>
      </c>
      <c r="K38" s="8" t="n">
        <v>25.99</v>
      </c>
      <c r="L38" s="8" t="n">
        <v>25.99</v>
      </c>
      <c r="M38" s="14">
        <f>J38/K38-1</f>
        <v/>
      </c>
      <c r="N38" s="7" t="inlineStr">
        <is>
          <t>ACIMA +19.7%</t>
        </is>
      </c>
      <c r="O38" s="7" t="inlineStr"/>
    </row>
    <row r="39">
      <c r="A39" s="7" t="n">
        <v>193241</v>
      </c>
      <c r="B39" s="7" t="inlineStr">
        <is>
          <t>143618</t>
        </is>
      </c>
      <c r="C39" s="12" t="inlineStr">
        <is>
          <t>7898569765170</t>
        </is>
      </c>
      <c r="D39" s="7" t="inlineStr">
        <is>
          <t>VITAMINA D3 50000UI CX 4 CAP</t>
        </is>
      </c>
      <c r="E39" s="13" t="n">
        <v>1</v>
      </c>
      <c r="F39" s="13" t="n">
        <v>2</v>
      </c>
      <c r="G39" s="13" t="n">
        <v>2</v>
      </c>
      <c r="H39" s="8" t="n">
        <v>16.22</v>
      </c>
      <c r="I39" s="8">
        <f>G39*H39</f>
        <v/>
      </c>
      <c r="J39" s="8">
        <f>H39/E39</f>
        <v/>
      </c>
      <c r="K39" s="8" t="n">
        <v>13.95</v>
      </c>
      <c r="L39" s="8" t="n">
        <v>13.95</v>
      </c>
      <c r="M39" s="14">
        <f>J39/K39-1</f>
        <v/>
      </c>
      <c r="N39" s="7" t="inlineStr">
        <is>
          <t>ACIMA +16.3%</t>
        </is>
      </c>
      <c r="O39" s="7" t="inlineStr"/>
    </row>
    <row r="40">
      <c r="A40" s="7" t="n">
        <v>193101</v>
      </c>
      <c r="B40" s="7" t="inlineStr">
        <is>
          <t>139203</t>
        </is>
      </c>
      <c r="C40" s="12" t="inlineStr">
        <is>
          <t>7898569765071</t>
        </is>
      </c>
      <c r="D40" s="7" t="inlineStr">
        <is>
          <t>VITAMINA D3 7000UI CX 30 CAP</t>
        </is>
      </c>
      <c r="E40" s="13" t="n">
        <v>1</v>
      </c>
      <c r="F40" s="13" t="n">
        <v>1</v>
      </c>
      <c r="G40" s="13" t="n">
        <v>1</v>
      </c>
      <c r="H40" s="8" t="n">
        <v>23.44</v>
      </c>
      <c r="I40" s="8">
        <f>G40*H40</f>
        <v/>
      </c>
      <c r="J40" s="8">
        <f>H40/E40</f>
        <v/>
      </c>
      <c r="K40" s="8" t="n">
        <v>18.96</v>
      </c>
      <c r="L40" s="8" t="n">
        <v>18.96</v>
      </c>
      <c r="M40" s="14">
        <f>J40/K40-1</f>
        <v/>
      </c>
      <c r="N40" s="7" t="inlineStr">
        <is>
          <t>ACIMA +23.6%</t>
        </is>
      </c>
      <c r="O40" s="7" t="inlineStr"/>
    </row>
    <row r="41">
      <c r="D41" s="5" t="inlineStr">
        <is>
          <t>TOTAL</t>
        </is>
      </c>
      <c r="I41" s="18">
        <f>SUM(I2:I40)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14">
        <f>J3/K3-1</f>
        <v/>
      </c>
      <c r="N3" s="7" t="inlineStr">
        <is>
          <t>OK (≤ últ. compra)</t>
        </is>
      </c>
      <c r="O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14">
        <f>J6/K6-1</f>
        <v/>
      </c>
      <c r="N6" s="7" t="inlineStr">
        <is>
          <t>ACIMA +4.1%</t>
        </is>
      </c>
      <c r="O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14">
        <f>J7/K7-1</f>
        <v/>
      </c>
      <c r="N7" s="7" t="inlineStr">
        <is>
          <t>ACIMA +3.6%</t>
        </is>
      </c>
      <c r="O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570461</v>
      </c>
      <c r="B9" s="7" t="inlineStr">
        <is>
          <t>705275</t>
        </is>
      </c>
      <c r="C9" s="12" t="inlineStr">
        <is>
          <t>7891025111825</t>
        </is>
      </c>
      <c r="D9" s="7" t="inlineStr">
        <is>
          <t>APTAMIL 1 PREMIUM 800G</t>
        </is>
      </c>
      <c r="E9" s="13" t="n">
        <v>1</v>
      </c>
      <c r="F9" s="13" t="n">
        <v>5</v>
      </c>
      <c r="G9" s="13" t="n">
        <v>5</v>
      </c>
      <c r="H9" s="8" t="n">
        <v>58.12</v>
      </c>
      <c r="I9" s="8">
        <f>G9*H9</f>
        <v/>
      </c>
      <c r="J9" s="8">
        <f>H9/E9</f>
        <v/>
      </c>
      <c r="K9" s="8" t="n">
        <v>66.36499999999999</v>
      </c>
      <c r="L9" s="8" t="n">
        <v>57.9178</v>
      </c>
      <c r="M9" s="14">
        <f>J9/K9-1</f>
        <v/>
      </c>
      <c r="N9" s="7" t="inlineStr">
        <is>
          <t>OK (≤ últ. compra)</t>
        </is>
      </c>
      <c r="O9" s="7" t="inlineStr"/>
    </row>
    <row r="10">
      <c r="A10" s="7" t="n">
        <v>570481</v>
      </c>
      <c r="B10" s="7" t="inlineStr">
        <is>
          <t>705310</t>
        </is>
      </c>
      <c r="C10" s="12" t="inlineStr">
        <is>
          <t>7891025107897</t>
        </is>
      </c>
      <c r="D10" s="7" t="inlineStr">
        <is>
          <t>APTAMIL 2 800G</t>
        </is>
      </c>
      <c r="E10" s="13" t="n">
        <v>1</v>
      </c>
      <c r="F10" s="13" t="n">
        <v>1</v>
      </c>
      <c r="G10" s="13" t="n">
        <v>1</v>
      </c>
      <c r="H10" s="8" t="n">
        <v>57.69</v>
      </c>
      <c r="I10" s="8">
        <f>G10*H10</f>
        <v/>
      </c>
      <c r="J10" s="8">
        <f>H10/E10</f>
        <v/>
      </c>
      <c r="K10" s="8" t="n">
        <v>67.1267</v>
      </c>
      <c r="L10" s="8" t="n">
        <v>58.5988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646691</v>
      </c>
      <c r="B11" s="7" t="inlineStr">
        <is>
          <t>709703</t>
        </is>
      </c>
      <c r="C11" s="12" t="inlineStr">
        <is>
          <t>7891025112679</t>
        </is>
      </c>
      <c r="D11" s="7" t="inlineStr">
        <is>
          <t>APTAMIL PROFUT 1 400G-DEMAIS PROD</t>
        </is>
      </c>
      <c r="E11" s="13" t="n">
        <v>1</v>
      </c>
      <c r="F11" s="13" t="n">
        <v>2</v>
      </c>
      <c r="G11" s="13" t="n">
        <v>2</v>
      </c>
      <c r="H11" s="8" t="n">
        <v>44.01</v>
      </c>
      <c r="I11" s="8">
        <f>G11*H11</f>
        <v/>
      </c>
      <c r="J11" s="8">
        <f>H11/E11</f>
        <v/>
      </c>
      <c r="K11" s="8" t="n">
        <v>50.285</v>
      </c>
      <c r="L11" s="8" t="n">
        <v>50.285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82401</v>
      </c>
      <c r="B12" s="7" t="inlineStr">
        <is>
          <t>100480</t>
        </is>
      </c>
      <c r="C12" s="12" t="inlineStr">
        <is>
          <t>7896026171182</t>
        </is>
      </c>
      <c r="D12" s="7" t="inlineStr">
        <is>
          <t>BESEROL 300+125+50+30MG CX 12 COMP</t>
        </is>
      </c>
      <c r="E12" s="13" t="n">
        <v>1</v>
      </c>
      <c r="F12" s="13" t="n">
        <v>4</v>
      </c>
      <c r="G12" s="13" t="n">
        <v>4</v>
      </c>
      <c r="H12" s="8" t="n">
        <v>14.43</v>
      </c>
      <c r="I12" s="8">
        <f>G12*H12</f>
        <v/>
      </c>
      <c r="J12" s="8">
        <f>H12/E12</f>
        <v/>
      </c>
      <c r="K12" s="8" t="n">
        <v>18.3167</v>
      </c>
      <c r="L12" s="8" t="n">
        <v>11.71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48321</v>
      </c>
      <c r="B13" s="7" t="inlineStr">
        <is>
          <t>404362</t>
        </is>
      </c>
      <c r="C13" s="12" t="inlineStr">
        <is>
          <t>7898100268290</t>
        </is>
      </c>
      <c r="D13" s="7" t="inlineStr">
        <is>
          <t>BIOVICERIN  END/ML SUS OR 2 FLAC X 5ML</t>
        </is>
      </c>
      <c r="E13" s="13" t="n">
        <v>1</v>
      </c>
      <c r="F13" s="13" t="n">
        <v>9</v>
      </c>
      <c r="G13" s="13" t="n">
        <v>9</v>
      </c>
      <c r="H13" s="8" t="n">
        <v>9.65</v>
      </c>
      <c r="I13" s="8">
        <f>G13*H13</f>
        <v/>
      </c>
      <c r="J13" s="8">
        <f>H13/E13</f>
        <v/>
      </c>
      <c r="K13" s="8" t="n">
        <v>11.36</v>
      </c>
      <c r="L13" s="8" t="n">
        <v>8.533300000000001</v>
      </c>
      <c r="M13" s="14">
        <f>J13/K13-1</f>
        <v/>
      </c>
      <c r="N13" s="7" t="inlineStr">
        <is>
          <t>OK (≤ últ. compra)</t>
        </is>
      </c>
      <c r="O13" s="7" t="inlineStr"/>
    </row>
    <row r="14">
      <c r="A14" s="7" t="n">
        <v>584301</v>
      </c>
      <c r="B14" s="7" t="inlineStr">
        <is>
          <t>719603</t>
        </is>
      </c>
      <c r="C14" s="12" t="inlineStr">
        <is>
          <t>4987188568729</t>
        </is>
      </c>
      <c r="D14" s="7" t="inlineStr">
        <is>
          <t>BYE BYE FEVER PARA CRIANCAS C/2UN(HSM)</t>
        </is>
      </c>
      <c r="E14" s="13" t="n">
        <v>1</v>
      </c>
      <c r="F14" s="13" t="n">
        <v>8</v>
      </c>
      <c r="G14" s="13" t="n">
        <v>8</v>
      </c>
      <c r="H14" s="8" t="n">
        <v>9.58</v>
      </c>
      <c r="I14" s="8">
        <f>G14*H14</f>
        <v/>
      </c>
      <c r="J14" s="8">
        <f>H14/E14</f>
        <v/>
      </c>
      <c r="K14" s="8" t="n">
        <v>11.07</v>
      </c>
      <c r="L14" s="8" t="n">
        <v>8.99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606351</v>
      </c>
      <c r="B15" s="7" t="inlineStr">
        <is>
          <t>716050</t>
        </is>
      </c>
      <c r="C15" s="12" t="inlineStr">
        <is>
          <t>7896004780078</t>
        </is>
      </c>
      <c r="D15" s="7" t="inlineStr">
        <is>
          <t>CALADRYL POS SOL CR 28G</t>
        </is>
      </c>
      <c r="E15" s="13" t="n">
        <v>1</v>
      </c>
      <c r="F15" s="13" t="n">
        <v>2</v>
      </c>
      <c r="G15" s="13" t="n">
        <v>2</v>
      </c>
      <c r="H15" s="8" t="n">
        <v>21.21</v>
      </c>
      <c r="I15" s="8">
        <f>G15*H15</f>
        <v/>
      </c>
      <c r="J15" s="8">
        <f>H15/E15</f>
        <v/>
      </c>
      <c r="K15" s="8" t="n">
        <v>18.74</v>
      </c>
      <c r="L15" s="8" t="n">
        <v>14.1583</v>
      </c>
      <c r="M15" s="14">
        <f>J15/K15-1</f>
        <v/>
      </c>
      <c r="N15" s="7" t="inlineStr">
        <is>
          <t>ACIMA +13.2%</t>
        </is>
      </c>
      <c r="O15" s="7" t="inlineStr"/>
    </row>
    <row r="16">
      <c r="A16" s="7" t="n">
        <v>600551</v>
      </c>
      <c r="B16" s="7" t="inlineStr">
        <is>
          <t>720223</t>
        </is>
      </c>
      <c r="C16" s="12" t="inlineStr">
        <is>
          <t>7898040329761</t>
        </is>
      </c>
      <c r="D16" s="7" t="inlineStr">
        <is>
          <t>CALCITRAN B12 SUSP FR 150ML</t>
        </is>
      </c>
      <c r="E16" s="13" t="n">
        <v>1</v>
      </c>
      <c r="F16" s="13" t="n">
        <v>1</v>
      </c>
      <c r="G16" s="13" t="n">
        <v>1</v>
      </c>
      <c r="H16" s="8" t="n">
        <v>32.31</v>
      </c>
      <c r="I16" s="8">
        <f>G16*H16</f>
        <v/>
      </c>
      <c r="J16" s="8">
        <f>H16/E16</f>
        <v/>
      </c>
      <c r="K16" s="8" t="n">
        <v>34.35</v>
      </c>
      <c r="L16" s="8" t="n">
        <v>31.035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539701</v>
      </c>
      <c r="B17" s="7" t="inlineStr">
        <is>
          <t>705541</t>
        </is>
      </c>
      <c r="C17" s="12" t="inlineStr">
        <is>
          <t>7898414850891</t>
        </is>
      </c>
      <c r="D17" s="7" t="inlineStr">
        <is>
          <t>CALCITRAN D3 CX 30 COMP</t>
        </is>
      </c>
      <c r="E17" s="13" t="n">
        <v>1</v>
      </c>
      <c r="F17" s="13" t="n">
        <v>4</v>
      </c>
      <c r="G17" s="13" t="n">
        <v>4</v>
      </c>
      <c r="H17" s="8" t="n">
        <v>36.55</v>
      </c>
      <c r="I17" s="8">
        <f>G17*H17</f>
        <v/>
      </c>
      <c r="J17" s="8">
        <f>H17/E17</f>
        <v/>
      </c>
      <c r="K17" s="8" t="n">
        <v>36.48</v>
      </c>
      <c r="L17" s="8" t="n">
        <v>30.8</v>
      </c>
      <c r="M17" s="14">
        <f>J17/K17-1</f>
        <v/>
      </c>
      <c r="N17" s="7" t="inlineStr">
        <is>
          <t>ACIMA +0.2%</t>
        </is>
      </c>
      <c r="O17" s="7" t="inlineStr"/>
    </row>
    <row r="18">
      <c r="A18" s="7" t="n">
        <v>594131</v>
      </c>
      <c r="B18" s="7" t="inlineStr">
        <is>
          <t>708955</t>
        </is>
      </c>
      <c r="C18" s="12" t="inlineStr">
        <is>
          <t>7898040329464</t>
        </is>
      </c>
      <c r="D18" s="7" t="inlineStr">
        <is>
          <t>CALCITRAN MDK CX 30 COMP</t>
        </is>
      </c>
      <c r="E18" s="13" t="n">
        <v>1</v>
      </c>
      <c r="F18" s="13" t="n">
        <v>9</v>
      </c>
      <c r="G18" s="13" t="n">
        <v>9</v>
      </c>
      <c r="H18" s="8" t="n">
        <v>53.87</v>
      </c>
      <c r="I18" s="8">
        <f>G18*H18</f>
        <v/>
      </c>
      <c r="J18" s="8">
        <f>H18/E18</f>
        <v/>
      </c>
      <c r="K18" s="8" t="n">
        <v>53.72</v>
      </c>
      <c r="L18" s="8" t="n">
        <v>42.77</v>
      </c>
      <c r="M18" s="14">
        <f>J18/K18-1</f>
        <v/>
      </c>
      <c r="N18" s="7" t="inlineStr">
        <is>
          <t>ACIMA +0.3%</t>
        </is>
      </c>
      <c r="O18" s="7" t="inlineStr"/>
    </row>
    <row r="19">
      <c r="A19" s="7" t="n">
        <v>210221</v>
      </c>
      <c r="B19" s="7" t="inlineStr">
        <is>
          <t>100664</t>
        </is>
      </c>
      <c r="C19" s="12" t="inlineStr">
        <is>
          <t>7896261013490</t>
        </is>
      </c>
      <c r="D19" s="7" t="inlineStr">
        <is>
          <t>CATAFLAM 50MG CX 10 DRG</t>
        </is>
      </c>
      <c r="E19" s="13" t="n">
        <v>1</v>
      </c>
      <c r="F19" s="13" t="n">
        <v>3</v>
      </c>
      <c r="G19" s="13" t="n">
        <v>3</v>
      </c>
      <c r="H19" s="8" t="n">
        <v>17.03</v>
      </c>
      <c r="I19" s="8">
        <f>G19*H19</f>
        <v/>
      </c>
      <c r="J19" s="8">
        <f>H19/E19</f>
        <v/>
      </c>
      <c r="K19" s="8" t="n">
        <v>17.03</v>
      </c>
      <c r="L19" s="8" t="n">
        <v>16.38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653981</v>
      </c>
      <c r="B20" s="7" t="inlineStr">
        <is>
          <t>722182</t>
        </is>
      </c>
      <c r="C20" s="12" t="inlineStr">
        <is>
          <t>7500435231510</t>
        </is>
      </c>
      <c r="D20" s="7" t="inlineStr">
        <is>
          <t>CEBION EFV 1G C/10 COMP-DEMAIS PROD</t>
        </is>
      </c>
      <c r="E20" s="13" t="n">
        <v>1</v>
      </c>
      <c r="F20" s="13" t="n">
        <v>1</v>
      </c>
      <c r="G20" s="13" t="n">
        <v>1</v>
      </c>
      <c r="H20" s="8" t="n">
        <v>12.03</v>
      </c>
      <c r="I20" s="8">
        <f>G20*H20</f>
        <v/>
      </c>
      <c r="J20" s="8">
        <f>H20/E20</f>
        <v/>
      </c>
      <c r="K20" s="8" t="n">
        <v>14.32</v>
      </c>
      <c r="L20" s="8" t="n">
        <v>10.775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624291</v>
      </c>
      <c r="B21" s="7" t="inlineStr">
        <is>
          <t>720235</t>
        </is>
      </c>
      <c r="C21" s="12" t="inlineStr">
        <is>
          <t>7899706211178</t>
        </is>
      </c>
      <c r="D21" s="7" t="inlineStr">
        <is>
          <t>CERAVE SA GEL DE LIMPEZA RENOVA 150G</t>
        </is>
      </c>
      <c r="E21" s="13" t="n">
        <v>1</v>
      </c>
      <c r="F21" s="13" t="n">
        <v>1</v>
      </c>
      <c r="G21" s="13" t="n">
        <v>1</v>
      </c>
      <c r="H21" s="8" t="n">
        <v>53.04</v>
      </c>
      <c r="I21" s="8">
        <f>G21*H21</f>
        <v/>
      </c>
      <c r="J21" s="8">
        <f>H21/E21</f>
        <v/>
      </c>
      <c r="K21" s="8" t="n">
        <v>65.59</v>
      </c>
      <c r="L21" s="8" t="n">
        <v>65.59</v>
      </c>
      <c r="M21" s="14">
        <f>J21/K21-1</f>
        <v/>
      </c>
      <c r="N21" s="7" t="inlineStr">
        <is>
          <t>OK (≤ menor hist.)</t>
        </is>
      </c>
      <c r="O21" s="7" t="inlineStr"/>
    </row>
    <row r="22">
      <c r="A22" s="7" t="n">
        <v>654251</v>
      </c>
      <c r="B22" s="7" t="inlineStr">
        <is>
          <t>100712</t>
        </is>
      </c>
      <c r="C22" s="12" t="inlineStr">
        <is>
          <t>7897337716215</t>
        </is>
      </c>
      <c r="D22" s="7" t="inlineStr">
        <is>
          <t>CERAZETTE 75MCG 28CPR</t>
        </is>
      </c>
      <c r="E22" s="13" t="n">
        <v>1</v>
      </c>
      <c r="F22" s="13" t="n">
        <v>4</v>
      </c>
      <c r="G22" s="13" t="n">
        <v>4</v>
      </c>
      <c r="H22" s="8" t="n">
        <v>37.81</v>
      </c>
      <c r="I22" s="8">
        <f>G22*H22</f>
        <v/>
      </c>
      <c r="J22" s="8">
        <f>H22/E22</f>
        <v/>
      </c>
      <c r="K22" s="8" t="n">
        <v>37.81</v>
      </c>
      <c r="L22" s="8" t="n">
        <v>35.07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363</v>
      </c>
      <c r="B23" s="7" t="inlineStr">
        <is>
          <t>700545</t>
        </is>
      </c>
      <c r="C23" s="12" t="inlineStr">
        <is>
          <t>7897930777798</t>
        </is>
      </c>
      <c r="D23" s="7" t="inlineStr">
        <is>
          <t>CETAPHIL CR HIDRAT 453GR-DEMAIS PROD</t>
        </is>
      </c>
      <c r="E23" s="13" t="n">
        <v>1</v>
      </c>
      <c r="F23" s="13" t="n">
        <v>1</v>
      </c>
      <c r="G23" s="13" t="n">
        <v>1</v>
      </c>
      <c r="H23" s="8" t="n">
        <v>86.76000000000001</v>
      </c>
      <c r="I23" s="8">
        <f>G23*H23</f>
        <v/>
      </c>
      <c r="J23" s="8">
        <f>H23/E23</f>
        <v/>
      </c>
      <c r="K23" s="8" t="n">
        <v>90.42</v>
      </c>
      <c r="L23" s="8" t="n">
        <v>80.845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383</v>
      </c>
      <c r="B24" s="7" t="inlineStr">
        <is>
          <t>700549</t>
        </is>
      </c>
      <c r="C24" s="12" t="inlineStr">
        <is>
          <t>7897930777743</t>
        </is>
      </c>
      <c r="D24" s="7" t="inlineStr">
        <is>
          <t>CETAPHIL LOC HIDRATANTE 473ML</t>
        </is>
      </c>
      <c r="E24" s="13" t="n">
        <v>1</v>
      </c>
      <c r="F24" s="13" t="n">
        <v>4</v>
      </c>
      <c r="G24" s="13" t="n">
        <v>4</v>
      </c>
      <c r="H24" s="8" t="n">
        <v>85.77</v>
      </c>
      <c r="I24" s="8">
        <f>G24*H24</f>
        <v/>
      </c>
      <c r="J24" s="8">
        <f>H24/E24</f>
        <v/>
      </c>
      <c r="K24" s="8" t="n">
        <v>102.75</v>
      </c>
      <c r="L24" s="8" t="n">
        <v>85.77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632071</v>
      </c>
      <c r="B25" s="7" t="inlineStr">
        <is>
          <t>705994</t>
        </is>
      </c>
      <c r="C25" s="12" t="inlineStr">
        <is>
          <t>7908615000244</t>
        </is>
      </c>
      <c r="D25" s="7" t="inlineStr">
        <is>
          <t>CICAPLAST LRP B5 PLUS 40ML</t>
        </is>
      </c>
      <c r="E25" s="13" t="n">
        <v>1</v>
      </c>
      <c r="F25" s="13" t="n">
        <v>1</v>
      </c>
      <c r="G25" s="13" t="n">
        <v>1</v>
      </c>
      <c r="H25" s="8" t="n">
        <v>71.06999999999999</v>
      </c>
      <c r="I25" s="8">
        <f>G25*H25</f>
        <v/>
      </c>
      <c r="J25" s="8">
        <f>H25/E25</f>
        <v/>
      </c>
      <c r="K25" s="8" t="n">
        <v>83.09</v>
      </c>
      <c r="L25" s="8" t="n">
        <v>76.59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161441</v>
      </c>
      <c r="B26" s="7" t="inlineStr">
        <is>
          <t>400336</t>
        </is>
      </c>
      <c r="C26" s="12" t="inlineStr">
        <is>
          <t>7896548113479</t>
        </is>
      </c>
      <c r="D26" s="7" t="inlineStr">
        <is>
          <t>CLARIL 0,25+3MG SOL FR OFT GTS 15ML</t>
        </is>
      </c>
      <c r="E26" s="13" t="n">
        <v>1</v>
      </c>
      <c r="F26" s="13" t="n">
        <v>6</v>
      </c>
      <c r="G26" s="13" t="n">
        <v>6</v>
      </c>
      <c r="H26" s="8" t="n">
        <v>21.37</v>
      </c>
      <c r="I26" s="8">
        <f>G26*H26</f>
        <v/>
      </c>
      <c r="J26" s="8">
        <f>H26/E26</f>
        <v/>
      </c>
      <c r="K26" s="8" t="n">
        <v>21.37</v>
      </c>
      <c r="L26" s="8" t="n">
        <v>18.9119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162341</v>
      </c>
      <c r="B27" s="7" t="inlineStr">
        <is>
          <t>303253</t>
        </is>
      </c>
      <c r="C27" s="12" t="inlineStr">
        <is>
          <t>8902220114906</t>
        </is>
      </c>
      <c r="D27" s="7" t="inlineStr">
        <is>
          <t>CLORIDRATO DE NEBIVOLOL 5MG CX 30 COMP</t>
        </is>
      </c>
      <c r="E27" s="13" t="n">
        <v>1</v>
      </c>
      <c r="F27" s="13" t="n">
        <v>2</v>
      </c>
      <c r="G27" s="13" t="n">
        <v>2</v>
      </c>
      <c r="H27" s="8" t="n">
        <v>14.86</v>
      </c>
      <c r="I27" s="8">
        <f>G27*H27</f>
        <v/>
      </c>
      <c r="J27" s="8">
        <f>H27/E27</f>
        <v/>
      </c>
      <c r="K27" s="8" t="n">
        <v>14.865</v>
      </c>
      <c r="L27" s="8" t="n">
        <v>14.865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597771</v>
      </c>
      <c r="B28" s="7" t="inlineStr">
        <is>
          <t>308032</t>
        </is>
      </c>
      <c r="C28" s="12" t="inlineStr">
        <is>
          <t>7898687731736</t>
        </is>
      </c>
      <c r="D28" s="7" t="inlineStr">
        <is>
          <t>CLORIDRATO DE ONDANSETRONA DI-HIDRATADO 8MG CX 10 COMP ORODISP</t>
        </is>
      </c>
      <c r="E28" s="13" t="n">
        <v>1</v>
      </c>
      <c r="F28" s="13" t="n">
        <v>1</v>
      </c>
      <c r="G28" s="13" t="n">
        <v>1</v>
      </c>
      <c r="H28" s="8" t="n">
        <v>12.15</v>
      </c>
      <c r="I28" s="8">
        <f>G28*H28</f>
        <v/>
      </c>
      <c r="J28" s="8">
        <f>H28/E28</f>
        <v/>
      </c>
      <c r="K28" s="8" t="n">
        <v>14.57</v>
      </c>
      <c r="L28" s="8" t="n">
        <v>14.57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674291</v>
      </c>
      <c r="B29" s="7" t="inlineStr">
        <is>
          <t>115680</t>
        </is>
      </c>
      <c r="C29" s="12" t="inlineStr">
        <is>
          <t>7896637035736</t>
        </is>
      </c>
      <c r="D29" s="7" t="inlineStr">
        <is>
          <t>COBI-12 1000MCG C/30 COMP SUBL-OUTROS</t>
        </is>
      </c>
      <c r="E29" s="13" t="n">
        <v>1</v>
      </c>
      <c r="F29" s="13" t="n">
        <v>17</v>
      </c>
      <c r="G29" s="13" t="n">
        <v>17</v>
      </c>
      <c r="H29" s="8" t="n">
        <v>22.81</v>
      </c>
      <c r="I29" s="8">
        <f>G29*H29</f>
        <v/>
      </c>
      <c r="J29" s="8">
        <f>H29/E29</f>
        <v/>
      </c>
      <c r="K29" s="8" t="n">
        <v>22.805</v>
      </c>
      <c r="L29" s="8" t="n">
        <v>18.8279</v>
      </c>
      <c r="M29" s="14">
        <f>J29/K29-1</f>
        <v/>
      </c>
      <c r="N29" s="7" t="inlineStr">
        <is>
          <t>ACIMA +0.0%</t>
        </is>
      </c>
      <c r="O29" s="7" t="inlineStr"/>
    </row>
    <row r="30">
      <c r="A30" s="7" t="n">
        <v>114941</v>
      </c>
      <c r="B30" s="7" t="inlineStr">
        <is>
          <t>400349</t>
        </is>
      </c>
      <c r="C30" s="12" t="inlineStr">
        <is>
          <t>7899824400928</t>
        </is>
      </c>
      <c r="D30" s="7" t="inlineStr">
        <is>
          <t>COLPIST MT 62,5+1,25MG/G+25000UI/G CREM BG 40G+10APLIC</t>
        </is>
      </c>
      <c r="E30" s="13" t="n">
        <v>1</v>
      </c>
      <c r="F30" s="13" t="n">
        <v>2</v>
      </c>
      <c r="G30" s="13" t="n">
        <v>2</v>
      </c>
      <c r="H30" s="8" t="n">
        <v>35.98</v>
      </c>
      <c r="I30" s="8">
        <f>G30*H30</f>
        <v/>
      </c>
      <c r="J30" s="8">
        <f>H30/E30</f>
        <v/>
      </c>
      <c r="K30" s="8" t="n">
        <v>45.99</v>
      </c>
      <c r="L30" s="8" t="n">
        <v>35.9767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594501</v>
      </c>
      <c r="B31" s="7" t="inlineStr">
        <is>
          <t>714729</t>
        </is>
      </c>
      <c r="C31" s="12" t="inlineStr">
        <is>
          <t>0000042360414</t>
        </is>
      </c>
      <c r="D31" s="7" t="inlineStr">
        <is>
          <t>CR FACIAL NIVEA ANTISSINAIS 100G</t>
        </is>
      </c>
      <c r="E31" s="13" t="n">
        <v>1</v>
      </c>
      <c r="F31" s="13" t="n">
        <v>8</v>
      </c>
      <c r="G31" s="13" t="n">
        <v>8</v>
      </c>
      <c r="H31" s="8" t="n">
        <v>19.6</v>
      </c>
      <c r="I31" s="8">
        <f>G31*H31</f>
        <v/>
      </c>
      <c r="J31" s="8">
        <f>H31/E31</f>
        <v/>
      </c>
      <c r="K31" s="8" t="n">
        <v>21.63</v>
      </c>
      <c r="L31" s="8" t="n">
        <v>20.9125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594521</v>
      </c>
      <c r="B32" s="7" t="inlineStr">
        <is>
          <t>714740</t>
        </is>
      </c>
      <c r="C32" s="12" t="inlineStr">
        <is>
          <t>0000042360407</t>
        </is>
      </c>
      <c r="D32" s="7" t="inlineStr">
        <is>
          <t>CR FACIAL NIVEA NUTRITIVO 100G</t>
        </is>
      </c>
      <c r="E32" s="13" t="n">
        <v>1</v>
      </c>
      <c r="F32" s="13" t="n">
        <v>8</v>
      </c>
      <c r="G32" s="13" t="n">
        <v>8</v>
      </c>
      <c r="H32" s="8" t="n">
        <v>20.91</v>
      </c>
      <c r="I32" s="8">
        <f>G32*H32</f>
        <v/>
      </c>
      <c r="J32" s="8">
        <f>H32/E32</f>
        <v/>
      </c>
      <c r="K32" s="8" t="n">
        <v>23.392</v>
      </c>
      <c r="L32" s="8" t="n">
        <v>20.9117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594271</v>
      </c>
      <c r="B33" s="7" t="inlineStr">
        <is>
          <t>710474</t>
        </is>
      </c>
      <c r="C33" s="12" t="inlineStr">
        <is>
          <t>0000042277217</t>
        </is>
      </c>
      <c r="D33" s="7" t="inlineStr">
        <is>
          <t>CR NIVEA 29G</t>
        </is>
      </c>
      <c r="E33" s="13" t="n">
        <v>1</v>
      </c>
      <c r="F33" s="13" t="n">
        <v>1</v>
      </c>
      <c r="G33" s="13" t="n">
        <v>1</v>
      </c>
      <c r="H33" s="8" t="n">
        <v>10.98</v>
      </c>
      <c r="I33" s="8">
        <f>G33*H33</f>
        <v/>
      </c>
      <c r="J33" s="8">
        <f>H33/E33</f>
        <v/>
      </c>
      <c r="K33" s="8" t="n">
        <v>13.41</v>
      </c>
      <c r="L33" s="8" t="n">
        <v>13.41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556501</v>
      </c>
      <c r="B34" s="7" t="inlineStr">
        <is>
          <t>710474</t>
        </is>
      </c>
      <c r="C34" s="12" t="inlineStr">
        <is>
          <t>42277217</t>
        </is>
      </c>
      <c r="D34" s="7" t="inlineStr">
        <is>
          <t>CR NIVEA 29G</t>
        </is>
      </c>
      <c r="E34" s="13" t="n">
        <v>1</v>
      </c>
      <c r="F34" s="13" t="n">
        <v>18</v>
      </c>
      <c r="G34" s="13" t="n">
        <v>18</v>
      </c>
      <c r="H34" s="8" t="n">
        <v>10.98</v>
      </c>
      <c r="I34" s="8">
        <f>G34*H34</f>
        <v/>
      </c>
      <c r="J34" s="8">
        <f>H34/E34</f>
        <v/>
      </c>
      <c r="K34" s="8" t="n">
        <v>14.24</v>
      </c>
      <c r="L34" s="8" t="n">
        <v>8.833299999999999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576481</v>
      </c>
      <c r="B35" s="7" t="inlineStr">
        <is>
          <t>701022</t>
        </is>
      </c>
      <c r="C35" s="12" t="inlineStr">
        <is>
          <t>4005808890590</t>
        </is>
      </c>
      <c r="D35" s="7" t="inlineStr">
        <is>
          <t>CR NIVEA SOFT HIDRAT.97G</t>
        </is>
      </c>
      <c r="E35" s="13" t="n">
        <v>1</v>
      </c>
      <c r="F35" s="13" t="n">
        <v>4</v>
      </c>
      <c r="G35" s="13" t="n">
        <v>4</v>
      </c>
      <c r="H35" s="8" t="n">
        <v>24.32</v>
      </c>
      <c r="I35" s="8">
        <f>G35*H35</f>
        <v/>
      </c>
      <c r="J35" s="8">
        <f>H35/E35</f>
        <v/>
      </c>
      <c r="K35" s="8" t="n">
        <v>29.8083</v>
      </c>
      <c r="L35" s="8" t="n">
        <v>29.8083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567181</v>
      </c>
      <c r="B36" s="7" t="inlineStr">
        <is>
          <t>704180</t>
        </is>
      </c>
      <c r="C36" s="12" t="inlineStr">
        <is>
          <t>7891010695415</t>
        </is>
      </c>
      <c r="D36" s="7" t="inlineStr">
        <is>
          <t>CURAT BAND-AID PEQ FERIMENTOS 16UN</t>
        </is>
      </c>
      <c r="E36" s="13" t="n">
        <v>1</v>
      </c>
      <c r="F36" s="13" t="n">
        <v>2</v>
      </c>
      <c r="G36" s="13" t="n">
        <v>2</v>
      </c>
      <c r="H36" s="8" t="n">
        <v>8.039999999999999</v>
      </c>
      <c r="I36" s="8">
        <f>G36*H36</f>
        <v/>
      </c>
      <c r="J36" s="8">
        <f>H36/E36</f>
        <v/>
      </c>
      <c r="K36" s="8" t="n">
        <v>9.369999999999999</v>
      </c>
      <c r="L36" s="8" t="n">
        <v>7.83</v>
      </c>
      <c r="M36" s="14">
        <f>J36/K36-1</f>
        <v/>
      </c>
      <c r="N36" s="7" t="inlineStr">
        <is>
          <t>OK (≤ últ. compra)</t>
        </is>
      </c>
      <c r="O36" s="7" t="inlineStr"/>
    </row>
    <row r="37">
      <c r="A37" s="7" t="n">
        <v>575341</v>
      </c>
      <c r="B37" s="7" t="inlineStr">
        <is>
          <t>713084</t>
        </is>
      </c>
      <c r="C37" s="12" t="inlineStr">
        <is>
          <t>7891800342000</t>
        </is>
      </c>
      <c r="D37" s="7" t="inlineStr">
        <is>
          <t>CURATIVO CREMERCARE BEGE C/10</t>
        </is>
      </c>
      <c r="E37" s="13" t="n">
        <v>1</v>
      </c>
      <c r="F37" s="13" t="n">
        <v>2</v>
      </c>
      <c r="G37" s="13" t="n">
        <v>2</v>
      </c>
      <c r="H37" s="8" t="n">
        <v>2.68</v>
      </c>
      <c r="I37" s="8">
        <f>G37*H37</f>
        <v/>
      </c>
      <c r="J37" s="8">
        <f>H37/E37</f>
        <v/>
      </c>
      <c r="K37" s="8" t="n">
        <v>3.16</v>
      </c>
      <c r="L37" s="8" t="n">
        <v>3.16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575361</v>
      </c>
      <c r="B38" s="7" t="inlineStr">
        <is>
          <t>713088</t>
        </is>
      </c>
      <c r="C38" s="12" t="inlineStr">
        <is>
          <t>7891800341966</t>
        </is>
      </c>
      <c r="D38" s="7" t="inlineStr">
        <is>
          <t>CURATIVO CREMERCARE REDONDO C/16</t>
        </is>
      </c>
      <c r="E38" s="13" t="n">
        <v>1</v>
      </c>
      <c r="F38" s="13" t="n">
        <v>8</v>
      </c>
      <c r="G38" s="13" t="n">
        <v>8</v>
      </c>
      <c r="H38" s="8" t="n">
        <v>2.58</v>
      </c>
      <c r="I38" s="8">
        <f>G38*H38</f>
        <v/>
      </c>
      <c r="J38" s="8">
        <f>H38/E38</f>
        <v/>
      </c>
      <c r="K38" s="8" t="n">
        <v>3.802</v>
      </c>
      <c r="L38" s="8" t="n">
        <v>3.802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604731</v>
      </c>
      <c r="B39" s="7" t="inlineStr">
        <is>
          <t>718264</t>
        </is>
      </c>
      <c r="C39" s="12" t="inlineStr">
        <is>
          <t>7891800341997</t>
        </is>
      </c>
      <c r="D39" s="7" t="inlineStr">
        <is>
          <t>CURATIVO CREMERCARE TRASP C/10</t>
        </is>
      </c>
      <c r="E39" s="13" t="n">
        <v>1</v>
      </c>
      <c r="F39" s="13" t="n">
        <v>7</v>
      </c>
      <c r="G39" s="13" t="n">
        <v>7</v>
      </c>
      <c r="H39" s="8" t="n">
        <v>2.62</v>
      </c>
      <c r="I39" s="8">
        <f>G39*H39</f>
        <v/>
      </c>
      <c r="J39" s="8">
        <f>H39/E39</f>
        <v/>
      </c>
      <c r="K39" s="8" t="n">
        <v>3.162</v>
      </c>
      <c r="L39" s="8" t="n">
        <v>3.162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554161</v>
      </c>
      <c r="B40" s="7" t="inlineStr">
        <is>
          <t>704182</t>
        </is>
      </c>
      <c r="C40" s="12" t="inlineStr">
        <is>
          <t>7891010504779</t>
        </is>
      </c>
      <c r="D40" s="7" t="inlineStr">
        <is>
          <t>CURATIVO TRANSPARENTE BAND AID C/10 UNIT</t>
        </is>
      </c>
      <c r="E40" s="13" t="n">
        <v>1</v>
      </c>
      <c r="F40" s="13" t="n">
        <v>5</v>
      </c>
      <c r="G40" s="13" t="n">
        <v>5</v>
      </c>
      <c r="H40" s="8" t="n">
        <v>6.3</v>
      </c>
      <c r="I40" s="8">
        <f>G40*H40</f>
        <v/>
      </c>
      <c r="J40" s="8">
        <f>H40/E40</f>
        <v/>
      </c>
      <c r="K40" s="8" t="n">
        <v>7.32</v>
      </c>
      <c r="L40" s="8" t="n">
        <v>5.662</v>
      </c>
      <c r="M40" s="14">
        <f>J40/K40-1</f>
        <v/>
      </c>
      <c r="N40" s="7" t="inlineStr">
        <is>
          <t>OK (≤ últ. compra)</t>
        </is>
      </c>
      <c r="O40" s="7" t="inlineStr"/>
    </row>
    <row r="41">
      <c r="A41" s="7" t="n">
        <v>651401</v>
      </c>
      <c r="B41" s="7" t="inlineStr">
        <is>
          <t>721808</t>
        </is>
      </c>
      <c r="C41" s="12" t="inlineStr">
        <is>
          <t>7896676440508</t>
        </is>
      </c>
      <c r="D41" s="7" t="inlineStr">
        <is>
          <t>CUTISANOL BABY CREME 45G-DEMAIS PROD</t>
        </is>
      </c>
      <c r="E41" s="13" t="n">
        <v>1</v>
      </c>
      <c r="F41" s="13" t="n">
        <v>1</v>
      </c>
      <c r="G41" s="13" t="n">
        <v>1</v>
      </c>
      <c r="H41" s="8" t="n">
        <v>15.03</v>
      </c>
      <c r="I41" s="8">
        <f>G41*H41</f>
        <v/>
      </c>
      <c r="J41" s="8">
        <f>H41/E41</f>
        <v/>
      </c>
      <c r="K41" s="8" t="n">
        <v>11.58</v>
      </c>
      <c r="L41" s="8" t="n">
        <v>11.58</v>
      </c>
      <c r="M41" s="14">
        <f>J41/K41-1</f>
        <v/>
      </c>
      <c r="N41" s="7" t="inlineStr">
        <is>
          <t>ACIMA +29.8%</t>
        </is>
      </c>
      <c r="O41" s="7" t="inlineStr"/>
    </row>
    <row r="42">
      <c r="A42" s="7" t="n">
        <v>599291</v>
      </c>
      <c r="B42" s="7" t="inlineStr">
        <is>
          <t>704612</t>
        </is>
      </c>
      <c r="C42" s="12" t="inlineStr">
        <is>
          <t>7891025111832</t>
        </is>
      </c>
      <c r="D42" s="7" t="inlineStr">
        <is>
          <t>DANONE APTAMIL PREMIUM 1 LT 400G</t>
        </is>
      </c>
      <c r="E42" s="13" t="n">
        <v>1</v>
      </c>
      <c r="F42" s="13" t="n">
        <v>8</v>
      </c>
      <c r="G42" s="13" t="n">
        <v>8</v>
      </c>
      <c r="H42" s="8" t="n">
        <v>30.85</v>
      </c>
      <c r="I42" s="8">
        <f>G42*H42</f>
        <v/>
      </c>
      <c r="J42" s="8">
        <f>H42/E42</f>
        <v/>
      </c>
      <c r="K42" s="8" t="n">
        <v>35.372</v>
      </c>
      <c r="L42" s="8" t="n">
        <v>33.5244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623211</v>
      </c>
      <c r="B43" s="7" t="inlineStr">
        <is>
          <t>708855</t>
        </is>
      </c>
      <c r="C43" s="12" t="inlineStr">
        <is>
          <t>7899706126335</t>
        </is>
      </c>
      <c r="D43" s="7" t="inlineStr">
        <is>
          <t>DERMO EXP AGUA MICELAR 200ML</t>
        </is>
      </c>
      <c r="E43" s="13" t="n">
        <v>1</v>
      </c>
      <c r="F43" s="13" t="n">
        <v>1</v>
      </c>
      <c r="G43" s="13" t="n">
        <v>1</v>
      </c>
      <c r="H43" s="8" t="n">
        <v>20.36</v>
      </c>
      <c r="I43" s="8">
        <f>G43*H43</f>
        <v/>
      </c>
      <c r="J43" s="8">
        <f>H43/E43</f>
        <v/>
      </c>
      <c r="K43" s="8" t="n">
        <v>21.97</v>
      </c>
      <c r="L43" s="8" t="n">
        <v>18.7783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566421</v>
      </c>
      <c r="B44" s="7" t="inlineStr">
        <is>
          <t>710882</t>
        </is>
      </c>
      <c r="C44" s="12" t="inlineStr">
        <is>
          <t>7891150054646</t>
        </is>
      </c>
      <c r="D44" s="7" t="inlineStr">
        <is>
          <t>DES AER REXONA MEN IMPAC 150ML</t>
        </is>
      </c>
      <c r="E44" s="13" t="n">
        <v>1</v>
      </c>
      <c r="F44" s="13" t="n">
        <v>8</v>
      </c>
      <c r="G44" s="13" t="n">
        <v>8</v>
      </c>
      <c r="H44" s="8" t="n">
        <v>10.89</v>
      </c>
      <c r="I44" s="8">
        <f>G44*H44</f>
        <v/>
      </c>
      <c r="J44" s="8">
        <f>H44/E44</f>
        <v/>
      </c>
      <c r="K44" s="8" t="n">
        <v>12.202</v>
      </c>
      <c r="L44" s="8" t="n">
        <v>11.3367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604491</v>
      </c>
      <c r="B45" s="7" t="inlineStr">
        <is>
          <t>701394</t>
        </is>
      </c>
      <c r="C45" s="12" t="inlineStr">
        <is>
          <t>4005808257669</t>
        </is>
      </c>
      <c r="D45" s="7" t="inlineStr">
        <is>
          <t>DES.NIVEA R-ON FEM.PERAB.50ML</t>
        </is>
      </c>
      <c r="E45" s="13" t="n">
        <v>1</v>
      </c>
      <c r="F45" s="13" t="n">
        <v>1</v>
      </c>
      <c r="G45" s="13" t="n">
        <v>1</v>
      </c>
      <c r="H45" s="8" t="n">
        <v>6.56</v>
      </c>
      <c r="I45" s="8">
        <f>G45*H45</f>
        <v/>
      </c>
      <c r="J45" s="8">
        <f>H45/E45</f>
        <v/>
      </c>
      <c r="K45" s="8" t="n">
        <v>7.91</v>
      </c>
      <c r="L45" s="8" t="n">
        <v>7.07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578141</v>
      </c>
      <c r="B46" s="7" t="inlineStr">
        <is>
          <t>101090</t>
        </is>
      </c>
      <c r="C46" s="12" t="inlineStr">
        <is>
          <t>7899824400942</t>
        </is>
      </c>
      <c r="D46" s="7" t="inlineStr">
        <is>
          <t>DEXADOR 5000MCG/ML SOL INJ 3AMP X 2ML+3AMP X 1ML</t>
        </is>
      </c>
      <c r="E46" s="13" t="n">
        <v>1</v>
      </c>
      <c r="F46" s="13" t="n">
        <v>1</v>
      </c>
      <c r="G46" s="13" t="n">
        <v>1</v>
      </c>
      <c r="H46" s="8" t="n">
        <v>37.6</v>
      </c>
      <c r="I46" s="8">
        <f>G46*H46</f>
        <v/>
      </c>
      <c r="J46" s="8">
        <f>H46/E46</f>
        <v/>
      </c>
      <c r="K46" s="8" t="n">
        <v>37.6</v>
      </c>
      <c r="L46" s="8" t="n">
        <v>33.77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645101</v>
      </c>
      <c r="B47" s="7" t="inlineStr">
        <is>
          <t>722193</t>
        </is>
      </c>
      <c r="C47" s="12" t="inlineStr">
        <is>
          <t>7891150095854</t>
        </is>
      </c>
      <c r="D47" s="7" t="inlineStr">
        <is>
          <t>DOVE SER CORP PRO RETINOL 180ML   UNIL %DN:7.00</t>
        </is>
      </c>
      <c r="E47" s="13" t="n">
        <v>1</v>
      </c>
      <c r="F47" s="13" t="n">
        <v>2</v>
      </c>
      <c r="G47" s="13" t="n">
        <v>2</v>
      </c>
      <c r="H47" s="8" t="n">
        <v>19.42</v>
      </c>
      <c r="I47" s="8">
        <f>G47*H47</f>
        <v/>
      </c>
      <c r="J47" s="8">
        <f>H47/E47</f>
        <v/>
      </c>
      <c r="K47" s="8" t="n">
        <v>20.91</v>
      </c>
      <c r="L47" s="8" t="n">
        <v>20.6192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573481</v>
      </c>
      <c r="B48" s="7" t="inlineStr">
        <is>
          <t>710773</t>
        </is>
      </c>
      <c r="C48" s="12" t="inlineStr">
        <is>
          <t>7899706149211</t>
        </is>
      </c>
      <c r="D48" s="7" t="inlineStr">
        <is>
          <t>EFFACLAR LRP CONCENTRADO 70G  LORE %DN:0.00</t>
        </is>
      </c>
      <c r="E48" s="13" t="n">
        <v>1</v>
      </c>
      <c r="F48" s="13" t="n">
        <v>1</v>
      </c>
      <c r="G48" s="13" t="n">
        <v>1</v>
      </c>
      <c r="H48" s="8" t="n">
        <v>47.46</v>
      </c>
      <c r="I48" s="8">
        <f>G48*H48</f>
        <v/>
      </c>
      <c r="J48" s="8">
        <f>H48/E48</f>
        <v/>
      </c>
      <c r="K48" s="8" t="n">
        <v>56.61</v>
      </c>
      <c r="L48" s="8" t="n">
        <v>56.61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599151</v>
      </c>
      <c r="B49" s="7" t="inlineStr">
        <is>
          <t>714750</t>
        </is>
      </c>
      <c r="C49" s="12" t="inlineStr">
        <is>
          <t>7898040327910</t>
        </is>
      </c>
      <c r="D49" s="7" t="inlineStr">
        <is>
          <t>ENZILAC 4500UI CX 30  COMP</t>
        </is>
      </c>
      <c r="E49" s="13" t="n">
        <v>1</v>
      </c>
      <c r="F49" s="13" t="n">
        <v>1</v>
      </c>
      <c r="G49" s="13" t="n">
        <v>1</v>
      </c>
      <c r="H49" s="8" t="n">
        <v>22.24</v>
      </c>
      <c r="I49" s="8">
        <f>G49*H49</f>
        <v/>
      </c>
      <c r="J49" s="8">
        <f>H49/E49</f>
        <v/>
      </c>
      <c r="K49" s="8" t="n">
        <v>23.42</v>
      </c>
      <c r="L49" s="8" t="n">
        <v>23.42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643971</v>
      </c>
      <c r="B50" s="7" t="inlineStr">
        <is>
          <t>720779</t>
        </is>
      </c>
      <c r="C50" s="12" t="inlineStr">
        <is>
          <t>7896026172639</t>
        </is>
      </c>
      <c r="D50" s="7" t="inlineStr">
        <is>
          <t>FISIOGEL HID PELE SECA 200G-DEMAIS PROD</t>
        </is>
      </c>
      <c r="E50" s="13" t="n">
        <v>1</v>
      </c>
      <c r="F50" s="13" t="n">
        <v>1</v>
      </c>
      <c r="G50" s="13" t="n">
        <v>1</v>
      </c>
      <c r="H50" s="8" t="n">
        <v>41.94</v>
      </c>
      <c r="I50" s="8">
        <f>G50*H50</f>
        <v/>
      </c>
      <c r="J50" s="8">
        <f>H50/E50</f>
        <v/>
      </c>
      <c r="K50" s="8" t="n">
        <v>39.97</v>
      </c>
      <c r="L50" s="8" t="n">
        <v>36.95</v>
      </c>
      <c r="M50" s="14">
        <f>J50/K50-1</f>
        <v/>
      </c>
      <c r="N50" s="7" t="inlineStr">
        <is>
          <t>ACIMA +4.9%</t>
        </is>
      </c>
      <c r="O50" s="7" t="inlineStr"/>
    </row>
    <row r="51">
      <c r="A51" s="7" t="n">
        <v>240241</v>
      </c>
      <c r="B51" s="7" t="inlineStr">
        <is>
          <t>107760</t>
        </is>
      </c>
      <c r="C51" s="12" t="inlineStr">
        <is>
          <t>7896637023238</t>
        </is>
      </c>
      <c r="D51" s="7" t="inlineStr">
        <is>
          <t>FLANCOX 500MG CX 14 COMP REV</t>
        </is>
      </c>
      <c r="E51" s="13" t="n">
        <v>1</v>
      </c>
      <c r="F51" s="13" t="n">
        <v>7</v>
      </c>
      <c r="G51" s="13" t="n">
        <v>7</v>
      </c>
      <c r="H51" s="8" t="n">
        <v>27.92</v>
      </c>
      <c r="I51" s="8">
        <f>G51*H51</f>
        <v/>
      </c>
      <c r="J51" s="8">
        <f>H51/E51</f>
        <v/>
      </c>
      <c r="K51" s="8" t="n">
        <v>27.925</v>
      </c>
      <c r="L51" s="8" t="n">
        <v>25.425</v>
      </c>
      <c r="M51" s="14">
        <f>J51/K51-1</f>
        <v/>
      </c>
      <c r="N51" s="7" t="inlineStr">
        <is>
          <t>OK (≤ últ. compra)</t>
        </is>
      </c>
      <c r="O51" s="7" t="inlineStr"/>
    </row>
    <row r="52">
      <c r="A52" s="7" t="n">
        <v>566701</v>
      </c>
      <c r="B52" s="7" t="inlineStr">
        <is>
          <t>707835</t>
        </is>
      </c>
      <c r="C52" s="12" t="inlineStr">
        <is>
          <t>7898040324438</t>
        </is>
      </c>
      <c r="D52" s="7" t="inlineStr">
        <is>
          <t>FLETOP LOCAO 200ML</t>
        </is>
      </c>
      <c r="E52" s="13" t="n">
        <v>1</v>
      </c>
      <c r="F52" s="13" t="n">
        <v>2</v>
      </c>
      <c r="G52" s="13" t="n">
        <v>2</v>
      </c>
      <c r="H52" s="8" t="n">
        <v>49.13</v>
      </c>
      <c r="I52" s="8">
        <f>G52*H52</f>
        <v/>
      </c>
      <c r="J52" s="8">
        <f>H52/E52</f>
        <v/>
      </c>
      <c r="K52" s="8" t="n">
        <v>57.135</v>
      </c>
      <c r="L52" s="8" t="n">
        <v>41.344</v>
      </c>
      <c r="M52" s="14">
        <f>J52/K52-1</f>
        <v/>
      </c>
      <c r="N52" s="7" t="inlineStr">
        <is>
          <t>OK (≤ últ. compra)</t>
        </is>
      </c>
      <c r="O52" s="7" t="inlineStr"/>
    </row>
    <row r="53">
      <c r="A53" s="7" t="n">
        <v>589611</v>
      </c>
      <c r="B53" s="7" t="inlineStr">
        <is>
          <t>400575</t>
        </is>
      </c>
      <c r="C53" s="12" t="inlineStr">
        <is>
          <t>7898040329570</t>
        </is>
      </c>
      <c r="D53" s="7" t="inlineStr">
        <is>
          <t>FLORATIL 200MG/G PO OR 4 ENV X 1G</t>
        </is>
      </c>
      <c r="E53" s="13" t="n">
        <v>1</v>
      </c>
      <c r="F53" s="13" t="n">
        <v>6</v>
      </c>
      <c r="G53" s="13" t="n">
        <v>6</v>
      </c>
      <c r="H53" s="8" t="n">
        <v>28</v>
      </c>
      <c r="I53" s="8">
        <f>G53*H53</f>
        <v/>
      </c>
      <c r="J53" s="8">
        <f>H53/E53</f>
        <v/>
      </c>
      <c r="K53" s="8" t="n">
        <v>28</v>
      </c>
      <c r="L53" s="8" t="n">
        <v>7.05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622951</v>
      </c>
      <c r="B54" s="7" t="inlineStr">
        <is>
          <t>404987</t>
        </is>
      </c>
      <c r="C54" s="12" t="inlineStr">
        <is>
          <t>7898040329679</t>
        </is>
      </c>
      <c r="D54" s="7" t="inlineStr">
        <is>
          <t>FLORATIL 250MG BL 6 CAP</t>
        </is>
      </c>
      <c r="E54" s="13" t="n">
        <v>1</v>
      </c>
      <c r="F54" s="13" t="n">
        <v>7</v>
      </c>
      <c r="G54" s="13" t="n">
        <v>7</v>
      </c>
      <c r="H54" s="8" t="n">
        <v>36.53</v>
      </c>
      <c r="I54" s="8">
        <f>G54*H54</f>
        <v/>
      </c>
      <c r="J54" s="8">
        <f>H54/E54</f>
        <v/>
      </c>
      <c r="K54" s="8" t="n">
        <v>38.6417</v>
      </c>
      <c r="L54" s="8" t="n">
        <v>31.31</v>
      </c>
      <c r="M54" s="14">
        <f>J54/K54-1</f>
        <v/>
      </c>
      <c r="N54" s="7" t="inlineStr">
        <is>
          <t>OK (≤ últ. compra)</t>
        </is>
      </c>
      <c r="O54" s="7" t="inlineStr"/>
    </row>
    <row r="55">
      <c r="A55" s="7" t="n">
        <v>635741</v>
      </c>
      <c r="B55" s="7" t="inlineStr">
        <is>
          <t>405483</t>
        </is>
      </c>
      <c r="C55" s="12" t="inlineStr">
        <is>
          <t>7891106916059</t>
        </is>
      </c>
      <c r="D55" s="7" t="inlineStr">
        <is>
          <t>GINO CANESTEN 1 500MG 1COMP+APL-REFERENCIA</t>
        </is>
      </c>
      <c r="E55" s="13" t="n">
        <v>1</v>
      </c>
      <c r="F55" s="13" t="n">
        <v>4</v>
      </c>
      <c r="G55" s="13" t="n">
        <v>4</v>
      </c>
      <c r="H55" s="8" t="n">
        <v>72.45</v>
      </c>
      <c r="I55" s="8">
        <f>G55*H55</f>
        <v/>
      </c>
      <c r="J55" s="8">
        <f>H55/E55</f>
        <v/>
      </c>
      <c r="K55" s="8" t="n">
        <v>80.51000000000001</v>
      </c>
      <c r="L55" s="8" t="n">
        <v>68.87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189141</v>
      </c>
      <c r="B56" s="7" t="inlineStr">
        <is>
          <t>101668</t>
        </is>
      </c>
      <c r="C56" s="12" t="inlineStr">
        <is>
          <t>7891106003230</t>
        </is>
      </c>
      <c r="D56" s="7" t="inlineStr">
        <is>
          <t>GINO CANESTEN 20 MG/G CREME VAG BG 20G+3APLIC</t>
        </is>
      </c>
      <c r="E56" s="13" t="n">
        <v>1</v>
      </c>
      <c r="F56" s="13" t="n">
        <v>2</v>
      </c>
      <c r="G56" s="13" t="n">
        <v>2</v>
      </c>
      <c r="H56" s="8" t="n">
        <v>72.78</v>
      </c>
      <c r="I56" s="8">
        <f>G56*H56</f>
        <v/>
      </c>
      <c r="J56" s="8">
        <f>H56/E56</f>
        <v/>
      </c>
      <c r="K56" s="8" t="n">
        <v>70.93000000000001</v>
      </c>
      <c r="L56" s="8" t="n">
        <v>65.23</v>
      </c>
      <c r="M56" s="14">
        <f>J56/K56-1</f>
        <v/>
      </c>
      <c r="N56" s="7" t="inlineStr">
        <is>
          <t>ACIMA +2.6%</t>
        </is>
      </c>
      <c r="O56" s="7" t="inlineStr"/>
    </row>
    <row r="57">
      <c r="A57" s="7" t="n">
        <v>264861</v>
      </c>
      <c r="B57" s="7" t="inlineStr">
        <is>
          <t>309124</t>
        </is>
      </c>
      <c r="C57" s="12" t="inlineStr">
        <is>
          <t>8903855076812</t>
        </is>
      </c>
      <c r="D57" s="7" t="inlineStr">
        <is>
          <t>GLICLAZIDA 30 MG COM LIB PROL CT BL AL AL X 60</t>
        </is>
      </c>
      <c r="E57" s="13" t="n">
        <v>1</v>
      </c>
      <c r="F57" s="13" t="n">
        <v>4</v>
      </c>
      <c r="G57" s="13" t="n">
        <v>4</v>
      </c>
      <c r="H57" s="8" t="n">
        <v>11.56</v>
      </c>
      <c r="I57" s="8">
        <f>G57*H57</f>
        <v/>
      </c>
      <c r="J57" s="8">
        <f>H57/E57</f>
        <v/>
      </c>
      <c r="K57" s="8" t="n">
        <v>11.5525</v>
      </c>
      <c r="L57" s="8" t="n">
        <v>11.5525</v>
      </c>
      <c r="M57" s="14">
        <f>J57/K57-1</f>
        <v/>
      </c>
      <c r="N57" s="7" t="inlineStr">
        <is>
          <t>ACIMA +0.1%</t>
        </is>
      </c>
      <c r="O57" s="7" t="inlineStr"/>
    </row>
    <row r="58">
      <c r="A58" s="7" t="n">
        <v>533121</v>
      </c>
      <c r="B58" s="7" t="inlineStr">
        <is>
          <t>101681</t>
        </is>
      </c>
      <c r="C58" s="12" t="inlineStr">
        <is>
          <t>7891721201806</t>
        </is>
      </c>
      <c r="D58" s="7" t="inlineStr">
        <is>
          <t>GLIFAGE XR 500MG CX 30 COMP</t>
        </is>
      </c>
      <c r="E58" s="13" t="n">
        <v>1</v>
      </c>
      <c r="F58" s="13" t="n">
        <v>266</v>
      </c>
      <c r="G58" s="13" t="n">
        <v>266</v>
      </c>
      <c r="H58" s="8" t="n">
        <v>7.42</v>
      </c>
      <c r="I58" s="8">
        <f>G58*H58</f>
        <v/>
      </c>
      <c r="J58" s="8">
        <f>H58/E58</f>
        <v/>
      </c>
      <c r="K58" s="8" t="n">
        <v>7.2626</v>
      </c>
      <c r="L58" s="8" t="n">
        <v>6.4487</v>
      </c>
      <c r="M58" s="14">
        <f>J58/K58-1</f>
        <v/>
      </c>
      <c r="N58" s="7" t="inlineStr">
        <is>
          <t>ACIMA +2.2%</t>
        </is>
      </c>
      <c r="O58" s="7" t="inlineStr"/>
    </row>
    <row r="59">
      <c r="A59" s="7" t="n">
        <v>583361</v>
      </c>
      <c r="B59" s="7" t="inlineStr">
        <is>
          <t>707836</t>
        </is>
      </c>
      <c r="C59" s="12" t="inlineStr">
        <is>
          <t>7896512921369</t>
        </is>
      </c>
      <c r="D59" s="7" t="inlineStr">
        <is>
          <t>GRANADO BEBE LCO UMD C/50</t>
        </is>
      </c>
      <c r="E59" s="13" t="n">
        <v>1</v>
      </c>
      <c r="F59" s="13" t="n">
        <v>1</v>
      </c>
      <c r="G59" s="13" t="n">
        <v>1</v>
      </c>
      <c r="H59" s="8" t="n">
        <v>9.06</v>
      </c>
      <c r="I59" s="8">
        <f>G59*H59</f>
        <v/>
      </c>
      <c r="J59" s="8">
        <f>H59/E59</f>
        <v/>
      </c>
      <c r="K59" s="8" t="n">
        <v>10.375</v>
      </c>
      <c r="L59" s="8" t="n">
        <v>10.375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639851</v>
      </c>
      <c r="B60" s="7" t="inlineStr">
        <is>
          <t>405167</t>
        </is>
      </c>
      <c r="C60" s="12" t="inlineStr">
        <is>
          <t>7899095200586</t>
        </is>
      </c>
      <c r="D60" s="7" t="inlineStr">
        <is>
          <t>HILUROPT 1,5MG/ML SOL OFT FR GOT X 10ML</t>
        </is>
      </c>
      <c r="E60" s="13" t="n">
        <v>1</v>
      </c>
      <c r="F60" s="13" t="n">
        <v>9</v>
      </c>
      <c r="G60" s="13" t="n">
        <v>9</v>
      </c>
      <c r="H60" s="8" t="n">
        <v>36.09</v>
      </c>
      <c r="I60" s="8">
        <f>G60*H60</f>
        <v/>
      </c>
      <c r="J60" s="8">
        <f>H60/E60</f>
        <v/>
      </c>
      <c r="K60" s="8" t="n">
        <v>39.465</v>
      </c>
      <c r="L60" s="8" t="n">
        <v>33.63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621551</v>
      </c>
      <c r="B61" s="7" t="inlineStr">
        <is>
          <t>721531</t>
        </is>
      </c>
      <c r="C61" s="12" t="inlineStr">
        <is>
          <t>7891010255763</t>
        </is>
      </c>
      <c r="D61" s="7" t="inlineStr">
        <is>
          <t>HIPOGLOS ORIGINAL 40G</t>
        </is>
      </c>
      <c r="E61" s="13" t="n">
        <v>1</v>
      </c>
      <c r="F61" s="13" t="n">
        <v>6</v>
      </c>
      <c r="G61" s="13" t="n">
        <v>6</v>
      </c>
      <c r="H61" s="8" t="n">
        <v>19.49</v>
      </c>
      <c r="I61" s="8">
        <f>G61*H61</f>
        <v/>
      </c>
      <c r="J61" s="8">
        <f>H61/E61</f>
        <v/>
      </c>
      <c r="K61" s="8" t="n">
        <v>21.3575</v>
      </c>
      <c r="L61" s="8" t="n">
        <v>18.405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594891</v>
      </c>
      <c r="B62" s="7" t="inlineStr">
        <is>
          <t>718482</t>
        </is>
      </c>
      <c r="C62" s="12" t="inlineStr">
        <is>
          <t>7898639690708</t>
        </is>
      </c>
      <c r="D62" s="7" t="inlineStr">
        <is>
          <t>INALADOR NEBULIZADOR ULTRANEB DESK2</t>
        </is>
      </c>
      <c r="E62" s="13" t="n">
        <v>1</v>
      </c>
      <c r="F62" s="13" t="n">
        <v>3</v>
      </c>
      <c r="G62" s="13" t="n">
        <v>3</v>
      </c>
      <c r="H62" s="8" t="n">
        <v>117.53</v>
      </c>
      <c r="I62" s="8">
        <f>G62*H62</f>
        <v/>
      </c>
      <c r="J62" s="8">
        <f>H62/E62</f>
        <v/>
      </c>
      <c r="K62" s="8" t="n">
        <v>130.26</v>
      </c>
      <c r="L62" s="8" t="n">
        <v>130.26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637531</v>
      </c>
      <c r="B63" s="7" t="inlineStr">
        <is>
          <t>702330</t>
        </is>
      </c>
      <c r="C63" s="12" t="inlineStr">
        <is>
          <t>7897211100192</t>
        </is>
      </c>
      <c r="D63" s="7" t="inlineStr">
        <is>
          <t>K-Y GEL LUBRIF INTIMO 50G</t>
        </is>
      </c>
      <c r="E63" s="13" t="n">
        <v>1</v>
      </c>
      <c r="F63" s="13" t="n">
        <v>3</v>
      </c>
      <c r="G63" s="13" t="n">
        <v>3</v>
      </c>
      <c r="H63" s="8" t="n">
        <v>17.47</v>
      </c>
      <c r="I63" s="8">
        <f>G63*H63</f>
        <v/>
      </c>
      <c r="J63" s="8">
        <f>H63/E63</f>
        <v/>
      </c>
      <c r="K63" s="8" t="n">
        <v>18.53</v>
      </c>
      <c r="L63" s="8" t="n">
        <v>18.53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400881</v>
      </c>
      <c r="B64" s="7" t="inlineStr">
        <is>
          <t>101918</t>
        </is>
      </c>
      <c r="C64" s="12" t="inlineStr">
        <is>
          <t>7896641804380</t>
        </is>
      </c>
      <c r="D64" s="7" t="inlineStr">
        <is>
          <t>KALOBA 825MG/ML SOL ORAL FR 20ML</t>
        </is>
      </c>
      <c r="E64" s="13" t="n">
        <v>1</v>
      </c>
      <c r="F64" s="13" t="n">
        <v>7</v>
      </c>
      <c r="G64" s="13" t="n">
        <v>7</v>
      </c>
      <c r="H64" s="8" t="n">
        <v>77.37</v>
      </c>
      <c r="I64" s="8">
        <f>G64*H64</f>
        <v/>
      </c>
      <c r="J64" s="8">
        <f>H64/E64</f>
        <v/>
      </c>
      <c r="K64" s="8" t="n">
        <v>77.37</v>
      </c>
      <c r="L64" s="8" t="n">
        <v>71.405</v>
      </c>
      <c r="M64" s="14">
        <f>J64/K64-1</f>
        <v/>
      </c>
      <c r="N64" s="7" t="inlineStr">
        <is>
          <t>OK (≤ últ. compra)</t>
        </is>
      </c>
      <c r="O64" s="7" t="inlineStr"/>
    </row>
    <row r="65">
      <c r="A65" s="7" t="n">
        <v>129021</v>
      </c>
      <c r="B65" s="7" t="inlineStr">
        <is>
          <t>101961</t>
        </is>
      </c>
      <c r="C65" s="12" t="inlineStr">
        <is>
          <t>7896637028523</t>
        </is>
      </c>
      <c r="D65" s="7" t="inlineStr">
        <is>
          <t>LABIRIN 24MG CX 30 COMP</t>
        </is>
      </c>
      <c r="E65" s="13" t="n">
        <v>1</v>
      </c>
      <c r="F65" s="13" t="n">
        <v>3</v>
      </c>
      <c r="G65" s="13" t="n">
        <v>3</v>
      </c>
      <c r="H65" s="8" t="n">
        <v>19.44</v>
      </c>
      <c r="I65" s="8">
        <f>G65*H65</f>
        <v/>
      </c>
      <c r="J65" s="8">
        <f>H65/E65</f>
        <v/>
      </c>
      <c r="K65" s="8" t="n">
        <v>19.44</v>
      </c>
      <c r="L65" s="8" t="n">
        <v>16.2667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539621</v>
      </c>
      <c r="B66" s="7" t="inlineStr">
        <is>
          <t>400763</t>
        </is>
      </c>
      <c r="C66" s="12" t="inlineStr">
        <is>
          <t>7895858015688</t>
        </is>
      </c>
      <c r="D66" s="7" t="inlineStr">
        <is>
          <t>LEITE MAGNESIA PHIL C/120ML</t>
        </is>
      </c>
      <c r="E66" s="13" t="n">
        <v>1</v>
      </c>
      <c r="F66" s="13" t="n">
        <v>11</v>
      </c>
      <c r="G66" s="13" t="n">
        <v>11</v>
      </c>
      <c r="H66" s="8" t="n">
        <v>13.74</v>
      </c>
      <c r="I66" s="8">
        <f>G66*H66</f>
        <v/>
      </c>
      <c r="J66" s="8">
        <f>H66/E66</f>
        <v/>
      </c>
      <c r="K66" s="8" t="n">
        <v>16.875</v>
      </c>
      <c r="L66" s="8" t="n">
        <v>8.1403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560961</v>
      </c>
      <c r="B67" s="7" t="inlineStr">
        <is>
          <t>400764</t>
        </is>
      </c>
      <c r="C67" s="12" t="inlineStr">
        <is>
          <t>7895858015695</t>
        </is>
      </c>
      <c r="D67" s="7" t="inlineStr">
        <is>
          <t>LEITE MAGNESIA PHILL 350ML</t>
        </is>
      </c>
      <c r="E67" s="13" t="n">
        <v>1</v>
      </c>
      <c r="F67" s="13" t="n">
        <v>8</v>
      </c>
      <c r="G67" s="13" t="n">
        <v>8</v>
      </c>
      <c r="H67" s="8" t="n">
        <v>22.18</v>
      </c>
      <c r="I67" s="8">
        <f>G67*H67</f>
        <v/>
      </c>
      <c r="J67" s="8">
        <f>H67/E67</f>
        <v/>
      </c>
      <c r="K67" s="8" t="n">
        <v>27.2467</v>
      </c>
      <c r="L67" s="8" t="n">
        <v>13.1507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320321</v>
      </c>
      <c r="B68" s="7" t="inlineStr">
        <is>
          <t>102028</t>
        </is>
      </c>
      <c r="C68" s="12" t="inlineStr">
        <is>
          <t>7896658008801</t>
        </is>
      </c>
      <c r="D68" s="7" t="inlineStr">
        <is>
          <t>LEVOID 88MCG CX 30 COMP</t>
        </is>
      </c>
      <c r="E68" s="13" t="n">
        <v>1</v>
      </c>
      <c r="F68" s="13" t="n">
        <v>4</v>
      </c>
      <c r="G68" s="13" t="n">
        <v>4</v>
      </c>
      <c r="H68" s="8" t="n">
        <v>20.33</v>
      </c>
      <c r="I68" s="8">
        <f>G68*H68</f>
        <v/>
      </c>
      <c r="J68" s="8">
        <f>H68/E68</f>
        <v/>
      </c>
      <c r="K68" s="8" t="n">
        <v>20.33</v>
      </c>
      <c r="L68" s="8" t="n">
        <v>18.71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653771</v>
      </c>
      <c r="B69" s="7" t="inlineStr">
        <is>
          <t>405468</t>
        </is>
      </c>
      <c r="C69" s="12" t="inlineStr">
        <is>
          <t>7898244720630</t>
        </is>
      </c>
      <c r="D69" s="7" t="inlineStr">
        <is>
          <t>MARESIS FLEX 2,16G KIT FR+30SACH   FQM %DN:15.00</t>
        </is>
      </c>
      <c r="E69" s="13" t="n">
        <v>1</v>
      </c>
      <c r="F69" s="13" t="n">
        <v>1</v>
      </c>
      <c r="G69" s="13" t="n">
        <v>1</v>
      </c>
      <c r="H69" s="8" t="n">
        <v>62.16</v>
      </c>
      <c r="I69" s="8">
        <f>G69*H69</f>
        <v/>
      </c>
      <c r="J69" s="8">
        <f>H69/E69</f>
        <v/>
      </c>
      <c r="K69" s="8" t="n">
        <v>52.78</v>
      </c>
      <c r="L69" s="8" t="n">
        <v>52.78</v>
      </c>
      <c r="M69" s="14">
        <f>J69/K69-1</f>
        <v/>
      </c>
      <c r="N69" s="7" t="inlineStr">
        <is>
          <t>ACIMA +17.8%</t>
        </is>
      </c>
      <c r="O69" s="7" t="inlineStr"/>
    </row>
    <row r="70">
      <c r="A70" s="7" t="n">
        <v>206681</v>
      </c>
      <c r="B70" s="7" t="inlineStr">
        <is>
          <t>102202</t>
        </is>
      </c>
      <c r="C70" s="12" t="inlineStr">
        <is>
          <t>7896548111727</t>
        </is>
      </c>
      <c r="D70" s="7" t="inlineStr">
        <is>
          <t>MAXIDEX 1MG/ML SUS OFT FR GTS 5ML</t>
        </is>
      </c>
      <c r="E70" s="13" t="n">
        <v>1</v>
      </c>
      <c r="F70" s="13" t="n">
        <v>18</v>
      </c>
      <c r="G70" s="13" t="n">
        <v>18</v>
      </c>
      <c r="H70" s="8" t="n">
        <v>8.23</v>
      </c>
      <c r="I70" s="8">
        <f>G70*H70</f>
        <v/>
      </c>
      <c r="J70" s="8">
        <f>H70/E70</f>
        <v/>
      </c>
      <c r="K70" s="8" t="n">
        <v>8.23</v>
      </c>
      <c r="L70" s="8" t="n">
        <v>7.8167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673191</v>
      </c>
      <c r="B71" s="7" t="inlineStr">
        <is>
          <t>705710</t>
        </is>
      </c>
      <c r="C71" s="12" t="inlineStr">
        <is>
          <t>7896023752513</t>
        </is>
      </c>
      <c r="D71" s="7" t="inlineStr">
        <is>
          <t>MELAGRIAO SPRAY - MENTA - 30ML-DEMAIS PROD</t>
        </is>
      </c>
      <c r="E71" s="13" t="n">
        <v>1</v>
      </c>
      <c r="F71" s="13" t="n">
        <v>3</v>
      </c>
      <c r="G71" s="13" t="n">
        <v>3</v>
      </c>
      <c r="H71" s="8" t="n">
        <v>11.42</v>
      </c>
      <c r="I71" s="8">
        <f>G71*H71</f>
        <v/>
      </c>
      <c r="J71" s="8">
        <f>H71/E71</f>
        <v/>
      </c>
      <c r="K71" s="8" t="n">
        <v>16.5517</v>
      </c>
      <c r="L71" s="8" t="n">
        <v>13.14</v>
      </c>
      <c r="M71" s="14">
        <f>J71/K71-1</f>
        <v/>
      </c>
      <c r="N71" s="7" t="inlineStr">
        <is>
          <t>OK (≤ menor hist.)</t>
        </is>
      </c>
      <c r="O71" s="7" t="inlineStr"/>
    </row>
    <row r="72">
      <c r="A72" s="7" t="n">
        <v>663861</v>
      </c>
      <c r="B72" s="7" t="inlineStr">
        <is>
          <t>114887</t>
        </is>
      </c>
      <c r="C72" s="12" t="inlineStr">
        <is>
          <t>7891106916233</t>
        </is>
      </c>
      <c r="D72" s="7" t="inlineStr">
        <is>
          <t>MESIGYNA 50+5MG/ML C/1 SER PR+AG-REFERENCIA</t>
        </is>
      </c>
      <c r="E72" s="13" t="n">
        <v>1</v>
      </c>
      <c r="F72" s="13" t="n">
        <v>6</v>
      </c>
      <c r="G72" s="13" t="n">
        <v>6</v>
      </c>
      <c r="H72" s="8" t="n">
        <v>35.54</v>
      </c>
      <c r="I72" s="8">
        <f>G72*H72</f>
        <v/>
      </c>
      <c r="J72" s="8">
        <f>H72/E72</f>
        <v/>
      </c>
      <c r="K72" s="8" t="n">
        <v>35.54</v>
      </c>
      <c r="L72" s="8" t="n">
        <v>29.545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650411</v>
      </c>
      <c r="B73" s="7" t="inlineStr">
        <is>
          <t>710708</t>
        </is>
      </c>
      <c r="C73" s="12" t="inlineStr">
        <is>
          <t>7891800665017</t>
        </is>
      </c>
      <c r="D73" s="7" t="inlineStr">
        <is>
          <t>MICROPOROSA CREMER BEGE 1,2CM X 4,5M</t>
        </is>
      </c>
      <c r="E73" s="13" t="n">
        <v>1</v>
      </c>
      <c r="F73" s="13" t="n">
        <v>3</v>
      </c>
      <c r="G73" s="13" t="n">
        <v>3</v>
      </c>
      <c r="H73" s="8" t="n">
        <v>5.07</v>
      </c>
      <c r="I73" s="8">
        <f>G73*H73</f>
        <v/>
      </c>
      <c r="J73" s="8">
        <f>H73/E73</f>
        <v/>
      </c>
      <c r="K73" s="8" t="n">
        <v>5.32</v>
      </c>
      <c r="L73" s="8" t="n">
        <v>5.27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622791</v>
      </c>
      <c r="B74" s="7" t="inlineStr">
        <is>
          <t>405240</t>
        </is>
      </c>
      <c r="C74" s="12" t="inlineStr">
        <is>
          <t>7891317022174</t>
        </is>
      </c>
      <c r="D74" s="7" t="inlineStr">
        <is>
          <t>MINILAX PEDIATRICO 714,0+7,70MG/G SOL RET 7 BG X 6,5G</t>
        </is>
      </c>
      <c r="E74" s="13" t="n">
        <v>1</v>
      </c>
      <c r="F74" s="13" t="n">
        <v>1</v>
      </c>
      <c r="G74" s="13" t="n">
        <v>1</v>
      </c>
      <c r="H74" s="8" t="n">
        <v>44.5</v>
      </c>
      <c r="I74" s="8">
        <f>G74*H74</f>
        <v/>
      </c>
      <c r="J74" s="8">
        <f>H74/E74</f>
        <v/>
      </c>
      <c r="K74" s="8" t="n">
        <v>44.4967</v>
      </c>
      <c r="L74" s="8" t="n">
        <v>38.8975</v>
      </c>
      <c r="M74" s="14">
        <f>J74/K74-1</f>
        <v/>
      </c>
      <c r="N74" s="7" t="inlineStr">
        <is>
          <t>ACIMA +0.0%</t>
        </is>
      </c>
      <c r="O74" s="7" t="inlineStr"/>
    </row>
    <row r="75">
      <c r="A75" s="7" t="n">
        <v>133581</v>
      </c>
      <c r="B75" s="7" t="inlineStr">
        <is>
          <t>102323</t>
        </is>
      </c>
      <c r="C75" s="12" t="inlineStr">
        <is>
          <t>7896637023665</t>
        </is>
      </c>
      <c r="D75" s="7" t="inlineStr">
        <is>
          <t>MIOSAN 10MG CX 10 COMP REV</t>
        </is>
      </c>
      <c r="E75" s="13" t="n">
        <v>1</v>
      </c>
      <c r="F75" s="13" t="n">
        <v>3</v>
      </c>
      <c r="G75" s="13" t="n">
        <v>3</v>
      </c>
      <c r="H75" s="8" t="n">
        <v>12.44</v>
      </c>
      <c r="I75" s="8">
        <f>G75*H75</f>
        <v/>
      </c>
      <c r="J75" s="8">
        <f>H75/E75</f>
        <v/>
      </c>
      <c r="K75" s="8" t="n">
        <v>12.4417</v>
      </c>
      <c r="L75" s="8" t="n">
        <v>9.375</v>
      </c>
      <c r="M75" s="14">
        <f>J75/K75-1</f>
        <v/>
      </c>
      <c r="N75" s="7" t="inlineStr">
        <is>
          <t>OK (≤ últ. compra)</t>
        </is>
      </c>
      <c r="O75" s="7" t="inlineStr"/>
    </row>
    <row r="76">
      <c r="A76" s="7" t="n">
        <v>582301</v>
      </c>
      <c r="B76" s="7" t="inlineStr">
        <is>
          <t>102407</t>
        </is>
      </c>
      <c r="C76" s="12" t="inlineStr">
        <is>
          <t>7897337716550</t>
        </is>
      </c>
      <c r="D76" s="7" t="inlineStr">
        <is>
          <t>NASONEX 0,5MG/G SUS NAS FR SPR 60 ATOMIZ</t>
        </is>
      </c>
      <c r="E76" s="13" t="n">
        <v>1</v>
      </c>
      <c r="F76" s="13" t="n">
        <v>3</v>
      </c>
      <c r="G76" s="13" t="n">
        <v>3</v>
      </c>
      <c r="H76" s="8" t="n">
        <v>37.12</v>
      </c>
      <c r="I76" s="8">
        <f>G76*H76</f>
        <v/>
      </c>
      <c r="J76" s="8">
        <f>H76/E76</f>
        <v/>
      </c>
      <c r="K76" s="8" t="n">
        <v>37.12</v>
      </c>
      <c r="L76" s="8" t="n">
        <v>33.325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644791</v>
      </c>
      <c r="B77" s="7" t="inlineStr">
        <is>
          <t>715557</t>
        </is>
      </c>
      <c r="C77" s="12" t="inlineStr">
        <is>
          <t>7891010248130</t>
        </is>
      </c>
      <c r="D77" s="7" t="inlineStr">
        <is>
          <t>NEOS MINESOL COR/ROS FPS99 200ML</t>
        </is>
      </c>
      <c r="E77" s="13" t="n">
        <v>1</v>
      </c>
      <c r="F77" s="13" t="n">
        <v>2</v>
      </c>
      <c r="G77" s="13" t="n">
        <v>2</v>
      </c>
      <c r="H77" s="8" t="n">
        <v>128.52</v>
      </c>
      <c r="I77" s="8">
        <f>G77*H77</f>
        <v/>
      </c>
      <c r="J77" s="8">
        <f>H77/E77</f>
        <v/>
      </c>
      <c r="K77" s="8" t="n">
        <v>126.85</v>
      </c>
      <c r="L77" s="8" t="n">
        <v>126.85</v>
      </c>
      <c r="M77" s="14">
        <f>J77/K77-1</f>
        <v/>
      </c>
      <c r="N77" s="7" t="inlineStr">
        <is>
          <t>ACIMA +1.3%</t>
        </is>
      </c>
      <c r="O77" s="7" t="inlineStr"/>
    </row>
    <row r="78">
      <c r="A78" s="7" t="n">
        <v>613781</v>
      </c>
      <c r="B78" s="7" t="inlineStr">
        <is>
          <t>715677</t>
        </is>
      </c>
      <c r="C78" s="12" t="inlineStr">
        <is>
          <t>7891010249106</t>
        </is>
      </c>
      <c r="D78" s="7" t="inlineStr">
        <is>
          <t>NEUT SUN FRESH FPS90 200ML</t>
        </is>
      </c>
      <c r="E78" s="13" t="n">
        <v>1</v>
      </c>
      <c r="F78" s="13" t="n">
        <v>1</v>
      </c>
      <c r="G78" s="13" t="n">
        <v>1</v>
      </c>
      <c r="H78" s="8" t="n">
        <v>82.93000000000001</v>
      </c>
      <c r="I78" s="8">
        <f>G78*H78</f>
        <v/>
      </c>
      <c r="J78" s="8">
        <f>H78/E78</f>
        <v/>
      </c>
      <c r="K78" s="8" t="n">
        <v>76.9183</v>
      </c>
      <c r="L78" s="8" t="n">
        <v>76.9183</v>
      </c>
      <c r="M78" s="14">
        <f>J78/K78-1</f>
        <v/>
      </c>
      <c r="N78" s="7" t="inlineStr">
        <is>
          <t>ACIMA +7.8%</t>
        </is>
      </c>
      <c r="O78" s="7" t="inlineStr"/>
    </row>
    <row r="79">
      <c r="A79" s="7" t="n">
        <v>473</v>
      </c>
      <c r="B79" s="7" t="inlineStr">
        <is>
          <t>718018</t>
        </is>
      </c>
      <c r="C79" s="12" t="inlineStr">
        <is>
          <t>7891010253899</t>
        </is>
      </c>
      <c r="D79" s="7" t="inlineStr">
        <is>
          <t>NEUTROG HIDRATA &amp; REPARA 200ML</t>
        </is>
      </c>
      <c r="E79" s="13" t="n">
        <v>1</v>
      </c>
      <c r="F79" s="13" t="n">
        <v>1</v>
      </c>
      <c r="G79" s="13" t="n">
        <v>1</v>
      </c>
      <c r="H79" s="8" t="n">
        <v>17.13</v>
      </c>
      <c r="I79" s="8">
        <f>G79*H79</f>
        <v/>
      </c>
      <c r="J79" s="8">
        <f>H79/E79</f>
        <v/>
      </c>
      <c r="K79" s="8" t="n">
        <v>17.1617</v>
      </c>
      <c r="L79" s="8" t="n">
        <v>17.1617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588801</v>
      </c>
      <c r="B80" s="7" t="inlineStr">
        <is>
          <t>102512</t>
        </is>
      </c>
      <c r="C80" s="12" t="inlineStr">
        <is>
          <t>7898581710578</t>
        </is>
      </c>
      <c r="D80" s="7" t="inlineStr">
        <is>
          <t>NORIPURUM 10MG/ML XPE FR 120ML</t>
        </is>
      </c>
      <c r="E80" s="13" t="n">
        <v>1</v>
      </c>
      <c r="F80" s="13" t="n">
        <v>2</v>
      </c>
      <c r="G80" s="13" t="n">
        <v>2</v>
      </c>
      <c r="H80" s="8" t="n">
        <v>26.06</v>
      </c>
      <c r="I80" s="8">
        <f>G80*H80</f>
        <v/>
      </c>
      <c r="J80" s="8">
        <f>H80/E80</f>
        <v/>
      </c>
      <c r="K80" s="8" t="n">
        <v>26.06</v>
      </c>
      <c r="L80" s="8" t="n">
        <v>26.06</v>
      </c>
      <c r="M80" s="14">
        <f>J80/K80-1</f>
        <v/>
      </c>
      <c r="N80" s="7" t="inlineStr">
        <is>
          <t>OK (≤ menor hist.)</t>
        </is>
      </c>
      <c r="O80" s="7" t="inlineStr"/>
    </row>
    <row r="81">
      <c r="A81" s="7" t="n">
        <v>468981</v>
      </c>
      <c r="B81" s="7" t="inlineStr">
        <is>
          <t>102574</t>
        </is>
      </c>
      <c r="C81" s="12" t="inlineStr">
        <is>
          <t>7895858015824</t>
        </is>
      </c>
      <c r="D81" s="7" t="inlineStr">
        <is>
          <t>OMCILON A 1,0MG/G PAS BG 10G</t>
        </is>
      </c>
      <c r="E81" s="13" t="n">
        <v>1</v>
      </c>
      <c r="F81" s="13" t="n">
        <v>8</v>
      </c>
      <c r="G81" s="13" t="n">
        <v>8</v>
      </c>
      <c r="H81" s="8" t="n">
        <v>18.94</v>
      </c>
      <c r="I81" s="8">
        <f>G81*H81</f>
        <v/>
      </c>
      <c r="J81" s="8">
        <f>H81/E81</f>
        <v/>
      </c>
      <c r="K81" s="8" t="n">
        <v>18.945</v>
      </c>
      <c r="L81" s="8" t="n">
        <v>16.8473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627711</v>
      </c>
      <c r="B82" s="7" t="inlineStr">
        <is>
          <t>722004</t>
        </is>
      </c>
      <c r="C82" s="12" t="inlineStr">
        <is>
          <t>7896023799983</t>
        </is>
      </c>
      <c r="D82" s="7" t="inlineStr">
        <is>
          <t>OMEGA 3 1000MG 60CAP</t>
        </is>
      </c>
      <c r="E82" s="13" t="n">
        <v>1</v>
      </c>
      <c r="F82" s="13" t="n">
        <v>13</v>
      </c>
      <c r="G82" s="13" t="n">
        <v>13</v>
      </c>
      <c r="H82" s="8" t="n">
        <v>19.03</v>
      </c>
      <c r="I82" s="8">
        <f>G82*H82</f>
        <v/>
      </c>
      <c r="J82" s="8">
        <f>H82/E82</f>
        <v/>
      </c>
      <c r="K82" s="8" t="n">
        <v>32.02</v>
      </c>
      <c r="L82" s="8" t="n">
        <v>27.45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589541</v>
      </c>
      <c r="B83" s="7" t="inlineStr">
        <is>
          <t>716754</t>
        </is>
      </c>
      <c r="C83" s="12" t="inlineStr">
        <is>
          <t>7500435154222</t>
        </is>
      </c>
      <c r="D83" s="7" t="inlineStr">
        <is>
          <t>PANTENE SH 200ML BAMBU</t>
        </is>
      </c>
      <c r="E83" s="13" t="n">
        <v>1</v>
      </c>
      <c r="F83" s="13" t="n">
        <v>3</v>
      </c>
      <c r="G83" s="13" t="n">
        <v>3</v>
      </c>
      <c r="H83" s="8" t="n">
        <v>11.92</v>
      </c>
      <c r="I83" s="8">
        <f>G83*H83</f>
        <v/>
      </c>
      <c r="J83" s="8">
        <f>H83/E83</f>
        <v/>
      </c>
      <c r="K83" s="8" t="n">
        <v>14.14</v>
      </c>
      <c r="L83" s="8" t="n">
        <v>11.27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115101</v>
      </c>
      <c r="B84" s="7" t="inlineStr">
        <is>
          <t>400847</t>
        </is>
      </c>
      <c r="C84" s="12" t="inlineStr">
        <is>
          <t>78905108</t>
        </is>
      </c>
      <c r="D84" s="7" t="inlineStr">
        <is>
          <t>POMADA MINANCORA 20%+0,5%+5% POM DERM BG 30G</t>
        </is>
      </c>
      <c r="E84" s="13" t="n">
        <v>1</v>
      </c>
      <c r="F84" s="13" t="n">
        <v>1</v>
      </c>
      <c r="G84" s="13" t="n">
        <v>1</v>
      </c>
      <c r="H84" s="8" t="n">
        <v>16.07</v>
      </c>
      <c r="I84" s="8">
        <f>G84*H84</f>
        <v/>
      </c>
      <c r="J84" s="8">
        <f>H84/E84</f>
        <v/>
      </c>
      <c r="K84" s="8" t="n">
        <v>16.1667</v>
      </c>
      <c r="L84" s="8" t="n">
        <v>14.245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205761</v>
      </c>
      <c r="B85" s="7" t="inlineStr">
        <is>
          <t>102878</t>
        </is>
      </c>
      <c r="C85" s="12" t="inlineStr">
        <is>
          <t>7891317177652</t>
        </is>
      </c>
      <c r="D85" s="7" t="inlineStr">
        <is>
          <t>PRIMERA 0,150+0,020MG CAIXA C/ 3 CARTELAS</t>
        </is>
      </c>
      <c r="E85" s="13" t="n">
        <v>1</v>
      </c>
      <c r="F85" s="13" t="n">
        <v>2</v>
      </c>
      <c r="G85" s="13" t="n">
        <v>2</v>
      </c>
      <c r="H85" s="8" t="n">
        <v>69.47</v>
      </c>
      <c r="I85" s="8">
        <f>G85*H85</f>
        <v/>
      </c>
      <c r="J85" s="8">
        <f>H85/E85</f>
        <v/>
      </c>
      <c r="K85" s="8" t="n">
        <v>69.47</v>
      </c>
      <c r="L85" s="8" t="n">
        <v>20.79</v>
      </c>
      <c r="M85" s="14">
        <f>J85/K85-1</f>
        <v/>
      </c>
      <c r="N85" s="7" t="inlineStr">
        <is>
          <t>OK (≤ últ. compra)</t>
        </is>
      </c>
      <c r="O85" s="7" t="inlineStr"/>
    </row>
    <row r="86">
      <c r="A86" s="7" t="n">
        <v>644221</v>
      </c>
      <c r="B86" s="7" t="inlineStr">
        <is>
          <t>405381</t>
        </is>
      </c>
      <c r="C86" s="12" t="inlineStr">
        <is>
          <t>7898636193622</t>
        </is>
      </c>
      <c r="D86" s="7" t="inlineStr">
        <is>
          <t>PROCTAN 25G C/ 10 LUVAS-OUTROS</t>
        </is>
      </c>
      <c r="E86" s="13" t="n">
        <v>1</v>
      </c>
      <c r="F86" s="13" t="n">
        <v>1</v>
      </c>
      <c r="G86" s="13" t="n">
        <v>1</v>
      </c>
      <c r="H86" s="8" t="n">
        <v>41.77</v>
      </c>
      <c r="I86" s="8">
        <f>G86*H86</f>
        <v/>
      </c>
      <c r="J86" s="8">
        <f>H86/E86</f>
        <v/>
      </c>
      <c r="K86" s="8" t="n">
        <v>44.71</v>
      </c>
      <c r="L86" s="8" t="n">
        <v>34.175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543021</v>
      </c>
      <c r="B87" s="7" t="inlineStr">
        <is>
          <t>402424</t>
        </is>
      </c>
      <c r="C87" s="12" t="inlineStr">
        <is>
          <t>7898949409465</t>
        </is>
      </c>
      <c r="D87" s="7" t="inlineStr">
        <is>
          <t>PROCTAN 25G POMADA GENO %DN:0.00</t>
        </is>
      </c>
      <c r="E87" s="13" t="n">
        <v>1</v>
      </c>
      <c r="F87" s="13" t="n">
        <v>3</v>
      </c>
      <c r="G87" s="13" t="n">
        <v>3</v>
      </c>
      <c r="H87" s="8" t="n">
        <v>41.77</v>
      </c>
      <c r="I87" s="8">
        <f>G87*H87</f>
        <v/>
      </c>
      <c r="J87" s="8">
        <f>H87/E87</f>
        <v/>
      </c>
      <c r="K87" s="8" t="n">
        <v>41.765</v>
      </c>
      <c r="L87" s="8" t="n">
        <v>34.1775</v>
      </c>
      <c r="M87" s="14">
        <f>J87/K87-1</f>
        <v/>
      </c>
      <c r="N87" s="7" t="inlineStr">
        <is>
          <t>ACIMA +0.0%</t>
        </is>
      </c>
      <c r="O87" s="7" t="inlineStr"/>
    </row>
    <row r="88">
      <c r="A88" s="7" t="n">
        <v>566961</v>
      </c>
      <c r="B88" s="7" t="inlineStr">
        <is>
          <t>700433</t>
        </is>
      </c>
      <c r="C88" s="12" t="inlineStr">
        <is>
          <t>4005808555345</t>
        </is>
      </c>
      <c r="D88" s="7" t="inlineStr">
        <is>
          <t>PROT NIVEA SOLAR SUN PROT  HIDRAT FPS50 200ML</t>
        </is>
      </c>
      <c r="E88" s="13" t="n">
        <v>1</v>
      </c>
      <c r="F88" s="13" t="n">
        <v>3</v>
      </c>
      <c r="G88" s="13" t="n">
        <v>3</v>
      </c>
      <c r="H88" s="8" t="n">
        <v>41.52</v>
      </c>
      <c r="I88" s="8">
        <f>G88*H88</f>
        <v/>
      </c>
      <c r="J88" s="8">
        <f>H88/E88</f>
        <v/>
      </c>
      <c r="K88" s="8" t="n">
        <v>50.005</v>
      </c>
      <c r="L88" s="8" t="n">
        <v>50.005</v>
      </c>
      <c r="M88" s="14">
        <f>J88/K88-1</f>
        <v/>
      </c>
      <c r="N88" s="7" t="inlineStr">
        <is>
          <t>OK (≤ menor hist.)</t>
        </is>
      </c>
      <c r="O88" s="7" t="inlineStr"/>
    </row>
    <row r="89">
      <c r="A89" s="7" t="n">
        <v>615391</v>
      </c>
      <c r="B89" s="7" t="inlineStr">
        <is>
          <t>720013</t>
        </is>
      </c>
      <c r="C89" s="12" t="inlineStr">
        <is>
          <t>4005900980397</t>
        </is>
      </c>
      <c r="D89" s="7" t="inlineStr">
        <is>
          <t>PROT NIVEA SUN FACIAL TOQUE SECO FPS70 40ML</t>
        </is>
      </c>
      <c r="E89" s="13" t="n">
        <v>1</v>
      </c>
      <c r="F89" s="13" t="n">
        <v>1</v>
      </c>
      <c r="G89" s="13" t="n">
        <v>1</v>
      </c>
      <c r="H89" s="8" t="n">
        <v>29.1</v>
      </c>
      <c r="I89" s="8">
        <f>G89*H89</f>
        <v/>
      </c>
      <c r="J89" s="8">
        <f>H89/E89</f>
        <v/>
      </c>
      <c r="K89" s="8" t="n">
        <v>35.045</v>
      </c>
      <c r="L89" s="8" t="n">
        <v>29.3933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69321</v>
      </c>
      <c r="B90" s="7" t="inlineStr">
        <is>
          <t>102953</t>
        </is>
      </c>
      <c r="C90" s="12" t="inlineStr">
        <is>
          <t>7896206402013</t>
        </is>
      </c>
      <c r="D90" s="7" t="inlineStr">
        <is>
          <t>PULMICORT 0,25MG SUS NEB CX 5 FR X 2ML</t>
        </is>
      </c>
      <c r="E90" s="13" t="n">
        <v>1</v>
      </c>
      <c r="F90" s="13" t="n">
        <v>8</v>
      </c>
      <c r="G90" s="13" t="n">
        <v>8</v>
      </c>
      <c r="H90" s="8" t="n">
        <v>41.06</v>
      </c>
      <c r="I90" s="8">
        <f>G90*H90</f>
        <v/>
      </c>
      <c r="J90" s="8">
        <f>H90/E90</f>
        <v/>
      </c>
      <c r="K90" s="8" t="n">
        <v>41.0625</v>
      </c>
      <c r="L90" s="8" t="n">
        <v>39.12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319641</v>
      </c>
      <c r="B91" s="7" t="inlineStr">
        <is>
          <t>106525</t>
        </is>
      </c>
      <c r="C91" s="12" t="inlineStr">
        <is>
          <t>7891058003562</t>
        </is>
      </c>
      <c r="D91" s="7" t="inlineStr">
        <is>
          <t>PURAN T4 37,5MCG CX 30 COMP</t>
        </is>
      </c>
      <c r="E91" s="13" t="n">
        <v>1</v>
      </c>
      <c r="F91" s="13" t="n">
        <v>9</v>
      </c>
      <c r="G91" s="13" t="n">
        <v>9</v>
      </c>
      <c r="H91" s="8" t="n">
        <v>8.26</v>
      </c>
      <c r="I91" s="8">
        <f>G91*H91</f>
        <v/>
      </c>
      <c r="J91" s="8">
        <f>H91/E91</f>
        <v/>
      </c>
      <c r="K91" s="8" t="n">
        <v>8.255000000000001</v>
      </c>
      <c r="L91" s="8" t="n">
        <v>7.6</v>
      </c>
      <c r="M91" s="14">
        <f>J91/K91-1</f>
        <v/>
      </c>
      <c r="N91" s="7" t="inlineStr">
        <is>
          <t>ACIMA +0.1%</t>
        </is>
      </c>
      <c r="O91" s="7" t="inlineStr"/>
    </row>
    <row r="92">
      <c r="A92" s="7" t="n">
        <v>320861</v>
      </c>
      <c r="B92" s="7" t="inlineStr">
        <is>
          <t>102972</t>
        </is>
      </c>
      <c r="C92" s="12" t="inlineStr">
        <is>
          <t>7897595901316</t>
        </is>
      </c>
      <c r="D92" s="7" t="inlineStr">
        <is>
          <t>PURAN T4 50MCG CX 30 COMP</t>
        </is>
      </c>
      <c r="E92" s="13" t="n">
        <v>1</v>
      </c>
      <c r="F92" s="13" t="n">
        <v>6</v>
      </c>
      <c r="G92" s="13" t="n">
        <v>6</v>
      </c>
      <c r="H92" s="8" t="n">
        <v>14.43</v>
      </c>
      <c r="I92" s="8">
        <f>G92*H92</f>
        <v/>
      </c>
      <c r="J92" s="8">
        <f>H92/E92</f>
        <v/>
      </c>
      <c r="K92" s="8" t="n">
        <v>14.437</v>
      </c>
      <c r="L92" s="8" t="n">
        <v>12.2508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500621</v>
      </c>
      <c r="B93" s="7" t="inlineStr">
        <is>
          <t>106526</t>
        </is>
      </c>
      <c r="C93" s="12" t="inlineStr">
        <is>
          <t>7891058003579</t>
        </is>
      </c>
      <c r="D93" s="7" t="inlineStr">
        <is>
          <t>PURAN T4 62,5MCG CX 30 COMP</t>
        </is>
      </c>
      <c r="E93" s="13" t="n">
        <v>1</v>
      </c>
      <c r="F93" s="13" t="n">
        <v>2</v>
      </c>
      <c r="G93" s="13" t="n">
        <v>2</v>
      </c>
      <c r="H93" s="8" t="n">
        <v>13.74</v>
      </c>
      <c r="I93" s="8">
        <f>G93*H93</f>
        <v/>
      </c>
      <c r="J93" s="8">
        <f>H93/E93</f>
        <v/>
      </c>
      <c r="K93" s="8" t="n">
        <v>13.74</v>
      </c>
      <c r="L93" s="8" t="n">
        <v>12.655</v>
      </c>
      <c r="M93" s="14">
        <f>J93/K93-1</f>
        <v/>
      </c>
      <c r="N93" s="7" t="inlineStr">
        <is>
          <t>OK (≤ últ. compra)</t>
        </is>
      </c>
      <c r="O93" s="7" t="inlineStr"/>
    </row>
    <row r="94">
      <c r="A94" s="7" t="n">
        <v>649771</v>
      </c>
      <c r="B94" s="7" t="inlineStr">
        <is>
          <t>721848</t>
        </is>
      </c>
      <c r="C94" s="12" t="inlineStr">
        <is>
          <t>7896676440492</t>
        </is>
      </c>
      <c r="D94" s="7" t="inlineStr">
        <is>
          <t>PVV - CUTISANOL BABY CREME 120G-DEMAIS PROD</t>
        </is>
      </c>
      <c r="E94" s="13" t="n">
        <v>1</v>
      </c>
      <c r="F94" s="13" t="n">
        <v>1</v>
      </c>
      <c r="G94" s="13" t="n">
        <v>1</v>
      </c>
      <c r="H94" s="8" t="n">
        <v>41.78</v>
      </c>
      <c r="I94" s="8">
        <f>G94*H94</f>
        <v/>
      </c>
      <c r="J94" s="8">
        <f>H94/E94</f>
        <v/>
      </c>
      <c r="K94" s="8" t="n">
        <v>33.0067</v>
      </c>
      <c r="L94" s="8" t="n">
        <v>33.0067</v>
      </c>
      <c r="M94" s="14">
        <f>J94/K94-1</f>
        <v/>
      </c>
      <c r="N94" s="7" t="inlineStr">
        <is>
          <t>ACIMA +26.6%</t>
        </is>
      </c>
      <c r="O94" s="7" t="inlineStr"/>
    </row>
    <row r="95">
      <c r="A95" s="7" t="n">
        <v>654181</v>
      </c>
      <c r="B95" s="7" t="inlineStr">
        <is>
          <t>405686</t>
        </is>
      </c>
      <c r="C95" s="12" t="inlineStr">
        <is>
          <t>7896112409625</t>
        </is>
      </c>
      <c r="D95" s="7" t="inlineStr">
        <is>
          <t>PVV - FLY GOTAS 150MG LAR 15ML</t>
        </is>
      </c>
      <c r="E95" s="13" t="n">
        <v>1</v>
      </c>
      <c r="F95" s="13" t="n">
        <v>1</v>
      </c>
      <c r="G95" s="13" t="n">
        <v>1</v>
      </c>
      <c r="H95" s="8" t="n">
        <v>18.32</v>
      </c>
      <c r="I95" s="8">
        <f>G95*H95</f>
        <v/>
      </c>
      <c r="J95" s="8">
        <f>H95/E95</f>
        <v/>
      </c>
      <c r="K95" s="8" t="n">
        <v>28.935</v>
      </c>
      <c r="L95" s="8" t="n">
        <v>28.935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565941</v>
      </c>
      <c r="B96" s="7" t="inlineStr">
        <is>
          <t>715228</t>
        </is>
      </c>
      <c r="C96" s="12" t="inlineStr">
        <is>
          <t>7891106912655</t>
        </is>
      </c>
      <c r="D96" s="7" t="inlineStr">
        <is>
          <t>REDOXON TRIPLA ACAO 10CP EFERV</t>
        </is>
      </c>
      <c r="E96" s="13" t="n">
        <v>1</v>
      </c>
      <c r="F96" s="13" t="n">
        <v>10</v>
      </c>
      <c r="G96" s="13" t="n">
        <v>10</v>
      </c>
      <c r="H96" s="8" t="n">
        <v>13.55</v>
      </c>
      <c r="I96" s="8">
        <f>G96*H96</f>
        <v/>
      </c>
      <c r="J96" s="8">
        <f>H96/E96</f>
        <v/>
      </c>
      <c r="K96" s="8" t="n">
        <v>14.155</v>
      </c>
      <c r="L96" s="8" t="n">
        <v>11.2925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553</v>
      </c>
      <c r="B97" s="7" t="inlineStr">
        <is>
          <t>703976</t>
        </is>
      </c>
      <c r="C97" s="12" t="inlineStr">
        <is>
          <t>310119033227</t>
        </is>
      </c>
      <c r="D97" s="7" t="inlineStr">
        <is>
          <t>RENU PLUS SOL MULTI-USO S/ FRICCAO FR 120ML (+12% IPI)</t>
        </is>
      </c>
      <c r="E97" s="13" t="n">
        <v>1</v>
      </c>
      <c r="F97" s="13" t="n">
        <v>1</v>
      </c>
      <c r="G97" s="13" t="n">
        <v>1</v>
      </c>
      <c r="H97" s="8" t="n">
        <v>34.72</v>
      </c>
      <c r="I97" s="8">
        <f>G97*H97</f>
        <v/>
      </c>
      <c r="J97" s="8">
        <f>H97/E97</f>
        <v/>
      </c>
      <c r="K97" s="8" t="n">
        <v>37.74</v>
      </c>
      <c r="L97" s="8" t="n">
        <v>31.97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617521</v>
      </c>
      <c r="B98" s="7" t="inlineStr">
        <is>
          <t>721167</t>
        </is>
      </c>
      <c r="C98" s="12" t="inlineStr">
        <is>
          <t>7896512959843</t>
        </is>
      </c>
      <c r="D98" s="7" t="inlineStr">
        <is>
          <t>SAB LIQ GRANADO 250ML REF CALENDULA</t>
        </is>
      </c>
      <c r="E98" s="13" t="n">
        <v>1</v>
      </c>
      <c r="F98" s="13" t="n">
        <v>3</v>
      </c>
      <c r="G98" s="13" t="n">
        <v>3</v>
      </c>
      <c r="H98" s="8" t="n">
        <v>11.64</v>
      </c>
      <c r="I98" s="8">
        <f>G98*H98</f>
        <v/>
      </c>
      <c r="J98" s="8">
        <f>H98/E98</f>
        <v/>
      </c>
      <c r="K98" s="8" t="n">
        <v>12.5767</v>
      </c>
      <c r="L98" s="8" t="n">
        <v>12.5767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611001</v>
      </c>
      <c r="B99" s="7" t="inlineStr">
        <is>
          <t>720210</t>
        </is>
      </c>
      <c r="C99" s="12" t="inlineStr">
        <is>
          <t>4005900945709</t>
        </is>
      </c>
      <c r="D99" s="7" t="inlineStr">
        <is>
          <t>SAB NIVEA GEL ACNE CONTROL 150G</t>
        </is>
      </c>
      <c r="E99" s="13" t="n">
        <v>1</v>
      </c>
      <c r="F99" s="13" t="n">
        <v>1</v>
      </c>
      <c r="G99" s="13" t="n">
        <v>1</v>
      </c>
      <c r="H99" s="8" t="n">
        <v>27.4</v>
      </c>
      <c r="I99" s="8">
        <f>G99*H99</f>
        <v/>
      </c>
      <c r="J99" s="8">
        <f>H99/E99</f>
        <v/>
      </c>
      <c r="K99" s="8" t="n">
        <v>23.5633</v>
      </c>
      <c r="L99" s="8" t="n">
        <v>23.5633</v>
      </c>
      <c r="M99" s="14">
        <f>J99/K99-1</f>
        <v/>
      </c>
      <c r="N99" s="7" t="inlineStr">
        <is>
          <t>ACIMA +16.3%</t>
        </is>
      </c>
      <c r="O99" s="7" t="inlineStr"/>
    </row>
    <row r="100">
      <c r="A100" s="7" t="n">
        <v>577181</v>
      </c>
      <c r="B100" s="7" t="inlineStr">
        <is>
          <t>715569</t>
        </is>
      </c>
      <c r="C100" s="12" t="inlineStr">
        <is>
          <t>7891150065338</t>
        </is>
      </c>
      <c r="D100" s="7" t="inlineStr">
        <is>
          <t>SAB. LIQ. DOVE BAB.180ML REF.</t>
        </is>
      </c>
      <c r="E100" s="13" t="n">
        <v>1</v>
      </c>
      <c r="F100" s="13" t="n">
        <v>3</v>
      </c>
      <c r="G100" s="13" t="n">
        <v>3</v>
      </c>
      <c r="H100" s="8" t="n">
        <v>7</v>
      </c>
      <c r="I100" s="8">
        <f>G100*H100</f>
        <v/>
      </c>
      <c r="J100" s="8">
        <f>H100/E100</f>
        <v/>
      </c>
      <c r="K100" s="8" t="n">
        <v>9.27</v>
      </c>
      <c r="L100" s="8" t="n">
        <v>9.27</v>
      </c>
      <c r="M100" s="14">
        <f>J100/K100-1</f>
        <v/>
      </c>
      <c r="N100" s="7" t="inlineStr">
        <is>
          <t>OK (≤ menor hist.)</t>
        </is>
      </c>
      <c r="O100" s="7" t="inlineStr"/>
    </row>
    <row r="101">
      <c r="A101" s="7" t="n">
        <v>577161</v>
      </c>
      <c r="B101" s="7" t="inlineStr">
        <is>
          <t>715567</t>
        </is>
      </c>
      <c r="C101" s="12" t="inlineStr">
        <is>
          <t>7891150065291</t>
        </is>
      </c>
      <c r="D101" s="7" t="inlineStr">
        <is>
          <t>SAB. LIQ. DOVE BABY 200ML HID.</t>
        </is>
      </c>
      <c r="E101" s="13" t="n">
        <v>1</v>
      </c>
      <c r="F101" s="13" t="n">
        <v>8</v>
      </c>
      <c r="G101" s="13" t="n">
        <v>8</v>
      </c>
      <c r="H101" s="8" t="n">
        <v>9.77</v>
      </c>
      <c r="I101" s="8">
        <f>G101*H101</f>
        <v/>
      </c>
      <c r="J101" s="8">
        <f>H101/E101</f>
        <v/>
      </c>
      <c r="K101" s="8" t="n">
        <v>12.4633</v>
      </c>
      <c r="L101" s="8" t="n">
        <v>12.4633</v>
      </c>
      <c r="M101" s="14">
        <f>J101/K101-1</f>
        <v/>
      </c>
      <c r="N101" s="7" t="inlineStr">
        <is>
          <t>OK (≤ menor hist.)</t>
        </is>
      </c>
      <c r="O101" s="7" t="inlineStr"/>
    </row>
    <row r="102">
      <c r="A102" s="7" t="n">
        <v>104</v>
      </c>
      <c r="B102" s="7" t="inlineStr">
        <is>
          <t>703913</t>
        </is>
      </c>
      <c r="C102" s="12" t="inlineStr">
        <is>
          <t>4005808189342</t>
        </is>
      </c>
      <c r="D102" s="7" t="inlineStr">
        <is>
          <t>SABONETE FACIAL GEL NIVEA EQUI NUT 150G</t>
        </is>
      </c>
      <c r="E102" s="13" t="n">
        <v>1</v>
      </c>
      <c r="F102" s="13" t="n">
        <v>1</v>
      </c>
      <c r="G102" s="13" t="n">
        <v>1</v>
      </c>
      <c r="H102" s="8" t="n">
        <v>22.03</v>
      </c>
      <c r="I102" s="8">
        <f>G102*H102</f>
        <v/>
      </c>
      <c r="J102" s="8">
        <f>H102/E102</f>
        <v/>
      </c>
      <c r="K102" s="8" t="n">
        <v>26.19</v>
      </c>
      <c r="L102" s="8" t="n">
        <v>21.2</v>
      </c>
      <c r="M102" s="14">
        <f>J102/K102-1</f>
        <v/>
      </c>
      <c r="N102" s="7" t="inlineStr">
        <is>
          <t>OK (≤ últ. compra)</t>
        </is>
      </c>
      <c r="O102" s="7" t="inlineStr"/>
    </row>
    <row r="103">
      <c r="A103" s="7" t="n">
        <v>660401</v>
      </c>
      <c r="B103" s="7" t="inlineStr">
        <is>
          <t>103151</t>
        </is>
      </c>
      <c r="C103" s="12" t="inlineStr">
        <is>
          <t>7897337716703</t>
        </is>
      </c>
      <c r="D103" s="7" t="inlineStr">
        <is>
          <t>SANDRENA 0,1 PCC GEL CT 28 SACH X 0,5 G</t>
        </is>
      </c>
      <c r="E103" s="13" t="n">
        <v>1</v>
      </c>
      <c r="F103" s="13" t="n">
        <v>1</v>
      </c>
      <c r="G103" s="13" t="n">
        <v>1</v>
      </c>
      <c r="H103" s="8" t="n">
        <v>31.3</v>
      </c>
      <c r="I103" s="8">
        <f>G103*H103</f>
        <v/>
      </c>
      <c r="J103" s="8">
        <f>H103/E103</f>
        <v/>
      </c>
      <c r="K103" s="8" t="n">
        <v>31.3</v>
      </c>
      <c r="L103" s="8" t="n">
        <v>29.42</v>
      </c>
      <c r="M103" s="14">
        <f>J103/K103-1</f>
        <v/>
      </c>
      <c r="N103" s="7" t="inlineStr">
        <is>
          <t>OK (≤ últ. compra)</t>
        </is>
      </c>
      <c r="O103" s="7" t="inlineStr"/>
    </row>
    <row r="104">
      <c r="A104" s="7" t="n">
        <v>628971</v>
      </c>
      <c r="B104" s="7" t="inlineStr">
        <is>
          <t>714781</t>
        </is>
      </c>
      <c r="C104" s="12" t="inlineStr">
        <is>
          <t>7891150053229</t>
        </is>
      </c>
      <c r="D104" s="7" t="inlineStr">
        <is>
          <t>SB LIQ DOVE 200ML RF NUTRICAO PROFU M3</t>
        </is>
      </c>
      <c r="E104" s="13" t="n">
        <v>1</v>
      </c>
      <c r="F104" s="13" t="n">
        <v>8</v>
      </c>
      <c r="G104" s="13" t="n">
        <v>8</v>
      </c>
      <c r="H104" s="8" t="n">
        <v>5.92</v>
      </c>
      <c r="I104" s="8">
        <f>G104*H104</f>
        <v/>
      </c>
      <c r="J104" s="8">
        <f>H104/E104</f>
        <v/>
      </c>
      <c r="K104" s="8" t="n">
        <v>7.88</v>
      </c>
      <c r="L104" s="8" t="n">
        <v>7.53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648651</v>
      </c>
      <c r="B105" s="7" t="inlineStr">
        <is>
          <t>722167</t>
        </is>
      </c>
      <c r="C105" s="12" t="inlineStr">
        <is>
          <t>7891150095670</t>
        </is>
      </c>
      <c r="D105" s="7" t="inlineStr">
        <is>
          <t>SDS LIQ DOVE 200ML RF PELE SENSIVEL M3</t>
        </is>
      </c>
      <c r="E105" s="13" t="n">
        <v>1</v>
      </c>
      <c r="F105" s="13" t="n">
        <v>6</v>
      </c>
      <c r="G105" s="13" t="n">
        <v>6</v>
      </c>
      <c r="H105" s="8" t="n">
        <v>5.92</v>
      </c>
      <c r="I105" s="8">
        <f>G105*H105</f>
        <v/>
      </c>
      <c r="J105" s="8">
        <f>H105/E105</f>
        <v/>
      </c>
      <c r="K105" s="8" t="n">
        <v>7.88</v>
      </c>
      <c r="L105" s="8" t="n">
        <v>7.5292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648361</v>
      </c>
      <c r="B106" s="7" t="inlineStr">
        <is>
          <t>721053</t>
        </is>
      </c>
      <c r="C106" s="12" t="inlineStr">
        <is>
          <t>7891150091788</t>
        </is>
      </c>
      <c r="D106" s="7" t="inlineStr">
        <is>
          <t>SEDA CCP 1KG BOOM DEFINICAO SUPER HID M3</t>
        </is>
      </c>
      <c r="E106" s="13" t="n">
        <v>1</v>
      </c>
      <c r="F106" s="13" t="n">
        <v>1</v>
      </c>
      <c r="G106" s="13" t="n">
        <v>1</v>
      </c>
      <c r="H106" s="8" t="n">
        <v>14.15</v>
      </c>
      <c r="I106" s="8">
        <f>G106*H106</f>
        <v/>
      </c>
      <c r="J106" s="8">
        <f>H106/E106</f>
        <v/>
      </c>
      <c r="K106" s="8" t="n">
        <v>20.61</v>
      </c>
      <c r="L106" s="8" t="n">
        <v>17.3012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662751</v>
      </c>
      <c r="B107" s="7" t="inlineStr">
        <is>
          <t>722191</t>
        </is>
      </c>
      <c r="C107" s="12" t="inlineStr">
        <is>
          <t>7891150095823</t>
        </is>
      </c>
      <c r="D107" s="7" t="inlineStr">
        <is>
          <t>SERUM DOVE CORP PRO RETIN 380ML-DEMAIS PROD</t>
        </is>
      </c>
      <c r="E107" s="13" t="n">
        <v>1</v>
      </c>
      <c r="F107" s="13" t="n">
        <v>2</v>
      </c>
      <c r="G107" s="13" t="n">
        <v>2</v>
      </c>
      <c r="H107" s="8" t="n">
        <v>32.08</v>
      </c>
      <c r="I107" s="8">
        <f>G107*H107</f>
        <v/>
      </c>
      <c r="J107" s="8">
        <f>H107/E107</f>
        <v/>
      </c>
      <c r="K107" s="8" t="n">
        <v>34.89</v>
      </c>
      <c r="L107" s="8" t="n">
        <v>34.3683</v>
      </c>
      <c r="M107" s="14">
        <f>J107/K107-1</f>
        <v/>
      </c>
      <c r="N107" s="7" t="inlineStr">
        <is>
          <t>OK (≤ menor hist.)</t>
        </is>
      </c>
      <c r="O107" s="7" t="inlineStr"/>
    </row>
    <row r="108">
      <c r="A108" s="7" t="n">
        <v>623061</v>
      </c>
      <c r="B108" s="7" t="inlineStr">
        <is>
          <t>720414</t>
        </is>
      </c>
      <c r="C108" s="12" t="inlineStr">
        <is>
          <t>7899706244107</t>
        </is>
      </c>
      <c r="D108" s="7" t="inlineStr">
        <is>
          <t>SH ELSEVE 400ML PURE HIALURONICO</t>
        </is>
      </c>
      <c r="E108" s="13" t="n">
        <v>1</v>
      </c>
      <c r="F108" s="13" t="n">
        <v>4</v>
      </c>
      <c r="G108" s="13" t="n">
        <v>4</v>
      </c>
      <c r="H108" s="8" t="n">
        <v>21.03</v>
      </c>
      <c r="I108" s="8">
        <f>G108*H108</f>
        <v/>
      </c>
      <c r="J108" s="8">
        <f>H108/E108</f>
        <v/>
      </c>
      <c r="K108" s="8" t="n">
        <v>25.82</v>
      </c>
      <c r="L108" s="8" t="n">
        <v>25.82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844</v>
      </c>
      <c r="B109" s="7" t="inlineStr">
        <is>
          <t>710113</t>
        </is>
      </c>
      <c r="C109" s="12" t="inlineStr">
        <is>
          <t>7898949409922</t>
        </is>
      </c>
      <c r="D109" s="7" t="inlineStr">
        <is>
          <t>SHP TIO NACHO ENGROSSADOR 415ML</t>
        </is>
      </c>
      <c r="E109" s="13" t="n">
        <v>1</v>
      </c>
      <c r="F109" s="13" t="n">
        <v>1</v>
      </c>
      <c r="G109" s="13" t="n">
        <v>1</v>
      </c>
      <c r="H109" s="8" t="n">
        <v>25.73</v>
      </c>
      <c r="I109" s="8">
        <f>G109*H109</f>
        <v/>
      </c>
      <c r="J109" s="8">
        <f>H109/E109</f>
        <v/>
      </c>
      <c r="K109" s="8" t="n">
        <v>29.05</v>
      </c>
      <c r="L109" s="8" t="n">
        <v>21.23</v>
      </c>
      <c r="M109" s="14">
        <f>J109/K109-1</f>
        <v/>
      </c>
      <c r="N109" s="7" t="inlineStr">
        <is>
          <t>OK (≤ últ. compra)</t>
        </is>
      </c>
      <c r="O109" s="7" t="inlineStr"/>
    </row>
    <row r="110">
      <c r="A110" s="7" t="n">
        <v>109721</v>
      </c>
      <c r="B110" s="7" t="inlineStr">
        <is>
          <t>103232</t>
        </is>
      </c>
      <c r="C110" s="12" t="inlineStr">
        <is>
          <t>7894916501477</t>
        </is>
      </c>
      <c r="D110" s="7" t="inlineStr">
        <is>
          <t>SIGMA-CLAV BD 400+57MG/5ML SUS ORAL FR 70ML</t>
        </is>
      </c>
      <c r="E110" s="13" t="n">
        <v>1</v>
      </c>
      <c r="F110" s="13" t="n">
        <v>2</v>
      </c>
      <c r="G110" s="13" t="n">
        <v>2</v>
      </c>
      <c r="H110" s="8" t="n">
        <v>27.52</v>
      </c>
      <c r="I110" s="8">
        <f>G110*H110</f>
        <v/>
      </c>
      <c r="J110" s="8">
        <f>H110/E110</f>
        <v/>
      </c>
      <c r="K110" s="8" t="n">
        <v>27.52</v>
      </c>
      <c r="L110" s="8" t="n">
        <v>25.95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605291</v>
      </c>
      <c r="B111" s="7" t="inlineStr">
        <is>
          <t>405203</t>
        </is>
      </c>
      <c r="C111" s="12" t="inlineStr">
        <is>
          <t>7897460401934</t>
        </is>
      </c>
      <c r="D111" s="7" t="inlineStr">
        <is>
          <t>SILIMALON 100+70MG CX 10 COMP REV</t>
        </is>
      </c>
      <c r="E111" s="13" t="n">
        <v>1</v>
      </c>
      <c r="F111" s="13" t="n">
        <v>5</v>
      </c>
      <c r="G111" s="13" t="n">
        <v>5</v>
      </c>
      <c r="H111" s="8" t="n">
        <v>18.34</v>
      </c>
      <c r="I111" s="8">
        <f>G111*H111</f>
        <v/>
      </c>
      <c r="J111" s="8">
        <f>H111/E111</f>
        <v/>
      </c>
      <c r="K111" s="8" t="n">
        <v>19.2467</v>
      </c>
      <c r="L111" s="8" t="n">
        <v>15.4333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114821</v>
      </c>
      <c r="B112" s="7" t="inlineStr">
        <is>
          <t>401188</t>
        </is>
      </c>
      <c r="C112" s="12" t="inlineStr">
        <is>
          <t>7896082900337</t>
        </is>
      </c>
      <c r="D112" s="7" t="inlineStr">
        <is>
          <t>SINUSTRAT FR 10ML</t>
        </is>
      </c>
      <c r="E112" s="13" t="n">
        <v>1</v>
      </c>
      <c r="F112" s="13" t="n">
        <v>1</v>
      </c>
      <c r="G112" s="13" t="n">
        <v>1</v>
      </c>
      <c r="H112" s="8" t="n">
        <v>16.46</v>
      </c>
      <c r="I112" s="8">
        <f>G112*H112</f>
        <v/>
      </c>
      <c r="J112" s="8">
        <f>H112/E112</f>
        <v/>
      </c>
      <c r="K112" s="8" t="n">
        <v>13.3867</v>
      </c>
      <c r="L112" s="8" t="n">
        <v>13.3867</v>
      </c>
      <c r="M112" s="14">
        <f>J112/K112-1</f>
        <v/>
      </c>
      <c r="N112" s="7" t="inlineStr">
        <is>
          <t>ACIMA +23.0%</t>
        </is>
      </c>
      <c r="O112" s="7" t="inlineStr"/>
    </row>
    <row r="113">
      <c r="A113" s="7" t="n">
        <v>297921</v>
      </c>
      <c r="B113" s="7" t="inlineStr">
        <is>
          <t>103317</t>
        </is>
      </c>
      <c r="C113" s="12" t="inlineStr">
        <is>
          <t>7898074617803</t>
        </is>
      </c>
      <c r="D113" s="7" t="inlineStr">
        <is>
          <t>SPIDUFEN 1155MG GRAN SOL CX 10 ENV 3G SB DAMASCO</t>
        </is>
      </c>
      <c r="E113" s="13" t="n">
        <v>1</v>
      </c>
      <c r="F113" s="13" t="n">
        <v>1</v>
      </c>
      <c r="G113" s="13" t="n">
        <v>1</v>
      </c>
      <c r="H113" s="8" t="n">
        <v>42.05</v>
      </c>
      <c r="I113" s="8">
        <f>G113*H113</f>
        <v/>
      </c>
      <c r="J113" s="8">
        <f>H113/E113</f>
        <v/>
      </c>
      <c r="K113" s="8" t="n">
        <v>42.05</v>
      </c>
      <c r="L113" s="8" t="n">
        <v>36.49</v>
      </c>
      <c r="M113" s="14">
        <f>J113/K113-1</f>
        <v/>
      </c>
      <c r="N113" s="7" t="inlineStr">
        <is>
          <t>OK (≤ últ. compra)</t>
        </is>
      </c>
      <c r="O113" s="7" t="inlineStr"/>
    </row>
    <row r="114">
      <c r="A114" s="7" t="n">
        <v>634101</v>
      </c>
      <c r="B114" s="7" t="inlineStr">
        <is>
          <t>721634</t>
        </is>
      </c>
      <c r="C114" s="12" t="inlineStr">
        <is>
          <t>7702031244653</t>
        </is>
      </c>
      <c r="D114" s="7" t="inlineStr">
        <is>
          <t>TALCO J J BABY HORA DO SONO 100G</t>
        </is>
      </c>
      <c r="E114" s="13" t="n">
        <v>1</v>
      </c>
      <c r="F114" s="13" t="n">
        <v>3</v>
      </c>
      <c r="G114" s="13" t="n">
        <v>3</v>
      </c>
      <c r="H114" s="8" t="n">
        <v>19.33</v>
      </c>
      <c r="I114" s="8">
        <f>G114*H114</f>
        <v/>
      </c>
      <c r="J114" s="8">
        <f>H114/E114</f>
        <v/>
      </c>
      <c r="K114" s="8" t="n">
        <v>22.87</v>
      </c>
      <c r="L114" s="8" t="n">
        <v>17.9567</v>
      </c>
      <c r="M114" s="14">
        <f>J114/K114-1</f>
        <v/>
      </c>
      <c r="N114" s="7" t="inlineStr">
        <is>
          <t>OK (≤ últ. compra)</t>
        </is>
      </c>
      <c r="O114" s="7" t="inlineStr"/>
    </row>
    <row r="115">
      <c r="A115" s="7" t="n">
        <v>345721</v>
      </c>
      <c r="B115" s="7" t="inlineStr">
        <is>
          <t>103450</t>
        </is>
      </c>
      <c r="C115" s="12" t="inlineStr">
        <is>
          <t>7892953101865</t>
        </is>
      </c>
      <c r="D115" s="7" t="inlineStr">
        <is>
          <t>TECNOMET 2,5MG CX 20 COMP</t>
        </is>
      </c>
      <c r="E115" s="13" t="n">
        <v>1</v>
      </c>
      <c r="F115" s="13" t="n">
        <v>9</v>
      </c>
      <c r="G115" s="13" t="n">
        <v>9</v>
      </c>
      <c r="H115" s="8" t="n">
        <v>31.91</v>
      </c>
      <c r="I115" s="8">
        <f>G115*H115</f>
        <v/>
      </c>
      <c r="J115" s="8">
        <f>H115/E115</f>
        <v/>
      </c>
      <c r="K115" s="8" t="n">
        <v>31.91</v>
      </c>
      <c r="L115" s="8" t="n">
        <v>27.316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180421</v>
      </c>
      <c r="B116" s="7" t="inlineStr">
        <is>
          <t>103478</t>
        </is>
      </c>
      <c r="C116" s="12" t="inlineStr">
        <is>
          <t>7899824400911</t>
        </is>
      </c>
      <c r="D116" s="7" t="inlineStr">
        <is>
          <t>TERICIN AT 25+12,5MG CREM VAG BG 45G+10APLIC</t>
        </is>
      </c>
      <c r="E116" s="13" t="n">
        <v>1</v>
      </c>
      <c r="F116" s="13" t="n">
        <v>1</v>
      </c>
      <c r="G116" s="13" t="n">
        <v>1</v>
      </c>
      <c r="H116" s="8" t="n">
        <v>60.41</v>
      </c>
      <c r="I116" s="8">
        <f>G116*H116</f>
        <v/>
      </c>
      <c r="J116" s="8">
        <f>H116/E116</f>
        <v/>
      </c>
      <c r="K116" s="8" t="n">
        <v>73.98999999999999</v>
      </c>
      <c r="L116" s="8" t="n">
        <v>54.77</v>
      </c>
      <c r="M116" s="14">
        <f>J116/K116-1</f>
        <v/>
      </c>
      <c r="N116" s="7" t="inlineStr">
        <is>
          <t>OK (≤ últ. compra)</t>
        </is>
      </c>
      <c r="O116" s="7" t="inlineStr"/>
    </row>
    <row r="117">
      <c r="A117" s="7" t="n">
        <v>3153</v>
      </c>
      <c r="B117" s="7" t="inlineStr">
        <is>
          <t>713042</t>
        </is>
      </c>
      <c r="C117" s="12" t="inlineStr">
        <is>
          <t>7898301056757</t>
        </is>
      </c>
      <c r="D117" s="7" t="inlineStr">
        <is>
          <t>TIRA DE TESTE DE GLICOSE C/25 UND FREE 1</t>
        </is>
      </c>
      <c r="E117" s="13" t="n">
        <v>1</v>
      </c>
      <c r="F117" s="13" t="n">
        <v>5</v>
      </c>
      <c r="G117" s="13" t="n">
        <v>5</v>
      </c>
      <c r="H117" s="8" t="n">
        <v>39.88</v>
      </c>
      <c r="I117" s="8">
        <f>G117*H117</f>
        <v/>
      </c>
      <c r="J117" s="8">
        <f>H117/E117</f>
        <v/>
      </c>
      <c r="K117" s="8" t="n">
        <v>46.42</v>
      </c>
      <c r="L117" s="8" t="n">
        <v>43.95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3163</v>
      </c>
      <c r="B118" s="7" t="inlineStr">
        <is>
          <t>713043</t>
        </is>
      </c>
      <c r="C118" s="12" t="inlineStr">
        <is>
          <t>7898301056740</t>
        </is>
      </c>
      <c r="D118" s="7" t="inlineStr">
        <is>
          <t>TIRA DE TESTE DE GLICOSE C/50 UND FREE 1</t>
        </is>
      </c>
      <c r="E118" s="13" t="n">
        <v>1</v>
      </c>
      <c r="F118" s="13" t="n">
        <v>23</v>
      </c>
      <c r="G118" s="13" t="n">
        <v>23</v>
      </c>
      <c r="H118" s="8" t="n">
        <v>52.34</v>
      </c>
      <c r="I118" s="8">
        <f>G118*H118</f>
        <v/>
      </c>
      <c r="J118" s="8">
        <f>H118/E118</f>
        <v/>
      </c>
      <c r="K118" s="8" t="n">
        <v>51.625</v>
      </c>
      <c r="L118" s="8" t="n">
        <v>48.88</v>
      </c>
      <c r="M118" s="14">
        <f>J118/K118-1</f>
        <v/>
      </c>
      <c r="N118" s="7" t="inlineStr">
        <is>
          <t>ACIMA +1.4%</t>
        </is>
      </c>
      <c r="O118" s="7" t="inlineStr"/>
    </row>
    <row r="119">
      <c r="A119" s="7" t="n">
        <v>600561</v>
      </c>
      <c r="B119" s="7" t="inlineStr">
        <is>
          <t>715318</t>
        </is>
      </c>
      <c r="C119" s="12" t="inlineStr">
        <is>
          <t>7898653620033</t>
        </is>
      </c>
      <c r="D119" s="7" t="inlineStr">
        <is>
          <t>TIRAS ACCU-CHEK CAIXA C/ 3 CX C/ 50UN</t>
        </is>
      </c>
      <c r="E119" s="13" t="n">
        <v>1</v>
      </c>
      <c r="F119" s="13" t="n">
        <v>1</v>
      </c>
      <c r="G119" s="13" t="n">
        <v>1</v>
      </c>
      <c r="H119" s="8" t="n">
        <v>175.73</v>
      </c>
      <c r="I119" s="8">
        <f>G119*H119</f>
        <v/>
      </c>
      <c r="J119" s="8">
        <f>H119/E119</f>
        <v/>
      </c>
      <c r="K119" s="8" t="n">
        <v>64.9867</v>
      </c>
      <c r="L119" s="8" t="n">
        <v>50.8467</v>
      </c>
      <c r="M119" s="14">
        <f>J119/K119-1</f>
        <v/>
      </c>
      <c r="N119" s="7" t="inlineStr">
        <is>
          <t>ACIMA +170.4%</t>
        </is>
      </c>
      <c r="O119" s="7" t="inlineStr">
        <is>
          <t>conferir emb.</t>
        </is>
      </c>
    </row>
    <row r="120">
      <c r="A120" s="7" t="n">
        <v>596521</v>
      </c>
      <c r="B120" s="7" t="inlineStr">
        <is>
          <t>113397</t>
        </is>
      </c>
      <c r="C120" s="12" t="inlineStr">
        <is>
          <t>7894916516006</t>
        </is>
      </c>
      <c r="D120" s="7" t="inlineStr">
        <is>
          <t>TORAGESIC 10MG PEEL OFF CX 10 COMP</t>
        </is>
      </c>
      <c r="E120" s="13" t="n">
        <v>1</v>
      </c>
      <c r="F120" s="13" t="n">
        <v>10</v>
      </c>
      <c r="G120" s="13" t="n">
        <v>10</v>
      </c>
      <c r="H120" s="8" t="n">
        <v>26.08</v>
      </c>
      <c r="I120" s="8">
        <f>G120*H120</f>
        <v/>
      </c>
      <c r="J120" s="8">
        <f>H120/E120</f>
        <v/>
      </c>
      <c r="K120" s="8" t="n">
        <v>26.0814</v>
      </c>
      <c r="L120" s="8" t="n">
        <v>23.048</v>
      </c>
      <c r="M120" s="14">
        <f>J120/K120-1</f>
        <v/>
      </c>
      <c r="N120" s="7" t="inlineStr">
        <is>
          <t>OK (≤ últ. compra)</t>
        </is>
      </c>
      <c r="O120" s="7" t="inlineStr"/>
    </row>
    <row r="121">
      <c r="A121" s="7" t="n">
        <v>282781</v>
      </c>
      <c r="B121" s="7" t="inlineStr">
        <is>
          <t>401300</t>
        </is>
      </c>
      <c r="C121" s="12" t="inlineStr">
        <is>
          <t>7896255717885</t>
        </is>
      </c>
      <c r="D121" s="7" t="inlineStr">
        <is>
          <t>TROMBOFOB 200UI GEL BG 40G</t>
        </is>
      </c>
      <c r="E121" s="13" t="n">
        <v>1</v>
      </c>
      <c r="F121" s="13" t="n">
        <v>6</v>
      </c>
      <c r="G121" s="13" t="n">
        <v>6</v>
      </c>
      <c r="H121" s="8" t="n">
        <v>32.62</v>
      </c>
      <c r="I121" s="8">
        <f>G121*H121</f>
        <v/>
      </c>
      <c r="J121" s="8">
        <f>H121/E121</f>
        <v/>
      </c>
      <c r="K121" s="8" t="n">
        <v>32.62</v>
      </c>
      <c r="L121" s="8" t="n">
        <v>25.57</v>
      </c>
      <c r="M121" s="14">
        <f>J121/K121-1</f>
        <v/>
      </c>
      <c r="N121" s="7" t="inlineStr">
        <is>
          <t>OK (≤ últ. compra)</t>
        </is>
      </c>
      <c r="O121" s="7" t="inlineStr"/>
    </row>
    <row r="122">
      <c r="A122" s="7" t="n">
        <v>612541</v>
      </c>
      <c r="B122" s="7" t="inlineStr">
        <is>
          <t>112768</t>
        </is>
      </c>
      <c r="C122" s="12" t="inlineStr">
        <is>
          <t>7891317010379</t>
        </is>
      </c>
      <c r="D122" s="7" t="inlineStr">
        <is>
          <t>VENTUS 50MCG SUS SPR NAS FR 60 ACIONAMENTOS</t>
        </is>
      </c>
      <c r="E122" s="13" t="n">
        <v>1</v>
      </c>
      <c r="F122" s="13" t="n">
        <v>3</v>
      </c>
      <c r="G122" s="13" t="n">
        <v>3</v>
      </c>
      <c r="H122" s="8" t="n">
        <v>35.24</v>
      </c>
      <c r="I122" s="8">
        <f>G122*H122</f>
        <v/>
      </c>
      <c r="J122" s="8">
        <f>H122/E122</f>
        <v/>
      </c>
      <c r="K122" s="8" t="n">
        <v>35.24</v>
      </c>
      <c r="L122" s="8" t="n">
        <v>31.645</v>
      </c>
      <c r="M122" s="14">
        <f>J122/K122-1</f>
        <v/>
      </c>
      <c r="N122" s="7" t="inlineStr">
        <is>
          <t>OK (≤ últ. compra)</t>
        </is>
      </c>
      <c r="O122" s="7" t="inlineStr"/>
    </row>
    <row r="123">
      <c r="A123" s="7" t="n">
        <v>254901</v>
      </c>
      <c r="B123" s="7" t="inlineStr">
        <is>
          <t>103878</t>
        </is>
      </c>
      <c r="C123" s="12" t="inlineStr">
        <is>
          <t>7896548197554</t>
        </is>
      </c>
      <c r="D123" s="7" t="inlineStr">
        <is>
          <t>VIGADEXA 5+1MG/ML SOL OFT FR GOT 5ML</t>
        </is>
      </c>
      <c r="E123" s="13" t="n">
        <v>1</v>
      </c>
      <c r="F123" s="13" t="n">
        <v>1</v>
      </c>
      <c r="G123" s="13" t="n">
        <v>1</v>
      </c>
      <c r="H123" s="8" t="n">
        <v>37.75</v>
      </c>
      <c r="I123" s="8">
        <f>G123*H123</f>
        <v/>
      </c>
      <c r="J123" s="8">
        <f>H123/E123</f>
        <v/>
      </c>
      <c r="K123" s="8" t="n">
        <v>50.5</v>
      </c>
      <c r="L123" s="8" t="n">
        <v>35.1083</v>
      </c>
      <c r="M123" s="14">
        <f>J123/K123-1</f>
        <v/>
      </c>
      <c r="N123" s="7" t="inlineStr">
        <is>
          <t>OK (≤ últ. compra)</t>
        </is>
      </c>
      <c r="O123" s="7" t="inlineStr"/>
    </row>
    <row r="124">
      <c r="A124" s="7" t="n">
        <v>211861</v>
      </c>
      <c r="B124" s="7" t="inlineStr">
        <is>
          <t>103907</t>
        </is>
      </c>
      <c r="C124" s="12" t="inlineStr">
        <is>
          <t>7896261000797</t>
        </is>
      </c>
      <c r="D124" s="7" t="inlineStr">
        <is>
          <t>VOLTAREN 25MG INJ CX 5AMP X 3ML</t>
        </is>
      </c>
      <c r="E124" s="13" t="n">
        <v>1</v>
      </c>
      <c r="F124" s="13" t="n">
        <v>1</v>
      </c>
      <c r="G124" s="13" t="n">
        <v>1</v>
      </c>
      <c r="H124" s="8" t="n">
        <v>17.14</v>
      </c>
      <c r="I124" s="8">
        <f>G124*H124</f>
        <v/>
      </c>
      <c r="J124" s="8">
        <f>H124/E124</f>
        <v/>
      </c>
      <c r="K124" s="8" t="n">
        <v>3.428</v>
      </c>
      <c r="L124" s="8" t="n">
        <v>3.4276</v>
      </c>
      <c r="M124" s="14">
        <f>J124/K124-1</f>
        <v/>
      </c>
      <c r="N124" s="7" t="inlineStr">
        <is>
          <t>ACIMA +400.0%</t>
        </is>
      </c>
      <c r="O124" s="7" t="inlineStr">
        <is>
          <t>conferir emb.</t>
        </is>
      </c>
    </row>
    <row r="125">
      <c r="A125" s="7" t="n">
        <v>287141</v>
      </c>
      <c r="B125" s="7" t="inlineStr">
        <is>
          <t>103966</t>
        </is>
      </c>
      <c r="C125" s="12" t="inlineStr">
        <is>
          <t>7891317451417</t>
        </is>
      </c>
      <c r="D125" s="7" t="inlineStr">
        <is>
          <t>ZART H H 50+12,5MG CX 30 COMP REV</t>
        </is>
      </c>
      <c r="E125" s="13" t="n">
        <v>1</v>
      </c>
      <c r="F125" s="13" t="n">
        <v>2</v>
      </c>
      <c r="G125" s="13" t="n">
        <v>2</v>
      </c>
      <c r="H125" s="8" t="n">
        <v>41.61</v>
      </c>
      <c r="I125" s="8">
        <f>G125*H125</f>
        <v/>
      </c>
      <c r="J125" s="8">
        <f>H125/E125</f>
        <v/>
      </c>
      <c r="K125" s="8" t="n">
        <v>41.61</v>
      </c>
      <c r="L125" s="8" t="n">
        <v>36.88</v>
      </c>
      <c r="M125" s="14">
        <f>J125/K125-1</f>
        <v/>
      </c>
      <c r="N125" s="7" t="inlineStr">
        <is>
          <t>OK (≤ últ. compra)</t>
        </is>
      </c>
      <c r="O125" s="7" t="inlineStr"/>
    </row>
    <row r="126">
      <c r="D126" s="5" t="inlineStr">
        <is>
          <t>TOTAL</t>
        </is>
      </c>
      <c r="I126" s="18">
        <f>SUM(I2:I125)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673351</v>
      </c>
      <c r="B2" s="7" t="inlineStr">
        <is>
          <t>9206</t>
        </is>
      </c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139.79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14">
        <f>J2/K2-1</f>
        <v/>
      </c>
      <c r="N2" s="7" t="inlineStr">
        <is>
          <t>ACIMA +16.5%</t>
        </is>
      </c>
      <c r="O2" s="7" t="inlineStr"/>
    </row>
    <row r="3">
      <c r="A3" s="7" t="n">
        <v>673401</v>
      </c>
      <c r="B3" s="7" t="inlineStr">
        <is>
          <t>9207</t>
        </is>
      </c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139.35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14">
        <f>J3/K3-1</f>
        <v/>
      </c>
      <c r="N3" s="7" t="inlineStr">
        <is>
          <t>ACIMA +30.2%</t>
        </is>
      </c>
      <c r="O3" s="7" t="inlineStr"/>
    </row>
    <row r="4">
      <c r="A4" s="7" t="n">
        <v>597611</v>
      </c>
      <c r="B4" s="7" t="inlineStr">
        <is>
          <t>2</t>
        </is>
      </c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172.99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14">
        <f>J4/K4-1</f>
        <v/>
      </c>
      <c r="N4" s="7" t="inlineStr">
        <is>
          <t>ACIMA +43.9%</t>
        </is>
      </c>
      <c r="O4" s="7" t="inlineStr"/>
    </row>
    <row r="5">
      <c r="A5" s="7" t="n">
        <v>597621</v>
      </c>
      <c r="B5" s="7" t="inlineStr">
        <is>
          <t>7</t>
        </is>
      </c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165.63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14">
        <f>J5/K5-1</f>
        <v/>
      </c>
      <c r="N5" s="7" t="inlineStr">
        <is>
          <t>ACIMA +38.5%</t>
        </is>
      </c>
      <c r="O5" s="7" t="inlineStr"/>
    </row>
    <row r="6">
      <c r="A6" s="7" t="n">
        <v>605941</v>
      </c>
      <c r="B6" s="7" t="inlineStr">
        <is>
          <t>9</t>
        </is>
      </c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184.03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14">
        <f>J6/K6-1</f>
        <v/>
      </c>
      <c r="N6" s="7" t="inlineStr">
        <is>
          <t>ACIMA +34.7%</t>
        </is>
      </c>
      <c r="O6" s="7" t="inlineStr"/>
    </row>
    <row r="7">
      <c r="A7" s="7" t="n">
        <v>568061</v>
      </c>
      <c r="B7" s="7" t="inlineStr">
        <is>
          <t>80</t>
        </is>
      </c>
      <c r="C7" s="12" t="inlineStr">
        <is>
          <t>7896902209114</t>
        </is>
      </c>
      <c r="D7" s="7" t="inlineStr">
        <is>
          <t>ACETONA FARMAX 100ML</t>
        </is>
      </c>
      <c r="E7" s="13" t="n">
        <v>1</v>
      </c>
      <c r="F7" s="13" t="n">
        <v>14</v>
      </c>
      <c r="G7" s="13" t="n">
        <v>14</v>
      </c>
      <c r="H7" s="8" t="n">
        <v>3.09</v>
      </c>
      <c r="I7" s="8">
        <f>G7*H7</f>
        <v/>
      </c>
      <c r="J7" s="8">
        <f>H7/E7</f>
        <v/>
      </c>
      <c r="K7" s="8" t="n">
        <v>2.75</v>
      </c>
      <c r="L7" s="8" t="n">
        <v>2.4775</v>
      </c>
      <c r="M7" s="14">
        <f>J7/K7-1</f>
        <v/>
      </c>
      <c r="N7" s="7" t="inlineStr">
        <is>
          <t>ACIMA +12.4%</t>
        </is>
      </c>
      <c r="O7" s="7" t="inlineStr"/>
    </row>
    <row r="8">
      <c r="A8" s="7" t="n">
        <v>647211</v>
      </c>
      <c r="B8" s="7" t="inlineStr">
        <is>
          <t>115</t>
        </is>
      </c>
      <c r="C8" s="12" t="inlineStr">
        <is>
          <t>7896023718533</t>
        </is>
      </c>
      <c r="D8" s="7" t="inlineStr">
        <is>
          <t>ACIDO HIALURONICO 150MG C/30 CAPS.</t>
        </is>
      </c>
      <c r="E8" s="13" t="n">
        <v>1</v>
      </c>
      <c r="F8" s="13" t="n">
        <v>1</v>
      </c>
      <c r="G8" s="13" t="n">
        <v>1</v>
      </c>
      <c r="H8" s="8" t="n">
        <v>74.15000000000001</v>
      </c>
      <c r="I8" s="8">
        <f>G8*H8</f>
        <v/>
      </c>
      <c r="J8" s="8">
        <f>H8/E8</f>
        <v/>
      </c>
      <c r="K8" s="8" t="n">
        <v>56.75</v>
      </c>
      <c r="L8" s="8" t="n">
        <v>56.75</v>
      </c>
      <c r="M8" s="14">
        <f>J8/K8-1</f>
        <v/>
      </c>
      <c r="N8" s="7" t="inlineStr">
        <is>
          <t>ACIMA +30.7%</t>
        </is>
      </c>
      <c r="O8" s="7" t="inlineStr"/>
    </row>
    <row r="9">
      <c r="A9" s="7" t="n">
        <v>651171</v>
      </c>
      <c r="B9" s="7" t="inlineStr">
        <is>
          <t>174</t>
        </is>
      </c>
      <c r="C9" s="12" t="inlineStr">
        <is>
          <t>7898048690900</t>
        </is>
      </c>
      <c r="D9" s="7" t="inlineStr">
        <is>
          <t>AGUARDENTE ALEMA JALAPA 200ML</t>
        </is>
      </c>
      <c r="E9" s="13" t="n">
        <v>1</v>
      </c>
      <c r="F9" s="13" t="n">
        <v>1</v>
      </c>
      <c r="G9" s="13" t="n">
        <v>1</v>
      </c>
      <c r="H9" s="8" t="n">
        <v>8.08</v>
      </c>
      <c r="I9" s="8">
        <f>G9*H9</f>
        <v/>
      </c>
      <c r="J9" s="8">
        <f>H9/E9</f>
        <v/>
      </c>
      <c r="K9" s="8" t="n">
        <v>8.09</v>
      </c>
      <c r="L9" s="8" t="n">
        <v>8.09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642881</v>
      </c>
      <c r="B10" s="7" t="inlineStr">
        <is>
          <t>483</t>
        </is>
      </c>
      <c r="C10" s="12" t="inlineStr">
        <is>
          <t>7894913003875</t>
        </is>
      </c>
      <c r="D10" s="7" t="inlineStr">
        <is>
          <t>ARTICULAM ULTRA C/30 CAPS</t>
        </is>
      </c>
      <c r="E10" s="13" t="n">
        <v>1</v>
      </c>
      <c r="F10" s="13" t="n">
        <v>2</v>
      </c>
      <c r="G10" s="13" t="n">
        <v>2</v>
      </c>
      <c r="H10" s="8" t="n">
        <v>39.71</v>
      </c>
      <c r="I10" s="8">
        <f>G10*H10</f>
        <v/>
      </c>
      <c r="J10" s="8">
        <f>H10/E10</f>
        <v/>
      </c>
      <c r="K10" s="8" t="n">
        <v>37.6</v>
      </c>
      <c r="L10" s="8" t="n">
        <v>37.6</v>
      </c>
      <c r="M10" s="14">
        <f>J10/K10-1</f>
        <v/>
      </c>
      <c r="N10" s="7" t="inlineStr">
        <is>
          <t>ACIMA +5.6%</t>
        </is>
      </c>
      <c r="O10" s="7" t="inlineStr"/>
    </row>
    <row r="11">
      <c r="A11" s="7" t="n">
        <v>3443</v>
      </c>
      <c r="B11" s="7" t="inlineStr">
        <is>
          <t>497</t>
        </is>
      </c>
      <c r="C11" s="12" t="inlineStr">
        <is>
          <t>7898108641323</t>
        </is>
      </c>
      <c r="D11" s="7" t="inlineStr">
        <is>
          <t>ATADURA DE CREPE 06CM C/12 UND</t>
        </is>
      </c>
      <c r="E11" s="13" t="n">
        <v>1</v>
      </c>
      <c r="F11" s="13" t="n">
        <v>1</v>
      </c>
      <c r="G11" s="13" t="n">
        <v>1</v>
      </c>
      <c r="H11" s="8" t="n">
        <v>1.13</v>
      </c>
      <c r="I11" s="8">
        <f>G11*H11</f>
        <v/>
      </c>
      <c r="J11" s="8">
        <f>H11/E11</f>
        <v/>
      </c>
      <c r="K11" s="8" t="n">
        <v>12.54</v>
      </c>
      <c r="L11" s="8" t="n">
        <v>12.54</v>
      </c>
      <c r="M11" s="14">
        <f>J11/K11-1</f>
        <v/>
      </c>
      <c r="N11" s="7" t="inlineStr">
        <is>
          <t>OK (≤ menor hist.)</t>
        </is>
      </c>
      <c r="O11" s="7" t="inlineStr">
        <is>
          <t>conferir emb.</t>
        </is>
      </c>
    </row>
    <row r="12">
      <c r="A12" s="7" t="n">
        <v>653611</v>
      </c>
      <c r="B12" s="7" t="inlineStr">
        <is>
          <t>8438</t>
        </is>
      </c>
      <c r="C12" s="12" t="inlineStr">
        <is>
          <t>7898108642078</t>
        </is>
      </c>
      <c r="D12" s="7" t="inlineStr">
        <is>
          <t>ATADURA DE CREPE MICKEY 06CM</t>
        </is>
      </c>
      <c r="E12" s="13" t="n">
        <v>1</v>
      </c>
      <c r="F12" s="13" t="n">
        <v>4</v>
      </c>
      <c r="G12" s="13" t="n">
        <v>4</v>
      </c>
      <c r="H12" s="8" t="n">
        <v>1.32</v>
      </c>
      <c r="I12" s="8">
        <f>G12*H12</f>
        <v/>
      </c>
      <c r="J12" s="8">
        <f>H12/E12</f>
        <v/>
      </c>
      <c r="K12" s="8" t="n">
        <v>1.25</v>
      </c>
      <c r="L12" s="8" t="n">
        <v>1.25</v>
      </c>
      <c r="M12" s="14">
        <f>J12/K12-1</f>
        <v/>
      </c>
      <c r="N12" s="7" t="inlineStr">
        <is>
          <t>ACIMA +5.6%</t>
        </is>
      </c>
      <c r="O12" s="7" t="inlineStr"/>
    </row>
    <row r="13">
      <c r="A13" s="7" t="n">
        <v>661591</v>
      </c>
      <c r="B13" s="7" t="inlineStr">
        <is>
          <t>8439</t>
        </is>
      </c>
      <c r="C13" s="12" t="inlineStr">
        <is>
          <t>7898108642085</t>
        </is>
      </c>
      <c r="D13" s="7" t="inlineStr">
        <is>
          <t>ATADURA DE CREPE MICKEY 08CM</t>
        </is>
      </c>
      <c r="E13" s="13" t="n">
        <v>1</v>
      </c>
      <c r="F13" s="13" t="n">
        <v>3</v>
      </c>
      <c r="G13" s="13" t="n">
        <v>3</v>
      </c>
      <c r="H13" s="8" t="n">
        <v>1.67</v>
      </c>
      <c r="I13" s="8">
        <f>G13*H13</f>
        <v/>
      </c>
      <c r="J13" s="8">
        <f>H13/E13</f>
        <v/>
      </c>
      <c r="K13" s="8" t="n">
        <v>1.935</v>
      </c>
      <c r="L13" s="8" t="n">
        <v>1.935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661601</v>
      </c>
      <c r="B14" s="7" t="inlineStr">
        <is>
          <t>500</t>
        </is>
      </c>
      <c r="C14" s="12" t="inlineStr">
        <is>
          <t>7898108641347</t>
        </is>
      </c>
      <c r="D14" s="7" t="inlineStr">
        <is>
          <t>ATADURA DE CREPE SANF 12CMX1,80M</t>
        </is>
      </c>
      <c r="E14" s="13" t="n">
        <v>1</v>
      </c>
      <c r="F14" s="13" t="n">
        <v>2</v>
      </c>
      <c r="G14" s="13" t="n">
        <v>2</v>
      </c>
      <c r="H14" s="8" t="n">
        <v>2.08</v>
      </c>
      <c r="I14" s="8">
        <f>G14*H14</f>
        <v/>
      </c>
      <c r="J14" s="8">
        <f>H14/E14</f>
        <v/>
      </c>
      <c r="K14" s="8" t="n">
        <v>2.23</v>
      </c>
      <c r="L14" s="8" t="n">
        <v>2.23</v>
      </c>
      <c r="M14" s="14">
        <f>J14/K14-1</f>
        <v/>
      </c>
      <c r="N14" s="7" t="inlineStr">
        <is>
          <t>OK (≤ menor hist.)</t>
        </is>
      </c>
      <c r="O14" s="7" t="inlineStr"/>
    </row>
    <row r="15">
      <c r="A15" s="7" t="n">
        <v>46141</v>
      </c>
      <c r="B15" s="7" t="inlineStr">
        <is>
          <t>559</t>
        </is>
      </c>
      <c r="C15" s="12" t="inlineStr">
        <is>
          <t>7898060132518</t>
        </is>
      </c>
      <c r="D15" s="7" t="inlineStr">
        <is>
          <t>AZITROMICINA 500MG CX 5 COMP</t>
        </is>
      </c>
      <c r="E15" s="13" t="n">
        <v>1</v>
      </c>
      <c r="F15" s="13" t="n">
        <v>1</v>
      </c>
      <c r="G15" s="13" t="n">
        <v>1</v>
      </c>
      <c r="H15" s="8" t="n">
        <v>6.17</v>
      </c>
      <c r="I15" s="8">
        <f>G15*H15</f>
        <v/>
      </c>
      <c r="J15" s="8">
        <f>H15/E15</f>
        <v/>
      </c>
      <c r="K15" s="8" t="n">
        <v>5.86</v>
      </c>
      <c r="L15" s="8" t="n">
        <v>5.86</v>
      </c>
      <c r="M15" s="14">
        <f>J15/K15-1</f>
        <v/>
      </c>
      <c r="N15" s="7" t="inlineStr">
        <is>
          <t>ACIMA +5.3%</t>
        </is>
      </c>
      <c r="O15" s="7" t="inlineStr"/>
    </row>
    <row r="16">
      <c r="A16" s="7" t="n">
        <v>632861</v>
      </c>
      <c r="B16" s="7" t="inlineStr">
        <is>
          <t>642</t>
        </is>
      </c>
      <c r="C16" s="12" t="inlineStr">
        <is>
          <t>7899828214026</t>
        </is>
      </c>
      <c r="D16" s="7" t="inlineStr">
        <is>
          <t>BANDAGEM ELAST FITA KINES 5MX5CM PRETO</t>
        </is>
      </c>
      <c r="E16" s="13" t="n">
        <v>1</v>
      </c>
      <c r="F16" s="13" t="n">
        <v>1</v>
      </c>
      <c r="G16" s="13" t="n">
        <v>1</v>
      </c>
      <c r="H16" s="8" t="n">
        <v>27.34</v>
      </c>
      <c r="I16" s="8">
        <f>G16*H16</f>
        <v/>
      </c>
      <c r="J16" s="8">
        <f>H16/E16</f>
        <v/>
      </c>
      <c r="K16" s="8" t="n">
        <v>23.99</v>
      </c>
      <c r="L16" s="8" t="n">
        <v>23.99</v>
      </c>
      <c r="M16" s="14">
        <f>J16/K16-1</f>
        <v/>
      </c>
      <c r="N16" s="7" t="inlineStr">
        <is>
          <t>ACIMA +14.0%</t>
        </is>
      </c>
      <c r="O16" s="7" t="inlineStr"/>
    </row>
    <row r="17">
      <c r="A17" s="7" t="n">
        <v>632871</v>
      </c>
      <c r="B17" s="7" t="inlineStr">
        <is>
          <t>643</t>
        </is>
      </c>
      <c r="C17" s="12" t="inlineStr">
        <is>
          <t>7899828214033</t>
        </is>
      </c>
      <c r="D17" s="7" t="inlineStr">
        <is>
          <t>BANDAGEM ELAST FITA KINES 5MX5CM ROSA</t>
        </is>
      </c>
      <c r="E17" s="13" t="n">
        <v>1</v>
      </c>
      <c r="F17" s="13" t="n">
        <v>1</v>
      </c>
      <c r="G17" s="13" t="n">
        <v>1</v>
      </c>
      <c r="H17" s="8" t="n">
        <v>27.4</v>
      </c>
      <c r="I17" s="8">
        <f>G17*H17</f>
        <v/>
      </c>
      <c r="J17" s="8">
        <f>H17/E17</f>
        <v/>
      </c>
      <c r="K17" s="8" t="n">
        <v>21.99</v>
      </c>
      <c r="L17" s="8" t="n">
        <v>21.99</v>
      </c>
      <c r="M17" s="14">
        <f>J17/K17-1</f>
        <v/>
      </c>
      <c r="N17" s="7" t="inlineStr">
        <is>
          <t>ACIMA +24.6%</t>
        </is>
      </c>
      <c r="O17" s="7" t="inlineStr"/>
    </row>
    <row r="18">
      <c r="A18" s="7" t="n">
        <v>655521</v>
      </c>
      <c r="B18" s="7" t="inlineStr">
        <is>
          <t>7002</t>
        </is>
      </c>
      <c r="C18" s="12" t="inlineStr">
        <is>
          <t>7899811100596</t>
        </is>
      </c>
      <c r="D18" s="7" t="inlineStr">
        <is>
          <t>BASILICAO POMADA BISNAGA 27G BASILIFLAM</t>
        </is>
      </c>
      <c r="E18" s="13" t="n">
        <v>1</v>
      </c>
      <c r="F18" s="13" t="n">
        <v>1</v>
      </c>
      <c r="G18" s="13" t="n">
        <v>1</v>
      </c>
      <c r="H18" s="8" t="n">
        <v>15.63</v>
      </c>
      <c r="I18" s="8">
        <f>G18*H18</f>
        <v/>
      </c>
      <c r="J18" s="8">
        <f>H18/E18</f>
        <v/>
      </c>
      <c r="K18" s="8" t="n">
        <v>14.62</v>
      </c>
      <c r="L18" s="8" t="n">
        <v>14.62</v>
      </c>
      <c r="M18" s="14">
        <f>J18/K18-1</f>
        <v/>
      </c>
      <c r="N18" s="7" t="inlineStr">
        <is>
          <t>ACIMA +6.9%</t>
        </is>
      </c>
      <c r="O18" s="7" t="inlineStr"/>
    </row>
    <row r="19">
      <c r="A19" s="7" t="n">
        <v>597661</v>
      </c>
      <c r="B19" s="7" t="inlineStr">
        <is>
          <t>674</t>
        </is>
      </c>
      <c r="C19" s="12" t="inlineStr">
        <is>
          <t>7898944775053</t>
        </is>
      </c>
      <c r="D19" s="7" t="inlineStr">
        <is>
          <t>BCAA 2400 MAX TITANIUM 60 CAPS</t>
        </is>
      </c>
      <c r="E19" s="13" t="n">
        <v>1</v>
      </c>
      <c r="F19" s="13" t="n">
        <v>1</v>
      </c>
      <c r="G19" s="13" t="n">
        <v>1</v>
      </c>
      <c r="H19" s="8" t="n">
        <v>37.75</v>
      </c>
      <c r="I19" s="8">
        <f>G19*H19</f>
        <v/>
      </c>
      <c r="J19" s="8">
        <f>H19/E19</f>
        <v/>
      </c>
      <c r="K19" s="8" t="n">
        <v>26.95</v>
      </c>
      <c r="L19" s="8" t="n">
        <v>26.68</v>
      </c>
      <c r="M19" s="14">
        <f>J19/K19-1</f>
        <v/>
      </c>
      <c r="N19" s="7" t="inlineStr">
        <is>
          <t>ACIMA +40.1%</t>
        </is>
      </c>
      <c r="O19" s="7" t="inlineStr"/>
    </row>
    <row r="20">
      <c r="A20" s="7" t="n">
        <v>446981</v>
      </c>
      <c r="B20" s="7" t="inlineStr">
        <is>
          <t>6268</t>
        </is>
      </c>
      <c r="C20" s="12" t="inlineStr">
        <is>
          <t>7897917000260</t>
        </is>
      </c>
      <c r="D20" s="7" t="inlineStr">
        <is>
          <t>BELFACTRIM 400+80MG CX 20 COMP</t>
        </is>
      </c>
      <c r="E20" s="13" t="n">
        <v>1</v>
      </c>
      <c r="F20" s="13" t="n">
        <v>2</v>
      </c>
      <c r="G20" s="13" t="n">
        <v>2</v>
      </c>
      <c r="H20" s="8" t="n">
        <v>5.11</v>
      </c>
      <c r="I20" s="8">
        <f>G20*H20</f>
        <v/>
      </c>
      <c r="J20" s="8">
        <f>H20/E20</f>
        <v/>
      </c>
      <c r="K20" s="8" t="n">
        <v>5.42</v>
      </c>
      <c r="L20" s="8" t="n">
        <v>5.42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337401</v>
      </c>
      <c r="B21" s="7" t="inlineStr">
        <is>
          <t>4297</t>
        </is>
      </c>
      <c r="C21" s="12" t="inlineStr">
        <is>
          <t>7897917000031</t>
        </is>
      </c>
      <c r="D21" s="7" t="inlineStr">
        <is>
          <t>BELMIRAX 100MG CX 6 COMP</t>
        </is>
      </c>
      <c r="E21" s="13" t="n">
        <v>1</v>
      </c>
      <c r="F21" s="13" t="n">
        <v>12</v>
      </c>
      <c r="G21" s="13" t="n">
        <v>12</v>
      </c>
      <c r="H21" s="8" t="n">
        <v>2.54</v>
      </c>
      <c r="I21" s="8">
        <f>G21*H21</f>
        <v/>
      </c>
      <c r="J21" s="8">
        <f>H21/E21</f>
        <v/>
      </c>
      <c r="K21" s="8" t="n">
        <v>2.41</v>
      </c>
      <c r="L21" s="8" t="n">
        <v>1.55</v>
      </c>
      <c r="M21" s="14">
        <f>J21/K21-1</f>
        <v/>
      </c>
      <c r="N21" s="7" t="inlineStr">
        <is>
          <t>ACIMA +5.4%</t>
        </is>
      </c>
      <c r="O21" s="7" t="inlineStr"/>
    </row>
    <row r="22">
      <c r="A22" s="7" t="n">
        <v>647231</v>
      </c>
      <c r="B22" s="7" t="inlineStr">
        <is>
          <t>974</t>
        </is>
      </c>
      <c r="C22" s="12" t="inlineStr">
        <is>
          <t>7896023706554</t>
        </is>
      </c>
      <c r="D22" s="7" t="inlineStr">
        <is>
          <t>CALCIO 600 + VIT D3 + K2 C/60 (CALKADE)</t>
        </is>
      </c>
      <c r="E22" s="13" t="n">
        <v>1</v>
      </c>
      <c r="F22" s="13" t="n">
        <v>1</v>
      </c>
      <c r="G22" s="13" t="n">
        <v>1</v>
      </c>
      <c r="H22" s="8" t="n">
        <v>37.15</v>
      </c>
      <c r="I22" s="8">
        <f>G22*H22</f>
        <v/>
      </c>
      <c r="J22" s="8">
        <f>H22/E22</f>
        <v/>
      </c>
      <c r="K22" s="8" t="n">
        <v>14.99</v>
      </c>
      <c r="L22" s="8" t="n">
        <v>14.99</v>
      </c>
      <c r="M22" s="14">
        <f>J22/K22-1</f>
        <v/>
      </c>
      <c r="N22" s="7" t="inlineStr">
        <is>
          <t>ACIMA +147.8%</t>
        </is>
      </c>
      <c r="O22" s="7" t="inlineStr">
        <is>
          <t>conferir emb.</t>
        </is>
      </c>
    </row>
    <row r="23">
      <c r="A23" s="7" t="n">
        <v>84261</v>
      </c>
      <c r="B23" s="7" t="inlineStr">
        <is>
          <t>1072</t>
        </is>
      </c>
      <c r="C23" s="12" t="inlineStr">
        <is>
          <t>7895296261012</t>
        </is>
      </c>
      <c r="D23" s="7" t="inlineStr">
        <is>
          <t>CARDBET 12,5MG CX 30 COMP</t>
        </is>
      </c>
      <c r="E23" s="13" t="n">
        <v>1</v>
      </c>
      <c r="F23" s="13" t="n">
        <v>2</v>
      </c>
      <c r="G23" s="13" t="n">
        <v>2</v>
      </c>
      <c r="H23" s="8" t="n">
        <v>5.3</v>
      </c>
      <c r="I23" s="8">
        <f>G23*H23</f>
        <v/>
      </c>
      <c r="J23" s="8">
        <f>H23/E23</f>
        <v/>
      </c>
      <c r="K23" s="8" t="n">
        <v>4.6</v>
      </c>
      <c r="L23" s="8" t="n">
        <v>4.6</v>
      </c>
      <c r="M23" s="14">
        <f>J23/K23-1</f>
        <v/>
      </c>
      <c r="N23" s="7" t="inlineStr">
        <is>
          <t>ACIMA +15.2%</t>
        </is>
      </c>
      <c r="O23" s="7" t="inlineStr"/>
    </row>
    <row r="24">
      <c r="A24" s="7" t="n">
        <v>664091</v>
      </c>
      <c r="B24" s="7" t="inlineStr">
        <is>
          <t>1136</t>
        </is>
      </c>
      <c r="C24" s="12" t="inlineStr">
        <is>
          <t>7894913002083</t>
        </is>
      </c>
      <c r="D24" s="7" t="inlineStr">
        <is>
          <t>CENTROLIV HOMEM + 50 C/30 CPR</t>
        </is>
      </c>
      <c r="E24" s="13" t="n">
        <v>1</v>
      </c>
      <c r="F24" s="13" t="n">
        <v>1</v>
      </c>
      <c r="G24" s="13" t="n">
        <v>1</v>
      </c>
      <c r="H24" s="8" t="n">
        <v>36.84</v>
      </c>
      <c r="I24" s="8">
        <f>G24*H24</f>
        <v/>
      </c>
      <c r="J24" s="8">
        <f>H24/E24</f>
        <v/>
      </c>
      <c r="K24" s="8" t="n">
        <v>41.76</v>
      </c>
      <c r="L24" s="8" t="n">
        <v>41.76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664141</v>
      </c>
      <c r="B25" s="7" t="inlineStr">
        <is>
          <t>1137</t>
        </is>
      </c>
      <c r="C25" s="12" t="inlineStr">
        <is>
          <t>7894913002069</t>
        </is>
      </c>
      <c r="D25" s="7" t="inlineStr">
        <is>
          <t>CENTROLIV HOMEM C/30 CPR</t>
        </is>
      </c>
      <c r="E25" s="13" t="n">
        <v>1</v>
      </c>
      <c r="F25" s="13" t="n">
        <v>1</v>
      </c>
      <c r="G25" s="13" t="n">
        <v>1</v>
      </c>
      <c r="H25" s="8" t="n">
        <v>27.11</v>
      </c>
      <c r="I25" s="8">
        <f>G25*H25</f>
        <v/>
      </c>
      <c r="J25" s="8">
        <f>H25/E25</f>
        <v/>
      </c>
      <c r="K25" s="8" t="n">
        <v>24.35</v>
      </c>
      <c r="L25" s="8" t="n">
        <v>24.35</v>
      </c>
      <c r="M25" s="14">
        <f>J25/K25-1</f>
        <v/>
      </c>
      <c r="N25" s="7" t="inlineStr">
        <is>
          <t>ACIMA +11.3%</t>
        </is>
      </c>
      <c r="O25" s="7" t="inlineStr"/>
    </row>
    <row r="26">
      <c r="A26" s="7" t="n">
        <v>31303</v>
      </c>
      <c r="B26" s="7" t="inlineStr">
        <is>
          <t>1579</t>
        </is>
      </c>
      <c r="C26" s="12" t="inlineStr">
        <is>
          <t>7896658049132</t>
        </is>
      </c>
      <c r="D26" s="7" t="inlineStr">
        <is>
          <t>CIPROFIBRATO 100MG CX 60 COMP</t>
        </is>
      </c>
      <c r="E26" s="13" t="n">
        <v>1</v>
      </c>
      <c r="F26" s="13" t="n">
        <v>2</v>
      </c>
      <c r="G26" s="13" t="n">
        <v>2</v>
      </c>
      <c r="H26" s="8" t="n">
        <v>26.34</v>
      </c>
      <c r="I26" s="8">
        <f>G26*H26</f>
        <v/>
      </c>
      <c r="J26" s="8">
        <f>H26/E26</f>
        <v/>
      </c>
      <c r="K26" s="8" t="n">
        <v>28.9</v>
      </c>
      <c r="L26" s="8" t="n">
        <v>28.9</v>
      </c>
      <c r="M26" s="14">
        <f>J26/K26-1</f>
        <v/>
      </c>
      <c r="N26" s="7" t="inlineStr">
        <is>
          <t>OK (≤ menor hist.)</t>
        </is>
      </c>
      <c r="O26" s="7" t="inlineStr"/>
    </row>
    <row r="27">
      <c r="A27" s="7" t="n">
        <v>4093</v>
      </c>
      <c r="B27" s="7" t="inlineStr">
        <is>
          <t>1547</t>
        </is>
      </c>
      <c r="C27" s="12" t="inlineStr">
        <is>
          <t>7899095204188</t>
        </is>
      </c>
      <c r="D27" s="7" t="inlineStr">
        <is>
          <t>CLORIDRATO DE CICLOBENZAPRINA 5MG C/15 CPR</t>
        </is>
      </c>
      <c r="E27" s="13" t="n">
        <v>1</v>
      </c>
      <c r="F27" s="13" t="n">
        <v>2</v>
      </c>
      <c r="G27" s="13" t="n">
        <v>2</v>
      </c>
      <c r="H27" s="8" t="n">
        <v>4.14</v>
      </c>
      <c r="I27" s="8">
        <f>G27*H27</f>
        <v/>
      </c>
      <c r="J27" s="8">
        <f>H27/E27</f>
        <v/>
      </c>
      <c r="K27" s="8" t="n">
        <v>3.36</v>
      </c>
      <c r="L27" s="8" t="n">
        <v>3.36</v>
      </c>
      <c r="M27" s="14">
        <f>J27/K27-1</f>
        <v/>
      </c>
      <c r="N27" s="7" t="inlineStr">
        <is>
          <t>ACIMA +23.2%</t>
        </is>
      </c>
      <c r="O27" s="7" t="inlineStr"/>
    </row>
    <row r="28">
      <c r="A28" s="7" t="n">
        <v>136261</v>
      </c>
      <c r="B28" s="7" t="inlineStr">
        <is>
          <t>1588</t>
        </is>
      </c>
      <c r="C28" s="12" t="inlineStr">
        <is>
          <t>7898060131399</t>
        </is>
      </c>
      <c r="D28" s="7" t="inlineStr">
        <is>
          <t>CLORIDRATO DE CIPROFLOXACINO 500MG CX 14 COMP REV</t>
        </is>
      </c>
      <c r="E28" s="13" t="n">
        <v>1</v>
      </c>
      <c r="F28" s="13" t="n">
        <v>1</v>
      </c>
      <c r="G28" s="13" t="n">
        <v>1</v>
      </c>
      <c r="H28" s="8" t="n">
        <v>6.31</v>
      </c>
      <c r="I28" s="8">
        <f>G28*H28</f>
        <v/>
      </c>
      <c r="J28" s="8">
        <f>H28/E28</f>
        <v/>
      </c>
      <c r="K28" s="8" t="n">
        <v>5.99</v>
      </c>
      <c r="L28" s="8" t="n">
        <v>5.99</v>
      </c>
      <c r="M28" s="14">
        <f>J28/K28-1</f>
        <v/>
      </c>
      <c r="N28" s="7" t="inlineStr">
        <is>
          <t>ACIMA +5.3%</t>
        </is>
      </c>
      <c r="O28" s="7" t="inlineStr"/>
    </row>
    <row r="29">
      <c r="A29" s="7" t="n">
        <v>651051</v>
      </c>
      <c r="B29" s="7" t="inlineStr">
        <is>
          <t>4444</t>
        </is>
      </c>
      <c r="C29" s="12" t="inlineStr">
        <is>
          <t>7897917004459</t>
        </is>
      </c>
      <c r="D29" s="7" t="inlineStr">
        <is>
          <t>COLPADAK 20MG 30ML LOCAO</t>
        </is>
      </c>
      <c r="E29" s="13" t="n">
        <v>1</v>
      </c>
      <c r="F29" s="13" t="n">
        <v>2</v>
      </c>
      <c r="G29" s="13" t="n">
        <v>2</v>
      </c>
      <c r="H29" s="8" t="n">
        <v>6.41</v>
      </c>
      <c r="I29" s="8">
        <f>G29*H29</f>
        <v/>
      </c>
      <c r="J29" s="8">
        <f>H29/E29</f>
        <v/>
      </c>
      <c r="K29" s="8" t="n">
        <v>4.71</v>
      </c>
      <c r="L29" s="8" t="n">
        <v>4.71</v>
      </c>
      <c r="M29" s="14">
        <f>J29/K29-1</f>
        <v/>
      </c>
      <c r="N29" s="7" t="inlineStr">
        <is>
          <t>ACIMA +36.1%</t>
        </is>
      </c>
      <c r="O29" s="7" t="inlineStr"/>
    </row>
    <row r="30">
      <c r="A30" s="7" t="n">
        <v>602191</v>
      </c>
      <c r="B30" s="7" t="inlineStr">
        <is>
          <t>1834</t>
        </is>
      </c>
      <c r="C30" s="12" t="inlineStr">
        <is>
          <t>7898277713258</t>
        </is>
      </c>
      <c r="D30" s="7" t="inlineStr">
        <is>
          <t>COMPLEXO B C/50 COMP REV (ARTE NATIVA)</t>
        </is>
      </c>
      <c r="E30" s="13" t="n">
        <v>1</v>
      </c>
      <c r="F30" s="13" t="n">
        <v>5</v>
      </c>
      <c r="G30" s="13" t="n">
        <v>5</v>
      </c>
      <c r="H30" s="8" t="n">
        <v>5.68</v>
      </c>
      <c r="I30" s="8">
        <f>G30*H30</f>
        <v/>
      </c>
      <c r="J30" s="8">
        <f>H30/E30</f>
        <v/>
      </c>
      <c r="K30" s="8" t="n">
        <v>5.75</v>
      </c>
      <c r="L30" s="8" t="n">
        <v>5.75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648311</v>
      </c>
      <c r="B31" s="7" t="inlineStr">
        <is>
          <t>1854</t>
        </is>
      </c>
      <c r="C31" s="12" t="inlineStr">
        <is>
          <t>7898108640104</t>
        </is>
      </c>
      <c r="D31" s="7" t="inlineStr">
        <is>
          <t>COMPRESSA GAZES 11FIOS ESTER 10UN</t>
        </is>
      </c>
      <c r="E31" s="13" t="n">
        <v>1</v>
      </c>
      <c r="F31" s="13" t="n">
        <v>8</v>
      </c>
      <c r="G31" s="13" t="n">
        <v>8</v>
      </c>
      <c r="H31" s="8" t="n">
        <v>0.93</v>
      </c>
      <c r="I31" s="8">
        <f>G31*H31</f>
        <v/>
      </c>
      <c r="J31" s="8">
        <f>H31/E31</f>
        <v/>
      </c>
      <c r="K31" s="8" t="n">
        <v>1.1617</v>
      </c>
      <c r="L31" s="8" t="n">
        <v>1.1617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653671</v>
      </c>
      <c r="B32" s="7" t="inlineStr">
        <is>
          <t>2081</t>
        </is>
      </c>
      <c r="C32" s="12" t="inlineStr">
        <is>
          <t>7894913004438</t>
        </is>
      </c>
      <c r="D32" s="7" t="inlineStr">
        <is>
          <t>CORTCLEAN SPRAY 45ML (MERTHIOCORT)</t>
        </is>
      </c>
      <c r="E32" s="13" t="n">
        <v>1</v>
      </c>
      <c r="F32" s="13" t="n">
        <v>2</v>
      </c>
      <c r="G32" s="13" t="n">
        <v>2</v>
      </c>
      <c r="H32" s="8" t="n">
        <v>11.66</v>
      </c>
      <c r="I32" s="8">
        <f>G32*H32</f>
        <v/>
      </c>
      <c r="J32" s="8">
        <f>H32/E32</f>
        <v/>
      </c>
      <c r="K32" s="8" t="n">
        <v>13.41</v>
      </c>
      <c r="L32" s="8" t="n">
        <v>13.41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597721</v>
      </c>
      <c r="B33" s="7" t="inlineStr">
        <is>
          <t>2101</t>
        </is>
      </c>
      <c r="C33" s="12" t="inlineStr">
        <is>
          <t>7898920041455</t>
        </is>
      </c>
      <c r="D33" s="7" t="inlineStr">
        <is>
          <t>CREATINE MAX TITANIUM 150G</t>
        </is>
      </c>
      <c r="E33" s="13" t="n">
        <v>1</v>
      </c>
      <c r="F33" s="13" t="n">
        <v>24</v>
      </c>
      <c r="G33" s="13" t="n">
        <v>24</v>
      </c>
      <c r="H33" s="8" t="n">
        <v>28.79</v>
      </c>
      <c r="I33" s="8">
        <f>G33*H33</f>
        <v/>
      </c>
      <c r="J33" s="8">
        <f>H33/E33</f>
        <v/>
      </c>
      <c r="K33" s="8" t="n">
        <v>27.35</v>
      </c>
      <c r="L33" s="8" t="n">
        <v>27.35</v>
      </c>
      <c r="M33" s="14">
        <f>J33/K33-1</f>
        <v/>
      </c>
      <c r="N33" s="7" t="inlineStr">
        <is>
          <t>ACIMA +5.3%</t>
        </is>
      </c>
      <c r="O33" s="7" t="inlineStr"/>
    </row>
    <row r="34">
      <c r="A34" s="7" t="n">
        <v>201981</v>
      </c>
      <c r="B34" s="7" t="inlineStr">
        <is>
          <t>2188</t>
        </is>
      </c>
      <c r="C34" s="12" t="inlineStr">
        <is>
          <t>7897917000161</t>
        </is>
      </c>
      <c r="D34" s="7" t="inlineStr">
        <is>
          <t>DELTAPIL 0,20MG LOCAO FR 100ML</t>
        </is>
      </c>
      <c r="E34" s="13" t="n">
        <v>1</v>
      </c>
      <c r="F34" s="13" t="n">
        <v>3</v>
      </c>
      <c r="G34" s="13" t="n">
        <v>3</v>
      </c>
      <c r="H34" s="8" t="n">
        <v>8.119999999999999</v>
      </c>
      <c r="I34" s="8">
        <f>G34*H34</f>
        <v/>
      </c>
      <c r="J34" s="8">
        <f>H34/E34</f>
        <v/>
      </c>
      <c r="K34" s="8" t="n">
        <v>8.220000000000001</v>
      </c>
      <c r="L34" s="8" t="n">
        <v>8.220000000000001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649041</v>
      </c>
      <c r="B35" s="7" t="inlineStr">
        <is>
          <t>5289</t>
        </is>
      </c>
      <c r="C35" s="12" t="inlineStr">
        <is>
          <t>7896902208612</t>
        </is>
      </c>
      <c r="D35" s="7" t="inlineStr">
        <is>
          <t>DESCOL FARMAX 8G CAMOMILA P/CABELOS</t>
        </is>
      </c>
      <c r="E35" s="13" t="n">
        <v>1</v>
      </c>
      <c r="F35" s="13" t="n">
        <v>3</v>
      </c>
      <c r="G35" s="13" t="n">
        <v>3</v>
      </c>
      <c r="H35" s="8" t="n">
        <v>2.37</v>
      </c>
      <c r="I35" s="8">
        <f>G35*H35</f>
        <v/>
      </c>
      <c r="J35" s="8">
        <f>H35/E35</f>
        <v/>
      </c>
      <c r="K35" s="8" t="n">
        <v>2.31</v>
      </c>
      <c r="L35" s="8" t="n">
        <v>2.31</v>
      </c>
      <c r="M35" s="14">
        <f>J35/K35-1</f>
        <v/>
      </c>
      <c r="N35" s="7" t="inlineStr">
        <is>
          <t>ACIMA +2.6%</t>
        </is>
      </c>
      <c r="O35" s="7" t="inlineStr"/>
    </row>
    <row r="36">
      <c r="A36" s="7" t="n">
        <v>638511</v>
      </c>
      <c r="B36" s="7" t="inlineStr">
        <is>
          <t>5292</t>
        </is>
      </c>
      <c r="C36" s="12" t="inlineStr">
        <is>
          <t>7896902208599</t>
        </is>
      </c>
      <c r="D36" s="7" t="inlineStr">
        <is>
          <t>DESCOL FARMAX 8G QUERATIN P/CABELOS</t>
        </is>
      </c>
      <c r="E36" s="13" t="n">
        <v>1</v>
      </c>
      <c r="F36" s="13" t="n">
        <v>3</v>
      </c>
      <c r="G36" s="13" t="n">
        <v>3</v>
      </c>
      <c r="H36" s="8" t="n">
        <v>2.37</v>
      </c>
      <c r="I36" s="8">
        <f>G36*H36</f>
        <v/>
      </c>
      <c r="J36" s="8">
        <f>H36/E36</f>
        <v/>
      </c>
      <c r="K36" s="8" t="n">
        <v>2.25</v>
      </c>
      <c r="L36" s="8" t="n">
        <v>2.25</v>
      </c>
      <c r="M36" s="14">
        <f>J36/K36-1</f>
        <v/>
      </c>
      <c r="N36" s="7" t="inlineStr">
        <is>
          <t>ACIMA +5.3%</t>
        </is>
      </c>
      <c r="O36" s="7" t="inlineStr"/>
    </row>
    <row r="37">
      <c r="A37" s="7" t="n">
        <v>329901</v>
      </c>
      <c r="B37" s="7" t="inlineStr">
        <is>
          <t>2377</t>
        </is>
      </c>
      <c r="C37" s="12" t="inlineStr">
        <is>
          <t>7897917002677</t>
        </is>
      </c>
      <c r="D37" s="7" t="inlineStr">
        <is>
          <t>DRENOGRIP 500+30+2MG CX 120 COMP</t>
        </is>
      </c>
      <c r="E37" s="13" t="n">
        <v>1</v>
      </c>
      <c r="F37" s="13" t="n">
        <v>5</v>
      </c>
      <c r="G37" s="13" t="n">
        <v>5</v>
      </c>
      <c r="H37" s="8" t="n">
        <v>20.03</v>
      </c>
      <c r="I37" s="8">
        <f>G37*H37</f>
        <v/>
      </c>
      <c r="J37" s="8">
        <f>H37/E37</f>
        <v/>
      </c>
      <c r="K37" s="8" t="n">
        <v>0.874</v>
      </c>
      <c r="L37" s="8" t="n">
        <v>0.874</v>
      </c>
      <c r="M37" s="14">
        <f>J37/K37-1</f>
        <v/>
      </c>
      <c r="N37" s="7" t="inlineStr">
        <is>
          <t>ACIMA +2191.8%</t>
        </is>
      </c>
      <c r="O37" s="7" t="inlineStr">
        <is>
          <t>conferir emb.</t>
        </is>
      </c>
    </row>
    <row r="38">
      <c r="A38" s="7" t="n">
        <v>38203</v>
      </c>
      <c r="B38" s="7" t="inlineStr">
        <is>
          <t>2856</t>
        </is>
      </c>
      <c r="C38" s="12" t="inlineStr">
        <is>
          <t>7898601061406</t>
        </is>
      </c>
      <c r="D38" s="7" t="inlineStr">
        <is>
          <t>ESTABILIZADOR DE TORNOZELO PT G KSN043</t>
        </is>
      </c>
      <c r="E38" s="13" t="n">
        <v>1</v>
      </c>
      <c r="F38" s="13" t="n">
        <v>1</v>
      </c>
      <c r="G38" s="13" t="n">
        <v>1</v>
      </c>
      <c r="H38" s="8" t="n">
        <v>57.04</v>
      </c>
      <c r="I38" s="8">
        <f>G38*H38</f>
        <v/>
      </c>
      <c r="J38" s="8">
        <f>H38/E38</f>
        <v/>
      </c>
      <c r="K38" s="8" t="n">
        <v>44</v>
      </c>
      <c r="L38" s="8" t="n">
        <v>44</v>
      </c>
      <c r="M38" s="14">
        <f>J38/K38-1</f>
        <v/>
      </c>
      <c r="N38" s="7" t="inlineStr">
        <is>
          <t>ACIMA +29.6%</t>
        </is>
      </c>
      <c r="O38" s="7" t="inlineStr"/>
    </row>
    <row r="39">
      <c r="A39" s="7" t="n">
        <v>642951</v>
      </c>
      <c r="B39" s="7" t="inlineStr">
        <is>
          <t>2883</t>
        </is>
      </c>
      <c r="C39" s="12" t="inlineStr">
        <is>
          <t>7894913003745</t>
        </is>
      </c>
      <c r="D39" s="7" t="inlineStr">
        <is>
          <t>EXOMUC ADULTO MEL/LIMAO 120ML</t>
        </is>
      </c>
      <c r="E39" s="13" t="n">
        <v>1</v>
      </c>
      <c r="F39" s="13" t="n">
        <v>1</v>
      </c>
      <c r="G39" s="13" t="n">
        <v>1</v>
      </c>
      <c r="H39" s="8" t="n">
        <v>13.82</v>
      </c>
      <c r="I39" s="8">
        <f>G39*H39</f>
        <v/>
      </c>
      <c r="J39" s="8">
        <f>H39/E39</f>
        <v/>
      </c>
      <c r="K39" s="8" t="n">
        <v>16.33</v>
      </c>
      <c r="L39" s="8" t="n">
        <v>16.33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243061</v>
      </c>
      <c r="B40" s="7" t="inlineStr">
        <is>
          <t>2898</t>
        </is>
      </c>
      <c r="C40" s="12" t="inlineStr">
        <is>
          <t>7898569762674</t>
        </is>
      </c>
      <c r="D40" s="7" t="inlineStr">
        <is>
          <t>EZETIMIBA 10MG CX 30 COMP REV</t>
        </is>
      </c>
      <c r="E40" s="13" t="n">
        <v>1</v>
      </c>
      <c r="F40" s="13" t="n">
        <v>14</v>
      </c>
      <c r="G40" s="13" t="n">
        <v>14</v>
      </c>
      <c r="H40" s="8" t="n">
        <v>16.4</v>
      </c>
      <c r="I40" s="8">
        <f>G40*H40</f>
        <v/>
      </c>
      <c r="J40" s="8">
        <f>H40/E40</f>
        <v/>
      </c>
      <c r="K40" s="8" t="n">
        <v>15.58</v>
      </c>
      <c r="L40" s="8" t="n">
        <v>13.1</v>
      </c>
      <c r="M40" s="14">
        <f>J40/K40-1</f>
        <v/>
      </c>
      <c r="N40" s="7" t="inlineStr">
        <is>
          <t>ACIMA +5.3%</t>
        </is>
      </c>
      <c r="O40" s="7" t="inlineStr"/>
    </row>
    <row r="41">
      <c r="A41" s="7" t="n">
        <v>642961</v>
      </c>
      <c r="B41" s="7" t="inlineStr">
        <is>
          <t>2906</t>
        </is>
      </c>
      <c r="C41" s="12" t="inlineStr">
        <is>
          <t>7894913002922</t>
        </is>
      </c>
      <c r="D41" s="7" t="inlineStr">
        <is>
          <t>F GARENA 180ML</t>
        </is>
      </c>
      <c r="E41" s="13" t="n">
        <v>1</v>
      </c>
      <c r="F41" s="13" t="n">
        <v>1</v>
      </c>
      <c r="G41" s="13" t="n">
        <v>1</v>
      </c>
      <c r="H41" s="8" t="n">
        <v>15.49</v>
      </c>
      <c r="I41" s="8">
        <f>G41*H41</f>
        <v/>
      </c>
      <c r="J41" s="8">
        <f>H41/E41</f>
        <v/>
      </c>
      <c r="K41" s="8" t="n">
        <v>16.6</v>
      </c>
      <c r="L41" s="8" t="n">
        <v>16.6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565341</v>
      </c>
      <c r="B42" s="7" t="inlineStr">
        <is>
          <t>163</t>
        </is>
      </c>
      <c r="C42" s="12" t="inlineStr">
        <is>
          <t>7896902213463</t>
        </is>
      </c>
      <c r="D42" s="7" t="inlineStr">
        <is>
          <t>FARMAX AGUA OXIGENADA 70ML V30</t>
        </is>
      </c>
      <c r="E42" s="13" t="n">
        <v>1</v>
      </c>
      <c r="F42" s="13" t="n">
        <v>5</v>
      </c>
      <c r="G42" s="13" t="n">
        <v>5</v>
      </c>
      <c r="H42" s="8" t="n">
        <v>2.01</v>
      </c>
      <c r="I42" s="8">
        <f>G42*H42</f>
        <v/>
      </c>
      <c r="J42" s="8">
        <f>H42/E42</f>
        <v/>
      </c>
      <c r="K42" s="8" t="n">
        <v>1.84</v>
      </c>
      <c r="L42" s="8" t="n">
        <v>1.84</v>
      </c>
      <c r="M42" s="14">
        <f>J42/K42-1</f>
        <v/>
      </c>
      <c r="N42" s="7" t="inlineStr">
        <is>
          <t>ACIMA +9.2%</t>
        </is>
      </c>
      <c r="O42" s="7" t="inlineStr"/>
    </row>
    <row r="43">
      <c r="A43" s="7" t="n">
        <v>543981</v>
      </c>
      <c r="B43" s="7" t="inlineStr">
        <is>
          <t>166</t>
        </is>
      </c>
      <c r="C43" s="12" t="inlineStr">
        <is>
          <t>7896902213487</t>
        </is>
      </c>
      <c r="D43" s="7" t="inlineStr">
        <is>
          <t>FARMAX AGUA OXIGENADA 70ML V40</t>
        </is>
      </c>
      <c r="E43" s="13" t="n">
        <v>1</v>
      </c>
      <c r="F43" s="13" t="n">
        <v>4</v>
      </c>
      <c r="G43" s="13" t="n">
        <v>4</v>
      </c>
      <c r="H43" s="8" t="n">
        <v>2.14</v>
      </c>
      <c r="I43" s="8">
        <f>G43*H43</f>
        <v/>
      </c>
      <c r="J43" s="8">
        <f>H43/E43</f>
        <v/>
      </c>
      <c r="K43" s="8" t="n">
        <v>1.79</v>
      </c>
      <c r="L43" s="8" t="n">
        <v>1.79</v>
      </c>
      <c r="M43" s="14">
        <f>J43/K43-1</f>
        <v/>
      </c>
      <c r="N43" s="7" t="inlineStr">
        <is>
          <t>ACIMA +19.6%</t>
        </is>
      </c>
      <c r="O43" s="7" t="inlineStr"/>
    </row>
    <row r="44">
      <c r="A44" s="7" t="n">
        <v>626071</v>
      </c>
      <c r="B44" s="7" t="inlineStr">
        <is>
          <t>2952</t>
        </is>
      </c>
      <c r="C44" s="12" t="inlineStr">
        <is>
          <t>7896023756849</t>
        </is>
      </c>
      <c r="D44" s="7" t="inlineStr">
        <is>
          <t>FIGATIL 10ML FLACONETE</t>
        </is>
      </c>
      <c r="E44" s="13" t="n">
        <v>48</v>
      </c>
      <c r="F44" s="13" t="n">
        <v>1</v>
      </c>
      <c r="G44" s="13" t="n">
        <v>1</v>
      </c>
      <c r="H44" s="8" t="n">
        <v>94.06</v>
      </c>
      <c r="I44" s="8">
        <f>G44*H44</f>
        <v/>
      </c>
      <c r="J44" s="8">
        <f>H44/E44</f>
        <v/>
      </c>
      <c r="K44" s="8" t="n">
        <v>2.4223</v>
      </c>
      <c r="L44" s="8" t="n">
        <v>1.1388</v>
      </c>
      <c r="M44" s="14">
        <f>J44/K44-1</f>
        <v/>
      </c>
      <c r="N44" s="7" t="inlineStr">
        <is>
          <t>OK (≤ últ. compra)</t>
        </is>
      </c>
      <c r="O44" s="7" t="inlineStr">
        <is>
          <t>1 emb = 48 un</t>
        </is>
      </c>
    </row>
    <row r="45">
      <c r="A45" s="7" t="n">
        <v>616141</v>
      </c>
      <c r="B45" s="7" t="inlineStr">
        <is>
          <t>3009</t>
        </is>
      </c>
      <c r="C45" s="12" t="inlineStr">
        <is>
          <t>7899838832012</t>
        </is>
      </c>
      <c r="D45" s="7" t="inlineStr">
        <is>
          <t>FITA DE KINESIO 5CM X 5M VERMELHA</t>
        </is>
      </c>
      <c r="E45" s="13" t="n">
        <v>1</v>
      </c>
      <c r="F45" s="13" t="n">
        <v>1</v>
      </c>
      <c r="G45" s="13" t="n">
        <v>1</v>
      </c>
      <c r="H45" s="8" t="n">
        <v>19.67</v>
      </c>
      <c r="I45" s="8">
        <f>G45*H45</f>
        <v/>
      </c>
      <c r="J45" s="8">
        <f>H45/E45</f>
        <v/>
      </c>
      <c r="K45" s="8" t="n">
        <v>18.69</v>
      </c>
      <c r="L45" s="8" t="n">
        <v>18.69</v>
      </c>
      <c r="M45" s="14">
        <f>J45/K45-1</f>
        <v/>
      </c>
      <c r="N45" s="7" t="inlineStr">
        <is>
          <t>ACIMA +5.2%</t>
        </is>
      </c>
      <c r="O45" s="7" t="inlineStr"/>
    </row>
    <row r="46">
      <c r="A46" s="7" t="n">
        <v>638781</v>
      </c>
      <c r="B46" s="7" t="inlineStr">
        <is>
          <t>9607</t>
        </is>
      </c>
      <c r="C46" s="12" t="inlineStr">
        <is>
          <t>040141785435</t>
        </is>
      </c>
      <c r="D46" s="7" t="inlineStr">
        <is>
          <t>FORTMAGRI 1500MG 60 CPS (BERBERINA+FENO+MOROSIL+CROMO)</t>
        </is>
      </c>
      <c r="E46" s="13" t="n">
        <v>1</v>
      </c>
      <c r="F46" s="13" t="n">
        <v>1</v>
      </c>
      <c r="G46" s="13" t="n">
        <v>1</v>
      </c>
      <c r="H46" s="8" t="n">
        <v>64.67</v>
      </c>
      <c r="I46" s="8">
        <f>G46*H46</f>
        <v/>
      </c>
      <c r="J46" s="8">
        <f>H46/E46</f>
        <v/>
      </c>
      <c r="K46" s="8" t="n">
        <v>79.90000000000001</v>
      </c>
      <c r="L46" s="8" t="n">
        <v>79.90000000000001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619931</v>
      </c>
      <c r="B47" s="7" t="inlineStr">
        <is>
          <t>3254</t>
        </is>
      </c>
      <c r="C47" s="12" t="inlineStr">
        <is>
          <t>7894913002809</t>
        </is>
      </c>
      <c r="D47" s="7" t="inlineStr">
        <is>
          <t>GLUCOZINC LARANJA 120ML</t>
        </is>
      </c>
      <c r="E47" s="13" t="n">
        <v>1</v>
      </c>
      <c r="F47" s="13" t="n">
        <v>1</v>
      </c>
      <c r="G47" s="13" t="n">
        <v>1</v>
      </c>
      <c r="H47" s="8" t="n">
        <v>16.67</v>
      </c>
      <c r="I47" s="8">
        <f>G47*H47</f>
        <v/>
      </c>
      <c r="J47" s="8">
        <f>H47/E47</f>
        <v/>
      </c>
      <c r="K47" s="8" t="n">
        <v>17.61</v>
      </c>
      <c r="L47" s="8" t="n">
        <v>17.61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622371</v>
      </c>
      <c r="B48" s="7" t="inlineStr">
        <is>
          <t>3306</t>
        </is>
      </c>
      <c r="C48" s="12" t="inlineStr">
        <is>
          <t>7896321024657</t>
        </is>
      </c>
      <c r="D48" s="7" t="inlineStr">
        <is>
          <t>GUMMY HAIR VITAMIN MELANCIA 60CPR</t>
        </is>
      </c>
      <c r="E48" s="13" t="n">
        <v>1</v>
      </c>
      <c r="F48" s="13" t="n">
        <v>1</v>
      </c>
      <c r="G48" s="13" t="n">
        <v>1</v>
      </c>
      <c r="H48" s="8" t="n">
        <v>72.22</v>
      </c>
      <c r="I48" s="8">
        <f>G48*H48</f>
        <v/>
      </c>
      <c r="J48" s="8">
        <f>H48/E48</f>
        <v/>
      </c>
      <c r="K48" s="8" t="n">
        <v>58.95</v>
      </c>
      <c r="L48" s="8" t="n">
        <v>58.95</v>
      </c>
      <c r="M48" s="14">
        <f>J48/K48-1</f>
        <v/>
      </c>
      <c r="N48" s="7" t="inlineStr">
        <is>
          <t>ACIMA +22.5%</t>
        </is>
      </c>
      <c r="O48" s="7" t="inlineStr"/>
    </row>
    <row r="49">
      <c r="A49" s="7" t="n">
        <v>622351</v>
      </c>
      <c r="B49" s="7" t="inlineStr">
        <is>
          <t>3308</t>
        </is>
      </c>
      <c r="C49" s="12" t="inlineStr">
        <is>
          <t>7896321035820</t>
        </is>
      </c>
      <c r="D49" s="7" t="inlineStr">
        <is>
          <t>GUMMY HAIR VITAMIN TUTTI-FRUTTI 60CPR</t>
        </is>
      </c>
      <c r="E49" s="13" t="n">
        <v>1</v>
      </c>
      <c r="F49" s="13" t="n">
        <v>1</v>
      </c>
      <c r="G49" s="13" t="n">
        <v>1</v>
      </c>
      <c r="H49" s="8" t="n">
        <v>72.22</v>
      </c>
      <c r="I49" s="8">
        <f>G49*H49</f>
        <v/>
      </c>
      <c r="J49" s="8">
        <f>H49/E49</f>
        <v/>
      </c>
      <c r="K49" s="8" t="n">
        <v>51.71</v>
      </c>
      <c r="L49" s="8" t="n">
        <v>51.71</v>
      </c>
      <c r="M49" s="14">
        <f>J49/K49-1</f>
        <v/>
      </c>
      <c r="N49" s="7" t="inlineStr">
        <is>
          <t>ACIMA +39.7%</t>
        </is>
      </c>
      <c r="O49" s="7" t="inlineStr"/>
    </row>
    <row r="50">
      <c r="A50" s="7" t="n">
        <v>276061</v>
      </c>
      <c r="B50" s="7" t="inlineStr">
        <is>
          <t>9750</t>
        </is>
      </c>
      <c r="C50" s="12" t="inlineStr">
        <is>
          <t>8902220114128</t>
        </is>
      </c>
      <c r="D50" s="7" t="inlineStr">
        <is>
          <t>HEMIFUMARATO DE BISOPROLOL 1,25MG CX 30 COMP REV</t>
        </is>
      </c>
      <c r="E50" s="13" t="n">
        <v>1</v>
      </c>
      <c r="F50" s="13" t="n">
        <v>2</v>
      </c>
      <c r="G50" s="13" t="n">
        <v>2</v>
      </c>
      <c r="H50" s="8" t="n">
        <v>11.81</v>
      </c>
      <c r="I50" s="8">
        <f>G50*H50</f>
        <v/>
      </c>
      <c r="J50" s="8">
        <f>H50/E50</f>
        <v/>
      </c>
      <c r="K50" s="8" t="n">
        <v>19.81</v>
      </c>
      <c r="L50" s="8" t="n">
        <v>19.81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276001</v>
      </c>
      <c r="B51" s="7" t="inlineStr">
        <is>
          <t>9752</t>
        </is>
      </c>
      <c r="C51" s="12" t="inlineStr">
        <is>
          <t>8902220114166</t>
        </is>
      </c>
      <c r="D51" s="7" t="inlineStr">
        <is>
          <t>HEMIFUMARATO DE BISOPROLOL 2,5MG CX 30 COMP REV</t>
        </is>
      </c>
      <c r="E51" s="13" t="n">
        <v>1</v>
      </c>
      <c r="F51" s="13" t="n">
        <v>1</v>
      </c>
      <c r="G51" s="13" t="n">
        <v>1</v>
      </c>
      <c r="H51" s="8" t="n">
        <v>7.29</v>
      </c>
      <c r="I51" s="8">
        <f>G51*H51</f>
        <v/>
      </c>
      <c r="J51" s="8">
        <f>H51/E51</f>
        <v/>
      </c>
      <c r="K51" s="8" t="n">
        <v>6.92</v>
      </c>
      <c r="L51" s="8" t="n">
        <v>6.92</v>
      </c>
      <c r="M51" s="14">
        <f>J51/K51-1</f>
        <v/>
      </c>
      <c r="N51" s="7" t="inlineStr">
        <is>
          <t>ACIMA +5.3%</t>
        </is>
      </c>
      <c r="O51" s="7" t="inlineStr"/>
    </row>
    <row r="52">
      <c r="A52" s="7" t="n">
        <v>1633</v>
      </c>
      <c r="B52" s="7" t="inlineStr">
        <is>
          <t>6171</t>
        </is>
      </c>
      <c r="C52" s="12" t="inlineStr">
        <is>
          <t>7894164009480</t>
        </is>
      </c>
      <c r="D52" s="7" t="inlineStr">
        <is>
          <t>HIDRALI 45 PO ENVELOPE CX C/ 4</t>
        </is>
      </c>
      <c r="E52" s="13" t="n">
        <v>1</v>
      </c>
      <c r="F52" s="13" t="n">
        <v>1</v>
      </c>
      <c r="G52" s="13" t="n">
        <v>1</v>
      </c>
      <c r="H52" s="8" t="n">
        <v>9.050000000000001</v>
      </c>
      <c r="I52" s="8">
        <f>G52*H52</f>
        <v/>
      </c>
      <c r="J52" s="8">
        <f>H52/E52</f>
        <v/>
      </c>
      <c r="K52" s="8" t="n">
        <v>2.3475</v>
      </c>
      <c r="L52" s="8" t="n">
        <v>2.2875</v>
      </c>
      <c r="M52" s="14">
        <f>J52/K52-1</f>
        <v/>
      </c>
      <c r="N52" s="7" t="inlineStr">
        <is>
          <t>ACIMA +285.5%</t>
        </is>
      </c>
      <c r="O52" s="7" t="inlineStr">
        <is>
          <t>conferir emb.</t>
        </is>
      </c>
    </row>
    <row r="53">
      <c r="A53" s="7" t="n">
        <v>597601</v>
      </c>
      <c r="B53" s="7" t="inlineStr">
        <is>
          <t>3418</t>
        </is>
      </c>
      <c r="C53" s="12" t="inlineStr">
        <is>
          <t>7899941201958</t>
        </is>
      </c>
      <c r="D53" s="7" t="inlineStr">
        <is>
          <t>HORUS MAX TITANIUM BLUE ICE POTE 150G</t>
        </is>
      </c>
      <c r="E53" s="13" t="n">
        <v>1</v>
      </c>
      <c r="F53" s="13" t="n">
        <v>1</v>
      </c>
      <c r="G53" s="13" t="n">
        <v>1</v>
      </c>
      <c r="H53" s="8" t="n">
        <v>41.64</v>
      </c>
      <c r="I53" s="8">
        <f>G53*H53</f>
        <v/>
      </c>
      <c r="J53" s="8">
        <f>H53/E53</f>
        <v/>
      </c>
      <c r="K53" s="8" t="n">
        <v>63.43</v>
      </c>
      <c r="L53" s="8" t="n">
        <v>63.43</v>
      </c>
      <c r="M53" s="14">
        <f>J53/K53-1</f>
        <v/>
      </c>
      <c r="N53" s="7" t="inlineStr">
        <is>
          <t>OK (≤ menor hist.)</t>
        </is>
      </c>
      <c r="O53" s="7" t="inlineStr"/>
    </row>
    <row r="54">
      <c r="A54" s="7" t="n">
        <v>597591</v>
      </c>
      <c r="B54" s="7" t="inlineStr">
        <is>
          <t>3420</t>
        </is>
      </c>
      <c r="C54" s="12" t="inlineStr">
        <is>
          <t>7899941202849</t>
        </is>
      </c>
      <c r="D54" s="7" t="inlineStr">
        <is>
          <t>HORUS MAX TITANIUM CITRUS POTE 150G</t>
        </is>
      </c>
      <c r="E54" s="13" t="n">
        <v>1</v>
      </c>
      <c r="F54" s="13" t="n">
        <v>1</v>
      </c>
      <c r="G54" s="13" t="n">
        <v>1</v>
      </c>
      <c r="H54" s="8" t="n">
        <v>41.64</v>
      </c>
      <c r="I54" s="8">
        <f>G54*H54</f>
        <v/>
      </c>
      <c r="J54" s="8">
        <f>H54/E54</f>
        <v/>
      </c>
      <c r="K54" s="8" t="n">
        <v>56.83</v>
      </c>
      <c r="L54" s="8" t="n">
        <v>56.83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518921</v>
      </c>
      <c r="B55" s="7" t="inlineStr">
        <is>
          <t>3465</t>
        </is>
      </c>
      <c r="C55" s="12" t="inlineStr">
        <is>
          <t>7898687730500</t>
        </is>
      </c>
      <c r="D55" s="7" t="inlineStr">
        <is>
          <t>IBUPROFENO 600MG CX 10 CAP GEL</t>
        </is>
      </c>
      <c r="E55" s="13" t="n">
        <v>1</v>
      </c>
      <c r="F55" s="13" t="n">
        <v>1</v>
      </c>
      <c r="G55" s="13" t="n">
        <v>1</v>
      </c>
      <c r="H55" s="8" t="n">
        <v>15.04</v>
      </c>
      <c r="I55" s="8">
        <f>G55*H55</f>
        <v/>
      </c>
      <c r="J55" s="8">
        <f>H55/E55</f>
        <v/>
      </c>
      <c r="K55" s="8" t="n">
        <v>13.06</v>
      </c>
      <c r="L55" s="8" t="n">
        <v>12.73</v>
      </c>
      <c r="M55" s="14">
        <f>J55/K55-1</f>
        <v/>
      </c>
      <c r="N55" s="7" t="inlineStr">
        <is>
          <t>ACIMA +15.2%</t>
        </is>
      </c>
      <c r="O55" s="7" t="inlineStr"/>
    </row>
    <row r="56">
      <c r="A56" s="7" t="n">
        <v>556441</v>
      </c>
      <c r="B56" s="7" t="inlineStr">
        <is>
          <t>3816</t>
        </is>
      </c>
      <c r="C56" s="12" t="inlineStr">
        <is>
          <t>7897732607323</t>
        </is>
      </c>
      <c r="D56" s="7" t="inlineStr">
        <is>
          <t>LEITE DE MAGNESIA 100ML TRADICIONAL</t>
        </is>
      </c>
      <c r="E56" s="13" t="n">
        <v>1</v>
      </c>
      <c r="F56" s="13" t="n">
        <v>5</v>
      </c>
      <c r="G56" s="13" t="n">
        <v>5</v>
      </c>
      <c r="H56" s="8" t="n">
        <v>4.34</v>
      </c>
      <c r="I56" s="8">
        <f>G56*H56</f>
        <v/>
      </c>
      <c r="J56" s="8">
        <f>H56/E56</f>
        <v/>
      </c>
      <c r="K56" s="8" t="n">
        <v>4.12</v>
      </c>
      <c r="L56" s="8" t="n">
        <v>4.12</v>
      </c>
      <c r="M56" s="14">
        <f>J56/K56-1</f>
        <v/>
      </c>
      <c r="N56" s="7" t="inlineStr">
        <is>
          <t>ACIMA +5.3%</t>
        </is>
      </c>
      <c r="O56" s="7" t="inlineStr"/>
    </row>
    <row r="57">
      <c r="A57" s="7" t="n">
        <v>492281</v>
      </c>
      <c r="B57" s="7" t="inlineStr">
        <is>
          <t>3855</t>
        </is>
      </c>
      <c r="C57" s="12" t="inlineStr">
        <is>
          <t>7908020500889</t>
        </is>
      </c>
      <c r="D57" s="7" t="inlineStr">
        <is>
          <t>LEVONORGESTREL 0,15+0,03MG CX 21 COMP REV+CALEND</t>
        </is>
      </c>
      <c r="E57" s="13" t="n">
        <v>1</v>
      </c>
      <c r="F57" s="13" t="n">
        <v>1</v>
      </c>
      <c r="G57" s="13" t="n">
        <v>1</v>
      </c>
      <c r="H57" s="8" t="n">
        <v>3.4</v>
      </c>
      <c r="I57" s="8">
        <f>G57*H57</f>
        <v/>
      </c>
      <c r="J57" s="8">
        <f>H57/E57</f>
        <v/>
      </c>
      <c r="K57" s="8" t="n">
        <v>3.23</v>
      </c>
      <c r="L57" s="8" t="n">
        <v>3.23</v>
      </c>
      <c r="M57" s="14">
        <f>J57/K57-1</f>
        <v/>
      </c>
      <c r="N57" s="7" t="inlineStr">
        <is>
          <t>ACIMA +5.3%</t>
        </is>
      </c>
      <c r="O57" s="7" t="inlineStr"/>
    </row>
    <row r="58">
      <c r="A58" s="7" t="n">
        <v>56761</v>
      </c>
      <c r="B58" s="7" t="inlineStr">
        <is>
          <t>2288</t>
        </is>
      </c>
      <c r="C58" s="12" t="inlineStr">
        <is>
          <t>7898060132075</t>
        </is>
      </c>
      <c r="D58" s="7" t="inlineStr">
        <is>
          <t>MAL DEXCLORFENIRAMINA+BETAMETASONA 0,4+0,05MG XPE FR 120ML+CM</t>
        </is>
      </c>
      <c r="E58" s="13" t="n">
        <v>1</v>
      </c>
      <c r="F58" s="13" t="n">
        <v>20</v>
      </c>
      <c r="G58" s="13" t="n">
        <v>20</v>
      </c>
      <c r="H58" s="8" t="n">
        <v>4.65</v>
      </c>
      <c r="I58" s="8">
        <f>G58*H58</f>
        <v/>
      </c>
      <c r="J58" s="8">
        <f>H58/E58</f>
        <v/>
      </c>
      <c r="K58" s="8" t="n">
        <v>5.1</v>
      </c>
      <c r="L58" s="8" t="n">
        <v>5.1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334801</v>
      </c>
      <c r="B59" s="7" t="inlineStr">
        <is>
          <t>2596</t>
        </is>
      </c>
      <c r="C59" s="12" t="inlineStr">
        <is>
          <t>7897917005180</t>
        </is>
      </c>
      <c r="D59" s="7" t="inlineStr">
        <is>
          <t>MALEATO DE ENALAPRIL 5MG CX 30 COMP</t>
        </is>
      </c>
      <c r="E59" s="13" t="n">
        <v>1</v>
      </c>
      <c r="F59" s="13" t="n">
        <v>3</v>
      </c>
      <c r="G59" s="13" t="n">
        <v>3</v>
      </c>
      <c r="H59" s="8" t="n">
        <v>2</v>
      </c>
      <c r="I59" s="8">
        <f>G59*H59</f>
        <v/>
      </c>
      <c r="J59" s="8">
        <f>H59/E59</f>
        <v/>
      </c>
      <c r="K59" s="8" t="n">
        <v>2.18</v>
      </c>
      <c r="L59" s="8" t="n">
        <v>2.18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605911</v>
      </c>
      <c r="B60" s="7" t="inlineStr">
        <is>
          <t>7484</t>
        </is>
      </c>
      <c r="C60" s="12" t="inlineStr">
        <is>
          <t>7896004779201</t>
        </is>
      </c>
      <c r="D60" s="7" t="inlineStr">
        <is>
          <t>MARACUJA CONCENTRIX SOL ORAL 100ML (PASS</t>
        </is>
      </c>
      <c r="E60" s="13" t="n">
        <v>1</v>
      </c>
      <c r="F60" s="13" t="n">
        <v>1</v>
      </c>
      <c r="G60" s="13" t="n">
        <v>1</v>
      </c>
      <c r="H60" s="8" t="n">
        <v>12.09</v>
      </c>
      <c r="I60" s="8">
        <f>G60*H60</f>
        <v/>
      </c>
      <c r="J60" s="8">
        <f>H60/E60</f>
        <v/>
      </c>
      <c r="K60" s="8" t="n">
        <v>11.9433</v>
      </c>
      <c r="L60" s="8" t="n">
        <v>10.92</v>
      </c>
      <c r="M60" s="14">
        <f>J60/K60-1</f>
        <v/>
      </c>
      <c r="N60" s="7" t="inlineStr">
        <is>
          <t>ACIMA +1.2%</t>
        </is>
      </c>
      <c r="O60" s="7" t="inlineStr"/>
    </row>
    <row r="61">
      <c r="A61" s="7" t="n">
        <v>555821</v>
      </c>
      <c r="B61" s="7" t="inlineStr">
        <is>
          <t>4269</t>
        </is>
      </c>
      <c r="C61" s="12" t="inlineStr">
        <is>
          <t>7898283815182</t>
        </is>
      </c>
      <c r="D61" s="7" t="inlineStr">
        <is>
          <t>MASCARA TRIPLA C/ELASTI BRANCA 50UN CART</t>
        </is>
      </c>
      <c r="E61" s="13" t="n">
        <v>1</v>
      </c>
      <c r="F61" s="13" t="n">
        <v>1</v>
      </c>
      <c r="G61" s="13" t="n">
        <v>1</v>
      </c>
      <c r="H61" s="8" t="n">
        <v>8.109999999999999</v>
      </c>
      <c r="I61" s="8">
        <f>G61*H61</f>
        <v/>
      </c>
      <c r="J61" s="8">
        <f>H61/E61</f>
        <v/>
      </c>
      <c r="K61" s="8" t="n">
        <v>9.83</v>
      </c>
      <c r="L61" s="8" t="n">
        <v>9.83</v>
      </c>
      <c r="M61" s="14">
        <f>J61/K61-1</f>
        <v/>
      </c>
      <c r="N61" s="7" t="inlineStr">
        <is>
          <t>OK (≤ menor hist.)</t>
        </is>
      </c>
      <c r="O61" s="7" t="inlineStr"/>
    </row>
    <row r="62">
      <c r="A62" s="7" t="n">
        <v>673371</v>
      </c>
      <c r="B62" s="7" t="inlineStr">
        <is>
          <t>4272</t>
        </is>
      </c>
      <c r="C62" s="12" t="inlineStr">
        <is>
          <t>7898920041318</t>
        </is>
      </c>
      <c r="D62" s="7" t="inlineStr">
        <is>
          <t>MASS TITANIUM 17500 BAUNILHA 3KG</t>
        </is>
      </c>
      <c r="E62" s="13" t="n">
        <v>1</v>
      </c>
      <c r="F62" s="13" t="n">
        <v>1</v>
      </c>
      <c r="G62" s="13" t="n">
        <v>1</v>
      </c>
      <c r="H62" s="8" t="n">
        <v>98.44</v>
      </c>
      <c r="I62" s="8">
        <f>G62*H62</f>
        <v/>
      </c>
      <c r="J62" s="8">
        <f>H62/E62</f>
        <v/>
      </c>
      <c r="K62" s="8" t="n">
        <v>93.20999999999999</v>
      </c>
      <c r="L62" s="8" t="n">
        <v>86.75</v>
      </c>
      <c r="M62" s="14">
        <f>J62/K62-1</f>
        <v/>
      </c>
      <c r="N62" s="7" t="inlineStr">
        <is>
          <t>ACIMA +5.6%</t>
        </is>
      </c>
      <c r="O62" s="7" t="inlineStr"/>
    </row>
    <row r="63">
      <c r="A63" s="7" t="n">
        <v>643061</v>
      </c>
      <c r="B63" s="7" t="inlineStr">
        <is>
          <t>4766</t>
        </is>
      </c>
      <c r="C63" s="12" t="inlineStr">
        <is>
          <t>7894913003691</t>
        </is>
      </c>
      <c r="D63" s="7" t="inlineStr">
        <is>
          <t>NINNAR MELATONINA 120CPR MARACUJA</t>
        </is>
      </c>
      <c r="E63" s="13" t="n">
        <v>1</v>
      </c>
      <c r="F63" s="13" t="n">
        <v>3</v>
      </c>
      <c r="G63" s="13" t="n">
        <v>3</v>
      </c>
      <c r="H63" s="8" t="n">
        <v>17.78</v>
      </c>
      <c r="I63" s="8">
        <f>G63*H63</f>
        <v/>
      </c>
      <c r="J63" s="8">
        <f>H63/E63</f>
        <v/>
      </c>
      <c r="K63" s="8" t="n">
        <v>16.84</v>
      </c>
      <c r="L63" s="8" t="n">
        <v>16.84</v>
      </c>
      <c r="M63" s="14">
        <f>J63/K63-1</f>
        <v/>
      </c>
      <c r="N63" s="7" t="inlineStr">
        <is>
          <t>ACIMA +5.6%</t>
        </is>
      </c>
      <c r="O63" s="7" t="inlineStr"/>
    </row>
    <row r="64">
      <c r="A64" s="7" t="n">
        <v>643071</v>
      </c>
      <c r="B64" s="7" t="inlineStr">
        <is>
          <t>4767</t>
        </is>
      </c>
      <c r="C64" s="12" t="inlineStr">
        <is>
          <t>7894913003189</t>
        </is>
      </c>
      <c r="D64" s="7" t="inlineStr">
        <is>
          <t>NINNAR MELATONINA MARACUJA 30ML</t>
        </is>
      </c>
      <c r="E64" s="13" t="n">
        <v>1</v>
      </c>
      <c r="F64" s="13" t="n">
        <v>1</v>
      </c>
      <c r="G64" s="13" t="n">
        <v>1</v>
      </c>
      <c r="H64" s="8" t="n">
        <v>13.79</v>
      </c>
      <c r="I64" s="8">
        <f>G64*H64</f>
        <v/>
      </c>
      <c r="J64" s="8">
        <f>H64/E64</f>
        <v/>
      </c>
      <c r="K64" s="8" t="n">
        <v>13.1</v>
      </c>
      <c r="L64" s="8" t="n">
        <v>13.1</v>
      </c>
      <c r="M64" s="14">
        <f>J64/K64-1</f>
        <v/>
      </c>
      <c r="N64" s="7" t="inlineStr">
        <is>
          <t>ACIMA +5.3%</t>
        </is>
      </c>
      <c r="O64" s="7" t="inlineStr"/>
    </row>
    <row r="65">
      <c r="A65" s="7" t="n">
        <v>598371</v>
      </c>
      <c r="B65" s="7" t="inlineStr">
        <is>
          <t>4902</t>
        </is>
      </c>
      <c r="C65" s="12" t="inlineStr">
        <is>
          <t>7896902285422</t>
        </is>
      </c>
      <c r="D65" s="7" t="inlineStr">
        <is>
          <t>OLEO CAP/CORP FARMAX 30ML PURO RICINO</t>
        </is>
      </c>
      <c r="E65" s="13" t="n">
        <v>1</v>
      </c>
      <c r="F65" s="13" t="n">
        <v>2</v>
      </c>
      <c r="G65" s="13" t="n">
        <v>2</v>
      </c>
      <c r="H65" s="8" t="n">
        <v>4.61</v>
      </c>
      <c r="I65" s="8">
        <f>G65*H65</f>
        <v/>
      </c>
      <c r="J65" s="8">
        <f>H65/E65</f>
        <v/>
      </c>
      <c r="K65" s="8" t="n">
        <v>4.69</v>
      </c>
      <c r="L65" s="8" t="n">
        <v>4.69</v>
      </c>
      <c r="M65" s="14">
        <f>J65/K65-1</f>
        <v/>
      </c>
      <c r="N65" s="7" t="inlineStr">
        <is>
          <t>OK (≤ menor hist.)</t>
        </is>
      </c>
      <c r="O65" s="7" t="inlineStr"/>
    </row>
    <row r="66">
      <c r="A66" s="7" t="n">
        <v>611431</v>
      </c>
      <c r="B66" s="7" t="inlineStr">
        <is>
          <t>4894</t>
        </is>
      </c>
      <c r="C66" s="12" t="inlineStr">
        <is>
          <t>7897732607583</t>
        </is>
      </c>
      <c r="D66" s="7" t="inlineStr">
        <is>
          <t>OLEO DE RICINO 100% 30ML SOBRAL</t>
        </is>
      </c>
      <c r="E66" s="13" t="n">
        <v>1</v>
      </c>
      <c r="F66" s="13" t="n">
        <v>5</v>
      </c>
      <c r="G66" s="13" t="n">
        <v>5</v>
      </c>
      <c r="H66" s="8" t="n">
        <v>4.73</v>
      </c>
      <c r="I66" s="8">
        <f>G66*H66</f>
        <v/>
      </c>
      <c r="J66" s="8">
        <f>H66/E66</f>
        <v/>
      </c>
      <c r="K66" s="8" t="n">
        <v>4.31</v>
      </c>
      <c r="L66" s="8" t="n">
        <v>4.31</v>
      </c>
      <c r="M66" s="14">
        <f>J66/K66-1</f>
        <v/>
      </c>
      <c r="N66" s="7" t="inlineStr">
        <is>
          <t>ACIMA +9.7%</t>
        </is>
      </c>
      <c r="O66" s="7" t="inlineStr"/>
    </row>
    <row r="67">
      <c r="A67" s="7" t="n">
        <v>376061</v>
      </c>
      <c r="B67" s="7" t="inlineStr">
        <is>
          <t>4944</t>
        </is>
      </c>
      <c r="C67" s="12" t="inlineStr">
        <is>
          <t>7898569763077</t>
        </is>
      </c>
      <c r="D67" s="7" t="inlineStr">
        <is>
          <t>OLMESARTANA MEDOXOMILA 40MG CX 30 COMP REV</t>
        </is>
      </c>
      <c r="E67" s="13" t="n">
        <v>1</v>
      </c>
      <c r="F67" s="13" t="n">
        <v>13</v>
      </c>
      <c r="G67" s="13" t="n">
        <v>13</v>
      </c>
      <c r="H67" s="8" t="n">
        <v>20.42</v>
      </c>
      <c r="I67" s="8">
        <f>G67*H67</f>
        <v/>
      </c>
      <c r="J67" s="8">
        <f>H67/E67</f>
        <v/>
      </c>
      <c r="K67" s="8" t="n">
        <v>17.13</v>
      </c>
      <c r="L67" s="8" t="n">
        <v>14.57</v>
      </c>
      <c r="M67" s="14">
        <f>J67/K67-1</f>
        <v/>
      </c>
      <c r="N67" s="7" t="inlineStr">
        <is>
          <t>ACIMA +19.2%</t>
        </is>
      </c>
      <c r="O67" s="7" t="inlineStr"/>
    </row>
    <row r="68">
      <c r="A68" s="7" t="n">
        <v>653711</v>
      </c>
      <c r="B68" s="7" t="inlineStr">
        <is>
          <t>4963</t>
        </is>
      </c>
      <c r="C68" s="12" t="inlineStr">
        <is>
          <t>7898675805227</t>
        </is>
      </c>
      <c r="D68" s="7" t="inlineStr">
        <is>
          <t>OMEGA 3 60CAPS EPA+DHA NUTRACEUTICAL</t>
        </is>
      </c>
      <c r="E68" s="13" t="n">
        <v>1</v>
      </c>
      <c r="F68" s="13" t="n">
        <v>3</v>
      </c>
      <c r="G68" s="13" t="n">
        <v>3</v>
      </c>
      <c r="H68" s="8" t="n">
        <v>30.14</v>
      </c>
      <c r="I68" s="8">
        <f>G68*H68</f>
        <v/>
      </c>
      <c r="J68" s="8">
        <f>H68/E68</f>
        <v/>
      </c>
      <c r="K68" s="8" t="n">
        <v>20.09</v>
      </c>
      <c r="L68" s="8" t="n">
        <v>20.09</v>
      </c>
      <c r="M68" s="14">
        <f>J68/K68-1</f>
        <v/>
      </c>
      <c r="N68" s="7" t="inlineStr">
        <is>
          <t>ACIMA +50.0%</t>
        </is>
      </c>
      <c r="O68" s="7" t="inlineStr"/>
    </row>
    <row r="69">
      <c r="A69" s="7" t="n">
        <v>378201</v>
      </c>
      <c r="B69" s="7" t="inlineStr">
        <is>
          <t>5005</t>
        </is>
      </c>
      <c r="C69" s="12" t="inlineStr">
        <is>
          <t>7897917003285</t>
        </is>
      </c>
      <c r="D69" s="7" t="inlineStr">
        <is>
          <t>OMOPREL 40MG CX 56 CAP</t>
        </is>
      </c>
      <c r="E69" s="13" t="n">
        <v>1</v>
      </c>
      <c r="F69" s="13" t="n">
        <v>8</v>
      </c>
      <c r="G69" s="13" t="n">
        <v>8</v>
      </c>
      <c r="H69" s="8" t="n">
        <v>15.01</v>
      </c>
      <c r="I69" s="8">
        <f>G69*H69</f>
        <v/>
      </c>
      <c r="J69" s="8">
        <f>H69/E69</f>
        <v/>
      </c>
      <c r="K69" s="8" t="n">
        <v>9.09</v>
      </c>
      <c r="L69" s="8" t="n">
        <v>9.09</v>
      </c>
      <c r="M69" s="14">
        <f>J69/K69-1</f>
        <v/>
      </c>
      <c r="N69" s="7" t="inlineStr">
        <is>
          <t>ACIMA +65.1%</t>
        </is>
      </c>
      <c r="O69" s="7" t="inlineStr"/>
    </row>
    <row r="70">
      <c r="A70" s="7" t="n">
        <v>493261</v>
      </c>
      <c r="B70" s="7" t="inlineStr">
        <is>
          <t>5096</t>
        </is>
      </c>
      <c r="C70" s="12" t="inlineStr">
        <is>
          <t>7896862923273</t>
        </is>
      </c>
      <c r="D70" s="7" t="inlineStr">
        <is>
          <t>PANTOPRAZOL SODICO SESQUI-HIDRATADO 40MG CX 30 COMP REV</t>
        </is>
      </c>
      <c r="E70" s="13" t="n">
        <v>1</v>
      </c>
      <c r="F70" s="13" t="n">
        <v>10</v>
      </c>
      <c r="G70" s="13" t="n">
        <v>10</v>
      </c>
      <c r="H70" s="8" t="n">
        <v>4.98</v>
      </c>
      <c r="I70" s="8">
        <f>G70*H70</f>
        <v/>
      </c>
      <c r="J70" s="8">
        <f>H70/E70</f>
        <v/>
      </c>
      <c r="K70" s="8" t="n">
        <v>3.99</v>
      </c>
      <c r="L70" s="8" t="n">
        <v>3.99</v>
      </c>
      <c r="M70" s="14">
        <f>J70/K70-1</f>
        <v/>
      </c>
      <c r="N70" s="7" t="inlineStr">
        <is>
          <t>ACIMA +24.8%</t>
        </is>
      </c>
      <c r="O70" s="7" t="inlineStr"/>
    </row>
    <row r="71">
      <c r="A71" s="7" t="n">
        <v>274781</v>
      </c>
      <c r="B71" s="7" t="inlineStr">
        <is>
          <t>5255</t>
        </is>
      </c>
      <c r="C71" s="12" t="inlineStr">
        <is>
          <t>7898100243112</t>
        </is>
      </c>
      <c r="D71" s="7" t="inlineStr">
        <is>
          <t>PHITOSS 7MG/ML XPE FR 100ML PET</t>
        </is>
      </c>
      <c r="E71" s="13" t="n">
        <v>1</v>
      </c>
      <c r="F71" s="13" t="n">
        <v>22</v>
      </c>
      <c r="G71" s="13" t="n">
        <v>22</v>
      </c>
      <c r="H71" s="8" t="n">
        <v>5.67</v>
      </c>
      <c r="I71" s="8">
        <f>G71*H71</f>
        <v/>
      </c>
      <c r="J71" s="8">
        <f>H71/E71</f>
        <v/>
      </c>
      <c r="K71" s="8" t="n">
        <v>5.49</v>
      </c>
      <c r="L71" s="8" t="n">
        <v>5.49</v>
      </c>
      <c r="M71" s="14">
        <f>J71/K71-1</f>
        <v/>
      </c>
      <c r="N71" s="7" t="inlineStr">
        <is>
          <t>ACIMA +3.3%</t>
        </is>
      </c>
      <c r="O71" s="7" t="inlineStr"/>
    </row>
    <row r="72">
      <c r="A72" s="7" t="n">
        <v>485641</v>
      </c>
      <c r="B72" s="7" t="inlineStr">
        <is>
          <t>5333</t>
        </is>
      </c>
      <c r="C72" s="12" t="inlineStr">
        <is>
          <t>7908020503125</t>
        </is>
      </c>
      <c r="D72" s="7" t="inlineStr">
        <is>
          <t>POSLOV 1,5MG CX 1 COMP</t>
        </is>
      </c>
      <c r="E72" s="13" t="n">
        <v>1</v>
      </c>
      <c r="F72" s="13" t="n">
        <v>24</v>
      </c>
      <c r="G72" s="13" t="n">
        <v>24</v>
      </c>
      <c r="H72" s="8" t="n">
        <v>3.03</v>
      </c>
      <c r="I72" s="8">
        <f>G72*H72</f>
        <v/>
      </c>
      <c r="J72" s="8">
        <f>H72/E72</f>
        <v/>
      </c>
      <c r="K72" s="8" t="n">
        <v>1.31</v>
      </c>
      <c r="L72" s="8" t="n">
        <v>1.31</v>
      </c>
      <c r="M72" s="14">
        <f>J72/K72-1</f>
        <v/>
      </c>
      <c r="N72" s="7" t="inlineStr">
        <is>
          <t>ACIMA +131.3%</t>
        </is>
      </c>
      <c r="O72" s="7" t="inlineStr">
        <is>
          <t>conferir emb.</t>
        </is>
      </c>
    </row>
    <row r="73">
      <c r="A73" s="7" t="n">
        <v>393141</v>
      </c>
      <c r="B73" s="7" t="inlineStr">
        <is>
          <t>7499</t>
        </is>
      </c>
      <c r="C73" s="12" t="inlineStr">
        <is>
          <t>7896004755410</t>
        </is>
      </c>
      <c r="D73" s="7" t="inlineStr">
        <is>
          <t>PRAZY 20MG CX 4BL X 7 COMP REV</t>
        </is>
      </c>
      <c r="E73" s="13" t="n">
        <v>1</v>
      </c>
      <c r="F73" s="13" t="n">
        <v>2</v>
      </c>
      <c r="G73" s="13" t="n">
        <v>2</v>
      </c>
      <c r="H73" s="8" t="n">
        <v>7.16</v>
      </c>
      <c r="I73" s="8">
        <f>G73*H73</f>
        <v/>
      </c>
      <c r="J73" s="8">
        <f>H73/E73</f>
        <v/>
      </c>
      <c r="K73" s="8" t="n">
        <v>6.8</v>
      </c>
      <c r="L73" s="8" t="n">
        <v>6.6</v>
      </c>
      <c r="M73" s="14">
        <f>J73/K73-1</f>
        <v/>
      </c>
      <c r="N73" s="7" t="inlineStr">
        <is>
          <t>ACIMA +5.3%</t>
        </is>
      </c>
      <c r="O73" s="7" t="inlineStr"/>
    </row>
    <row r="74">
      <c r="A74" s="7" t="n">
        <v>407941</v>
      </c>
      <c r="B74" s="7" t="inlineStr">
        <is>
          <t>5360</t>
        </is>
      </c>
      <c r="C74" s="12" t="inlineStr">
        <is>
          <t>7898569765439</t>
        </is>
      </c>
      <c r="D74" s="7" t="inlineStr">
        <is>
          <t>PREDNISOLONA 20MG CX 10 COMP</t>
        </is>
      </c>
      <c r="E74" s="13" t="n">
        <v>1</v>
      </c>
      <c r="F74" s="13" t="n">
        <v>1</v>
      </c>
      <c r="G74" s="13" t="n">
        <v>1</v>
      </c>
      <c r="H74" s="8" t="n">
        <v>8.73</v>
      </c>
      <c r="I74" s="8">
        <f>G74*H74</f>
        <v/>
      </c>
      <c r="J74" s="8">
        <f>H74/E74</f>
        <v/>
      </c>
      <c r="K74" s="8" t="n">
        <v>6.82</v>
      </c>
      <c r="L74" s="8" t="n">
        <v>6.82</v>
      </c>
      <c r="M74" s="14">
        <f>J74/K74-1</f>
        <v/>
      </c>
      <c r="N74" s="7" t="inlineStr">
        <is>
          <t>ACIMA +28.0%</t>
        </is>
      </c>
      <c r="O74" s="7" t="inlineStr"/>
    </row>
    <row r="75">
      <c r="A75" s="7" t="n">
        <v>408041</v>
      </c>
      <c r="B75" s="7" t="inlineStr">
        <is>
          <t>5366</t>
        </is>
      </c>
      <c r="C75" s="12" t="inlineStr">
        <is>
          <t>7898569765514</t>
        </is>
      </c>
      <c r="D75" s="7" t="inlineStr">
        <is>
          <t>PREDNISOLONA 40MG CX 7 COMP</t>
        </is>
      </c>
      <c r="E75" s="13" t="n">
        <v>1</v>
      </c>
      <c r="F75" s="13" t="n">
        <v>6</v>
      </c>
      <c r="G75" s="13" t="n">
        <v>6</v>
      </c>
      <c r="H75" s="8" t="n">
        <v>10.4</v>
      </c>
      <c r="I75" s="8">
        <f>G75*H75</f>
        <v/>
      </c>
      <c r="J75" s="8">
        <f>H75/E75</f>
        <v/>
      </c>
      <c r="K75" s="8" t="n">
        <v>9.75</v>
      </c>
      <c r="L75" s="8" t="n">
        <v>9.75</v>
      </c>
      <c r="M75" s="14">
        <f>J75/K75-1</f>
        <v/>
      </c>
      <c r="N75" s="7" t="inlineStr">
        <is>
          <t>ACIMA +6.7%</t>
        </is>
      </c>
      <c r="O75" s="7" t="inlineStr"/>
    </row>
    <row r="76">
      <c r="A76" s="7" t="n">
        <v>657401</v>
      </c>
      <c r="B76" s="7" t="inlineStr">
        <is>
          <t>5477</t>
        </is>
      </c>
      <c r="C76" s="12" t="inlineStr">
        <is>
          <t>7898079002864</t>
        </is>
      </c>
      <c r="D76" s="7" t="inlineStr">
        <is>
          <t>PRES. PRUDENCE AROM MORANGAO C/03</t>
        </is>
      </c>
      <c r="E76" s="13" t="n">
        <v>1</v>
      </c>
      <c r="F76" s="13" t="n">
        <v>1</v>
      </c>
      <c r="G76" s="13" t="n">
        <v>1</v>
      </c>
      <c r="H76" s="8" t="n">
        <v>7.45</v>
      </c>
      <c r="I76" s="8">
        <f>G76*H76</f>
        <v/>
      </c>
      <c r="J76" s="8">
        <f>H76/E76</f>
        <v/>
      </c>
      <c r="K76" s="8" t="n">
        <v>6.64</v>
      </c>
      <c r="L76" s="8" t="n">
        <v>6.64</v>
      </c>
      <c r="M76" s="14">
        <f>J76/K76-1</f>
        <v/>
      </c>
      <c r="N76" s="7" t="inlineStr">
        <is>
          <t>ACIMA +12.2%</t>
        </is>
      </c>
      <c r="O76" s="7" t="inlineStr"/>
    </row>
    <row r="77">
      <c r="A77" s="7" t="n">
        <v>657381</v>
      </c>
      <c r="B77" s="7" t="inlineStr">
        <is>
          <t>5488</t>
        </is>
      </c>
      <c r="C77" s="12" t="inlineStr">
        <is>
          <t>7898079000259</t>
        </is>
      </c>
      <c r="D77" s="7" t="inlineStr">
        <is>
          <t>PRES. PRUDENCE EXT GRANDE ULTR SENS C/03</t>
        </is>
      </c>
      <c r="E77" s="13" t="n">
        <v>1</v>
      </c>
      <c r="F77" s="13" t="n">
        <v>5</v>
      </c>
      <c r="G77" s="13" t="n">
        <v>5</v>
      </c>
      <c r="H77" s="8" t="n">
        <v>7.69</v>
      </c>
      <c r="I77" s="8">
        <f>G77*H77</f>
        <v/>
      </c>
      <c r="J77" s="8">
        <f>H77/E77</f>
        <v/>
      </c>
      <c r="K77" s="8" t="n">
        <v>6.94</v>
      </c>
      <c r="L77" s="8" t="n">
        <v>6.94</v>
      </c>
      <c r="M77" s="14">
        <f>J77/K77-1</f>
        <v/>
      </c>
      <c r="N77" s="7" t="inlineStr">
        <is>
          <t>ACIMA +10.8%</t>
        </is>
      </c>
      <c r="O77" s="7" t="inlineStr"/>
    </row>
    <row r="78">
      <c r="A78" s="7" t="n">
        <v>657361</v>
      </c>
      <c r="B78" s="7" t="inlineStr">
        <is>
          <t>7646</t>
        </is>
      </c>
      <c r="C78" s="12" t="inlineStr">
        <is>
          <t>7898079003168</t>
        </is>
      </c>
      <c r="D78" s="7" t="inlineStr">
        <is>
          <t>PRES. PRUDENCE LUBRIFICADOS LEVE8 PAGUE6</t>
        </is>
      </c>
      <c r="E78" s="13" t="n">
        <v>1</v>
      </c>
      <c r="F78" s="13" t="n">
        <v>7</v>
      </c>
      <c r="G78" s="13" t="n">
        <v>7</v>
      </c>
      <c r="H78" s="8" t="n">
        <v>6.94</v>
      </c>
      <c r="I78" s="8">
        <f>G78*H78</f>
        <v/>
      </c>
      <c r="J78" s="8">
        <f>H78/E78</f>
        <v/>
      </c>
      <c r="K78" s="8" t="n">
        <v>6.88</v>
      </c>
      <c r="L78" s="8" t="n">
        <v>6.67</v>
      </c>
      <c r="M78" s="14">
        <f>J78/K78-1</f>
        <v/>
      </c>
      <c r="N78" s="7" t="inlineStr">
        <is>
          <t>ACIMA +0.9%</t>
        </is>
      </c>
      <c r="O78" s="7" t="inlineStr"/>
    </row>
    <row r="79">
      <c r="A79" s="7" t="n">
        <v>657341</v>
      </c>
      <c r="B79" s="7" t="inlineStr">
        <is>
          <t>5502</t>
        </is>
      </c>
      <c r="C79" s="12" t="inlineStr">
        <is>
          <t>7898079000549</t>
        </is>
      </c>
      <c r="D79" s="7" t="inlineStr">
        <is>
          <t>PRES. PRUDENCE SENSACOES SENS RETAR C/03</t>
        </is>
      </c>
      <c r="E79" s="13" t="n">
        <v>1</v>
      </c>
      <c r="F79" s="13" t="n">
        <v>2</v>
      </c>
      <c r="G79" s="13" t="n">
        <v>2</v>
      </c>
      <c r="H79" s="8" t="n">
        <v>8.859999999999999</v>
      </c>
      <c r="I79" s="8">
        <f>G79*H79</f>
        <v/>
      </c>
      <c r="J79" s="8">
        <f>H79/E79</f>
        <v/>
      </c>
      <c r="K79" s="8" t="n">
        <v>7.89</v>
      </c>
      <c r="L79" s="8" t="n">
        <v>7.89</v>
      </c>
      <c r="M79" s="14">
        <f>J79/K79-1</f>
        <v/>
      </c>
      <c r="N79" s="7" t="inlineStr">
        <is>
          <t>ACIMA +12.3%</t>
        </is>
      </c>
      <c r="O79" s="7" t="inlineStr"/>
    </row>
    <row r="80">
      <c r="A80" s="7" t="n">
        <v>569121</v>
      </c>
      <c r="B80" s="7" t="inlineStr">
        <is>
          <t>5435</t>
        </is>
      </c>
      <c r="C80" s="12" t="inlineStr">
        <is>
          <t>7896007200504</t>
        </is>
      </c>
      <c r="D80" s="7" t="inlineStr">
        <is>
          <t>PRESERV BLOWTEX ELITE C/3UN (BLO)</t>
        </is>
      </c>
      <c r="E80" s="13" t="n">
        <v>1</v>
      </c>
      <c r="F80" s="13" t="n">
        <v>5</v>
      </c>
      <c r="G80" s="13" t="n">
        <v>5</v>
      </c>
      <c r="H80" s="8" t="n">
        <v>1.37</v>
      </c>
      <c r="I80" s="8">
        <f>G80*H80</f>
        <v/>
      </c>
      <c r="J80" s="8">
        <f>H80/E80</f>
        <v/>
      </c>
      <c r="K80" s="8" t="n">
        <v>1.29</v>
      </c>
      <c r="L80" s="8" t="n">
        <v>1.18</v>
      </c>
      <c r="M80" s="14">
        <f>J80/K80-1</f>
        <v/>
      </c>
      <c r="N80" s="7" t="inlineStr">
        <is>
          <t>ACIMA +6.2%</t>
        </is>
      </c>
      <c r="O80" s="7" t="inlineStr"/>
    </row>
    <row r="81">
      <c r="A81" s="7" t="n">
        <v>641761</v>
      </c>
      <c r="B81" s="7" t="inlineStr">
        <is>
          <t>5438</t>
        </is>
      </c>
      <c r="C81" s="12" t="inlineStr">
        <is>
          <t>7896007202003</t>
        </is>
      </c>
      <c r="D81" s="7" t="inlineStr">
        <is>
          <t>PRESERV BLOWTEX LUBRIFICADO L9P6</t>
        </is>
      </c>
      <c r="E81" s="13" t="n">
        <v>1</v>
      </c>
      <c r="F81" s="13" t="n">
        <v>3</v>
      </c>
      <c r="G81" s="13" t="n">
        <v>3</v>
      </c>
      <c r="H81" s="8" t="n">
        <v>8.869999999999999</v>
      </c>
      <c r="I81" s="8">
        <f>G81*H81</f>
        <v/>
      </c>
      <c r="J81" s="8">
        <f>H81/E81</f>
        <v/>
      </c>
      <c r="K81" s="8" t="n">
        <v>8.26</v>
      </c>
      <c r="L81" s="8" t="n">
        <v>7.23</v>
      </c>
      <c r="M81" s="14">
        <f>J81/K81-1</f>
        <v/>
      </c>
      <c r="N81" s="7" t="inlineStr">
        <is>
          <t>ACIMA +7.4%</t>
        </is>
      </c>
      <c r="O81" s="7" t="inlineStr"/>
    </row>
    <row r="82">
      <c r="A82" s="7" t="n">
        <v>579341</v>
      </c>
      <c r="B82" s="7" t="inlineStr">
        <is>
          <t>5428</t>
        </is>
      </c>
      <c r="C82" s="12" t="inlineStr">
        <is>
          <t>7896007200344</t>
        </is>
      </c>
      <c r="D82" s="7" t="inlineStr">
        <is>
          <t>PRESERV BLOWTEX MENTA C/3UN (BLO)</t>
        </is>
      </c>
      <c r="E82" s="13" t="n">
        <v>1</v>
      </c>
      <c r="F82" s="13" t="n">
        <v>2</v>
      </c>
      <c r="G82" s="13" t="n">
        <v>2</v>
      </c>
      <c r="H82" s="8" t="n">
        <v>4.73</v>
      </c>
      <c r="I82" s="8">
        <f>G82*H82</f>
        <v/>
      </c>
      <c r="J82" s="8">
        <f>H82/E82</f>
        <v/>
      </c>
      <c r="K82" s="8" t="n">
        <v>4.33</v>
      </c>
      <c r="L82" s="8" t="n">
        <v>4.33</v>
      </c>
      <c r="M82" s="14">
        <f>J82/K82-1</f>
        <v/>
      </c>
      <c r="N82" s="7" t="inlineStr">
        <is>
          <t>ACIMA +9.2%</t>
        </is>
      </c>
      <c r="O82" s="7" t="inlineStr"/>
    </row>
    <row r="83">
      <c r="A83" s="7" t="n">
        <v>643211</v>
      </c>
      <c r="B83" s="7" t="inlineStr">
        <is>
          <t>5429</t>
        </is>
      </c>
      <c r="C83" s="12" t="inlineStr">
        <is>
          <t>7896007202348</t>
        </is>
      </c>
      <c r="D83" s="7" t="inlineStr">
        <is>
          <t>PRESERV BLOWTEX MENTA L9P6</t>
        </is>
      </c>
      <c r="E83" s="13" t="n">
        <v>1</v>
      </c>
      <c r="F83" s="13" t="n">
        <v>2</v>
      </c>
      <c r="G83" s="13" t="n">
        <v>2</v>
      </c>
      <c r="H83" s="8" t="n">
        <v>9.779999999999999</v>
      </c>
      <c r="I83" s="8">
        <f>G83*H83</f>
        <v/>
      </c>
      <c r="J83" s="8">
        <f>H83/E83</f>
        <v/>
      </c>
      <c r="K83" s="8" t="n">
        <v>7.72</v>
      </c>
      <c r="L83" s="8" t="n">
        <v>7.72</v>
      </c>
      <c r="M83" s="14">
        <f>J83/K83-1</f>
        <v/>
      </c>
      <c r="N83" s="7" t="inlineStr">
        <is>
          <t>ACIMA +26.7%</t>
        </is>
      </c>
      <c r="O83" s="7" t="inlineStr"/>
    </row>
    <row r="84">
      <c r="A84" s="7" t="n">
        <v>632781</v>
      </c>
      <c r="B84" s="7" t="inlineStr">
        <is>
          <t>5449</t>
        </is>
      </c>
      <c r="C84" s="12" t="inlineStr">
        <is>
          <t>7896007202720</t>
        </is>
      </c>
      <c r="D84" s="7" t="inlineStr">
        <is>
          <t>PRESERV BLOWTEX SENS EXTRA FINO 3UN</t>
        </is>
      </c>
      <c r="E84" s="13" t="n">
        <v>1</v>
      </c>
      <c r="F84" s="13" t="n">
        <v>3</v>
      </c>
      <c r="G84" s="13" t="n">
        <v>3</v>
      </c>
      <c r="H84" s="8" t="n">
        <v>8.1</v>
      </c>
      <c r="I84" s="8">
        <f>G84*H84</f>
        <v/>
      </c>
      <c r="J84" s="8">
        <f>H84/E84</f>
        <v/>
      </c>
      <c r="K84" s="8" t="n">
        <v>7.79</v>
      </c>
      <c r="L84" s="8" t="n">
        <v>7.16</v>
      </c>
      <c r="M84" s="14">
        <f>J84/K84-1</f>
        <v/>
      </c>
      <c r="N84" s="7" t="inlineStr">
        <is>
          <t>ACIMA +4.0%</t>
        </is>
      </c>
      <c r="O84" s="7" t="inlineStr"/>
    </row>
    <row r="85">
      <c r="A85" s="7" t="n">
        <v>579381</v>
      </c>
      <c r="B85" s="7" t="inlineStr">
        <is>
          <t>5453</t>
        </is>
      </c>
      <c r="C85" s="12" t="inlineStr">
        <is>
          <t>7896007201358</t>
        </is>
      </c>
      <c r="D85" s="7" t="inlineStr">
        <is>
          <t>PRESERV BLOWTEX SKYN ELITE C/3UN</t>
        </is>
      </c>
      <c r="E85" s="13" t="n">
        <v>1</v>
      </c>
      <c r="F85" s="13" t="n">
        <v>2</v>
      </c>
      <c r="G85" s="13" t="n">
        <v>2</v>
      </c>
      <c r="H85" s="8" t="n">
        <v>11.97</v>
      </c>
      <c r="I85" s="8">
        <f>G85*H85</f>
        <v/>
      </c>
      <c r="J85" s="8">
        <f>H85/E85</f>
        <v/>
      </c>
      <c r="K85" s="8" t="n">
        <v>8.91</v>
      </c>
      <c r="L85" s="8" t="n">
        <v>8.91</v>
      </c>
      <c r="M85" s="14">
        <f>J85/K85-1</f>
        <v/>
      </c>
      <c r="N85" s="7" t="inlineStr">
        <is>
          <t>ACIMA +34.3%</t>
        </is>
      </c>
      <c r="O85" s="7" t="inlineStr"/>
    </row>
    <row r="86">
      <c r="A86" s="7" t="n">
        <v>641781</v>
      </c>
      <c r="B86" s="7" t="inlineStr">
        <is>
          <t>5465</t>
        </is>
      </c>
      <c r="C86" s="12" t="inlineStr">
        <is>
          <t>7896007201297</t>
        </is>
      </c>
      <c r="D86" s="7" t="inlineStr">
        <is>
          <t>PRESERV BLOWTEX SKYN TEXTURIZADO 3UN</t>
        </is>
      </c>
      <c r="E86" s="13" t="n">
        <v>1</v>
      </c>
      <c r="F86" s="13" t="n">
        <v>4</v>
      </c>
      <c r="G86" s="13" t="n">
        <v>4</v>
      </c>
      <c r="H86" s="8" t="n">
        <v>11.97</v>
      </c>
      <c r="I86" s="8">
        <f>G86*H86</f>
        <v/>
      </c>
      <c r="J86" s="8">
        <f>H86/E86</f>
        <v/>
      </c>
      <c r="K86" s="8" t="n">
        <v>11.39</v>
      </c>
      <c r="L86" s="8" t="n">
        <v>10.69</v>
      </c>
      <c r="M86" s="14">
        <f>J86/K86-1</f>
        <v/>
      </c>
      <c r="N86" s="7" t="inlineStr">
        <is>
          <t>ACIMA +5.1%</t>
        </is>
      </c>
      <c r="O86" s="7" t="inlineStr"/>
    </row>
    <row r="87">
      <c r="A87" s="7" t="n">
        <v>579321</v>
      </c>
      <c r="B87" s="7" t="inlineStr">
        <is>
          <t>5427</t>
        </is>
      </c>
      <c r="C87" s="12" t="inlineStr">
        <is>
          <t>7896007200368</t>
        </is>
      </c>
      <c r="D87" s="7" t="inlineStr">
        <is>
          <t>PRESERV BLOWTEX TUTTI-FRUTTI C/3UN (BLO)</t>
        </is>
      </c>
      <c r="E87" s="13" t="n">
        <v>1</v>
      </c>
      <c r="F87" s="13" t="n">
        <v>3</v>
      </c>
      <c r="G87" s="13" t="n">
        <v>3</v>
      </c>
      <c r="H87" s="8" t="n">
        <v>4.98</v>
      </c>
      <c r="I87" s="8">
        <f>G87*H87</f>
        <v/>
      </c>
      <c r="J87" s="8">
        <f>H87/E87</f>
        <v/>
      </c>
      <c r="K87" s="8" t="n">
        <v>4.288</v>
      </c>
      <c r="L87" s="8" t="n">
        <v>4.288</v>
      </c>
      <c r="M87" s="14">
        <f>J87/K87-1</f>
        <v/>
      </c>
      <c r="N87" s="7" t="inlineStr">
        <is>
          <t>ACIMA +16.1%</t>
        </is>
      </c>
      <c r="O87" s="7" t="inlineStr"/>
    </row>
    <row r="88">
      <c r="A88" s="7" t="n">
        <v>595641</v>
      </c>
      <c r="B88" s="7" t="inlineStr">
        <is>
          <t>5495</t>
        </is>
      </c>
      <c r="C88" s="12" t="inlineStr">
        <is>
          <t>7898079006770</t>
        </is>
      </c>
      <c r="D88" s="7" t="inlineStr">
        <is>
          <t>PRESERV PRUDENCE MIX 6X8 OF</t>
        </is>
      </c>
      <c r="E88" s="13" t="n">
        <v>1</v>
      </c>
      <c r="F88" s="13" t="n">
        <v>2</v>
      </c>
      <c r="G88" s="13" t="n">
        <v>2</v>
      </c>
      <c r="H88" s="8" t="n">
        <v>9.81</v>
      </c>
      <c r="I88" s="8">
        <f>G88*H88</f>
        <v/>
      </c>
      <c r="J88" s="8">
        <f>H88/E88</f>
        <v/>
      </c>
      <c r="K88" s="8" t="n">
        <v>8.539999999999999</v>
      </c>
      <c r="L88" s="8" t="n">
        <v>8.539999999999999</v>
      </c>
      <c r="M88" s="14">
        <f>J88/K88-1</f>
        <v/>
      </c>
      <c r="N88" s="7" t="inlineStr">
        <is>
          <t>ACIMA +14.9%</t>
        </is>
      </c>
      <c r="O88" s="7" t="inlineStr"/>
    </row>
    <row r="89">
      <c r="A89" s="7" t="n">
        <v>595621</v>
      </c>
      <c r="B89" s="7" t="inlineStr">
        <is>
          <t>5480</t>
        </is>
      </c>
      <c r="C89" s="12" t="inlineStr">
        <is>
          <t>7898079000358</t>
        </is>
      </c>
      <c r="D89" s="7" t="inlineStr">
        <is>
          <t>PRESERV PRUDENCE T FRUTTI 12UN</t>
        </is>
      </c>
      <c r="E89" s="13" t="n">
        <v>1</v>
      </c>
      <c r="F89" s="13" t="n">
        <v>1</v>
      </c>
      <c r="G89" s="13" t="n">
        <v>1</v>
      </c>
      <c r="H89" s="8" t="n">
        <v>4.18</v>
      </c>
      <c r="I89" s="8">
        <f>G89*H89</f>
        <v/>
      </c>
      <c r="J89" s="8">
        <f>H89/E89</f>
        <v/>
      </c>
      <c r="K89" s="8" t="n">
        <v>5.13</v>
      </c>
      <c r="L89" s="8" t="n">
        <v>4.97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595611</v>
      </c>
      <c r="B90" s="7" t="inlineStr">
        <is>
          <t>5514</t>
        </is>
      </c>
      <c r="C90" s="12" t="inlineStr">
        <is>
          <t>7898079002963</t>
        </is>
      </c>
      <c r="D90" s="7" t="inlineStr">
        <is>
          <t>PRESERV PRUDENCE ULT S 6X8 OF</t>
        </is>
      </c>
      <c r="E90" s="13" t="n">
        <v>1</v>
      </c>
      <c r="F90" s="13" t="n">
        <v>7</v>
      </c>
      <c r="G90" s="13" t="n">
        <v>7</v>
      </c>
      <c r="H90" s="8" t="n">
        <v>10.52</v>
      </c>
      <c r="I90" s="8">
        <f>G90*H90</f>
        <v/>
      </c>
      <c r="J90" s="8">
        <f>H90/E90</f>
        <v/>
      </c>
      <c r="K90" s="8" t="n">
        <v>9.99</v>
      </c>
      <c r="L90" s="8" t="n">
        <v>9.69</v>
      </c>
      <c r="M90" s="14">
        <f>J90/K90-1</f>
        <v/>
      </c>
      <c r="N90" s="7" t="inlineStr">
        <is>
          <t>ACIMA +5.3%</t>
        </is>
      </c>
      <c r="O90" s="7" t="inlineStr"/>
    </row>
    <row r="91">
      <c r="A91" s="7" t="n">
        <v>595601</v>
      </c>
      <c r="B91" s="7" t="inlineStr">
        <is>
          <t>5515</t>
        </is>
      </c>
      <c r="C91" s="12" t="inlineStr">
        <is>
          <t>7898079000136</t>
        </is>
      </c>
      <c r="D91" s="7" t="inlineStr">
        <is>
          <t>PRESERV PRUDENCE ULTRA S 3UN</t>
        </is>
      </c>
      <c r="E91" s="13" t="n">
        <v>1</v>
      </c>
      <c r="F91" s="13" t="n">
        <v>2</v>
      </c>
      <c r="G91" s="13" t="n">
        <v>2</v>
      </c>
      <c r="H91" s="8" t="n">
        <v>6.6</v>
      </c>
      <c r="I91" s="8">
        <f>G91*H91</f>
        <v/>
      </c>
      <c r="J91" s="8">
        <f>H91/E91</f>
        <v/>
      </c>
      <c r="K91" s="8" t="n">
        <v>5.89</v>
      </c>
      <c r="L91" s="8" t="n">
        <v>5.89</v>
      </c>
      <c r="M91" s="14">
        <f>J91/K91-1</f>
        <v/>
      </c>
      <c r="N91" s="7" t="inlineStr">
        <is>
          <t>ACIMA +12.1%</t>
        </is>
      </c>
      <c r="O91" s="7" t="inlineStr"/>
    </row>
    <row r="92">
      <c r="A92" s="7" t="n">
        <v>585221</v>
      </c>
      <c r="B92" s="7" t="inlineStr">
        <is>
          <t>5439</t>
        </is>
      </c>
      <c r="C92" s="12" t="inlineStr">
        <is>
          <t>7896007200313</t>
        </is>
      </c>
      <c r="D92" s="7" t="inlineStr">
        <is>
          <t>PRESERV. BLOWTEX LUB.12X3</t>
        </is>
      </c>
      <c r="E92" s="13" t="n">
        <v>1</v>
      </c>
      <c r="F92" s="13" t="n">
        <v>4</v>
      </c>
      <c r="G92" s="13" t="n">
        <v>4</v>
      </c>
      <c r="H92" s="8" t="n">
        <v>4.23</v>
      </c>
      <c r="I92" s="8">
        <f>G92*H92</f>
        <v/>
      </c>
      <c r="J92" s="8">
        <f>H92/E92</f>
        <v/>
      </c>
      <c r="K92" s="8" t="n">
        <v>4.02</v>
      </c>
      <c r="L92" s="8" t="n">
        <v>3.99</v>
      </c>
      <c r="M92" s="14">
        <f>J92/K92-1</f>
        <v/>
      </c>
      <c r="N92" s="7" t="inlineStr">
        <is>
          <t>ACIMA +5.2%</t>
        </is>
      </c>
      <c r="O92" s="7" t="inlineStr"/>
    </row>
    <row r="93">
      <c r="A93" s="7" t="n">
        <v>585281</v>
      </c>
      <c r="B93" s="7" t="inlineStr">
        <is>
          <t>5498</t>
        </is>
      </c>
      <c r="C93" s="12" t="inlineStr">
        <is>
          <t>7898079000129</t>
        </is>
      </c>
      <c r="D93" s="7" t="inlineStr">
        <is>
          <t>PRESERV. PRUDENCE EF. RETA.12X3</t>
        </is>
      </c>
      <c r="E93" s="13" t="n">
        <v>1</v>
      </c>
      <c r="F93" s="13" t="n">
        <v>1</v>
      </c>
      <c r="G93" s="13" t="n">
        <v>1</v>
      </c>
      <c r="H93" s="8" t="n">
        <v>8.460000000000001</v>
      </c>
      <c r="I93" s="8">
        <f>G93*H93</f>
        <v/>
      </c>
      <c r="J93" s="8">
        <f>H93/E93</f>
        <v/>
      </c>
      <c r="K93" s="8" t="n">
        <v>7.57</v>
      </c>
      <c r="L93" s="8" t="n">
        <v>7.57</v>
      </c>
      <c r="M93" s="14">
        <f>J93/K93-1</f>
        <v/>
      </c>
      <c r="N93" s="7" t="inlineStr">
        <is>
          <t>ACIMA +11.8%</t>
        </is>
      </c>
      <c r="O93" s="7" t="inlineStr"/>
    </row>
    <row r="94">
      <c r="A94" s="7" t="n">
        <v>585321</v>
      </c>
      <c r="B94" s="7" t="inlineStr">
        <is>
          <t>5484</t>
        </is>
      </c>
      <c r="C94" s="12" t="inlineStr">
        <is>
          <t>7898079003021</t>
        </is>
      </c>
      <c r="D94" s="7" t="inlineStr">
        <is>
          <t>PRESERV. PRUDENCE LUB.12X3</t>
        </is>
      </c>
      <c r="E94" s="13" t="n">
        <v>1</v>
      </c>
      <c r="F94" s="13" t="n">
        <v>3</v>
      </c>
      <c r="G94" s="13" t="n">
        <v>3</v>
      </c>
      <c r="H94" s="8" t="n">
        <v>3.93</v>
      </c>
      <c r="I94" s="8">
        <f>G94*H94</f>
        <v/>
      </c>
      <c r="J94" s="8">
        <f>H94/E94</f>
        <v/>
      </c>
      <c r="K94" s="8" t="n">
        <v>3.91</v>
      </c>
      <c r="L94" s="8" t="n">
        <v>3.91</v>
      </c>
      <c r="M94" s="14">
        <f>J94/K94-1</f>
        <v/>
      </c>
      <c r="N94" s="7" t="inlineStr">
        <is>
          <t>ACIMA +0.5%</t>
        </is>
      </c>
      <c r="O94" s="7" t="inlineStr"/>
    </row>
    <row r="95">
      <c r="A95" s="7" t="n">
        <v>585341</v>
      </c>
      <c r="B95" s="7" t="inlineStr">
        <is>
          <t>5476</t>
        </is>
      </c>
      <c r="C95" s="12" t="inlineStr">
        <is>
          <t>7898079000495</t>
        </is>
      </c>
      <c r="D95" s="7" t="inlineStr">
        <is>
          <t>PRESERV. PRUDENCE MELANCIA 12X3</t>
        </is>
      </c>
      <c r="E95" s="13" t="n">
        <v>1</v>
      </c>
      <c r="F95" s="13" t="n">
        <v>7</v>
      </c>
      <c r="G95" s="13" t="n">
        <v>7</v>
      </c>
      <c r="H95" s="8" t="n">
        <v>4.76</v>
      </c>
      <c r="I95" s="8">
        <f>G95*H95</f>
        <v/>
      </c>
      <c r="J95" s="8">
        <f>H95/E95</f>
        <v/>
      </c>
      <c r="K95" s="8" t="n">
        <v>5.5</v>
      </c>
      <c r="L95" s="8" t="n">
        <v>5.5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585361</v>
      </c>
      <c r="B96" s="7" t="inlineStr">
        <is>
          <t>5478</t>
        </is>
      </c>
      <c r="C96" s="12" t="inlineStr">
        <is>
          <t>7898079000303</t>
        </is>
      </c>
      <c r="D96" s="7" t="inlineStr">
        <is>
          <t>PRESERV. PRUDENCE MORANGO 12X3</t>
        </is>
      </c>
      <c r="E96" s="13" t="n">
        <v>1</v>
      </c>
      <c r="F96" s="13" t="n">
        <v>7</v>
      </c>
      <c r="G96" s="13" t="n">
        <v>7</v>
      </c>
      <c r="H96" s="8" t="n">
        <v>5.18</v>
      </c>
      <c r="I96" s="8">
        <f>G96*H96</f>
        <v/>
      </c>
      <c r="J96" s="8">
        <f>H96/E96</f>
        <v/>
      </c>
      <c r="K96" s="8" t="n">
        <v>4.92</v>
      </c>
      <c r="L96" s="8" t="n">
        <v>4.92</v>
      </c>
      <c r="M96" s="14">
        <f>J96/K96-1</f>
        <v/>
      </c>
      <c r="N96" s="7" t="inlineStr">
        <is>
          <t>ACIMA +5.3%</t>
        </is>
      </c>
      <c r="O96" s="7" t="inlineStr"/>
    </row>
    <row r="97">
      <c r="A97" s="7" t="n">
        <v>585381</v>
      </c>
      <c r="B97" s="7" t="inlineStr">
        <is>
          <t>5482</t>
        </is>
      </c>
      <c r="C97" s="12" t="inlineStr">
        <is>
          <t>7898079000327</t>
        </is>
      </c>
      <c r="D97" s="7" t="inlineStr">
        <is>
          <t>PRESERV. PRUDENCE UVA 12X3</t>
        </is>
      </c>
      <c r="E97" s="13" t="n">
        <v>1</v>
      </c>
      <c r="F97" s="13" t="n">
        <v>7</v>
      </c>
      <c r="G97" s="13" t="n">
        <v>7</v>
      </c>
      <c r="H97" s="8" t="n">
        <v>3.8</v>
      </c>
      <c r="I97" s="8">
        <f>G97*H97</f>
        <v/>
      </c>
      <c r="J97" s="8">
        <f>H97/E97</f>
        <v/>
      </c>
      <c r="K97" s="8" t="n">
        <v>5.17</v>
      </c>
      <c r="L97" s="8" t="n">
        <v>5.17</v>
      </c>
      <c r="M97" s="14">
        <f>J97/K97-1</f>
        <v/>
      </c>
      <c r="N97" s="7" t="inlineStr">
        <is>
          <t>OK (≤ menor hist.)</t>
        </is>
      </c>
      <c r="O97" s="7" t="inlineStr"/>
    </row>
    <row r="98">
      <c r="A98" s="7" t="n">
        <v>595631</v>
      </c>
      <c r="B98" s="7" t="inlineStr">
        <is>
          <t>5504</t>
        </is>
      </c>
      <c r="C98" s="12" t="inlineStr">
        <is>
          <t>7898079002499</t>
        </is>
      </c>
      <c r="D98" s="7" t="inlineStr">
        <is>
          <t>PRESERV.PRUDENCE SUPER 03UN</t>
        </is>
      </c>
      <c r="E98" s="13" t="n">
        <v>1</v>
      </c>
      <c r="F98" s="13" t="n">
        <v>4</v>
      </c>
      <c r="G98" s="13" t="n">
        <v>4</v>
      </c>
      <c r="H98" s="8" t="n">
        <v>8.56</v>
      </c>
      <c r="I98" s="8">
        <f>G98*H98</f>
        <v/>
      </c>
      <c r="J98" s="8">
        <f>H98/E98</f>
        <v/>
      </c>
      <c r="K98" s="8" t="n">
        <v>7.63</v>
      </c>
      <c r="L98" s="8" t="n">
        <v>7.63</v>
      </c>
      <c r="M98" s="14">
        <f>J98/K98-1</f>
        <v/>
      </c>
      <c r="N98" s="7" t="inlineStr">
        <is>
          <t>ACIMA +12.2%</t>
        </is>
      </c>
      <c r="O98" s="7" t="inlineStr"/>
    </row>
    <row r="99">
      <c r="A99" s="7" t="n">
        <v>70701</v>
      </c>
      <c r="B99" s="7" t="inlineStr">
        <is>
          <t>2697</t>
        </is>
      </c>
      <c r="C99" s="12" t="inlineStr">
        <is>
          <t>7897917001380</t>
        </is>
      </c>
      <c r="D99" s="7" t="inlineStr">
        <is>
          <t>PVV - BELSPAN 333,4+6,67MG SOL OR FR GTS 20ML</t>
        </is>
      </c>
      <c r="E99" s="13" t="n">
        <v>1</v>
      </c>
      <c r="F99" s="13" t="n">
        <v>2</v>
      </c>
      <c r="G99" s="13" t="n">
        <v>2</v>
      </c>
      <c r="H99" s="8" t="n">
        <v>8.449999999999999</v>
      </c>
      <c r="I99" s="8">
        <f>G99*H99</f>
        <v/>
      </c>
      <c r="J99" s="8">
        <f>H99/E99</f>
        <v/>
      </c>
      <c r="K99" s="8" t="n">
        <v>6.15</v>
      </c>
      <c r="L99" s="8" t="n">
        <v>6.15</v>
      </c>
      <c r="M99" s="14">
        <f>J99/K99-1</f>
        <v/>
      </c>
      <c r="N99" s="7" t="inlineStr">
        <is>
          <t>ACIMA +37.4%</t>
        </is>
      </c>
      <c r="O99" s="7" t="inlineStr"/>
    </row>
    <row r="100">
      <c r="A100" s="7" t="n">
        <v>647251</v>
      </c>
      <c r="B100" s="7" t="inlineStr">
        <is>
          <t>6766</t>
        </is>
      </c>
      <c r="C100" s="12" t="inlineStr">
        <is>
          <t>7896023716430</t>
        </is>
      </c>
      <c r="D100" s="7" t="inlineStr">
        <is>
          <t>PVV - VITAMINA C 1G C/30 CPR</t>
        </is>
      </c>
      <c r="E100" s="13" t="n">
        <v>1</v>
      </c>
      <c r="F100" s="13" t="n">
        <v>1</v>
      </c>
      <c r="G100" s="13" t="n">
        <v>1</v>
      </c>
      <c r="H100" s="8" t="n">
        <v>32.49</v>
      </c>
      <c r="I100" s="8">
        <f>G100*H100</f>
        <v/>
      </c>
      <c r="J100" s="8">
        <f>H100/E100</f>
        <v/>
      </c>
      <c r="K100" s="8" t="n">
        <v>24.6</v>
      </c>
      <c r="L100" s="8" t="n">
        <v>24.6</v>
      </c>
      <c r="M100" s="14">
        <f>J100/K100-1</f>
        <v/>
      </c>
      <c r="N100" s="7" t="inlineStr">
        <is>
          <t>ACIMA +32.1%</t>
        </is>
      </c>
      <c r="O100" s="7" t="inlineStr"/>
    </row>
    <row r="101">
      <c r="A101" s="7" t="n">
        <v>643331</v>
      </c>
      <c r="B101" s="7" t="inlineStr">
        <is>
          <t>3</t>
        </is>
      </c>
      <c r="C101" s="12" t="inlineStr">
        <is>
          <t>7899941202016</t>
        </is>
      </c>
      <c r="D101" s="7" t="inlineStr">
        <is>
          <t>REFIL 100% WHEY MAX TITANIUM BAUNILHA 900G</t>
        </is>
      </c>
      <c r="E101" s="13" t="n">
        <v>1</v>
      </c>
      <c r="F101" s="13" t="n">
        <v>1</v>
      </c>
      <c r="G101" s="13" t="n">
        <v>1</v>
      </c>
      <c r="H101" s="8" t="n">
        <v>145.73</v>
      </c>
      <c r="I101" s="8">
        <f>G101*H101</f>
        <v/>
      </c>
      <c r="J101" s="8">
        <f>H101/E101</f>
        <v/>
      </c>
      <c r="K101" s="8" t="n">
        <v>117.03</v>
      </c>
      <c r="L101" s="8" t="n">
        <v>101.11</v>
      </c>
      <c r="M101" s="14">
        <f>J101/K101-1</f>
        <v/>
      </c>
      <c r="N101" s="7" t="inlineStr">
        <is>
          <t>ACIMA +24.5%</t>
        </is>
      </c>
      <c r="O101" s="7" t="inlineStr"/>
    </row>
    <row r="102">
      <c r="A102" s="7" t="n">
        <v>609371</v>
      </c>
      <c r="B102" s="7" t="inlineStr">
        <is>
          <t>5</t>
        </is>
      </c>
      <c r="C102" s="12" t="inlineStr">
        <is>
          <t>7899941201729</t>
        </is>
      </c>
      <c r="D102" s="7" t="inlineStr">
        <is>
          <t>REFIL 100% WHEY MAX TITANIUM CHOCOLATE 900G</t>
        </is>
      </c>
      <c r="E102" s="13" t="n">
        <v>1</v>
      </c>
      <c r="F102" s="13" t="n">
        <v>1</v>
      </c>
      <c r="G102" s="13" t="n">
        <v>1</v>
      </c>
      <c r="H102" s="8" t="n">
        <v>167.09</v>
      </c>
      <c r="I102" s="8">
        <f>G102*H102</f>
        <v/>
      </c>
      <c r="J102" s="8">
        <f>H102/E102</f>
        <v/>
      </c>
      <c r="K102" s="8" t="n">
        <v>125.03</v>
      </c>
      <c r="L102" s="8" t="n">
        <v>117.03</v>
      </c>
      <c r="M102" s="14">
        <f>J102/K102-1</f>
        <v/>
      </c>
      <c r="N102" s="7" t="inlineStr">
        <is>
          <t>ACIMA +33.6%</t>
        </is>
      </c>
      <c r="O102" s="7" t="inlineStr"/>
    </row>
    <row r="103">
      <c r="A103" s="7" t="n">
        <v>618891</v>
      </c>
      <c r="B103" s="7" t="inlineStr">
        <is>
          <t>8</t>
        </is>
      </c>
      <c r="C103" s="12" t="inlineStr">
        <is>
          <t>7899941202023</t>
        </is>
      </c>
      <c r="D103" s="7" t="inlineStr">
        <is>
          <t>REFIL 100% WHEY MAX TITANIUM COOKIES E CREAM 900G</t>
        </is>
      </c>
      <c r="E103" s="13" t="n">
        <v>1</v>
      </c>
      <c r="F103" s="13" t="n">
        <v>1</v>
      </c>
      <c r="G103" s="13" t="n">
        <v>1</v>
      </c>
      <c r="H103" s="8" t="n">
        <v>169.8</v>
      </c>
      <c r="I103" s="8">
        <f>G103*H103</f>
        <v/>
      </c>
      <c r="J103" s="8">
        <f>H103/E103</f>
        <v/>
      </c>
      <c r="K103" s="8" t="n">
        <v>127.93</v>
      </c>
      <c r="L103" s="8" t="n">
        <v>101.11</v>
      </c>
      <c r="M103" s="14">
        <f>J103/K103-1</f>
        <v/>
      </c>
      <c r="N103" s="7" t="inlineStr">
        <is>
          <t>ACIMA +32.7%</t>
        </is>
      </c>
      <c r="O103" s="7" t="inlineStr"/>
    </row>
    <row r="104">
      <c r="A104" s="7" t="n">
        <v>643321</v>
      </c>
      <c r="B104" s="7" t="inlineStr">
        <is>
          <t>10</t>
        </is>
      </c>
      <c r="C104" s="12" t="inlineStr">
        <is>
          <t>7899941201712</t>
        </is>
      </c>
      <c r="D104" s="7" t="inlineStr">
        <is>
          <t>REFIL 100% WHEY MAX TITANIUM MORANGO  900G</t>
        </is>
      </c>
      <c r="E104" s="13" t="n">
        <v>1</v>
      </c>
      <c r="F104" s="13" t="n">
        <v>2</v>
      </c>
      <c r="G104" s="13" t="n">
        <v>2</v>
      </c>
      <c r="H104" s="8" t="n">
        <v>177.22</v>
      </c>
      <c r="I104" s="8">
        <f>G104*H104</f>
        <v/>
      </c>
      <c r="J104" s="8">
        <f>H104/E104</f>
        <v/>
      </c>
      <c r="K104" s="8" t="n">
        <v>127.93</v>
      </c>
      <c r="L104" s="8" t="n">
        <v>101.11</v>
      </c>
      <c r="M104" s="14">
        <f>J104/K104-1</f>
        <v/>
      </c>
      <c r="N104" s="7" t="inlineStr">
        <is>
          <t>ACIMA +38.5%</t>
        </is>
      </c>
      <c r="O104" s="7" t="inlineStr"/>
    </row>
    <row r="105">
      <c r="A105" s="7" t="n">
        <v>2193</v>
      </c>
      <c r="B105" s="7" t="inlineStr">
        <is>
          <t>5740</t>
        </is>
      </c>
      <c r="C105" s="12" t="inlineStr">
        <is>
          <t>7896902212497</t>
        </is>
      </c>
      <c r="D105" s="7" t="inlineStr">
        <is>
          <t>REPELENTE BABY FARMAX MOSKITOFF 100ML</t>
        </is>
      </c>
      <c r="E105" s="13" t="n">
        <v>1</v>
      </c>
      <c r="F105" s="13" t="n">
        <v>1</v>
      </c>
      <c r="G105" s="13" t="n">
        <v>1</v>
      </c>
      <c r="H105" s="8" t="n">
        <v>16.83</v>
      </c>
      <c r="I105" s="8">
        <f>G105*H105</f>
        <v/>
      </c>
      <c r="J105" s="8">
        <f>H105/E105</f>
        <v/>
      </c>
      <c r="K105" s="8" t="n">
        <v>20.39</v>
      </c>
      <c r="L105" s="8" t="n">
        <v>20.39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315381</v>
      </c>
      <c r="B106" s="7" t="inlineStr">
        <is>
          <t>7505</t>
        </is>
      </c>
      <c r="C106" s="12" t="inlineStr">
        <is>
          <t>7896004715247</t>
        </is>
      </c>
      <c r="D106" s="7" t="inlineStr">
        <is>
          <t>REPOFLOR 100MG FR 12 CAP</t>
        </is>
      </c>
      <c r="E106" s="13" t="n">
        <v>1</v>
      </c>
      <c r="F106" s="13" t="n">
        <v>7</v>
      </c>
      <c r="G106" s="13" t="n">
        <v>7</v>
      </c>
      <c r="H106" s="8" t="n">
        <v>24.67</v>
      </c>
      <c r="I106" s="8">
        <f>G106*H106</f>
        <v/>
      </c>
      <c r="J106" s="8">
        <f>H106/E106</f>
        <v/>
      </c>
      <c r="K106" s="8" t="n">
        <v>22.17</v>
      </c>
      <c r="L106" s="8" t="n">
        <v>14.55</v>
      </c>
      <c r="M106" s="14">
        <f>J106/K106-1</f>
        <v/>
      </c>
      <c r="N106" s="7" t="inlineStr">
        <is>
          <t>ACIMA +11.3%</t>
        </is>
      </c>
      <c r="O106" s="7" t="inlineStr"/>
    </row>
    <row r="107">
      <c r="A107" s="7" t="n">
        <v>315361</v>
      </c>
      <c r="B107" s="7" t="inlineStr">
        <is>
          <t>7507</t>
        </is>
      </c>
      <c r="C107" s="12" t="inlineStr">
        <is>
          <t>7896004720838</t>
        </is>
      </c>
      <c r="D107" s="7" t="inlineStr">
        <is>
          <t>REPOFLOR 200MG FR 6 CAP</t>
        </is>
      </c>
      <c r="E107" s="13" t="n">
        <v>1</v>
      </c>
      <c r="F107" s="13" t="n">
        <v>17</v>
      </c>
      <c r="G107" s="13" t="n">
        <v>17</v>
      </c>
      <c r="H107" s="8" t="n">
        <v>25.07</v>
      </c>
      <c r="I107" s="8">
        <f>G107*H107</f>
        <v/>
      </c>
      <c r="J107" s="8">
        <f>H107/E107</f>
        <v/>
      </c>
      <c r="K107" s="8" t="n">
        <v>21.536</v>
      </c>
      <c r="L107" s="8" t="n">
        <v>14.14</v>
      </c>
      <c r="M107" s="14">
        <f>J107/K107-1</f>
        <v/>
      </c>
      <c r="N107" s="7" t="inlineStr">
        <is>
          <t>ACIMA +16.4%</t>
        </is>
      </c>
      <c r="O107" s="7" t="inlineStr"/>
    </row>
    <row r="108">
      <c r="A108" s="7" t="n">
        <v>619021</v>
      </c>
      <c r="B108" s="7" t="inlineStr">
        <is>
          <t>5959</t>
        </is>
      </c>
      <c r="C108" s="12" t="inlineStr">
        <is>
          <t>7898283813454</t>
        </is>
      </c>
      <c r="D108" s="7" t="inlineStr">
        <is>
          <t>SCALP 23G AZUL</t>
        </is>
      </c>
      <c r="E108" s="13" t="n">
        <v>1</v>
      </c>
      <c r="F108" s="13" t="n">
        <v>2</v>
      </c>
      <c r="G108" s="13" t="n">
        <v>2</v>
      </c>
      <c r="H108" s="8" t="n">
        <v>32.02</v>
      </c>
      <c r="I108" s="8">
        <f>G108*H108</f>
        <v/>
      </c>
      <c r="J108" s="8">
        <f>H108/E108</f>
        <v/>
      </c>
      <c r="K108" s="8" t="n">
        <v>0.7662</v>
      </c>
      <c r="L108" s="8" t="n">
        <v>0.7662</v>
      </c>
      <c r="M108" s="14">
        <f>J108/K108-1</f>
        <v/>
      </c>
      <c r="N108" s="7" t="inlineStr">
        <is>
          <t>ACIMA +4079.1%</t>
        </is>
      </c>
      <c r="O108" s="7" t="inlineStr">
        <is>
          <t>conferir emb.</t>
        </is>
      </c>
    </row>
    <row r="109">
      <c r="A109" s="7" t="n">
        <v>671161</v>
      </c>
      <c r="B109" s="7" t="inlineStr">
        <is>
          <t>8723</t>
        </is>
      </c>
      <c r="C109" s="12" t="inlineStr">
        <is>
          <t>7898706400155</t>
        </is>
      </c>
      <c r="D109" s="7" t="inlineStr">
        <is>
          <t>SERINGA P/ LAVAGEM NASAL 10ML PATATI PAT</t>
        </is>
      </c>
      <c r="E109" s="13" t="n">
        <v>1</v>
      </c>
      <c r="F109" s="13" t="n">
        <v>2</v>
      </c>
      <c r="G109" s="13" t="n">
        <v>2</v>
      </c>
      <c r="H109" s="8" t="n">
        <v>15.6</v>
      </c>
      <c r="I109" s="8">
        <f>G109*H109</f>
        <v/>
      </c>
      <c r="J109" s="8">
        <f>H109/E109</f>
        <v/>
      </c>
      <c r="K109" s="8" t="n">
        <v>14.82</v>
      </c>
      <c r="L109" s="8" t="n">
        <v>14.69</v>
      </c>
      <c r="M109" s="14">
        <f>J109/K109-1</f>
        <v/>
      </c>
      <c r="N109" s="7" t="inlineStr">
        <is>
          <t>ACIMA +5.3%</t>
        </is>
      </c>
      <c r="O109" s="7" t="inlineStr"/>
    </row>
    <row r="110">
      <c r="A110" s="7" t="n">
        <v>671141</v>
      </c>
      <c r="B110" s="7" t="inlineStr">
        <is>
          <t>7601</t>
        </is>
      </c>
      <c r="C110" s="12" t="inlineStr">
        <is>
          <t>7898706401138</t>
        </is>
      </c>
      <c r="D110" s="7" t="inlineStr">
        <is>
          <t>SERINGA P/ LAVAGEM NASAL BABY 5 ML</t>
        </is>
      </c>
      <c r="E110" s="13" t="n">
        <v>1</v>
      </c>
      <c r="F110" s="13" t="n">
        <v>1</v>
      </c>
      <c r="G110" s="13" t="n">
        <v>1</v>
      </c>
      <c r="H110" s="8" t="n">
        <v>18.37</v>
      </c>
      <c r="I110" s="8">
        <f>G110*H110</f>
        <v/>
      </c>
      <c r="J110" s="8">
        <f>H110/E110</f>
        <v/>
      </c>
      <c r="K110" s="8" t="n">
        <v>15.84</v>
      </c>
      <c r="L110" s="8" t="n">
        <v>15.84</v>
      </c>
      <c r="M110" s="14">
        <f>J110/K110-1</f>
        <v/>
      </c>
      <c r="N110" s="7" t="inlineStr">
        <is>
          <t>ACIMA +16.0%</t>
        </is>
      </c>
      <c r="O110" s="7" t="inlineStr"/>
    </row>
    <row r="111">
      <c r="A111" s="7" t="n">
        <v>685901</v>
      </c>
      <c r="B111" s="7" t="inlineStr">
        <is>
          <t>6009</t>
        </is>
      </c>
      <c r="C111" s="12" t="inlineStr">
        <is>
          <t>7898706401930</t>
        </is>
      </c>
      <c r="D111" s="7" t="inlineStr">
        <is>
          <t>SERINGA P/LAVAGEM NASAL LALA JACARE 10ML</t>
        </is>
      </c>
      <c r="E111" s="13" t="n">
        <v>1</v>
      </c>
      <c r="F111" s="13" t="n">
        <v>14</v>
      </c>
      <c r="G111" s="13" t="n">
        <v>14</v>
      </c>
      <c r="H111" s="8" t="n">
        <v>14.17</v>
      </c>
      <c r="I111" s="8">
        <f>G111*H111</f>
        <v/>
      </c>
      <c r="J111" s="8">
        <f>H111/E111</f>
        <v/>
      </c>
      <c r="K111" s="8" t="n">
        <v>14.69</v>
      </c>
      <c r="L111" s="8" t="n">
        <v>13.46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2203</v>
      </c>
      <c r="B112" s="7" t="inlineStr">
        <is>
          <t>8924</t>
        </is>
      </c>
      <c r="C112" s="12" t="inlineStr">
        <is>
          <t>7894164010844</t>
        </is>
      </c>
      <c r="D112" s="7" t="inlineStr">
        <is>
          <t>SIMETICONA 75MG 10ML GTS</t>
        </is>
      </c>
      <c r="E112" s="13" t="n">
        <v>1</v>
      </c>
      <c r="F112" s="13" t="n">
        <v>19</v>
      </c>
      <c r="G112" s="13" t="n">
        <v>19</v>
      </c>
      <c r="H112" s="8" t="n">
        <v>1.57</v>
      </c>
      <c r="I112" s="8">
        <f>G112*H112</f>
        <v/>
      </c>
      <c r="J112" s="8">
        <f>H112/E112</f>
        <v/>
      </c>
      <c r="K112" s="8" t="n">
        <v>1.78</v>
      </c>
      <c r="L112" s="8" t="n">
        <v>1.77</v>
      </c>
      <c r="M112" s="14">
        <f>J112/K112-1</f>
        <v/>
      </c>
      <c r="N112" s="7" t="inlineStr">
        <is>
          <t>OK (≤ menor hist.)</t>
        </is>
      </c>
      <c r="O112" s="7" t="inlineStr"/>
    </row>
    <row r="113">
      <c r="A113" s="7" t="n">
        <v>4963</v>
      </c>
      <c r="B113" s="7" t="inlineStr">
        <is>
          <t>6131</t>
        </is>
      </c>
      <c r="C113" s="12" t="inlineStr">
        <is>
          <t>7894164010899</t>
        </is>
      </c>
      <c r="D113" s="7" t="inlineStr">
        <is>
          <t>SIMETICONA 75MG 15ML GTS</t>
        </is>
      </c>
      <c r="E113" s="13" t="n">
        <v>1</v>
      </c>
      <c r="F113" s="13" t="n">
        <v>1</v>
      </c>
      <c r="G113" s="13" t="n">
        <v>1</v>
      </c>
      <c r="H113" s="8" t="n">
        <v>2.31</v>
      </c>
      <c r="I113" s="8">
        <f>G113*H113</f>
        <v/>
      </c>
      <c r="J113" s="8">
        <f>H113/E113</f>
        <v/>
      </c>
      <c r="K113" s="8" t="n">
        <v>2.28</v>
      </c>
      <c r="L113" s="8" t="n">
        <v>2.28</v>
      </c>
      <c r="M113" s="14">
        <f>J113/K113-1</f>
        <v/>
      </c>
      <c r="N113" s="7" t="inlineStr">
        <is>
          <t>ACIMA +1.3%</t>
        </is>
      </c>
      <c r="O113" s="7" t="inlineStr"/>
    </row>
    <row r="114">
      <c r="A114" s="7" t="n">
        <v>438221</v>
      </c>
      <c r="B114" s="7" t="inlineStr">
        <is>
          <t>6147</t>
        </is>
      </c>
      <c r="C114" s="12" t="inlineStr">
        <is>
          <t>7898060138091</t>
        </is>
      </c>
      <c r="D114" s="7" t="inlineStr">
        <is>
          <t>SINVASMAX 40MG CX 30 COMP REV</t>
        </is>
      </c>
      <c r="E114" s="13" t="n">
        <v>1</v>
      </c>
      <c r="F114" s="13" t="n">
        <v>3</v>
      </c>
      <c r="G114" s="13" t="n">
        <v>3</v>
      </c>
      <c r="H114" s="8" t="n">
        <v>5.46</v>
      </c>
      <c r="I114" s="8">
        <f>G114*H114</f>
        <v/>
      </c>
      <c r="J114" s="8">
        <f>H114/E114</f>
        <v/>
      </c>
      <c r="K114" s="8" t="n">
        <v>5.09</v>
      </c>
      <c r="L114" s="8" t="n">
        <v>5.09</v>
      </c>
      <c r="M114" s="14">
        <f>J114/K114-1</f>
        <v/>
      </c>
      <c r="N114" s="7" t="inlineStr">
        <is>
          <t>ACIMA +7.3%</t>
        </is>
      </c>
      <c r="O114" s="7" t="inlineStr"/>
    </row>
    <row r="115">
      <c r="A115" s="7" t="n">
        <v>651041</v>
      </c>
      <c r="B115" s="7" t="inlineStr">
        <is>
          <t>6471</t>
        </is>
      </c>
      <c r="C115" s="12" t="inlineStr">
        <is>
          <t>7898639694324</t>
        </is>
      </c>
      <c r="D115" s="7" t="inlineStr">
        <is>
          <t>TERMOMETRO DIGITAL CORES SORTIDAS M24</t>
        </is>
      </c>
      <c r="E115" s="13" t="n">
        <v>1</v>
      </c>
      <c r="F115" s="13" t="n">
        <v>5</v>
      </c>
      <c r="G115" s="13" t="n">
        <v>5</v>
      </c>
      <c r="H115" s="8" t="n">
        <v>10.86</v>
      </c>
      <c r="I115" s="8">
        <f>G115*H115</f>
        <v/>
      </c>
      <c r="J115" s="8">
        <f>H115/E115</f>
        <v/>
      </c>
      <c r="K115" s="8" t="n">
        <v>10.32</v>
      </c>
      <c r="L115" s="8" t="n">
        <v>7.9875</v>
      </c>
      <c r="M115" s="14">
        <f>J115/K115-1</f>
        <v/>
      </c>
      <c r="N115" s="7" t="inlineStr">
        <is>
          <t>ACIMA +5.2%</t>
        </is>
      </c>
      <c r="O115" s="7" t="inlineStr"/>
    </row>
    <row r="116">
      <c r="A116" s="7" t="n">
        <v>591661</v>
      </c>
      <c r="B116" s="7" t="inlineStr">
        <is>
          <t>6485</t>
        </is>
      </c>
      <c r="C116" s="12" t="inlineStr">
        <is>
          <t>7898108640609</t>
        </is>
      </c>
      <c r="D116" s="7" t="inlineStr">
        <is>
          <t>TESTE DE GRAVIDEZ CONFIRA</t>
        </is>
      </c>
      <c r="E116" s="13" t="n">
        <v>1</v>
      </c>
      <c r="F116" s="13" t="n">
        <v>22</v>
      </c>
      <c r="G116" s="13" t="n">
        <v>22</v>
      </c>
      <c r="H116" s="8" t="n">
        <v>1.21</v>
      </c>
      <c r="I116" s="8">
        <f>G116*H116</f>
        <v/>
      </c>
      <c r="J116" s="8">
        <f>H116/E116</f>
        <v/>
      </c>
      <c r="K116" s="8" t="n">
        <v>1.15</v>
      </c>
      <c r="L116" s="8" t="n">
        <v>1.15</v>
      </c>
      <c r="M116" s="14">
        <f>J116/K116-1</f>
        <v/>
      </c>
      <c r="N116" s="7" t="inlineStr">
        <is>
          <t>ACIMA +5.2%</t>
        </is>
      </c>
      <c r="O116" s="7" t="inlineStr"/>
    </row>
    <row r="117">
      <c r="A117" s="7" t="n">
        <v>619311</v>
      </c>
      <c r="B117" s="7" t="inlineStr">
        <is>
          <t>6540</t>
        </is>
      </c>
      <c r="C117" s="12" t="inlineStr">
        <is>
          <t>7898601062984</t>
        </is>
      </c>
      <c r="D117" s="7" t="inlineStr">
        <is>
          <t>TIPOIA ORTOPEDICA INF MASC AZUL M KSN058</t>
        </is>
      </c>
      <c r="E117" s="13" t="n">
        <v>1</v>
      </c>
      <c r="F117" s="13" t="n">
        <v>1</v>
      </c>
      <c r="G117" s="13" t="n">
        <v>1</v>
      </c>
      <c r="H117" s="8" t="n">
        <v>52.58</v>
      </c>
      <c r="I117" s="8">
        <f>G117*H117</f>
        <v/>
      </c>
      <c r="J117" s="8">
        <f>H117/E117</f>
        <v/>
      </c>
      <c r="K117" s="8" t="n">
        <v>49.55</v>
      </c>
      <c r="L117" s="8" t="n">
        <v>49.55</v>
      </c>
      <c r="M117" s="14">
        <f>J117/K117-1</f>
        <v/>
      </c>
      <c r="N117" s="7" t="inlineStr">
        <is>
          <t>ACIMA +6.1%</t>
        </is>
      </c>
      <c r="O117" s="7" t="inlineStr"/>
    </row>
    <row r="118">
      <c r="A118" s="7" t="n">
        <v>630641</v>
      </c>
      <c r="B118" s="7" t="inlineStr">
        <is>
          <t>6656</t>
        </is>
      </c>
      <c r="C118" s="12" t="inlineStr">
        <is>
          <t>7894913003738</t>
        </is>
      </c>
      <c r="D118" s="7" t="inlineStr">
        <is>
          <t>UNIQ B12 BAUNILHA C/60 CPR MASTIGAVEL</t>
        </is>
      </c>
      <c r="E118" s="13" t="n">
        <v>1</v>
      </c>
      <c r="F118" s="13" t="n">
        <v>3</v>
      </c>
      <c r="G118" s="13" t="n">
        <v>3</v>
      </c>
      <c r="H118" s="8" t="n">
        <v>19.97</v>
      </c>
      <c r="I118" s="8">
        <f>G118*H118</f>
        <v/>
      </c>
      <c r="J118" s="8">
        <f>H118/E118</f>
        <v/>
      </c>
      <c r="K118" s="8" t="n">
        <v>19.97</v>
      </c>
      <c r="L118" s="8" t="n">
        <v>18.97</v>
      </c>
      <c r="M118" s="14">
        <f>J118/K118-1</f>
        <v/>
      </c>
      <c r="N118" s="7" t="inlineStr">
        <is>
          <t>OK (≤ últ. compra)</t>
        </is>
      </c>
      <c r="O118" s="7" t="inlineStr"/>
    </row>
    <row r="119">
      <c r="A119" s="7" t="n">
        <v>55781</v>
      </c>
      <c r="B119" s="7" t="inlineStr">
        <is>
          <t>2310</t>
        </is>
      </c>
      <c r="C119" s="12" t="inlineStr">
        <is>
          <t>7898495603218</t>
        </is>
      </c>
      <c r="D119" s="7" t="inlineStr">
        <is>
          <t>VENCIDO - DEXTAMINE 2MG+025MG CX 20 COMP</t>
        </is>
      </c>
      <c r="E119" s="13" t="n">
        <v>1</v>
      </c>
      <c r="F119" s="13" t="n">
        <v>1</v>
      </c>
      <c r="G119" s="13" t="n">
        <v>1</v>
      </c>
      <c r="H119" s="8" t="n">
        <v>5.72</v>
      </c>
      <c r="I119" s="8">
        <f>G119*H119</f>
        <v/>
      </c>
      <c r="J119" s="8">
        <f>H119/E119</f>
        <v/>
      </c>
      <c r="K119" s="8" t="n">
        <v>5.43</v>
      </c>
      <c r="L119" s="8" t="n">
        <v>5.43</v>
      </c>
      <c r="M119" s="14">
        <f>J119/K119-1</f>
        <v/>
      </c>
      <c r="N119" s="7" t="inlineStr">
        <is>
          <t>ACIMA +5.3%</t>
        </is>
      </c>
      <c r="O119" s="7" t="inlineStr"/>
    </row>
    <row r="120">
      <c r="A120" s="7" t="n">
        <v>3063</v>
      </c>
      <c r="B120" s="7" t="inlineStr">
        <is>
          <t>6811</t>
        </is>
      </c>
      <c r="C120" s="12" t="inlineStr">
        <is>
          <t>7898687734089</t>
        </is>
      </c>
      <c r="D120" s="7" t="inlineStr">
        <is>
          <t>VITAMINA D3 15000UI CX 4 CAP</t>
        </is>
      </c>
      <c r="E120" s="13" t="n">
        <v>1</v>
      </c>
      <c r="F120" s="13" t="n">
        <v>4</v>
      </c>
      <c r="G120" s="13" t="n">
        <v>4</v>
      </c>
      <c r="H120" s="8" t="n">
        <v>13.35</v>
      </c>
      <c r="I120" s="8">
        <f>G120*H120</f>
        <v/>
      </c>
      <c r="J120" s="8">
        <f>H120/E120</f>
        <v/>
      </c>
      <c r="K120" s="8" t="n">
        <v>14.54</v>
      </c>
      <c r="L120" s="8" t="n">
        <v>10.73</v>
      </c>
      <c r="M120" s="14">
        <f>J120/K120-1</f>
        <v/>
      </c>
      <c r="N120" s="7" t="inlineStr">
        <is>
          <t>OK (≤ últ. compra)</t>
        </is>
      </c>
      <c r="O120" s="7" t="inlineStr"/>
    </row>
    <row r="121">
      <c r="A121" s="7" t="n">
        <v>193261</v>
      </c>
      <c r="B121" s="7" t="inlineStr">
        <is>
          <t>6831</t>
        </is>
      </c>
      <c r="C121" s="12" t="inlineStr">
        <is>
          <t>7898569765194</t>
        </is>
      </c>
      <c r="D121" s="7" t="inlineStr">
        <is>
          <t>VITAMINA D3 50000UI BL 8 CAP</t>
        </is>
      </c>
      <c r="E121" s="13" t="n">
        <v>1</v>
      </c>
      <c r="F121" s="13" t="n">
        <v>1</v>
      </c>
      <c r="G121" s="13" t="n">
        <v>1</v>
      </c>
      <c r="H121" s="8" t="n">
        <v>25.02</v>
      </c>
      <c r="I121" s="8">
        <f>G121*H121</f>
        <v/>
      </c>
      <c r="J121" s="8">
        <f>H121/E121</f>
        <v/>
      </c>
      <c r="K121" s="8" t="n">
        <v>23.77</v>
      </c>
      <c r="L121" s="8" t="n">
        <v>23.77</v>
      </c>
      <c r="M121" s="14">
        <f>J121/K121-1</f>
        <v/>
      </c>
      <c r="N121" s="7" t="inlineStr">
        <is>
          <t>ACIMA +5.3%</t>
        </is>
      </c>
      <c r="O121" s="7" t="inlineStr"/>
    </row>
    <row r="122">
      <c r="A122" s="7" t="n">
        <v>193001</v>
      </c>
      <c r="B122" s="7" t="inlineStr">
        <is>
          <t>6824</t>
        </is>
      </c>
      <c r="C122" s="12" t="inlineStr">
        <is>
          <t>7898569765019</t>
        </is>
      </c>
      <c r="D122" s="7" t="inlineStr">
        <is>
          <t>VITAMINA D3 5000UI CX 30 CAP</t>
        </is>
      </c>
      <c r="E122" s="13" t="n">
        <v>1</v>
      </c>
      <c r="F122" s="13" t="n">
        <v>1</v>
      </c>
      <c r="G122" s="13" t="n">
        <v>1</v>
      </c>
      <c r="H122" s="8" t="n">
        <v>14.04</v>
      </c>
      <c r="I122" s="8">
        <f>G122*H122</f>
        <v/>
      </c>
      <c r="J122" s="8">
        <f>H122/E122</f>
        <v/>
      </c>
      <c r="K122" s="8" t="n">
        <v>13.68</v>
      </c>
      <c r="L122" s="8" t="n">
        <v>13.68</v>
      </c>
      <c r="M122" s="14">
        <f>J122/K122-1</f>
        <v/>
      </c>
      <c r="N122" s="7" t="inlineStr">
        <is>
          <t>ACIMA +2.6%</t>
        </is>
      </c>
      <c r="O122" s="7" t="inlineStr"/>
    </row>
    <row r="123">
      <c r="D123" s="5" t="inlineStr">
        <is>
          <t>TOTAL</t>
        </is>
      </c>
      <c r="I123" s="18">
        <f>SUM(I2:I122)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14">
        <f>J2/K2-1</f>
        <v/>
      </c>
      <c r="N2" s="7" t="inlineStr">
        <is>
          <t>OK (≤ últ. compra)</t>
        </is>
      </c>
      <c r="O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14">
        <f>J5/K5-1</f>
        <v/>
      </c>
      <c r="N5" s="7" t="inlineStr">
        <is>
          <t>ACIMA +7.0%</t>
        </is>
      </c>
      <c r="O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14">
        <f>J6/K6-1</f>
        <v/>
      </c>
      <c r="N6" s="7" t="inlineStr">
        <is>
          <t>OK (≤ últ. compra)</t>
        </is>
      </c>
      <c r="O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14">
        <f>J7/K7-1</f>
        <v/>
      </c>
      <c r="N7" s="7" t="inlineStr">
        <is>
          <t>OK (≤ últ. compra)</t>
        </is>
      </c>
      <c r="O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47321</v>
      </c>
      <c r="B9" s="7" t="inlineStr"/>
      <c r="C9" s="12" t="inlineStr">
        <is>
          <t>7891317412692</t>
        </is>
      </c>
      <c r="D9" s="7" t="inlineStr">
        <is>
          <t>ASTRO 600MG CX 1FA+DIL</t>
        </is>
      </c>
      <c r="E9" s="13" t="n">
        <v>1</v>
      </c>
      <c r="F9" s="13" t="n">
        <v>3</v>
      </c>
      <c r="G9" s="13" t="n">
        <v>3</v>
      </c>
      <c r="H9" s="8" t="n">
        <v>41.97</v>
      </c>
      <c r="I9" s="8">
        <f>G9*H9</f>
        <v/>
      </c>
      <c r="J9" s="8">
        <f>H9/E9</f>
        <v/>
      </c>
      <c r="K9" s="8" t="n">
        <v>38.26</v>
      </c>
      <c r="L9" s="8" t="n">
        <v>38.26</v>
      </c>
      <c r="M9" s="14">
        <f>J9/K9-1</f>
        <v/>
      </c>
      <c r="N9" s="7" t="inlineStr">
        <is>
          <t>ACIMA +9.7%</t>
        </is>
      </c>
      <c r="O9" s="7" t="inlineStr"/>
    </row>
    <row r="10">
      <c r="A10" s="7" t="n">
        <v>3143</v>
      </c>
      <c r="B10" s="7" t="inlineStr"/>
      <c r="C10" s="12" t="inlineStr">
        <is>
          <t>7898031310259</t>
        </is>
      </c>
      <c r="D10" s="7" t="inlineStr">
        <is>
          <t>AZEITE DOCE 30ML</t>
        </is>
      </c>
      <c r="E10" s="13" t="n">
        <v>1</v>
      </c>
      <c r="F10" s="13" t="n">
        <v>1</v>
      </c>
      <c r="G10" s="13" t="n">
        <v>1</v>
      </c>
      <c r="H10" s="8" t="n">
        <v>3.54</v>
      </c>
      <c r="I10" s="8">
        <f>G10*H10</f>
        <v/>
      </c>
      <c r="J10" s="8">
        <f>H10/E10</f>
        <v/>
      </c>
      <c r="K10" s="8" t="n">
        <v>3.54</v>
      </c>
      <c r="L10" s="8" t="n">
        <v>3.54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47221</v>
      </c>
      <c r="B11" s="7" t="inlineStr"/>
      <c r="C11" s="12" t="inlineStr">
        <is>
          <t>7898216365708</t>
        </is>
      </c>
      <c r="D11" s="7" t="inlineStr">
        <is>
          <t>AZITROMICINA DI-HIDRATADA 500MG CX 5 COMP REV</t>
        </is>
      </c>
      <c r="E11" s="13" t="n">
        <v>1</v>
      </c>
      <c r="F11" s="13" t="n">
        <v>18</v>
      </c>
      <c r="G11" s="13" t="n">
        <v>18</v>
      </c>
      <c r="H11" s="8" t="n">
        <v>5.95</v>
      </c>
      <c r="I11" s="8">
        <f>G11*H11</f>
        <v/>
      </c>
      <c r="J11" s="8">
        <f>H11/E11</f>
        <v/>
      </c>
      <c r="K11" s="8" t="n">
        <v>5.78</v>
      </c>
      <c r="L11" s="8" t="n">
        <v>5.78</v>
      </c>
      <c r="M11" s="14">
        <f>J11/K11-1</f>
        <v/>
      </c>
      <c r="N11" s="7" t="inlineStr">
        <is>
          <t>ACIMA +2.9%</t>
        </is>
      </c>
      <c r="O11" s="7" t="inlineStr"/>
    </row>
    <row r="12">
      <c r="A12" s="7" t="n">
        <v>48221</v>
      </c>
      <c r="B12" s="7" t="inlineStr"/>
      <c r="C12" s="12" t="inlineStr">
        <is>
          <t>7898216360123</t>
        </is>
      </c>
      <c r="D12" s="7" t="inlineStr">
        <is>
          <t>AZITROPHAR 500MG CX 3 COM REV</t>
        </is>
      </c>
      <c r="E12" s="13" t="n">
        <v>1</v>
      </c>
      <c r="F12" s="13" t="n">
        <v>3</v>
      </c>
      <c r="G12" s="13" t="n">
        <v>3</v>
      </c>
      <c r="H12" s="8" t="n">
        <v>3.78</v>
      </c>
      <c r="I12" s="8">
        <f>G12*H12</f>
        <v/>
      </c>
      <c r="J12" s="8">
        <f>H12/E12</f>
        <v/>
      </c>
      <c r="K12" s="8" t="n">
        <v>3.63</v>
      </c>
      <c r="L12" s="8" t="n">
        <v>3.63</v>
      </c>
      <c r="M12" s="14">
        <f>J12/K12-1</f>
        <v/>
      </c>
      <c r="N12" s="7" t="inlineStr">
        <is>
          <t>ACIMA +4.1%</t>
        </is>
      </c>
      <c r="O12" s="7" t="inlineStr"/>
    </row>
    <row r="13">
      <c r="A13" s="7" t="n">
        <v>364041</v>
      </c>
      <c r="B13" s="7" t="inlineStr"/>
      <c r="C13" s="12" t="inlineStr">
        <is>
          <t>7891317172749</t>
        </is>
      </c>
      <c r="D13" s="7" t="inlineStr">
        <is>
          <t>AZOX 20MG/ML PO SUS OR FR 100ML+SER DOS</t>
        </is>
      </c>
      <c r="E13" s="13" t="n">
        <v>1</v>
      </c>
      <c r="F13" s="13" t="n">
        <v>1</v>
      </c>
      <c r="G13" s="13" t="n">
        <v>1</v>
      </c>
      <c r="H13" s="8" t="n">
        <v>46.74</v>
      </c>
      <c r="I13" s="8">
        <f>G13*H13</f>
        <v/>
      </c>
      <c r="J13" s="8">
        <f>H13/E13</f>
        <v/>
      </c>
      <c r="K13" s="8" t="n">
        <v>46.74</v>
      </c>
      <c r="L13" s="8" t="n">
        <v>42.955</v>
      </c>
      <c r="M13" s="14">
        <f>J13/K13-1</f>
        <v/>
      </c>
      <c r="N13" s="7" t="inlineStr">
        <is>
          <t>OK (≤ últ. compra)</t>
        </is>
      </c>
      <c r="O13" s="7" t="inlineStr"/>
    </row>
    <row r="14">
      <c r="A14" s="7" t="n">
        <v>645591</v>
      </c>
      <c r="B14" s="7" t="inlineStr"/>
      <c r="C14" s="12" t="inlineStr">
        <is>
          <t>7898040328603</t>
        </is>
      </c>
      <c r="D14" s="7" t="inlineStr">
        <is>
          <t>BACTRIM F CX 10 COMP</t>
        </is>
      </c>
      <c r="E14" s="13" t="n">
        <v>1</v>
      </c>
      <c r="F14" s="13" t="n">
        <v>6</v>
      </c>
      <c r="G14" s="13" t="n">
        <v>6</v>
      </c>
      <c r="H14" s="8" t="n">
        <v>27.55</v>
      </c>
      <c r="I14" s="8">
        <f>G14*H14</f>
        <v/>
      </c>
      <c r="J14" s="8">
        <f>H14/E14</f>
        <v/>
      </c>
      <c r="K14" s="8" t="n">
        <v>27.55</v>
      </c>
      <c r="L14" s="8" t="n">
        <v>24.63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606841</v>
      </c>
      <c r="B15" s="7" t="inlineStr"/>
      <c r="C15" s="12" t="inlineStr">
        <is>
          <t>7896148500259</t>
        </is>
      </c>
      <c r="D15" s="7" t="inlineStr">
        <is>
          <t>BALAS DE FITOMELITO 37G (FIT)</t>
        </is>
      </c>
      <c r="E15" s="13" t="n">
        <v>1</v>
      </c>
      <c r="F15" s="13" t="n">
        <v>11</v>
      </c>
      <c r="G15" s="13" t="n">
        <v>11</v>
      </c>
      <c r="H15" s="8" t="n">
        <v>3.68</v>
      </c>
      <c r="I15" s="8">
        <f>G15*H15</f>
        <v/>
      </c>
      <c r="J15" s="8">
        <f>H15/E15</f>
        <v/>
      </c>
      <c r="K15" s="8" t="n">
        <v>3.68</v>
      </c>
      <c r="L15" s="8" t="n">
        <v>3.68</v>
      </c>
      <c r="M15" s="14">
        <f>J15/K15-1</f>
        <v/>
      </c>
      <c r="N15" s="7" t="inlineStr">
        <is>
          <t>OK (≤ menor hist.)</t>
        </is>
      </c>
      <c r="O15" s="7" t="inlineStr"/>
    </row>
    <row r="16">
      <c r="A16" s="7" t="n">
        <v>596541</v>
      </c>
      <c r="B16" s="7" t="inlineStr"/>
      <c r="C16" s="12" t="inlineStr">
        <is>
          <t>7891317026554</t>
        </is>
      </c>
      <c r="D16" s="7" t="inlineStr">
        <is>
          <t>BEDOZE 5MG/ML SOL INJ 2 AMP X 1ML</t>
        </is>
      </c>
      <c r="E16" s="13" t="n">
        <v>1</v>
      </c>
      <c r="F16" s="13" t="n">
        <v>1</v>
      </c>
      <c r="G16" s="13" t="n">
        <v>1</v>
      </c>
      <c r="H16" s="8" t="n">
        <v>31.9</v>
      </c>
      <c r="I16" s="8">
        <f>G16*H16</f>
        <v/>
      </c>
      <c r="J16" s="8">
        <f>H16/E16</f>
        <v/>
      </c>
      <c r="K16" s="8" t="n">
        <v>32.8</v>
      </c>
      <c r="L16" s="8" t="n">
        <v>30.2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588821</v>
      </c>
      <c r="B17" s="7" t="inlineStr"/>
      <c r="C17" s="12" t="inlineStr">
        <is>
          <t>7891106912167</t>
        </is>
      </c>
      <c r="D17" s="7" t="inlineStr">
        <is>
          <t>BEPANTOL BABY 30+15G</t>
        </is>
      </c>
      <c r="E17" s="13" t="n">
        <v>1</v>
      </c>
      <c r="F17" s="13" t="n">
        <v>13</v>
      </c>
      <c r="G17" s="13" t="n">
        <v>13</v>
      </c>
      <c r="H17" s="8" t="n">
        <v>14.83</v>
      </c>
      <c r="I17" s="8">
        <f>G17*H17</f>
        <v/>
      </c>
      <c r="J17" s="8">
        <f>H17/E17</f>
        <v/>
      </c>
      <c r="K17" s="8" t="n">
        <v>14.36</v>
      </c>
      <c r="L17" s="8" t="n">
        <v>12.9012</v>
      </c>
      <c r="M17" s="14">
        <f>J17/K17-1</f>
        <v/>
      </c>
      <c r="N17" s="7" t="inlineStr">
        <is>
          <t>ACIMA +3.3%</t>
        </is>
      </c>
      <c r="O17" s="7" t="inlineStr"/>
    </row>
    <row r="18">
      <c r="A18" s="7" t="n">
        <v>666671</v>
      </c>
      <c r="B18" s="7" t="inlineStr"/>
      <c r="C18" s="12" t="inlineStr">
        <is>
          <t>7891106914628</t>
        </is>
      </c>
      <c r="D18" s="7" t="inlineStr">
        <is>
          <t>BEPANTOL DERMA REGENERADOR 200ML-DEMAIS PROD</t>
        </is>
      </c>
      <c r="E18" s="13" t="n">
        <v>1</v>
      </c>
      <c r="F18" s="13" t="n">
        <v>1</v>
      </c>
      <c r="G18" s="13" t="n">
        <v>1</v>
      </c>
      <c r="H18" s="8" t="n">
        <v>46.5</v>
      </c>
      <c r="I18" s="8">
        <f>G18*H18</f>
        <v/>
      </c>
      <c r="J18" s="8">
        <f>H18/E18</f>
        <v/>
      </c>
      <c r="K18" s="8" t="n">
        <v>59.3</v>
      </c>
      <c r="L18" s="8" t="n">
        <v>59.3</v>
      </c>
      <c r="M18" s="14">
        <f>J18/K18-1</f>
        <v/>
      </c>
      <c r="N18" s="7" t="inlineStr">
        <is>
          <t>OK (≤ menor hist.)</t>
        </is>
      </c>
      <c r="O18" s="7" t="inlineStr"/>
    </row>
    <row r="19">
      <c r="A19" s="7" t="n">
        <v>666691</v>
      </c>
      <c r="B19" s="7" t="inlineStr"/>
      <c r="C19" s="12" t="inlineStr">
        <is>
          <t>7891106916516</t>
        </is>
      </c>
      <c r="D19" s="7" t="inlineStr">
        <is>
          <t>BEPANTOL TATTOO CR RESTAURA 30G-DEMAIS PROD</t>
        </is>
      </c>
      <c r="E19" s="13" t="n">
        <v>1</v>
      </c>
      <c r="F19" s="13" t="n">
        <v>2</v>
      </c>
      <c r="G19" s="13" t="n">
        <v>2</v>
      </c>
      <c r="H19" s="8" t="n">
        <v>28.44</v>
      </c>
      <c r="I19" s="8">
        <f>G19*H19</f>
        <v/>
      </c>
      <c r="J19" s="8">
        <f>H19/E19</f>
        <v/>
      </c>
      <c r="K19" s="8" t="n">
        <v>26.77</v>
      </c>
      <c r="L19" s="8" t="n">
        <v>22.445</v>
      </c>
      <c r="M19" s="14">
        <f>J19/K19-1</f>
        <v/>
      </c>
      <c r="N19" s="7" t="inlineStr">
        <is>
          <t>ACIMA +6.2%</t>
        </is>
      </c>
      <c r="O19" s="7" t="inlineStr"/>
    </row>
    <row r="20">
      <c r="A20" s="7" t="n">
        <v>31103</v>
      </c>
      <c r="B20" s="7" t="inlineStr"/>
      <c r="C20" s="12" t="inlineStr">
        <is>
          <t>7896714296418</t>
        </is>
      </c>
      <c r="D20" s="7" t="inlineStr">
        <is>
          <t>BETAM+DIPR FOS 5MG/ML C/1APX1ML (NQG)</t>
        </is>
      </c>
      <c r="E20" s="13" t="n">
        <v>1</v>
      </c>
      <c r="F20" s="13" t="n">
        <v>9</v>
      </c>
      <c r="G20" s="13" t="n">
        <v>9</v>
      </c>
      <c r="H20" s="8" t="n">
        <v>5.76</v>
      </c>
      <c r="I20" s="8">
        <f>G20*H20</f>
        <v/>
      </c>
      <c r="J20" s="8">
        <f>H20/E20</f>
        <v/>
      </c>
      <c r="K20" s="8" t="n">
        <v>6.37</v>
      </c>
      <c r="L20" s="8" t="n">
        <v>5.76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254101</v>
      </c>
      <c r="B21" s="7" t="inlineStr"/>
      <c r="C21" s="12" t="inlineStr">
        <is>
          <t>7891317103323</t>
        </is>
      </c>
      <c r="D21" s="7" t="inlineStr">
        <is>
          <t>BETATRINTA 5+2MG/ML SUS INJ AMP X 1ML+SER SIST</t>
        </is>
      </c>
      <c r="E21" s="13" t="n">
        <v>1</v>
      </c>
      <c r="F21" s="13" t="n">
        <v>70</v>
      </c>
      <c r="G21" s="13" t="n">
        <v>70</v>
      </c>
      <c r="H21" s="8" t="n">
        <v>22.91</v>
      </c>
      <c r="I21" s="8">
        <f>G21*H21</f>
        <v/>
      </c>
      <c r="J21" s="8">
        <f>H21/E21</f>
        <v/>
      </c>
      <c r="K21" s="8" t="n">
        <v>22.91</v>
      </c>
      <c r="L21" s="8" t="n">
        <v>20.871</v>
      </c>
      <c r="M21" s="14">
        <f>J21/K21-1</f>
        <v/>
      </c>
      <c r="N21" s="7" t="inlineStr">
        <is>
          <t>OK (≤ últ. compra)</t>
        </is>
      </c>
      <c r="O21" s="7" t="inlineStr"/>
    </row>
    <row r="22">
      <c r="A22" s="7" t="n">
        <v>128081</v>
      </c>
      <c r="B22" s="7" t="inlineStr"/>
      <c r="C22" s="12" t="inlineStr">
        <is>
          <t>7891317478964</t>
        </is>
      </c>
      <c r="D22" s="7" t="inlineStr">
        <is>
          <t>BETINA 24MG CX 30 COMP</t>
        </is>
      </c>
      <c r="E22" s="13" t="n">
        <v>1</v>
      </c>
      <c r="F22" s="13" t="n">
        <v>3</v>
      </c>
      <c r="G22" s="13" t="n">
        <v>3</v>
      </c>
      <c r="H22" s="8" t="n">
        <v>28.76</v>
      </c>
      <c r="I22" s="8">
        <f>G22*H22</f>
        <v/>
      </c>
      <c r="J22" s="8">
        <f>H22/E22</f>
        <v/>
      </c>
      <c r="K22" s="8" t="n">
        <v>29.58</v>
      </c>
      <c r="L22" s="8" t="n">
        <v>26.87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550721</v>
      </c>
      <c r="B23" s="7" t="inlineStr"/>
      <c r="C23" s="12" t="inlineStr">
        <is>
          <t>7891317001964</t>
        </is>
      </c>
      <c r="D23" s="7" t="inlineStr">
        <is>
          <t>BICERTO 150MG CX 10 COMP LIB PROL</t>
        </is>
      </c>
      <c r="E23" s="13" t="n">
        <v>1</v>
      </c>
      <c r="F23" s="13" t="n">
        <v>3</v>
      </c>
      <c r="G23" s="13" t="n">
        <v>3</v>
      </c>
      <c r="H23" s="8" t="n">
        <v>40.07</v>
      </c>
      <c r="I23" s="8">
        <f>G23*H23</f>
        <v/>
      </c>
      <c r="J23" s="8">
        <f>H23/E23</f>
        <v/>
      </c>
      <c r="K23" s="8" t="n">
        <v>41.2</v>
      </c>
      <c r="L23" s="8" t="n">
        <v>36.52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114841</v>
      </c>
      <c r="B24" s="7" t="inlineStr"/>
      <c r="C24" s="12" t="inlineStr">
        <is>
          <t>7892953003527</t>
        </is>
      </c>
      <c r="D24" s="7" t="inlineStr">
        <is>
          <t>BIO-VAGIN 62,5+1,25MG+25.000UI/G CREM VAG BG 40G+10APL</t>
        </is>
      </c>
      <c r="E24" s="13" t="n">
        <v>1</v>
      </c>
      <c r="F24" s="13" t="n">
        <v>1</v>
      </c>
      <c r="G24" s="13" t="n">
        <v>1</v>
      </c>
      <c r="H24" s="8" t="n">
        <v>58.74</v>
      </c>
      <c r="I24" s="8">
        <f>G24*H24</f>
        <v/>
      </c>
      <c r="J24" s="8">
        <f>H24/E24</f>
        <v/>
      </c>
      <c r="K24" s="8" t="n">
        <v>61.69</v>
      </c>
      <c r="L24" s="8" t="n">
        <v>54.79</v>
      </c>
      <c r="M24" s="14">
        <f>J24/K24-1</f>
        <v/>
      </c>
      <c r="N24" s="7" t="inlineStr">
        <is>
          <t>OK (≤ últ. compra)</t>
        </is>
      </c>
      <c r="O24" s="7" t="inlineStr"/>
    </row>
    <row r="25">
      <c r="A25" s="7" t="n">
        <v>210861</v>
      </c>
      <c r="B25" s="7" t="inlineStr"/>
      <c r="C25" s="12" t="inlineStr">
        <is>
          <t>7896658014321</t>
        </is>
      </c>
      <c r="D25" s="7" t="inlineStr">
        <is>
          <t>BIOFENAC 11,6MG/G SOL SER TB 60G</t>
        </is>
      </c>
      <c r="E25" s="13" t="n">
        <v>1</v>
      </c>
      <c r="F25" s="13" t="n">
        <v>6</v>
      </c>
      <c r="G25" s="13" t="n">
        <v>6</v>
      </c>
      <c r="H25" s="8" t="n">
        <v>29.9</v>
      </c>
      <c r="I25" s="8">
        <f>G25*H25</f>
        <v/>
      </c>
      <c r="J25" s="8">
        <f>H25/E25</f>
        <v/>
      </c>
      <c r="K25" s="8" t="n">
        <v>25.4536</v>
      </c>
      <c r="L25" s="8" t="n">
        <v>24.008</v>
      </c>
      <c r="M25" s="14">
        <f>J25/K25-1</f>
        <v/>
      </c>
      <c r="N25" s="7" t="inlineStr">
        <is>
          <t>ACIMA +17.5%</t>
        </is>
      </c>
      <c r="O25" s="7" t="inlineStr"/>
    </row>
    <row r="26">
      <c r="A26" s="7" t="n">
        <v>567441</v>
      </c>
      <c r="B26" s="7" t="inlineStr"/>
      <c r="C26" s="12" t="inlineStr">
        <is>
          <t>7896004774237</t>
        </is>
      </c>
      <c r="D26" s="7" t="inlineStr">
        <is>
          <t>CENEVIT ZINCO 10CP EFERV LARANJA (ACIDO</t>
        </is>
      </c>
      <c r="E26" s="13" t="n">
        <v>1</v>
      </c>
      <c r="F26" s="13" t="n">
        <v>9</v>
      </c>
      <c r="G26" s="13" t="n">
        <v>9</v>
      </c>
      <c r="H26" s="8" t="n">
        <v>5.12</v>
      </c>
      <c r="I26" s="8">
        <f>G26*H26</f>
        <v/>
      </c>
      <c r="J26" s="8">
        <f>H26/E26</f>
        <v/>
      </c>
      <c r="K26" s="8" t="n">
        <v>2.002</v>
      </c>
      <c r="L26" s="8" t="n">
        <v>2.002</v>
      </c>
      <c r="M26" s="14">
        <f>J26/K26-1</f>
        <v/>
      </c>
      <c r="N26" s="7" t="inlineStr">
        <is>
          <t>ACIMA +155.7%</t>
        </is>
      </c>
      <c r="O26" s="7" t="inlineStr">
        <is>
          <t>conferir emb.</t>
        </is>
      </c>
    </row>
    <row r="27">
      <c r="A27" s="7" t="n">
        <v>293601</v>
      </c>
      <c r="B27" s="7" t="inlineStr"/>
      <c r="C27" s="12" t="inlineStr">
        <is>
          <t>7896548140284</t>
        </is>
      </c>
      <c r="D27" s="7" t="inlineStr">
        <is>
          <t>CERUMIN 0,4+140MG SOL OTO FR GTS 8ML</t>
        </is>
      </c>
      <c r="E27" s="13" t="n">
        <v>1</v>
      </c>
      <c r="F27" s="13" t="n">
        <v>19</v>
      </c>
      <c r="G27" s="13" t="n">
        <v>19</v>
      </c>
      <c r="H27" s="8" t="n">
        <v>21.23</v>
      </c>
      <c r="I27" s="8">
        <f>G27*H27</f>
        <v/>
      </c>
      <c r="J27" s="8">
        <f>H27/E27</f>
        <v/>
      </c>
      <c r="K27" s="8" t="n">
        <v>21.23</v>
      </c>
      <c r="L27" s="8" t="n">
        <v>13.7043</v>
      </c>
      <c r="M27" s="14">
        <f>J27/K27-1</f>
        <v/>
      </c>
      <c r="N27" s="7" t="inlineStr">
        <is>
          <t>OK (≤ últ. compra)</t>
        </is>
      </c>
      <c r="O27" s="7" t="inlineStr"/>
    </row>
    <row r="28">
      <c r="A28" s="7" t="n">
        <v>108901</v>
      </c>
      <c r="B28" s="7" t="inlineStr"/>
      <c r="C28" s="12" t="inlineStr">
        <is>
          <t>7898216363445</t>
        </is>
      </c>
      <c r="D28" s="7" t="inlineStr">
        <is>
          <t>CLARITROMICINA 500MG CX 14 COMP REV</t>
        </is>
      </c>
      <c r="E28" s="13" t="n">
        <v>1</v>
      </c>
      <c r="F28" s="13" t="n">
        <v>7</v>
      </c>
      <c r="G28" s="13" t="n">
        <v>7</v>
      </c>
      <c r="H28" s="8" t="n">
        <v>45.57</v>
      </c>
      <c r="I28" s="8">
        <f>G28*H28</f>
        <v/>
      </c>
      <c r="J28" s="8">
        <f>H28/E28</f>
        <v/>
      </c>
      <c r="K28" s="8" t="n">
        <v>64.98999999999999</v>
      </c>
      <c r="L28" s="8" t="n">
        <v>43.94</v>
      </c>
      <c r="M28" s="14">
        <f>J28/K28-1</f>
        <v/>
      </c>
      <c r="N28" s="7" t="inlineStr">
        <is>
          <t>OK (≤ últ. compra)</t>
        </is>
      </c>
      <c r="O28" s="7" t="inlineStr"/>
    </row>
    <row r="29">
      <c r="A29" s="7" t="n">
        <v>152261</v>
      </c>
      <c r="B29" s="7" t="inlineStr"/>
      <c r="C29" s="12" t="inlineStr">
        <is>
          <t>7898216360864</t>
        </is>
      </c>
      <c r="D29" s="7" t="inlineStr">
        <is>
          <t>CLORIDRATO DE LIDOCAINA 20MG/G GELEIA BG 30G</t>
        </is>
      </c>
      <c r="E29" s="13" t="n">
        <v>1</v>
      </c>
      <c r="F29" s="13" t="n">
        <v>1</v>
      </c>
      <c r="G29" s="13" t="n">
        <v>1</v>
      </c>
      <c r="H29" s="8" t="n">
        <v>8.9</v>
      </c>
      <c r="I29" s="8">
        <f>G29*H29</f>
        <v/>
      </c>
      <c r="J29" s="8">
        <f>H29/E29</f>
        <v/>
      </c>
      <c r="K29" s="8" t="n">
        <v>8.93</v>
      </c>
      <c r="L29" s="8" t="n">
        <v>8.77</v>
      </c>
      <c r="M29" s="14">
        <f>J29/K29-1</f>
        <v/>
      </c>
      <c r="N29" s="7" t="inlineStr">
        <is>
          <t>OK (≤ últ. compra)</t>
        </is>
      </c>
      <c r="O29" s="7" t="inlineStr"/>
    </row>
    <row r="30">
      <c r="A30" s="7" t="n">
        <v>171281</v>
      </c>
      <c r="B30" s="7" t="inlineStr"/>
      <c r="C30" s="12" t="inlineStr">
        <is>
          <t>7898216362431</t>
        </is>
      </c>
      <c r="D30" s="7" t="inlineStr">
        <is>
          <t>CLORIDRATO DE PROPANOLOL 40MG CX 30 COMP</t>
        </is>
      </c>
      <c r="E30" s="13" t="n">
        <v>1</v>
      </c>
      <c r="F30" s="13" t="n">
        <v>4</v>
      </c>
      <c r="G30" s="13" t="n">
        <v>4</v>
      </c>
      <c r="H30" s="8" t="n">
        <v>2.21</v>
      </c>
      <c r="I30" s="8">
        <f>G30*H30</f>
        <v/>
      </c>
      <c r="J30" s="8">
        <f>H30/E30</f>
        <v/>
      </c>
      <c r="K30" s="8" t="n">
        <v>2.12</v>
      </c>
      <c r="L30" s="8" t="n">
        <v>2.12</v>
      </c>
      <c r="M30" s="14">
        <f>J30/K30-1</f>
        <v/>
      </c>
      <c r="N30" s="7" t="inlineStr">
        <is>
          <t>ACIMA +4.2%</t>
        </is>
      </c>
      <c r="O30" s="7" t="inlineStr"/>
    </row>
    <row r="31">
      <c r="A31" s="7" t="n">
        <v>135661</v>
      </c>
      <c r="B31" s="7" t="inlineStr"/>
      <c r="C31" s="12" t="inlineStr">
        <is>
          <t>7891158106965</t>
        </is>
      </c>
      <c r="D31" s="7" t="inlineStr">
        <is>
          <t>COBAVITAL 1+4MG 16 COMP</t>
        </is>
      </c>
      <c r="E31" s="13" t="n">
        <v>1</v>
      </c>
      <c r="F31" s="13" t="n">
        <v>8</v>
      </c>
      <c r="G31" s="13" t="n">
        <v>8</v>
      </c>
      <c r="H31" s="8" t="n">
        <v>21.67</v>
      </c>
      <c r="I31" s="8">
        <f>G31*H31</f>
        <v/>
      </c>
      <c r="J31" s="8">
        <f>H31/E31</f>
        <v/>
      </c>
      <c r="K31" s="8" t="n">
        <v>21.67</v>
      </c>
      <c r="L31" s="8" t="n">
        <v>18.21</v>
      </c>
      <c r="M31" s="14">
        <f>J31/K31-1</f>
        <v/>
      </c>
      <c r="N31" s="7" t="inlineStr">
        <is>
          <t>OK (≤ últ. compra)</t>
        </is>
      </c>
      <c r="O31" s="7" t="inlineStr"/>
    </row>
    <row r="32">
      <c r="A32" s="7" t="n">
        <v>6561</v>
      </c>
      <c r="B32" s="7" t="inlineStr"/>
      <c r="C32" s="12" t="inlineStr">
        <is>
          <t>7894916502900</t>
        </is>
      </c>
      <c r="D32" s="7" t="inlineStr">
        <is>
          <t>CONTRACEP SUS INJ 1 FA X 1ML</t>
        </is>
      </c>
      <c r="E32" s="13" t="n">
        <v>1</v>
      </c>
      <c r="F32" s="13" t="n">
        <v>21</v>
      </c>
      <c r="G32" s="13" t="n">
        <v>21</v>
      </c>
      <c r="H32" s="8" t="n">
        <v>23.94</v>
      </c>
      <c r="I32" s="8">
        <f>G32*H32</f>
        <v/>
      </c>
      <c r="J32" s="8">
        <f>H32/E32</f>
        <v/>
      </c>
      <c r="K32" s="8" t="n">
        <v>23.69</v>
      </c>
      <c r="L32" s="8" t="n">
        <v>22.9</v>
      </c>
      <c r="M32" s="14">
        <f>J32/K32-1</f>
        <v/>
      </c>
      <c r="N32" s="7" t="inlineStr">
        <is>
          <t>ACIMA +1.1%</t>
        </is>
      </c>
      <c r="O32" s="7" t="inlineStr"/>
    </row>
    <row r="33">
      <c r="A33" s="7" t="n">
        <v>90721</v>
      </c>
      <c r="B33" s="7" t="inlineStr"/>
      <c r="C33" s="12" t="inlineStr">
        <is>
          <t>7891317137557</t>
        </is>
      </c>
      <c r="D33" s="7" t="inlineStr">
        <is>
          <t>COQUES 200MG CX 10 CAP</t>
        </is>
      </c>
      <c r="E33" s="13" t="n">
        <v>1</v>
      </c>
      <c r="F33" s="13" t="n">
        <v>1</v>
      </c>
      <c r="G33" s="13" t="n">
        <v>1</v>
      </c>
      <c r="H33" s="8" t="n">
        <v>33.84</v>
      </c>
      <c r="I33" s="8">
        <f>G33*H33</f>
        <v/>
      </c>
      <c r="J33" s="8">
        <f>H33/E33</f>
        <v/>
      </c>
      <c r="K33" s="8" t="n">
        <v>34.79</v>
      </c>
      <c r="L33" s="8" t="n">
        <v>30.618</v>
      </c>
      <c r="M33" s="14">
        <f>J33/K33-1</f>
        <v/>
      </c>
      <c r="N33" s="7" t="inlineStr">
        <is>
          <t>OK (≤ últ. compra)</t>
        </is>
      </c>
      <c r="O33" s="7" t="inlineStr"/>
    </row>
    <row r="34">
      <c r="A34" s="7" t="n">
        <v>463461</v>
      </c>
      <c r="B34" s="7" t="inlineStr"/>
      <c r="C34" s="12" t="inlineStr">
        <is>
          <t>7891317136468</t>
        </is>
      </c>
      <c r="D34" s="7" t="inlineStr">
        <is>
          <t>CREVAGIN 30+20MG CREM VAG BG X 40G +7APLIC</t>
        </is>
      </c>
      <c r="E34" s="13" t="n">
        <v>1</v>
      </c>
      <c r="F34" s="13" t="n">
        <v>6</v>
      </c>
      <c r="G34" s="13" t="n">
        <v>6</v>
      </c>
      <c r="H34" s="8" t="n">
        <v>38.8</v>
      </c>
      <c r="I34" s="8">
        <f>G34*H34</f>
        <v/>
      </c>
      <c r="J34" s="8">
        <f>H34/E34</f>
        <v/>
      </c>
      <c r="K34" s="8" t="n">
        <v>38.8</v>
      </c>
      <c r="L34" s="8" t="n">
        <v>35.79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198541</v>
      </c>
      <c r="B35" s="7" t="inlineStr"/>
      <c r="C35" s="12" t="inlineStr">
        <is>
          <t>7897316801390</t>
        </is>
      </c>
      <c r="D35" s="7" t="inlineStr">
        <is>
          <t>CROMOLERG 2% SOL OCUL FR 5ML</t>
        </is>
      </c>
      <c r="E35" s="13" t="n">
        <v>1</v>
      </c>
      <c r="F35" s="13" t="n">
        <v>1</v>
      </c>
      <c r="G35" s="13" t="n">
        <v>1</v>
      </c>
      <c r="H35" s="8" t="n">
        <v>12.15</v>
      </c>
      <c r="I35" s="8">
        <f>G35*H35</f>
        <v/>
      </c>
      <c r="J35" s="8">
        <f>H35/E35</f>
        <v/>
      </c>
      <c r="K35" s="8" t="n">
        <v>11.5633</v>
      </c>
      <c r="L35" s="8" t="n">
        <v>11.5633</v>
      </c>
      <c r="M35" s="14">
        <f>J35/K35-1</f>
        <v/>
      </c>
      <c r="N35" s="7" t="inlineStr">
        <is>
          <t>ACIMA +5.1%</t>
        </is>
      </c>
      <c r="O35" s="7" t="inlineStr"/>
    </row>
    <row r="36">
      <c r="A36" s="7" t="n">
        <v>821</v>
      </c>
      <c r="B36" s="7" t="inlineStr"/>
      <c r="C36" s="12" t="inlineStr">
        <is>
          <t>7893454100661</t>
        </is>
      </c>
      <c r="D36" s="7" t="inlineStr">
        <is>
          <t>DERMOSALIC 30G POM BG</t>
        </is>
      </c>
      <c r="E36" s="13" t="n">
        <v>1</v>
      </c>
      <c r="F36" s="13" t="n">
        <v>14</v>
      </c>
      <c r="G36" s="13" t="n">
        <v>14</v>
      </c>
      <c r="H36" s="8" t="n">
        <v>10.46</v>
      </c>
      <c r="I36" s="8">
        <f>G36*H36</f>
        <v/>
      </c>
      <c r="J36" s="8">
        <f>H36/E36</f>
        <v/>
      </c>
      <c r="K36" s="8" t="n">
        <v>10.36</v>
      </c>
      <c r="L36" s="8" t="n">
        <v>10.36</v>
      </c>
      <c r="M36" s="14">
        <f>J36/K36-1</f>
        <v/>
      </c>
      <c r="N36" s="7" t="inlineStr">
        <is>
          <t>ACIMA +1.0%</t>
        </is>
      </c>
      <c r="O36" s="7" t="inlineStr"/>
    </row>
    <row r="37">
      <c r="A37" s="7" t="n">
        <v>341641</v>
      </c>
      <c r="B37" s="7" t="inlineStr"/>
      <c r="C37" s="12" t="inlineStr">
        <is>
          <t>7891317455569</t>
        </is>
      </c>
      <c r="D37" s="7" t="inlineStr">
        <is>
          <t>DUOMO 2MG CX 30 COMP</t>
        </is>
      </c>
      <c r="E37" s="13" t="n">
        <v>1</v>
      </c>
      <c r="F37" s="13" t="n">
        <v>4</v>
      </c>
      <c r="G37" s="13" t="n">
        <v>4</v>
      </c>
      <c r="H37" s="8" t="n">
        <v>30.95</v>
      </c>
      <c r="I37" s="8">
        <f>G37*H37</f>
        <v/>
      </c>
      <c r="J37" s="8">
        <f>H37/E37</f>
        <v/>
      </c>
      <c r="K37" s="8" t="n">
        <v>30.62</v>
      </c>
      <c r="L37" s="8" t="n">
        <v>28.95</v>
      </c>
      <c r="M37" s="14">
        <f>J37/K37-1</f>
        <v/>
      </c>
      <c r="N37" s="7" t="inlineStr">
        <is>
          <t>ACIMA +1.1%</t>
        </is>
      </c>
      <c r="O37" s="7" t="inlineStr"/>
    </row>
    <row r="38">
      <c r="A38" s="7" t="n">
        <v>15</v>
      </c>
      <c r="B38" s="7" t="inlineStr"/>
      <c r="C38" s="12" t="inlineStr">
        <is>
          <t>7896094903272</t>
        </is>
      </c>
      <c r="D38" s="7" t="inlineStr">
        <is>
          <t>EPOCLER SOL ORAL FLACONETE CAIXA C/ 12</t>
        </is>
      </c>
      <c r="E38" s="13" t="n">
        <v>1</v>
      </c>
      <c r="F38" s="13" t="n">
        <v>100</v>
      </c>
      <c r="G38" s="13" t="n">
        <v>100</v>
      </c>
      <c r="H38" s="8" t="n">
        <v>35.68</v>
      </c>
      <c r="I38" s="8">
        <f>G38*H38</f>
        <v/>
      </c>
      <c r="J38" s="8">
        <f>H38/E38</f>
        <v/>
      </c>
      <c r="K38" s="8" t="n"/>
      <c r="L38" s="8" t="n"/>
      <c r="M38" s="14" t="n"/>
      <c r="N38" s="7" t="inlineStr">
        <is>
          <t>SEM HISTÓRICO</t>
        </is>
      </c>
      <c r="O38" s="7" t="inlineStr"/>
    </row>
    <row r="39">
      <c r="A39" s="7" t="n">
        <v>623691</v>
      </c>
      <c r="B39" s="7" t="inlineStr"/>
      <c r="C39" s="12" t="inlineStr">
        <is>
          <t>7896714274423</t>
        </is>
      </c>
      <c r="D39" s="7" t="inlineStr">
        <is>
          <t>EQUILIBRISSE 420MG CX 10 COMP REV</t>
        </is>
      </c>
      <c r="E39" s="13" t="n">
        <v>1</v>
      </c>
      <c r="F39" s="13" t="n">
        <v>4</v>
      </c>
      <c r="G39" s="13" t="n">
        <v>4</v>
      </c>
      <c r="H39" s="8" t="n">
        <v>9.81</v>
      </c>
      <c r="I39" s="8">
        <f>G39*H39</f>
        <v/>
      </c>
      <c r="J39" s="8">
        <f>H39/E39</f>
        <v/>
      </c>
      <c r="K39" s="8" t="n">
        <v>9.81</v>
      </c>
      <c r="L39" s="8" t="n">
        <v>9.56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355201</v>
      </c>
      <c r="B40" s="7" t="inlineStr"/>
      <c r="C40" s="12" t="inlineStr">
        <is>
          <t>7891106908313</t>
        </is>
      </c>
      <c r="D40" s="7" t="inlineStr">
        <is>
          <t>FLANAX 550 MG COM 2CP(CARTELA)</t>
        </is>
      </c>
      <c r="E40" s="13" t="n">
        <v>1</v>
      </c>
      <c r="F40" s="13" t="n">
        <v>15</v>
      </c>
      <c r="G40" s="13" t="n">
        <v>15</v>
      </c>
      <c r="H40" s="8" t="n">
        <v>56.02</v>
      </c>
      <c r="I40" s="8">
        <f>G40*H40</f>
        <v/>
      </c>
      <c r="J40" s="8">
        <f>H40/E40</f>
        <v/>
      </c>
      <c r="K40" s="8" t="n">
        <v>4.42</v>
      </c>
      <c r="L40" s="8" t="n">
        <v>4.42</v>
      </c>
      <c r="M40" s="14">
        <f>J40/K40-1</f>
        <v/>
      </c>
      <c r="N40" s="7" t="inlineStr">
        <is>
          <t>ACIMA +1167.4%</t>
        </is>
      </c>
      <c r="O40" s="7" t="inlineStr">
        <is>
          <t>conferir emb.</t>
        </is>
      </c>
    </row>
    <row r="41">
      <c r="A41" s="7" t="n">
        <v>582241</v>
      </c>
      <c r="B41" s="7" t="inlineStr"/>
      <c r="C41" s="12" t="inlineStr">
        <is>
          <t>7896637031943</t>
        </is>
      </c>
      <c r="D41" s="7" t="inlineStr">
        <is>
          <t>FLANCOX 600MG CX 14 REV OR</t>
        </is>
      </c>
      <c r="E41" s="13" t="n">
        <v>1</v>
      </c>
      <c r="F41" s="13" t="n">
        <v>21</v>
      </c>
      <c r="G41" s="13" t="n">
        <v>21</v>
      </c>
      <c r="H41" s="8" t="n">
        <v>46.73999999999999</v>
      </c>
      <c r="I41" s="8">
        <f>G41*H41</f>
        <v/>
      </c>
      <c r="J41" s="8">
        <f>H41/E41</f>
        <v/>
      </c>
      <c r="K41" s="8" t="n">
        <v>47.24</v>
      </c>
      <c r="L41" s="8" t="n">
        <v>43.5075</v>
      </c>
      <c r="M41" s="14">
        <f>J41/K41-1</f>
        <v/>
      </c>
      <c r="N41" s="7" t="inlineStr">
        <is>
          <t>OK (≤ últ. compra)</t>
        </is>
      </c>
      <c r="O41" s="7" t="inlineStr"/>
    </row>
    <row r="42">
      <c r="A42" s="7" t="n">
        <v>589581</v>
      </c>
      <c r="B42" s="7" t="inlineStr"/>
      <c r="C42" s="12" t="inlineStr">
        <is>
          <t>7898040329655</t>
        </is>
      </c>
      <c r="D42" s="7" t="inlineStr">
        <is>
          <t>FLORATIL 200MG CX 6 CAP</t>
        </is>
      </c>
      <c r="E42" s="13" t="n">
        <v>1</v>
      </c>
      <c r="F42" s="13" t="n">
        <v>6</v>
      </c>
      <c r="G42" s="13" t="n">
        <v>6</v>
      </c>
      <c r="H42" s="8" t="n">
        <v>36.79</v>
      </c>
      <c r="I42" s="8">
        <f>G42*H42</f>
        <v/>
      </c>
      <c r="J42" s="8">
        <f>H42/E42</f>
        <v/>
      </c>
      <c r="K42" s="8" t="n">
        <v>37.185</v>
      </c>
      <c r="L42" s="8" t="n">
        <v>27.3967</v>
      </c>
      <c r="M42" s="14">
        <f>J42/K42-1</f>
        <v/>
      </c>
      <c r="N42" s="7" t="inlineStr">
        <is>
          <t>OK (≤ últ. compra)</t>
        </is>
      </c>
      <c r="O42" s="7" t="inlineStr"/>
    </row>
    <row r="43">
      <c r="A43" s="7" t="n">
        <v>671851</v>
      </c>
      <c r="B43" s="7" t="inlineStr"/>
      <c r="C43" s="12" t="inlineStr">
        <is>
          <t>7898040329600</t>
        </is>
      </c>
      <c r="D43" s="7" t="inlineStr">
        <is>
          <t>FLORATIL 250MG BL 6 SACHE</t>
        </is>
      </c>
      <c r="E43" s="13" t="n">
        <v>1</v>
      </c>
      <c r="F43" s="13" t="n">
        <v>3</v>
      </c>
      <c r="G43" s="13" t="n">
        <v>3</v>
      </c>
      <c r="H43" s="8" t="n">
        <v>36.79</v>
      </c>
      <c r="I43" s="8">
        <f>G43*H43</f>
        <v/>
      </c>
      <c r="J43" s="8">
        <f>H43/E43</f>
        <v/>
      </c>
      <c r="K43" s="8" t="n">
        <v>36.79</v>
      </c>
      <c r="L43" s="8" t="n">
        <v>30.505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636341</v>
      </c>
      <c r="B44" s="7" t="inlineStr"/>
      <c r="C44" s="12" t="inlineStr">
        <is>
          <t>7891317023331</t>
        </is>
      </c>
      <c r="D44" s="7" t="inlineStr">
        <is>
          <t>FORFIG 200MG CX 20 CAP</t>
        </is>
      </c>
      <c r="E44" s="13" t="n">
        <v>1</v>
      </c>
      <c r="F44" s="13" t="n">
        <v>1</v>
      </c>
      <c r="G44" s="13" t="n">
        <v>1</v>
      </c>
      <c r="H44" s="8" t="n">
        <v>112.26</v>
      </c>
      <c r="I44" s="8">
        <f>G44*H44</f>
        <v/>
      </c>
      <c r="J44" s="8">
        <f>H44/E44</f>
        <v/>
      </c>
      <c r="K44" s="8" t="n">
        <v>115.42</v>
      </c>
      <c r="L44" s="8" t="n">
        <v>102.85</v>
      </c>
      <c r="M44" s="14">
        <f>J44/K44-1</f>
        <v/>
      </c>
      <c r="N44" s="7" t="inlineStr">
        <is>
          <t>OK (≤ últ. compra)</t>
        </is>
      </c>
      <c r="O44" s="7" t="inlineStr"/>
    </row>
    <row r="45">
      <c r="A45" s="7" t="n">
        <v>36003</v>
      </c>
      <c r="B45" s="7" t="inlineStr"/>
      <c r="C45" s="12" t="inlineStr">
        <is>
          <t>7896714296500</t>
        </is>
      </c>
      <c r="D45" s="7" t="inlineStr">
        <is>
          <t>FUROATO DE MOMETASONA 0,5MG/G SPRAY NAS 120 DOSES</t>
        </is>
      </c>
      <c r="E45" s="13" t="n">
        <v>1</v>
      </c>
      <c r="F45" s="13" t="n">
        <v>4</v>
      </c>
      <c r="G45" s="13" t="n">
        <v>4</v>
      </c>
      <c r="H45" s="8" t="n">
        <v>25.01</v>
      </c>
      <c r="I45" s="8">
        <f>G45*H45</f>
        <v/>
      </c>
      <c r="J45" s="8">
        <f>H45/E45</f>
        <v/>
      </c>
      <c r="K45" s="8" t="n">
        <v>25.88</v>
      </c>
      <c r="L45" s="8" t="n">
        <v>25.88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36103</v>
      </c>
      <c r="B46" s="7" t="inlineStr"/>
      <c r="C46" s="12" t="inlineStr">
        <is>
          <t>7896714296494</t>
        </is>
      </c>
      <c r="D46" s="7" t="inlineStr">
        <is>
          <t>FUROATO DE MOMETASONA 0,5MG/G SPRAY NAS 60 DOSES</t>
        </is>
      </c>
      <c r="E46" s="13" t="n">
        <v>1</v>
      </c>
      <c r="F46" s="13" t="n">
        <v>1</v>
      </c>
      <c r="G46" s="13" t="n">
        <v>1</v>
      </c>
      <c r="H46" s="8" t="n">
        <v>17.95</v>
      </c>
      <c r="I46" s="8">
        <f>G46*H46</f>
        <v/>
      </c>
      <c r="J46" s="8">
        <f>H46/E46</f>
        <v/>
      </c>
      <c r="K46" s="8" t="n">
        <v>19.83</v>
      </c>
      <c r="L46" s="8" t="n">
        <v>19.83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660241</v>
      </c>
      <c r="B47" s="7" t="inlineStr"/>
      <c r="C47" s="12" t="inlineStr">
        <is>
          <t>7896862993665</t>
        </is>
      </c>
      <c r="D47" s="7" t="inlineStr">
        <is>
          <t>GASTROGEL TABS MENTA (CARTELA)</t>
        </is>
      </c>
      <c r="E47" s="13" t="n">
        <v>1</v>
      </c>
      <c r="F47" s="13" t="n">
        <v>4</v>
      </c>
      <c r="G47" s="13" t="n">
        <v>4</v>
      </c>
      <c r="H47" s="8" t="n">
        <v>8.460000000000001</v>
      </c>
      <c r="I47" s="8">
        <f>G47*H47</f>
        <v/>
      </c>
      <c r="J47" s="8">
        <f>H47/E47</f>
        <v/>
      </c>
      <c r="K47" s="8" t="n">
        <v>7.99</v>
      </c>
      <c r="L47" s="8" t="n">
        <v>7.99</v>
      </c>
      <c r="M47" s="14">
        <f>J47/K47-1</f>
        <v/>
      </c>
      <c r="N47" s="7" t="inlineStr">
        <is>
          <t>ACIMA +5.9%</t>
        </is>
      </c>
      <c r="O47" s="7" t="inlineStr"/>
    </row>
    <row r="48">
      <c r="A48" s="7" t="n">
        <v>601411</v>
      </c>
      <c r="B48" s="7" t="inlineStr"/>
      <c r="C48" s="12" t="inlineStr">
        <is>
          <t>7899620911833</t>
        </is>
      </c>
      <c r="D48" s="7" t="inlineStr">
        <is>
          <t>GLICENIX (N.S.) 1,37G CX 6 GLICEROL PED</t>
        </is>
      </c>
      <c r="E48" s="13" t="n">
        <v>1</v>
      </c>
      <c r="F48" s="13" t="n">
        <v>5</v>
      </c>
      <c r="G48" s="13" t="n">
        <v>5</v>
      </c>
      <c r="H48" s="8" t="n">
        <v>5.75</v>
      </c>
      <c r="I48" s="8">
        <f>G48*H48</f>
        <v/>
      </c>
      <c r="J48" s="8">
        <f>H48/E48</f>
        <v/>
      </c>
      <c r="K48" s="8" t="n">
        <v>5.68</v>
      </c>
      <c r="L48" s="8" t="n">
        <v>5.68</v>
      </c>
      <c r="M48" s="14">
        <f>J48/K48-1</f>
        <v/>
      </c>
      <c r="N48" s="7" t="inlineStr">
        <is>
          <t>ACIMA +1.2%</t>
        </is>
      </c>
      <c r="O48" s="7" t="inlineStr"/>
    </row>
    <row r="49">
      <c r="A49" s="7" t="n">
        <v>36203</v>
      </c>
      <c r="B49" s="7" t="inlineStr"/>
      <c r="C49" s="12" t="inlineStr">
        <is>
          <t>7896714294520</t>
        </is>
      </c>
      <c r="D49" s="7" t="inlineStr">
        <is>
          <t>GLICLAZIDA 30MG 30 CPR LIB PROL</t>
        </is>
      </c>
      <c r="E49" s="13" t="n">
        <v>1</v>
      </c>
      <c r="F49" s="13" t="n">
        <v>5</v>
      </c>
      <c r="G49" s="13" t="n">
        <v>5</v>
      </c>
      <c r="H49" s="8" t="n">
        <v>7.56</v>
      </c>
      <c r="I49" s="8">
        <f>G49*H49</f>
        <v/>
      </c>
      <c r="J49" s="8">
        <f>H49/E49</f>
        <v/>
      </c>
      <c r="K49" s="8" t="n">
        <v>7.15</v>
      </c>
      <c r="L49" s="8" t="n">
        <v>7.15</v>
      </c>
      <c r="M49" s="14">
        <f>J49/K49-1</f>
        <v/>
      </c>
      <c r="N49" s="7" t="inlineStr">
        <is>
          <t>ACIMA +5.7%</t>
        </is>
      </c>
      <c r="O49" s="7" t="inlineStr"/>
    </row>
    <row r="50">
      <c r="A50" s="7" t="n">
        <v>264141</v>
      </c>
      <c r="B50" s="7" t="inlineStr"/>
      <c r="C50" s="12" t="inlineStr">
        <is>
          <t>7891721026621</t>
        </is>
      </c>
      <c r="D50" s="7" t="inlineStr">
        <is>
          <t>GLUCOVANCE 500+5MG CX 30 COMP REV</t>
        </is>
      </c>
      <c r="E50" s="13" t="n">
        <v>1</v>
      </c>
      <c r="F50" s="13" t="n">
        <v>4</v>
      </c>
      <c r="G50" s="13" t="n">
        <v>4</v>
      </c>
      <c r="H50" s="8" t="n">
        <v>40.76</v>
      </c>
      <c r="I50" s="8">
        <f>G50*H50</f>
        <v/>
      </c>
      <c r="J50" s="8">
        <f>H50/E50</f>
        <v/>
      </c>
      <c r="K50" s="8" t="n">
        <v>42.8067</v>
      </c>
      <c r="L50" s="8" t="n">
        <v>40.76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213481</v>
      </c>
      <c r="B51" s="7" t="inlineStr"/>
      <c r="C51" s="12" t="inlineStr">
        <is>
          <t>7897129301506</t>
        </is>
      </c>
      <c r="D51" s="7" t="inlineStr">
        <is>
          <t>HIXIZINE 2MG/ML SOL OR FR 120ML</t>
        </is>
      </c>
      <c r="E51" s="13" t="n">
        <v>1</v>
      </c>
      <c r="F51" s="13" t="n">
        <v>1</v>
      </c>
      <c r="G51" s="13" t="n">
        <v>1</v>
      </c>
      <c r="H51" s="8" t="n">
        <v>47.38</v>
      </c>
      <c r="I51" s="8">
        <f>G51*H51</f>
        <v/>
      </c>
      <c r="J51" s="8">
        <f>H51/E51</f>
        <v/>
      </c>
      <c r="K51" s="8" t="n">
        <v>47.88</v>
      </c>
      <c r="L51" s="8" t="n">
        <v>43.2</v>
      </c>
      <c r="M51" s="14">
        <f>J51/K51-1</f>
        <v/>
      </c>
      <c r="N51" s="7" t="inlineStr">
        <is>
          <t>OK (≤ últ. compra)</t>
        </is>
      </c>
      <c r="O51" s="7" t="inlineStr"/>
    </row>
    <row r="52">
      <c r="A52" s="7" t="n">
        <v>297621</v>
      </c>
      <c r="B52" s="7" t="inlineStr"/>
      <c r="C52" s="12" t="inlineStr">
        <is>
          <t>7896862960087</t>
        </is>
      </c>
      <c r="D52" s="7" t="inlineStr">
        <is>
          <t>IBUPROFENO 100MG/ML SUS OR FR GTS 20ML</t>
        </is>
      </c>
      <c r="E52" s="13" t="n">
        <v>1</v>
      </c>
      <c r="F52" s="13" t="n">
        <v>9</v>
      </c>
      <c r="G52" s="13" t="n">
        <v>9</v>
      </c>
      <c r="H52" s="8" t="n">
        <v>3.11</v>
      </c>
      <c r="I52" s="8">
        <f>G52*H52</f>
        <v/>
      </c>
      <c r="J52" s="8">
        <f>H52/E52</f>
        <v/>
      </c>
      <c r="K52" s="8" t="n">
        <v>2.64</v>
      </c>
      <c r="L52" s="8" t="n">
        <v>2.64</v>
      </c>
      <c r="M52" s="14">
        <f>J52/K52-1</f>
        <v/>
      </c>
      <c r="N52" s="7" t="inlineStr">
        <is>
          <t>ACIMA +17.8%</t>
        </is>
      </c>
      <c r="O52" s="7" t="inlineStr"/>
    </row>
    <row r="53">
      <c r="A53" s="7" t="n">
        <v>14103</v>
      </c>
      <c r="B53" s="7" t="inlineStr"/>
      <c r="C53" s="12" t="inlineStr">
        <is>
          <t>7899620913202</t>
        </is>
      </c>
      <c r="D53" s="7" t="inlineStr">
        <is>
          <t>KALOSTOP (N.S.) 0,20+0,15ML/ML SOL FR 10ML</t>
        </is>
      </c>
      <c r="E53" s="13" t="n">
        <v>1</v>
      </c>
      <c r="F53" s="13" t="n">
        <v>1</v>
      </c>
      <c r="G53" s="13" t="n">
        <v>1</v>
      </c>
      <c r="H53" s="8" t="n">
        <v>8.640000000000001</v>
      </c>
      <c r="I53" s="8">
        <f>G53*H53</f>
        <v/>
      </c>
      <c r="J53" s="8">
        <f>H53/E53</f>
        <v/>
      </c>
      <c r="K53" s="8" t="n">
        <v>8.41</v>
      </c>
      <c r="L53" s="8" t="n">
        <v>8.359999999999999</v>
      </c>
      <c r="M53" s="14">
        <f>J53/K53-1</f>
        <v/>
      </c>
      <c r="N53" s="7" t="inlineStr">
        <is>
          <t>ACIMA +2.7%</t>
        </is>
      </c>
      <c r="O53" s="7" t="inlineStr"/>
    </row>
    <row r="54">
      <c r="A54" s="7" t="n">
        <v>190241</v>
      </c>
      <c r="B54" s="7" t="inlineStr"/>
      <c r="C54" s="12" t="inlineStr">
        <is>
          <t>7896676427745</t>
        </is>
      </c>
      <c r="D54" s="7" t="inlineStr">
        <is>
          <t>KOLLAGENASE 0,6U/G POM DERM BG 30G+ESP</t>
        </is>
      </c>
      <c r="E54" s="13" t="n">
        <v>1</v>
      </c>
      <c r="F54" s="13" t="n">
        <v>3</v>
      </c>
      <c r="G54" s="13" t="n">
        <v>3</v>
      </c>
      <c r="H54" s="8" t="n">
        <v>54.36</v>
      </c>
      <c r="I54" s="8">
        <f>G54*H54</f>
        <v/>
      </c>
      <c r="J54" s="8">
        <f>H54/E54</f>
        <v/>
      </c>
      <c r="K54" s="8" t="n">
        <v>54.35</v>
      </c>
      <c r="L54" s="8" t="n">
        <v>49.1033</v>
      </c>
      <c r="M54" s="14">
        <f>J54/K54-1</f>
        <v/>
      </c>
      <c r="N54" s="7" t="inlineStr">
        <is>
          <t>ACIMA +0.0%</t>
        </is>
      </c>
      <c r="O54" s="7" t="inlineStr"/>
    </row>
    <row r="55">
      <c r="A55" s="7" t="n">
        <v>114101</v>
      </c>
      <c r="B55" s="7" t="inlineStr"/>
      <c r="C55" s="12" t="inlineStr">
        <is>
          <t>7896676427844</t>
        </is>
      </c>
      <c r="D55" s="7" t="inlineStr">
        <is>
          <t>KOLLAGENASE+CLORANFENICOL 0,6U/G+0,01G/G POM DERM BG 15G+ESP</t>
        </is>
      </c>
      <c r="E55" s="13" t="n">
        <v>1</v>
      </c>
      <c r="F55" s="13" t="n">
        <v>7</v>
      </c>
      <c r="G55" s="13" t="n">
        <v>7</v>
      </c>
      <c r="H55" s="8" t="n">
        <v>27.55</v>
      </c>
      <c r="I55" s="8">
        <f>G55*H55</f>
        <v/>
      </c>
      <c r="J55" s="8">
        <f>H55/E55</f>
        <v/>
      </c>
      <c r="K55" s="8" t="n">
        <v>29.24</v>
      </c>
      <c r="L55" s="8" t="n">
        <v>25.52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152141</v>
      </c>
      <c r="B56" s="7" t="inlineStr"/>
      <c r="C56" s="12" t="inlineStr">
        <is>
          <t>7898216361403</t>
        </is>
      </c>
      <c r="D56" s="7" t="inlineStr">
        <is>
          <t>LABCAINA 50MG POM DERM BG 25G</t>
        </is>
      </c>
      <c r="E56" s="13" t="n">
        <v>1</v>
      </c>
      <c r="F56" s="13" t="n">
        <v>3</v>
      </c>
      <c r="G56" s="13" t="n">
        <v>3</v>
      </c>
      <c r="H56" s="8" t="n">
        <v>8.74</v>
      </c>
      <c r="I56" s="8">
        <f>G56*H56</f>
        <v/>
      </c>
      <c r="J56" s="8">
        <f>H56/E56</f>
        <v/>
      </c>
      <c r="K56" s="8" t="n">
        <v>7.21</v>
      </c>
      <c r="L56" s="8" t="n">
        <v>7.21</v>
      </c>
      <c r="M56" s="14">
        <f>J56/K56-1</f>
        <v/>
      </c>
      <c r="N56" s="7" t="inlineStr">
        <is>
          <t>ACIMA +21.2%</t>
        </is>
      </c>
      <c r="O56" s="7" t="inlineStr"/>
    </row>
    <row r="57">
      <c r="A57" s="7" t="n">
        <v>208201</v>
      </c>
      <c r="B57" s="7" t="inlineStr"/>
      <c r="C57" s="12" t="inlineStr">
        <is>
          <t>7896676432855</t>
        </is>
      </c>
      <c r="D57" s="7" t="inlineStr">
        <is>
          <t>LACRIBELL 1+3MG SOL OFT FR 15ML</t>
        </is>
      </c>
      <c r="E57" s="13" t="n">
        <v>1</v>
      </c>
      <c r="F57" s="13" t="n">
        <v>3</v>
      </c>
      <c r="G57" s="13" t="n">
        <v>3</v>
      </c>
      <c r="H57" s="8" t="n">
        <v>18.59</v>
      </c>
      <c r="I57" s="8">
        <f>G57*H57</f>
        <v/>
      </c>
      <c r="J57" s="8">
        <f>H57/E57</f>
        <v/>
      </c>
      <c r="K57" s="8" t="n">
        <v>19.53</v>
      </c>
      <c r="L57" s="8" t="n">
        <v>17.415</v>
      </c>
      <c r="M57" s="14">
        <f>J57/K57-1</f>
        <v/>
      </c>
      <c r="N57" s="7" t="inlineStr">
        <is>
          <t>OK (≤ últ. compra)</t>
        </is>
      </c>
      <c r="O57" s="7" t="inlineStr"/>
    </row>
    <row r="58">
      <c r="A58" s="7" t="n">
        <v>549281</v>
      </c>
      <c r="B58" s="7" t="inlineStr"/>
      <c r="C58" s="12" t="inlineStr">
        <is>
          <t>7896004768465</t>
        </is>
      </c>
      <c r="D58" s="7" t="inlineStr">
        <is>
          <t>LACTULIV 667MG/ML 120ML AMEIXA (LACTULOS</t>
        </is>
      </c>
      <c r="E58" s="13" t="n">
        <v>1</v>
      </c>
      <c r="F58" s="13" t="n">
        <v>7</v>
      </c>
      <c r="G58" s="13" t="n">
        <v>7</v>
      </c>
      <c r="H58" s="8" t="n">
        <v>11.33</v>
      </c>
      <c r="I58" s="8">
        <f>G58*H58</f>
        <v/>
      </c>
      <c r="J58" s="8">
        <f>H58/E58</f>
        <v/>
      </c>
      <c r="K58" s="8" t="n">
        <v>13.43</v>
      </c>
      <c r="L58" s="8" t="n">
        <v>12.89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645491</v>
      </c>
      <c r="B59" s="7" t="inlineStr"/>
      <c r="C59" s="12" t="inlineStr">
        <is>
          <t>7896004768472</t>
        </is>
      </c>
      <c r="D59" s="7" t="inlineStr">
        <is>
          <t>LACTULIV 667MG/ML 120ML SAL.FRUTAS (LACT</t>
        </is>
      </c>
      <c r="E59" s="13" t="n">
        <v>1</v>
      </c>
      <c r="F59" s="13" t="n">
        <v>3</v>
      </c>
      <c r="G59" s="13" t="n">
        <v>3</v>
      </c>
      <c r="H59" s="8" t="n">
        <v>11.16</v>
      </c>
      <c r="I59" s="8">
        <f>G59*H59</f>
        <v/>
      </c>
      <c r="J59" s="8">
        <f>H59/E59</f>
        <v/>
      </c>
      <c r="K59" s="8" t="n">
        <v>4.17</v>
      </c>
      <c r="L59" s="8" t="n">
        <v>4.17</v>
      </c>
      <c r="M59" s="14">
        <f>J59/K59-1</f>
        <v/>
      </c>
      <c r="N59" s="7" t="inlineStr">
        <is>
          <t>ACIMA +167.6%</t>
        </is>
      </c>
      <c r="O59" s="7" t="inlineStr">
        <is>
          <t>conferir emb.</t>
        </is>
      </c>
    </row>
    <row r="60">
      <c r="A60" s="7" t="n">
        <v>560241</v>
      </c>
      <c r="B60" s="7" t="inlineStr"/>
      <c r="C60" s="12" t="inlineStr">
        <is>
          <t>7894164008209</t>
        </is>
      </c>
      <c r="D60" s="7" t="inlineStr">
        <is>
          <t>LEFLORA 6 CAP</t>
        </is>
      </c>
      <c r="E60" s="13" t="n">
        <v>1</v>
      </c>
      <c r="F60" s="13" t="n">
        <v>1</v>
      </c>
      <c r="G60" s="13" t="n">
        <v>1</v>
      </c>
      <c r="H60" s="8" t="n">
        <v>8.94</v>
      </c>
      <c r="I60" s="8">
        <f>G60*H60</f>
        <v/>
      </c>
      <c r="J60" s="8">
        <f>H60/E60</f>
        <v/>
      </c>
      <c r="K60" s="8" t="n">
        <v>10.42</v>
      </c>
      <c r="L60" s="8" t="n">
        <v>10.03</v>
      </c>
      <c r="M60" s="14">
        <f>J60/K60-1</f>
        <v/>
      </c>
      <c r="N60" s="7" t="inlineStr">
        <is>
          <t>OK (≤ menor hist.)</t>
        </is>
      </c>
      <c r="O60" s="7" t="inlineStr"/>
    </row>
    <row r="61">
      <c r="A61" s="7" t="n">
        <v>320361</v>
      </c>
      <c r="B61" s="7" t="inlineStr"/>
      <c r="C61" s="12" t="inlineStr">
        <is>
          <t>7896658008849</t>
        </is>
      </c>
      <c r="D61" s="7" t="inlineStr">
        <is>
          <t>LEVOID 112MCG CX 30 COMP</t>
        </is>
      </c>
      <c r="E61" s="13" t="n">
        <v>1</v>
      </c>
      <c r="F61" s="13" t="n">
        <v>1</v>
      </c>
      <c r="G61" s="13" t="n">
        <v>1</v>
      </c>
      <c r="H61" s="8" t="n">
        <v>24.24</v>
      </c>
      <c r="I61" s="8">
        <f>G61*H61</f>
        <v/>
      </c>
      <c r="J61" s="8">
        <f>H61/E61</f>
        <v/>
      </c>
      <c r="K61" s="8" t="n">
        <v>23.94</v>
      </c>
      <c r="L61" s="8" t="n">
        <v>23.94</v>
      </c>
      <c r="M61" s="14">
        <f>J61/K61-1</f>
        <v/>
      </c>
      <c r="N61" s="7" t="inlineStr">
        <is>
          <t>ACIMA +1.3%</t>
        </is>
      </c>
      <c r="O61" s="7" t="inlineStr"/>
    </row>
    <row r="62">
      <c r="A62" s="7" t="n">
        <v>284241</v>
      </c>
      <c r="B62" s="7" t="inlineStr"/>
      <c r="C62" s="12" t="inlineStr">
        <is>
          <t>7896676435658</t>
        </is>
      </c>
      <c r="D62" s="7" t="inlineStr">
        <is>
          <t>LUNAH 1MG /ML SOL OFT FR GOT 10ML</t>
        </is>
      </c>
      <c r="E62" s="13" t="n">
        <v>1</v>
      </c>
      <c r="F62" s="13" t="n">
        <v>4</v>
      </c>
      <c r="G62" s="13" t="n">
        <v>4</v>
      </c>
      <c r="H62" s="8" t="n">
        <v>40.67</v>
      </c>
      <c r="I62" s="8">
        <f>G62*H62</f>
        <v/>
      </c>
      <c r="J62" s="8">
        <f>H62/E62</f>
        <v/>
      </c>
      <c r="K62" s="8" t="n">
        <v>42.72</v>
      </c>
      <c r="L62" s="8" t="n">
        <v>38.0767</v>
      </c>
      <c r="M62" s="14">
        <f>J62/K62-1</f>
        <v/>
      </c>
      <c r="N62" s="7" t="inlineStr">
        <is>
          <t>OK (≤ últ. compra)</t>
        </is>
      </c>
      <c r="O62" s="7" t="inlineStr"/>
    </row>
    <row r="63">
      <c r="A63" s="7" t="n">
        <v>612321</v>
      </c>
      <c r="B63" s="7" t="inlineStr"/>
      <c r="C63" s="12" t="inlineStr">
        <is>
          <t>7894164005734</t>
        </is>
      </c>
      <c r="D63" s="7" t="inlineStr">
        <is>
          <t>MAGMILK HORTELA 80MG/ML 100ML (HIDROXIDO</t>
        </is>
      </c>
      <c r="E63" s="13" t="n">
        <v>1</v>
      </c>
      <c r="F63" s="13" t="n">
        <v>3</v>
      </c>
      <c r="G63" s="13" t="n">
        <v>3</v>
      </c>
      <c r="H63" s="8" t="n">
        <v>4.81</v>
      </c>
      <c r="I63" s="8">
        <f>G63*H63</f>
        <v/>
      </c>
      <c r="J63" s="8">
        <f>H63/E63</f>
        <v/>
      </c>
      <c r="K63" s="8" t="n">
        <v>4.14</v>
      </c>
      <c r="L63" s="8" t="n">
        <v>4.14</v>
      </c>
      <c r="M63" s="14">
        <f>J63/K63-1</f>
        <v/>
      </c>
      <c r="N63" s="7" t="inlineStr">
        <is>
          <t>ACIMA +16.2%</t>
        </is>
      </c>
      <c r="O63" s="7" t="inlineStr"/>
    </row>
    <row r="64">
      <c r="A64" s="7" t="n">
        <v>542681</v>
      </c>
      <c r="B64" s="7" t="inlineStr"/>
      <c r="C64" s="12" t="inlineStr">
        <is>
          <t>7894164005727</t>
        </is>
      </c>
      <c r="D64" s="7" t="inlineStr">
        <is>
          <t>MAGMILK TRADICIONAL 80MG/ML 100ML(ARL)</t>
        </is>
      </c>
      <c r="E64" s="13" t="n">
        <v>1</v>
      </c>
      <c r="F64" s="13" t="n">
        <v>11</v>
      </c>
      <c r="G64" s="13" t="n">
        <v>11</v>
      </c>
      <c r="H64" s="8" t="n">
        <v>4.69</v>
      </c>
      <c r="I64" s="8">
        <f>G64*H64</f>
        <v/>
      </c>
      <c r="J64" s="8">
        <f>H64/E64</f>
        <v/>
      </c>
      <c r="K64" s="8" t="n">
        <v>4.71</v>
      </c>
      <c r="L64" s="8" t="n">
        <v>4.71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337721</v>
      </c>
      <c r="B65" s="7" t="inlineStr"/>
      <c r="C65" s="12" t="inlineStr">
        <is>
          <t>7896637023115</t>
        </is>
      </c>
      <c r="D65" s="7" t="inlineStr">
        <is>
          <t>MECLIN 25MG CX 15 COMP</t>
        </is>
      </c>
      <c r="E65" s="13" t="n">
        <v>1</v>
      </c>
      <c r="F65" s="13" t="n">
        <v>11</v>
      </c>
      <c r="G65" s="13" t="n">
        <v>11</v>
      </c>
      <c r="H65" s="8" t="n">
        <v>21.27</v>
      </c>
      <c r="I65" s="8">
        <f>G65*H65</f>
        <v/>
      </c>
      <c r="J65" s="8">
        <f>H65/E65</f>
        <v/>
      </c>
      <c r="K65" s="8" t="n">
        <v>21.26</v>
      </c>
      <c r="L65" s="8" t="n">
        <v>21.037</v>
      </c>
      <c r="M65" s="14">
        <f>J65/K65-1</f>
        <v/>
      </c>
      <c r="N65" s="7" t="inlineStr">
        <is>
          <t>ACIMA +0.0%</t>
        </is>
      </c>
      <c r="O65" s="7" t="inlineStr"/>
    </row>
    <row r="66">
      <c r="A66" s="7" t="n">
        <v>602931</v>
      </c>
      <c r="B66" s="7" t="inlineStr"/>
      <c r="C66" s="12" t="inlineStr">
        <is>
          <t>7896148500136</t>
        </is>
      </c>
      <c r="D66" s="7" t="inlineStr">
        <is>
          <t>MEL CP EXTRATO PROPOLIS 35ML (FIT)</t>
        </is>
      </c>
      <c r="E66" s="13" t="n">
        <v>1</v>
      </c>
      <c r="F66" s="13" t="n">
        <v>3</v>
      </c>
      <c r="G66" s="13" t="n">
        <v>3</v>
      </c>
      <c r="H66" s="8" t="n">
        <v>11.48</v>
      </c>
      <c r="I66" s="8">
        <f>G66*H66</f>
        <v/>
      </c>
      <c r="J66" s="8">
        <f>H66/E66</f>
        <v/>
      </c>
      <c r="K66" s="8" t="n">
        <v>11.47</v>
      </c>
      <c r="L66" s="8" t="n">
        <v>11.47</v>
      </c>
      <c r="M66" s="14">
        <f>J66/K66-1</f>
        <v/>
      </c>
      <c r="N66" s="7" t="inlineStr">
        <is>
          <t>ACIMA +0.1%</t>
        </is>
      </c>
      <c r="O66" s="7" t="inlineStr"/>
    </row>
    <row r="67">
      <c r="A67" s="7" t="n">
        <v>569961</v>
      </c>
      <c r="B67" s="7" t="inlineStr"/>
      <c r="C67" s="12" t="inlineStr">
        <is>
          <t>7896148500709</t>
        </is>
      </c>
      <c r="D67" s="7" t="inlineStr">
        <is>
          <t>MEL DE ABELHA 70G</t>
        </is>
      </c>
      <c r="E67" s="13" t="n">
        <v>1</v>
      </c>
      <c r="F67" s="13" t="n">
        <v>1</v>
      </c>
      <c r="G67" s="13" t="n">
        <v>1</v>
      </c>
      <c r="H67" s="8" t="n">
        <v>6.76</v>
      </c>
      <c r="I67" s="8">
        <f>G67*H67</f>
        <v/>
      </c>
      <c r="J67" s="8">
        <f>H67/E67</f>
        <v/>
      </c>
      <c r="K67" s="8" t="n">
        <v>6.75</v>
      </c>
      <c r="L67" s="8" t="n">
        <v>6.75</v>
      </c>
      <c r="M67" s="14">
        <f>J67/K67-1</f>
        <v/>
      </c>
      <c r="N67" s="7" t="inlineStr">
        <is>
          <t>ACIMA +0.1%</t>
        </is>
      </c>
      <c r="O67" s="7" t="inlineStr"/>
    </row>
    <row r="68">
      <c r="A68" s="7" t="n">
        <v>665551</v>
      </c>
      <c r="B68" s="7" t="inlineStr"/>
      <c r="C68" s="12" t="inlineStr">
        <is>
          <t>00020800750158</t>
        </is>
      </c>
      <c r="D68" s="7" t="inlineStr">
        <is>
          <t>METAMUCIL SOLUVEL LARANJA 174G-OUTROS</t>
        </is>
      </c>
      <c r="E68" s="13" t="n">
        <v>1</v>
      </c>
      <c r="F68" s="13" t="n">
        <v>1</v>
      </c>
      <c r="G68" s="13" t="n">
        <v>1</v>
      </c>
      <c r="H68" s="8" t="n">
        <v>102</v>
      </c>
      <c r="I68" s="8">
        <f>G68*H68</f>
        <v/>
      </c>
      <c r="J68" s="8">
        <f>H68/E68</f>
        <v/>
      </c>
      <c r="K68" s="8" t="n">
        <v>101.27</v>
      </c>
      <c r="L68" s="8" t="n">
        <v>82.09</v>
      </c>
      <c r="M68" s="14">
        <f>J68/K68-1</f>
        <v/>
      </c>
      <c r="N68" s="7" t="inlineStr">
        <is>
          <t>ACIMA +0.7%</t>
        </is>
      </c>
      <c r="O68" s="7" t="inlineStr"/>
    </row>
    <row r="69">
      <c r="A69" s="7" t="n">
        <v>582261</v>
      </c>
      <c r="B69" s="7" t="inlineStr"/>
      <c r="C69" s="12" t="inlineStr">
        <is>
          <t>7891317015176</t>
        </is>
      </c>
      <c r="D69" s="7" t="inlineStr">
        <is>
          <t>MINILAX 714,0+7,70MG/G SOL RET CAIXA C/ 7</t>
        </is>
      </c>
      <c r="E69" s="13" t="n">
        <v>1</v>
      </c>
      <c r="F69" s="13" t="n">
        <v>6</v>
      </c>
      <c r="G69" s="13" t="n">
        <v>6</v>
      </c>
      <c r="H69" s="8" t="n">
        <v>43.28</v>
      </c>
      <c r="I69" s="8">
        <f>G69*H69</f>
        <v/>
      </c>
      <c r="J69" s="8">
        <f>H69/E69</f>
        <v/>
      </c>
      <c r="K69" s="8" t="n">
        <v>6.3571</v>
      </c>
      <c r="L69" s="8" t="n">
        <v>5.5567</v>
      </c>
      <c r="M69" s="14">
        <f>J69/K69-1</f>
        <v/>
      </c>
      <c r="N69" s="7" t="inlineStr">
        <is>
          <t>ACIMA +580.8%</t>
        </is>
      </c>
      <c r="O69" s="7" t="inlineStr">
        <is>
          <t>conferir emb.</t>
        </is>
      </c>
    </row>
    <row r="70">
      <c r="A70" s="7" t="n">
        <v>134701</v>
      </c>
      <c r="B70" s="7" t="inlineStr"/>
      <c r="C70" s="12" t="inlineStr">
        <is>
          <t>7896637025096</t>
        </is>
      </c>
      <c r="D70" s="7" t="inlineStr">
        <is>
          <t>MIOSAN CAF 5+30MG CX 15 COMP REV</t>
        </is>
      </c>
      <c r="E70" s="13" t="n">
        <v>1</v>
      </c>
      <c r="F70" s="13" t="n">
        <v>4</v>
      </c>
      <c r="G70" s="13" t="n">
        <v>4</v>
      </c>
      <c r="H70" s="8" t="n">
        <v>22.47</v>
      </c>
      <c r="I70" s="8">
        <f>G70*H70</f>
        <v/>
      </c>
      <c r="J70" s="8">
        <f>H70/E70</f>
        <v/>
      </c>
      <c r="K70" s="8" t="n">
        <v>22.71</v>
      </c>
      <c r="L70" s="8" t="n">
        <v>19.3267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293561</v>
      </c>
      <c r="B71" s="7" t="inlineStr"/>
      <c r="C71" s="12" t="inlineStr">
        <is>
          <t>7896676435214</t>
        </is>
      </c>
      <c r="D71" s="7" t="inlineStr">
        <is>
          <t>MIRUGELL 0,4+0,3+0,1% SOL OFT FR 5ML</t>
        </is>
      </c>
      <c r="E71" s="13" t="n">
        <v>1</v>
      </c>
      <c r="F71" s="13" t="n">
        <v>1</v>
      </c>
      <c r="G71" s="13" t="n">
        <v>1</v>
      </c>
      <c r="H71" s="8" t="n">
        <v>19.8</v>
      </c>
      <c r="I71" s="8">
        <f>G71*H71</f>
        <v/>
      </c>
      <c r="J71" s="8">
        <f>H71/E71</f>
        <v/>
      </c>
      <c r="K71" s="8" t="n">
        <v>19.8</v>
      </c>
      <c r="L71" s="8" t="n">
        <v>18.33</v>
      </c>
      <c r="M71" s="14">
        <f>J71/K71-1</f>
        <v/>
      </c>
      <c r="N71" s="7" t="inlineStr">
        <is>
          <t>OK (≤ últ. compra)</t>
        </is>
      </c>
      <c r="O71" s="7" t="inlineStr"/>
    </row>
    <row r="72">
      <c r="A72" s="7" t="n">
        <v>358341</v>
      </c>
      <c r="B72" s="7" t="inlineStr"/>
      <c r="C72" s="12" t="inlineStr">
        <is>
          <t>7894916500296</t>
        </is>
      </c>
      <c r="D72" s="7" t="inlineStr">
        <is>
          <t>NEUTROFER 250MG SOL FR GTS 30ML</t>
        </is>
      </c>
      <c r="E72" s="13" t="n">
        <v>1</v>
      </c>
      <c r="F72" s="13" t="n">
        <v>2</v>
      </c>
      <c r="G72" s="13" t="n">
        <v>2</v>
      </c>
      <c r="H72" s="8" t="n">
        <v>47.46</v>
      </c>
      <c r="I72" s="8">
        <f>G72*H72</f>
        <v/>
      </c>
      <c r="J72" s="8">
        <f>H72/E72</f>
        <v/>
      </c>
      <c r="K72" s="8" t="n">
        <v>46.96</v>
      </c>
      <c r="L72" s="8" t="n">
        <v>44.3433</v>
      </c>
      <c r="M72" s="14">
        <f>J72/K72-1</f>
        <v/>
      </c>
      <c r="N72" s="7" t="inlineStr">
        <is>
          <t>ACIMA +1.1%</t>
        </is>
      </c>
      <c r="O72" s="7" t="inlineStr"/>
    </row>
    <row r="73">
      <c r="A73" s="7" t="n">
        <v>247481</v>
      </c>
      <c r="B73" s="7" t="inlineStr"/>
      <c r="C73" s="12" t="inlineStr">
        <is>
          <t>7896641805479</t>
        </is>
      </c>
      <c r="D73" s="7" t="inlineStr">
        <is>
          <t>NORIPURUM 50MG/ML SOL OR FR GOT 30ML</t>
        </is>
      </c>
      <c r="E73" s="13" t="n">
        <v>1</v>
      </c>
      <c r="F73" s="13" t="n">
        <v>1</v>
      </c>
      <c r="G73" s="13" t="n">
        <v>1</v>
      </c>
      <c r="H73" s="8" t="n">
        <v>34.56</v>
      </c>
      <c r="I73" s="8">
        <f>G73*H73</f>
        <v/>
      </c>
      <c r="J73" s="8">
        <f>H73/E73</f>
        <v/>
      </c>
      <c r="K73" s="8" t="n">
        <v>38.21</v>
      </c>
      <c r="L73" s="8" t="n">
        <v>34.56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179961</v>
      </c>
      <c r="B74" s="7" t="inlineStr"/>
      <c r="C74" s="12" t="inlineStr">
        <is>
          <t>7898040321390</t>
        </is>
      </c>
      <c r="D74" s="7" t="inlineStr">
        <is>
          <t>OTO BETNOVATE 1+10+5MG/ML SOL OTO FR GTS 10ML</t>
        </is>
      </c>
      <c r="E74" s="13" t="n">
        <v>1</v>
      </c>
      <c r="F74" s="13" t="n">
        <v>1</v>
      </c>
      <c r="G74" s="13" t="n">
        <v>1</v>
      </c>
      <c r="H74" s="8" t="n">
        <v>27</v>
      </c>
      <c r="I74" s="8">
        <f>G74*H74</f>
        <v/>
      </c>
      <c r="J74" s="8">
        <f>H74/E74</f>
        <v/>
      </c>
      <c r="K74" s="8" t="n">
        <v>27</v>
      </c>
      <c r="L74" s="8" t="n">
        <v>24.82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452561</v>
      </c>
      <c r="B75" s="7" t="inlineStr"/>
      <c r="C75" s="12" t="inlineStr">
        <is>
          <t>7898040320942</t>
        </is>
      </c>
      <c r="D75" s="7" t="inlineStr">
        <is>
          <t>OTOSPORIN SOL OTO FR GTS 10ML</t>
        </is>
      </c>
      <c r="E75" s="13" t="n">
        <v>1</v>
      </c>
      <c r="F75" s="13" t="n">
        <v>4</v>
      </c>
      <c r="G75" s="13" t="n">
        <v>4</v>
      </c>
      <c r="H75" s="8" t="n">
        <v>13.04</v>
      </c>
      <c r="I75" s="8">
        <f>G75*H75</f>
        <v/>
      </c>
      <c r="J75" s="8">
        <f>H75/E75</f>
        <v/>
      </c>
      <c r="K75" s="8" t="n">
        <v>11.99</v>
      </c>
      <c r="L75" s="8" t="n">
        <v>11.9875</v>
      </c>
      <c r="M75" s="14">
        <f>J75/K75-1</f>
        <v/>
      </c>
      <c r="N75" s="7" t="inlineStr">
        <is>
          <t>ACIMA +8.8%</t>
        </is>
      </c>
      <c r="O75" s="7" t="inlineStr"/>
    </row>
    <row r="76">
      <c r="A76" s="7" t="n">
        <v>398941</v>
      </c>
      <c r="B76" s="7" t="inlineStr"/>
      <c r="C76" s="12" t="inlineStr">
        <is>
          <t>7891317000035</t>
        </is>
      </c>
      <c r="D76" s="7" t="inlineStr">
        <is>
          <t>PACO 500MG+30MG CX 12 COMP</t>
        </is>
      </c>
      <c r="E76" s="13" t="n">
        <v>1</v>
      </c>
      <c r="F76" s="13" t="n">
        <v>9</v>
      </c>
      <c r="G76" s="13" t="n">
        <v>9</v>
      </c>
      <c r="H76" s="8" t="n">
        <v>24.95</v>
      </c>
      <c r="I76" s="8">
        <f>G76*H76</f>
        <v/>
      </c>
      <c r="J76" s="8">
        <f>H76/E76</f>
        <v/>
      </c>
      <c r="K76" s="8" t="n">
        <v>31.99</v>
      </c>
      <c r="L76" s="8" t="n">
        <v>23.0125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398921</v>
      </c>
      <c r="B77" s="7" t="inlineStr"/>
      <c r="C77" s="12" t="inlineStr">
        <is>
          <t>7891317000042</t>
        </is>
      </c>
      <c r="D77" s="7" t="inlineStr">
        <is>
          <t>PACO 500MG+30MG CX 24 COMP</t>
        </is>
      </c>
      <c r="E77" s="13" t="n">
        <v>1</v>
      </c>
      <c r="F77" s="13" t="n">
        <v>1</v>
      </c>
      <c r="G77" s="13" t="n">
        <v>1</v>
      </c>
      <c r="H77" s="8" t="n">
        <v>45.32</v>
      </c>
      <c r="I77" s="8">
        <f>G77*H77</f>
        <v/>
      </c>
      <c r="J77" s="8">
        <f>H77/E77</f>
        <v/>
      </c>
      <c r="K77" s="8" t="n">
        <v>46.6</v>
      </c>
      <c r="L77" s="8" t="n">
        <v>41.795</v>
      </c>
      <c r="M77" s="14">
        <f>J77/K77-1</f>
        <v/>
      </c>
      <c r="N77" s="7" t="inlineStr">
        <is>
          <t>OK (≤ últ. compra)</t>
        </is>
      </c>
      <c r="O77" s="7" t="inlineStr"/>
    </row>
    <row r="78">
      <c r="A78" s="7" t="n">
        <v>644681</v>
      </c>
      <c r="B78" s="7" t="inlineStr"/>
      <c r="C78" s="12" t="inlineStr">
        <is>
          <t>7898031310891</t>
        </is>
      </c>
      <c r="D78" s="7" t="inlineStr">
        <is>
          <t>PEDRA HUME SOLUCAO SPRAY 30ML</t>
        </is>
      </c>
      <c r="E78" s="13" t="n">
        <v>1</v>
      </c>
      <c r="F78" s="13" t="n">
        <v>4</v>
      </c>
      <c r="G78" s="13" t="n">
        <v>4</v>
      </c>
      <c r="H78" s="8" t="n">
        <v>3.91</v>
      </c>
      <c r="I78" s="8">
        <f>G78*H78</f>
        <v/>
      </c>
      <c r="J78" s="8">
        <f>H78/E78</f>
        <v/>
      </c>
      <c r="K78" s="8" t="n">
        <v>5.45</v>
      </c>
      <c r="L78" s="8" t="n">
        <v>5.45</v>
      </c>
      <c r="M78" s="14">
        <f>J78/K78-1</f>
        <v/>
      </c>
      <c r="N78" s="7" t="inlineStr">
        <is>
          <t>OK (≤ menor hist.)</t>
        </is>
      </c>
      <c r="O78" s="7" t="inlineStr"/>
    </row>
    <row r="79">
      <c r="A79" s="7" t="n">
        <v>487921</v>
      </c>
      <c r="B79" s="7" t="inlineStr"/>
      <c r="C79" s="12" t="inlineStr">
        <is>
          <t>7898100244485</t>
        </is>
      </c>
      <c r="D79" s="7" t="inlineStr">
        <is>
          <t>PETIVIT BC XPE FR 240ML</t>
        </is>
      </c>
      <c r="E79" s="13" t="n">
        <v>1</v>
      </c>
      <c r="F79" s="13" t="n">
        <v>33</v>
      </c>
      <c r="G79" s="13" t="n">
        <v>33</v>
      </c>
      <c r="H79" s="8" t="n">
        <v>8.09</v>
      </c>
      <c r="I79" s="8">
        <f>G79*H79</f>
        <v/>
      </c>
      <c r="J79" s="8">
        <f>H79/E79</f>
        <v/>
      </c>
      <c r="K79" s="8" t="n">
        <v>6.99</v>
      </c>
      <c r="L79" s="8" t="n">
        <v>6.99</v>
      </c>
      <c r="M79" s="14">
        <f>J79/K79-1</f>
        <v/>
      </c>
      <c r="N79" s="7" t="inlineStr">
        <is>
          <t>ACIMA +15.7%</t>
        </is>
      </c>
      <c r="O79" s="7" t="inlineStr"/>
    </row>
    <row r="80">
      <c r="A80" s="7" t="n">
        <v>404881</v>
      </c>
      <c r="B80" s="7" t="inlineStr"/>
      <c r="C80" s="12" t="inlineStr">
        <is>
          <t>7898216362189</t>
        </is>
      </c>
      <c r="D80" s="7" t="inlineStr">
        <is>
          <t>PIROXICAM 20MG CX 10 CAP</t>
        </is>
      </c>
      <c r="E80" s="13" t="n">
        <v>1</v>
      </c>
      <c r="F80" s="13" t="n">
        <v>6</v>
      </c>
      <c r="G80" s="13" t="n">
        <v>6</v>
      </c>
      <c r="H80" s="8" t="n">
        <v>4.37</v>
      </c>
      <c r="I80" s="8">
        <f>G80*H80</f>
        <v/>
      </c>
      <c r="J80" s="8">
        <f>H80/E80</f>
        <v/>
      </c>
      <c r="K80" s="8" t="n">
        <v>4.15</v>
      </c>
      <c r="L80" s="8" t="n">
        <v>4.15</v>
      </c>
      <c r="M80" s="14">
        <f>J80/K80-1</f>
        <v/>
      </c>
      <c r="N80" s="7" t="inlineStr">
        <is>
          <t>ACIMA +5.3%</t>
        </is>
      </c>
      <c r="O80" s="7" t="inlineStr"/>
    </row>
    <row r="81">
      <c r="A81" s="7" t="n">
        <v>284281</v>
      </c>
      <c r="B81" s="7" t="inlineStr"/>
      <c r="C81" s="12" t="inlineStr">
        <is>
          <t>7896637025362</t>
        </is>
      </c>
      <c r="D81" s="7" t="inlineStr">
        <is>
          <t>POSTEC 2,5MG+150UTR POM DERM BG 20G</t>
        </is>
      </c>
      <c r="E81" s="13" t="n">
        <v>1</v>
      </c>
      <c r="F81" s="13" t="n">
        <v>5</v>
      </c>
      <c r="G81" s="13" t="n">
        <v>5</v>
      </c>
      <c r="H81" s="8" t="n">
        <v>108.14</v>
      </c>
      <c r="I81" s="8">
        <f>G81*H81</f>
        <v/>
      </c>
      <c r="J81" s="8">
        <f>H81/E81</f>
        <v/>
      </c>
      <c r="K81" s="8" t="n">
        <v>108.14</v>
      </c>
      <c r="L81" s="8" t="n">
        <v>101.2367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500201</v>
      </c>
      <c r="B82" s="7" t="inlineStr"/>
      <c r="C82" s="12" t="inlineStr">
        <is>
          <t>7897595901309</t>
        </is>
      </c>
      <c r="D82" s="7" t="inlineStr">
        <is>
          <t>PURAN T4 25MCG CX 30 COMP</t>
        </is>
      </c>
      <c r="E82" s="13" t="n">
        <v>1</v>
      </c>
      <c r="F82" s="13" t="n">
        <v>14</v>
      </c>
      <c r="G82" s="13" t="n">
        <v>14</v>
      </c>
      <c r="H82" s="8" t="n">
        <v>13.36</v>
      </c>
      <c r="I82" s="8">
        <f>G82*H82</f>
        <v/>
      </c>
      <c r="J82" s="8">
        <f>H82/E82</f>
        <v/>
      </c>
      <c r="K82" s="8" t="n">
        <v>13.3467</v>
      </c>
      <c r="L82" s="8" t="n">
        <v>11.0783</v>
      </c>
      <c r="M82" s="14">
        <f>J82/K82-1</f>
        <v/>
      </c>
      <c r="N82" s="7" t="inlineStr">
        <is>
          <t>ACIMA +0.1%</t>
        </is>
      </c>
      <c r="O82" s="7" t="inlineStr"/>
    </row>
    <row r="83">
      <c r="A83" s="7" t="n">
        <v>146061</v>
      </c>
      <c r="B83" s="7" t="inlineStr"/>
      <c r="C83" s="12" t="inlineStr">
        <is>
          <t>7892953001387</t>
        </is>
      </c>
      <c r="D83" s="7" t="inlineStr">
        <is>
          <t>PYRIDIUM 200MG CX 18 COMP REV</t>
        </is>
      </c>
      <c r="E83" s="13" t="n">
        <v>1</v>
      </c>
      <c r="F83" s="13" t="n">
        <v>11</v>
      </c>
      <c r="G83" s="13" t="n">
        <v>11</v>
      </c>
      <c r="H83" s="8" t="n">
        <v>25.46</v>
      </c>
      <c r="I83" s="8">
        <f>G83*H83</f>
        <v/>
      </c>
      <c r="J83" s="8">
        <f>H83/E83</f>
        <v/>
      </c>
      <c r="K83" s="8" t="n">
        <v>24.21</v>
      </c>
      <c r="L83" s="8" t="n">
        <v>19.4555</v>
      </c>
      <c r="M83" s="14">
        <f>J83/K83-1</f>
        <v/>
      </c>
      <c r="N83" s="7" t="inlineStr">
        <is>
          <t>ACIMA +5.2%</t>
        </is>
      </c>
      <c r="O83" s="7" t="inlineStr"/>
    </row>
    <row r="84">
      <c r="A84" s="7" t="n">
        <v>14581</v>
      </c>
      <c r="B84" s="7" t="inlineStr"/>
      <c r="C84" s="12" t="inlineStr">
        <is>
          <t>7891106006279</t>
        </is>
      </c>
      <c r="D84" s="7" t="inlineStr">
        <is>
          <t>REDOXON 1G TB 10 COMP EFEV SB LARANJA</t>
        </is>
      </c>
      <c r="E84" s="13" t="n">
        <v>1</v>
      </c>
      <c r="F84" s="13" t="n">
        <v>4</v>
      </c>
      <c r="G84" s="13" t="n">
        <v>4</v>
      </c>
      <c r="H84" s="8" t="n">
        <v>13.47</v>
      </c>
      <c r="I84" s="8">
        <f>G84*H84</f>
        <v/>
      </c>
      <c r="J84" s="8">
        <f>H84/E84</f>
        <v/>
      </c>
      <c r="K84" s="8" t="n">
        <v>13.47</v>
      </c>
      <c r="L84" s="8" t="n">
        <v>13.47</v>
      </c>
      <c r="M84" s="14">
        <f>J84/K84-1</f>
        <v/>
      </c>
      <c r="N84" s="7" t="inlineStr">
        <is>
          <t>OK (≤ menor hist.)</t>
        </is>
      </c>
      <c r="O84" s="7" t="inlineStr"/>
    </row>
    <row r="85">
      <c r="A85" s="7" t="n">
        <v>114041</v>
      </c>
      <c r="B85" s="7" t="inlineStr"/>
      <c r="C85" s="12" t="inlineStr">
        <is>
          <t>7896676432886</t>
        </is>
      </c>
      <c r="D85" s="7" t="inlineStr">
        <is>
          <t>REGENCEL 10000UI+25/5/5MG POM OFT 3,5G</t>
        </is>
      </c>
      <c r="E85" s="13" t="n">
        <v>1</v>
      </c>
      <c r="F85" s="13" t="n">
        <v>2</v>
      </c>
      <c r="G85" s="13" t="n">
        <v>2</v>
      </c>
      <c r="H85" s="8" t="n">
        <v>12.9</v>
      </c>
      <c r="I85" s="8">
        <f>G85*H85</f>
        <v/>
      </c>
      <c r="J85" s="8">
        <f>H85/E85</f>
        <v/>
      </c>
      <c r="K85" s="8" t="n">
        <v>13.54</v>
      </c>
      <c r="L85" s="8" t="n">
        <v>11.94</v>
      </c>
      <c r="M85" s="14">
        <f>J85/K85-1</f>
        <v/>
      </c>
      <c r="N85" s="7" t="inlineStr">
        <is>
          <t>OK (≤ últ. compra)</t>
        </is>
      </c>
      <c r="O85" s="7" t="inlineStr"/>
    </row>
    <row r="86">
      <c r="A86" s="7" t="n">
        <v>431301</v>
      </c>
      <c r="B86" s="7" t="inlineStr"/>
      <c r="C86" s="12" t="inlineStr">
        <is>
          <t>7896227800089</t>
        </is>
      </c>
      <c r="D86" s="7" t="inlineStr">
        <is>
          <t>SALONPAS 0,15+0,07G/G GEL BG 20G</t>
        </is>
      </c>
      <c r="E86" s="13" t="n">
        <v>1</v>
      </c>
      <c r="F86" s="13" t="n">
        <v>2</v>
      </c>
      <c r="G86" s="13" t="n">
        <v>2</v>
      </c>
      <c r="H86" s="8" t="n">
        <v>16.2</v>
      </c>
      <c r="I86" s="8">
        <f>G86*H86</f>
        <v/>
      </c>
      <c r="J86" s="8">
        <f>H86/E86</f>
        <v/>
      </c>
      <c r="K86" s="8" t="n">
        <v>14.86</v>
      </c>
      <c r="L86" s="8" t="n">
        <v>14.325</v>
      </c>
      <c r="M86" s="14">
        <f>J86/K86-1</f>
        <v/>
      </c>
      <c r="N86" s="7" t="inlineStr">
        <is>
          <t>ACIMA +9.0%</t>
        </is>
      </c>
      <c r="O86" s="7" t="inlineStr"/>
    </row>
    <row r="87">
      <c r="A87" s="7" t="n">
        <v>623011</v>
      </c>
      <c r="B87" s="7" t="inlineStr"/>
      <c r="C87" s="12" t="inlineStr">
        <is>
          <t>4987188501115</t>
        </is>
      </c>
      <c r="D87" s="7" t="inlineStr">
        <is>
          <t>SALONPAS GEL-PATCH 12,5MG/G+10MG/G+3MG/G+10MG/G 3 ADES</t>
        </is>
      </c>
      <c r="E87" s="13" t="n">
        <v>1</v>
      </c>
      <c r="F87" s="13" t="n">
        <v>2</v>
      </c>
      <c r="G87" s="13" t="n">
        <v>2</v>
      </c>
      <c r="H87" s="8" t="n">
        <v>15.07</v>
      </c>
      <c r="I87" s="8">
        <f>G87*H87</f>
        <v/>
      </c>
      <c r="J87" s="8">
        <f>H87/E87</f>
        <v/>
      </c>
      <c r="K87" s="8" t="n">
        <v>15.66</v>
      </c>
      <c r="L87" s="8" t="n">
        <v>11.075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4601</v>
      </c>
      <c r="B88" s="7" t="inlineStr"/>
      <c r="C88" s="12" t="inlineStr">
        <is>
          <t>7891317465667</t>
        </is>
      </c>
      <c r="D88" s="7" t="inlineStr">
        <is>
          <t>SELENE 0,035+2MG CX 21 COMP REV</t>
        </is>
      </c>
      <c r="E88" s="13" t="n">
        <v>1</v>
      </c>
      <c r="F88" s="13" t="n">
        <v>26</v>
      </c>
      <c r="G88" s="13" t="n">
        <v>26</v>
      </c>
      <c r="H88" s="8" t="n">
        <v>26.38</v>
      </c>
      <c r="I88" s="8">
        <f>G88*H88</f>
        <v/>
      </c>
      <c r="J88" s="8">
        <f>H88/E88</f>
        <v/>
      </c>
      <c r="K88" s="8" t="n">
        <v>26.38</v>
      </c>
      <c r="L88" s="8" t="n">
        <v>24.35</v>
      </c>
      <c r="M88" s="14">
        <f>J88/K88-1</f>
        <v/>
      </c>
      <c r="N88" s="7" t="inlineStr">
        <is>
          <t>OK (≤ últ. compra)</t>
        </is>
      </c>
      <c r="O88" s="7" t="inlineStr"/>
    </row>
    <row r="89">
      <c r="A89" s="7" t="n">
        <v>538261</v>
      </c>
      <c r="B89" s="7" t="inlineStr"/>
      <c r="C89" s="12" t="inlineStr">
        <is>
          <t>7894164005611</t>
        </is>
      </c>
      <c r="D89" s="7" t="inlineStr">
        <is>
          <t>SILUSGEL SUS 100ML</t>
        </is>
      </c>
      <c r="E89" s="13" t="n">
        <v>1</v>
      </c>
      <c r="F89" s="13" t="n">
        <v>4</v>
      </c>
      <c r="G89" s="13" t="n">
        <v>4</v>
      </c>
      <c r="H89" s="8" t="n">
        <v>7.91</v>
      </c>
      <c r="I89" s="8">
        <f>G89*H89</f>
        <v/>
      </c>
      <c r="J89" s="8">
        <f>H89/E89</f>
        <v/>
      </c>
      <c r="K89" s="8" t="n">
        <v>7.68</v>
      </c>
      <c r="L89" s="8" t="n">
        <v>7.63</v>
      </c>
      <c r="M89" s="14">
        <f>J89/K89-1</f>
        <v/>
      </c>
      <c r="N89" s="7" t="inlineStr">
        <is>
          <t>ACIMA +3.0%</t>
        </is>
      </c>
      <c r="O89" s="7" t="inlineStr"/>
    </row>
    <row r="90">
      <c r="A90" s="7" t="n">
        <v>110341</v>
      </c>
      <c r="B90" s="7" t="inlineStr"/>
      <c r="C90" s="12" t="inlineStr">
        <is>
          <t>7891317421748</t>
        </is>
      </c>
      <c r="D90" s="7" t="inlineStr">
        <is>
          <t>SINOT CLAV 875+125MG FR 14 COMP</t>
        </is>
      </c>
      <c r="E90" s="13" t="n">
        <v>1</v>
      </c>
      <c r="F90" s="13" t="n">
        <v>2</v>
      </c>
      <c r="G90" s="13" t="n">
        <v>2</v>
      </c>
      <c r="H90" s="8" t="n">
        <v>59.77</v>
      </c>
      <c r="I90" s="8">
        <f>G90*H90</f>
        <v/>
      </c>
      <c r="J90" s="8">
        <f>H90/E90</f>
        <v/>
      </c>
      <c r="K90" s="8" t="n">
        <v>61.45</v>
      </c>
      <c r="L90" s="8" t="n">
        <v>59.13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658381</v>
      </c>
      <c r="B91" s="7" t="inlineStr"/>
      <c r="C91" s="12" t="inlineStr">
        <is>
          <t>7896658020315</t>
        </is>
      </c>
      <c r="D91" s="7" t="inlineStr">
        <is>
          <t>SORINE SSC SOL NAS SPRAY 50ML-OUTROS</t>
        </is>
      </c>
      <c r="E91" s="13" t="n">
        <v>1</v>
      </c>
      <c r="F91" s="13" t="n">
        <v>1</v>
      </c>
      <c r="G91" s="13" t="n">
        <v>1</v>
      </c>
      <c r="H91" s="8" t="n">
        <v>23.57</v>
      </c>
      <c r="I91" s="8">
        <f>G91*H91</f>
        <v/>
      </c>
      <c r="J91" s="8">
        <f>H91/E91</f>
        <v/>
      </c>
      <c r="K91" s="8" t="n">
        <v>24.75</v>
      </c>
      <c r="L91" s="8" t="n">
        <v>23.82</v>
      </c>
      <c r="M91" s="14">
        <f>J91/K91-1</f>
        <v/>
      </c>
      <c r="N91" s="7" t="inlineStr">
        <is>
          <t>OK (≤ menor hist.)</t>
        </is>
      </c>
      <c r="O91" s="7" t="inlineStr"/>
    </row>
    <row r="92">
      <c r="A92" s="7" t="n">
        <v>645201</v>
      </c>
      <c r="B92" s="7" t="inlineStr"/>
      <c r="C92" s="12" t="inlineStr">
        <is>
          <t>7891317009717</t>
        </is>
      </c>
      <c r="D92" s="7" t="inlineStr">
        <is>
          <t>TAMISA NF 0,075+0,030MG CX 21 COMP REV</t>
        </is>
      </c>
      <c r="E92" s="13" t="n">
        <v>1</v>
      </c>
      <c r="F92" s="13" t="n">
        <v>4</v>
      </c>
      <c r="G92" s="13" t="n">
        <v>4</v>
      </c>
      <c r="H92" s="8" t="n">
        <v>28.4</v>
      </c>
      <c r="I92" s="8">
        <f>G92*H92</f>
        <v/>
      </c>
      <c r="J92" s="8">
        <f>H92/E92</f>
        <v/>
      </c>
      <c r="K92" s="8" t="n">
        <v>29.1975</v>
      </c>
      <c r="L92" s="8" t="n">
        <v>26.225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572301</v>
      </c>
      <c r="B93" s="7" t="inlineStr"/>
      <c r="C93" s="12" t="inlineStr">
        <is>
          <t>7891317009755</t>
        </is>
      </c>
      <c r="D93" s="7" t="inlineStr">
        <is>
          <t>TAMISA NF 0,075+0,030MG SEM PARAR (CAIXA C/ 3 CARTELAS)</t>
        </is>
      </c>
      <c r="E93" s="13" t="n">
        <v>1</v>
      </c>
      <c r="F93" s="13" t="n">
        <v>4</v>
      </c>
      <c r="G93" s="13" t="n">
        <v>4</v>
      </c>
      <c r="H93" s="8" t="n">
        <v>36.9</v>
      </c>
      <c r="I93" s="8">
        <f>G93*H93</f>
        <v/>
      </c>
      <c r="J93" s="8">
        <f>H93/E93</f>
        <v/>
      </c>
      <c r="K93" s="8" t="n">
        <v>30.3333</v>
      </c>
      <c r="L93" s="8" t="n">
        <v>11.3522</v>
      </c>
      <c r="M93" s="14">
        <f>J93/K93-1</f>
        <v/>
      </c>
      <c r="N93" s="7" t="inlineStr">
        <is>
          <t>ACIMA +21.6%</t>
        </is>
      </c>
      <c r="O93" s="7" t="inlineStr"/>
    </row>
    <row r="94">
      <c r="A94" s="7" t="n">
        <v>572341</v>
      </c>
      <c r="B94" s="7" t="inlineStr"/>
      <c r="C94" s="12" t="inlineStr">
        <is>
          <t>7500435171090</t>
        </is>
      </c>
      <c r="D94" s="7" t="inlineStr">
        <is>
          <t>TESTE DE GRAVIDEZ CLEARBLUE DIGIT 1UN</t>
        </is>
      </c>
      <c r="E94" s="13" t="n">
        <v>1</v>
      </c>
      <c r="F94" s="13" t="n">
        <v>1</v>
      </c>
      <c r="G94" s="13" t="n">
        <v>1</v>
      </c>
      <c r="H94" s="8" t="n">
        <v>38.39</v>
      </c>
      <c r="I94" s="8">
        <f>G94*H94</f>
        <v/>
      </c>
      <c r="J94" s="8">
        <f>H94/E94</f>
        <v/>
      </c>
      <c r="K94" s="8" t="n">
        <v>38.38</v>
      </c>
      <c r="L94" s="8" t="n">
        <v>37.55</v>
      </c>
      <c r="M94" s="14">
        <f>J94/K94-1</f>
        <v/>
      </c>
      <c r="N94" s="7" t="inlineStr">
        <is>
          <t>ACIMA +0.0%</t>
        </is>
      </c>
      <c r="O94" s="7" t="inlineStr"/>
    </row>
    <row r="95">
      <c r="A95" s="7" t="n">
        <v>464521</v>
      </c>
      <c r="B95" s="7" t="inlineStr"/>
      <c r="C95" s="12" t="inlineStr">
        <is>
          <t>7896548112717</t>
        </is>
      </c>
      <c r="D95" s="7" t="inlineStr">
        <is>
          <t>TOBREX 3MG SOL OFT FR GTS 5ML</t>
        </is>
      </c>
      <c r="E95" s="13" t="n">
        <v>1</v>
      </c>
      <c r="F95" s="13" t="n">
        <v>1</v>
      </c>
      <c r="G95" s="13" t="n">
        <v>1</v>
      </c>
      <c r="H95" s="8" t="n">
        <v>28.22</v>
      </c>
      <c r="I95" s="8">
        <f>G95*H95</f>
        <v/>
      </c>
      <c r="J95" s="8">
        <f>H95/E95</f>
        <v/>
      </c>
      <c r="K95" s="8" t="n">
        <v>28.09</v>
      </c>
      <c r="L95" s="8" t="n">
        <v>26.69</v>
      </c>
      <c r="M95" s="14">
        <f>J95/K95-1</f>
        <v/>
      </c>
      <c r="N95" s="7" t="inlineStr">
        <is>
          <t>ACIMA +0.5%</t>
        </is>
      </c>
      <c r="O95" s="7" t="inlineStr"/>
    </row>
    <row r="96">
      <c r="A96" s="7" t="n">
        <v>210541</v>
      </c>
      <c r="B96" s="7" t="inlineStr"/>
      <c r="C96" s="12" t="inlineStr">
        <is>
          <t>7891317005931</t>
        </is>
      </c>
      <c r="D96" s="7" t="inlineStr">
        <is>
          <t>TRIMUSK 125+50+300+30MG CX 15 COMP</t>
        </is>
      </c>
      <c r="E96" s="13" t="n">
        <v>1</v>
      </c>
      <c r="F96" s="13" t="n">
        <v>21</v>
      </c>
      <c r="G96" s="13" t="n">
        <v>21</v>
      </c>
      <c r="H96" s="8" t="n">
        <v>17.91</v>
      </c>
      <c r="I96" s="8">
        <f>G96*H96</f>
        <v/>
      </c>
      <c r="J96" s="8">
        <f>H96/E96</f>
        <v/>
      </c>
      <c r="K96" s="8" t="n">
        <v>17.91</v>
      </c>
      <c r="L96" s="8" t="n">
        <v>16.955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207441</v>
      </c>
      <c r="B97" s="7" t="inlineStr"/>
      <c r="C97" s="12" t="inlineStr">
        <is>
          <t>7896226102504</t>
        </is>
      </c>
      <c r="D97" s="7" t="inlineStr">
        <is>
          <t>TRIVAGEL-N CREME VAG BG 60G+10APLIC</t>
        </is>
      </c>
      <c r="E97" s="13" t="n">
        <v>1</v>
      </c>
      <c r="F97" s="13" t="n">
        <v>2</v>
      </c>
      <c r="G97" s="13" t="n">
        <v>2</v>
      </c>
      <c r="H97" s="8" t="n">
        <v>72.44</v>
      </c>
      <c r="I97" s="8">
        <f>G97*H97</f>
        <v/>
      </c>
      <c r="J97" s="8">
        <f>H97/E97</f>
        <v/>
      </c>
      <c r="K97" s="8" t="n">
        <v>73.675</v>
      </c>
      <c r="L97" s="8" t="n">
        <v>63.0967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609051</v>
      </c>
      <c r="B98" s="7" t="inlineStr"/>
      <c r="C98" s="12" t="inlineStr">
        <is>
          <t>7891317025564</t>
        </is>
      </c>
      <c r="D98" s="7" t="inlineStr">
        <is>
          <t>TROK 20+0,5MG/G CREM DERM BG 10G</t>
        </is>
      </c>
      <c r="E98" s="13" t="n">
        <v>1</v>
      </c>
      <c r="F98" s="13" t="n">
        <v>1</v>
      </c>
      <c r="G98" s="13" t="n">
        <v>1</v>
      </c>
      <c r="H98" s="8" t="n">
        <v>15</v>
      </c>
      <c r="I98" s="8">
        <f>G98*H98</f>
        <v/>
      </c>
      <c r="J98" s="8">
        <f>H98/E98</f>
        <v/>
      </c>
      <c r="K98" s="8" t="n">
        <v>15.42</v>
      </c>
      <c r="L98" s="8" t="n">
        <v>14.02</v>
      </c>
      <c r="M98" s="14">
        <f>J98/K98-1</f>
        <v/>
      </c>
      <c r="N98" s="7" t="inlineStr">
        <is>
          <t>OK (≤ últ. compra)</t>
        </is>
      </c>
      <c r="O98" s="7" t="inlineStr"/>
    </row>
    <row r="99">
      <c r="A99" s="7" t="n">
        <v>451941</v>
      </c>
      <c r="B99" s="7" t="inlineStr"/>
      <c r="C99" s="12" t="inlineStr">
        <is>
          <t>7891317445737</t>
        </is>
      </c>
      <c r="D99" s="7" t="inlineStr">
        <is>
          <t>TROK-N 20+0,5+2,5MG/G CREM DERM BG 30G</t>
        </is>
      </c>
      <c r="E99" s="13" t="n">
        <v>1</v>
      </c>
      <c r="F99" s="13" t="n">
        <v>2</v>
      </c>
      <c r="G99" s="13" t="n">
        <v>2</v>
      </c>
      <c r="H99" s="8" t="n">
        <v>30.98</v>
      </c>
      <c r="I99" s="8">
        <f>G99*H99</f>
        <v/>
      </c>
      <c r="J99" s="8">
        <f>H99/E99</f>
        <v/>
      </c>
      <c r="K99" s="8" t="n">
        <v>31.855</v>
      </c>
      <c r="L99" s="8" t="n">
        <v>28.9525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596721</v>
      </c>
      <c r="B100" s="7" t="inlineStr"/>
      <c r="C100" s="12" t="inlineStr">
        <is>
          <t>7898040329112</t>
        </is>
      </c>
      <c r="D100" s="7" t="inlineStr">
        <is>
          <t>VARICELL CREME BG 150G</t>
        </is>
      </c>
      <c r="E100" s="13" t="n">
        <v>1</v>
      </c>
      <c r="F100" s="13" t="n">
        <v>3</v>
      </c>
      <c r="G100" s="13" t="n">
        <v>3</v>
      </c>
      <c r="H100" s="8" t="n">
        <v>29.62</v>
      </c>
      <c r="I100" s="8">
        <f>G100*H100</f>
        <v/>
      </c>
      <c r="J100" s="8">
        <f>H100/E100</f>
        <v/>
      </c>
      <c r="K100" s="8" t="n">
        <v>28.28</v>
      </c>
      <c r="L100" s="8" t="n">
        <v>18.49</v>
      </c>
      <c r="M100" s="14">
        <f>J100/K100-1</f>
        <v/>
      </c>
      <c r="N100" s="7" t="inlineStr">
        <is>
          <t>ACIMA +4.7%</t>
        </is>
      </c>
      <c r="O100" s="7" t="inlineStr"/>
    </row>
    <row r="101">
      <c r="A101" s="7" t="n">
        <v>675881</v>
      </c>
      <c r="B101" s="7" t="inlineStr"/>
      <c r="C101" s="12" t="inlineStr">
        <is>
          <t>7898031310990</t>
        </is>
      </c>
      <c r="D101" s="7" t="inlineStr">
        <is>
          <t>VASELINA LIQUIDA 100ML</t>
        </is>
      </c>
      <c r="E101" s="13" t="n">
        <v>1</v>
      </c>
      <c r="F101" s="13" t="n">
        <v>5</v>
      </c>
      <c r="G101" s="13" t="n">
        <v>5</v>
      </c>
      <c r="H101" s="8" t="n">
        <v>3.9</v>
      </c>
      <c r="I101" s="8">
        <f>G101*H101</f>
        <v/>
      </c>
      <c r="J101" s="8">
        <f>H101/E101</f>
        <v/>
      </c>
      <c r="K101" s="8" t="n">
        <v>5.29</v>
      </c>
      <c r="L101" s="8" t="n">
        <v>5.29</v>
      </c>
      <c r="M101" s="14">
        <f>J101/K101-1</f>
        <v/>
      </c>
      <c r="N101" s="7" t="inlineStr">
        <is>
          <t>OK (≤ menor hist.)</t>
        </is>
      </c>
      <c r="O101" s="7" t="inlineStr"/>
    </row>
    <row r="102">
      <c r="A102" s="7" t="n">
        <v>219241</v>
      </c>
      <c r="B102" s="7" t="inlineStr"/>
      <c r="C102" s="12" t="inlineStr">
        <is>
          <t>7896641813146</t>
        </is>
      </c>
      <c r="D102" s="7" t="inlineStr">
        <is>
          <t>VENCIDO - DRAMIN 50 MG CARTELA 10 CP</t>
        </is>
      </c>
      <c r="E102" s="13" t="n">
        <v>1</v>
      </c>
      <c r="F102" s="13" t="n">
        <v>1</v>
      </c>
      <c r="G102" s="13" t="n">
        <v>1</v>
      </c>
      <c r="H102" s="8" t="n">
        <v>17.55</v>
      </c>
      <c r="I102" s="8">
        <f>G102*H102</f>
        <v/>
      </c>
      <c r="J102" s="8">
        <f>H102/E102</f>
        <v/>
      </c>
      <c r="K102" s="8" t="n"/>
      <c r="L102" s="8" t="n"/>
      <c r="M102" s="14" t="n"/>
      <c r="N102" s="7" t="inlineStr">
        <is>
          <t>SEM HISTÓRICO</t>
        </is>
      </c>
      <c r="O102" s="7" t="inlineStr"/>
    </row>
    <row r="103">
      <c r="A103" s="7" t="n">
        <v>461961</v>
      </c>
      <c r="B103" s="7" t="inlineStr"/>
      <c r="C103" s="12" t="inlineStr">
        <is>
          <t>7893454100708</t>
        </is>
      </c>
      <c r="D103" s="7" t="inlineStr">
        <is>
          <t>VENCIDO - TIADOL 50MG/G SAB SACO 65G</t>
        </is>
      </c>
      <c r="E103" s="13" t="n">
        <v>1</v>
      </c>
      <c r="F103" s="13" t="n">
        <v>1</v>
      </c>
      <c r="G103" s="13" t="n">
        <v>1</v>
      </c>
      <c r="H103" s="8" t="n">
        <v>18.4</v>
      </c>
      <c r="I103" s="8">
        <f>G103*H103</f>
        <v/>
      </c>
      <c r="J103" s="8">
        <f>H103/E103</f>
        <v/>
      </c>
      <c r="K103" s="8" t="n">
        <v>19.23</v>
      </c>
      <c r="L103" s="8" t="n">
        <v>19.23</v>
      </c>
      <c r="M103" s="14">
        <f>J103/K103-1</f>
        <v/>
      </c>
      <c r="N103" s="7" t="inlineStr">
        <is>
          <t>OK (≤ menor hist.)</t>
        </is>
      </c>
      <c r="O103" s="7" t="inlineStr"/>
    </row>
    <row r="104">
      <c r="A104" s="7" t="n">
        <v>16681</v>
      </c>
      <c r="B104" s="7" t="inlineStr"/>
      <c r="C104" s="12" t="inlineStr">
        <is>
          <t>7898109241485</t>
        </is>
      </c>
      <c r="D104" s="7" t="inlineStr">
        <is>
          <t>VI-FERRIN 150+0,25+7,5MCG SOL OR FR X 20ML</t>
        </is>
      </c>
      <c r="E104" s="13" t="n">
        <v>1</v>
      </c>
      <c r="F104" s="13" t="n">
        <v>4</v>
      </c>
      <c r="G104" s="13" t="n">
        <v>4</v>
      </c>
      <c r="H104" s="8" t="n">
        <v>29.05</v>
      </c>
      <c r="I104" s="8">
        <f>G104*H104</f>
        <v/>
      </c>
      <c r="J104" s="8">
        <f>H104/E104</f>
        <v/>
      </c>
      <c r="K104" s="8" t="n">
        <v>29.05</v>
      </c>
      <c r="L104" s="8" t="n">
        <v>29.05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993</v>
      </c>
      <c r="B105" s="7" t="inlineStr"/>
      <c r="C105" s="12" t="inlineStr">
        <is>
          <t>75075644</t>
        </is>
      </c>
      <c r="D105" s="7" t="inlineStr">
        <is>
          <t>VICK BABY RUB 12G LATA</t>
        </is>
      </c>
      <c r="E105" s="13" t="n">
        <v>6</v>
      </c>
      <c r="F105" s="13" t="n">
        <v>9</v>
      </c>
      <c r="G105" s="13" t="n">
        <v>2</v>
      </c>
      <c r="H105" s="8" t="n">
        <v>92.44000000000001</v>
      </c>
      <c r="I105" s="8">
        <f>G105*H105</f>
        <v/>
      </c>
      <c r="J105" s="8">
        <f>H105/E105</f>
        <v/>
      </c>
      <c r="K105" s="8" t="n">
        <v>15.8375</v>
      </c>
      <c r="L105" s="8" t="n">
        <v>13.1538</v>
      </c>
      <c r="M105" s="14">
        <f>J105/K105-1</f>
        <v/>
      </c>
      <c r="N105" s="7" t="inlineStr">
        <is>
          <t>OK (≤ últ. compra)</t>
        </is>
      </c>
      <c r="O105" s="7" t="inlineStr">
        <is>
          <t>1 emb = 6 un</t>
        </is>
      </c>
    </row>
    <row r="106">
      <c r="A106" s="7" t="n">
        <v>600581</v>
      </c>
      <c r="B106" s="7" t="inlineStr"/>
      <c r="C106" s="12" t="inlineStr">
        <is>
          <t>7501001246730</t>
        </is>
      </c>
      <c r="D106" s="7" t="inlineStr">
        <is>
          <t>VICK LATINHA 12G</t>
        </is>
      </c>
      <c r="E106" s="13" t="n">
        <v>24</v>
      </c>
      <c r="F106" s="13" t="n">
        <v>11</v>
      </c>
      <c r="G106" s="13" t="n">
        <v>1</v>
      </c>
      <c r="H106" s="8" t="n">
        <v>92.44000000000001</v>
      </c>
      <c r="I106" s="8">
        <f>G106*H106</f>
        <v/>
      </c>
      <c r="J106" s="8">
        <f>H106/E106</f>
        <v/>
      </c>
      <c r="K106" s="8" t="n">
        <v>17.0408</v>
      </c>
      <c r="L106" s="8" t="n">
        <v>11.9136</v>
      </c>
      <c r="M106" s="14">
        <f>J106/K106-1</f>
        <v/>
      </c>
      <c r="N106" s="7" t="inlineStr">
        <is>
          <t>OK (≤ menor hist.)</t>
        </is>
      </c>
      <c r="O106" s="7" t="inlineStr">
        <is>
          <t>preços divergentes entre EANs (usado menor); 1 emb = 24 un; conferir emb.</t>
        </is>
      </c>
    </row>
    <row r="107">
      <c r="A107" s="7" t="n">
        <v>542821</v>
      </c>
      <c r="B107" s="7" t="inlineStr"/>
      <c r="C107" s="12" t="inlineStr">
        <is>
          <t>789112444</t>
        </is>
      </c>
      <c r="D107" s="7" t="inlineStr">
        <is>
          <t>VICK VAPORUB 30G POTE</t>
        </is>
      </c>
      <c r="E107" s="13" t="n">
        <v>1</v>
      </c>
      <c r="F107" s="13" t="n">
        <v>9</v>
      </c>
      <c r="G107" s="13" t="n">
        <v>9</v>
      </c>
      <c r="H107" s="8" t="n">
        <v>36.32</v>
      </c>
      <c r="I107" s="8">
        <f>G107*H107</f>
        <v/>
      </c>
      <c r="J107" s="8">
        <f>H107/E107</f>
        <v/>
      </c>
      <c r="K107" s="8" t="n">
        <v>38.6</v>
      </c>
      <c r="L107" s="8" t="n">
        <v>28.35</v>
      </c>
      <c r="M107" s="14">
        <f>J107/K107-1</f>
        <v/>
      </c>
      <c r="N107" s="7" t="inlineStr">
        <is>
          <t>OK (≤ últ. compra)</t>
        </is>
      </c>
      <c r="O107" s="7" t="inlineStr"/>
    </row>
    <row r="108">
      <c r="A108" s="7" t="n">
        <v>610801</v>
      </c>
      <c r="B108" s="7" t="inlineStr"/>
      <c r="C108" s="12" t="inlineStr">
        <is>
          <t>7500435209786</t>
        </is>
      </c>
      <c r="D108" s="7" t="inlineStr">
        <is>
          <t>VICK XAROPE XAROPE MIEL 100ML</t>
        </is>
      </c>
      <c r="E108" s="13" t="n">
        <v>1</v>
      </c>
      <c r="F108" s="13" t="n">
        <v>4</v>
      </c>
      <c r="G108" s="13" t="n">
        <v>4</v>
      </c>
      <c r="H108" s="8" t="n">
        <v>30.05</v>
      </c>
      <c r="I108" s="8">
        <f>G108*H108</f>
        <v/>
      </c>
      <c r="J108" s="8">
        <f>H108/E108</f>
        <v/>
      </c>
      <c r="K108" s="8" t="n">
        <v>28.7367</v>
      </c>
      <c r="L108" s="8" t="n">
        <v>24.38</v>
      </c>
      <c r="M108" s="14">
        <f>J108/K108-1</f>
        <v/>
      </c>
      <c r="N108" s="7" t="inlineStr">
        <is>
          <t>ACIMA +4.6%</t>
        </is>
      </c>
      <c r="O108" s="7" t="inlineStr"/>
    </row>
    <row r="109">
      <c r="A109" s="7" t="n">
        <v>532061</v>
      </c>
      <c r="B109" s="7" t="inlineStr"/>
      <c r="C109" s="12" t="inlineStr">
        <is>
          <t>7894164006014</t>
        </is>
      </c>
      <c r="D109" s="7" t="inlineStr">
        <is>
          <t>VITAXON C TRIPLA ACAO EFERVECE CX C/ 10 CP</t>
        </is>
      </c>
      <c r="E109" s="13" t="n">
        <v>1</v>
      </c>
      <c r="F109" s="13" t="n">
        <v>62</v>
      </c>
      <c r="G109" s="13" t="n">
        <v>62</v>
      </c>
      <c r="H109" s="8" t="n">
        <v>4.58</v>
      </c>
      <c r="I109" s="8">
        <f>G109*H109</f>
        <v/>
      </c>
      <c r="J109" s="8">
        <f>H109/E109</f>
        <v/>
      </c>
      <c r="K109" s="8" t="n">
        <v>4.58</v>
      </c>
      <c r="L109" s="8" t="n">
        <v>4.58</v>
      </c>
      <c r="M109" s="14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622781</v>
      </c>
      <c r="B110" s="7" t="inlineStr"/>
      <c r="C110" s="12" t="inlineStr">
        <is>
          <t>7896226100067</t>
        </is>
      </c>
      <c r="D110" s="7" t="inlineStr">
        <is>
          <t>VITERGAN MASTER-N CX 30 COMP REV</t>
        </is>
      </c>
      <c r="E110" s="13" t="n">
        <v>1</v>
      </c>
      <c r="F110" s="13" t="n">
        <v>1</v>
      </c>
      <c r="G110" s="13" t="n">
        <v>1</v>
      </c>
      <c r="H110" s="8" t="n">
        <v>85.7</v>
      </c>
      <c r="I110" s="8">
        <f>G110*H110</f>
        <v/>
      </c>
      <c r="J110" s="8">
        <f>H110/E110</f>
        <v/>
      </c>
      <c r="K110" s="8" t="n">
        <v>103.42</v>
      </c>
      <c r="L110" s="8" t="n">
        <v>97.12</v>
      </c>
      <c r="M110" s="14">
        <f>J110/K110-1</f>
        <v/>
      </c>
      <c r="N110" s="7" t="inlineStr">
        <is>
          <t>OK (≤ menor hist.)</t>
        </is>
      </c>
      <c r="O110" s="7" t="inlineStr"/>
    </row>
    <row r="111">
      <c r="A111" s="7" t="n">
        <v>386261</v>
      </c>
      <c r="B111" s="7" t="inlineStr"/>
      <c r="C111" s="12" t="inlineStr">
        <is>
          <t>7896226102603</t>
        </is>
      </c>
      <c r="D111" s="7" t="inlineStr">
        <is>
          <t>VITERGAN ZINCO 15MG CX 30 COMP</t>
        </is>
      </c>
      <c r="E111" s="13" t="n">
        <v>1</v>
      </c>
      <c r="F111" s="13" t="n">
        <v>1</v>
      </c>
      <c r="G111" s="13" t="n">
        <v>1</v>
      </c>
      <c r="H111" s="8" t="n">
        <v>81.81999999999999</v>
      </c>
      <c r="I111" s="8">
        <f>G111*H111</f>
        <v/>
      </c>
      <c r="J111" s="8">
        <f>H111/E111</f>
        <v/>
      </c>
      <c r="K111" s="8" t="n">
        <v>81.81999999999999</v>
      </c>
      <c r="L111" s="8" t="n">
        <v>69.45999999999999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65081</v>
      </c>
      <c r="B112" s="7" t="inlineStr"/>
      <c r="C112" s="12" t="inlineStr">
        <is>
          <t>7500435144384</t>
        </is>
      </c>
      <c r="D112" s="7" t="inlineStr">
        <is>
          <t>XAROPE 44 E 1,30+13,30MG/ML XPE FR 240ML</t>
        </is>
      </c>
      <c r="E112" s="13" t="n">
        <v>1</v>
      </c>
      <c r="F112" s="13" t="n">
        <v>1</v>
      </c>
      <c r="G112" s="13" t="n">
        <v>1</v>
      </c>
      <c r="H112" s="8" t="n">
        <v>54</v>
      </c>
      <c r="I112" s="8">
        <f>G112*H112</f>
        <v/>
      </c>
      <c r="J112" s="8">
        <f>H112/E112</f>
        <v/>
      </c>
      <c r="K112" s="8" t="n">
        <v>51.6533</v>
      </c>
      <c r="L112" s="8" t="n">
        <v>45.41</v>
      </c>
      <c r="M112" s="14">
        <f>J112/K112-1</f>
        <v/>
      </c>
      <c r="N112" s="7" t="inlineStr">
        <is>
          <t>ACIMA +4.5%</t>
        </is>
      </c>
      <c r="O112" s="7" t="inlineStr"/>
    </row>
    <row r="113">
      <c r="A113" s="7" t="n">
        <v>261481</v>
      </c>
      <c r="B113" s="7" t="inlineStr"/>
      <c r="C113" s="12" t="inlineStr">
        <is>
          <t>7897316805442</t>
        </is>
      </c>
      <c r="D113" s="7" t="inlineStr">
        <is>
          <t>ZYPRED 3+10MG/ML SUS OFT FR GOT 6ML</t>
        </is>
      </c>
      <c r="E113" s="13" t="n">
        <v>1</v>
      </c>
      <c r="F113" s="13" t="n">
        <v>4</v>
      </c>
      <c r="G113" s="13" t="n">
        <v>4</v>
      </c>
      <c r="H113" s="8" t="n">
        <v>68.62</v>
      </c>
      <c r="I113" s="8">
        <f>G113*H113</f>
        <v/>
      </c>
      <c r="J113" s="8">
        <f>H113/E113</f>
        <v/>
      </c>
      <c r="K113" s="8" t="n">
        <v>67.565</v>
      </c>
      <c r="L113" s="8" t="n">
        <v>61.93</v>
      </c>
      <c r="M113" s="14">
        <f>J113/K113-1</f>
        <v/>
      </c>
      <c r="N113" s="7" t="inlineStr">
        <is>
          <t>ACIMA +1.6%</t>
        </is>
      </c>
      <c r="O113" s="7" t="inlineStr"/>
    </row>
    <row r="114">
      <c r="D114" s="5" t="inlineStr">
        <is>
          <t>TOTAL</t>
        </is>
      </c>
      <c r="I114" s="18">
        <f>SUM(I2:I113)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669881</v>
      </c>
      <c r="B2" s="7" t="inlineStr"/>
      <c r="C2" s="12" t="inlineStr">
        <is>
          <t>7891150102552</t>
        </is>
      </c>
      <c r="D2" s="7" t="inlineStr">
        <is>
          <t>- COND DOVE HIDRAT HIALU VIT 190ML   UNIL %DN:15.00</t>
        </is>
      </c>
      <c r="E2" s="13" t="n">
        <v>1</v>
      </c>
      <c r="F2" s="13" t="n">
        <v>1</v>
      </c>
      <c r="G2" s="13" t="n">
        <v>1</v>
      </c>
      <c r="H2" s="8" t="n">
        <v>16.3</v>
      </c>
      <c r="I2" s="8">
        <f>G2*H2</f>
        <v/>
      </c>
      <c r="J2" s="8">
        <f>H2/E2</f>
        <v/>
      </c>
      <c r="K2" s="8" t="n">
        <v>13.9</v>
      </c>
      <c r="L2" s="8" t="n">
        <v>13.9</v>
      </c>
      <c r="M2" s="14">
        <f>J2/K2-1</f>
        <v/>
      </c>
      <c r="N2" s="7" t="inlineStr">
        <is>
          <t>ACIMA +17.3%</t>
        </is>
      </c>
      <c r="O2" s="7" t="inlineStr"/>
    </row>
    <row r="3">
      <c r="A3" s="7" t="n">
        <v>662971</v>
      </c>
      <c r="B3" s="7" t="inlineStr"/>
      <c r="C3" s="12" t="inlineStr">
        <is>
          <t>7891150080119</t>
        </is>
      </c>
      <c r="D3" s="7" t="inlineStr">
        <is>
          <t>- CR TRAT SEDA COLAGVITAM C 300G   UNIL %DN:13.00</t>
        </is>
      </c>
      <c r="E3" s="13" t="n">
        <v>1</v>
      </c>
      <c r="F3" s="13" t="n">
        <v>2</v>
      </c>
      <c r="G3" s="13" t="n">
        <v>2</v>
      </c>
      <c r="H3" s="8" t="n">
        <v>14.31</v>
      </c>
      <c r="I3" s="8">
        <f>G3*H3</f>
        <v/>
      </c>
      <c r="J3" s="8">
        <f>H3/E3</f>
        <v/>
      </c>
      <c r="K3" s="8" t="n">
        <v>10.5867</v>
      </c>
      <c r="L3" s="8" t="n">
        <v>10.5867</v>
      </c>
      <c r="M3" s="14">
        <f>J3/K3-1</f>
        <v/>
      </c>
      <c r="N3" s="7" t="inlineStr">
        <is>
          <t>ACIMA +35.2%</t>
        </is>
      </c>
      <c r="O3" s="7" t="inlineStr"/>
    </row>
    <row r="4">
      <c r="A4" s="7" t="n">
        <v>663021</v>
      </c>
      <c r="B4" s="7" t="inlineStr"/>
      <c r="C4" s="12" t="inlineStr">
        <is>
          <t>7891150087385</t>
        </is>
      </c>
      <c r="D4" s="7" t="inlineStr">
        <is>
          <t>- DEO SUAVE AER AP FRUT VER 200ML   UNIL %DN:5.00</t>
        </is>
      </c>
      <c r="E4" s="13" t="n">
        <v>1</v>
      </c>
      <c r="F4" s="13" t="n">
        <v>1</v>
      </c>
      <c r="G4" s="13" t="n">
        <v>1</v>
      </c>
      <c r="H4" s="8" t="n">
        <v>8.76</v>
      </c>
      <c r="I4" s="8">
        <f>G4*H4</f>
        <v/>
      </c>
      <c r="J4" s="8">
        <f>H4/E4</f>
        <v/>
      </c>
      <c r="K4" s="8" t="n">
        <v>8.039999999999999</v>
      </c>
      <c r="L4" s="8" t="n">
        <v>8.039999999999999</v>
      </c>
      <c r="M4" s="14">
        <f>J4/K4-1</f>
        <v/>
      </c>
      <c r="N4" s="7" t="inlineStr">
        <is>
          <t>ACIMA +9.0%</t>
        </is>
      </c>
      <c r="O4" s="7" t="inlineStr"/>
    </row>
    <row r="5">
      <c r="A5" s="7" t="n">
        <v>663121</v>
      </c>
      <c r="B5" s="7" t="inlineStr"/>
      <c r="C5" s="12" t="inlineStr">
        <is>
          <t>7891150097377</t>
        </is>
      </c>
      <c r="D5" s="7" t="inlineStr">
        <is>
          <t>- KIT SHP+COND SEDA CERAMIDAS 300ML+190ML   UNIL %DN:10.00</t>
        </is>
      </c>
      <c r="E5" s="13" t="n">
        <v>1</v>
      </c>
      <c r="F5" s="13" t="n">
        <v>1</v>
      </c>
      <c r="G5" s="13" t="n">
        <v>1</v>
      </c>
      <c r="H5" s="8" t="n">
        <v>14.8</v>
      </c>
      <c r="I5" s="8">
        <f>G5*H5</f>
        <v/>
      </c>
      <c r="J5" s="8">
        <f>H5/E5</f>
        <v/>
      </c>
      <c r="K5" s="8" t="n">
        <v>13.22</v>
      </c>
      <c r="L5" s="8" t="n">
        <v>13.22</v>
      </c>
      <c r="M5" s="14">
        <f>J5/K5-1</f>
        <v/>
      </c>
      <c r="N5" s="7" t="inlineStr">
        <is>
          <t>ACIMA +12.0%</t>
        </is>
      </c>
      <c r="O5" s="7" t="inlineStr"/>
    </row>
    <row r="6">
      <c r="A6" s="7" t="n">
        <v>653421</v>
      </c>
      <c r="B6" s="7" t="inlineStr"/>
      <c r="C6" s="12" t="inlineStr">
        <is>
          <t>7896512927590</t>
        </is>
      </c>
      <c r="D6" s="7" t="inlineStr">
        <is>
          <t>- LENCO UMED BEBE ERVA DOCE 50UN   CASA %DN:10.00</t>
        </is>
      </c>
      <c r="E6" s="13" t="n">
        <v>1</v>
      </c>
      <c r="F6" s="13" t="n">
        <v>1</v>
      </c>
      <c r="G6" s="13" t="n">
        <v>1</v>
      </c>
      <c r="H6" s="8" t="n">
        <v>12.87</v>
      </c>
      <c r="I6" s="8">
        <f>G6*H6</f>
        <v/>
      </c>
      <c r="J6" s="8">
        <f>H6/E6</f>
        <v/>
      </c>
      <c r="K6" s="8" t="n">
        <v>11.1867</v>
      </c>
      <c r="L6" s="8" t="n">
        <v>11.1867</v>
      </c>
      <c r="M6" s="14">
        <f>J6/K6-1</f>
        <v/>
      </c>
      <c r="N6" s="7" t="inlineStr">
        <is>
          <t>ACIMA +15.0%</t>
        </is>
      </c>
      <c r="O6" s="7" t="inlineStr"/>
    </row>
    <row r="7">
      <c r="A7" s="7" t="n">
        <v>653401</v>
      </c>
      <c r="B7" s="7" t="inlineStr"/>
      <c r="C7" s="12" t="inlineStr">
        <is>
          <t>7896512935540</t>
        </is>
      </c>
      <c r="D7" s="7" t="inlineStr">
        <is>
          <t>- LENCO UMED BEBE PELE SENSIVEL 50UN   CASA %DN:10.00</t>
        </is>
      </c>
      <c r="E7" s="13" t="n">
        <v>1</v>
      </c>
      <c r="F7" s="13" t="n">
        <v>1</v>
      </c>
      <c r="G7" s="13" t="n">
        <v>1</v>
      </c>
      <c r="H7" s="8" t="n">
        <v>12.87</v>
      </c>
      <c r="I7" s="8">
        <f>G7*H7</f>
        <v/>
      </c>
      <c r="J7" s="8">
        <f>H7/E7</f>
        <v/>
      </c>
      <c r="K7" s="8" t="n">
        <v>11.1867</v>
      </c>
      <c r="L7" s="8" t="n">
        <v>11.1867</v>
      </c>
      <c r="M7" s="14">
        <f>J7/K7-1</f>
        <v/>
      </c>
      <c r="N7" s="7" t="inlineStr">
        <is>
          <t>ACIMA +15.0%</t>
        </is>
      </c>
      <c r="O7" s="7" t="inlineStr"/>
    </row>
    <row r="8">
      <c r="A8" s="7" t="n">
        <v>274461</v>
      </c>
      <c r="B8" s="7" t="inlineStr"/>
      <c r="C8" s="12" t="inlineStr">
        <is>
          <t>7898040320973</t>
        </is>
      </c>
      <c r="D8" s="7" t="inlineStr">
        <is>
          <t>ABRILAR 7MG XPE FR 100ML+CM</t>
        </is>
      </c>
      <c r="E8" s="13" t="n">
        <v>1</v>
      </c>
      <c r="F8" s="13" t="n">
        <v>5</v>
      </c>
      <c r="G8" s="13" t="n">
        <v>5</v>
      </c>
      <c r="H8" s="8" t="n">
        <v>41.8943</v>
      </c>
      <c r="I8" s="8">
        <f>G8*H8</f>
        <v/>
      </c>
      <c r="J8" s="8">
        <f>H8/E8</f>
        <v/>
      </c>
      <c r="K8" s="8" t="n">
        <v>42.64</v>
      </c>
      <c r="L8" s="8" t="n">
        <v>33.1775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630901</v>
      </c>
      <c r="B9" s="7" t="inlineStr"/>
      <c r="C9" s="12" t="inlineStr">
        <is>
          <t>7896064487016</t>
        </is>
      </c>
      <c r="D9" s="7" t="inlineStr">
        <is>
          <t>ABS GERIAMAX POS PARTO C/20UN</t>
        </is>
      </c>
      <c r="E9" s="13" t="n">
        <v>1</v>
      </c>
      <c r="F9" s="13" t="n">
        <v>3</v>
      </c>
      <c r="G9" s="13" t="n">
        <v>3</v>
      </c>
      <c r="H9" s="8" t="n">
        <v>20.88</v>
      </c>
      <c r="I9" s="8">
        <f>G9*H9</f>
        <v/>
      </c>
      <c r="J9" s="8">
        <f>H9/E9</f>
        <v/>
      </c>
      <c r="K9" s="8" t="n">
        <v>20.02</v>
      </c>
      <c r="L9" s="8" t="n">
        <v>17.35</v>
      </c>
      <c r="M9" s="14">
        <f>J9/K9-1</f>
        <v/>
      </c>
      <c r="N9" s="7" t="inlineStr">
        <is>
          <t>ACIMA +4.3%</t>
        </is>
      </c>
      <c r="O9" s="7" t="inlineStr"/>
    </row>
    <row r="10">
      <c r="A10" s="7" t="n">
        <v>595471</v>
      </c>
      <c r="B10" s="7" t="inlineStr"/>
      <c r="C10" s="12" t="inlineStr">
        <is>
          <t>7896007542482</t>
        </is>
      </c>
      <c r="D10" s="7" t="inlineStr">
        <is>
          <t>ABS INT DAYS S/AB 40UN</t>
        </is>
      </c>
      <c r="E10" s="13" t="n">
        <v>1</v>
      </c>
      <c r="F10" s="13" t="n">
        <v>2</v>
      </c>
      <c r="G10" s="13" t="n">
        <v>2</v>
      </c>
      <c r="H10" s="8" t="n">
        <v>12.28</v>
      </c>
      <c r="I10" s="8">
        <f>G10*H10</f>
        <v/>
      </c>
      <c r="J10" s="8">
        <f>H10/E10</f>
        <v/>
      </c>
      <c r="K10" s="8" t="n">
        <v>11.3917</v>
      </c>
      <c r="L10" s="8" t="n">
        <v>11.3917</v>
      </c>
      <c r="M10" s="14">
        <f>J10/K10-1</f>
        <v/>
      </c>
      <c r="N10" s="7" t="inlineStr">
        <is>
          <t>ACIMA +7.8%</t>
        </is>
      </c>
      <c r="O10" s="7" t="inlineStr"/>
    </row>
    <row r="11">
      <c r="A11" s="7" t="n">
        <v>659431</v>
      </c>
      <c r="B11" s="7" t="inlineStr"/>
      <c r="C11" s="12" t="inlineStr">
        <is>
          <t>7891010245603</t>
        </is>
      </c>
      <c r="D11" s="7" t="inlineStr">
        <is>
          <t>ABS INTERNO OB PROCOMFORT MED C/8</t>
        </is>
      </c>
      <c r="E11" s="13" t="n">
        <v>1</v>
      </c>
      <c r="F11" s="13" t="n">
        <v>6</v>
      </c>
      <c r="G11" s="13" t="n">
        <v>6</v>
      </c>
      <c r="H11" s="8" t="n">
        <v>10.44</v>
      </c>
      <c r="I11" s="8">
        <f>G11*H11</f>
        <v/>
      </c>
      <c r="J11" s="8">
        <f>H11/E11</f>
        <v/>
      </c>
      <c r="K11" s="8" t="n">
        <v>8.8025</v>
      </c>
      <c r="L11" s="8" t="n">
        <v>8.8025</v>
      </c>
      <c r="M11" s="14">
        <f>J11/K11-1</f>
        <v/>
      </c>
      <c r="N11" s="7" t="inlineStr">
        <is>
          <t>ACIMA +18.6%</t>
        </is>
      </c>
      <c r="O11" s="7" t="inlineStr"/>
    </row>
    <row r="12">
      <c r="A12" s="7" t="n">
        <v>587021</v>
      </c>
      <c r="B12" s="7" t="inlineStr"/>
      <c r="C12" s="12" t="inlineStr">
        <is>
          <t>7896007544059</t>
        </is>
      </c>
      <c r="D12" s="7" t="inlineStr">
        <is>
          <t>ABS INTIM GEL NORM SECA C/ABAS C/32</t>
        </is>
      </c>
      <c r="E12" s="13" t="n">
        <v>1</v>
      </c>
      <c r="F12" s="13" t="n">
        <v>1</v>
      </c>
      <c r="G12" s="13" t="n">
        <v>1</v>
      </c>
      <c r="H12" s="8" t="n">
        <v>15.31</v>
      </c>
      <c r="I12" s="8">
        <f>G12*H12</f>
        <v/>
      </c>
      <c r="J12" s="8">
        <f>H12/E12</f>
        <v/>
      </c>
      <c r="K12" s="8" t="n">
        <v>12.85</v>
      </c>
      <c r="L12" s="8" t="n">
        <v>12.85</v>
      </c>
      <c r="M12" s="14">
        <f>J12/K12-1</f>
        <v/>
      </c>
      <c r="N12" s="7" t="inlineStr">
        <is>
          <t>ACIMA +19.1%</t>
        </is>
      </c>
      <c r="O12" s="7" t="inlineStr"/>
    </row>
    <row r="13">
      <c r="A13" s="7" t="n">
        <v>628601</v>
      </c>
      <c r="B13" s="7" t="inlineStr"/>
      <c r="C13" s="12" t="inlineStr">
        <is>
          <t>7896007550890</t>
        </is>
      </c>
      <c r="D13" s="7" t="inlineStr">
        <is>
          <t>ABS INTIM GEL NOTUR C/ABAS SUAVE C/30</t>
        </is>
      </c>
      <c r="E13" s="13" t="n">
        <v>1</v>
      </c>
      <c r="F13" s="13" t="n">
        <v>3</v>
      </c>
      <c r="G13" s="13" t="n">
        <v>3</v>
      </c>
      <c r="H13" s="8" t="n">
        <v>27.24</v>
      </c>
      <c r="I13" s="8">
        <f>G13*H13</f>
        <v/>
      </c>
      <c r="J13" s="8">
        <f>H13/E13</f>
        <v/>
      </c>
      <c r="K13" s="8" t="n">
        <v>26.1</v>
      </c>
      <c r="L13" s="8" t="n">
        <v>17.6317</v>
      </c>
      <c r="M13" s="14">
        <f>J13/K13-1</f>
        <v/>
      </c>
      <c r="N13" s="7" t="inlineStr">
        <is>
          <t>ACIMA +4.4%</t>
        </is>
      </c>
      <c r="O13" s="7" t="inlineStr"/>
    </row>
    <row r="14">
      <c r="A14" s="7" t="n">
        <v>540121</v>
      </c>
      <c r="B14" s="7" t="inlineStr"/>
      <c r="C14" s="12" t="inlineStr">
        <is>
          <t>7896007550883</t>
        </is>
      </c>
      <c r="D14" s="7" t="inlineStr">
        <is>
          <t>ABS INTIMUS NOTURNO 16 UN</t>
        </is>
      </c>
      <c r="E14" s="13" t="n">
        <v>1</v>
      </c>
      <c r="F14" s="13" t="n">
        <v>3</v>
      </c>
      <c r="G14" s="13" t="n">
        <v>3</v>
      </c>
      <c r="H14" s="8" t="n">
        <v>15.98</v>
      </c>
      <c r="I14" s="8">
        <f>G14*H14</f>
        <v/>
      </c>
      <c r="J14" s="8">
        <f>H14/E14</f>
        <v/>
      </c>
      <c r="K14" s="8" t="n">
        <v>10.5033</v>
      </c>
      <c r="L14" s="8" t="n">
        <v>10.5033</v>
      </c>
      <c r="M14" s="14">
        <f>J14/K14-1</f>
        <v/>
      </c>
      <c r="N14" s="7" t="inlineStr">
        <is>
          <t>ACIMA +52.1%</t>
        </is>
      </c>
      <c r="O14" s="7" t="inlineStr"/>
    </row>
    <row r="15">
      <c r="A15" s="7" t="n">
        <v>556621</v>
      </c>
      <c r="B15" s="7" t="inlineStr"/>
      <c r="C15" s="12" t="inlineStr">
        <is>
          <t>7891010010577</t>
        </is>
      </c>
      <c r="D15" s="7" t="inlineStr">
        <is>
          <t>ABS OB INTERNO SUPER 10UN</t>
        </is>
      </c>
      <c r="E15" s="13" t="n">
        <v>1</v>
      </c>
      <c r="F15" s="13" t="n">
        <v>16</v>
      </c>
      <c r="G15" s="13" t="n">
        <v>16</v>
      </c>
      <c r="H15" s="8" t="n">
        <v>10.44</v>
      </c>
      <c r="I15" s="8">
        <f>G15*H15</f>
        <v/>
      </c>
      <c r="J15" s="8">
        <f>H15/E15</f>
        <v/>
      </c>
      <c r="K15" s="8" t="n">
        <v>9.199999999999999</v>
      </c>
      <c r="L15" s="8" t="n">
        <v>7.78</v>
      </c>
      <c r="M15" s="14">
        <f>J15/K15-1</f>
        <v/>
      </c>
      <c r="N15" s="7" t="inlineStr">
        <is>
          <t>ACIMA +13.5%</t>
        </is>
      </c>
      <c r="O15" s="7" t="inlineStr"/>
    </row>
    <row r="16">
      <c r="A16" s="7" t="n">
        <v>598971</v>
      </c>
      <c r="B16" s="7" t="inlineStr"/>
      <c r="C16" s="12" t="inlineStr">
        <is>
          <t>7891010697518</t>
        </is>
      </c>
      <c r="D16" s="7" t="inlineStr">
        <is>
          <t>ABS S LIVRE AD SE C/AB 32UN</t>
        </is>
      </c>
      <c r="E16" s="13" t="n">
        <v>1</v>
      </c>
      <c r="F16" s="13" t="n">
        <v>4</v>
      </c>
      <c r="G16" s="13" t="n">
        <v>4</v>
      </c>
      <c r="H16" s="8" t="n">
        <v>28.09</v>
      </c>
      <c r="I16" s="8">
        <f>G16*H16</f>
        <v/>
      </c>
      <c r="J16" s="8">
        <f>H16/E16</f>
        <v/>
      </c>
      <c r="K16" s="8" t="n">
        <v>26.05</v>
      </c>
      <c r="L16" s="8" t="n">
        <v>26.05</v>
      </c>
      <c r="M16" s="14">
        <f>J16/K16-1</f>
        <v/>
      </c>
      <c r="N16" s="7" t="inlineStr">
        <is>
          <t>ACIMA +7.8%</t>
        </is>
      </c>
      <c r="O16" s="7" t="inlineStr"/>
    </row>
    <row r="17">
      <c r="A17" s="7" t="n">
        <v>595251</v>
      </c>
      <c r="B17" s="7" t="inlineStr"/>
      <c r="C17" s="12" t="inlineStr">
        <is>
          <t>7891010518844</t>
        </is>
      </c>
      <c r="D17" s="7" t="inlineStr">
        <is>
          <t>ABS S LIVRE AD SU C/AB 32UN</t>
        </is>
      </c>
      <c r="E17" s="13" t="n">
        <v>1</v>
      </c>
      <c r="F17" s="13" t="n">
        <v>4</v>
      </c>
      <c r="G17" s="13" t="n">
        <v>4</v>
      </c>
      <c r="H17" s="8" t="n">
        <v>28.09</v>
      </c>
      <c r="I17" s="8">
        <f>G17*H17</f>
        <v/>
      </c>
      <c r="J17" s="8">
        <f>H17/E17</f>
        <v/>
      </c>
      <c r="K17" s="8" t="n">
        <v>26.05</v>
      </c>
      <c r="L17" s="8" t="n">
        <v>22.8483</v>
      </c>
      <c r="M17" s="14">
        <f>J17/K17-1</f>
        <v/>
      </c>
      <c r="N17" s="7" t="inlineStr">
        <is>
          <t>ACIMA +7.8%</t>
        </is>
      </c>
      <c r="O17" s="7" t="inlineStr"/>
    </row>
    <row r="18">
      <c r="A18" s="7" t="n">
        <v>634121</v>
      </c>
      <c r="B18" s="7" t="inlineStr"/>
      <c r="C18" s="12" t="inlineStr">
        <is>
          <t>7891010254155</t>
        </is>
      </c>
      <c r="D18" s="7" t="inlineStr">
        <is>
          <t>ABS S LIVRE ESP ADPT C/ABA 32UN</t>
        </is>
      </c>
      <c r="E18" s="13" t="n">
        <v>1</v>
      </c>
      <c r="F18" s="13" t="n">
        <v>7</v>
      </c>
      <c r="G18" s="13" t="n">
        <v>7</v>
      </c>
      <c r="H18" s="8" t="n">
        <v>15.34</v>
      </c>
      <c r="I18" s="8">
        <f>G18*H18</f>
        <v/>
      </c>
      <c r="J18" s="8">
        <f>H18/E18</f>
        <v/>
      </c>
      <c r="K18" s="8" t="n">
        <v>13.745</v>
      </c>
      <c r="L18" s="8" t="n">
        <v>12.0283</v>
      </c>
      <c r="M18" s="14">
        <f>J18/K18-1</f>
        <v/>
      </c>
      <c r="N18" s="7" t="inlineStr">
        <is>
          <t>ACIMA +11.6%</t>
        </is>
      </c>
      <c r="O18" s="7" t="inlineStr"/>
    </row>
    <row r="19">
      <c r="A19" s="7" t="n">
        <v>540161</v>
      </c>
      <c r="B19" s="7" t="inlineStr"/>
      <c r="C19" s="12" t="inlineStr">
        <is>
          <t>7891010694593</t>
        </is>
      </c>
      <c r="D19" s="7" t="inlineStr">
        <is>
          <t>ABS SEMPRE LIVRE ADAPT PLUS NOITE E DIA 8 UN</t>
        </is>
      </c>
      <c r="E19" s="13" t="n">
        <v>1</v>
      </c>
      <c r="F19" s="13" t="n">
        <v>4</v>
      </c>
      <c r="G19" s="13" t="n">
        <v>4</v>
      </c>
      <c r="H19" s="8" t="n">
        <v>8.98</v>
      </c>
      <c r="I19" s="8">
        <f>G19*H19</f>
        <v/>
      </c>
      <c r="J19" s="8">
        <f>H19/E19</f>
        <v/>
      </c>
      <c r="K19" s="8" t="n">
        <v>8.294600000000001</v>
      </c>
      <c r="L19" s="8" t="n">
        <v>7.3521</v>
      </c>
      <c r="M19" s="14">
        <f>J19/K19-1</f>
        <v/>
      </c>
      <c r="N19" s="7" t="inlineStr">
        <is>
          <t>ACIMA +8.3%</t>
        </is>
      </c>
      <c r="O19" s="7" t="inlineStr"/>
    </row>
    <row r="20">
      <c r="A20" s="7" t="n">
        <v>598071</v>
      </c>
      <c r="B20" s="7" t="inlineStr"/>
      <c r="C20" s="12" t="inlineStr">
        <is>
          <t>7891010704780</t>
        </is>
      </c>
      <c r="D20" s="7" t="inlineStr">
        <is>
          <t>ABS SL ADAPT PLUS SUAVE ABAS C/32UN</t>
        </is>
      </c>
      <c r="E20" s="13" t="n">
        <v>1</v>
      </c>
      <c r="F20" s="13" t="n">
        <v>1</v>
      </c>
      <c r="G20" s="13" t="n">
        <v>1</v>
      </c>
      <c r="H20" s="8" t="n">
        <v>18.57</v>
      </c>
      <c r="I20" s="8">
        <f>G20*H20</f>
        <v/>
      </c>
      <c r="J20" s="8">
        <f>H20/E20</f>
        <v/>
      </c>
      <c r="K20" s="8" t="n">
        <v>17.5267</v>
      </c>
      <c r="L20" s="8" t="n">
        <v>17.5267</v>
      </c>
      <c r="M20" s="14">
        <f>J20/K20-1</f>
        <v/>
      </c>
      <c r="N20" s="7" t="inlineStr">
        <is>
          <t>ACIMA +6.0%</t>
        </is>
      </c>
      <c r="O20" s="7" t="inlineStr"/>
    </row>
    <row r="21">
      <c r="A21" s="7" t="n">
        <v>628331</v>
      </c>
      <c r="B21" s="7" t="inlineStr"/>
      <c r="C21" s="12" t="inlineStr">
        <is>
          <t>7891010031633</t>
        </is>
      </c>
      <c r="D21" s="7" t="inlineStr">
        <is>
          <t>ABS SL ADAPT PLUS SUAVE ABAS C/8</t>
        </is>
      </c>
      <c r="E21" s="13" t="n">
        <v>1</v>
      </c>
      <c r="F21" s="13" t="n">
        <v>10</v>
      </c>
      <c r="G21" s="13" t="n">
        <v>10</v>
      </c>
      <c r="H21" s="8" t="n">
        <v>5.71</v>
      </c>
      <c r="I21" s="8">
        <f>G21*H21</f>
        <v/>
      </c>
      <c r="J21" s="8">
        <f>H21/E21</f>
        <v/>
      </c>
      <c r="K21" s="8" t="n">
        <v>5.2817</v>
      </c>
      <c r="L21" s="8" t="n">
        <v>4.6689</v>
      </c>
      <c r="M21" s="14">
        <f>J21/K21-1</f>
        <v/>
      </c>
      <c r="N21" s="7" t="inlineStr">
        <is>
          <t>ACIMA +8.1%</t>
        </is>
      </c>
      <c r="O21" s="7" t="inlineStr"/>
    </row>
    <row r="22">
      <c r="A22" s="7" t="n">
        <v>652271</v>
      </c>
      <c r="B22" s="7" t="inlineStr"/>
      <c r="C22" s="12" t="inlineStr">
        <is>
          <t>7501019056888</t>
        </is>
      </c>
      <c r="D22" s="7" t="inlineStr">
        <is>
          <t>ABS TENA LADY DISCREET NORMAL C/8</t>
        </is>
      </c>
      <c r="E22" s="13" t="n">
        <v>1</v>
      </c>
      <c r="F22" s="13" t="n">
        <v>1</v>
      </c>
      <c r="G22" s="13" t="n">
        <v>1</v>
      </c>
      <c r="H22" s="8" t="n">
        <v>13.9001</v>
      </c>
      <c r="I22" s="8">
        <f>G22*H22</f>
        <v/>
      </c>
      <c r="J22" s="8">
        <f>H22/E22</f>
        <v/>
      </c>
      <c r="K22" s="8" t="n">
        <v>10.75</v>
      </c>
      <c r="L22" s="8" t="n">
        <v>10.75</v>
      </c>
      <c r="M22" s="14">
        <f>J22/K22-1</f>
        <v/>
      </c>
      <c r="N22" s="7" t="inlineStr">
        <is>
          <t>ACIMA +29.3%</t>
        </is>
      </c>
      <c r="O22" s="7" t="inlineStr"/>
    </row>
    <row r="23">
      <c r="A23" s="7" t="n">
        <v>577761</v>
      </c>
      <c r="B23" s="7" t="inlineStr"/>
      <c r="C23" s="12" t="inlineStr">
        <is>
          <t>7896007544042</t>
        </is>
      </c>
      <c r="D23" s="7" t="inlineStr">
        <is>
          <t>ABS. INT. TRIP. PR. SU.C/AB. 32UN</t>
        </is>
      </c>
      <c r="E23" s="13" t="n">
        <v>1</v>
      </c>
      <c r="F23" s="13" t="n">
        <v>5</v>
      </c>
      <c r="G23" s="13" t="n">
        <v>5</v>
      </c>
      <c r="H23" s="8" t="n">
        <v>15.31</v>
      </c>
      <c r="I23" s="8">
        <f>G23*H23</f>
        <v/>
      </c>
      <c r="J23" s="8">
        <f>H23/E23</f>
        <v/>
      </c>
      <c r="K23" s="8" t="n">
        <v>14.53</v>
      </c>
      <c r="L23" s="8" t="n">
        <v>9.779999999999999</v>
      </c>
      <c r="M23" s="14">
        <f>J23/K23-1</f>
        <v/>
      </c>
      <c r="N23" s="7" t="inlineStr">
        <is>
          <t>ACIMA +5.4%</t>
        </is>
      </c>
      <c r="O23" s="7" t="inlineStr"/>
    </row>
    <row r="24">
      <c r="A24" s="7" t="n">
        <v>579801</v>
      </c>
      <c r="B24" s="7" t="inlineStr"/>
      <c r="C24" s="12" t="inlineStr">
        <is>
          <t>7896007550548</t>
        </is>
      </c>
      <c r="D24" s="7" t="inlineStr">
        <is>
          <t>ABS. INTIMUS DAYS S/AB.40X1 ANT.PE</t>
        </is>
      </c>
      <c r="E24" s="13" t="n">
        <v>1</v>
      </c>
      <c r="F24" s="13" t="n">
        <v>3</v>
      </c>
      <c r="G24" s="13" t="n">
        <v>3</v>
      </c>
      <c r="H24" s="8" t="n">
        <v>12.28</v>
      </c>
      <c r="I24" s="8">
        <f>G24*H24</f>
        <v/>
      </c>
      <c r="J24" s="8">
        <f>H24/E24</f>
        <v/>
      </c>
      <c r="K24" s="8" t="n">
        <v>10.14</v>
      </c>
      <c r="L24" s="8" t="n">
        <v>8.859999999999999</v>
      </c>
      <c r="M24" s="14">
        <f>J24/K24-1</f>
        <v/>
      </c>
      <c r="N24" s="7" t="inlineStr">
        <is>
          <t>ACIMA +21.1%</t>
        </is>
      </c>
      <c r="O24" s="7" t="inlineStr"/>
    </row>
    <row r="25">
      <c r="A25" s="7" t="n">
        <v>589771</v>
      </c>
      <c r="B25" s="7" t="inlineStr"/>
      <c r="C25" s="12" t="inlineStr">
        <is>
          <t>7896007545094</t>
        </is>
      </c>
      <c r="D25" s="7" t="inlineStr">
        <is>
          <t>ABS. INTIMUS TRIP.PR.SU.C/A.16UN</t>
        </is>
      </c>
      <c r="E25" s="13" t="n">
        <v>1</v>
      </c>
      <c r="F25" s="13" t="n">
        <v>3</v>
      </c>
      <c r="G25" s="13" t="n">
        <v>3</v>
      </c>
      <c r="H25" s="8" t="n">
        <v>8.42</v>
      </c>
      <c r="I25" s="8">
        <f>G25*H25</f>
        <v/>
      </c>
      <c r="J25" s="8">
        <f>H25/E25</f>
        <v/>
      </c>
      <c r="K25" s="8" t="n">
        <v>5.8133</v>
      </c>
      <c r="L25" s="8" t="n">
        <v>5.8133</v>
      </c>
      <c r="M25" s="14">
        <f>J25/K25-1</f>
        <v/>
      </c>
      <c r="N25" s="7" t="inlineStr">
        <is>
          <t>ACIMA +44.8%</t>
        </is>
      </c>
      <c r="O25" s="7" t="inlineStr"/>
    </row>
    <row r="26">
      <c r="A26" s="7" t="n">
        <v>577741</v>
      </c>
      <c r="B26" s="7" t="inlineStr"/>
      <c r="C26" s="12" t="inlineStr">
        <is>
          <t>7891010579616</t>
        </is>
      </c>
      <c r="D26" s="7" t="inlineStr">
        <is>
          <t>ABS. S. LIVRE AD.SU.C/AB.16UN</t>
        </is>
      </c>
      <c r="E26" s="13" t="n">
        <v>1</v>
      </c>
      <c r="F26" s="13" t="n">
        <v>4</v>
      </c>
      <c r="G26" s="13" t="n">
        <v>4</v>
      </c>
      <c r="H26" s="8" t="n">
        <v>10.67</v>
      </c>
      <c r="I26" s="8">
        <f>G26*H26</f>
        <v/>
      </c>
      <c r="J26" s="8">
        <f>H26/E26</f>
        <v/>
      </c>
      <c r="K26" s="8" t="n">
        <v>9.8767</v>
      </c>
      <c r="L26" s="8" t="n">
        <v>8.7217</v>
      </c>
      <c r="M26" s="14">
        <f>J26/K26-1</f>
        <v/>
      </c>
      <c r="N26" s="7" t="inlineStr">
        <is>
          <t>ACIMA +8.0%</t>
        </is>
      </c>
      <c r="O26" s="7" t="inlineStr"/>
    </row>
    <row r="27">
      <c r="A27" s="7" t="n">
        <v>548701</v>
      </c>
      <c r="B27" s="7" t="inlineStr"/>
      <c r="C27" s="12" t="inlineStr">
        <is>
          <t>7891010793463</t>
        </is>
      </c>
      <c r="D27" s="7" t="inlineStr">
        <is>
          <t>ABSORVENTE C/ ABAS SUAVE SEMPRE LIVRE ADAPT  16 UNID</t>
        </is>
      </c>
      <c r="E27" s="13" t="n">
        <v>1</v>
      </c>
      <c r="F27" s="13" t="n">
        <v>13</v>
      </c>
      <c r="G27" s="13" t="n">
        <v>13</v>
      </c>
      <c r="H27" s="8" t="n">
        <v>8.85</v>
      </c>
      <c r="I27" s="8">
        <f>G27*H27</f>
        <v/>
      </c>
      <c r="J27" s="8">
        <f>H27/E27</f>
        <v/>
      </c>
      <c r="K27" s="8" t="n">
        <v>7.16</v>
      </c>
      <c r="L27" s="8" t="n">
        <v>7.16</v>
      </c>
      <c r="M27" s="14">
        <f>J27/K27-1</f>
        <v/>
      </c>
      <c r="N27" s="7" t="inlineStr">
        <is>
          <t>ACIMA +23.6%</t>
        </is>
      </c>
      <c r="O27" s="7" t="inlineStr"/>
    </row>
    <row r="28">
      <c r="A28" s="7" t="n">
        <v>537661</v>
      </c>
      <c r="B28" s="7" t="inlineStr"/>
      <c r="C28" s="12" t="inlineStr">
        <is>
          <t>7896007541867</t>
        </is>
      </c>
      <c r="D28" s="7" t="inlineStr">
        <is>
          <t>ABSORVENTE INTERNO INTIMUS MEDIO CAIXA 8 UNIDADES</t>
        </is>
      </c>
      <c r="E28" s="13" t="n">
        <v>1</v>
      </c>
      <c r="F28" s="13" t="n">
        <v>8</v>
      </c>
      <c r="G28" s="13" t="n">
        <v>8</v>
      </c>
      <c r="H28" s="8" t="n">
        <v>11.55</v>
      </c>
      <c r="I28" s="8">
        <f>G28*H28</f>
        <v/>
      </c>
      <c r="J28" s="8">
        <f>H28/E28</f>
        <v/>
      </c>
      <c r="K28" s="8" t="n">
        <v>7.87</v>
      </c>
      <c r="L28" s="8" t="n">
        <v>7.5008</v>
      </c>
      <c r="M28" s="14">
        <f>J28/K28-1</f>
        <v/>
      </c>
      <c r="N28" s="7" t="inlineStr">
        <is>
          <t>ACIMA +46.8%</t>
        </is>
      </c>
      <c r="O28" s="7" t="inlineStr"/>
    </row>
    <row r="29">
      <c r="A29" s="7" t="n">
        <v>537181</v>
      </c>
      <c r="B29" s="7" t="inlineStr"/>
      <c r="C29" s="12" t="inlineStr">
        <is>
          <t>7896007541874</t>
        </is>
      </c>
      <c r="D29" s="7" t="inlineStr">
        <is>
          <t>ABSORVENTE INTERNO INTIMUS SUPER CAIXA 8 UNIDADES</t>
        </is>
      </c>
      <c r="E29" s="13" t="n">
        <v>1</v>
      </c>
      <c r="F29" s="13" t="n">
        <v>5</v>
      </c>
      <c r="G29" s="13" t="n">
        <v>5</v>
      </c>
      <c r="H29" s="8" t="n">
        <v>11.55</v>
      </c>
      <c r="I29" s="8">
        <f>G29*H29</f>
        <v/>
      </c>
      <c r="J29" s="8">
        <f>H29/E29</f>
        <v/>
      </c>
      <c r="K29" s="8" t="n">
        <v>7.87</v>
      </c>
      <c r="L29" s="8" t="n">
        <v>6.8758</v>
      </c>
      <c r="M29" s="14">
        <f>J29/K29-1</f>
        <v/>
      </c>
      <c r="N29" s="7" t="inlineStr">
        <is>
          <t>ACIMA +46.8%</t>
        </is>
      </c>
      <c r="O29" s="7" t="inlineStr"/>
    </row>
    <row r="30">
      <c r="A30" s="7" t="n">
        <v>641531</v>
      </c>
      <c r="B30" s="7" t="inlineStr"/>
      <c r="C30" s="12" t="inlineStr">
        <is>
          <t>7896007550814</t>
        </is>
      </c>
      <c r="D30" s="7" t="inlineStr">
        <is>
          <t>ABSORVENTE INTIMUS NOTURNO DISCRETO COM ABAS 1X28</t>
        </is>
      </c>
      <c r="E30" s="13" t="n">
        <v>1</v>
      </c>
      <c r="F30" s="13" t="n">
        <v>5</v>
      </c>
      <c r="G30" s="13" t="n">
        <v>5</v>
      </c>
      <c r="H30" s="8" t="n">
        <v>27.24</v>
      </c>
      <c r="I30" s="8">
        <f>G30*H30</f>
        <v/>
      </c>
      <c r="J30" s="8">
        <f>H30/E30</f>
        <v/>
      </c>
      <c r="K30" s="8" t="n">
        <v>21.1</v>
      </c>
      <c r="L30" s="8" t="n">
        <v>21.1</v>
      </c>
      <c r="M30" s="14">
        <f>J30/K30-1</f>
        <v/>
      </c>
      <c r="N30" s="7" t="inlineStr">
        <is>
          <t>ACIMA +29.1%</t>
        </is>
      </c>
      <c r="O30" s="7" t="inlineStr"/>
    </row>
    <row r="31">
      <c r="A31" s="7" t="n">
        <v>554821</v>
      </c>
      <c r="B31" s="7" t="inlineStr"/>
      <c r="C31" s="12" t="inlineStr">
        <is>
          <t>7891010503031</t>
        </is>
      </c>
      <c r="D31" s="7" t="inlineStr">
        <is>
          <t>ABSORVENTE SEM ABAS SUAVE SEMPRE LIVRE ADAPT PACOTE 8 UNIDADES</t>
        </is>
      </c>
      <c r="E31" s="13" t="n">
        <v>1</v>
      </c>
      <c r="F31" s="13" t="n">
        <v>18</v>
      </c>
      <c r="G31" s="13" t="n">
        <v>18</v>
      </c>
      <c r="H31" s="8" t="n">
        <v>4.69</v>
      </c>
      <c r="I31" s="8">
        <f>G31*H31</f>
        <v/>
      </c>
      <c r="J31" s="8">
        <f>H31/E31</f>
        <v/>
      </c>
      <c r="K31" s="8" t="n">
        <v>3.08</v>
      </c>
      <c r="L31" s="8" t="n">
        <v>3.08</v>
      </c>
      <c r="M31" s="14">
        <f>J31/K31-1</f>
        <v/>
      </c>
      <c r="N31" s="7" t="inlineStr">
        <is>
          <t>ACIMA +52.3%</t>
        </is>
      </c>
      <c r="O31" s="7" t="inlineStr"/>
    </row>
    <row r="32">
      <c r="A32" s="7" t="n">
        <v>548801</v>
      </c>
      <c r="B32" s="7" t="inlineStr"/>
      <c r="C32" s="12" t="inlineStr">
        <is>
          <t>7891010035631</t>
        </is>
      </c>
      <c r="D32" s="7" t="inlineStr">
        <is>
          <t>ABSORVENTE SEMPRE LIVRE ADAPT PLUS NOITE E DIA SUAVE COM ABAS COM 8 UNIDADES</t>
        </is>
      </c>
      <c r="E32" s="13" t="n">
        <v>1</v>
      </c>
      <c r="F32" s="13" t="n">
        <v>20</v>
      </c>
      <c r="G32" s="13" t="n">
        <v>20</v>
      </c>
      <c r="H32" s="8" t="n">
        <v>8.98</v>
      </c>
      <c r="I32" s="8">
        <f>G32*H32</f>
        <v/>
      </c>
      <c r="J32" s="8">
        <f>H32/E32</f>
        <v/>
      </c>
      <c r="K32" s="8" t="n">
        <v>6.62</v>
      </c>
      <c r="L32" s="8" t="n">
        <v>6.62</v>
      </c>
      <c r="M32" s="14">
        <f>J32/K32-1</f>
        <v/>
      </c>
      <c r="N32" s="7" t="inlineStr">
        <is>
          <t>ACIMA +35.6%</t>
        </is>
      </c>
      <c r="O32" s="7" t="inlineStr"/>
    </row>
    <row r="33">
      <c r="A33" s="7" t="n">
        <v>564381</v>
      </c>
      <c r="B33" s="7" t="inlineStr"/>
      <c r="C33" s="12" t="inlineStr">
        <is>
          <t>7891010607135</t>
        </is>
      </c>
      <c r="D33" s="7" t="inlineStr">
        <is>
          <t>ABSORVENTE SEMPRE LIVRE NOT.SU.C/A.16X1 UN</t>
        </is>
      </c>
      <c r="E33" s="13" t="n">
        <v>1</v>
      </c>
      <c r="F33" s="13" t="n">
        <v>13</v>
      </c>
      <c r="G33" s="13" t="n">
        <v>13</v>
      </c>
      <c r="H33" s="8" t="n">
        <v>16.97</v>
      </c>
      <c r="I33" s="8">
        <f>G33*H33</f>
        <v/>
      </c>
      <c r="J33" s="8">
        <f>H33/E33</f>
        <v/>
      </c>
      <c r="K33" s="8" t="n">
        <v>12.99</v>
      </c>
      <c r="L33" s="8" t="n">
        <v>12.34</v>
      </c>
      <c r="M33" s="14">
        <f>J33/K33-1</f>
        <v/>
      </c>
      <c r="N33" s="7" t="inlineStr">
        <is>
          <t>ACIMA +30.6%</t>
        </is>
      </c>
      <c r="O33" s="7" t="inlineStr"/>
    </row>
    <row r="34">
      <c r="A34" s="7" t="n">
        <v>543481</v>
      </c>
      <c r="B34" s="7" t="inlineStr"/>
      <c r="C34" s="12" t="inlineStr">
        <is>
          <t>7896523208282</t>
        </is>
      </c>
      <c r="D34" s="7" t="inlineStr">
        <is>
          <t>ACNEZIL 50MG 20G GEL</t>
        </is>
      </c>
      <c r="E34" s="13" t="n">
        <v>1</v>
      </c>
      <c r="F34" s="13" t="n">
        <v>4</v>
      </c>
      <c r="G34" s="13" t="n">
        <v>4</v>
      </c>
      <c r="H34" s="8" t="n">
        <v>11.47</v>
      </c>
      <c r="I34" s="8">
        <f>G34*H34</f>
        <v/>
      </c>
      <c r="J34" s="8">
        <f>H34/E34</f>
        <v/>
      </c>
      <c r="K34" s="8" t="n">
        <v>11.96</v>
      </c>
      <c r="L34" s="8" t="n">
        <v>10.09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546761</v>
      </c>
      <c r="B35" s="7" t="inlineStr"/>
      <c r="C35" s="12" t="inlineStr">
        <is>
          <t>7897947607392</t>
        </is>
      </c>
      <c r="D35" s="7" t="inlineStr">
        <is>
          <t>ACNEZIL GEL SECATIVO BG 10 G</t>
        </is>
      </c>
      <c r="E35" s="13" t="n">
        <v>1</v>
      </c>
      <c r="F35" s="13" t="n">
        <v>2</v>
      </c>
      <c r="G35" s="13" t="n">
        <v>2</v>
      </c>
      <c r="H35" s="8" t="n">
        <v>8.67</v>
      </c>
      <c r="I35" s="8">
        <f>G35*H35</f>
        <v/>
      </c>
      <c r="J35" s="8">
        <f>H35/E35</f>
        <v/>
      </c>
      <c r="K35" s="8" t="n">
        <v>9.710000000000001</v>
      </c>
      <c r="L35" s="8" t="n">
        <v>8.99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587601</v>
      </c>
      <c r="B36" s="7" t="inlineStr"/>
      <c r="C36" s="12" t="inlineStr">
        <is>
          <t>7897947601185</t>
        </is>
      </c>
      <c r="D36" s="7" t="inlineStr">
        <is>
          <t>ACNEZIL PROT FPS30 OIL CONTROL BG 60G</t>
        </is>
      </c>
      <c r="E36" s="13" t="n">
        <v>1</v>
      </c>
      <c r="F36" s="13" t="n">
        <v>2</v>
      </c>
      <c r="G36" s="13" t="n">
        <v>2</v>
      </c>
      <c r="H36" s="8" t="n">
        <v>21.7</v>
      </c>
      <c r="I36" s="8">
        <f>G36*H36</f>
        <v/>
      </c>
      <c r="J36" s="8">
        <f>H36/E36</f>
        <v/>
      </c>
      <c r="K36" s="8" t="n"/>
      <c r="L36" s="8" t="n"/>
      <c r="M36" s="14" t="n"/>
      <c r="N36" s="7" t="inlineStr">
        <is>
          <t>SEM HISTÓRICO</t>
        </is>
      </c>
      <c r="O36" s="7" t="inlineStr"/>
    </row>
    <row r="37">
      <c r="A37" s="7" t="n">
        <v>637451</v>
      </c>
      <c r="B37" s="7" t="inlineStr"/>
      <c r="C37" s="12" t="inlineStr">
        <is>
          <t>7897947617025</t>
        </is>
      </c>
      <c r="D37" s="7" t="inlineStr">
        <is>
          <t>ACNEZIL SABONETE BARRA PELE ACNEICA 70G</t>
        </is>
      </c>
      <c r="E37" s="13" t="n">
        <v>1</v>
      </c>
      <c r="F37" s="13" t="n">
        <v>2</v>
      </c>
      <c r="G37" s="13" t="n">
        <v>2</v>
      </c>
      <c r="H37" s="8" t="n">
        <v>8.44</v>
      </c>
      <c r="I37" s="8">
        <f>G37*H37</f>
        <v/>
      </c>
      <c r="J37" s="8">
        <f>H37/E37</f>
        <v/>
      </c>
      <c r="K37" s="8" t="n">
        <v>5.89</v>
      </c>
      <c r="L37" s="8" t="n">
        <v>5.89</v>
      </c>
      <c r="M37" s="14">
        <f>J37/K37-1</f>
        <v/>
      </c>
      <c r="N37" s="7" t="inlineStr">
        <is>
          <t>ACIMA +43.3%</t>
        </is>
      </c>
      <c r="O37" s="7" t="inlineStr"/>
    </row>
    <row r="38">
      <c r="A38" s="7" t="n">
        <v>637461</v>
      </c>
      <c r="B38" s="7" t="inlineStr"/>
      <c r="C38" s="12" t="inlineStr">
        <is>
          <t>7897947617032</t>
        </is>
      </c>
      <c r="D38" s="7" t="inlineStr">
        <is>
          <t>ACNEZIL SABONETE BARRA PELE OLEOSA 70G</t>
        </is>
      </c>
      <c r="E38" s="13" t="n">
        <v>1</v>
      </c>
      <c r="F38" s="13" t="n">
        <v>3</v>
      </c>
      <c r="G38" s="13" t="n">
        <v>3</v>
      </c>
      <c r="H38" s="8" t="n">
        <v>8.44</v>
      </c>
      <c r="I38" s="8">
        <f>G38*H38</f>
        <v/>
      </c>
      <c r="J38" s="8">
        <f>H38/E38</f>
        <v/>
      </c>
      <c r="K38" s="8" t="n">
        <v>4.79</v>
      </c>
      <c r="L38" s="8" t="n">
        <v>4.79</v>
      </c>
      <c r="M38" s="14">
        <f>J38/K38-1</f>
        <v/>
      </c>
      <c r="N38" s="7" t="inlineStr">
        <is>
          <t>ACIMA +76.2%</t>
        </is>
      </c>
      <c r="O38" s="7" t="inlineStr"/>
    </row>
    <row r="39">
      <c r="A39" s="7" t="n">
        <v>884</v>
      </c>
      <c r="B39" s="7" t="inlineStr"/>
      <c r="C39" s="12" t="inlineStr">
        <is>
          <t>7892828002303</t>
        </is>
      </c>
      <c r="D39" s="7" t="inlineStr">
        <is>
          <t>ADEFORTE TURBO USO ORAL 2AMP 3ML</t>
        </is>
      </c>
      <c r="E39" s="13" t="n">
        <v>1</v>
      </c>
      <c r="F39" s="13" t="n">
        <v>17</v>
      </c>
      <c r="G39" s="13" t="n">
        <v>17</v>
      </c>
      <c r="H39" s="8" t="n">
        <v>42.5505</v>
      </c>
      <c r="I39" s="8">
        <f>G39*H39</f>
        <v/>
      </c>
      <c r="J39" s="8">
        <f>H39/E39</f>
        <v/>
      </c>
      <c r="K39" s="8" t="n">
        <v>44.79</v>
      </c>
      <c r="L39" s="8" t="n">
        <v>30.3708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1153</v>
      </c>
      <c r="B40" s="7" t="inlineStr"/>
      <c r="C40" s="12" t="inlineStr">
        <is>
          <t>7898994541738</t>
        </is>
      </c>
      <c r="D40" s="7" t="inlineStr">
        <is>
          <t>AGUA MINERAL FLORATTA 500ML</t>
        </is>
      </c>
      <c r="E40" s="13" t="n">
        <v>1</v>
      </c>
      <c r="F40" s="13" t="n">
        <v>61</v>
      </c>
      <c r="G40" s="13" t="n">
        <v>61</v>
      </c>
      <c r="H40" s="8" t="n">
        <v>1.28</v>
      </c>
      <c r="I40" s="8">
        <f>G40*H40</f>
        <v/>
      </c>
      <c r="J40" s="8">
        <f>H40/E40</f>
        <v/>
      </c>
      <c r="K40" s="8" t="n">
        <v>11.88</v>
      </c>
      <c r="L40" s="8" t="n">
        <v>11.88</v>
      </c>
      <c r="M40" s="14">
        <f>J40/K40-1</f>
        <v/>
      </c>
      <c r="N40" s="7" t="inlineStr">
        <is>
          <t>OK (≤ menor hist.)</t>
        </is>
      </c>
      <c r="O40" s="7" t="inlineStr">
        <is>
          <t>conferir emb.</t>
        </is>
      </c>
    </row>
    <row r="41">
      <c r="A41" s="7" t="n">
        <v>657951</v>
      </c>
      <c r="B41" s="7" t="inlineStr"/>
      <c r="C41" s="12" t="inlineStr">
        <is>
          <t>07896902210561</t>
        </is>
      </c>
      <c r="D41" s="7" t="inlineStr">
        <is>
          <t>AGUA OXIG FARMAX 90ML 20V</t>
        </is>
      </c>
      <c r="E41" s="13" t="n">
        <v>1</v>
      </c>
      <c r="F41" s="13" t="n">
        <v>1</v>
      </c>
      <c r="G41" s="13" t="n">
        <v>1</v>
      </c>
      <c r="H41" s="8" t="n">
        <v>2.06</v>
      </c>
      <c r="I41" s="8">
        <f>G41*H41</f>
        <v/>
      </c>
      <c r="J41" s="8">
        <f>H41/E41</f>
        <v/>
      </c>
      <c r="K41" s="8" t="n">
        <v>2.22</v>
      </c>
      <c r="L41" s="8" t="n">
        <v>2.22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532161</v>
      </c>
      <c r="B42" s="7" t="inlineStr"/>
      <c r="C42" s="12" t="inlineStr">
        <is>
          <t>7898031310587</t>
        </is>
      </c>
      <c r="D42" s="7" t="inlineStr">
        <is>
          <t>AGUA OXIGENADA ALMOT. 10 VOL. 100ML</t>
        </is>
      </c>
      <c r="E42" s="13" t="n">
        <v>1</v>
      </c>
      <c r="F42" s="13" t="n">
        <v>45</v>
      </c>
      <c r="G42" s="13" t="n">
        <v>45</v>
      </c>
      <c r="H42" s="8" t="n">
        <v>2.65</v>
      </c>
      <c r="I42" s="8">
        <f>G42*H42</f>
        <v/>
      </c>
      <c r="J42" s="8">
        <f>H42/E42</f>
        <v/>
      </c>
      <c r="K42" s="8" t="n">
        <v>2.35</v>
      </c>
      <c r="L42" s="8" t="n">
        <v>2.18</v>
      </c>
      <c r="M42" s="14">
        <f>J42/K42-1</f>
        <v/>
      </c>
      <c r="N42" s="7" t="inlineStr">
        <is>
          <t>ACIMA +12.8%</t>
        </is>
      </c>
      <c r="O42" s="7" t="inlineStr"/>
    </row>
    <row r="43">
      <c r="A43" s="7" t="n">
        <v>674721</v>
      </c>
      <c r="B43" s="7" t="inlineStr"/>
      <c r="C43" s="12" t="inlineStr">
        <is>
          <t>7896902210530</t>
        </is>
      </c>
      <c r="D43" s="7" t="inlineStr">
        <is>
          <t>AGUA OXIGENADA CR 10VOL DESCOLOR 90ML</t>
        </is>
      </c>
      <c r="E43" s="13" t="n">
        <v>1</v>
      </c>
      <c r="F43" s="13" t="n">
        <v>5</v>
      </c>
      <c r="G43" s="13" t="n">
        <v>5</v>
      </c>
      <c r="H43" s="8" t="n">
        <v>2.06</v>
      </c>
      <c r="I43" s="8">
        <f>G43*H43</f>
        <v/>
      </c>
      <c r="J43" s="8">
        <f>H43/E43</f>
        <v/>
      </c>
      <c r="K43" s="8" t="n">
        <v>1.97</v>
      </c>
      <c r="L43" s="8" t="n">
        <v>1.97</v>
      </c>
      <c r="M43" s="14">
        <f>J43/K43-1</f>
        <v/>
      </c>
      <c r="N43" s="7" t="inlineStr">
        <is>
          <t>ACIMA +4.6%</t>
        </is>
      </c>
      <c r="O43" s="7" t="inlineStr"/>
    </row>
    <row r="44">
      <c r="A44" s="7" t="n">
        <v>534741</v>
      </c>
      <c r="B44" s="7" t="inlineStr"/>
      <c r="C44" s="12" t="inlineStr">
        <is>
          <t>7896902210608</t>
        </is>
      </c>
      <c r="D44" s="7" t="inlineStr">
        <is>
          <t>AGUA OXIGENADA CREMOSA - 30 VOL 90ML</t>
        </is>
      </c>
      <c r="E44" s="13" t="n">
        <v>1</v>
      </c>
      <c r="F44" s="13" t="n">
        <v>16</v>
      </c>
      <c r="G44" s="13" t="n">
        <v>16</v>
      </c>
      <c r="H44" s="8" t="n">
        <v>2.06</v>
      </c>
      <c r="I44" s="8">
        <f>G44*H44</f>
        <v/>
      </c>
      <c r="J44" s="8">
        <f>H44/E44</f>
        <v/>
      </c>
      <c r="K44" s="8" t="n">
        <v>1.84</v>
      </c>
      <c r="L44" s="8" t="n">
        <v>1.5367</v>
      </c>
      <c r="M44" s="14">
        <f>J44/K44-1</f>
        <v/>
      </c>
      <c r="N44" s="7" t="inlineStr">
        <is>
          <t>ACIMA +12.0%</t>
        </is>
      </c>
      <c r="O44" s="7" t="inlineStr"/>
    </row>
    <row r="45">
      <c r="A45" s="7" t="n">
        <v>534761</v>
      </c>
      <c r="B45" s="7" t="inlineStr"/>
      <c r="C45" s="12" t="inlineStr">
        <is>
          <t>7896902210905</t>
        </is>
      </c>
      <c r="D45" s="7" t="inlineStr">
        <is>
          <t>AGUA OXIGENADA CREMOSA - AMONIA 100ML</t>
        </is>
      </c>
      <c r="E45" s="13" t="n">
        <v>1</v>
      </c>
      <c r="F45" s="13" t="n">
        <v>2</v>
      </c>
      <c r="G45" s="13" t="n">
        <v>2</v>
      </c>
      <c r="H45" s="8" t="n">
        <v>2.02</v>
      </c>
      <c r="I45" s="8">
        <f>G45*H45</f>
        <v/>
      </c>
      <c r="J45" s="8">
        <f>H45/E45</f>
        <v/>
      </c>
      <c r="K45" s="8" t="n">
        <v>1.95</v>
      </c>
      <c r="L45" s="8" t="n">
        <v>1.95</v>
      </c>
      <c r="M45" s="14">
        <f>J45/K45-1</f>
        <v/>
      </c>
      <c r="N45" s="7" t="inlineStr">
        <is>
          <t>ACIMA +3.6%</t>
        </is>
      </c>
      <c r="O45" s="7" t="inlineStr"/>
    </row>
    <row r="46">
      <c r="A46" s="7" t="n">
        <v>547721</v>
      </c>
      <c r="B46" s="7" t="inlineStr"/>
      <c r="C46" s="12" t="inlineStr">
        <is>
          <t>7896902211544</t>
        </is>
      </c>
      <c r="D46" s="7" t="inlineStr">
        <is>
          <t>AGUA OXIGENADA VOL10</t>
        </is>
      </c>
      <c r="E46" s="13" t="n">
        <v>1</v>
      </c>
      <c r="F46" s="13" t="n">
        <v>39</v>
      </c>
      <c r="G46" s="13" t="n">
        <v>39</v>
      </c>
      <c r="H46" s="8" t="n">
        <v>2.12</v>
      </c>
      <c r="I46" s="8">
        <f>G46*H46</f>
        <v/>
      </c>
      <c r="J46" s="8">
        <f>H46/E46</f>
        <v/>
      </c>
      <c r="K46" s="8" t="n">
        <v>2.37</v>
      </c>
      <c r="L46" s="8" t="n">
        <v>1.9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295401</v>
      </c>
      <c r="B47" s="7" t="inlineStr"/>
      <c r="C47" s="12" t="inlineStr">
        <is>
          <t>7891142982407</t>
        </is>
      </c>
      <c r="D47" s="7" t="inlineStr">
        <is>
          <t>ALIVIUM 400MG CX 10 CAP</t>
        </is>
      </c>
      <c r="E47" s="13" t="n">
        <v>1</v>
      </c>
      <c r="F47" s="13" t="n">
        <v>1</v>
      </c>
      <c r="G47" s="13" t="n">
        <v>1</v>
      </c>
      <c r="H47" s="8" t="n">
        <v>24.89095</v>
      </c>
      <c r="I47" s="8">
        <f>G47*H47</f>
        <v/>
      </c>
      <c r="J47" s="8">
        <f>H47/E47</f>
        <v/>
      </c>
      <c r="K47" s="8" t="n">
        <v>20.215</v>
      </c>
      <c r="L47" s="8" t="n">
        <v>20.215</v>
      </c>
      <c r="M47" s="14">
        <f>J47/K47-1</f>
        <v/>
      </c>
      <c r="N47" s="7" t="inlineStr">
        <is>
          <t>ACIMA +23.1%</t>
        </is>
      </c>
      <c r="O47" s="7" t="inlineStr"/>
    </row>
    <row r="48">
      <c r="A48" s="7" t="n">
        <v>646251</v>
      </c>
      <c r="B48" s="7" t="inlineStr"/>
      <c r="C48" s="12" t="inlineStr">
        <is>
          <t>7898505096375</t>
        </is>
      </c>
      <c r="D48" s="7" t="inlineStr">
        <is>
          <t>ALPHALIV 900MG 20CPR REV</t>
        </is>
      </c>
      <c r="E48" s="13" t="n">
        <v>1</v>
      </c>
      <c r="F48" s="13" t="n">
        <v>1</v>
      </c>
      <c r="G48" s="13" t="n">
        <v>1</v>
      </c>
      <c r="H48" s="8" t="n">
        <v>82.0523</v>
      </c>
      <c r="I48" s="8">
        <f>G48*H48</f>
        <v/>
      </c>
      <c r="J48" s="8">
        <f>H48/E48</f>
        <v/>
      </c>
      <c r="K48" s="8" t="n">
        <v>47.2</v>
      </c>
      <c r="L48" s="8" t="n">
        <v>47.2</v>
      </c>
      <c r="M48" s="14">
        <f>J48/K48-1</f>
        <v/>
      </c>
      <c r="N48" s="7" t="inlineStr">
        <is>
          <t>ACIMA +73.8%</t>
        </is>
      </c>
      <c r="O48" s="7" t="inlineStr"/>
    </row>
    <row r="49">
      <c r="A49" s="7" t="n">
        <v>33361</v>
      </c>
      <c r="B49" s="7" t="inlineStr"/>
      <c r="C49" s="12" t="inlineStr">
        <is>
          <t>7896523208107</t>
        </is>
      </c>
      <c r="D49" s="7" t="inlineStr">
        <is>
          <t>AMOXICILINA 500MG CX 21 CAP</t>
        </is>
      </c>
      <c r="E49" s="13" t="n">
        <v>1</v>
      </c>
      <c r="F49" s="13" t="n">
        <v>15</v>
      </c>
      <c r="G49" s="13" t="n">
        <v>15</v>
      </c>
      <c r="H49" s="8" t="n">
        <v>23.02</v>
      </c>
      <c r="I49" s="8">
        <f>G49*H49</f>
        <v/>
      </c>
      <c r="J49" s="8">
        <f>H49/E49</f>
        <v/>
      </c>
      <c r="K49" s="8" t="n">
        <v>8.49</v>
      </c>
      <c r="L49" s="8" t="n">
        <v>8.49</v>
      </c>
      <c r="M49" s="14">
        <f>J49/K49-1</f>
        <v/>
      </c>
      <c r="N49" s="7" t="inlineStr">
        <is>
          <t>ACIMA +171.1%</t>
        </is>
      </c>
      <c r="O49" s="7" t="inlineStr">
        <is>
          <t>conferir emb.</t>
        </is>
      </c>
    </row>
    <row r="50">
      <c r="A50" s="7" t="n">
        <v>124481</v>
      </c>
      <c r="B50" s="7" t="inlineStr"/>
      <c r="C50" s="12" t="inlineStr">
        <is>
          <t>7896094207851</t>
        </is>
      </c>
      <c r="D50" s="7" t="inlineStr">
        <is>
          <t>ANCORON 200MG CX 30 COMP REV</t>
        </is>
      </c>
      <c r="E50" s="13" t="n">
        <v>1</v>
      </c>
      <c r="F50" s="13" t="n">
        <v>1</v>
      </c>
      <c r="G50" s="13" t="n">
        <v>1</v>
      </c>
      <c r="H50" s="8" t="n">
        <v>49.2723</v>
      </c>
      <c r="I50" s="8">
        <f>G50*H50</f>
        <v/>
      </c>
      <c r="J50" s="8">
        <f>H50/E50</f>
        <v/>
      </c>
      <c r="K50" s="8" t="n">
        <v>50.26</v>
      </c>
      <c r="L50" s="8" t="n">
        <v>42.28</v>
      </c>
      <c r="M50" s="14">
        <f>J50/K50-1</f>
        <v/>
      </c>
      <c r="N50" s="7" t="inlineStr">
        <is>
          <t>OK (≤ últ. compra)</t>
        </is>
      </c>
      <c r="O50" s="7" t="inlineStr"/>
    </row>
    <row r="51">
      <c r="A51" s="7" t="n">
        <v>570521</v>
      </c>
      <c r="B51" s="7" t="inlineStr"/>
      <c r="C51" s="12" t="inlineStr">
        <is>
          <t>7891025107910</t>
        </is>
      </c>
      <c r="D51" s="7" t="inlineStr">
        <is>
          <t>APTANUTRI 3 800G</t>
        </is>
      </c>
      <c r="E51" s="13" t="n">
        <v>1</v>
      </c>
      <c r="F51" s="13" t="n">
        <v>1</v>
      </c>
      <c r="G51" s="13" t="n">
        <v>1</v>
      </c>
      <c r="H51" s="8" t="n">
        <v>67.38</v>
      </c>
      <c r="I51" s="8">
        <f>G51*H51</f>
        <v/>
      </c>
      <c r="J51" s="8">
        <f>H51/E51</f>
        <v/>
      </c>
      <c r="K51" s="8" t="n">
        <v>50.39</v>
      </c>
      <c r="L51" s="8" t="n">
        <v>50.39</v>
      </c>
      <c r="M51" s="14">
        <f>J51/K51-1</f>
        <v/>
      </c>
      <c r="N51" s="7" t="inlineStr">
        <is>
          <t>ACIMA +33.7%</t>
        </is>
      </c>
      <c r="O51" s="7" t="inlineStr"/>
    </row>
    <row r="52">
      <c r="A52" s="7" t="n">
        <v>241121</v>
      </c>
      <c r="B52" s="7" t="inlineStr"/>
      <c r="C52" s="12" t="inlineStr">
        <is>
          <t>7897337704984</t>
        </is>
      </c>
      <c r="D52" s="7" t="inlineStr">
        <is>
          <t>ARCOXIA 90MG CX 7 COMP</t>
        </is>
      </c>
      <c r="E52" s="13" t="n">
        <v>1</v>
      </c>
      <c r="F52" s="13" t="n">
        <v>1</v>
      </c>
      <c r="G52" s="13" t="n">
        <v>1</v>
      </c>
      <c r="H52" s="8" t="n">
        <v>63.1567</v>
      </c>
      <c r="I52" s="8">
        <f>G52*H52</f>
        <v/>
      </c>
      <c r="J52" s="8">
        <f>H52/E52</f>
        <v/>
      </c>
      <c r="K52" s="8" t="n">
        <v>62.92</v>
      </c>
      <c r="L52" s="8" t="n">
        <v>56.51</v>
      </c>
      <c r="M52" s="14">
        <f>J52/K52-1</f>
        <v/>
      </c>
      <c r="N52" s="7" t="inlineStr">
        <is>
          <t>ACIMA +0.4%</t>
        </is>
      </c>
      <c r="O52" s="7" t="inlineStr"/>
    </row>
    <row r="53">
      <c r="A53" s="7" t="n">
        <v>14001</v>
      </c>
      <c r="B53" s="7" t="inlineStr"/>
      <c r="C53" s="12" t="inlineStr">
        <is>
          <t>7891106915151</t>
        </is>
      </c>
      <c r="D53" s="7" t="inlineStr">
        <is>
          <t>ASPIRINA C EFERVESC 400+240MG LIMÃO CARTELA</t>
        </is>
      </c>
      <c r="E53" s="13" t="n">
        <v>1</v>
      </c>
      <c r="F53" s="13" t="n">
        <v>1</v>
      </c>
      <c r="G53" s="13" t="n">
        <v>1</v>
      </c>
      <c r="H53" s="8" t="n">
        <v>371.1317</v>
      </c>
      <c r="I53" s="8">
        <f>G53*H53</f>
        <v/>
      </c>
      <c r="J53" s="8">
        <f>H53/E53</f>
        <v/>
      </c>
      <c r="K53" s="8" t="n">
        <v>7.4224</v>
      </c>
      <c r="L53" s="8" t="n">
        <v>5.736</v>
      </c>
      <c r="M53" s="14">
        <f>J53/K53-1</f>
        <v/>
      </c>
      <c r="N53" s="7" t="inlineStr">
        <is>
          <t>ACIMA +4900.2%</t>
        </is>
      </c>
      <c r="O53" s="7" t="inlineStr">
        <is>
          <t>conferir emb.</t>
        </is>
      </c>
    </row>
    <row r="54">
      <c r="A54" s="7" t="n">
        <v>653621</v>
      </c>
      <c r="B54" s="7" t="inlineStr"/>
      <c r="C54" s="12" t="inlineStr">
        <is>
          <t>7898108642108</t>
        </is>
      </c>
      <c r="D54" s="7" t="inlineStr">
        <is>
          <t>ATADURA DE CREPE MICKEY 12CM</t>
        </is>
      </c>
      <c r="E54" s="13" t="n">
        <v>1</v>
      </c>
      <c r="F54" s="13" t="n">
        <v>2</v>
      </c>
      <c r="G54" s="13" t="n">
        <v>2</v>
      </c>
      <c r="H54" s="8" t="n">
        <v>2.4605</v>
      </c>
      <c r="I54" s="8">
        <f>G54*H54</f>
        <v/>
      </c>
      <c r="J54" s="8">
        <f>H54/E54</f>
        <v/>
      </c>
      <c r="K54" s="8" t="n">
        <v>2.53</v>
      </c>
      <c r="L54" s="8" t="n">
        <v>2.51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637931</v>
      </c>
      <c r="B55" s="7" t="inlineStr"/>
      <c r="C55" s="12" t="inlineStr">
        <is>
          <t>7898968453098</t>
        </is>
      </c>
      <c r="D55" s="7" t="inlineStr">
        <is>
          <t>ATENSINA 0,100MG CX 30 COMP</t>
        </is>
      </c>
      <c r="E55" s="13" t="n">
        <v>1</v>
      </c>
      <c r="F55" s="13" t="n">
        <v>1</v>
      </c>
      <c r="G55" s="13" t="n">
        <v>1</v>
      </c>
      <c r="H55" s="8" t="n">
        <v>8.01</v>
      </c>
      <c r="I55" s="8">
        <f>G55*H55</f>
        <v/>
      </c>
      <c r="J55" s="8">
        <f>H55/E55</f>
        <v/>
      </c>
      <c r="K55" s="8" t="n">
        <v>7.045</v>
      </c>
      <c r="L55" s="8" t="n">
        <v>7.045</v>
      </c>
      <c r="M55" s="14">
        <f>J55/K55-1</f>
        <v/>
      </c>
      <c r="N55" s="7" t="inlineStr">
        <is>
          <t>ACIMA +13.7%</t>
        </is>
      </c>
      <c r="O55" s="7" t="inlineStr"/>
    </row>
    <row r="56">
      <c r="A56" s="7" t="n">
        <v>529981</v>
      </c>
      <c r="B56" s="7" t="inlineStr"/>
      <c r="C56" s="12" t="inlineStr">
        <is>
          <t>7896523201092</t>
        </is>
      </c>
      <c r="D56" s="7" t="inlineStr">
        <is>
          <t>ATORVASTATINA CALC 10MG CX 30 COMP REV</t>
        </is>
      </c>
      <c r="E56" s="13" t="n">
        <v>1</v>
      </c>
      <c r="F56" s="13" t="n">
        <v>3</v>
      </c>
      <c r="G56" s="13" t="n">
        <v>3</v>
      </c>
      <c r="H56" s="8" t="n">
        <v>56.12</v>
      </c>
      <c r="I56" s="8">
        <f>G56*H56</f>
        <v/>
      </c>
      <c r="J56" s="8">
        <f>H56/E56</f>
        <v/>
      </c>
      <c r="K56" s="8" t="n">
        <v>5.19</v>
      </c>
      <c r="L56" s="8" t="n">
        <v>4.99</v>
      </c>
      <c r="M56" s="14">
        <f>J56/K56-1</f>
        <v/>
      </c>
      <c r="N56" s="7" t="inlineStr">
        <is>
          <t>ACIMA +981.3%</t>
        </is>
      </c>
      <c r="O56" s="7" t="inlineStr">
        <is>
          <t>conferir emb.</t>
        </is>
      </c>
    </row>
    <row r="57">
      <c r="A57" s="7" t="n">
        <v>530021</v>
      </c>
      <c r="B57" s="7" t="inlineStr"/>
      <c r="C57" s="12" t="inlineStr">
        <is>
          <t>7896523201078</t>
        </is>
      </c>
      <c r="D57" s="7" t="inlineStr">
        <is>
          <t>ATORVASTATINA CALC 40MG CX 30 COMP REV</t>
        </is>
      </c>
      <c r="E57" s="13" t="n">
        <v>1</v>
      </c>
      <c r="F57" s="13" t="n">
        <v>12</v>
      </c>
      <c r="G57" s="13" t="n">
        <v>12</v>
      </c>
      <c r="H57" s="8" t="n">
        <v>42.59</v>
      </c>
      <c r="I57" s="8">
        <f>G57*H57</f>
        <v/>
      </c>
      <c r="J57" s="8">
        <f>H57/E57</f>
        <v/>
      </c>
      <c r="K57" s="8" t="n">
        <v>10.59</v>
      </c>
      <c r="L57" s="8" t="n">
        <v>10.15</v>
      </c>
      <c r="M57" s="14">
        <f>J57/K57-1</f>
        <v/>
      </c>
      <c r="N57" s="7" t="inlineStr">
        <is>
          <t>ACIMA +302.2%</t>
        </is>
      </c>
      <c r="O57" s="7" t="inlineStr">
        <is>
          <t>conferir emb.</t>
        </is>
      </c>
    </row>
    <row r="58">
      <c r="A58" s="7" t="n">
        <v>530001</v>
      </c>
      <c r="B58" s="7" t="inlineStr"/>
      <c r="C58" s="12" t="inlineStr">
        <is>
          <t>7896523201085</t>
        </is>
      </c>
      <c r="D58" s="7" t="inlineStr">
        <is>
          <t>ATORVASTATINA CALCICA 20MG CX 30 COMP REV</t>
        </is>
      </c>
      <c r="E58" s="13" t="n">
        <v>1</v>
      </c>
      <c r="F58" s="13" t="n">
        <v>2</v>
      </c>
      <c r="G58" s="13" t="n">
        <v>2</v>
      </c>
      <c r="H58" s="8" t="n">
        <v>28.34</v>
      </c>
      <c r="I58" s="8">
        <f>G58*H58</f>
        <v/>
      </c>
      <c r="J58" s="8">
        <f>H58/E58</f>
        <v/>
      </c>
      <c r="K58" s="8" t="n">
        <v>4.84</v>
      </c>
      <c r="L58" s="8" t="n">
        <v>4.84</v>
      </c>
      <c r="M58" s="14">
        <f>J58/K58-1</f>
        <v/>
      </c>
      <c r="N58" s="7" t="inlineStr">
        <is>
          <t>ACIMA +485.5%</t>
        </is>
      </c>
      <c r="O58" s="7" t="inlineStr">
        <is>
          <t>conferir emb.</t>
        </is>
      </c>
    </row>
    <row r="59">
      <c r="A59" s="7" t="n">
        <v>114701</v>
      </c>
      <c r="B59" s="7" t="inlineStr"/>
      <c r="C59" s="12" t="inlineStr">
        <is>
          <t>7891010974923</t>
        </is>
      </c>
      <c r="D59" s="7" t="inlineStr">
        <is>
          <t>BENALET 5+50+10MG PASTILHA CARTELA MEL/LIMAO C/ 4UN</t>
        </is>
      </c>
      <c r="E59" s="13" t="n">
        <v>13</v>
      </c>
      <c r="F59" s="13" t="n">
        <v>1</v>
      </c>
      <c r="G59" s="13" t="n">
        <v>1</v>
      </c>
      <c r="H59" s="8" t="n">
        <v>162.44</v>
      </c>
      <c r="I59" s="8">
        <f>G59*H59</f>
        <v/>
      </c>
      <c r="J59" s="8">
        <f>H59/E59</f>
        <v/>
      </c>
      <c r="K59" s="8" t="n">
        <v>10.6191</v>
      </c>
      <c r="L59" s="8" t="n">
        <v>10.1792</v>
      </c>
      <c r="M59" s="14">
        <f>J59/K59-1</f>
        <v/>
      </c>
      <c r="N59" s="7" t="inlineStr">
        <is>
          <t>ACIMA +17.7%</t>
        </is>
      </c>
      <c r="O59" s="7" t="inlineStr">
        <is>
          <t>1 emb = 13 un</t>
        </is>
      </c>
    </row>
    <row r="60">
      <c r="A60" s="7" t="n">
        <v>180661</v>
      </c>
      <c r="B60" s="7" t="inlineStr"/>
      <c r="C60" s="12" t="inlineStr">
        <is>
          <t>7893454714325</t>
        </is>
      </c>
      <c r="D60" s="7" t="inlineStr">
        <is>
          <t>BENERVA 300MG CX 30 COMP REV</t>
        </is>
      </c>
      <c r="E60" s="13" t="n">
        <v>1</v>
      </c>
      <c r="F60" s="13" t="n">
        <v>2</v>
      </c>
      <c r="G60" s="13" t="n">
        <v>2</v>
      </c>
      <c r="H60" s="8" t="n">
        <v>25.5265</v>
      </c>
      <c r="I60" s="8">
        <f>G60*H60</f>
        <v/>
      </c>
      <c r="J60" s="8">
        <f>H60/E60</f>
        <v/>
      </c>
      <c r="K60" s="8" t="n">
        <v>25.98</v>
      </c>
      <c r="L60" s="8" t="n">
        <v>24.1833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54421</v>
      </c>
      <c r="B61" s="7" t="inlineStr"/>
      <c r="C61" s="12" t="inlineStr">
        <is>
          <t>7897411611023</t>
        </is>
      </c>
      <c r="D61" s="7" t="inlineStr">
        <is>
          <t>BENICAR ANLO 40+5MG CX 30 COMP REV</t>
        </is>
      </c>
      <c r="E61" s="13" t="n">
        <v>1</v>
      </c>
      <c r="F61" s="13" t="n">
        <v>4</v>
      </c>
      <c r="G61" s="13" t="n">
        <v>4</v>
      </c>
      <c r="H61" s="8" t="n">
        <v>74.7552</v>
      </c>
      <c r="I61" s="8">
        <f>G61*H61</f>
        <v/>
      </c>
      <c r="J61" s="8">
        <f>H61/E61</f>
        <v/>
      </c>
      <c r="K61" s="8" t="n">
        <v>76.89</v>
      </c>
      <c r="L61" s="8" t="n">
        <v>68.45999999999999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49061</v>
      </c>
      <c r="B62" s="7" t="inlineStr"/>
      <c r="C62" s="12" t="inlineStr">
        <is>
          <t>7891317496241</t>
        </is>
      </c>
      <c r="D62" s="7" t="inlineStr">
        <is>
          <t>BENZETACIL 300.000U/ML SUS INJ 1FA X 4ML</t>
        </is>
      </c>
      <c r="E62" s="13" t="n">
        <v>1</v>
      </c>
      <c r="F62" s="13" t="n">
        <v>3</v>
      </c>
      <c r="G62" s="13" t="n">
        <v>3</v>
      </c>
      <c r="H62" s="8" t="n">
        <v>15.582</v>
      </c>
      <c r="I62" s="8">
        <f>G62*H62</f>
        <v/>
      </c>
      <c r="J62" s="8">
        <f>H62/E62</f>
        <v/>
      </c>
      <c r="K62" s="8" t="n">
        <v>15.69</v>
      </c>
      <c r="L62" s="8" t="n">
        <v>14.3625</v>
      </c>
      <c r="M62" s="14">
        <f>J62/K62-1</f>
        <v/>
      </c>
      <c r="N62" s="7" t="inlineStr">
        <is>
          <t>OK (≤ últ. compra)</t>
        </is>
      </c>
      <c r="O62" s="7" t="inlineStr"/>
    </row>
    <row r="63">
      <c r="A63" s="7" t="n">
        <v>605681</v>
      </c>
      <c r="B63" s="7" t="inlineStr"/>
      <c r="C63" s="12" t="inlineStr">
        <is>
          <t>7897947612365</t>
        </is>
      </c>
      <c r="D63" s="7" t="inlineStr">
        <is>
          <t>BEPANTRIZ DERMA CREM LAB BG 7,5 ML</t>
        </is>
      </c>
      <c r="E63" s="13" t="n">
        <v>1</v>
      </c>
      <c r="F63" s="13" t="n">
        <v>2</v>
      </c>
      <c r="G63" s="13" t="n">
        <v>2</v>
      </c>
      <c r="H63" s="8" t="n">
        <v>12.48</v>
      </c>
      <c r="I63" s="8">
        <f>G63*H63</f>
        <v/>
      </c>
      <c r="J63" s="8">
        <f>H63/E63</f>
        <v/>
      </c>
      <c r="K63" s="8" t="n">
        <v>10.64</v>
      </c>
      <c r="L63" s="8" t="n">
        <v>10.64</v>
      </c>
      <c r="M63" s="14">
        <f>J63/K63-1</f>
        <v/>
      </c>
      <c r="N63" s="7" t="inlineStr">
        <is>
          <t>ACIMA +17.3%</t>
        </is>
      </c>
      <c r="O63" s="7" t="inlineStr"/>
    </row>
    <row r="64">
      <c r="A64" s="7" t="n">
        <v>538081</v>
      </c>
      <c r="B64" s="7" t="inlineStr"/>
      <c r="C64" s="12" t="inlineStr">
        <is>
          <t>7898031311232</t>
        </is>
      </c>
      <c r="D64" s="7" t="inlineStr">
        <is>
          <t>BICARBONATO DE SODIO 50G</t>
        </is>
      </c>
      <c r="E64" s="13" t="n">
        <v>1</v>
      </c>
      <c r="F64" s="13" t="n">
        <v>13</v>
      </c>
      <c r="G64" s="13" t="n">
        <v>13</v>
      </c>
      <c r="H64" s="8" t="n">
        <v>2.55</v>
      </c>
      <c r="I64" s="8">
        <f>G64*H64</f>
        <v/>
      </c>
      <c r="J64" s="8">
        <f>H64/E64</f>
        <v/>
      </c>
      <c r="K64" s="8" t="n">
        <v>2.29</v>
      </c>
      <c r="L64" s="8" t="n">
        <v>2.0758</v>
      </c>
      <c r="M64" s="14">
        <f>J64/K64-1</f>
        <v/>
      </c>
      <c r="N64" s="7" t="inlineStr">
        <is>
          <t>ACIMA +11.4%</t>
        </is>
      </c>
      <c r="O64" s="7" t="inlineStr"/>
    </row>
    <row r="65">
      <c r="A65" s="7" t="n">
        <v>477961</v>
      </c>
      <c r="B65" s="7" t="inlineStr"/>
      <c r="C65" s="12" t="inlineStr">
        <is>
          <t>7894916508377</t>
        </is>
      </c>
      <c r="D65" s="7" t="inlineStr">
        <is>
          <t>BRASART HCT 320+25MG CX 30 COMP REV</t>
        </is>
      </c>
      <c r="E65" s="13" t="n">
        <v>1</v>
      </c>
      <c r="F65" s="13" t="n">
        <v>1</v>
      </c>
      <c r="G65" s="13" t="n">
        <v>1</v>
      </c>
      <c r="H65" s="8" t="n">
        <v>88.33499999999999</v>
      </c>
      <c r="I65" s="8">
        <f>G65*H65</f>
        <v/>
      </c>
      <c r="J65" s="8">
        <f>H65/E65</f>
        <v/>
      </c>
      <c r="K65" s="8" t="n">
        <v>89.44</v>
      </c>
      <c r="L65" s="8" t="n">
        <v>79.81999999999999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477941</v>
      </c>
      <c r="B66" s="7" t="inlineStr"/>
      <c r="C66" s="12" t="inlineStr">
        <is>
          <t>7894916508346</t>
        </is>
      </c>
      <c r="D66" s="7" t="inlineStr">
        <is>
          <t>BRASART HCT 80+12,5MG CX 30 COMP REV</t>
        </is>
      </c>
      <c r="E66" s="13" t="n">
        <v>1</v>
      </c>
      <c r="F66" s="13" t="n">
        <v>1</v>
      </c>
      <c r="G66" s="13" t="n">
        <v>1</v>
      </c>
      <c r="H66" s="8" t="n">
        <v>75.50399999999999</v>
      </c>
      <c r="I66" s="8">
        <f>G66*H66</f>
        <v/>
      </c>
      <c r="J66" s="8">
        <f>H66/E66</f>
        <v/>
      </c>
      <c r="K66" s="8" t="n">
        <v>76.45</v>
      </c>
      <c r="L66" s="8" t="n">
        <v>70.33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76701</v>
      </c>
      <c r="B67" s="7" t="inlineStr"/>
      <c r="C67" s="12" t="inlineStr">
        <is>
          <t>7896523209845</t>
        </is>
      </c>
      <c r="D67" s="7" t="inlineStr">
        <is>
          <t>CAPTOPRIL 25MG CX 30 COMP</t>
        </is>
      </c>
      <c r="E67" s="13" t="n">
        <v>1</v>
      </c>
      <c r="F67" s="13" t="n">
        <v>6</v>
      </c>
      <c r="G67" s="13" t="n">
        <v>6</v>
      </c>
      <c r="H67" s="8" t="n">
        <v>12.06</v>
      </c>
      <c r="I67" s="8">
        <f>G67*H67</f>
        <v/>
      </c>
      <c r="J67" s="8">
        <f>H67/E67</f>
        <v/>
      </c>
      <c r="K67" s="8" t="n">
        <v>1.45</v>
      </c>
      <c r="L67" s="8" t="n">
        <v>1.34</v>
      </c>
      <c r="M67" s="14">
        <f>J67/K67-1</f>
        <v/>
      </c>
      <c r="N67" s="7" t="inlineStr">
        <is>
          <t>ACIMA +731.7%</t>
        </is>
      </c>
      <c r="O67" s="7" t="inlineStr">
        <is>
          <t>conferir emb.</t>
        </is>
      </c>
    </row>
    <row r="68">
      <c r="A68" s="7" t="n">
        <v>76421</v>
      </c>
      <c r="B68" s="7" t="inlineStr"/>
      <c r="C68" s="12" t="inlineStr">
        <is>
          <t>7896422503709</t>
        </is>
      </c>
      <c r="D68" s="7" t="inlineStr">
        <is>
          <t>CAPTOPRIL 25MG CX 30 COMP</t>
        </is>
      </c>
      <c r="E68" s="13" t="n">
        <v>1</v>
      </c>
      <c r="F68" s="13" t="n">
        <v>1</v>
      </c>
      <c r="G68" s="13" t="n">
        <v>1</v>
      </c>
      <c r="H68" s="8" t="n">
        <v>5.9313</v>
      </c>
      <c r="I68" s="8">
        <f>G68*H68</f>
        <v/>
      </c>
      <c r="J68" s="8">
        <f>H68/E68</f>
        <v/>
      </c>
      <c r="K68" s="8" t="n">
        <v>2.69</v>
      </c>
      <c r="L68" s="8" t="n">
        <v>2.47</v>
      </c>
      <c r="M68" s="14">
        <f>J68/K68-1</f>
        <v/>
      </c>
      <c r="N68" s="7" t="inlineStr">
        <is>
          <t>ACIMA +120.5%</t>
        </is>
      </c>
      <c r="O68" s="7" t="inlineStr">
        <is>
          <t>conferir emb.</t>
        </is>
      </c>
    </row>
    <row r="69">
      <c r="A69" s="7" t="n">
        <v>653061</v>
      </c>
      <c r="B69" s="7" t="inlineStr"/>
      <c r="C69" s="12" t="inlineStr">
        <is>
          <t>7897947620520</t>
        </is>
      </c>
      <c r="D69" s="7" t="inlineStr">
        <is>
          <t>CARMED ENXAG BUC FR 250ML SBR BEIJOS</t>
        </is>
      </c>
      <c r="E69" s="13" t="n">
        <v>1</v>
      </c>
      <c r="F69" s="13" t="n">
        <v>2</v>
      </c>
      <c r="G69" s="13" t="n">
        <v>2</v>
      </c>
      <c r="H69" s="8" t="n">
        <v>19.56</v>
      </c>
      <c r="I69" s="8">
        <f>G69*H69</f>
        <v/>
      </c>
      <c r="J69" s="8">
        <f>H69/E69</f>
        <v/>
      </c>
      <c r="K69" s="8" t="n"/>
      <c r="L69" s="8" t="n"/>
      <c r="M69" s="14" t="n"/>
      <c r="N69" s="7" t="inlineStr">
        <is>
          <t>SEM HISTÓRICO</t>
        </is>
      </c>
      <c r="O69" s="7" t="inlineStr"/>
    </row>
    <row r="70">
      <c r="A70" s="7" t="n">
        <v>662881</v>
      </c>
      <c r="B70" s="7" t="inlineStr"/>
      <c r="C70" s="12" t="inlineStr">
        <is>
          <t>7897947620605</t>
        </is>
      </c>
      <c r="D70" s="7" t="inlineStr">
        <is>
          <t>CARMED GLITTER BG 10G 3 EM 1</t>
        </is>
      </c>
      <c r="E70" s="13" t="n">
        <v>1</v>
      </c>
      <c r="F70" s="13" t="n">
        <v>1</v>
      </c>
      <c r="G70" s="13" t="n">
        <v>1</v>
      </c>
      <c r="H70" s="8" t="n">
        <v>27.24</v>
      </c>
      <c r="I70" s="8">
        <f>G70*H70</f>
        <v/>
      </c>
      <c r="J70" s="8">
        <f>H70/E70</f>
        <v/>
      </c>
      <c r="K70" s="8" t="n"/>
      <c r="L70" s="8" t="n"/>
      <c r="M70" s="14" t="n"/>
      <c r="N70" s="7" t="inlineStr">
        <is>
          <t>SEM HISTÓRICO</t>
        </is>
      </c>
      <c r="O70" s="7" t="inlineStr"/>
    </row>
    <row r="71">
      <c r="A71" s="7" t="n">
        <v>658111</v>
      </c>
      <c r="B71" s="7" t="inlineStr"/>
      <c r="C71" s="12" t="inlineStr">
        <is>
          <t>7897947619579</t>
        </is>
      </c>
      <c r="D71" s="7" t="inlineStr">
        <is>
          <t>CARMED HID LAB BG 10G AMORA CLARO</t>
        </is>
      </c>
      <c r="E71" s="13" t="n">
        <v>1</v>
      </c>
      <c r="F71" s="13" t="n">
        <v>1</v>
      </c>
      <c r="G71" s="13" t="n">
        <v>1</v>
      </c>
      <c r="H71" s="8" t="n">
        <v>22.39</v>
      </c>
      <c r="I71" s="8">
        <f>G71*H71</f>
        <v/>
      </c>
      <c r="J71" s="8">
        <f>H71/E71</f>
        <v/>
      </c>
      <c r="K71" s="8" t="n">
        <v>14.99</v>
      </c>
      <c r="L71" s="8" t="n">
        <v>14.99</v>
      </c>
      <c r="M71" s="14">
        <f>J71/K71-1</f>
        <v/>
      </c>
      <c r="N71" s="7" t="inlineStr">
        <is>
          <t>ACIMA +49.4%</t>
        </is>
      </c>
      <c r="O71" s="7" t="inlineStr"/>
    </row>
    <row r="72">
      <c r="A72" s="7" t="n">
        <v>85541</v>
      </c>
      <c r="B72" s="7" t="inlineStr"/>
      <c r="C72" s="12" t="inlineStr">
        <is>
          <t>7896422519373</t>
        </is>
      </c>
      <c r="D72" s="7" t="inlineStr">
        <is>
          <t>CARVEDILOL 12,5MG CX 30 COMP</t>
        </is>
      </c>
      <c r="E72" s="13" t="n">
        <v>1</v>
      </c>
      <c r="F72" s="13" t="n">
        <v>1</v>
      </c>
      <c r="G72" s="13" t="n">
        <v>1</v>
      </c>
      <c r="H72" s="8" t="n">
        <v>19.469983</v>
      </c>
      <c r="I72" s="8">
        <f>G72*H72</f>
        <v/>
      </c>
      <c r="J72" s="8">
        <f>H72/E72</f>
        <v/>
      </c>
      <c r="K72" s="8" t="n">
        <v>6.29</v>
      </c>
      <c r="L72" s="8" t="n">
        <v>6.29</v>
      </c>
      <c r="M72" s="14">
        <f>J72/K72-1</f>
        <v/>
      </c>
      <c r="N72" s="7" t="inlineStr">
        <is>
          <t>ACIMA +209.5%</t>
        </is>
      </c>
      <c r="O72" s="7" t="inlineStr">
        <is>
          <t>conferir emb.</t>
        </is>
      </c>
    </row>
    <row r="73">
      <c r="A73" s="7" t="n">
        <v>83341</v>
      </c>
      <c r="B73" s="7" t="inlineStr"/>
      <c r="C73" s="12" t="inlineStr">
        <is>
          <t>8902220108141</t>
        </is>
      </c>
      <c r="D73" s="7" t="inlineStr">
        <is>
          <t>CARVEDILOL 6,25MG CX 30 COMP</t>
        </is>
      </c>
      <c r="E73" s="13" t="n">
        <v>1</v>
      </c>
      <c r="F73" s="13" t="n">
        <v>1</v>
      </c>
      <c r="G73" s="13" t="n">
        <v>1</v>
      </c>
      <c r="H73" s="8" t="n">
        <v>36.46</v>
      </c>
      <c r="I73" s="8">
        <f>G73*H73</f>
        <v/>
      </c>
      <c r="J73" s="8">
        <f>H73/E73</f>
        <v/>
      </c>
      <c r="K73" s="8" t="n">
        <v>7.2967</v>
      </c>
      <c r="L73" s="8" t="n">
        <v>7.2967</v>
      </c>
      <c r="M73" s="14">
        <f>J73/K73-1</f>
        <v/>
      </c>
      <c r="N73" s="7" t="inlineStr">
        <is>
          <t>ACIMA +399.7%</t>
        </is>
      </c>
      <c r="O73" s="7" t="inlineStr">
        <is>
          <t>conferir emb.</t>
        </is>
      </c>
    </row>
    <row r="74">
      <c r="A74" s="7" t="n">
        <v>574941</v>
      </c>
      <c r="B74" s="7" t="inlineStr"/>
      <c r="C74" s="12" t="inlineStr">
        <is>
          <t>7891037744509</t>
        </is>
      </c>
      <c r="D74" s="7" t="inlineStr">
        <is>
          <t>CD CLOSEUP LIQ 100G FRESH</t>
        </is>
      </c>
      <c r="E74" s="13" t="n">
        <v>1</v>
      </c>
      <c r="F74" s="13" t="n">
        <v>9</v>
      </c>
      <c r="G74" s="13" t="n">
        <v>9</v>
      </c>
      <c r="H74" s="8" t="n">
        <v>4.92</v>
      </c>
      <c r="I74" s="8">
        <f>G74*H74</f>
        <v/>
      </c>
      <c r="J74" s="8">
        <f>H74/E74</f>
        <v/>
      </c>
      <c r="K74" s="8" t="n">
        <v>4.7917</v>
      </c>
      <c r="L74" s="8" t="n">
        <v>3.9492</v>
      </c>
      <c r="M74" s="14">
        <f>J74/K74-1</f>
        <v/>
      </c>
      <c r="N74" s="7" t="inlineStr">
        <is>
          <t>ACIMA +2.7%</t>
        </is>
      </c>
      <c r="O74" s="7" t="inlineStr"/>
    </row>
    <row r="75">
      <c r="A75" s="7" t="n">
        <v>575241</v>
      </c>
      <c r="B75" s="7" t="inlineStr"/>
      <c r="C75" s="12" t="inlineStr">
        <is>
          <t>7891150063075</t>
        </is>
      </c>
      <c r="D75" s="7" t="inlineStr">
        <is>
          <t>CD CLOSEUP LIQ 100G FRESH RED HOT</t>
        </is>
      </c>
      <c r="E75" s="13" t="n">
        <v>1</v>
      </c>
      <c r="F75" s="13" t="n">
        <v>5</v>
      </c>
      <c r="G75" s="13" t="n">
        <v>5</v>
      </c>
      <c r="H75" s="8" t="n">
        <v>4.92</v>
      </c>
      <c r="I75" s="8">
        <f>G75*H75</f>
        <v/>
      </c>
      <c r="J75" s="8">
        <f>H75/E75</f>
        <v/>
      </c>
      <c r="K75" s="8" t="n">
        <v>4.8717</v>
      </c>
      <c r="L75" s="8" t="n">
        <v>4.8717</v>
      </c>
      <c r="M75" s="14">
        <f>J75/K75-1</f>
        <v/>
      </c>
      <c r="N75" s="7" t="inlineStr">
        <is>
          <t>ACIMA +1.0%</t>
        </is>
      </c>
      <c r="O75" s="7" t="inlineStr"/>
    </row>
    <row r="76">
      <c r="A76" s="7" t="n">
        <v>625091</v>
      </c>
      <c r="B76" s="7" t="inlineStr"/>
      <c r="C76" s="12" t="inlineStr">
        <is>
          <t>7891037744356</t>
        </is>
      </c>
      <c r="D76" s="7" t="inlineStr">
        <is>
          <t>CD CLOSEUP RED HOT 90G</t>
        </is>
      </c>
      <c r="E76" s="13" t="n">
        <v>1</v>
      </c>
      <c r="F76" s="13" t="n">
        <v>2</v>
      </c>
      <c r="G76" s="13" t="n">
        <v>2</v>
      </c>
      <c r="H76" s="8" t="n">
        <v>4.27</v>
      </c>
      <c r="I76" s="8">
        <f>G76*H76</f>
        <v/>
      </c>
      <c r="J76" s="8">
        <f>H76/E76</f>
        <v/>
      </c>
      <c r="K76" s="8" t="n">
        <v>4.03</v>
      </c>
      <c r="L76" s="8" t="n">
        <v>4</v>
      </c>
      <c r="M76" s="14">
        <f>J76/K76-1</f>
        <v/>
      </c>
      <c r="N76" s="7" t="inlineStr">
        <is>
          <t>ACIMA +6.0%</t>
        </is>
      </c>
      <c r="O76" s="7" t="inlineStr"/>
    </row>
    <row r="77">
      <c r="A77" s="7" t="n">
        <v>625111</v>
      </c>
      <c r="B77" s="7" t="inlineStr"/>
      <c r="C77" s="12" t="inlineStr">
        <is>
          <t>7891150049871</t>
        </is>
      </c>
      <c r="D77" s="7" t="inlineStr">
        <is>
          <t>CD CLOSEUP TRIPLE 70G</t>
        </is>
      </c>
      <c r="E77" s="13" t="n">
        <v>1</v>
      </c>
      <c r="F77" s="13" t="n">
        <v>4</v>
      </c>
      <c r="G77" s="13" t="n">
        <v>4</v>
      </c>
      <c r="H77" s="8" t="n">
        <v>2.57</v>
      </c>
      <c r="I77" s="8">
        <f>G77*H77</f>
        <v/>
      </c>
      <c r="J77" s="8">
        <f>H77/E77</f>
        <v/>
      </c>
      <c r="K77" s="8" t="n">
        <v>2.53</v>
      </c>
      <c r="L77" s="8" t="n">
        <v>2.5033</v>
      </c>
      <c r="M77" s="14">
        <f>J77/K77-1</f>
        <v/>
      </c>
      <c r="N77" s="7" t="inlineStr">
        <is>
          <t>ACIMA +1.6%</t>
        </is>
      </c>
      <c r="O77" s="7" t="inlineStr"/>
    </row>
    <row r="78">
      <c r="A78" s="7" t="n">
        <v>638861</v>
      </c>
      <c r="B78" s="7" t="inlineStr"/>
      <c r="C78" s="12" t="inlineStr">
        <is>
          <t>7908615055169</t>
        </is>
      </c>
      <c r="D78" s="7" t="inlineStr">
        <is>
          <t>CD ELSEVE 400ML GLYCOLIC GLOSS</t>
        </is>
      </c>
      <c r="E78" s="13" t="n">
        <v>1</v>
      </c>
      <c r="F78" s="13" t="n">
        <v>1</v>
      </c>
      <c r="G78" s="13" t="n">
        <v>1</v>
      </c>
      <c r="H78" s="8" t="n">
        <v>27.95</v>
      </c>
      <c r="I78" s="8">
        <f>G78*H78</f>
        <v/>
      </c>
      <c r="J78" s="8">
        <f>H78/E78</f>
        <v/>
      </c>
      <c r="K78" s="8" t="n">
        <v>21.8583</v>
      </c>
      <c r="L78" s="8" t="n">
        <v>21.8583</v>
      </c>
      <c r="M78" s="14">
        <f>J78/K78-1</f>
        <v/>
      </c>
      <c r="N78" s="7" t="inlineStr">
        <is>
          <t>ACIMA +27.9%</t>
        </is>
      </c>
      <c r="O78" s="7" t="inlineStr"/>
    </row>
    <row r="79">
      <c r="A79" s="7" t="n">
        <v>633311</v>
      </c>
      <c r="B79" s="7" t="inlineStr"/>
      <c r="C79" s="12" t="inlineStr">
        <is>
          <t>7896018750814</t>
        </is>
      </c>
      <c r="D79" s="7" t="inlineStr">
        <is>
          <t>CD INF HUGGIES KIDS 360ML CACHINHO PODER</t>
        </is>
      </c>
      <c r="E79" s="13" t="n">
        <v>1</v>
      </c>
      <c r="F79" s="13" t="n">
        <v>2</v>
      </c>
      <c r="G79" s="13" t="n">
        <v>2</v>
      </c>
      <c r="H79" s="8" t="n">
        <v>25.18</v>
      </c>
      <c r="I79" s="8">
        <f>G79*H79</f>
        <v/>
      </c>
      <c r="J79" s="8">
        <f>H79/E79</f>
        <v/>
      </c>
      <c r="K79" s="8" t="n">
        <v>12.2375</v>
      </c>
      <c r="L79" s="8" t="n">
        <v>12.2375</v>
      </c>
      <c r="M79" s="14">
        <f>J79/K79-1</f>
        <v/>
      </c>
      <c r="N79" s="7" t="inlineStr">
        <is>
          <t>ACIMA +105.8%</t>
        </is>
      </c>
      <c r="O79" s="7" t="inlineStr">
        <is>
          <t>conferir emb.</t>
        </is>
      </c>
    </row>
    <row r="80">
      <c r="A80" s="7" t="n">
        <v>617281</v>
      </c>
      <c r="B80" s="7" t="inlineStr"/>
      <c r="C80" s="12" t="inlineStr">
        <is>
          <t>7896512914231</t>
        </is>
      </c>
      <c r="D80" s="7" t="inlineStr">
        <is>
          <t>CERA NUTRITIVA PINK 7GR</t>
        </is>
      </c>
      <c r="E80" s="13" t="n">
        <v>1</v>
      </c>
      <c r="F80" s="13" t="n">
        <v>2</v>
      </c>
      <c r="G80" s="13" t="n">
        <v>2</v>
      </c>
      <c r="H80" s="8" t="n">
        <v>24.14</v>
      </c>
      <c r="I80" s="8">
        <f>G80*H80</f>
        <v/>
      </c>
      <c r="J80" s="8">
        <f>H80/E80</f>
        <v/>
      </c>
      <c r="K80" s="8" t="n">
        <v>18.88</v>
      </c>
      <c r="L80" s="8" t="n">
        <v>18.88</v>
      </c>
      <c r="M80" s="14">
        <f>J80/K80-1</f>
        <v/>
      </c>
      <c r="N80" s="7" t="inlineStr">
        <is>
          <t>ACIMA +27.9%</t>
        </is>
      </c>
      <c r="O80" s="7" t="inlineStr"/>
    </row>
    <row r="81">
      <c r="A81" s="7" t="n">
        <v>636021</v>
      </c>
      <c r="B81" s="7" t="inlineStr"/>
      <c r="C81" s="12" t="inlineStr">
        <is>
          <t>7899706192057</t>
        </is>
      </c>
      <c r="D81" s="7" t="inlineStr">
        <is>
          <t>CERAVE CR OLHOS 15G</t>
        </is>
      </c>
      <c r="E81" s="13" t="n">
        <v>1</v>
      </c>
      <c r="F81" s="13" t="n">
        <v>1</v>
      </c>
      <c r="G81" s="13" t="n">
        <v>1</v>
      </c>
      <c r="H81" s="8" t="n">
        <v>114.54</v>
      </c>
      <c r="I81" s="8">
        <f>G81*H81</f>
        <v/>
      </c>
      <c r="J81" s="8">
        <f>H81/E81</f>
        <v/>
      </c>
      <c r="K81" s="8" t="n">
        <v>87.33</v>
      </c>
      <c r="L81" s="8" t="n">
        <v>87.33</v>
      </c>
      <c r="M81" s="14">
        <f>J81/K81-1</f>
        <v/>
      </c>
      <c r="N81" s="7" t="inlineStr">
        <is>
          <t>ACIMA +31.2%</t>
        </is>
      </c>
      <c r="O81" s="7" t="inlineStr"/>
    </row>
    <row r="82">
      <c r="A82" s="7" t="n">
        <v>669751</v>
      </c>
      <c r="B82" s="7" t="inlineStr"/>
      <c r="C82" s="12" t="inlineStr">
        <is>
          <t>7899706159197</t>
        </is>
      </c>
      <c r="D82" s="7" t="inlineStr">
        <is>
          <t>CERAVE CREME HIDRATANTE 454G-DEMAIS PROD</t>
        </is>
      </c>
      <c r="E82" s="13" t="n">
        <v>1</v>
      </c>
      <c r="F82" s="13" t="n">
        <v>2</v>
      </c>
      <c r="G82" s="13" t="n">
        <v>2</v>
      </c>
      <c r="H82" s="8" t="n">
        <v>113.43</v>
      </c>
      <c r="I82" s="8">
        <f>G82*H82</f>
        <v/>
      </c>
      <c r="J82" s="8">
        <f>H82/E82</f>
        <v/>
      </c>
      <c r="K82" s="8" t="n">
        <v>93.34</v>
      </c>
      <c r="L82" s="8" t="n">
        <v>88.84999999999999</v>
      </c>
      <c r="M82" s="14">
        <f>J82/K82-1</f>
        <v/>
      </c>
      <c r="N82" s="7" t="inlineStr">
        <is>
          <t>ACIMA +21.5%</t>
        </is>
      </c>
      <c r="O82" s="7" t="inlineStr"/>
    </row>
    <row r="83">
      <c r="A83" s="7" t="n">
        <v>653331</v>
      </c>
      <c r="B83" s="7" t="inlineStr"/>
      <c r="C83" s="12" t="inlineStr">
        <is>
          <t>7908615086309</t>
        </is>
      </c>
      <c r="D83" s="7" t="inlineStr">
        <is>
          <t>CERAVE LOCAO HIDRATANTE 340ML-DEMAIS PROD</t>
        </is>
      </c>
      <c r="E83" s="13" t="n">
        <v>1</v>
      </c>
      <c r="F83" s="13" t="n">
        <v>7</v>
      </c>
      <c r="G83" s="13" t="n">
        <v>7</v>
      </c>
      <c r="H83" s="8" t="n">
        <v>87.98</v>
      </c>
      <c r="I83" s="8">
        <f>G83*H83</f>
        <v/>
      </c>
      <c r="J83" s="8">
        <f>H83/E83</f>
        <v/>
      </c>
      <c r="K83" s="8" t="n">
        <v>78.95999999999999</v>
      </c>
      <c r="L83" s="8" t="n">
        <v>66.325</v>
      </c>
      <c r="M83" s="14">
        <f>J83/K83-1</f>
        <v/>
      </c>
      <c r="N83" s="7" t="inlineStr">
        <is>
          <t>ACIMA +11.4%</t>
        </is>
      </c>
      <c r="O83" s="7" t="inlineStr"/>
    </row>
    <row r="84">
      <c r="A84" s="7" t="n">
        <v>637261</v>
      </c>
      <c r="B84" s="7" t="inlineStr"/>
      <c r="C84" s="12" t="inlineStr">
        <is>
          <t>7899706159272</t>
        </is>
      </c>
      <c r="D84" s="7" t="inlineStr">
        <is>
          <t>CERAVE LOCAO HIDRATANTE 473ML-DEMAIS PROD</t>
        </is>
      </c>
      <c r="E84" s="13" t="n">
        <v>1</v>
      </c>
      <c r="F84" s="13" t="n">
        <v>2</v>
      </c>
      <c r="G84" s="13" t="n">
        <v>2</v>
      </c>
      <c r="H84" s="8" t="n">
        <v>113.43</v>
      </c>
      <c r="I84" s="8">
        <f>G84*H84</f>
        <v/>
      </c>
      <c r="J84" s="8">
        <f>H84/E84</f>
        <v/>
      </c>
      <c r="K84" s="8" t="n">
        <v>103.71</v>
      </c>
      <c r="L84" s="8" t="n">
        <v>89.84</v>
      </c>
      <c r="M84" s="14">
        <f>J84/K84-1</f>
        <v/>
      </c>
      <c r="N84" s="7" t="inlineStr">
        <is>
          <t>ACIMA +9.4%</t>
        </is>
      </c>
      <c r="O84" s="7" t="inlineStr"/>
    </row>
    <row r="85">
      <c r="A85" s="7" t="n">
        <v>451561</v>
      </c>
      <c r="B85" s="7" t="inlineStr"/>
      <c r="C85" s="12" t="inlineStr">
        <is>
          <t>7896523208855</t>
        </is>
      </c>
      <c r="D85" s="7" t="inlineStr">
        <is>
          <t>CETOCONAZOL+BETAMETASONA+SULFATO DE NEOMICINA 20MG/G CREM DERM BG 30G</t>
        </is>
      </c>
      <c r="E85" s="13" t="n">
        <v>1</v>
      </c>
      <c r="F85" s="13" t="n">
        <v>89</v>
      </c>
      <c r="G85" s="13" t="n">
        <v>89</v>
      </c>
      <c r="H85" s="8" t="n">
        <v>22.49</v>
      </c>
      <c r="I85" s="8">
        <f>G85*H85</f>
        <v/>
      </c>
      <c r="J85" s="8">
        <f>H85/E85</f>
        <v/>
      </c>
      <c r="K85" s="8" t="n">
        <v>4.59</v>
      </c>
      <c r="L85" s="8" t="n">
        <v>4.4</v>
      </c>
      <c r="M85" s="14">
        <f>J85/K85-1</f>
        <v/>
      </c>
      <c r="N85" s="7" t="inlineStr">
        <is>
          <t>ACIMA +390.0%</t>
        </is>
      </c>
      <c r="O85" s="7" t="inlineStr">
        <is>
          <t>conferir emb.</t>
        </is>
      </c>
    </row>
    <row r="86">
      <c r="A86" s="7" t="n">
        <v>98221</v>
      </c>
      <c r="B86" s="7" t="inlineStr"/>
      <c r="C86" s="12" t="inlineStr">
        <is>
          <t>7896422512145</t>
        </is>
      </c>
      <c r="D86" s="7" t="inlineStr">
        <is>
          <t>CICLOPIROX OLAMINA 10MG SOL TOP FR GTS 15ML</t>
        </is>
      </c>
      <c r="E86" s="13" t="n">
        <v>1</v>
      </c>
      <c r="F86" s="13" t="n">
        <v>5</v>
      </c>
      <c r="G86" s="13" t="n">
        <v>5</v>
      </c>
      <c r="H86" s="8" t="n">
        <v>13.043869</v>
      </c>
      <c r="I86" s="8">
        <f>G86*H86</f>
        <v/>
      </c>
      <c r="J86" s="8">
        <f>H86/E86</f>
        <v/>
      </c>
      <c r="K86" s="8" t="n">
        <v>7.1221</v>
      </c>
      <c r="L86" s="8" t="n">
        <v>7.1221</v>
      </c>
      <c r="M86" s="14">
        <f>J86/K86-1</f>
        <v/>
      </c>
      <c r="N86" s="7" t="inlineStr">
        <is>
          <t>ACIMA +83.1%</t>
        </is>
      </c>
      <c r="O86" s="7" t="inlineStr"/>
    </row>
    <row r="87">
      <c r="A87" s="7" t="n">
        <v>507241</v>
      </c>
      <c r="B87" s="7" t="inlineStr"/>
      <c r="C87" s="12" t="inlineStr">
        <is>
          <t>7896523200576</t>
        </is>
      </c>
      <c r="D87" s="7" t="inlineStr">
        <is>
          <t>CIMEGRIPE 400+4+4MG CX 20 CAP</t>
        </is>
      </c>
      <c r="E87" s="13" t="n">
        <v>1</v>
      </c>
      <c r="F87" s="13" t="n">
        <v>21</v>
      </c>
      <c r="G87" s="13" t="n">
        <v>21</v>
      </c>
      <c r="H87" s="8" t="n">
        <v>18.88</v>
      </c>
      <c r="I87" s="8">
        <f>G87*H87</f>
        <v/>
      </c>
      <c r="J87" s="8">
        <f>H87/E87</f>
        <v/>
      </c>
      <c r="K87" s="8" t="n">
        <v>6.99</v>
      </c>
      <c r="L87" s="8" t="n">
        <v>6.99</v>
      </c>
      <c r="M87" s="14">
        <f>J87/K87-1</f>
        <v/>
      </c>
      <c r="N87" s="7" t="inlineStr">
        <is>
          <t>ACIMA +170.1%</t>
        </is>
      </c>
      <c r="O87" s="7" t="inlineStr">
        <is>
          <t>conferir emb.</t>
        </is>
      </c>
    </row>
    <row r="88">
      <c r="A88" s="7" t="n">
        <v>565441</v>
      </c>
      <c r="B88" s="7" t="inlineStr"/>
      <c r="C88" s="12" t="inlineStr">
        <is>
          <t>7897947600393</t>
        </is>
      </c>
      <c r="D88" s="7" t="inlineStr">
        <is>
          <t>CIMEGRIPE C+ZINCO LARANJA CX 10 COMP EFER</t>
        </is>
      </c>
      <c r="E88" s="13" t="n">
        <v>1</v>
      </c>
      <c r="F88" s="13" t="n">
        <v>20</v>
      </c>
      <c r="G88" s="13" t="n">
        <v>20</v>
      </c>
      <c r="H88" s="8" t="n">
        <v>8.51</v>
      </c>
      <c r="I88" s="8">
        <f>G88*H88</f>
        <v/>
      </c>
      <c r="J88" s="8">
        <f>H88/E88</f>
        <v/>
      </c>
      <c r="K88" s="8" t="n">
        <v>4.99</v>
      </c>
      <c r="L88" s="8" t="n">
        <v>4.99</v>
      </c>
      <c r="M88" s="14">
        <f>J88/K88-1</f>
        <v/>
      </c>
      <c r="N88" s="7" t="inlineStr">
        <is>
          <t>ACIMA +70.5%</t>
        </is>
      </c>
      <c r="O88" s="7" t="inlineStr"/>
    </row>
    <row r="89">
      <c r="A89" s="7" t="n">
        <v>554881</v>
      </c>
      <c r="B89" s="7" t="inlineStr"/>
      <c r="C89" s="12" t="inlineStr">
        <is>
          <t>7897947600157</t>
        </is>
      </c>
      <c r="D89" s="7" t="inlineStr">
        <is>
          <t>CIMEGRIPE RUB LATINHA C/12G</t>
        </is>
      </c>
      <c r="E89" s="13" t="n">
        <v>1</v>
      </c>
      <c r="F89" s="13" t="n">
        <v>2</v>
      </c>
      <c r="G89" s="13" t="n">
        <v>2</v>
      </c>
      <c r="H89" s="8" t="n">
        <v>84.66</v>
      </c>
      <c r="I89" s="8">
        <f>G89*H89</f>
        <v/>
      </c>
      <c r="J89" s="8">
        <f>H89/E89</f>
        <v/>
      </c>
      <c r="K89" s="8" t="n">
        <v>3.4358</v>
      </c>
      <c r="L89" s="8" t="n">
        <v>3.4358</v>
      </c>
      <c r="M89" s="14">
        <f>J89/K89-1</f>
        <v/>
      </c>
      <c r="N89" s="7" t="inlineStr">
        <is>
          <t>ACIMA +2364.1%</t>
        </is>
      </c>
      <c r="O89" s="7" t="inlineStr">
        <is>
          <t>estoque parcial (6 un); conferir emb.</t>
        </is>
      </c>
    </row>
    <row r="90">
      <c r="A90" s="7" t="n">
        <v>497001</v>
      </c>
      <c r="B90" s="7" t="inlineStr"/>
      <c r="C90" s="12" t="inlineStr">
        <is>
          <t>7891058001612</t>
        </is>
      </c>
      <c r="D90" s="7" t="inlineStr">
        <is>
          <t>CIPROFIBRATO 100 MG COMP X 30</t>
        </is>
      </c>
      <c r="E90" s="13" t="n">
        <v>1</v>
      </c>
      <c r="F90" s="13" t="n">
        <v>6</v>
      </c>
      <c r="G90" s="13" t="n">
        <v>6</v>
      </c>
      <c r="H90" s="8" t="n">
        <v>33.628284</v>
      </c>
      <c r="I90" s="8">
        <f>G90*H90</f>
        <v/>
      </c>
      <c r="J90" s="8">
        <f>H90/E90</f>
        <v/>
      </c>
      <c r="K90" s="8" t="n">
        <v>11.1433</v>
      </c>
      <c r="L90" s="8" t="n">
        <v>10.5133</v>
      </c>
      <c r="M90" s="14">
        <f>J90/K90-1</f>
        <v/>
      </c>
      <c r="N90" s="7" t="inlineStr">
        <is>
          <t>ACIMA +201.8%</t>
        </is>
      </c>
      <c r="O90" s="7" t="inlineStr">
        <is>
          <t>conferir emb.</t>
        </is>
      </c>
    </row>
    <row r="91">
      <c r="A91" s="7" t="n">
        <v>106721</v>
      </c>
      <c r="B91" s="7" t="inlineStr"/>
      <c r="C91" s="12" t="inlineStr">
        <is>
          <t>7896422525237</t>
        </is>
      </c>
      <c r="D91" s="7" t="inlineStr">
        <is>
          <t>CITRATO DE SILDENAFILA 100MG CX 4 COMP REV</t>
        </is>
      </c>
      <c r="E91" s="13" t="n">
        <v>1</v>
      </c>
      <c r="F91" s="13" t="n">
        <v>1</v>
      </c>
      <c r="G91" s="13" t="n">
        <v>1</v>
      </c>
      <c r="H91" s="8" t="n">
        <v>50.975001</v>
      </c>
      <c r="I91" s="8">
        <f>G91*H91</f>
        <v/>
      </c>
      <c r="J91" s="8">
        <f>H91/E91</f>
        <v/>
      </c>
      <c r="K91" s="8" t="n">
        <v>29.9</v>
      </c>
      <c r="L91" s="8" t="n">
        <v>29.9</v>
      </c>
      <c r="M91" s="14">
        <f>J91/K91-1</f>
        <v/>
      </c>
      <c r="N91" s="7" t="inlineStr">
        <is>
          <t>ACIMA +70.5%</t>
        </is>
      </c>
      <c r="O91" s="7" t="inlineStr"/>
    </row>
    <row r="92">
      <c r="A92" s="7" t="n">
        <v>292821</v>
      </c>
      <c r="B92" s="7" t="inlineStr"/>
      <c r="C92" s="12" t="inlineStr">
        <is>
          <t>7896004725987</t>
        </is>
      </c>
      <c r="D92" s="7" t="inlineStr">
        <is>
          <t>CLEANKINOL 40MG GEL DERM BG 30G</t>
        </is>
      </c>
      <c r="E92" s="13" t="n">
        <v>1</v>
      </c>
      <c r="F92" s="13" t="n">
        <v>1</v>
      </c>
      <c r="G92" s="13" t="n">
        <v>1</v>
      </c>
      <c r="H92" s="8" t="n">
        <v>44.71</v>
      </c>
      <c r="I92" s="8">
        <f>G92*H92</f>
        <v/>
      </c>
      <c r="J92" s="8">
        <f>H92/E92</f>
        <v/>
      </c>
      <c r="K92" s="8" t="n">
        <v>35.89</v>
      </c>
      <c r="L92" s="8" t="n">
        <v>35.89</v>
      </c>
      <c r="M92" s="14">
        <f>J92/K92-1</f>
        <v/>
      </c>
      <c r="N92" s="7" t="inlineStr">
        <is>
          <t>ACIMA +24.6%</t>
        </is>
      </c>
      <c r="O92" s="7" t="inlineStr"/>
    </row>
    <row r="93">
      <c r="A93" s="7" t="n">
        <v>614911</v>
      </c>
      <c r="B93" s="7" t="inlineStr"/>
      <c r="C93" s="12" t="inlineStr">
        <is>
          <t>7891150014107</t>
        </is>
      </c>
      <c r="D93" s="7" t="inlineStr">
        <is>
          <t>CLEAR AT-C SH 200ML MEN CONTROLE COCE M3</t>
        </is>
      </c>
      <c r="E93" s="13" t="n">
        <v>1</v>
      </c>
      <c r="F93" s="13" t="n">
        <v>6</v>
      </c>
      <c r="G93" s="13" t="n">
        <v>6</v>
      </c>
      <c r="H93" s="8" t="n">
        <v>15.7</v>
      </c>
      <c r="I93" s="8">
        <f>G93*H93</f>
        <v/>
      </c>
      <c r="J93" s="8">
        <f>H93/E93</f>
        <v/>
      </c>
      <c r="K93" s="8" t="n">
        <v>14.107</v>
      </c>
      <c r="L93" s="8" t="n">
        <v>14.0517</v>
      </c>
      <c r="M93" s="14">
        <f>J93/K93-1</f>
        <v/>
      </c>
      <c r="N93" s="7" t="inlineStr">
        <is>
          <t>ACIMA +11.3%</t>
        </is>
      </c>
      <c r="O93" s="7" t="inlineStr"/>
    </row>
    <row r="94">
      <c r="A94" s="7" t="n">
        <v>614901</v>
      </c>
      <c r="B94" s="7" t="inlineStr"/>
      <c r="C94" s="12" t="inlineStr">
        <is>
          <t>7891150001077</t>
        </is>
      </c>
      <c r="D94" s="7" t="inlineStr">
        <is>
          <t>CLEAR AT-C SH 200ML MEN QUEDA CONTROL M3</t>
        </is>
      </c>
      <c r="E94" s="13" t="n">
        <v>1</v>
      </c>
      <c r="F94" s="13" t="n">
        <v>9</v>
      </c>
      <c r="G94" s="13" t="n">
        <v>9</v>
      </c>
      <c r="H94" s="8" t="n">
        <v>15.7</v>
      </c>
      <c r="I94" s="8">
        <f>G94*H94</f>
        <v/>
      </c>
      <c r="J94" s="8">
        <f>H94/E94</f>
        <v/>
      </c>
      <c r="K94" s="8" t="n">
        <v>14.9942</v>
      </c>
      <c r="L94" s="8" t="n">
        <v>14.0525</v>
      </c>
      <c r="M94" s="14">
        <f>J94/K94-1</f>
        <v/>
      </c>
      <c r="N94" s="7" t="inlineStr">
        <is>
          <t>ACIMA +4.7%</t>
        </is>
      </c>
      <c r="O94" s="7" t="inlineStr"/>
    </row>
    <row r="95">
      <c r="A95" s="7" t="n">
        <v>112001</v>
      </c>
      <c r="B95" s="7" t="inlineStr"/>
      <c r="C95" s="12" t="inlineStr">
        <is>
          <t>7896422514644</t>
        </is>
      </c>
      <c r="D95" s="7" t="inlineStr">
        <is>
          <t>CLONAZEPAM 0,5MG CX 30 COMP</t>
        </is>
      </c>
      <c r="E95" s="13" t="n">
        <v>1</v>
      </c>
      <c r="F95" s="13" t="n">
        <v>1</v>
      </c>
      <c r="G95" s="13" t="n">
        <v>1</v>
      </c>
      <c r="H95" s="8" t="n">
        <v>3.916638</v>
      </c>
      <c r="I95" s="8">
        <f>G95*H95</f>
        <v/>
      </c>
      <c r="J95" s="8">
        <f>H95/E95</f>
        <v/>
      </c>
      <c r="K95" s="8" t="n">
        <v>2.12</v>
      </c>
      <c r="L95" s="8" t="n">
        <v>2.12</v>
      </c>
      <c r="M95" s="14">
        <f>J95/K95-1</f>
        <v/>
      </c>
      <c r="N95" s="7" t="inlineStr">
        <is>
          <t>ACIMA +84.7%</t>
        </is>
      </c>
      <c r="O95" s="7" t="inlineStr"/>
    </row>
    <row r="96">
      <c r="A96" s="7" t="n">
        <v>123581</v>
      </c>
      <c r="B96" s="7" t="inlineStr"/>
      <c r="C96" s="12" t="inlineStr">
        <is>
          <t>7896523207636</t>
        </is>
      </c>
      <c r="D96" s="7" t="inlineStr">
        <is>
          <t>CLORIDRATO DE AMBROXOL 6MG/ML XPE FR 120ML+CM</t>
        </is>
      </c>
      <c r="E96" s="13" t="n">
        <v>1</v>
      </c>
      <c r="F96" s="13" t="n">
        <v>7</v>
      </c>
      <c r="G96" s="13" t="n">
        <v>7</v>
      </c>
      <c r="H96" s="8" t="n">
        <v>26.38</v>
      </c>
      <c r="I96" s="8">
        <f>G96*H96</f>
        <v/>
      </c>
      <c r="J96" s="8">
        <f>H96/E96</f>
        <v/>
      </c>
      <c r="K96" s="8" t="n">
        <v>4.99</v>
      </c>
      <c r="L96" s="8" t="n">
        <v>4.05</v>
      </c>
      <c r="M96" s="14">
        <f>J96/K96-1</f>
        <v/>
      </c>
      <c r="N96" s="7" t="inlineStr">
        <is>
          <t>ACIMA +428.7%</t>
        </is>
      </c>
      <c r="O96" s="7" t="inlineStr">
        <is>
          <t>conferir emb.</t>
        </is>
      </c>
    </row>
    <row r="97">
      <c r="A97" s="7" t="n">
        <v>136341</v>
      </c>
      <c r="B97" s="7" t="inlineStr"/>
      <c r="C97" s="12" t="inlineStr">
        <is>
          <t>7896523209647</t>
        </is>
      </c>
      <c r="D97" s="7" t="inlineStr">
        <is>
          <t>CLORIDRATO DE CIPROFLOXACINO 500MG CX 14 COMP REV</t>
        </is>
      </c>
      <c r="E97" s="13" t="n">
        <v>1</v>
      </c>
      <c r="F97" s="13" t="n">
        <v>2</v>
      </c>
      <c r="G97" s="13" t="n">
        <v>2</v>
      </c>
      <c r="H97" s="8" t="n">
        <v>37.57</v>
      </c>
      <c r="I97" s="8">
        <f>G97*H97</f>
        <v/>
      </c>
      <c r="J97" s="8">
        <f>H97/E97</f>
        <v/>
      </c>
      <c r="K97" s="8" t="n">
        <v>5.29</v>
      </c>
      <c r="L97" s="8" t="n">
        <v>5.29</v>
      </c>
      <c r="M97" s="14">
        <f>J97/K97-1</f>
        <v/>
      </c>
      <c r="N97" s="7" t="inlineStr">
        <is>
          <t>ACIMA +610.2%</t>
        </is>
      </c>
      <c r="O97" s="7" t="inlineStr">
        <is>
          <t>conferir emb.</t>
        </is>
      </c>
    </row>
    <row r="98">
      <c r="A98" s="7" t="n">
        <v>147241</v>
      </c>
      <c r="B98" s="7" t="inlineStr"/>
      <c r="C98" s="12" t="inlineStr">
        <is>
          <t>7896523220352</t>
        </is>
      </c>
      <c r="D98" s="7" t="inlineStr">
        <is>
          <t>CLORIDRATO DE FEXOFENADINA 180MG CX 10 COMP</t>
        </is>
      </c>
      <c r="E98" s="13" t="n">
        <v>1</v>
      </c>
      <c r="F98" s="13" t="n">
        <v>47</v>
      </c>
      <c r="G98" s="13" t="n">
        <v>47</v>
      </c>
      <c r="H98" s="8" t="n">
        <v>42.28</v>
      </c>
      <c r="I98" s="8">
        <f>G98*H98</f>
        <v/>
      </c>
      <c r="J98" s="8">
        <f>H98/E98</f>
        <v/>
      </c>
      <c r="K98" s="8" t="n">
        <v>6.09</v>
      </c>
      <c r="L98" s="8" t="n">
        <v>5.58</v>
      </c>
      <c r="M98" s="14">
        <f>J98/K98-1</f>
        <v/>
      </c>
      <c r="N98" s="7" t="inlineStr">
        <is>
          <t>ACIMA +594.3%</t>
        </is>
      </c>
      <c r="O98" s="7" t="inlineStr">
        <is>
          <t>conferir emb.</t>
        </is>
      </c>
    </row>
    <row r="99">
      <c r="A99" s="7" t="n">
        <v>666791</v>
      </c>
      <c r="B99" s="7" t="inlineStr"/>
      <c r="C99" s="12" t="inlineStr">
        <is>
          <t>7891058001971</t>
        </is>
      </c>
      <c r="D99" s="7" t="inlineStr">
        <is>
          <t>CLORIDRATO DE ONDANSETRONA 8MG CX 10 COMP</t>
        </is>
      </c>
      <c r="E99" s="13" t="n">
        <v>1</v>
      </c>
      <c r="F99" s="13" t="n">
        <v>8</v>
      </c>
      <c r="G99" s="13" t="n">
        <v>8</v>
      </c>
      <c r="H99" s="8" t="n">
        <v>30.0588</v>
      </c>
      <c r="I99" s="8">
        <f>G99*H99</f>
        <v/>
      </c>
      <c r="J99" s="8">
        <f>H99/E99</f>
        <v/>
      </c>
      <c r="K99" s="8" t="n">
        <v>18.565</v>
      </c>
      <c r="L99" s="8" t="n">
        <v>6.9973</v>
      </c>
      <c r="M99" s="14">
        <f>J99/K99-1</f>
        <v/>
      </c>
      <c r="N99" s="7" t="inlineStr">
        <is>
          <t>ACIMA +61.9%</t>
        </is>
      </c>
      <c r="O99" s="7" t="inlineStr"/>
    </row>
    <row r="100">
      <c r="A100" s="7" t="n">
        <v>171341</v>
      </c>
      <c r="B100" s="7" t="inlineStr"/>
      <c r="C100" s="12" t="inlineStr">
        <is>
          <t>7896422515535</t>
        </is>
      </c>
      <c r="D100" s="7" t="inlineStr">
        <is>
          <t>CLORIDRATO DE PROPRANOLOL 40MG CX 30 COMP</t>
        </is>
      </c>
      <c r="E100" s="13" t="n">
        <v>1</v>
      </c>
      <c r="F100" s="13" t="n">
        <v>1</v>
      </c>
      <c r="G100" s="13" t="n">
        <v>1</v>
      </c>
      <c r="H100" s="8" t="n">
        <v>7.1214</v>
      </c>
      <c r="I100" s="8">
        <f>G100*H100</f>
        <v/>
      </c>
      <c r="J100" s="8">
        <f>H100/E100</f>
        <v/>
      </c>
      <c r="K100" s="8" t="n">
        <v>4.18</v>
      </c>
      <c r="L100" s="8" t="n">
        <v>3.83</v>
      </c>
      <c r="M100" s="14">
        <f>J100/K100-1</f>
        <v/>
      </c>
      <c r="N100" s="7" t="inlineStr">
        <is>
          <t>ACIMA +70.4%</t>
        </is>
      </c>
      <c r="O100" s="7" t="inlineStr"/>
    </row>
    <row r="101">
      <c r="A101" s="7" t="n">
        <v>176641</v>
      </c>
      <c r="B101" s="7" t="inlineStr"/>
      <c r="C101" s="12" t="inlineStr">
        <is>
          <t>7896422506304</t>
        </is>
      </c>
      <c r="D101" s="7" t="inlineStr">
        <is>
          <t>CLORIDRATO DE SERTRALINA 50MG CX 30 COMP</t>
        </is>
      </c>
      <c r="E101" s="13" t="n">
        <v>1</v>
      </c>
      <c r="F101" s="13" t="n">
        <v>1</v>
      </c>
      <c r="G101" s="13" t="n">
        <v>1</v>
      </c>
      <c r="H101" s="8" t="n">
        <v>26.3076</v>
      </c>
      <c r="I101" s="8">
        <f>G101*H101</f>
        <v/>
      </c>
      <c r="J101" s="8">
        <f>H101/E101</f>
        <v/>
      </c>
      <c r="K101" s="8" t="n">
        <v>7.02</v>
      </c>
      <c r="L101" s="8" t="n">
        <v>7.02</v>
      </c>
      <c r="M101" s="14">
        <f>J101/K101-1</f>
        <v/>
      </c>
      <c r="N101" s="7" t="inlineStr">
        <is>
          <t>ACIMA +274.8%</t>
        </is>
      </c>
      <c r="O101" s="7" t="inlineStr">
        <is>
          <t>conferir emb.</t>
        </is>
      </c>
    </row>
    <row r="102">
      <c r="A102" s="7" t="n">
        <v>399321</v>
      </c>
      <c r="B102" s="7" t="inlineStr"/>
      <c r="C102" s="12" t="inlineStr">
        <is>
          <t>7899420506918</t>
        </is>
      </c>
      <c r="D102" s="7" t="inlineStr">
        <is>
          <t>COD PAR 500+30MG CX 12 COMP</t>
        </is>
      </c>
      <c r="E102" s="13" t="n">
        <v>1</v>
      </c>
      <c r="F102" s="13" t="n">
        <v>1</v>
      </c>
      <c r="G102" s="13" t="n">
        <v>1</v>
      </c>
      <c r="H102" s="8" t="n">
        <v>26.0092</v>
      </c>
      <c r="I102" s="8">
        <f>G102*H102</f>
        <v/>
      </c>
      <c r="J102" s="8">
        <f>H102/E102</f>
        <v/>
      </c>
      <c r="K102" s="8" t="n">
        <v>23.005</v>
      </c>
      <c r="L102" s="8" t="n">
        <v>23.005</v>
      </c>
      <c r="M102" s="14">
        <f>J102/K102-1</f>
        <v/>
      </c>
      <c r="N102" s="7" t="inlineStr">
        <is>
          <t>ACIMA +13.1%</t>
        </is>
      </c>
      <c r="O102" s="7" t="inlineStr"/>
    </row>
    <row r="103">
      <c r="A103" s="7" t="n">
        <v>674281</v>
      </c>
      <c r="B103" s="7" t="inlineStr"/>
      <c r="C103" s="12" t="inlineStr">
        <is>
          <t>7896676442670</t>
        </is>
      </c>
      <c r="D103" s="7" t="inlineStr">
        <is>
          <t>CODEIN 30MG C/12 CP (A2) CRI-REFERENCIA</t>
        </is>
      </c>
      <c r="E103" s="13" t="n">
        <v>1</v>
      </c>
      <c r="F103" s="13" t="n">
        <v>1</v>
      </c>
      <c r="G103" s="13" t="n">
        <v>1</v>
      </c>
      <c r="H103" s="8" t="n">
        <v>19.6</v>
      </c>
      <c r="I103" s="8">
        <f>G103*H103</f>
        <v/>
      </c>
      <c r="J103" s="8">
        <f>H103/E103</f>
        <v/>
      </c>
      <c r="K103" s="8" t="n">
        <v>16.785</v>
      </c>
      <c r="L103" s="8" t="n">
        <v>16.785</v>
      </c>
      <c r="M103" s="14">
        <f>J103/K103-1</f>
        <v/>
      </c>
      <c r="N103" s="7" t="inlineStr">
        <is>
          <t>ACIMA +16.8%</t>
        </is>
      </c>
      <c r="O103" s="7" t="inlineStr"/>
    </row>
    <row r="104">
      <c r="A104" s="7" t="n">
        <v>616601</v>
      </c>
      <c r="B104" s="7" t="inlineStr"/>
      <c r="C104" s="12" t="inlineStr">
        <is>
          <t>7896000724748</t>
        </is>
      </c>
      <c r="D104" s="7" t="inlineStr">
        <is>
          <t>COL P COR&amp;TON MEGA COLORS 12111 L S PLA</t>
        </is>
      </c>
      <c r="E104" s="13" t="n">
        <v>1</v>
      </c>
      <c r="F104" s="13" t="n">
        <v>4</v>
      </c>
      <c r="G104" s="13" t="n">
        <v>4</v>
      </c>
      <c r="H104" s="8" t="n">
        <v>12.87</v>
      </c>
      <c r="I104" s="8">
        <f>G104*H104</f>
        <v/>
      </c>
      <c r="J104" s="8">
        <f>H104/E104</f>
        <v/>
      </c>
      <c r="K104" s="8" t="n">
        <v>12.09</v>
      </c>
      <c r="L104" s="8" t="n">
        <v>10.5</v>
      </c>
      <c r="M104" s="14">
        <f>J104/K104-1</f>
        <v/>
      </c>
      <c r="N104" s="7" t="inlineStr">
        <is>
          <t>ACIMA +6.5%</t>
        </is>
      </c>
      <c r="O104" s="7" t="inlineStr"/>
    </row>
    <row r="105">
      <c r="A105" s="7" t="n">
        <v>4233</v>
      </c>
      <c r="B105" s="7" t="inlineStr"/>
      <c r="C105" s="12" t="inlineStr">
        <is>
          <t>7908531900352</t>
        </is>
      </c>
      <c r="D105" s="7" t="inlineStr">
        <is>
          <t>COLAGENO TIPO II CXT 30 HEALTHY ARTRODEX</t>
        </is>
      </c>
      <c r="E105" s="13" t="n">
        <v>1</v>
      </c>
      <c r="F105" s="13" t="n">
        <v>2</v>
      </c>
      <c r="G105" s="13" t="n">
        <v>2</v>
      </c>
      <c r="H105" s="8" t="n">
        <v>47.25</v>
      </c>
      <c r="I105" s="8">
        <f>G105*H105</f>
        <v/>
      </c>
      <c r="J105" s="8">
        <f>H105/E105</f>
        <v/>
      </c>
      <c r="K105" s="8" t="n">
        <v>23.14</v>
      </c>
      <c r="L105" s="8" t="n">
        <v>23.14</v>
      </c>
      <c r="M105" s="14">
        <f>J105/K105-1</f>
        <v/>
      </c>
      <c r="N105" s="7" t="inlineStr">
        <is>
          <t>ACIMA +104.2%</t>
        </is>
      </c>
      <c r="O105" s="7" t="inlineStr">
        <is>
          <t>conferir emb.</t>
        </is>
      </c>
    </row>
    <row r="106">
      <c r="A106" s="7" t="n">
        <v>643191</v>
      </c>
      <c r="B106" s="7" t="inlineStr"/>
      <c r="C106" s="12" t="inlineStr">
        <is>
          <t>7898108649800</t>
        </is>
      </c>
      <c r="D106" s="7" t="inlineStr">
        <is>
          <t>COLETOR UNIVERSAL SANFARMA 70ML</t>
        </is>
      </c>
      <c r="E106" s="13" t="n">
        <v>1</v>
      </c>
      <c r="F106" s="13" t="n">
        <v>1</v>
      </c>
      <c r="G106" s="13" t="n">
        <v>1</v>
      </c>
      <c r="H106" s="8" t="n">
        <v>2.128</v>
      </c>
      <c r="I106" s="8">
        <f>G106*H106</f>
        <v/>
      </c>
      <c r="J106" s="8">
        <f>H106/E106</f>
        <v/>
      </c>
      <c r="K106" s="8" t="n">
        <v>1.34</v>
      </c>
      <c r="L106" s="8" t="n">
        <v>1.34</v>
      </c>
      <c r="M106" s="14">
        <f>J106/K106-1</f>
        <v/>
      </c>
      <c r="N106" s="7" t="inlineStr">
        <is>
          <t>ACIMA +58.8%</t>
        </is>
      </c>
      <c r="O106" s="7" t="inlineStr"/>
    </row>
    <row r="107">
      <c r="A107" s="7" t="n">
        <v>562081</v>
      </c>
      <c r="B107" s="7" t="inlineStr"/>
      <c r="C107" s="12" t="inlineStr">
        <is>
          <t>7896018700383</t>
        </is>
      </c>
      <c r="D107" s="7" t="inlineStr">
        <is>
          <t>COLONIA HUGGIES EXTRA SUAVE 100ML</t>
        </is>
      </c>
      <c r="E107" s="13" t="n">
        <v>1</v>
      </c>
      <c r="F107" s="13" t="n">
        <v>6</v>
      </c>
      <c r="G107" s="13" t="n">
        <v>6</v>
      </c>
      <c r="H107" s="8" t="n">
        <v>18.7</v>
      </c>
      <c r="I107" s="8">
        <f>G107*H107</f>
        <v/>
      </c>
      <c r="J107" s="8">
        <f>H107/E107</f>
        <v/>
      </c>
      <c r="K107" s="8" t="n">
        <v>10.72</v>
      </c>
      <c r="L107" s="8" t="n">
        <v>10.38</v>
      </c>
      <c r="M107" s="14">
        <f>J107/K107-1</f>
        <v/>
      </c>
      <c r="N107" s="7" t="inlineStr">
        <is>
          <t>ACIMA +74.4%</t>
        </is>
      </c>
      <c r="O107" s="7" t="inlineStr"/>
    </row>
    <row r="108">
      <c r="A108" s="7" t="n">
        <v>672021</v>
      </c>
      <c r="B108" s="7" t="inlineStr"/>
      <c r="C108" s="12" t="inlineStr">
        <is>
          <t>7908966527117</t>
        </is>
      </c>
      <c r="D108" s="7" t="inlineStr">
        <is>
          <t>COND ELSEVE COLAGENO 200ML-DEMAIS PROD</t>
        </is>
      </c>
      <c r="E108" s="13" t="n">
        <v>1</v>
      </c>
      <c r="F108" s="13" t="n">
        <v>3</v>
      </c>
      <c r="G108" s="13" t="n">
        <v>3</v>
      </c>
      <c r="H108" s="8" t="n">
        <v>15.42</v>
      </c>
      <c r="I108" s="8">
        <f>G108*H108</f>
        <v/>
      </c>
      <c r="J108" s="8">
        <f>H108/E108</f>
        <v/>
      </c>
      <c r="K108" s="8" t="n">
        <v>14.63</v>
      </c>
      <c r="L108" s="8" t="n">
        <v>14.05</v>
      </c>
      <c r="M108" s="14">
        <f>J108/K108-1</f>
        <v/>
      </c>
      <c r="N108" s="7" t="inlineStr">
        <is>
          <t>ACIMA +5.4%</t>
        </is>
      </c>
      <c r="O108" s="7" t="inlineStr"/>
    </row>
    <row r="109">
      <c r="A109" s="7" t="n">
        <v>672031</v>
      </c>
      <c r="B109" s="7" t="inlineStr"/>
      <c r="C109" s="12" t="inlineStr">
        <is>
          <t>7908966527193</t>
        </is>
      </c>
      <c r="D109" s="7" t="inlineStr">
        <is>
          <t>COND ELSEVE COLAGENO 400ML-DEMAIS PROD</t>
        </is>
      </c>
      <c r="E109" s="13" t="n">
        <v>1</v>
      </c>
      <c r="F109" s="13" t="n">
        <v>2</v>
      </c>
      <c r="G109" s="13" t="n">
        <v>2</v>
      </c>
      <c r="H109" s="8" t="n">
        <v>27.95</v>
      </c>
      <c r="I109" s="8">
        <f>G109*H109</f>
        <v/>
      </c>
      <c r="J109" s="8">
        <f>H109/E109</f>
        <v/>
      </c>
      <c r="K109" s="8" t="n">
        <v>25.04</v>
      </c>
      <c r="L109" s="8" t="n">
        <v>25.04</v>
      </c>
      <c r="M109" s="14">
        <f>J109/K109-1</f>
        <v/>
      </c>
      <c r="N109" s="7" t="inlineStr">
        <is>
          <t>ACIMA +11.6%</t>
        </is>
      </c>
      <c r="O109" s="7" t="inlineStr"/>
    </row>
    <row r="110">
      <c r="A110" s="7" t="n">
        <v>656991</v>
      </c>
      <c r="B110" s="7" t="inlineStr"/>
      <c r="C110" s="12" t="inlineStr">
        <is>
          <t>7908785461654</t>
        </is>
      </c>
      <c r="D110" s="7" t="inlineStr">
        <is>
          <t>COND ELSEVE LI SONHOS 2025 200ML-DEMAIS PROD</t>
        </is>
      </c>
      <c r="E110" s="13" t="n">
        <v>1</v>
      </c>
      <c r="F110" s="13" t="n">
        <v>5</v>
      </c>
      <c r="G110" s="13" t="n">
        <v>5</v>
      </c>
      <c r="H110" s="8" t="n">
        <v>15.42</v>
      </c>
      <c r="I110" s="8">
        <f>G110*H110</f>
        <v/>
      </c>
      <c r="J110" s="8">
        <f>H110/E110</f>
        <v/>
      </c>
      <c r="K110" s="8" t="n">
        <v>14.63</v>
      </c>
      <c r="L110" s="8" t="n">
        <v>11.67</v>
      </c>
      <c r="M110" s="14">
        <f>J110/K110-1</f>
        <v/>
      </c>
      <c r="N110" s="7" t="inlineStr">
        <is>
          <t>ACIMA +5.4%</t>
        </is>
      </c>
      <c r="O110" s="7" t="inlineStr"/>
    </row>
    <row r="111">
      <c r="A111" s="7" t="n">
        <v>660531</v>
      </c>
      <c r="B111" s="7" t="inlineStr"/>
      <c r="C111" s="12" t="inlineStr">
        <is>
          <t>7891150101586</t>
        </is>
      </c>
      <c r="D111" s="7" t="inlineStr">
        <is>
          <t>COND SEDA TOQUE DE SEDA 250ML</t>
        </is>
      </c>
      <c r="E111" s="13" t="n">
        <v>1</v>
      </c>
      <c r="F111" s="13" t="n">
        <v>1</v>
      </c>
      <c r="G111" s="13" t="n">
        <v>1</v>
      </c>
      <c r="H111" s="8" t="n">
        <v>12.56</v>
      </c>
      <c r="I111" s="8">
        <f>G111*H111</f>
        <v/>
      </c>
      <c r="J111" s="8">
        <f>H111/E111</f>
        <v/>
      </c>
      <c r="K111" s="8" t="n">
        <v>9.44</v>
      </c>
      <c r="L111" s="8" t="n">
        <v>9.44</v>
      </c>
      <c r="M111" s="14">
        <f>J111/K111-1</f>
        <v/>
      </c>
      <c r="N111" s="7" t="inlineStr">
        <is>
          <t>ACIMA +33.1%</t>
        </is>
      </c>
      <c r="O111" s="7" t="inlineStr"/>
    </row>
    <row r="112">
      <c r="A112" s="7" t="n">
        <v>585021</v>
      </c>
      <c r="B112" s="7" t="inlineStr"/>
      <c r="C112" s="12" t="inlineStr">
        <is>
          <t>7891150036390</t>
        </is>
      </c>
      <c r="D112" s="7" t="inlineStr">
        <is>
          <t>CONDIC DOVE BABY HID. ENR. 200ML</t>
        </is>
      </c>
      <c r="E112" s="13" t="n">
        <v>1</v>
      </c>
      <c r="F112" s="13" t="n">
        <v>2</v>
      </c>
      <c r="G112" s="13" t="n">
        <v>2</v>
      </c>
      <c r="H112" s="8" t="n">
        <v>14.9</v>
      </c>
      <c r="I112" s="8">
        <f>G112*H112</f>
        <v/>
      </c>
      <c r="J112" s="8">
        <f>H112/E112</f>
        <v/>
      </c>
      <c r="K112" s="8" t="n">
        <v>11.1958</v>
      </c>
      <c r="L112" s="8" t="n">
        <v>11.1958</v>
      </c>
      <c r="M112" s="14">
        <f>J112/K112-1</f>
        <v/>
      </c>
      <c r="N112" s="7" t="inlineStr">
        <is>
          <t>ACIMA +33.1%</t>
        </is>
      </c>
      <c r="O112" s="7" t="inlineStr">
        <is>
          <t>estoque parcial (1 un)</t>
        </is>
      </c>
    </row>
    <row r="113">
      <c r="A113" s="7" t="n">
        <v>568961</v>
      </c>
      <c r="B113" s="7" t="inlineStr"/>
      <c r="C113" s="12" t="inlineStr">
        <is>
          <t>7891150037465</t>
        </is>
      </c>
      <c r="D113" s="7" t="inlineStr">
        <is>
          <t>CONDIC SEDA CACH DEFIN 325ML</t>
        </is>
      </c>
      <c r="E113" s="13" t="n">
        <v>1</v>
      </c>
      <c r="F113" s="13" t="n">
        <v>1</v>
      </c>
      <c r="G113" s="13" t="n">
        <v>1</v>
      </c>
      <c r="H113" s="8" t="n">
        <v>12.56</v>
      </c>
      <c r="I113" s="8">
        <f>G113*H113</f>
        <v/>
      </c>
      <c r="J113" s="8">
        <f>H113/E113</f>
        <v/>
      </c>
      <c r="K113" s="8" t="n">
        <v>7.45</v>
      </c>
      <c r="L113" s="8" t="n">
        <v>7.45</v>
      </c>
      <c r="M113" s="14">
        <f>J113/K113-1</f>
        <v/>
      </c>
      <c r="N113" s="7" t="inlineStr">
        <is>
          <t>ACIMA +68.6%</t>
        </is>
      </c>
      <c r="O113" s="7" t="inlineStr"/>
    </row>
    <row r="114">
      <c r="A114" s="7" t="n">
        <v>568981</v>
      </c>
      <c r="B114" s="7" t="inlineStr"/>
      <c r="C114" s="12" t="inlineStr">
        <is>
          <t>7891150037328</t>
        </is>
      </c>
      <c r="D114" s="7" t="inlineStr">
        <is>
          <t>CONDIC SEDA LISO PERFEI 325ML</t>
        </is>
      </c>
      <c r="E114" s="13" t="n">
        <v>1</v>
      </c>
      <c r="F114" s="13" t="n">
        <v>4</v>
      </c>
      <c r="G114" s="13" t="n">
        <v>4</v>
      </c>
      <c r="H114" s="8" t="n">
        <v>12.56</v>
      </c>
      <c r="I114" s="8">
        <f>G114*H114</f>
        <v/>
      </c>
      <c r="J114" s="8">
        <f>H114/E114</f>
        <v/>
      </c>
      <c r="K114" s="8" t="n">
        <v>11.5</v>
      </c>
      <c r="L114" s="8" t="n">
        <v>11.0678</v>
      </c>
      <c r="M114" s="14">
        <f>J114/K114-1</f>
        <v/>
      </c>
      <c r="N114" s="7" t="inlineStr">
        <is>
          <t>ACIMA +9.2%</t>
        </is>
      </c>
      <c r="O114" s="7" t="inlineStr"/>
    </row>
    <row r="115">
      <c r="A115" s="7" t="n">
        <v>576441</v>
      </c>
      <c r="B115" s="7" t="inlineStr"/>
      <c r="C115" s="12" t="inlineStr">
        <is>
          <t>7891150045347</t>
        </is>
      </c>
      <c r="D115" s="7" t="inlineStr">
        <is>
          <t>CONDIC.DOVE BABY CAB.CLA.200M</t>
        </is>
      </c>
      <c r="E115" s="13" t="n">
        <v>1</v>
      </c>
      <c r="F115" s="13" t="n">
        <v>3</v>
      </c>
      <c r="G115" s="13" t="n">
        <v>3</v>
      </c>
      <c r="H115" s="8" t="n">
        <v>14.9</v>
      </c>
      <c r="I115" s="8">
        <f>G115*H115</f>
        <v/>
      </c>
      <c r="J115" s="8">
        <f>H115/E115</f>
        <v/>
      </c>
      <c r="K115" s="8" t="n">
        <v>14.97</v>
      </c>
      <c r="L115" s="8" t="n">
        <v>14.97</v>
      </c>
      <c r="M115" s="14">
        <f>J115/K115-1</f>
        <v/>
      </c>
      <c r="N115" s="7" t="inlineStr">
        <is>
          <t>OK (≤ menor hist.)</t>
        </is>
      </c>
      <c r="O115" s="7" t="inlineStr"/>
    </row>
    <row r="116">
      <c r="A116" s="7" t="n">
        <v>651831</v>
      </c>
      <c r="B116" s="7" t="inlineStr"/>
      <c r="C116" s="12" t="inlineStr">
        <is>
          <t>7908615086194</t>
        </is>
      </c>
      <c r="D116" s="7" t="inlineStr">
        <is>
          <t>COR&amp;TON MARSALA ACAI 8.26-DEMAIS PROD</t>
        </is>
      </c>
      <c r="E116" s="13" t="n">
        <v>1</v>
      </c>
      <c r="F116" s="13" t="n">
        <v>2</v>
      </c>
      <c r="G116" s="13" t="n">
        <v>2</v>
      </c>
      <c r="H116" s="8" t="n">
        <v>12.87</v>
      </c>
      <c r="I116" s="8">
        <f>G116*H116</f>
        <v/>
      </c>
      <c r="J116" s="8">
        <f>H116/E116</f>
        <v/>
      </c>
      <c r="K116" s="8" t="n">
        <v>12.58</v>
      </c>
      <c r="L116" s="8" t="n">
        <v>10.5</v>
      </c>
      <c r="M116" s="14">
        <f>J116/K116-1</f>
        <v/>
      </c>
      <c r="N116" s="7" t="inlineStr">
        <is>
          <t>ACIMA +2.3%</t>
        </is>
      </c>
      <c r="O116" s="7" t="inlineStr"/>
    </row>
    <row r="117">
      <c r="A117" s="7" t="n">
        <v>567161</v>
      </c>
      <c r="B117" s="7" t="inlineStr"/>
      <c r="C117" s="12" t="inlineStr">
        <is>
          <t>7891010560737</t>
        </is>
      </c>
      <c r="D117" s="7" t="inlineStr">
        <is>
          <t>COTONETES J J HASTES FLEX 75UN</t>
        </is>
      </c>
      <c r="E117" s="13" t="n">
        <v>1</v>
      </c>
      <c r="F117" s="13" t="n">
        <v>14</v>
      </c>
      <c r="G117" s="13" t="n">
        <v>14</v>
      </c>
      <c r="H117" s="8" t="n">
        <v>6.4</v>
      </c>
      <c r="I117" s="8">
        <f>G117*H117</f>
        <v/>
      </c>
      <c r="J117" s="8">
        <f>H117/E117</f>
        <v/>
      </c>
      <c r="K117" s="8" t="n">
        <v>6.1767</v>
      </c>
      <c r="L117" s="8" t="n">
        <v>5.7197</v>
      </c>
      <c r="M117" s="14">
        <f>J117/K117-1</f>
        <v/>
      </c>
      <c r="N117" s="7" t="inlineStr">
        <is>
          <t>ACIMA +3.6%</t>
        </is>
      </c>
      <c r="O117" s="7" t="inlineStr"/>
    </row>
    <row r="118">
      <c r="A118" s="7" t="n">
        <v>655361</v>
      </c>
      <c r="B118" s="7" t="inlineStr"/>
      <c r="C118" s="12" t="inlineStr">
        <is>
          <t>7896004822013</t>
        </is>
      </c>
      <c r="D118" s="7" t="inlineStr">
        <is>
          <t>COXETO 90MG 7 COM REV-B</t>
        </is>
      </c>
      <c r="E118" s="13" t="n">
        <v>1</v>
      </c>
      <c r="F118" s="13" t="n">
        <v>1</v>
      </c>
      <c r="G118" s="13" t="n">
        <v>1</v>
      </c>
      <c r="H118" s="8" t="n">
        <v>42.68</v>
      </c>
      <c r="I118" s="8">
        <f>G118*H118</f>
        <v/>
      </c>
      <c r="J118" s="8">
        <f>H118/E118</f>
        <v/>
      </c>
      <c r="K118" s="8" t="n">
        <v>44.35</v>
      </c>
      <c r="L118" s="8" t="n">
        <v>34.225</v>
      </c>
      <c r="M118" s="14">
        <f>J118/K118-1</f>
        <v/>
      </c>
      <c r="N118" s="7" t="inlineStr">
        <is>
          <t>OK (≤ últ. compra)</t>
        </is>
      </c>
      <c r="O118" s="7" t="inlineStr"/>
    </row>
    <row r="119">
      <c r="A119" s="7" t="n">
        <v>603081</v>
      </c>
      <c r="B119" s="7" t="inlineStr"/>
      <c r="C119" s="12" t="inlineStr">
        <is>
          <t>7896512939555</t>
        </is>
      </c>
      <c r="D119" s="7" t="inlineStr">
        <is>
          <t>CR ASSADURA BEBE DERMOCALM 50G</t>
        </is>
      </c>
      <c r="E119" s="13" t="n">
        <v>1</v>
      </c>
      <c r="F119" s="13" t="n">
        <v>1</v>
      </c>
      <c r="G119" s="13" t="n">
        <v>1</v>
      </c>
      <c r="H119" s="8" t="n">
        <v>28.82</v>
      </c>
      <c r="I119" s="8">
        <f>G119*H119</f>
        <v/>
      </c>
      <c r="J119" s="8">
        <f>H119/E119</f>
        <v/>
      </c>
      <c r="K119" s="8" t="n">
        <v>25.2542</v>
      </c>
      <c r="L119" s="8" t="n">
        <v>25.2542</v>
      </c>
      <c r="M119" s="14">
        <f>J119/K119-1</f>
        <v/>
      </c>
      <c r="N119" s="7" t="inlineStr">
        <is>
          <t>ACIMA +14.1%</t>
        </is>
      </c>
      <c r="O119" s="7" t="inlineStr"/>
    </row>
    <row r="120">
      <c r="A120" s="7" t="n">
        <v>616901</v>
      </c>
      <c r="B120" s="7" t="inlineStr"/>
      <c r="C120" s="12" t="inlineStr">
        <is>
          <t>7908615000190</t>
        </is>
      </c>
      <c r="D120" s="7" t="inlineStr">
        <is>
          <t>CR ATIV N GOLD CACH DF PR 250ML</t>
        </is>
      </c>
      <c r="E120" s="13" t="n">
        <v>1</v>
      </c>
      <c r="F120" s="13" t="n">
        <v>1</v>
      </c>
      <c r="G120" s="13" t="n">
        <v>1</v>
      </c>
      <c r="H120" s="8" t="n">
        <v>9.75</v>
      </c>
      <c r="I120" s="8">
        <f>G120*H120</f>
        <v/>
      </c>
      <c r="J120" s="8">
        <f>H120/E120</f>
        <v/>
      </c>
      <c r="K120" s="8" t="n">
        <v>8.48</v>
      </c>
      <c r="L120" s="8" t="n">
        <v>8.48</v>
      </c>
      <c r="M120" s="14">
        <f>J120/K120-1</f>
        <v/>
      </c>
      <c r="N120" s="7" t="inlineStr">
        <is>
          <t>ACIMA +15.0%</t>
        </is>
      </c>
      <c r="O120" s="7" t="inlineStr"/>
    </row>
    <row r="121">
      <c r="A121" s="7" t="n">
        <v>615271</v>
      </c>
      <c r="B121" s="7" t="inlineStr"/>
      <c r="C121" s="12" t="inlineStr">
        <is>
          <t>4005900328472</t>
        </is>
      </c>
      <c r="D121" s="7" t="inlineStr">
        <is>
          <t>CR BARBEAR NIVEA SENSITIVE 65G</t>
        </is>
      </c>
      <c r="E121" s="13" t="n">
        <v>1</v>
      </c>
      <c r="F121" s="13" t="n">
        <v>1</v>
      </c>
      <c r="G121" s="13" t="n">
        <v>1</v>
      </c>
      <c r="H121" s="8" t="n">
        <v>14.76</v>
      </c>
      <c r="I121" s="8">
        <f>G121*H121</f>
        <v/>
      </c>
      <c r="J121" s="8">
        <f>H121/E121</f>
        <v/>
      </c>
      <c r="K121" s="8" t="n">
        <v>8.4533</v>
      </c>
      <c r="L121" s="8" t="n">
        <v>8.4533</v>
      </c>
      <c r="M121" s="14">
        <f>J121/K121-1</f>
        <v/>
      </c>
      <c r="N121" s="7" t="inlineStr">
        <is>
          <t>ACIMA +74.6%</t>
        </is>
      </c>
      <c r="O121" s="7" t="inlineStr"/>
    </row>
    <row r="122">
      <c r="A122" s="7" t="n">
        <v>617241</v>
      </c>
      <c r="B122" s="7" t="inlineStr"/>
      <c r="C122" s="12" t="inlineStr">
        <is>
          <t>7896512919878</t>
        </is>
      </c>
      <c r="D122" s="7" t="inlineStr">
        <is>
          <t>CR CUTICULAS GRANADO PINK 100GR</t>
        </is>
      </c>
      <c r="E122" s="13" t="n">
        <v>1</v>
      </c>
      <c r="F122" s="13" t="n">
        <v>1</v>
      </c>
      <c r="G122" s="13" t="n">
        <v>1</v>
      </c>
      <c r="H122" s="8" t="n">
        <v>16.54</v>
      </c>
      <c r="I122" s="8">
        <f>G122*H122</f>
        <v/>
      </c>
      <c r="J122" s="8">
        <f>H122/E122</f>
        <v/>
      </c>
      <c r="K122" s="8" t="n">
        <v>10.875</v>
      </c>
      <c r="L122" s="8" t="n">
        <v>10.875</v>
      </c>
      <c r="M122" s="14">
        <f>J122/K122-1</f>
        <v/>
      </c>
      <c r="N122" s="7" t="inlineStr">
        <is>
          <t>ACIMA +52.1%</t>
        </is>
      </c>
      <c r="O122" s="7" t="inlineStr"/>
    </row>
    <row r="123">
      <c r="A123" s="7" t="n">
        <v>1943</v>
      </c>
      <c r="B123" s="7" t="inlineStr"/>
      <c r="C123" s="12" t="inlineStr">
        <is>
          <t>7891150086210</t>
        </is>
      </c>
      <c r="D123" s="7" t="inlineStr">
        <is>
          <t>CR D CLOSE UP GEL MENTA 130G</t>
        </is>
      </c>
      <c r="E123" s="13" t="n">
        <v>1</v>
      </c>
      <c r="F123" s="13" t="n">
        <v>1</v>
      </c>
      <c r="G123" s="13" t="n">
        <v>1</v>
      </c>
      <c r="H123" s="8" t="n">
        <v>3.87</v>
      </c>
      <c r="I123" s="8">
        <f>G123*H123</f>
        <v/>
      </c>
      <c r="J123" s="8">
        <f>H123/E123</f>
        <v/>
      </c>
      <c r="K123" s="8" t="n">
        <v>3.86</v>
      </c>
      <c r="L123" s="8" t="n">
        <v>3.86</v>
      </c>
      <c r="M123" s="14">
        <f>J123/K123-1</f>
        <v/>
      </c>
      <c r="N123" s="7" t="inlineStr">
        <is>
          <t>ACIMA +0.3%</t>
        </is>
      </c>
      <c r="O123" s="7" t="inlineStr"/>
    </row>
    <row r="124">
      <c r="A124" s="7" t="n">
        <v>568501</v>
      </c>
      <c r="B124" s="7" t="inlineStr"/>
      <c r="C124" s="12" t="inlineStr">
        <is>
          <t>7891528038827</t>
        </is>
      </c>
      <c r="D124" s="7" t="inlineStr">
        <is>
          <t>CR D COLGATE KIDS TANDY T FRUTI 50G</t>
        </is>
      </c>
      <c r="E124" s="13" t="n">
        <v>1</v>
      </c>
      <c r="F124" s="13" t="n">
        <v>5</v>
      </c>
      <c r="G124" s="13" t="n">
        <v>5</v>
      </c>
      <c r="H124" s="8" t="n">
        <v>8.859999999999999</v>
      </c>
      <c r="I124" s="8">
        <f>G124*H124</f>
        <v/>
      </c>
      <c r="J124" s="8">
        <f>H124/E124</f>
        <v/>
      </c>
      <c r="K124" s="8" t="n">
        <v>7.3229</v>
      </c>
      <c r="L124" s="8" t="n">
        <v>7.04</v>
      </c>
      <c r="M124" s="14">
        <f>J124/K124-1</f>
        <v/>
      </c>
      <c r="N124" s="7" t="inlineStr">
        <is>
          <t>ACIMA +21.0%</t>
        </is>
      </c>
      <c r="O124" s="7" t="inlineStr"/>
    </row>
    <row r="125">
      <c r="A125" s="7" t="n">
        <v>14403</v>
      </c>
      <c r="B125" s="7" t="inlineStr"/>
      <c r="C125" s="12" t="inlineStr">
        <is>
          <t>7509546700434</t>
        </is>
      </c>
      <c r="D125" s="7" t="inlineStr">
        <is>
          <t>CR DEN COLGATE LUMINOUS WHITE CC 70G</t>
        </is>
      </c>
      <c r="E125" s="13" t="n">
        <v>1</v>
      </c>
      <c r="F125" s="13" t="n">
        <v>2</v>
      </c>
      <c r="G125" s="13" t="n">
        <v>2</v>
      </c>
      <c r="H125" s="8" t="n">
        <v>9.43</v>
      </c>
      <c r="I125" s="8">
        <f>G125*H125</f>
        <v/>
      </c>
      <c r="J125" s="8">
        <f>H125/E125</f>
        <v/>
      </c>
      <c r="K125" s="8" t="n">
        <v>6.1854</v>
      </c>
      <c r="L125" s="8" t="n">
        <v>6.1854</v>
      </c>
      <c r="M125" s="14">
        <f>J125/K125-1</f>
        <v/>
      </c>
      <c r="N125" s="7" t="inlineStr">
        <is>
          <t>ACIMA +52.5%</t>
        </is>
      </c>
      <c r="O125" s="7" t="inlineStr"/>
    </row>
    <row r="126">
      <c r="A126" s="7" t="n">
        <v>623881</v>
      </c>
      <c r="B126" s="7" t="inlineStr"/>
      <c r="C126" s="12" t="inlineStr">
        <is>
          <t>7891024134610</t>
        </is>
      </c>
      <c r="D126" s="7" t="inlineStr">
        <is>
          <t>CR DEN COLGATE MAX PROTECAO 180G   COLG %DN:2.00</t>
        </is>
      </c>
      <c r="E126" s="13" t="n">
        <v>1</v>
      </c>
      <c r="F126" s="13" t="n">
        <v>6</v>
      </c>
      <c r="G126" s="13" t="n">
        <v>6</v>
      </c>
      <c r="H126" s="8" t="n">
        <v>10.05</v>
      </c>
      <c r="I126" s="8">
        <f>G126*H126</f>
        <v/>
      </c>
      <c r="J126" s="8">
        <f>H126/E126</f>
        <v/>
      </c>
      <c r="K126" s="8" t="n">
        <v>6.13</v>
      </c>
      <c r="L126" s="8" t="n">
        <v>6.13</v>
      </c>
      <c r="M126" s="14">
        <f>J126/K126-1</f>
        <v/>
      </c>
      <c r="N126" s="7" t="inlineStr">
        <is>
          <t>ACIMA +63.9%</t>
        </is>
      </c>
      <c r="O126" s="7" t="inlineStr"/>
    </row>
    <row r="127">
      <c r="A127" s="7" t="n">
        <v>610121</v>
      </c>
      <c r="B127" s="7" t="inlineStr"/>
      <c r="C127" s="12" t="inlineStr">
        <is>
          <t>7509546675862</t>
        </is>
      </c>
      <c r="D127" s="7" t="inlineStr">
        <is>
          <t>CR DEN COLGATE PERIOGARD 60G</t>
        </is>
      </c>
      <c r="E127" s="13" t="n">
        <v>1</v>
      </c>
      <c r="F127" s="13" t="n">
        <v>6</v>
      </c>
      <c r="G127" s="13" t="n">
        <v>6</v>
      </c>
      <c r="H127" s="8" t="n">
        <v>17.79</v>
      </c>
      <c r="I127" s="8">
        <f>G127*H127</f>
        <v/>
      </c>
      <c r="J127" s="8">
        <f>H127/E127</f>
        <v/>
      </c>
      <c r="K127" s="8" t="n">
        <v>12.0075</v>
      </c>
      <c r="L127" s="8" t="n">
        <v>10.1467</v>
      </c>
      <c r="M127" s="14">
        <f>J127/K127-1</f>
        <v/>
      </c>
      <c r="N127" s="7" t="inlineStr">
        <is>
          <t>ACIMA +48.2%</t>
        </is>
      </c>
      <c r="O127" s="7" t="inlineStr"/>
    </row>
    <row r="128">
      <c r="A128" s="7" t="n">
        <v>662211</v>
      </c>
      <c r="B128" s="7" t="inlineStr"/>
      <c r="C128" s="12" t="inlineStr">
        <is>
          <t>8718951539129</t>
        </is>
      </c>
      <c r="D128" s="7" t="inlineStr">
        <is>
          <t>CR DEN ELMEX SENSITIVE PROFES 75G</t>
        </is>
      </c>
      <c r="E128" s="13" t="n">
        <v>1</v>
      </c>
      <c r="F128" s="13" t="n">
        <v>1</v>
      </c>
      <c r="G128" s="13" t="n">
        <v>1</v>
      </c>
      <c r="H128" s="8" t="n">
        <v>18.55</v>
      </c>
      <c r="I128" s="8">
        <f>G128*H128</f>
        <v/>
      </c>
      <c r="J128" s="8">
        <f>H128/E128</f>
        <v/>
      </c>
      <c r="K128" s="8" t="n">
        <v>10.925</v>
      </c>
      <c r="L128" s="8" t="n">
        <v>10.925</v>
      </c>
      <c r="M128" s="14">
        <f>J128/K128-1</f>
        <v/>
      </c>
      <c r="N128" s="7" t="inlineStr">
        <is>
          <t>ACIMA +69.8%</t>
        </is>
      </c>
      <c r="O128" s="7" t="inlineStr"/>
    </row>
    <row r="129">
      <c r="A129" s="7" t="n">
        <v>616961</v>
      </c>
      <c r="B129" s="7" t="inlineStr"/>
      <c r="C129" s="12" t="inlineStr">
        <is>
          <t>7896000712981</t>
        </is>
      </c>
      <c r="D129" s="7" t="inlineStr">
        <is>
          <t>CR PEN N GOLD LISO PLENO 250G</t>
        </is>
      </c>
      <c r="E129" s="13" t="n">
        <v>1</v>
      </c>
      <c r="F129" s="13" t="n">
        <v>1</v>
      </c>
      <c r="G129" s="13" t="n">
        <v>1</v>
      </c>
      <c r="H129" s="8" t="n">
        <v>8.08</v>
      </c>
      <c r="I129" s="8">
        <f>G129*H129</f>
        <v/>
      </c>
      <c r="J129" s="8">
        <f>H129/E129</f>
        <v/>
      </c>
      <c r="K129" s="8" t="n">
        <v>4.57</v>
      </c>
      <c r="L129" s="8" t="n">
        <v>4.57</v>
      </c>
      <c r="M129" s="14">
        <f>J129/K129-1</f>
        <v/>
      </c>
      <c r="N129" s="7" t="inlineStr">
        <is>
          <t>ACIMA +76.8%</t>
        </is>
      </c>
      <c r="O129" s="7" t="inlineStr"/>
    </row>
    <row r="130">
      <c r="A130" s="7" t="n">
        <v>672041</v>
      </c>
      <c r="B130" s="7" t="inlineStr"/>
      <c r="C130" s="12" t="inlineStr">
        <is>
          <t>7908966528534</t>
        </is>
      </c>
      <c r="D130" s="7" t="inlineStr">
        <is>
          <t>CR PENT ELSEVE COLAGENO 250ML-DEMAIS PROD</t>
        </is>
      </c>
      <c r="E130" s="13" t="n">
        <v>1</v>
      </c>
      <c r="F130" s="13" t="n">
        <v>3</v>
      </c>
      <c r="G130" s="13" t="n">
        <v>3</v>
      </c>
      <c r="H130" s="8" t="n">
        <v>15.92</v>
      </c>
      <c r="I130" s="8">
        <f>G130*H130</f>
        <v/>
      </c>
      <c r="J130" s="8">
        <f>H130/E130</f>
        <v/>
      </c>
      <c r="K130" s="8" t="n">
        <v>14.75</v>
      </c>
      <c r="L130" s="8" t="n">
        <v>14.14</v>
      </c>
      <c r="M130" s="14">
        <f>J130/K130-1</f>
        <v/>
      </c>
      <c r="N130" s="7" t="inlineStr">
        <is>
          <t>ACIMA +7.9%</t>
        </is>
      </c>
      <c r="O130" s="7" t="inlineStr"/>
    </row>
    <row r="131">
      <c r="A131" s="7" t="n">
        <v>637691</v>
      </c>
      <c r="B131" s="7" t="inlineStr"/>
      <c r="C131" s="12" t="inlineStr">
        <is>
          <t>7891150094949</t>
        </is>
      </c>
      <c r="D131" s="7" t="inlineStr">
        <is>
          <t>CR TRAT DOVE HIDRATACAO 270G</t>
        </is>
      </c>
      <c r="E131" s="13" t="n">
        <v>1</v>
      </c>
      <c r="F131" s="13" t="n">
        <v>1</v>
      </c>
      <c r="G131" s="13" t="n">
        <v>1</v>
      </c>
      <c r="H131" s="8" t="n">
        <v>34.7</v>
      </c>
      <c r="I131" s="8">
        <f>G131*H131</f>
        <v/>
      </c>
      <c r="J131" s="8">
        <f>H131/E131</f>
        <v/>
      </c>
      <c r="K131" s="8" t="n">
        <v>40.79</v>
      </c>
      <c r="L131" s="8" t="n">
        <v>40.79</v>
      </c>
      <c r="M131" s="14">
        <f>J131/K131-1</f>
        <v/>
      </c>
      <c r="N131" s="7" t="inlineStr">
        <is>
          <t>OK (≤ menor hist.)</t>
        </is>
      </c>
      <c r="O131" s="7" t="inlineStr"/>
    </row>
    <row r="132">
      <c r="A132" s="7" t="n">
        <v>666951</v>
      </c>
      <c r="B132" s="7" t="inlineStr"/>
      <c r="C132" s="12" t="inlineStr">
        <is>
          <t>7908785461456</t>
        </is>
      </c>
      <c r="D132" s="7" t="inlineStr">
        <is>
          <t>CR TRAT ELSEVE 300G LISO SONHOS (N)</t>
        </is>
      </c>
      <c r="E132" s="13" t="n">
        <v>1</v>
      </c>
      <c r="F132" s="13" t="n">
        <v>1</v>
      </c>
      <c r="G132" s="13" t="n">
        <v>1</v>
      </c>
      <c r="H132" s="8" t="n">
        <v>23.72</v>
      </c>
      <c r="I132" s="8">
        <f>G132*H132</f>
        <v/>
      </c>
      <c r="J132" s="8">
        <f>H132/E132</f>
        <v/>
      </c>
      <c r="K132" s="8" t="n">
        <v>20.46</v>
      </c>
      <c r="L132" s="8" t="n">
        <v>20.46</v>
      </c>
      <c r="M132" s="14">
        <f>J132/K132-1</f>
        <v/>
      </c>
      <c r="N132" s="7" t="inlineStr">
        <is>
          <t>ACIMA +15.9%</t>
        </is>
      </c>
      <c r="O132" s="7" t="inlineStr"/>
    </row>
    <row r="133">
      <c r="A133" s="7" t="n">
        <v>614431</v>
      </c>
      <c r="B133" s="7" t="inlineStr"/>
      <c r="C133" s="12" t="inlineStr">
        <is>
          <t>7898587774475</t>
        </is>
      </c>
      <c r="D133" s="7" t="inlineStr">
        <is>
          <t>CR TRAT ELSEVE 300G OLEO EXTRAORD NUTRIC</t>
        </is>
      </c>
      <c r="E133" s="13" t="n">
        <v>1</v>
      </c>
      <c r="F133" s="13" t="n">
        <v>3</v>
      </c>
      <c r="G133" s="13" t="n">
        <v>3</v>
      </c>
      <c r="H133" s="8" t="n">
        <v>23.72</v>
      </c>
      <c r="I133" s="8">
        <f>G133*H133</f>
        <v/>
      </c>
      <c r="J133" s="8">
        <f>H133/E133</f>
        <v/>
      </c>
      <c r="K133" s="8" t="n">
        <v>22.36</v>
      </c>
      <c r="L133" s="8" t="n">
        <v>20.46</v>
      </c>
      <c r="M133" s="14">
        <f>J133/K133-1</f>
        <v/>
      </c>
      <c r="N133" s="7" t="inlineStr">
        <is>
          <t>ACIMA +6.1%</t>
        </is>
      </c>
      <c r="O133" s="7" t="inlineStr"/>
    </row>
    <row r="134">
      <c r="A134" s="7" t="n">
        <v>672051</v>
      </c>
      <c r="B134" s="7" t="inlineStr"/>
      <c r="C134" s="12" t="inlineStr">
        <is>
          <t>7908966528367</t>
        </is>
      </c>
      <c r="D134" s="7" t="inlineStr">
        <is>
          <t>CR TRAT ELSEVE COLAGENO 300G-DEMAIS PROD</t>
        </is>
      </c>
      <c r="E134" s="13" t="n">
        <v>1</v>
      </c>
      <c r="F134" s="13" t="n">
        <v>2</v>
      </c>
      <c r="G134" s="13" t="n">
        <v>2</v>
      </c>
      <c r="H134" s="8" t="n">
        <v>27.25</v>
      </c>
      <c r="I134" s="8">
        <f>G134*H134</f>
        <v/>
      </c>
      <c r="J134" s="8">
        <f>H134/E134</f>
        <v/>
      </c>
      <c r="K134" s="8" t="n">
        <v>25.12</v>
      </c>
      <c r="L134" s="8" t="n">
        <v>25.12</v>
      </c>
      <c r="M134" s="14">
        <f>J134/K134-1</f>
        <v/>
      </c>
      <c r="N134" s="7" t="inlineStr">
        <is>
          <t>ACIMA +8.5%</t>
        </is>
      </c>
      <c r="O134" s="7" t="inlineStr"/>
    </row>
    <row r="135">
      <c r="A135" s="7" t="n">
        <v>653591</v>
      </c>
      <c r="B135" s="7" t="inlineStr"/>
      <c r="C135" s="12" t="inlineStr">
        <is>
          <t>7896438200906</t>
        </is>
      </c>
      <c r="D135" s="7" t="inlineStr">
        <is>
          <t>CREATINA PROBIOTICA 300G</t>
        </is>
      </c>
      <c r="E135" s="13" t="n">
        <v>1</v>
      </c>
      <c r="F135" s="13" t="n">
        <v>4</v>
      </c>
      <c r="G135" s="13" t="n">
        <v>4</v>
      </c>
      <c r="H135" s="8" t="n">
        <v>40.37</v>
      </c>
      <c r="I135" s="8">
        <f>G135*H135</f>
        <v/>
      </c>
      <c r="J135" s="8">
        <f>H135/E135</f>
        <v/>
      </c>
      <c r="K135" s="8" t="n">
        <v>40.37</v>
      </c>
      <c r="L135" s="8" t="n">
        <v>40.37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552281</v>
      </c>
      <c r="B136" s="7" t="inlineStr"/>
      <c r="C136" s="12" t="inlineStr">
        <is>
          <t>7896000716866</t>
        </is>
      </c>
      <c r="D136" s="7" t="inlineStr">
        <is>
          <t>CREME DE PENTEAR NIELY OLEO DE ARGAN 250G</t>
        </is>
      </c>
      <c r="E136" s="13" t="n">
        <v>1</v>
      </c>
      <c r="F136" s="13" t="n">
        <v>1</v>
      </c>
      <c r="G136" s="13" t="n">
        <v>1</v>
      </c>
      <c r="H136" s="8" t="n">
        <v>8.08</v>
      </c>
      <c r="I136" s="8">
        <f>G136*H136</f>
        <v/>
      </c>
      <c r="J136" s="8">
        <f>H136/E136</f>
        <v/>
      </c>
      <c r="K136" s="8" t="n">
        <v>6.82</v>
      </c>
      <c r="L136" s="8" t="n">
        <v>6.82</v>
      </c>
      <c r="M136" s="14">
        <f>J136/K136-1</f>
        <v/>
      </c>
      <c r="N136" s="7" t="inlineStr">
        <is>
          <t>ACIMA +18.5%</t>
        </is>
      </c>
      <c r="O136" s="7" t="inlineStr"/>
    </row>
    <row r="137">
      <c r="A137" s="7" t="n">
        <v>563481</v>
      </c>
      <c r="B137" s="7" t="inlineStr"/>
      <c r="C137" s="12" t="inlineStr">
        <is>
          <t>7891024030820</t>
        </is>
      </c>
      <c r="D137" s="7" t="inlineStr">
        <is>
          <t>CREME DENTAL COLGATE LUMINOUS WHITE - BRILLIANT 90G</t>
        </is>
      </c>
      <c r="E137" s="13" t="n">
        <v>1</v>
      </c>
      <c r="F137" s="13" t="n">
        <v>7</v>
      </c>
      <c r="G137" s="13" t="n">
        <v>7</v>
      </c>
      <c r="H137" s="8" t="n">
        <v>9.43</v>
      </c>
      <c r="I137" s="8">
        <f>G137*H137</f>
        <v/>
      </c>
      <c r="J137" s="8">
        <f>H137/E137</f>
        <v/>
      </c>
      <c r="K137" s="8" t="n">
        <v>6.7421</v>
      </c>
      <c r="L137" s="8" t="n">
        <v>5.5138</v>
      </c>
      <c r="M137" s="14">
        <f>J137/K137-1</f>
        <v/>
      </c>
      <c r="N137" s="7" t="inlineStr">
        <is>
          <t>ACIMA +39.9%</t>
        </is>
      </c>
      <c r="O137" s="7" t="inlineStr"/>
    </row>
    <row r="138">
      <c r="A138" s="7" t="n">
        <v>536961</v>
      </c>
      <c r="B138" s="7" t="inlineStr"/>
      <c r="C138" s="12" t="inlineStr">
        <is>
          <t>7891150049895</t>
        </is>
      </c>
      <c r="D138" s="7" t="inlineStr">
        <is>
          <t>CREME DENTAL MENTA CLOSEUP TRIPLE CAIXA 70G</t>
        </is>
      </c>
      <c r="E138" s="13" t="n">
        <v>1</v>
      </c>
      <c r="F138" s="13" t="n">
        <v>7</v>
      </c>
      <c r="G138" s="13" t="n">
        <v>7</v>
      </c>
      <c r="H138" s="8" t="n">
        <v>2.57</v>
      </c>
      <c r="I138" s="8">
        <f>G138*H138</f>
        <v/>
      </c>
      <c r="J138" s="8">
        <f>H138/E138</f>
        <v/>
      </c>
      <c r="K138" s="8" t="n">
        <v>2.43</v>
      </c>
      <c r="L138" s="8" t="n">
        <v>2.43</v>
      </c>
      <c r="M138" s="14">
        <f>J138/K138-1</f>
        <v/>
      </c>
      <c r="N138" s="7" t="inlineStr">
        <is>
          <t>ACIMA +5.8%</t>
        </is>
      </c>
      <c r="O138" s="7" t="inlineStr"/>
    </row>
    <row r="139">
      <c r="A139" s="7" t="n">
        <v>666311</v>
      </c>
      <c r="B139" s="7" t="inlineStr"/>
      <c r="C139" s="12" t="inlineStr">
        <is>
          <t>070341368732</t>
        </is>
      </c>
      <c r="D139" s="7" t="inlineStr">
        <is>
          <t>CREME HIDRATANTE 5% MANTEIGA DE KARITE + 5% GLICERINA + 2% NIACINAMIDA PRINCIPIA SKINCARE CH-01 COM</t>
        </is>
      </c>
      <c r="E139" s="13" t="n">
        <v>1</v>
      </c>
      <c r="F139" s="13" t="n">
        <v>1</v>
      </c>
      <c r="G139" s="13" t="n">
        <v>1</v>
      </c>
      <c r="H139" s="8" t="n">
        <v>32.51</v>
      </c>
      <c r="I139" s="8">
        <f>G139*H139</f>
        <v/>
      </c>
      <c r="J139" s="8">
        <f>H139/E139</f>
        <v/>
      </c>
      <c r="K139" s="8" t="n">
        <v>27.3</v>
      </c>
      <c r="L139" s="8" t="n">
        <v>27.3</v>
      </c>
      <c r="M139" s="14">
        <f>J139/K139-1</f>
        <v/>
      </c>
      <c r="N139" s="7" t="inlineStr">
        <is>
          <t>ACIMA +19.1%</t>
        </is>
      </c>
      <c r="O139" s="7" t="inlineStr"/>
    </row>
    <row r="140">
      <c r="A140" s="7" t="n">
        <v>545601</v>
      </c>
      <c r="B140" s="7" t="inlineStr"/>
      <c r="C140" s="12" t="inlineStr">
        <is>
          <t>7896000722522</t>
        </is>
      </c>
      <c r="D140" s="7" t="inlineStr">
        <is>
          <t>CREME PARA PENTEAR OLEO DE COCO 280G</t>
        </is>
      </c>
      <c r="E140" s="13" t="n">
        <v>1</v>
      </c>
      <c r="F140" s="13" t="n">
        <v>1</v>
      </c>
      <c r="G140" s="13" t="n">
        <v>1</v>
      </c>
      <c r="H140" s="8" t="n">
        <v>8.08</v>
      </c>
      <c r="I140" s="8">
        <f>G140*H140</f>
        <v/>
      </c>
      <c r="J140" s="8">
        <f>H140/E140</f>
        <v/>
      </c>
      <c r="K140" s="8" t="n">
        <v>6.86</v>
      </c>
      <c r="L140" s="8" t="n">
        <v>6.86</v>
      </c>
      <c r="M140" s="14">
        <f>J140/K140-1</f>
        <v/>
      </c>
      <c r="N140" s="7" t="inlineStr">
        <is>
          <t>ACIMA +17.8%</t>
        </is>
      </c>
      <c r="O140" s="7" t="inlineStr"/>
    </row>
    <row r="141">
      <c r="A141" s="7" t="n">
        <v>576541</v>
      </c>
      <c r="B141" s="7" t="inlineStr"/>
      <c r="C141" s="12" t="inlineStr">
        <is>
          <t>7891037144705</t>
        </is>
      </c>
      <c r="D141" s="7" t="inlineStr">
        <is>
          <t>CREME PARA PENTEAR SEDA CERAMIDAS 300ML</t>
        </is>
      </c>
      <c r="E141" s="13" t="n">
        <v>1</v>
      </c>
      <c r="F141" s="13" t="n">
        <v>4</v>
      </c>
      <c r="G141" s="13" t="n">
        <v>4</v>
      </c>
      <c r="H141" s="8" t="n">
        <v>9.65</v>
      </c>
      <c r="I141" s="8">
        <f>G141*H141</f>
        <v/>
      </c>
      <c r="J141" s="8">
        <f>H141/E141</f>
        <v/>
      </c>
      <c r="K141" s="8" t="n">
        <v>9.0733</v>
      </c>
      <c r="L141" s="8" t="n">
        <v>7.1017</v>
      </c>
      <c r="M141" s="14">
        <f>J141/K141-1</f>
        <v/>
      </c>
      <c r="N141" s="7" t="inlineStr">
        <is>
          <t>ACIMA +6.4%</t>
        </is>
      </c>
      <c r="O141" s="7" t="inlineStr"/>
    </row>
    <row r="142">
      <c r="A142" s="7" t="n">
        <v>630671</v>
      </c>
      <c r="B142" s="7" t="inlineStr"/>
      <c r="C142" s="12" t="inlineStr">
        <is>
          <t>7898108640746</t>
        </is>
      </c>
      <c r="D142" s="7" t="inlineStr">
        <is>
          <t>CURATIVO CICATRISAN KURA DODOI CX 20 UND</t>
        </is>
      </c>
      <c r="E142" s="13" t="n">
        <v>1</v>
      </c>
      <c r="F142" s="13" t="n">
        <v>4</v>
      </c>
      <c r="G142" s="13" t="n">
        <v>4</v>
      </c>
      <c r="H142" s="8" t="n">
        <v>5.016</v>
      </c>
      <c r="I142" s="8">
        <f>G142*H142</f>
        <v/>
      </c>
      <c r="J142" s="8">
        <f>H142/E142</f>
        <v/>
      </c>
      <c r="K142" s="8" t="n">
        <v>5.42</v>
      </c>
      <c r="L142" s="8" t="n">
        <v>5.42</v>
      </c>
      <c r="M142" s="14">
        <f>J142/K142-1</f>
        <v/>
      </c>
      <c r="N142" s="7" t="inlineStr">
        <is>
          <t>OK (≤ menor hist.)</t>
        </is>
      </c>
      <c r="O142" s="7" t="inlineStr"/>
    </row>
    <row r="143">
      <c r="A143" s="7" t="n">
        <v>651551</v>
      </c>
      <c r="B143" s="7" t="inlineStr"/>
      <c r="C143" s="12" t="inlineStr">
        <is>
          <t>7891800644470</t>
        </is>
      </c>
      <c r="D143" s="7" t="inlineStr">
        <is>
          <t>CURATIVO CREMER EXTRA GRANDE 8UN   CREM %DN:9.00</t>
        </is>
      </c>
      <c r="E143" s="13" t="n">
        <v>1</v>
      </c>
      <c r="F143" s="13" t="n">
        <v>1</v>
      </c>
      <c r="G143" s="13" t="n">
        <v>1</v>
      </c>
      <c r="H143" s="8" t="n">
        <v>10.5536</v>
      </c>
      <c r="I143" s="8">
        <f>G143*H143</f>
        <v/>
      </c>
      <c r="J143" s="8">
        <f>H143/E143</f>
        <v/>
      </c>
      <c r="K143" s="8" t="n">
        <v>7.8306</v>
      </c>
      <c r="L143" s="8" t="n">
        <v>7.8306</v>
      </c>
      <c r="M143" s="14">
        <f>J143/K143-1</f>
        <v/>
      </c>
      <c r="N143" s="7" t="inlineStr">
        <is>
          <t>ACIMA +34.8%</t>
        </is>
      </c>
      <c r="O143" s="7" t="inlineStr"/>
    </row>
    <row r="144">
      <c r="A144" s="7" t="n">
        <v>833</v>
      </c>
      <c r="B144" s="7" t="inlineStr"/>
      <c r="C144" s="12" t="inlineStr">
        <is>
          <t>7891800540406</t>
        </is>
      </c>
      <c r="D144" s="7" t="inlineStr">
        <is>
          <t>CURATIVO CREMER MINIONS 10UN</t>
        </is>
      </c>
      <c r="E144" s="13" t="n">
        <v>1</v>
      </c>
      <c r="F144" s="13" t="n">
        <v>1</v>
      </c>
      <c r="G144" s="13" t="n">
        <v>1</v>
      </c>
      <c r="H144" s="8" t="n">
        <v>4.462</v>
      </c>
      <c r="I144" s="8">
        <f>G144*H144</f>
        <v/>
      </c>
      <c r="J144" s="8">
        <f>H144/E144</f>
        <v/>
      </c>
      <c r="K144" s="8" t="n">
        <v>4.59</v>
      </c>
      <c r="L144" s="8" t="n">
        <v>4.59</v>
      </c>
      <c r="M144" s="14">
        <f>J144/K144-1</f>
        <v/>
      </c>
      <c r="N144" s="7" t="inlineStr">
        <is>
          <t>OK (≤ menor hist.)</t>
        </is>
      </c>
      <c r="O144" s="7" t="inlineStr"/>
    </row>
    <row r="145">
      <c r="A145" s="7" t="n">
        <v>631611</v>
      </c>
      <c r="B145" s="7" t="inlineStr"/>
      <c r="C145" s="12" t="inlineStr">
        <is>
          <t>7896544925496</t>
        </is>
      </c>
      <c r="D145" s="7" t="inlineStr">
        <is>
          <t>CURATIVO FLEXIVEL SHOW DA LUNA  C/10UN.</t>
        </is>
      </c>
      <c r="E145" s="13" t="n">
        <v>1</v>
      </c>
      <c r="F145" s="13" t="n">
        <v>7</v>
      </c>
      <c r="G145" s="13" t="n">
        <v>7</v>
      </c>
      <c r="H145" s="8" t="n">
        <v>3.06</v>
      </c>
      <c r="I145" s="8">
        <f>G145*H145</f>
        <v/>
      </c>
      <c r="J145" s="8">
        <f>H145/E145</f>
        <v/>
      </c>
      <c r="K145" s="8" t="n">
        <v>3.06</v>
      </c>
      <c r="L145" s="8" t="n">
        <v>3.06</v>
      </c>
      <c r="M145" s="14">
        <f>J145/K145-1</f>
        <v/>
      </c>
      <c r="N145" s="7" t="inlineStr">
        <is>
          <t>OK (≤ menor hist.)</t>
        </is>
      </c>
      <c r="O145" s="7" t="inlineStr">
        <is>
          <t>estoque parcial (2 un)</t>
        </is>
      </c>
    </row>
    <row r="146">
      <c r="A146" s="7" t="n">
        <v>605211</v>
      </c>
      <c r="B146" s="7" t="inlineStr"/>
      <c r="C146" s="12" t="inlineStr">
        <is>
          <t>7896316101424</t>
        </is>
      </c>
      <c r="D146" s="7" t="inlineStr">
        <is>
          <t>CYCLOFEMINA 25MG+5MG/0,5ML SUS INJ 1 AMP X 0,5ML</t>
        </is>
      </c>
      <c r="E146" s="13" t="n">
        <v>1</v>
      </c>
      <c r="F146" s="13" t="n">
        <v>7</v>
      </c>
      <c r="G146" s="13" t="n">
        <v>7</v>
      </c>
      <c r="H146" s="8" t="n">
        <v>34.07</v>
      </c>
      <c r="I146" s="8">
        <f>G146*H146</f>
        <v/>
      </c>
      <c r="J146" s="8">
        <f>H146/E146</f>
        <v/>
      </c>
      <c r="K146" s="8" t="n">
        <v>27.9721</v>
      </c>
      <c r="L146" s="8" t="n">
        <v>27.9721</v>
      </c>
      <c r="M146" s="14">
        <f>J146/K146-1</f>
        <v/>
      </c>
      <c r="N146" s="7" t="inlineStr">
        <is>
          <t>ACIMA +21.8%</t>
        </is>
      </c>
      <c r="O146" s="7" t="inlineStr"/>
    </row>
    <row r="147">
      <c r="A147" s="7" t="n">
        <v>238741</v>
      </c>
      <c r="B147" s="7" t="inlineStr"/>
      <c r="C147" s="12" t="inlineStr">
        <is>
          <t>7894916509831</t>
        </is>
      </c>
      <c r="D147" s="7" t="inlineStr">
        <is>
          <t>DALYNE 3+0,03MG CAIXA C/ 3 CARTELAS</t>
        </is>
      </c>
      <c r="E147" s="13" t="n">
        <v>1</v>
      </c>
      <c r="F147" s="13" t="n">
        <v>1</v>
      </c>
      <c r="G147" s="13" t="n">
        <v>1</v>
      </c>
      <c r="H147" s="8" t="n">
        <v>93.25875000000001</v>
      </c>
      <c r="I147" s="8">
        <f>G147*H147</f>
        <v/>
      </c>
      <c r="J147" s="8">
        <f>H147/E147</f>
        <v/>
      </c>
      <c r="K147" s="8" t="n">
        <v>31.4767</v>
      </c>
      <c r="L147" s="8" t="n">
        <v>31.4767</v>
      </c>
      <c r="M147" s="14">
        <f>J147/K147-1</f>
        <v/>
      </c>
      <c r="N147" s="7" t="inlineStr">
        <is>
          <t>ACIMA +196.3%</t>
        </is>
      </c>
      <c r="O147" s="7" t="inlineStr">
        <is>
          <t>conferir emb.</t>
        </is>
      </c>
    </row>
    <row r="148">
      <c r="A148" s="7" t="n">
        <v>671261</v>
      </c>
      <c r="B148" s="7" t="inlineStr"/>
      <c r="C148" s="12" t="inlineStr">
        <is>
          <t>5000456096652</t>
        </is>
      </c>
      <c r="D148" s="7" t="inlineStr">
        <is>
          <t>DAPAGLIFLOZINA 10MG C/30 CPR MED-GENERICO</t>
        </is>
      </c>
      <c r="E148" s="13" t="n">
        <v>1</v>
      </c>
      <c r="F148" s="13" t="n">
        <v>1</v>
      </c>
      <c r="G148" s="13" t="n">
        <v>1</v>
      </c>
      <c r="H148" s="8" t="n">
        <v>114.2658</v>
      </c>
      <c r="I148" s="8">
        <f>G148*H148</f>
        <v/>
      </c>
      <c r="J148" s="8">
        <f>H148/E148</f>
        <v/>
      </c>
      <c r="K148" s="8" t="n">
        <v>59.9729</v>
      </c>
      <c r="L148" s="8" t="n">
        <v>57.5128</v>
      </c>
      <c r="M148" s="14">
        <f>J148/K148-1</f>
        <v/>
      </c>
      <c r="N148" s="7" t="inlineStr">
        <is>
          <t>ACIMA +90.5%</t>
        </is>
      </c>
      <c r="O148" s="7" t="inlineStr"/>
    </row>
    <row r="149">
      <c r="A149" s="7" t="n">
        <v>534281</v>
      </c>
      <c r="B149" s="7" t="inlineStr"/>
      <c r="C149" s="12" t="inlineStr">
        <is>
          <t>7891024182475</t>
        </is>
      </c>
      <c r="D149" s="7" t="inlineStr">
        <is>
          <t>DARLING SHAMPOO 2 EM 1 350ML</t>
        </is>
      </c>
      <c r="E149" s="13" t="n">
        <v>1</v>
      </c>
      <c r="F149" s="13" t="n">
        <v>5</v>
      </c>
      <c r="G149" s="13" t="n">
        <v>5</v>
      </c>
      <c r="H149" s="8" t="n">
        <v>8.449999999999999</v>
      </c>
      <c r="I149" s="8">
        <f>G149*H149</f>
        <v/>
      </c>
      <c r="J149" s="8">
        <f>H149/E149</f>
        <v/>
      </c>
      <c r="K149" s="8" t="n">
        <v>6.46</v>
      </c>
      <c r="L149" s="8" t="n">
        <v>6.46</v>
      </c>
      <c r="M149" s="14">
        <f>J149/K149-1</f>
        <v/>
      </c>
      <c r="N149" s="7" t="inlineStr">
        <is>
          <t>ACIMA +30.8%</t>
        </is>
      </c>
      <c r="O149" s="7" t="inlineStr"/>
    </row>
    <row r="150">
      <c r="A150" s="7" t="n">
        <v>646131</v>
      </c>
      <c r="B150" s="7" t="inlineStr"/>
      <c r="C150" s="12" t="inlineStr">
        <is>
          <t>7891150096790</t>
        </is>
      </c>
      <c r="D150" s="7" t="inlineStr">
        <is>
          <t>DC DOVE 50G DESODORANTE  SERUM PREVINE IRRITACAO M3</t>
        </is>
      </c>
      <c r="E150" s="13" t="n">
        <v>1</v>
      </c>
      <c r="F150" s="13" t="n">
        <v>2</v>
      </c>
      <c r="G150" s="13" t="n">
        <v>2</v>
      </c>
      <c r="H150" s="8" t="n">
        <v>13.81</v>
      </c>
      <c r="I150" s="8">
        <f>G150*H150</f>
        <v/>
      </c>
      <c r="J150" s="8">
        <f>H150/E150</f>
        <v/>
      </c>
      <c r="K150" s="8" t="n">
        <v>10.6217</v>
      </c>
      <c r="L150" s="8" t="n">
        <v>10.6217</v>
      </c>
      <c r="M150" s="14">
        <f>J150/K150-1</f>
        <v/>
      </c>
      <c r="N150" s="7" t="inlineStr">
        <is>
          <t>ACIMA +30.0%</t>
        </is>
      </c>
      <c r="O150" s="7" t="inlineStr"/>
    </row>
    <row r="151">
      <c r="A151" s="7" t="n">
        <v>18903</v>
      </c>
      <c r="B151" s="7" t="inlineStr"/>
      <c r="C151" s="12" t="inlineStr">
        <is>
          <t>7896658049620</t>
        </is>
      </c>
      <c r="D151" s="7" t="inlineStr">
        <is>
          <t>DECONTOSSE 40MG/ML XPE 100ML+CP</t>
        </is>
      </c>
      <c r="E151" s="13" t="n">
        <v>1</v>
      </c>
      <c r="F151" s="13" t="n">
        <v>4</v>
      </c>
      <c r="G151" s="13" t="n">
        <v>4</v>
      </c>
      <c r="H151" s="8" t="n">
        <v>23.128</v>
      </c>
      <c r="I151" s="8">
        <f>G151*H151</f>
        <v/>
      </c>
      <c r="J151" s="8">
        <f>H151/E151</f>
        <v/>
      </c>
      <c r="K151" s="8" t="n">
        <v>23.3</v>
      </c>
      <c r="L151" s="8" t="n">
        <v>17.7</v>
      </c>
      <c r="M151" s="14">
        <f>J151/K151-1</f>
        <v/>
      </c>
      <c r="N151" s="7" t="inlineStr">
        <is>
          <t>OK (≤ últ. compra)</t>
        </is>
      </c>
      <c r="O151" s="7" t="inlineStr"/>
    </row>
    <row r="152">
      <c r="A152" s="7" t="n">
        <v>637701</v>
      </c>
      <c r="B152" s="7" t="inlineStr"/>
      <c r="C152" s="12" t="inlineStr">
        <is>
          <t>7891150081215</t>
        </is>
      </c>
      <c r="D152" s="7" t="inlineStr">
        <is>
          <t>DEO DOVE AER AP MEN CUID TTAL 250ML</t>
        </is>
      </c>
      <c r="E152" s="13" t="n">
        <v>1</v>
      </c>
      <c r="F152" s="13" t="n">
        <v>5</v>
      </c>
      <c r="G152" s="13" t="n">
        <v>5</v>
      </c>
      <c r="H152" s="8" t="n">
        <v>20.92</v>
      </c>
      <c r="I152" s="8">
        <f>G152*H152</f>
        <v/>
      </c>
      <c r="J152" s="8">
        <f>H152/E152</f>
        <v/>
      </c>
      <c r="K152" s="8" t="n">
        <v>19.35</v>
      </c>
      <c r="L152" s="8" t="n">
        <v>16.3642</v>
      </c>
      <c r="M152" s="14">
        <f>J152/K152-1</f>
        <v/>
      </c>
      <c r="N152" s="7" t="inlineStr">
        <is>
          <t>ACIMA +8.1%</t>
        </is>
      </c>
      <c r="O152" s="7" t="inlineStr"/>
    </row>
    <row r="153">
      <c r="A153" s="7" t="n">
        <v>657911</v>
      </c>
      <c r="B153" s="7" t="inlineStr"/>
      <c r="C153" s="12" t="inlineStr">
        <is>
          <t>7891150094741</t>
        </is>
      </c>
      <c r="D153" s="7" t="inlineStr">
        <is>
          <t>DEO DOVE CR SER REPARACAO DIARIA 50G</t>
        </is>
      </c>
      <c r="E153" s="13" t="n">
        <v>1</v>
      </c>
      <c r="F153" s="13" t="n">
        <v>14</v>
      </c>
      <c r="G153" s="13" t="n">
        <v>14</v>
      </c>
      <c r="H153" s="8" t="n">
        <v>13.18</v>
      </c>
      <c r="I153" s="8">
        <f>G153*H153</f>
        <v/>
      </c>
      <c r="J153" s="8">
        <f>H153/E153</f>
        <v/>
      </c>
      <c r="K153" s="8" t="n">
        <v>13.7</v>
      </c>
      <c r="L153" s="8" t="n">
        <v>11.82</v>
      </c>
      <c r="M153" s="14">
        <f>J153/K153-1</f>
        <v/>
      </c>
      <c r="N153" s="7" t="inlineStr">
        <is>
          <t>OK (≤ últ. compra)</t>
        </is>
      </c>
      <c r="O153" s="7" t="inlineStr"/>
    </row>
    <row r="154">
      <c r="A154" s="7" t="n">
        <v>685201</v>
      </c>
      <c r="B154" s="7" t="inlineStr"/>
      <c r="C154" s="12" t="inlineStr">
        <is>
          <t>4006000045498</t>
        </is>
      </c>
      <c r="D154" s="7" t="inlineStr">
        <is>
          <t>DEO NIVEA BARRA CLIN PROT FM 54G-DEMAIS PROD</t>
        </is>
      </c>
      <c r="E154" s="13" t="n">
        <v>1</v>
      </c>
      <c r="F154" s="13" t="n">
        <v>5</v>
      </c>
      <c r="G154" s="13" t="n">
        <v>5</v>
      </c>
      <c r="H154" s="8" t="n">
        <v>23.4</v>
      </c>
      <c r="I154" s="8">
        <f>G154*H154</f>
        <v/>
      </c>
      <c r="J154" s="8">
        <f>H154/E154</f>
        <v/>
      </c>
      <c r="K154" s="8" t="n">
        <v>19.41</v>
      </c>
      <c r="L154" s="8" t="n">
        <v>19.41</v>
      </c>
      <c r="M154" s="14">
        <f>J154/K154-1</f>
        <v/>
      </c>
      <c r="N154" s="7" t="inlineStr">
        <is>
          <t>ACIMA +20.6%</t>
        </is>
      </c>
      <c r="O154" s="7" t="inlineStr"/>
    </row>
    <row r="155">
      <c r="A155" s="7" t="n">
        <v>645711</v>
      </c>
      <c r="B155" s="7" t="inlineStr"/>
      <c r="C155" s="12" t="inlineStr">
        <is>
          <t>75076818</t>
        </is>
      </c>
      <c r="D155" s="7" t="inlineStr">
        <is>
          <t>DEO REX WOMEN CLINIC CLASSIC CR 96H 58G</t>
        </is>
      </c>
      <c r="E155" s="13" t="n">
        <v>1</v>
      </c>
      <c r="F155" s="13" t="n">
        <v>1</v>
      </c>
      <c r="G155" s="13" t="n">
        <v>1</v>
      </c>
      <c r="H155" s="8" t="n">
        <v>21.67</v>
      </c>
      <c r="I155" s="8">
        <f>G155*H155</f>
        <v/>
      </c>
      <c r="J155" s="8">
        <f>H155/E155</f>
        <v/>
      </c>
      <c r="K155" s="8" t="n">
        <v>17.2642</v>
      </c>
      <c r="L155" s="8" t="n">
        <v>17.2642</v>
      </c>
      <c r="M155" s="14">
        <f>J155/K155-1</f>
        <v/>
      </c>
      <c r="N155" s="7" t="inlineStr">
        <is>
          <t>ACIMA +25.5%</t>
        </is>
      </c>
      <c r="O155" s="7" t="inlineStr"/>
    </row>
    <row r="156">
      <c r="A156" s="7" t="n">
        <v>645721</v>
      </c>
      <c r="B156" s="7" t="inlineStr"/>
      <c r="C156" s="12" t="inlineStr">
        <is>
          <t>75076825</t>
        </is>
      </c>
      <c r="D156" s="7" t="inlineStr">
        <is>
          <t>DEO REXONA MEN CLINIC CLEAN CR 96H 58G</t>
        </is>
      </c>
      <c r="E156" s="13" t="n">
        <v>1</v>
      </c>
      <c r="F156" s="13" t="n">
        <v>1</v>
      </c>
      <c r="G156" s="13" t="n">
        <v>1</v>
      </c>
      <c r="H156" s="8" t="n">
        <v>21.67</v>
      </c>
      <c r="I156" s="8">
        <f>G156*H156</f>
        <v/>
      </c>
      <c r="J156" s="8">
        <f>H156/E156</f>
        <v/>
      </c>
      <c r="K156" s="8" t="n">
        <v>16.6892</v>
      </c>
      <c r="L156" s="8" t="n">
        <v>16.6892</v>
      </c>
      <c r="M156" s="14">
        <f>J156/K156-1</f>
        <v/>
      </c>
      <c r="N156" s="7" t="inlineStr">
        <is>
          <t>ACIMA +29.8%</t>
        </is>
      </c>
      <c r="O156" s="7" t="inlineStr"/>
    </row>
    <row r="157">
      <c r="A157" s="7" t="n">
        <v>663011</v>
      </c>
      <c r="B157" s="7" t="inlineStr"/>
      <c r="C157" s="12" t="inlineStr">
        <is>
          <t>78926523</t>
        </is>
      </c>
      <c r="D157" s="7" t="inlineStr">
        <is>
          <t>DEO REXONA ROLLON ACTIVE EMOTION 50ML   UNIL %DN:17.00</t>
        </is>
      </c>
      <c r="E157" s="13" t="n">
        <v>1</v>
      </c>
      <c r="F157" s="13" t="n">
        <v>1</v>
      </c>
      <c r="G157" s="13" t="n">
        <v>1</v>
      </c>
      <c r="H157" s="8" t="n">
        <v>8.27</v>
      </c>
      <c r="I157" s="8">
        <f>G157*H157</f>
        <v/>
      </c>
      <c r="J157" s="8">
        <f>H157/E157</f>
        <v/>
      </c>
      <c r="K157" s="8" t="n">
        <v>6.3825</v>
      </c>
      <c r="L157" s="8" t="n">
        <v>6.3825</v>
      </c>
      <c r="M157" s="14">
        <f>J157/K157-1</f>
        <v/>
      </c>
      <c r="N157" s="7" t="inlineStr">
        <is>
          <t>ACIMA +29.6%</t>
        </is>
      </c>
      <c r="O157" s="7" t="inlineStr"/>
    </row>
    <row r="158">
      <c r="A158" s="7" t="n">
        <v>649391</v>
      </c>
      <c r="B158" s="7" t="inlineStr"/>
      <c r="C158" s="12" t="inlineStr">
        <is>
          <t>78924338</t>
        </is>
      </c>
      <c r="D158" s="7" t="inlineStr">
        <is>
          <t>DEO REXONA ROLLON POWDER 50ML   UNIL %DN:2.00</t>
        </is>
      </c>
      <c r="E158" s="13" t="n">
        <v>1</v>
      </c>
      <c r="F158" s="13" t="n">
        <v>4</v>
      </c>
      <c r="G158" s="13" t="n">
        <v>4</v>
      </c>
      <c r="H158" s="8" t="n">
        <v>8.27</v>
      </c>
      <c r="I158" s="8">
        <f>G158*H158</f>
        <v/>
      </c>
      <c r="J158" s="8">
        <f>H158/E158</f>
        <v/>
      </c>
      <c r="K158" s="8" t="n">
        <v>6.3825</v>
      </c>
      <c r="L158" s="8" t="n">
        <v>6.3825</v>
      </c>
      <c r="M158" s="14">
        <f>J158/K158-1</f>
        <v/>
      </c>
      <c r="N158" s="7" t="inlineStr">
        <is>
          <t>ACIMA +29.6%</t>
        </is>
      </c>
      <c r="O158" s="7" t="inlineStr"/>
    </row>
    <row r="159">
      <c r="A159" s="7" t="n">
        <v>669911</v>
      </c>
      <c r="B159" s="7" t="inlineStr"/>
      <c r="C159" s="12" t="inlineStr">
        <is>
          <t>7891150100503</t>
        </is>
      </c>
      <c r="D159" s="7" t="inlineStr">
        <is>
          <t>DEO REXONA WOMEN AER INV 150ML   UNIL %DN:12.00</t>
        </is>
      </c>
      <c r="E159" s="13" t="n">
        <v>1</v>
      </c>
      <c r="F159" s="13" t="n">
        <v>2</v>
      </c>
      <c r="G159" s="13" t="n">
        <v>2</v>
      </c>
      <c r="H159" s="8" t="n">
        <v>15.18</v>
      </c>
      <c r="I159" s="8">
        <f>G159*H159</f>
        <v/>
      </c>
      <c r="J159" s="8">
        <f>H159/E159</f>
        <v/>
      </c>
      <c r="K159" s="8" t="n">
        <v>16.62</v>
      </c>
      <c r="L159" s="8" t="n">
        <v>13.53</v>
      </c>
      <c r="M159" s="14">
        <f>J159/K159-1</f>
        <v/>
      </c>
      <c r="N159" s="7" t="inlineStr">
        <is>
          <t>OK (≤ últ. compra)</t>
        </is>
      </c>
      <c r="O159" s="7" t="inlineStr"/>
    </row>
    <row r="160">
      <c r="A160" s="7" t="n">
        <v>6581</v>
      </c>
      <c r="B160" s="7" t="inlineStr"/>
      <c r="C160" s="12" t="inlineStr">
        <is>
          <t>7891268101799</t>
        </is>
      </c>
      <c r="D160" s="7" t="inlineStr">
        <is>
          <t>DEPO PROVERA 150MG SUS INJ 1FA X 1ML</t>
        </is>
      </c>
      <c r="E160" s="13" t="n">
        <v>1</v>
      </c>
      <c r="F160" s="13" t="n">
        <v>4</v>
      </c>
      <c r="G160" s="13" t="n">
        <v>4</v>
      </c>
      <c r="H160" s="8" t="n">
        <v>35.4825</v>
      </c>
      <c r="I160" s="8">
        <f>G160*H160</f>
        <v/>
      </c>
      <c r="J160" s="8">
        <f>H160/E160</f>
        <v/>
      </c>
      <c r="K160" s="8" t="n">
        <v>36.87</v>
      </c>
      <c r="L160" s="8" t="n">
        <v>33.56</v>
      </c>
      <c r="M160" s="14">
        <f>J160/K160-1</f>
        <v/>
      </c>
      <c r="N160" s="7" t="inlineStr">
        <is>
          <t>OK (≤ últ. compra)</t>
        </is>
      </c>
      <c r="O160" s="7" t="inlineStr"/>
    </row>
    <row r="161">
      <c r="A161" s="7" t="n">
        <v>6601</v>
      </c>
      <c r="B161" s="7" t="inlineStr"/>
      <c r="C161" s="12" t="inlineStr">
        <is>
          <t>7891268101782</t>
        </is>
      </c>
      <c r="D161" s="7" t="inlineStr">
        <is>
          <t>DEPO PROVERA 150MG SUS INJ 1FA X 1ML+1SER PREENCH</t>
        </is>
      </c>
      <c r="E161" s="13" t="n">
        <v>1</v>
      </c>
      <c r="F161" s="13" t="n">
        <v>1</v>
      </c>
      <c r="G161" s="13" t="n">
        <v>1</v>
      </c>
      <c r="H161" s="8" t="n">
        <v>45.98</v>
      </c>
      <c r="I161" s="8">
        <f>G161*H161</f>
        <v/>
      </c>
      <c r="J161" s="8">
        <f>H161/E161</f>
        <v/>
      </c>
      <c r="K161" s="8" t="n">
        <v>46.77</v>
      </c>
      <c r="L161" s="8" t="n">
        <v>41.6</v>
      </c>
      <c r="M161" s="14">
        <f>J161/K161-1</f>
        <v/>
      </c>
      <c r="N161" s="7" t="inlineStr">
        <is>
          <t>OK (≤ últ. compra)</t>
        </is>
      </c>
      <c r="O161" s="7" t="inlineStr"/>
    </row>
    <row r="162">
      <c r="A162" s="7" t="n">
        <v>671891</v>
      </c>
      <c r="B162" s="7" t="inlineStr"/>
      <c r="C162" s="12" t="inlineStr">
        <is>
          <t>7896004790619</t>
        </is>
      </c>
      <c r="D162" s="7" t="inlineStr">
        <is>
          <t>DERMACYD DELICATA SAB LIQ 200ML-DEMAIS PROD</t>
        </is>
      </c>
      <c r="E162" s="13" t="n">
        <v>1</v>
      </c>
      <c r="F162" s="13" t="n">
        <v>2</v>
      </c>
      <c r="G162" s="13" t="n">
        <v>2</v>
      </c>
      <c r="H162" s="8" t="n">
        <v>20.02</v>
      </c>
      <c r="I162" s="8">
        <f>G162*H162</f>
        <v/>
      </c>
      <c r="J162" s="8">
        <f>H162/E162</f>
        <v/>
      </c>
      <c r="K162" s="8" t="n">
        <v>18.02</v>
      </c>
      <c r="L162" s="8" t="n">
        <v>18.02</v>
      </c>
      <c r="M162" s="14">
        <f>J162/K162-1</f>
        <v/>
      </c>
      <c r="N162" s="7" t="inlineStr">
        <is>
          <t>ACIMA +11.1%</t>
        </is>
      </c>
      <c r="O162" s="7" t="inlineStr"/>
    </row>
    <row r="163">
      <c r="A163" s="7" t="n">
        <v>645431</v>
      </c>
      <c r="B163" s="7" t="inlineStr"/>
      <c r="C163" s="12" t="inlineStr">
        <is>
          <t>7891058018238</t>
        </is>
      </c>
      <c r="D163" s="7" t="inlineStr">
        <is>
          <t>DERMACYD FEM 200+100ML</t>
        </is>
      </c>
      <c r="E163" s="13" t="n">
        <v>1</v>
      </c>
      <c r="F163" s="13" t="n">
        <v>2</v>
      </c>
      <c r="G163" s="13" t="n">
        <v>2</v>
      </c>
      <c r="H163" s="8" t="n">
        <v>25.11</v>
      </c>
      <c r="I163" s="8">
        <f>G163*H163</f>
        <v/>
      </c>
      <c r="J163" s="8">
        <f>H163/E163</f>
        <v/>
      </c>
      <c r="K163" s="8" t="n">
        <v>25.16</v>
      </c>
      <c r="L163" s="8" t="n">
        <v>25.06</v>
      </c>
      <c r="M163" s="14">
        <f>J163/K163-1</f>
        <v/>
      </c>
      <c r="N163" s="7" t="inlineStr">
        <is>
          <t>OK (≤ últ. compra)</t>
        </is>
      </c>
      <c r="O163" s="7" t="inlineStr">
        <is>
          <t>estoque parcial (1 un)</t>
        </is>
      </c>
    </row>
    <row r="164">
      <c r="A164" s="7" t="n">
        <v>663831</v>
      </c>
      <c r="B164" s="7" t="inlineStr"/>
      <c r="C164" s="12" t="inlineStr">
        <is>
          <t>7896004790596</t>
        </is>
      </c>
      <c r="D164" s="7" t="inlineStr">
        <is>
          <t>DERMACYD SAB INF 200ML-DEMAIS PROD</t>
        </is>
      </c>
      <c r="E164" s="13" t="n">
        <v>1</v>
      </c>
      <c r="F164" s="13" t="n">
        <v>3</v>
      </c>
      <c r="G164" s="13" t="n">
        <v>3</v>
      </c>
      <c r="H164" s="8" t="n">
        <v>20.02</v>
      </c>
      <c r="I164" s="8">
        <f>G164*H164</f>
        <v/>
      </c>
      <c r="J164" s="8">
        <f>H164/E164</f>
        <v/>
      </c>
      <c r="K164" s="8" t="n">
        <v>17.14</v>
      </c>
      <c r="L164" s="8" t="n">
        <v>17.14</v>
      </c>
      <c r="M164" s="14">
        <f>J164/K164-1</f>
        <v/>
      </c>
      <c r="N164" s="7" t="inlineStr">
        <is>
          <t>ACIMA +16.8%</t>
        </is>
      </c>
      <c r="O164" s="7" t="inlineStr"/>
    </row>
    <row r="165">
      <c r="A165" s="7" t="n">
        <v>603851</v>
      </c>
      <c r="B165" s="7" t="inlineStr"/>
      <c r="C165" s="12" t="inlineStr">
        <is>
          <t>7891058003661</t>
        </is>
      </c>
      <c r="D165" s="7" t="inlineStr">
        <is>
          <t>DERMACYD SAB LIQ BREE 200ML</t>
        </is>
      </c>
      <c r="E165" s="13" t="n">
        <v>1</v>
      </c>
      <c r="F165" s="13" t="n">
        <v>4</v>
      </c>
      <c r="G165" s="13" t="n">
        <v>4</v>
      </c>
      <c r="H165" s="8" t="n">
        <v>20.02</v>
      </c>
      <c r="I165" s="8">
        <f>G165*H165</f>
        <v/>
      </c>
      <c r="J165" s="8">
        <f>H165/E165</f>
        <v/>
      </c>
      <c r="K165" s="8" t="n">
        <v>18.92</v>
      </c>
      <c r="L165" s="8" t="n">
        <v>17.14</v>
      </c>
      <c r="M165" s="14">
        <f>J165/K165-1</f>
        <v/>
      </c>
      <c r="N165" s="7" t="inlineStr">
        <is>
          <t>ACIMA +5.8%</t>
        </is>
      </c>
      <c r="O165" s="7" t="inlineStr"/>
    </row>
    <row r="166">
      <c r="A166" s="7" t="n">
        <v>601601</v>
      </c>
      <c r="B166" s="7" t="inlineStr"/>
      <c r="C166" s="12" t="inlineStr">
        <is>
          <t>7897947601437</t>
        </is>
      </c>
      <c r="D166" s="7" t="inlineStr">
        <is>
          <t>DERMAFEME CALM SAB FR 100ML</t>
        </is>
      </c>
      <c r="E166" s="13" t="n">
        <v>1</v>
      </c>
      <c r="F166" s="13" t="n">
        <v>1</v>
      </c>
      <c r="G166" s="13" t="n">
        <v>1</v>
      </c>
      <c r="H166" s="8" t="n">
        <v>26.67</v>
      </c>
      <c r="I166" s="8">
        <f>G166*H166</f>
        <v/>
      </c>
      <c r="J166" s="8">
        <f>H166/E166</f>
        <v/>
      </c>
      <c r="K166" s="8" t="n">
        <v>8.220000000000001</v>
      </c>
      <c r="L166" s="8" t="n">
        <v>8.220000000000001</v>
      </c>
      <c r="M166" s="14">
        <f>J166/K166-1</f>
        <v/>
      </c>
      <c r="N166" s="7" t="inlineStr">
        <is>
          <t>ACIMA +224.5%</t>
        </is>
      </c>
      <c r="O166" s="7" t="inlineStr">
        <is>
          <t>conferir emb.</t>
        </is>
      </c>
    </row>
    <row r="167">
      <c r="A167" s="7" t="n">
        <v>640171</v>
      </c>
      <c r="B167" s="7" t="inlineStr"/>
      <c r="C167" s="12" t="inlineStr">
        <is>
          <t>7897947617568</t>
        </is>
      </c>
      <c r="D167" s="7" t="inlineStr">
        <is>
          <t>DERMAFEME PREBIOTICO SAB INT FR 100 ML</t>
        </is>
      </c>
      <c r="E167" s="13" t="n">
        <v>1</v>
      </c>
      <c r="F167" s="13" t="n">
        <v>1</v>
      </c>
      <c r="G167" s="13" t="n">
        <v>1</v>
      </c>
      <c r="H167" s="8" t="n">
        <v>25.63</v>
      </c>
      <c r="I167" s="8">
        <f>G167*H167</f>
        <v/>
      </c>
      <c r="J167" s="8">
        <f>H167/E167</f>
        <v/>
      </c>
      <c r="K167" s="8" t="n">
        <v>8.215</v>
      </c>
      <c r="L167" s="8" t="n">
        <v>8.215</v>
      </c>
      <c r="M167" s="14">
        <f>J167/K167-1</f>
        <v/>
      </c>
      <c r="N167" s="7" t="inlineStr">
        <is>
          <t>ACIMA +212.0%</t>
        </is>
      </c>
      <c r="O167" s="7" t="inlineStr">
        <is>
          <t>conferir emb.</t>
        </is>
      </c>
    </row>
    <row r="168">
      <c r="A168" s="7" t="n">
        <v>543861</v>
      </c>
      <c r="B168" s="7" t="inlineStr"/>
      <c r="C168" s="12" t="inlineStr">
        <is>
          <t>7506306244177</t>
        </is>
      </c>
      <c r="D168" s="7" t="inlineStr">
        <is>
          <t>DES AER ANT INVIS REXONA 150ML</t>
        </is>
      </c>
      <c r="E168" s="13" t="n">
        <v>1</v>
      </c>
      <c r="F168" s="13" t="n">
        <v>6</v>
      </c>
      <c r="G168" s="13" t="n">
        <v>6</v>
      </c>
      <c r="H168" s="8" t="n">
        <v>13.16</v>
      </c>
      <c r="I168" s="8">
        <f>G168*H168</f>
        <v/>
      </c>
      <c r="J168" s="8">
        <f>H168/E168</f>
        <v/>
      </c>
      <c r="K168" s="8" t="n">
        <v>12.72</v>
      </c>
      <c r="L168" s="8" t="n">
        <v>11.19</v>
      </c>
      <c r="M168" s="14">
        <f>J168/K168-1</f>
        <v/>
      </c>
      <c r="N168" s="7" t="inlineStr">
        <is>
          <t>ACIMA +3.5%</t>
        </is>
      </c>
      <c r="O168" s="7" t="inlineStr"/>
    </row>
    <row r="169">
      <c r="A169" s="7" t="n">
        <v>633961</v>
      </c>
      <c r="B169" s="7" t="inlineStr"/>
      <c r="C169" s="12" t="inlineStr">
        <is>
          <t>7891150063747</t>
        </is>
      </c>
      <c r="D169" s="7" t="inlineStr">
        <is>
          <t>DES AER DOVE FEM AMORA 150ML</t>
        </is>
      </c>
      <c r="E169" s="13" t="n">
        <v>1</v>
      </c>
      <c r="F169" s="13" t="n">
        <v>7</v>
      </c>
      <c r="G169" s="13" t="n">
        <v>7</v>
      </c>
      <c r="H169" s="8" t="n">
        <v>14.58</v>
      </c>
      <c r="I169" s="8">
        <f>G169*H169</f>
        <v/>
      </c>
      <c r="J169" s="8">
        <f>H169/E169</f>
        <v/>
      </c>
      <c r="K169" s="8" t="n">
        <v>14.2592</v>
      </c>
      <c r="L169" s="8" t="n">
        <v>13.395</v>
      </c>
      <c r="M169" s="14">
        <f>J169/K169-1</f>
        <v/>
      </c>
      <c r="N169" s="7" t="inlineStr">
        <is>
          <t>ACIMA +2.2%</t>
        </is>
      </c>
      <c r="O169" s="7" t="inlineStr"/>
    </row>
    <row r="170">
      <c r="A170" s="7" t="n">
        <v>545421</v>
      </c>
      <c r="B170" s="7" t="inlineStr"/>
      <c r="C170" s="12" t="inlineStr">
        <is>
          <t>7791293032498</t>
        </is>
      </c>
      <c r="D170" s="7" t="inlineStr">
        <is>
          <t>DES AER REXONA 72H BAMBOO 150ML/89G</t>
        </is>
      </c>
      <c r="E170" s="13" t="n">
        <v>1</v>
      </c>
      <c r="F170" s="13" t="n">
        <v>3</v>
      </c>
      <c r="G170" s="13" t="n">
        <v>3</v>
      </c>
      <c r="H170" s="8" t="n">
        <v>13.16</v>
      </c>
      <c r="I170" s="8">
        <f>G170*H170</f>
        <v/>
      </c>
      <c r="J170" s="8">
        <f>H170/E170</f>
        <v/>
      </c>
      <c r="K170" s="8" t="n">
        <v>12.8967</v>
      </c>
      <c r="L170" s="8" t="n">
        <v>9.5083</v>
      </c>
      <c r="M170" s="14">
        <f>J170/K170-1</f>
        <v/>
      </c>
      <c r="N170" s="7" t="inlineStr">
        <is>
          <t>ACIMA +2.0%</t>
        </is>
      </c>
      <c r="O170" s="7" t="inlineStr"/>
    </row>
    <row r="171">
      <c r="A171" s="7" t="n">
        <v>545541</v>
      </c>
      <c r="B171" s="7" t="inlineStr"/>
      <c r="C171" s="12" t="inlineStr">
        <is>
          <t>7791293032436</t>
        </is>
      </c>
      <c r="D171" s="7" t="inlineStr">
        <is>
          <t>DES AER REXONA 72H POWDER DRY 150ML/89G</t>
        </is>
      </c>
      <c r="E171" s="13" t="n">
        <v>1</v>
      </c>
      <c r="F171" s="13" t="n">
        <v>16</v>
      </c>
      <c r="G171" s="13" t="n">
        <v>16</v>
      </c>
      <c r="H171" s="8" t="n">
        <v>13.16</v>
      </c>
      <c r="I171" s="8">
        <f>G171*H171</f>
        <v/>
      </c>
      <c r="J171" s="8">
        <f>H171/E171</f>
        <v/>
      </c>
      <c r="K171" s="8" t="n">
        <v>12.72</v>
      </c>
      <c r="L171" s="8" t="n">
        <v>9.5083</v>
      </c>
      <c r="M171" s="14">
        <f>J171/K171-1</f>
        <v/>
      </c>
      <c r="N171" s="7" t="inlineStr">
        <is>
          <t>ACIMA +3.5%</t>
        </is>
      </c>
      <c r="O171" s="7" t="inlineStr"/>
    </row>
    <row r="172">
      <c r="A172" s="7" t="n">
        <v>548581</v>
      </c>
      <c r="B172" s="7" t="inlineStr"/>
      <c r="C172" s="12" t="inlineStr">
        <is>
          <t>7791293032443</t>
        </is>
      </c>
      <c r="D172" s="7" t="inlineStr">
        <is>
          <t>DES AER REXONA ACTIVE EMOTION REXONA 150ML</t>
        </is>
      </c>
      <c r="E172" s="13" t="n">
        <v>1</v>
      </c>
      <c r="F172" s="13" t="n">
        <v>12</v>
      </c>
      <c r="G172" s="13" t="n">
        <v>12</v>
      </c>
      <c r="H172" s="8" t="n">
        <v>13.16</v>
      </c>
      <c r="I172" s="8">
        <f>G172*H172</f>
        <v/>
      </c>
      <c r="J172" s="8">
        <f>H172/E172</f>
        <v/>
      </c>
      <c r="K172" s="8" t="n">
        <v>12.72</v>
      </c>
      <c r="L172" s="8" t="n">
        <v>11.19</v>
      </c>
      <c r="M172" s="14">
        <f>J172/K172-1</f>
        <v/>
      </c>
      <c r="N172" s="7" t="inlineStr">
        <is>
          <t>ACIMA +3.5%</t>
        </is>
      </c>
      <c r="O172" s="7" t="inlineStr"/>
    </row>
    <row r="173">
      <c r="A173" s="7" t="n">
        <v>549121</v>
      </c>
      <c r="B173" s="7" t="inlineStr"/>
      <c r="C173" s="12" t="inlineStr">
        <is>
          <t>7791293032467</t>
        </is>
      </c>
      <c r="D173" s="7" t="inlineStr">
        <is>
          <t>DES AER REXONA COTTON 150ML</t>
        </is>
      </c>
      <c r="E173" s="13" t="n">
        <v>1</v>
      </c>
      <c r="F173" s="13" t="n">
        <v>8</v>
      </c>
      <c r="G173" s="13" t="n">
        <v>8</v>
      </c>
      <c r="H173" s="8" t="n">
        <v>13.31</v>
      </c>
      <c r="I173" s="8">
        <f>G173*H173</f>
        <v/>
      </c>
      <c r="J173" s="8">
        <f>H173/E173</f>
        <v/>
      </c>
      <c r="K173" s="8" t="n">
        <v>12.72</v>
      </c>
      <c r="L173" s="8" t="n">
        <v>11.7367</v>
      </c>
      <c r="M173" s="14">
        <f>J173/K173-1</f>
        <v/>
      </c>
      <c r="N173" s="7" t="inlineStr">
        <is>
          <t>ACIMA +4.6%</t>
        </is>
      </c>
      <c r="O173" s="7" t="inlineStr"/>
    </row>
    <row r="174">
      <c r="A174" s="7" t="n">
        <v>570321</v>
      </c>
      <c r="B174" s="7" t="inlineStr"/>
      <c r="C174" s="12" t="inlineStr">
        <is>
          <t>7506306214972</t>
        </is>
      </c>
      <c r="D174" s="7" t="inlineStr">
        <is>
          <t>DES AER REXONA MEN CL CL 150M</t>
        </is>
      </c>
      <c r="E174" s="13" t="n">
        <v>1</v>
      </c>
      <c r="F174" s="13" t="n">
        <v>6</v>
      </c>
      <c r="G174" s="13" t="n">
        <v>6</v>
      </c>
      <c r="H174" s="8" t="n">
        <v>15.18</v>
      </c>
      <c r="I174" s="8">
        <f>G174*H174</f>
        <v/>
      </c>
      <c r="J174" s="8">
        <f>H174/E174</f>
        <v/>
      </c>
      <c r="K174" s="8" t="n">
        <v>14.5725</v>
      </c>
      <c r="L174" s="8" t="n">
        <v>14.2567</v>
      </c>
      <c r="M174" s="14">
        <f>J174/K174-1</f>
        <v/>
      </c>
      <c r="N174" s="7" t="inlineStr">
        <is>
          <t>ACIMA +4.2%</t>
        </is>
      </c>
      <c r="O174" s="7" t="inlineStr"/>
    </row>
    <row r="175">
      <c r="A175" s="7" t="n">
        <v>549081</v>
      </c>
      <c r="B175" s="7" t="inlineStr"/>
      <c r="C175" s="12" t="inlineStr">
        <is>
          <t>7791293022567</t>
        </is>
      </c>
      <c r="D175" s="7" t="inlineStr">
        <is>
          <t>DES AER REXONA MEN.V8 12X150ML</t>
        </is>
      </c>
      <c r="E175" s="13" t="n">
        <v>1</v>
      </c>
      <c r="F175" s="13" t="n">
        <v>5</v>
      </c>
      <c r="G175" s="13" t="n">
        <v>5</v>
      </c>
      <c r="H175" s="8" t="n">
        <v>13.79</v>
      </c>
      <c r="I175" s="8">
        <f>G175*H175</f>
        <v/>
      </c>
      <c r="J175" s="8">
        <f>H175/E175</f>
        <v/>
      </c>
      <c r="K175" s="8" t="n">
        <v>12.69</v>
      </c>
      <c r="L175" s="8" t="n">
        <v>11.9133</v>
      </c>
      <c r="M175" s="14">
        <f>J175/K175-1</f>
        <v/>
      </c>
      <c r="N175" s="7" t="inlineStr">
        <is>
          <t>ACIMA +8.7%</t>
        </is>
      </c>
      <c r="O175" s="7" t="inlineStr"/>
    </row>
    <row r="176">
      <c r="A176" s="7" t="n">
        <v>570361</v>
      </c>
      <c r="B176" s="7" t="inlineStr"/>
      <c r="C176" s="12" t="inlineStr">
        <is>
          <t>7506306214989</t>
        </is>
      </c>
      <c r="D176" s="7" t="inlineStr">
        <is>
          <t>DES AER REXONA W CL.CLAS.150ML</t>
        </is>
      </c>
      <c r="E176" s="13" t="n">
        <v>1</v>
      </c>
      <c r="F176" s="13" t="n">
        <v>4</v>
      </c>
      <c r="G176" s="13" t="n">
        <v>4</v>
      </c>
      <c r="H176" s="8" t="n">
        <v>14.97</v>
      </c>
      <c r="I176" s="8">
        <f>G176*H176</f>
        <v/>
      </c>
      <c r="J176" s="8">
        <f>H176/E176</f>
        <v/>
      </c>
      <c r="K176" s="8" t="n">
        <v>12.64</v>
      </c>
      <c r="L176" s="8" t="n">
        <v>12.64</v>
      </c>
      <c r="M176" s="14">
        <f>J176/K176-1</f>
        <v/>
      </c>
      <c r="N176" s="7" t="inlineStr">
        <is>
          <t>ACIMA +18.4%</t>
        </is>
      </c>
      <c r="O176" s="7" t="inlineStr"/>
    </row>
    <row r="177">
      <c r="A177" s="7" t="n">
        <v>595411</v>
      </c>
      <c r="B177" s="7" t="inlineStr"/>
      <c r="C177" s="12" t="inlineStr">
        <is>
          <t>7791293033235</t>
        </is>
      </c>
      <c r="D177" s="7" t="inlineStr">
        <is>
          <t>DES DOVE AER W BEAUT FIN 150ML</t>
        </is>
      </c>
      <c r="E177" s="13" t="n">
        <v>1</v>
      </c>
      <c r="F177" s="13" t="n">
        <v>11</v>
      </c>
      <c r="G177" s="13" t="n">
        <v>11</v>
      </c>
      <c r="H177" s="8" t="n">
        <v>14.58</v>
      </c>
      <c r="I177" s="8">
        <f>G177*H177</f>
        <v/>
      </c>
      <c r="J177" s="8">
        <f>H177/E177</f>
        <v/>
      </c>
      <c r="K177" s="8" t="n">
        <v>14.2592</v>
      </c>
      <c r="L177" s="8" t="n">
        <v>12.9183</v>
      </c>
      <c r="M177" s="14">
        <f>J177/K177-1</f>
        <v/>
      </c>
      <c r="N177" s="7" t="inlineStr">
        <is>
          <t>ACIMA +2.2%</t>
        </is>
      </c>
      <c r="O177" s="7" t="inlineStr"/>
    </row>
    <row r="178">
      <c r="A178" s="7" t="n">
        <v>595421</v>
      </c>
      <c r="B178" s="7" t="inlineStr"/>
      <c r="C178" s="12" t="inlineStr">
        <is>
          <t>7506306241169</t>
        </is>
      </c>
      <c r="D178" s="7" t="inlineStr">
        <is>
          <t>DES DOVE AER W GO FRESH 150ML</t>
        </is>
      </c>
      <c r="E178" s="13" t="n">
        <v>1</v>
      </c>
      <c r="F178" s="13" t="n">
        <v>1</v>
      </c>
      <c r="G178" s="13" t="n">
        <v>1</v>
      </c>
      <c r="H178" s="8" t="n">
        <v>14.58</v>
      </c>
      <c r="I178" s="8">
        <f>G178*H178</f>
        <v/>
      </c>
      <c r="J178" s="8">
        <f>H178/E178</f>
        <v/>
      </c>
      <c r="K178" s="8" t="n">
        <v>14.19</v>
      </c>
      <c r="L178" s="8" t="n">
        <v>13.395</v>
      </c>
      <c r="M178" s="14">
        <f>J178/K178-1</f>
        <v/>
      </c>
      <c r="N178" s="7" t="inlineStr">
        <is>
          <t>ACIMA +2.7%</t>
        </is>
      </c>
      <c r="O178" s="7" t="inlineStr"/>
    </row>
    <row r="179">
      <c r="A179" s="7" t="n">
        <v>609971</v>
      </c>
      <c r="B179" s="7" t="inlineStr"/>
      <c r="C179" s="12" t="inlineStr">
        <is>
          <t>7891150081239</t>
        </is>
      </c>
      <c r="D179" s="7" t="inlineStr">
        <is>
          <t>DES DOVE LEV MAIS POR MEN 250ML UN</t>
        </is>
      </c>
      <c r="E179" s="13" t="n">
        <v>1</v>
      </c>
      <c r="F179" s="13" t="n">
        <v>6</v>
      </c>
      <c r="G179" s="13" t="n">
        <v>6</v>
      </c>
      <c r="H179" s="8" t="n">
        <v>20.92</v>
      </c>
      <c r="I179" s="8">
        <f>G179*H179</f>
        <v/>
      </c>
      <c r="J179" s="8">
        <f>H179/E179</f>
        <v/>
      </c>
      <c r="K179" s="8" t="n">
        <v>19.3533</v>
      </c>
      <c r="L179" s="8" t="n">
        <v>19.3533</v>
      </c>
      <c r="M179" s="14">
        <f>J179/K179-1</f>
        <v/>
      </c>
      <c r="N179" s="7" t="inlineStr">
        <is>
          <t>ACIMA +8.1%</t>
        </is>
      </c>
      <c r="O179" s="7" t="inlineStr"/>
    </row>
    <row r="180">
      <c r="A180" s="7" t="n">
        <v>628121</v>
      </c>
      <c r="B180" s="7" t="inlineStr"/>
      <c r="C180" s="12" t="inlineStr">
        <is>
          <t>78930780</t>
        </is>
      </c>
      <c r="D180" s="7" t="inlineStr">
        <is>
          <t>DES DOVE R-ON MEN S/PERF.50ML</t>
        </is>
      </c>
      <c r="E180" s="13" t="n">
        <v>1</v>
      </c>
      <c r="F180" s="13" t="n">
        <v>1</v>
      </c>
      <c r="G180" s="13" t="n">
        <v>1</v>
      </c>
      <c r="H180" s="8" t="n">
        <v>9.289999999999999</v>
      </c>
      <c r="I180" s="8">
        <f>G180*H180</f>
        <v/>
      </c>
      <c r="J180" s="8">
        <f>H180/E180</f>
        <v/>
      </c>
      <c r="K180" s="8" t="n">
        <v>8.111700000000001</v>
      </c>
      <c r="L180" s="8" t="n">
        <v>8.111700000000001</v>
      </c>
      <c r="M180" s="14">
        <f>J180/K180-1</f>
        <v/>
      </c>
      <c r="N180" s="7" t="inlineStr">
        <is>
          <t>ACIMA +14.5%</t>
        </is>
      </c>
      <c r="O180" s="7" t="inlineStr"/>
    </row>
    <row r="181">
      <c r="A181" s="7" t="n">
        <v>591801</v>
      </c>
      <c r="B181" s="7" t="inlineStr"/>
      <c r="C181" s="12" t="inlineStr">
        <is>
          <t>78923409</t>
        </is>
      </c>
      <c r="D181" s="7" t="inlineStr">
        <is>
          <t>DES R-ON REXONA MEN ACT 50ML</t>
        </is>
      </c>
      <c r="E181" s="13" t="n">
        <v>1</v>
      </c>
      <c r="F181" s="13" t="n">
        <v>1</v>
      </c>
      <c r="G181" s="13" t="n">
        <v>1</v>
      </c>
      <c r="H181" s="8" t="n">
        <v>8.27</v>
      </c>
      <c r="I181" s="8">
        <f>G181*H181</f>
        <v/>
      </c>
      <c r="J181" s="8">
        <f>H181/E181</f>
        <v/>
      </c>
      <c r="K181" s="8" t="n">
        <v>7.65</v>
      </c>
      <c r="L181" s="8" t="n">
        <v>7.5</v>
      </c>
      <c r="M181" s="14">
        <f>J181/K181-1</f>
        <v/>
      </c>
      <c r="N181" s="7" t="inlineStr">
        <is>
          <t>ACIMA +8.1%</t>
        </is>
      </c>
      <c r="O181" s="7" t="inlineStr"/>
    </row>
    <row r="182">
      <c r="A182" s="7" t="n">
        <v>566481</v>
      </c>
      <c r="B182" s="7" t="inlineStr"/>
      <c r="C182" s="12" t="inlineStr">
        <is>
          <t>78924345</t>
        </is>
      </c>
      <c r="D182" s="7" t="inlineStr">
        <is>
          <t>DES R-ON REXONA W.BAMBOO 50ML</t>
        </is>
      </c>
      <c r="E182" s="13" t="n">
        <v>1</v>
      </c>
      <c r="F182" s="13" t="n">
        <v>11</v>
      </c>
      <c r="G182" s="13" t="n">
        <v>11</v>
      </c>
      <c r="H182" s="8" t="n">
        <v>8.27</v>
      </c>
      <c r="I182" s="8">
        <f>G182*H182</f>
        <v/>
      </c>
      <c r="J182" s="8">
        <f>H182/E182</f>
        <v/>
      </c>
      <c r="K182" s="8" t="n">
        <v>7.78</v>
      </c>
      <c r="L182" s="8" t="n">
        <v>7.78</v>
      </c>
      <c r="M182" s="14">
        <f>J182/K182-1</f>
        <v/>
      </c>
      <c r="N182" s="7" t="inlineStr">
        <is>
          <t>ACIMA +6.3%</t>
        </is>
      </c>
      <c r="O182" s="7" t="inlineStr"/>
    </row>
    <row r="183">
      <c r="A183" s="7" t="n">
        <v>591811</v>
      </c>
      <c r="B183" s="7" t="inlineStr"/>
      <c r="C183" s="12" t="inlineStr">
        <is>
          <t>78924352</t>
        </is>
      </c>
      <c r="D183" s="7" t="inlineStr">
        <is>
          <t>DES R-ON REXONA W.COTTON 50ML</t>
        </is>
      </c>
      <c r="E183" s="13" t="n">
        <v>1</v>
      </c>
      <c r="F183" s="13" t="n">
        <v>1</v>
      </c>
      <c r="G183" s="13" t="n">
        <v>1</v>
      </c>
      <c r="H183" s="8" t="n">
        <v>8.27</v>
      </c>
      <c r="I183" s="8">
        <f>G183*H183</f>
        <v/>
      </c>
      <c r="J183" s="8">
        <f>H183/E183</f>
        <v/>
      </c>
      <c r="K183" s="8" t="n">
        <v>7.9967</v>
      </c>
      <c r="L183" s="8" t="n">
        <v>7.9967</v>
      </c>
      <c r="M183" s="14">
        <f>J183/K183-1</f>
        <v/>
      </c>
      <c r="N183" s="7" t="inlineStr">
        <is>
          <t>ACIMA +3.4%</t>
        </is>
      </c>
      <c r="O183" s="7" t="inlineStr"/>
    </row>
    <row r="184">
      <c r="A184" s="7" t="n">
        <v>570341</v>
      </c>
      <c r="B184" s="7" t="inlineStr"/>
      <c r="C184" s="12" t="inlineStr">
        <is>
          <t>7891150068735</t>
        </is>
      </c>
      <c r="D184" s="7" t="inlineStr">
        <is>
          <t>DES REXONA AER MEN CL SP 150ML</t>
        </is>
      </c>
      <c r="E184" s="13" t="n">
        <v>1</v>
      </c>
      <c r="F184" s="13" t="n">
        <v>1</v>
      </c>
      <c r="G184" s="13" t="n">
        <v>1</v>
      </c>
      <c r="H184" s="8" t="n">
        <v>15.18</v>
      </c>
      <c r="I184" s="8">
        <f>G184*H184</f>
        <v/>
      </c>
      <c r="J184" s="8">
        <f>H184/E184</f>
        <v/>
      </c>
      <c r="K184" s="8" t="n">
        <v>12.64</v>
      </c>
      <c r="L184" s="8" t="n">
        <v>12.64</v>
      </c>
      <c r="M184" s="14">
        <f>J184/K184-1</f>
        <v/>
      </c>
      <c r="N184" s="7" t="inlineStr">
        <is>
          <t>ACIMA +20.1%</t>
        </is>
      </c>
      <c r="O184" s="7" t="inlineStr"/>
    </row>
    <row r="185">
      <c r="A185" s="7" t="n">
        <v>570381</v>
      </c>
      <c r="B185" s="7" t="inlineStr"/>
      <c r="C185" s="12" t="inlineStr">
        <is>
          <t>7891150064300</t>
        </is>
      </c>
      <c r="D185" s="7" t="inlineStr">
        <is>
          <t>DES REXONA AER W CL.EXT.D.150</t>
        </is>
      </c>
      <c r="E185" s="13" t="n">
        <v>1</v>
      </c>
      <c r="F185" s="13" t="n">
        <v>1</v>
      </c>
      <c r="G185" s="13" t="n">
        <v>1</v>
      </c>
      <c r="H185" s="8" t="n">
        <v>15.18</v>
      </c>
      <c r="I185" s="8">
        <f>G185*H185</f>
        <v/>
      </c>
      <c r="J185" s="8">
        <f>H185/E185</f>
        <v/>
      </c>
      <c r="K185" s="8" t="n">
        <v>14.73</v>
      </c>
      <c r="L185" s="8" t="n">
        <v>14.73</v>
      </c>
      <c r="M185" s="14">
        <f>J185/K185-1</f>
        <v/>
      </c>
      <c r="N185" s="7" t="inlineStr">
        <is>
          <t>ACIMA +3.1%</t>
        </is>
      </c>
      <c r="O185" s="7" t="inlineStr"/>
    </row>
    <row r="186">
      <c r="A186" s="7" t="n">
        <v>628161</v>
      </c>
      <c r="B186" s="7" t="inlineStr"/>
      <c r="C186" s="12" t="inlineStr">
        <is>
          <t>78938625</t>
        </is>
      </c>
      <c r="D186" s="7" t="inlineStr">
        <is>
          <t>DES REXONA R-ON MEN S/PE 50ML</t>
        </is>
      </c>
      <c r="E186" s="13" t="n">
        <v>1</v>
      </c>
      <c r="F186" s="13" t="n">
        <v>2</v>
      </c>
      <c r="G186" s="13" t="n">
        <v>2</v>
      </c>
      <c r="H186" s="8" t="n">
        <v>8.27</v>
      </c>
      <c r="I186" s="8">
        <f>G186*H186</f>
        <v/>
      </c>
      <c r="J186" s="8">
        <f>H186/E186</f>
        <v/>
      </c>
      <c r="K186" s="8" t="n">
        <v>7.84</v>
      </c>
      <c r="L186" s="8" t="n">
        <v>7.84</v>
      </c>
      <c r="M186" s="14">
        <f>J186/K186-1</f>
        <v/>
      </c>
      <c r="N186" s="7" t="inlineStr">
        <is>
          <t>ACIMA +5.5%</t>
        </is>
      </c>
      <c r="O186" s="7" t="inlineStr"/>
    </row>
    <row r="187">
      <c r="A187" s="7" t="n">
        <v>615851</v>
      </c>
      <c r="B187" s="7" t="inlineStr"/>
      <c r="C187" s="12" t="inlineStr">
        <is>
          <t>75058845</t>
        </is>
      </c>
      <c r="D187" s="7" t="inlineStr">
        <is>
          <t>DES REXONA R-ON W ANT INV 50ML</t>
        </is>
      </c>
      <c r="E187" s="13" t="n">
        <v>1</v>
      </c>
      <c r="F187" s="13" t="n">
        <v>2</v>
      </c>
      <c r="G187" s="13" t="n">
        <v>2</v>
      </c>
      <c r="H187" s="8" t="n">
        <v>8.27</v>
      </c>
      <c r="I187" s="8">
        <f>G187*H187</f>
        <v/>
      </c>
      <c r="J187" s="8">
        <f>H187/E187</f>
        <v/>
      </c>
      <c r="K187" s="8" t="n">
        <v>5.48</v>
      </c>
      <c r="L187" s="8" t="n">
        <v>5.48</v>
      </c>
      <c r="M187" s="14">
        <f>J187/K187-1</f>
        <v/>
      </c>
      <c r="N187" s="7" t="inlineStr">
        <is>
          <t>ACIMA +50.9%</t>
        </is>
      </c>
      <c r="O187" s="7" t="inlineStr"/>
    </row>
    <row r="188">
      <c r="A188" s="7" t="n">
        <v>576661</v>
      </c>
      <c r="B188" s="7" t="inlineStr"/>
      <c r="C188" s="12" t="inlineStr">
        <is>
          <t>7891150073098</t>
        </is>
      </c>
      <c r="D188" s="7" t="inlineStr">
        <is>
          <t>DES. DOVE AER.W.CL.OR.150ML</t>
        </is>
      </c>
      <c r="E188" s="13" t="n">
        <v>1</v>
      </c>
      <c r="F188" s="13" t="n">
        <v>2</v>
      </c>
      <c r="G188" s="13" t="n">
        <v>2</v>
      </c>
      <c r="H188" s="8" t="n">
        <v>15.78</v>
      </c>
      <c r="I188" s="8">
        <f>G188*H188</f>
        <v/>
      </c>
      <c r="J188" s="8">
        <f>H188/E188</f>
        <v/>
      </c>
      <c r="K188" s="8" t="n">
        <v>14.26</v>
      </c>
      <c r="L188" s="8" t="n">
        <v>14.26</v>
      </c>
      <c r="M188" s="14">
        <f>J188/K188-1</f>
        <v/>
      </c>
      <c r="N188" s="7" t="inlineStr">
        <is>
          <t>ACIMA +10.7%</t>
        </is>
      </c>
      <c r="O188" s="7" t="inlineStr"/>
    </row>
    <row r="189">
      <c r="A189" s="7" t="n">
        <v>604301</v>
      </c>
      <c r="B189" s="7" t="inlineStr"/>
      <c r="C189" s="12" t="inlineStr">
        <is>
          <t>7891150080966</t>
        </is>
      </c>
      <c r="D189" s="7" t="inlineStr">
        <is>
          <t>DES.AXE AER.MARINE 152ML</t>
        </is>
      </c>
      <c r="E189" s="13" t="n">
        <v>1</v>
      </c>
      <c r="F189" s="13" t="n">
        <v>3</v>
      </c>
      <c r="G189" s="13" t="n">
        <v>3</v>
      </c>
      <c r="H189" s="8" t="n">
        <v>10.89</v>
      </c>
      <c r="I189" s="8">
        <f>G189*H189</f>
        <v/>
      </c>
      <c r="J189" s="8">
        <f>H189/E189</f>
        <v/>
      </c>
      <c r="K189" s="8" t="n">
        <v>10.545</v>
      </c>
      <c r="L189" s="8" t="n">
        <v>9.896000000000001</v>
      </c>
      <c r="M189" s="14">
        <f>J189/K189-1</f>
        <v/>
      </c>
      <c r="N189" s="7" t="inlineStr">
        <is>
          <t>ACIMA +3.3%</t>
        </is>
      </c>
      <c r="O189" s="7" t="inlineStr"/>
    </row>
    <row r="190">
      <c r="A190" s="7" t="n">
        <v>604321</v>
      </c>
      <c r="B190" s="7" t="inlineStr"/>
      <c r="C190" s="12" t="inlineStr">
        <is>
          <t>7506306233362</t>
        </is>
      </c>
      <c r="D190" s="7" t="inlineStr">
        <is>
          <t>DES.AXE AER.URBAN 152ML</t>
        </is>
      </c>
      <c r="E190" s="13" t="n">
        <v>1</v>
      </c>
      <c r="F190" s="13" t="n">
        <v>2</v>
      </c>
      <c r="G190" s="13" t="n">
        <v>2</v>
      </c>
      <c r="H190" s="8" t="n">
        <v>10.89</v>
      </c>
      <c r="I190" s="8">
        <f>G190*H190</f>
        <v/>
      </c>
      <c r="J190" s="8">
        <f>H190/E190</f>
        <v/>
      </c>
      <c r="K190" s="8" t="n">
        <v>10.0017</v>
      </c>
      <c r="L190" s="8" t="n">
        <v>10.0017</v>
      </c>
      <c r="M190" s="14">
        <f>J190/K190-1</f>
        <v/>
      </c>
      <c r="N190" s="7" t="inlineStr">
        <is>
          <t>ACIMA +8.9%</t>
        </is>
      </c>
      <c r="O190" s="7" t="inlineStr"/>
    </row>
    <row r="191">
      <c r="A191" s="7" t="n">
        <v>617991</v>
      </c>
      <c r="B191" s="7" t="inlineStr"/>
      <c r="C191" s="12" t="inlineStr">
        <is>
          <t>7791293028781</t>
        </is>
      </c>
      <c r="D191" s="7" t="inlineStr">
        <is>
          <t>DESO AXE AER BS BLACK 150ML</t>
        </is>
      </c>
      <c r="E191" s="13" t="n">
        <v>1</v>
      </c>
      <c r="F191" s="13" t="n">
        <v>1</v>
      </c>
      <c r="G191" s="13" t="n">
        <v>1</v>
      </c>
      <c r="H191" s="8" t="n">
        <v>10.4</v>
      </c>
      <c r="I191" s="8">
        <f>G191*H191</f>
        <v/>
      </c>
      <c r="J191" s="8">
        <f>H191/E191</f>
        <v/>
      </c>
      <c r="K191" s="8" t="n">
        <v>9.449999999999999</v>
      </c>
      <c r="L191" s="8" t="n">
        <v>9.449999999999999</v>
      </c>
      <c r="M191" s="14">
        <f>J191/K191-1</f>
        <v/>
      </c>
      <c r="N191" s="7" t="inlineStr">
        <is>
          <t>ACIMA +10.1%</t>
        </is>
      </c>
      <c r="O191" s="7" t="inlineStr"/>
    </row>
    <row r="192">
      <c r="A192" s="7" t="n">
        <v>618001</v>
      </c>
      <c r="B192" s="7" t="inlineStr"/>
      <c r="C192" s="12" t="inlineStr">
        <is>
          <t>7791293025797</t>
        </is>
      </c>
      <c r="D192" s="7" t="inlineStr">
        <is>
          <t>DESO AXE AER BS DARK TEMPT 89G</t>
        </is>
      </c>
      <c r="E192" s="13" t="n">
        <v>1</v>
      </c>
      <c r="F192" s="13" t="n">
        <v>2</v>
      </c>
      <c r="G192" s="13" t="n">
        <v>2</v>
      </c>
      <c r="H192" s="8" t="n">
        <v>10.89</v>
      </c>
      <c r="I192" s="8">
        <f>G192*H192</f>
        <v/>
      </c>
      <c r="J192" s="8">
        <f>H192/E192</f>
        <v/>
      </c>
      <c r="K192" s="8" t="n">
        <v>9.531700000000001</v>
      </c>
      <c r="L192" s="8" t="n">
        <v>9.531700000000001</v>
      </c>
      <c r="M192" s="14">
        <f>J192/K192-1</f>
        <v/>
      </c>
      <c r="N192" s="7" t="inlineStr">
        <is>
          <t>ACIMA +14.3%</t>
        </is>
      </c>
      <c r="O192" s="7" t="inlineStr"/>
    </row>
    <row r="193">
      <c r="A193" s="7" t="n">
        <v>589241</v>
      </c>
      <c r="B193" s="7" t="inlineStr"/>
      <c r="C193" s="12" t="inlineStr">
        <is>
          <t>78935068</t>
        </is>
      </c>
      <c r="D193" s="7" t="inlineStr">
        <is>
          <t>DESOD DOVE 50ML GOFRESH ROMA E VERBENA M3</t>
        </is>
      </c>
      <c r="E193" s="13" t="n">
        <v>1</v>
      </c>
      <c r="F193" s="13" t="n">
        <v>7</v>
      </c>
      <c r="G193" s="13" t="n">
        <v>7</v>
      </c>
      <c r="H193" s="8" t="n">
        <v>9.289999999999999</v>
      </c>
      <c r="I193" s="8">
        <f>G193*H193</f>
        <v/>
      </c>
      <c r="J193" s="8">
        <f>H193/E193</f>
        <v/>
      </c>
      <c r="K193" s="8" t="n">
        <v>6.79</v>
      </c>
      <c r="L193" s="8" t="n">
        <v>6.79</v>
      </c>
      <c r="M193" s="14">
        <f>J193/K193-1</f>
        <v/>
      </c>
      <c r="N193" s="7" t="inlineStr">
        <is>
          <t>ACIMA +36.8%</t>
        </is>
      </c>
      <c r="O193" s="7" t="inlineStr"/>
    </row>
    <row r="194">
      <c r="A194" s="7" t="n">
        <v>207901</v>
      </c>
      <c r="B194" s="7" t="inlineStr"/>
      <c r="C194" s="12" t="inlineStr">
        <is>
          <t>7896641808982</t>
        </is>
      </c>
      <c r="D194" s="7" t="inlineStr">
        <is>
          <t>DEXILANT 30MG CX 30 CAP LIB RETARD</t>
        </is>
      </c>
      <c r="E194" s="13" t="n">
        <v>1</v>
      </c>
      <c r="F194" s="13" t="n">
        <v>1</v>
      </c>
      <c r="G194" s="13" t="n">
        <v>1</v>
      </c>
      <c r="H194" s="8" t="n">
        <v>101.65</v>
      </c>
      <c r="I194" s="8">
        <f>G194*H194</f>
        <v/>
      </c>
      <c r="J194" s="8">
        <f>H194/E194</f>
        <v/>
      </c>
      <c r="K194" s="8" t="n">
        <v>102.465</v>
      </c>
      <c r="L194" s="8" t="n">
        <v>89.11499999999999</v>
      </c>
      <c r="M194" s="14">
        <f>J194/K194-1</f>
        <v/>
      </c>
      <c r="N194" s="7" t="inlineStr">
        <is>
          <t>OK (≤ últ. compra)</t>
        </is>
      </c>
      <c r="O194" s="7" t="inlineStr"/>
    </row>
    <row r="195">
      <c r="A195" s="7" t="n">
        <v>207821</v>
      </c>
      <c r="B195" s="7" t="inlineStr"/>
      <c r="C195" s="12" t="inlineStr">
        <is>
          <t>7896641809026</t>
        </is>
      </c>
      <c r="D195" s="7" t="inlineStr">
        <is>
          <t>DEXILANT 60MG CX 30 CAP LIB RETARD</t>
        </is>
      </c>
      <c r="E195" s="13" t="n">
        <v>1</v>
      </c>
      <c r="F195" s="13" t="n">
        <v>9</v>
      </c>
      <c r="G195" s="13" t="n">
        <v>9</v>
      </c>
      <c r="H195" s="8" t="n">
        <v>101.65</v>
      </c>
      <c r="I195" s="8">
        <f>G195*H195</f>
        <v/>
      </c>
      <c r="J195" s="8">
        <f>H195/E195</f>
        <v/>
      </c>
      <c r="K195" s="8" t="n">
        <v>89.116</v>
      </c>
      <c r="L195" s="8" t="n">
        <v>89.116</v>
      </c>
      <c r="M195" s="14">
        <f>J195/K195-1</f>
        <v/>
      </c>
      <c r="N195" s="7" t="inlineStr">
        <is>
          <t>ACIMA +14.1%</t>
        </is>
      </c>
      <c r="O195" s="7" t="inlineStr"/>
    </row>
    <row r="196">
      <c r="A196" s="7" t="n">
        <v>539561</v>
      </c>
      <c r="B196" s="7" t="inlineStr"/>
      <c r="C196" s="12" t="inlineStr">
        <is>
          <t>7891106913966</t>
        </is>
      </c>
      <c r="D196" s="7" t="inlineStr">
        <is>
          <t>DIANE 35 2+0,035MG CX 21 DRG</t>
        </is>
      </c>
      <c r="E196" s="13" t="n">
        <v>1</v>
      </c>
      <c r="F196" s="13" t="n">
        <v>5</v>
      </c>
      <c r="G196" s="13" t="n">
        <v>5</v>
      </c>
      <c r="H196" s="8" t="n">
        <v>31.1904</v>
      </c>
      <c r="I196" s="8">
        <f>G196*H196</f>
        <v/>
      </c>
      <c r="J196" s="8">
        <f>H196/E196</f>
        <v/>
      </c>
      <c r="K196" s="8" t="n">
        <v>32.08</v>
      </c>
      <c r="L196" s="8" t="n">
        <v>27.875</v>
      </c>
      <c r="M196" s="14">
        <f>J196/K196-1</f>
        <v/>
      </c>
      <c r="N196" s="7" t="inlineStr">
        <is>
          <t>OK (≤ últ. compra)</t>
        </is>
      </c>
      <c r="O196" s="7" t="inlineStr"/>
    </row>
    <row r="197">
      <c r="A197" s="7" t="n">
        <v>662011</v>
      </c>
      <c r="B197" s="7" t="inlineStr"/>
      <c r="C197" s="12" t="inlineStr">
        <is>
          <t>7891058002688</t>
        </is>
      </c>
      <c r="D197" s="7" t="inlineStr">
        <is>
          <t>DICLORIDRATO DE TRIMETAZIDINA 35MG 30CPR MED-GENERICO</t>
        </is>
      </c>
      <c r="E197" s="13" t="n">
        <v>1</v>
      </c>
      <c r="F197" s="13" t="n">
        <v>2</v>
      </c>
      <c r="G197" s="13" t="n">
        <v>2</v>
      </c>
      <c r="H197" s="8" t="n">
        <v>37.81044</v>
      </c>
      <c r="I197" s="8">
        <f>G197*H197</f>
        <v/>
      </c>
      <c r="J197" s="8">
        <f>H197/E197</f>
        <v/>
      </c>
      <c r="K197" s="8" t="n">
        <v>27.95</v>
      </c>
      <c r="L197" s="8" t="n">
        <v>25.3067</v>
      </c>
      <c r="M197" s="14">
        <f>J197/K197-1</f>
        <v/>
      </c>
      <c r="N197" s="7" t="inlineStr">
        <is>
          <t>ACIMA +35.3%</t>
        </is>
      </c>
      <c r="O197" s="7" t="inlineStr"/>
    </row>
    <row r="198">
      <c r="A198" s="7" t="n">
        <v>664761</v>
      </c>
      <c r="B198" s="7" t="inlineStr"/>
      <c r="C198" s="12" t="inlineStr">
        <is>
          <t>7896523201887</t>
        </is>
      </c>
      <c r="D198" s="7" t="inlineStr">
        <is>
          <t>DIPIRONA 1G CX 10 COMP</t>
        </is>
      </c>
      <c r="E198" s="13" t="n">
        <v>1</v>
      </c>
      <c r="F198" s="13" t="n">
        <v>119</v>
      </c>
      <c r="G198" s="13" t="n">
        <v>119</v>
      </c>
      <c r="H198" s="8" t="n">
        <v>11.56</v>
      </c>
      <c r="I198" s="8">
        <f>G198*H198</f>
        <v/>
      </c>
      <c r="J198" s="8">
        <f>H198/E198</f>
        <v/>
      </c>
      <c r="K198" s="8" t="n">
        <v>3.99</v>
      </c>
      <c r="L198" s="8" t="n">
        <v>3.99</v>
      </c>
      <c r="M198" s="14">
        <f>J198/K198-1</f>
        <v/>
      </c>
      <c r="N198" s="7" t="inlineStr">
        <is>
          <t>ACIMA +189.7%</t>
        </is>
      </c>
      <c r="O198" s="7" t="inlineStr">
        <is>
          <t>conferir emb.</t>
        </is>
      </c>
    </row>
    <row r="199">
      <c r="A199" s="7" t="n">
        <v>625321</v>
      </c>
      <c r="B199" s="7" t="inlineStr"/>
      <c r="C199" s="12" t="inlineStr">
        <is>
          <t>7891058002602</t>
        </is>
      </c>
      <c r="D199" s="7" t="inlineStr">
        <is>
          <t>DIPIRONA MONOIDRATADA 1G CX 10 COMP</t>
        </is>
      </c>
      <c r="E199" s="13" t="n">
        <v>1</v>
      </c>
      <c r="F199" s="13" t="n">
        <v>74</v>
      </c>
      <c r="G199" s="13" t="n">
        <v>74</v>
      </c>
      <c r="H199" s="8" t="n">
        <v>10.88472</v>
      </c>
      <c r="I199" s="8">
        <f>G199*H199</f>
        <v/>
      </c>
      <c r="J199" s="8">
        <f>H199/E199</f>
        <v/>
      </c>
      <c r="K199" s="8" t="n">
        <v>6.9818</v>
      </c>
      <c r="L199" s="8" t="n">
        <v>3.9342</v>
      </c>
      <c r="M199" s="14">
        <f>J199/K199-1</f>
        <v/>
      </c>
      <c r="N199" s="7" t="inlineStr">
        <is>
          <t>ACIMA +55.9%</t>
        </is>
      </c>
      <c r="O199" s="7" t="inlineStr"/>
    </row>
    <row r="200">
      <c r="A200" s="7" t="n">
        <v>222681</v>
      </c>
      <c r="B200" s="7" t="inlineStr"/>
      <c r="C200" s="12" t="inlineStr">
        <is>
          <t>7896422507059</t>
        </is>
      </c>
      <c r="D200" s="7" t="inlineStr">
        <is>
          <t>DIPIRONA MONOIDRATADA 500MG CX 30 COMP</t>
        </is>
      </c>
      <c r="E200" s="13" t="n">
        <v>1</v>
      </c>
      <c r="F200" s="13" t="n">
        <v>1</v>
      </c>
      <c r="G200" s="13" t="n">
        <v>1</v>
      </c>
      <c r="H200" s="8" t="n">
        <v>15.631</v>
      </c>
      <c r="I200" s="8">
        <f>G200*H200</f>
        <v/>
      </c>
      <c r="J200" s="8">
        <f>H200/E200</f>
        <v/>
      </c>
      <c r="K200" s="8" t="n">
        <v>5.535</v>
      </c>
      <c r="L200" s="8" t="n">
        <v>4.76</v>
      </c>
      <c r="M200" s="14">
        <f>J200/K200-1</f>
        <v/>
      </c>
      <c r="N200" s="7" t="inlineStr">
        <is>
          <t>ACIMA +182.4%</t>
        </is>
      </c>
      <c r="O200" s="7" t="inlineStr">
        <is>
          <t>conferir emb.</t>
        </is>
      </c>
    </row>
    <row r="201">
      <c r="A201" s="7" t="n">
        <v>221081</v>
      </c>
      <c r="B201" s="7" t="inlineStr"/>
      <c r="C201" s="12" t="inlineStr">
        <is>
          <t>7896422506229</t>
        </is>
      </c>
      <c r="D201" s="7" t="inlineStr">
        <is>
          <t>DIPIRONA MONOIDRATADA 500MG/ML SOL ORAL FR GTS 10ML</t>
        </is>
      </c>
      <c r="E201" s="13" t="n">
        <v>1</v>
      </c>
      <c r="F201" s="13" t="n">
        <v>50</v>
      </c>
      <c r="G201" s="13" t="n">
        <v>50</v>
      </c>
      <c r="H201" s="8" t="n">
        <v>5.4288</v>
      </c>
      <c r="I201" s="8">
        <f>G201*H201</f>
        <v/>
      </c>
      <c r="J201" s="8">
        <f>H201/E201</f>
        <v/>
      </c>
      <c r="K201" s="8" t="n">
        <v>2.9836</v>
      </c>
      <c r="L201" s="8" t="n">
        <v>1.2221</v>
      </c>
      <c r="M201" s="14">
        <f>J201/K201-1</f>
        <v/>
      </c>
      <c r="N201" s="7" t="inlineStr">
        <is>
          <t>ACIMA +82.0%</t>
        </is>
      </c>
      <c r="O201" s="7" t="inlineStr"/>
    </row>
    <row r="202">
      <c r="A202" s="7" t="n">
        <v>222661</v>
      </c>
      <c r="B202" s="7" t="inlineStr"/>
      <c r="C202" s="12" t="inlineStr">
        <is>
          <t>7896422506243</t>
        </is>
      </c>
      <c r="D202" s="7" t="inlineStr">
        <is>
          <t>DIPIRONA MONOIDRATADA 50MG/ML SOL ORAL X 100ML+COP MED</t>
        </is>
      </c>
      <c r="E202" s="13" t="n">
        <v>1</v>
      </c>
      <c r="F202" s="13" t="n">
        <v>26</v>
      </c>
      <c r="G202" s="13" t="n">
        <v>26</v>
      </c>
      <c r="H202" s="8" t="n">
        <v>10.9604</v>
      </c>
      <c r="I202" s="8">
        <f>G202*H202</f>
        <v/>
      </c>
      <c r="J202" s="8">
        <f>H202/E202</f>
        <v/>
      </c>
      <c r="K202" s="8" t="n">
        <v>6.7696</v>
      </c>
      <c r="L202" s="8" t="n">
        <v>5.805</v>
      </c>
      <c r="M202" s="14">
        <f>J202/K202-1</f>
        <v/>
      </c>
      <c r="N202" s="7" t="inlineStr">
        <is>
          <t>ACIMA +61.9%</t>
        </is>
      </c>
      <c r="O202" s="7" t="inlineStr"/>
    </row>
    <row r="203">
      <c r="A203" s="7" t="n">
        <v>124261</v>
      </c>
      <c r="B203" s="7" t="inlineStr"/>
      <c r="C203" s="12" t="inlineStr">
        <is>
          <t>7891317010065</t>
        </is>
      </c>
      <c r="D203" s="7" t="inlineStr">
        <is>
          <t>DIUPRESS 25+5MG CX 30 COMP</t>
        </is>
      </c>
      <c r="E203" s="13" t="n">
        <v>1</v>
      </c>
      <c r="F203" s="13" t="n">
        <v>1</v>
      </c>
      <c r="G203" s="13" t="n">
        <v>1</v>
      </c>
      <c r="H203" s="8" t="n">
        <v>33.99619999999999</v>
      </c>
      <c r="I203" s="8">
        <f>G203*H203</f>
        <v/>
      </c>
      <c r="J203" s="8">
        <f>H203/E203</f>
        <v/>
      </c>
      <c r="K203" s="8" t="n">
        <v>32.61</v>
      </c>
      <c r="L203" s="8" t="n">
        <v>31.18</v>
      </c>
      <c r="M203" s="14">
        <f>J203/K203-1</f>
        <v/>
      </c>
      <c r="N203" s="7" t="inlineStr">
        <is>
          <t>ACIMA +4.3%</t>
        </is>
      </c>
      <c r="O203" s="7" t="inlineStr"/>
    </row>
    <row r="204">
      <c r="A204" s="7" t="n">
        <v>648681</v>
      </c>
      <c r="B204" s="7" t="inlineStr"/>
      <c r="C204" s="12" t="inlineStr">
        <is>
          <t>7891150074484</t>
        </is>
      </c>
      <c r="D204" s="7" t="inlineStr">
        <is>
          <t>DOVE BABY LOCAO 200ML HID HORA DORMIR M3</t>
        </is>
      </c>
      <c r="E204" s="13" t="n">
        <v>1</v>
      </c>
      <c r="F204" s="13" t="n">
        <v>2</v>
      </c>
      <c r="G204" s="13" t="n">
        <v>2</v>
      </c>
      <c r="H204" s="8" t="n">
        <v>21.32</v>
      </c>
      <c r="I204" s="8">
        <f>G204*H204</f>
        <v/>
      </c>
      <c r="J204" s="8">
        <f>H204/E204</f>
        <v/>
      </c>
      <c r="K204" s="8" t="n">
        <v>15.7867</v>
      </c>
      <c r="L204" s="8" t="n">
        <v>15.7867</v>
      </c>
      <c r="M204" s="14">
        <f>J204/K204-1</f>
        <v/>
      </c>
      <c r="N204" s="7" t="inlineStr">
        <is>
          <t>ACIMA +35.1%</t>
        </is>
      </c>
      <c r="O204" s="7" t="inlineStr"/>
    </row>
    <row r="205">
      <c r="A205" s="7" t="n">
        <v>621661</v>
      </c>
      <c r="B205" s="7" t="inlineStr"/>
      <c r="C205" s="12" t="inlineStr">
        <is>
          <t>7891150025981</t>
        </is>
      </c>
      <c r="D205" s="7" t="inlineStr">
        <is>
          <t>DOVE BABY SB LIQ 200ML HID ENRIQUECID M3</t>
        </is>
      </c>
      <c r="E205" s="13" t="n">
        <v>1</v>
      </c>
      <c r="F205" s="13" t="n">
        <v>5</v>
      </c>
      <c r="G205" s="13" t="n">
        <v>5</v>
      </c>
      <c r="H205" s="8" t="n">
        <v>14.98</v>
      </c>
      <c r="I205" s="8">
        <f>G205*H205</f>
        <v/>
      </c>
      <c r="J205" s="8">
        <f>H205/E205</f>
        <v/>
      </c>
      <c r="K205" s="8" t="n">
        <v>14.6467</v>
      </c>
      <c r="L205" s="8" t="n">
        <v>13.7525</v>
      </c>
      <c r="M205" s="14">
        <f>J205/K205-1</f>
        <v/>
      </c>
      <c r="N205" s="7" t="inlineStr">
        <is>
          <t>ACIMA +2.3%</t>
        </is>
      </c>
      <c r="O205" s="7" t="inlineStr"/>
    </row>
    <row r="206">
      <c r="A206" s="7" t="n">
        <v>656231</v>
      </c>
      <c r="B206" s="7" t="inlineStr"/>
      <c r="C206" s="12" t="inlineStr">
        <is>
          <t>7891150095816</t>
        </is>
      </c>
      <c r="D206" s="7" t="inlineStr">
        <is>
          <t>DOVE HIDRAT CORP NIACINAMIDA 180ML</t>
        </is>
      </c>
      <c r="E206" s="13" t="n">
        <v>1</v>
      </c>
      <c r="F206" s="13" t="n">
        <v>3</v>
      </c>
      <c r="G206" s="13" t="n">
        <v>3</v>
      </c>
      <c r="H206" s="8" t="n">
        <v>22.79</v>
      </c>
      <c r="I206" s="8">
        <f>G206*H206</f>
        <v/>
      </c>
      <c r="J206" s="8">
        <f>H206/E206</f>
        <v/>
      </c>
      <c r="K206" s="8" t="n">
        <v>20.3392</v>
      </c>
      <c r="L206" s="8" t="n">
        <v>17.4958</v>
      </c>
      <c r="M206" s="14">
        <f>J206/K206-1</f>
        <v/>
      </c>
      <c r="N206" s="7" t="inlineStr">
        <is>
          <t>ACIMA +12.0%</t>
        </is>
      </c>
      <c r="O206" s="7" t="inlineStr"/>
    </row>
    <row r="207">
      <c r="A207" s="7" t="n">
        <v>648781</v>
      </c>
      <c r="B207" s="7" t="inlineStr"/>
      <c r="C207" s="12" t="inlineStr">
        <is>
          <t>7891150021662</t>
        </is>
      </c>
      <c r="D207" s="7" t="inlineStr">
        <is>
          <t>DOVE SH 200ML MEN 2EM1 FORCA RESISTEN M3</t>
        </is>
      </c>
      <c r="E207" s="13" t="n">
        <v>1</v>
      </c>
      <c r="F207" s="13" t="n">
        <v>1</v>
      </c>
      <c r="G207" s="13" t="n">
        <v>1</v>
      </c>
      <c r="H207" s="8" t="n">
        <v>15.97</v>
      </c>
      <c r="I207" s="8">
        <f>G207*H207</f>
        <v/>
      </c>
      <c r="J207" s="8">
        <f>H207/E207</f>
        <v/>
      </c>
      <c r="K207" s="8" t="n">
        <v>15.4</v>
      </c>
      <c r="L207" s="8" t="n">
        <v>15.4</v>
      </c>
      <c r="M207" s="14">
        <f>J207/K207-1</f>
        <v/>
      </c>
      <c r="N207" s="7" t="inlineStr">
        <is>
          <t>ACIMA +3.7%</t>
        </is>
      </c>
      <c r="O207" s="7" t="inlineStr"/>
    </row>
    <row r="208">
      <c r="A208" s="7" t="n">
        <v>648591</v>
      </c>
      <c r="B208" s="7" t="inlineStr"/>
      <c r="C208" s="12" t="inlineStr">
        <is>
          <t>7891150021709</t>
        </is>
      </c>
      <c r="D208" s="7" t="inlineStr">
        <is>
          <t>DOVE SH 200ML MEN PROTECAO ANTICASPA M3</t>
        </is>
      </c>
      <c r="E208" s="13" t="n">
        <v>1</v>
      </c>
      <c r="F208" s="13" t="n">
        <v>1</v>
      </c>
      <c r="G208" s="13" t="n">
        <v>1</v>
      </c>
      <c r="H208" s="8" t="n">
        <v>15.97</v>
      </c>
      <c r="I208" s="8">
        <f>G208*H208</f>
        <v/>
      </c>
      <c r="J208" s="8">
        <f>H208/E208</f>
        <v/>
      </c>
      <c r="K208" s="8" t="n">
        <v>15.4</v>
      </c>
      <c r="L208" s="8" t="n">
        <v>15.4</v>
      </c>
      <c r="M208" s="14">
        <f>J208/K208-1</f>
        <v/>
      </c>
      <c r="N208" s="7" t="inlineStr">
        <is>
          <t>ACIMA +3.7%</t>
        </is>
      </c>
      <c r="O208" s="7" t="inlineStr"/>
    </row>
    <row r="209">
      <c r="A209" s="7" t="n">
        <v>337761</v>
      </c>
      <c r="B209" s="7" t="inlineStr"/>
      <c r="C209" s="12" t="inlineStr">
        <is>
          <t>7896226108919</t>
        </is>
      </c>
      <c r="D209" s="7" t="inlineStr">
        <is>
          <t>DOZEMAST 1000 MCG COM SUBL CT BL AL AL X 20</t>
        </is>
      </c>
      <c r="E209" s="13" t="n">
        <v>1</v>
      </c>
      <c r="F209" s="13" t="n">
        <v>1</v>
      </c>
      <c r="G209" s="13" t="n">
        <v>1</v>
      </c>
      <c r="H209" s="8" t="n">
        <v>48.4903</v>
      </c>
      <c r="I209" s="8">
        <f>G209*H209</f>
        <v/>
      </c>
      <c r="J209" s="8">
        <f>H209/E209</f>
        <v/>
      </c>
      <c r="K209" s="8" t="n">
        <v>45.4767</v>
      </c>
      <c r="L209" s="8" t="n">
        <v>45.4767</v>
      </c>
      <c r="M209" s="14">
        <f>J209/K209-1</f>
        <v/>
      </c>
      <c r="N209" s="7" t="inlineStr">
        <is>
          <t>ACIMA +6.6%</t>
        </is>
      </c>
      <c r="O209" s="7" t="inlineStr"/>
    </row>
    <row r="210">
      <c r="A210" s="7" t="n">
        <v>648551</v>
      </c>
      <c r="B210" s="7" t="inlineStr"/>
      <c r="C210" s="12" t="inlineStr">
        <is>
          <t>0000075076719</t>
        </is>
      </c>
      <c r="D210" s="7" t="inlineStr">
        <is>
          <t>DSD DOVE MEN STICK 45G CARE INVISI DRY M3</t>
        </is>
      </c>
      <c r="E210" s="13" t="n">
        <v>1</v>
      </c>
      <c r="F210" s="13" t="n">
        <v>2</v>
      </c>
      <c r="G210" s="13" t="n">
        <v>2</v>
      </c>
      <c r="H210" s="8" t="n">
        <v>21.36</v>
      </c>
      <c r="I210" s="8">
        <f>G210*H210</f>
        <v/>
      </c>
      <c r="J210" s="8">
        <f>H210/E210</f>
        <v/>
      </c>
      <c r="K210" s="8" t="n">
        <v>18.7033</v>
      </c>
      <c r="L210" s="8" t="n">
        <v>18.7033</v>
      </c>
      <c r="M210" s="14">
        <f>J210/K210-1</f>
        <v/>
      </c>
      <c r="N210" s="7" t="inlineStr">
        <is>
          <t>ACIMA +14.2%</t>
        </is>
      </c>
      <c r="O210" s="7" t="inlineStr"/>
    </row>
    <row r="211">
      <c r="A211" s="7" t="n">
        <v>648561</v>
      </c>
      <c r="B211" s="7" t="inlineStr"/>
      <c r="C211" s="12" t="inlineStr">
        <is>
          <t>0000075076702</t>
        </is>
      </c>
      <c r="D211" s="7" t="inlineStr">
        <is>
          <t>DSD DOVE MEN STICK 45G CARE SPORT FRES M3</t>
        </is>
      </c>
      <c r="E211" s="13" t="n">
        <v>1</v>
      </c>
      <c r="F211" s="13" t="n">
        <v>1</v>
      </c>
      <c r="G211" s="13" t="n">
        <v>1</v>
      </c>
      <c r="H211" s="8" t="n">
        <v>21.36</v>
      </c>
      <c r="I211" s="8">
        <f>G211*H211</f>
        <v/>
      </c>
      <c r="J211" s="8">
        <f>H211/E211</f>
        <v/>
      </c>
      <c r="K211" s="8" t="n">
        <v>18.15</v>
      </c>
      <c r="L211" s="8" t="n">
        <v>18.15</v>
      </c>
      <c r="M211" s="14">
        <f>J211/K211-1</f>
        <v/>
      </c>
      <c r="N211" s="7" t="inlineStr">
        <is>
          <t>ACIMA +17.7%</t>
        </is>
      </c>
      <c r="O211" s="7" t="inlineStr"/>
    </row>
    <row r="212">
      <c r="A212" s="7" t="n">
        <v>230701</v>
      </c>
      <c r="B212" s="7" t="inlineStr"/>
      <c r="C212" s="12" t="inlineStr">
        <is>
          <t>7892953003558</t>
        </is>
      </c>
      <c r="D212" s="7" t="inlineStr">
        <is>
          <t>DUTAM 0,5+0,4MG CX 30 CAP LIB PROL</t>
        </is>
      </c>
      <c r="E212" s="13" t="n">
        <v>1</v>
      </c>
      <c r="F212" s="13" t="n">
        <v>18</v>
      </c>
      <c r="G212" s="13" t="n">
        <v>18</v>
      </c>
      <c r="H212" s="8" t="n">
        <v>93.9918</v>
      </c>
      <c r="I212" s="8">
        <f>G212*H212</f>
        <v/>
      </c>
      <c r="J212" s="8">
        <f>H212/E212</f>
        <v/>
      </c>
      <c r="K212" s="8" t="n">
        <v>80.73</v>
      </c>
      <c r="L212" s="8" t="n">
        <v>76.9175</v>
      </c>
      <c r="M212" s="14">
        <f>J212/K212-1</f>
        <v/>
      </c>
      <c r="N212" s="7" t="inlineStr">
        <is>
          <t>ACIMA +16.4%</t>
        </is>
      </c>
      <c r="O212" s="7" t="inlineStr"/>
    </row>
    <row r="213">
      <c r="A213" s="7" t="n">
        <v>452521</v>
      </c>
      <c r="B213" s="7" t="inlineStr"/>
      <c r="C213" s="12" t="inlineStr">
        <is>
          <t>7898109240136</t>
        </is>
      </c>
      <c r="D213" s="7" t="inlineStr">
        <is>
          <t>ELOTIN SOL OTO FR GTS 5ML</t>
        </is>
      </c>
      <c r="E213" s="13" t="n">
        <v>1</v>
      </c>
      <c r="F213" s="13" t="n">
        <v>1</v>
      </c>
      <c r="G213" s="13" t="n">
        <v>1</v>
      </c>
      <c r="H213" s="8" t="n">
        <v>9.490500000000001</v>
      </c>
      <c r="I213" s="8">
        <f>G213*H213</f>
        <v/>
      </c>
      <c r="J213" s="8">
        <f>H213/E213</f>
        <v/>
      </c>
      <c r="K213" s="8" t="n">
        <v>8.99</v>
      </c>
      <c r="L213" s="8" t="n">
        <v>8.99</v>
      </c>
      <c r="M213" s="14">
        <f>J213/K213-1</f>
        <v/>
      </c>
      <c r="N213" s="7" t="inlineStr">
        <is>
          <t>ACIMA +5.6%</t>
        </is>
      </c>
      <c r="O213" s="7" t="inlineStr"/>
    </row>
    <row r="214">
      <c r="A214" s="7" t="n">
        <v>662701</v>
      </c>
      <c r="B214" s="7" t="inlineStr"/>
      <c r="C214" s="12" t="inlineStr">
        <is>
          <t>7908615060347</t>
        </is>
      </c>
      <c r="D214" s="7" t="inlineStr">
        <is>
          <t>ELS GLYCOLIC GLOSS ACIDIF 200ML-DEMAIS PROD</t>
        </is>
      </c>
      <c r="E214" s="13" t="n">
        <v>1</v>
      </c>
      <c r="F214" s="13" t="n">
        <v>1</v>
      </c>
      <c r="G214" s="13" t="n">
        <v>1</v>
      </c>
      <c r="H214" s="8" t="n">
        <v>42.19</v>
      </c>
      <c r="I214" s="8">
        <f>G214*H214</f>
        <v/>
      </c>
      <c r="J214" s="8">
        <f>H214/E214</f>
        <v/>
      </c>
      <c r="K214" s="8" t="n">
        <v>26.4033</v>
      </c>
      <c r="L214" s="8" t="n">
        <v>26.4033</v>
      </c>
      <c r="M214" s="14">
        <f>J214/K214-1</f>
        <v/>
      </c>
      <c r="N214" s="7" t="inlineStr">
        <is>
          <t>ACIMA +59.8%</t>
        </is>
      </c>
      <c r="O214" s="7" t="inlineStr"/>
    </row>
    <row r="215">
      <c r="A215" s="7" t="n">
        <v>600341</v>
      </c>
      <c r="B215" s="7" t="inlineStr"/>
      <c r="C215" s="12" t="inlineStr">
        <is>
          <t>7891024033425</t>
        </is>
      </c>
      <c r="D215" s="7" t="inlineStr">
        <is>
          <t>ENX BUC COLGATE PERIOG EXTRA MINT 250ML</t>
        </is>
      </c>
      <c r="E215" s="13" t="n">
        <v>1</v>
      </c>
      <c r="F215" s="13" t="n">
        <v>1</v>
      </c>
      <c r="G215" s="13" t="n">
        <v>1</v>
      </c>
      <c r="H215" s="8" t="n">
        <v>26.4</v>
      </c>
      <c r="I215" s="8">
        <f>G215*H215</f>
        <v/>
      </c>
      <c r="J215" s="8">
        <f>H215/E215</f>
        <v/>
      </c>
      <c r="K215" s="8" t="n">
        <v>23.76</v>
      </c>
      <c r="L215" s="8" t="n">
        <v>22.47</v>
      </c>
      <c r="M215" s="14">
        <f>J215/K215-1</f>
        <v/>
      </c>
      <c r="N215" s="7" t="inlineStr">
        <is>
          <t>ACIMA +11.1%</t>
        </is>
      </c>
      <c r="O215" s="7" t="inlineStr"/>
    </row>
    <row r="216">
      <c r="A216" s="7" t="n">
        <v>556781</v>
      </c>
      <c r="B216" s="7" t="inlineStr"/>
      <c r="C216" s="12" t="inlineStr">
        <is>
          <t>7891010973902</t>
        </is>
      </c>
      <c r="D216" s="7" t="inlineStr">
        <is>
          <t>ENXAGUANTE BUCAL ANTISSÉPTICO ZERO ÁLCOOL MENTA SUAVE LISTERINE COOL MINT 250ML</t>
        </is>
      </c>
      <c r="E216" s="13" t="n">
        <v>1</v>
      </c>
      <c r="F216" s="13" t="n">
        <v>5</v>
      </c>
      <c r="G216" s="13" t="n">
        <v>5</v>
      </c>
      <c r="H216" s="8" t="n">
        <v>15.08</v>
      </c>
      <c r="I216" s="8">
        <f>G216*H216</f>
        <v/>
      </c>
      <c r="J216" s="8">
        <f>H216/E216</f>
        <v/>
      </c>
      <c r="K216" s="8" t="n">
        <v>13.43</v>
      </c>
      <c r="L216" s="8" t="n">
        <v>13.43</v>
      </c>
      <c r="M216" s="14">
        <f>J216/K216-1</f>
        <v/>
      </c>
      <c r="N216" s="7" t="inlineStr">
        <is>
          <t>ACIMA +12.3%</t>
        </is>
      </c>
      <c r="O216" s="7" t="inlineStr"/>
    </row>
    <row r="217">
      <c r="A217" s="7" t="n">
        <v>1194</v>
      </c>
      <c r="B217" s="7" t="inlineStr"/>
      <c r="C217" s="12" t="inlineStr">
        <is>
          <t>7901062405105</t>
        </is>
      </c>
      <c r="D217" s="7" t="inlineStr">
        <is>
          <t>EQUALIV OMEGA 3 KIDS X30 CAP</t>
        </is>
      </c>
      <c r="E217" s="13" t="n">
        <v>1</v>
      </c>
      <c r="F217" s="13" t="n">
        <v>1</v>
      </c>
      <c r="G217" s="13" t="n">
        <v>1</v>
      </c>
      <c r="H217" s="8" t="n">
        <v>68.25</v>
      </c>
      <c r="I217" s="8">
        <f>G217*H217</f>
        <v/>
      </c>
      <c r="J217" s="8">
        <f>H217/E217</f>
        <v/>
      </c>
      <c r="K217" s="8" t="n">
        <v>47.8733</v>
      </c>
      <c r="L217" s="8" t="n">
        <v>47.8733</v>
      </c>
      <c r="M217" s="14">
        <f>J217/K217-1</f>
        <v/>
      </c>
      <c r="N217" s="7" t="inlineStr">
        <is>
          <t>ACIMA +42.6%</t>
        </is>
      </c>
      <c r="O217" s="7" t="inlineStr"/>
    </row>
    <row r="218">
      <c r="A218" s="7" t="n">
        <v>631191</v>
      </c>
      <c r="B218" s="7" t="inlineStr"/>
      <c r="C218" s="12" t="inlineStr">
        <is>
          <t>7898687733693</t>
        </is>
      </c>
      <c r="D218" s="7" t="inlineStr">
        <is>
          <t>EQUALIV OMEGA 3 ULTRA CAPS X120 CAP</t>
        </is>
      </c>
      <c r="E218" s="13" t="n">
        <v>1</v>
      </c>
      <c r="F218" s="13" t="n">
        <v>1</v>
      </c>
      <c r="G218" s="13" t="n">
        <v>1</v>
      </c>
      <c r="H218" s="8" t="n">
        <v>167.75</v>
      </c>
      <c r="I218" s="8">
        <f>G218*H218</f>
        <v/>
      </c>
      <c r="J218" s="8">
        <f>H218/E218</f>
        <v/>
      </c>
      <c r="K218" s="8" t="n">
        <v>77.16</v>
      </c>
      <c r="L218" s="8" t="n">
        <v>77.16</v>
      </c>
      <c r="M218" s="14">
        <f>J218/K218-1</f>
        <v/>
      </c>
      <c r="N218" s="7" t="inlineStr">
        <is>
          <t>ACIMA +117.4%</t>
        </is>
      </c>
      <c r="O218" s="7" t="inlineStr">
        <is>
          <t>conferir emb.</t>
        </is>
      </c>
    </row>
    <row r="219">
      <c r="A219" s="7" t="n">
        <v>645261</v>
      </c>
      <c r="B219" s="7" t="inlineStr"/>
      <c r="C219" s="12" t="inlineStr">
        <is>
          <t>7891024021590</t>
        </is>
      </c>
      <c r="D219" s="7" t="inlineStr">
        <is>
          <t>ESC DEN COLGATE ULTRA SOFT</t>
        </is>
      </c>
      <c r="E219" s="13" t="n">
        <v>1</v>
      </c>
      <c r="F219" s="13" t="n">
        <v>5</v>
      </c>
      <c r="G219" s="13" t="n">
        <v>5</v>
      </c>
      <c r="H219" s="8" t="n">
        <v>20.71</v>
      </c>
      <c r="I219" s="8">
        <f>G219*H219</f>
        <v/>
      </c>
      <c r="J219" s="8">
        <f>H219/E219</f>
        <v/>
      </c>
      <c r="K219" s="8" t="n">
        <v>20.07</v>
      </c>
      <c r="L219" s="8" t="n">
        <v>20.07</v>
      </c>
      <c r="M219" s="14">
        <f>J219/K219-1</f>
        <v/>
      </c>
      <c r="N219" s="7" t="inlineStr">
        <is>
          <t>ACIMA +3.2%</t>
        </is>
      </c>
      <c r="O219" s="7" t="inlineStr"/>
    </row>
    <row r="220">
      <c r="A220" s="7" t="n">
        <v>594331</v>
      </c>
      <c r="B220" s="7" t="inlineStr"/>
      <c r="C220" s="12" t="inlineStr">
        <is>
          <t>070942005111</t>
        </is>
      </c>
      <c r="D220" s="7" t="inlineStr">
        <is>
          <t>ESC INTERDENTAL GUMSOFT PICK</t>
        </is>
      </c>
      <c r="E220" s="13" t="n">
        <v>1</v>
      </c>
      <c r="F220" s="13" t="n">
        <v>1</v>
      </c>
      <c r="G220" s="13" t="n">
        <v>1</v>
      </c>
      <c r="H220" s="8" t="n">
        <v>21.5616</v>
      </c>
      <c r="I220" s="8">
        <f>G220*H220</f>
        <v/>
      </c>
      <c r="J220" s="8">
        <f>H220/E220</f>
        <v/>
      </c>
      <c r="K220" s="8" t="n">
        <v>21.99</v>
      </c>
      <c r="L220" s="8" t="n">
        <v>21.99</v>
      </c>
      <c r="M220" s="14">
        <f>J220/K220-1</f>
        <v/>
      </c>
      <c r="N220" s="7" t="inlineStr">
        <is>
          <t>OK (≤ menor hist.)</t>
        </is>
      </c>
      <c r="O220" s="7" t="inlineStr">
        <is>
          <t>preços divergentes entre EANs (usado menor)</t>
        </is>
      </c>
    </row>
    <row r="221">
      <c r="A221" s="7" t="n">
        <v>617221</v>
      </c>
      <c r="B221" s="7" t="inlineStr"/>
      <c r="C221" s="12" t="inlineStr">
        <is>
          <t>7896512914859</t>
        </is>
      </c>
      <c r="D221" s="7" t="inlineStr">
        <is>
          <t>ESCALDA PES PINK 5SACH 15GR</t>
        </is>
      </c>
      <c r="E221" s="13" t="n">
        <v>1</v>
      </c>
      <c r="F221" s="13" t="n">
        <v>2</v>
      </c>
      <c r="G221" s="13" t="n">
        <v>2</v>
      </c>
      <c r="H221" s="8" t="n">
        <v>19.16</v>
      </c>
      <c r="I221" s="8">
        <f>G221*H221</f>
        <v/>
      </c>
      <c r="J221" s="8">
        <f>H221/E221</f>
        <v/>
      </c>
      <c r="K221" s="8" t="n">
        <v>12.6067</v>
      </c>
      <c r="L221" s="8" t="n">
        <v>12.6067</v>
      </c>
      <c r="M221" s="14">
        <f>J221/K221-1</f>
        <v/>
      </c>
      <c r="N221" s="7" t="inlineStr">
        <is>
          <t>ACIMA +52.0%</t>
        </is>
      </c>
      <c r="O221" s="7" t="inlineStr"/>
    </row>
    <row r="222">
      <c r="A222" s="7" t="n">
        <v>617211</v>
      </c>
      <c r="B222" s="7" t="inlineStr"/>
      <c r="C222" s="12" t="inlineStr">
        <is>
          <t>7896512914248</t>
        </is>
      </c>
      <c r="D222" s="7" t="inlineStr">
        <is>
          <t>ESFOLIANTE P POMES PINK 80GR</t>
        </is>
      </c>
      <c r="E222" s="13" t="n">
        <v>1</v>
      </c>
      <c r="F222" s="13" t="n">
        <v>1</v>
      </c>
      <c r="G222" s="13" t="n">
        <v>1</v>
      </c>
      <c r="H222" s="8" t="n">
        <v>18.95</v>
      </c>
      <c r="I222" s="8">
        <f>G222*H222</f>
        <v/>
      </c>
      <c r="J222" s="8">
        <f>H222/E222</f>
        <v/>
      </c>
      <c r="K222" s="8" t="n">
        <v>14.82</v>
      </c>
      <c r="L222" s="8" t="n">
        <v>14.82</v>
      </c>
      <c r="M222" s="14">
        <f>J222/K222-1</f>
        <v/>
      </c>
      <c r="N222" s="7" t="inlineStr">
        <is>
          <t>ACIMA +27.9%</t>
        </is>
      </c>
      <c r="O222" s="7" t="inlineStr"/>
    </row>
    <row r="223">
      <c r="A223" s="7" t="n">
        <v>672131</v>
      </c>
      <c r="B223" s="7" t="inlineStr"/>
      <c r="C223" s="12" t="inlineStr">
        <is>
          <t>17899026422312</t>
        </is>
      </c>
      <c r="D223" s="7" t="inlineStr">
        <is>
          <t>ESM COLORAMA INT COR</t>
        </is>
      </c>
      <c r="E223" s="13" t="n">
        <v>1</v>
      </c>
      <c r="F223" s="13" t="n">
        <v>1</v>
      </c>
      <c r="G223" s="13" t="n">
        <v>1</v>
      </c>
      <c r="H223" s="8" t="n">
        <v>6.87</v>
      </c>
      <c r="I223" s="8">
        <f>G223*H223</f>
        <v/>
      </c>
      <c r="J223" s="8">
        <f>H223/E223</f>
        <v/>
      </c>
      <c r="K223" s="8" t="n">
        <v>5.8467</v>
      </c>
      <c r="L223" s="8" t="n">
        <v>5.8467</v>
      </c>
      <c r="M223" s="14">
        <f>J223/K223-1</f>
        <v/>
      </c>
      <c r="N223" s="7" t="inlineStr">
        <is>
          <t>ACIMA +17.5%</t>
        </is>
      </c>
      <c r="O223" s="7" t="inlineStr"/>
    </row>
    <row r="224">
      <c r="A224" s="7" t="n">
        <v>702501</v>
      </c>
      <c r="B224" s="7" t="inlineStr"/>
      <c r="C224" s="12" t="inlineStr">
        <is>
          <t>7899026415478</t>
        </is>
      </c>
      <c r="D224" s="7" t="inlineStr">
        <is>
          <t>ESM COL_CREM JABUTICABA</t>
        </is>
      </c>
      <c r="E224" s="13" t="n">
        <v>1</v>
      </c>
      <c r="F224" s="13" t="n">
        <v>1</v>
      </c>
      <c r="G224" s="13" t="n">
        <v>1</v>
      </c>
      <c r="H224" s="8" t="n">
        <v>5.35</v>
      </c>
      <c r="I224" s="8">
        <f>G224*H224</f>
        <v/>
      </c>
      <c r="J224" s="8">
        <f>H224/E224</f>
        <v/>
      </c>
      <c r="K224" s="8" t="n">
        <v>5.93</v>
      </c>
      <c r="L224" s="8" t="n">
        <v>5.93</v>
      </c>
      <c r="M224" s="14">
        <f>J224/K224-1</f>
        <v/>
      </c>
      <c r="N224" s="7" t="inlineStr">
        <is>
          <t>OK (≤ menor hist.)</t>
        </is>
      </c>
      <c r="O224" s="7" t="inlineStr"/>
    </row>
    <row r="225">
      <c r="A225" s="7" t="n">
        <v>235621</v>
      </c>
      <c r="B225" s="7" t="inlineStr"/>
      <c r="C225" s="12" t="inlineStr">
        <is>
          <t>7894916510202</t>
        </is>
      </c>
      <c r="D225" s="7" t="inlineStr">
        <is>
          <t>ESOGASTRO IBP KIT 14ESO 14CLA 28AMOX+28ESO-S</t>
        </is>
      </c>
      <c r="E225" s="13" t="n">
        <v>1</v>
      </c>
      <c r="F225" s="13" t="n">
        <v>2</v>
      </c>
      <c r="G225" s="13" t="n">
        <v>2</v>
      </c>
      <c r="H225" s="8" t="n">
        <v>272.07375</v>
      </c>
      <c r="I225" s="8">
        <f>G225*H225</f>
        <v/>
      </c>
      <c r="J225" s="8">
        <f>H225/E225</f>
        <v/>
      </c>
      <c r="K225" s="8" t="n">
        <v>272.59</v>
      </c>
      <c r="L225" s="8" t="n">
        <v>242.54</v>
      </c>
      <c r="M225" s="14">
        <f>J225/K225-1</f>
        <v/>
      </c>
      <c r="N225" s="7" t="inlineStr">
        <is>
          <t>OK (≤ últ. compra)</t>
        </is>
      </c>
      <c r="O225" s="7" t="inlineStr"/>
    </row>
    <row r="226">
      <c r="A226" s="7" t="n">
        <v>234561</v>
      </c>
      <c r="B226" s="7" t="inlineStr"/>
      <c r="C226" s="12" t="inlineStr">
        <is>
          <t>7896206425869</t>
        </is>
      </c>
      <c r="D226" s="7" t="inlineStr">
        <is>
          <t>ESOMEPRAZOL MAGNESIO TRIIDRATADO 20MG CX 28 COMP REV</t>
        </is>
      </c>
      <c r="E226" s="13" t="n">
        <v>1</v>
      </c>
      <c r="F226" s="13" t="n">
        <v>4</v>
      </c>
      <c r="G226" s="13" t="n">
        <v>4</v>
      </c>
      <c r="H226" s="8" t="n">
        <v>54.008</v>
      </c>
      <c r="I226" s="8">
        <f>G226*H226</f>
        <v/>
      </c>
      <c r="J226" s="8">
        <f>H226/E226</f>
        <v/>
      </c>
      <c r="K226" s="8" t="n">
        <v>27.154</v>
      </c>
      <c r="L226" s="8" t="n">
        <v>24.8683</v>
      </c>
      <c r="M226" s="14">
        <f>J226/K226-1</f>
        <v/>
      </c>
      <c r="N226" s="7" t="inlineStr">
        <is>
          <t>ACIMA +98.9%</t>
        </is>
      </c>
      <c r="O226" s="7" t="inlineStr"/>
    </row>
    <row r="227">
      <c r="A227" s="7" t="n">
        <v>601481</v>
      </c>
      <c r="B227" s="7" t="inlineStr"/>
      <c r="C227" s="12" t="inlineStr">
        <is>
          <t>7899828213180</t>
        </is>
      </c>
      <c r="D227" s="7" t="inlineStr">
        <is>
          <t>ESPACADOR INCOTERM E100 ADUL INF</t>
        </is>
      </c>
      <c r="E227" s="13" t="n">
        <v>1</v>
      </c>
      <c r="F227" s="13" t="n">
        <v>1</v>
      </c>
      <c r="G227" s="13" t="n">
        <v>1</v>
      </c>
      <c r="H227" s="8" t="n">
        <v>49.31</v>
      </c>
      <c r="I227" s="8">
        <f>G227*H227</f>
        <v/>
      </c>
      <c r="J227" s="8">
        <f>H227/E227</f>
        <v/>
      </c>
      <c r="K227" s="8" t="n">
        <v>33.415</v>
      </c>
      <c r="L227" s="8" t="n">
        <v>33.415</v>
      </c>
      <c r="M227" s="14">
        <f>J227/K227-1</f>
        <v/>
      </c>
      <c r="N227" s="7" t="inlineStr">
        <is>
          <t>ACIMA +47.6%</t>
        </is>
      </c>
      <c r="O227" s="7" t="inlineStr"/>
    </row>
    <row r="228">
      <c r="A228" s="7" t="n">
        <v>648331</v>
      </c>
      <c r="B228" s="7" t="inlineStr"/>
      <c r="C228" s="12" t="inlineStr">
        <is>
          <t>7898108640944</t>
        </is>
      </c>
      <c r="D228" s="7" t="inlineStr">
        <is>
          <t>ESPARAD IMPERM SANFARMA 50MMX4,5M</t>
        </is>
      </c>
      <c r="E228" s="13" t="n">
        <v>1</v>
      </c>
      <c r="F228" s="13" t="n">
        <v>1</v>
      </c>
      <c r="G228" s="13" t="n">
        <v>1</v>
      </c>
      <c r="H228" s="8" t="n">
        <v>11.761</v>
      </c>
      <c r="I228" s="8">
        <f>G228*H228</f>
        <v/>
      </c>
      <c r="J228" s="8">
        <f>H228/E228</f>
        <v/>
      </c>
      <c r="K228" s="8" t="n">
        <v>11.4</v>
      </c>
      <c r="L228" s="8" t="n">
        <v>11.4</v>
      </c>
      <c r="M228" s="14">
        <f>J228/K228-1</f>
        <v/>
      </c>
      <c r="N228" s="7" t="inlineStr">
        <is>
          <t>ACIMA +3.2%</t>
        </is>
      </c>
      <c r="O228" s="7" t="inlineStr"/>
    </row>
    <row r="229">
      <c r="A229" s="7" t="n">
        <v>651561</v>
      </c>
      <c r="B229" s="7" t="inlineStr"/>
      <c r="C229" s="12" t="inlineStr">
        <is>
          <t>7891800669299</t>
        </is>
      </c>
      <c r="D229" s="7" t="inlineStr">
        <is>
          <t>ESPARADRAPO CREMER BEGE 1,2CMX3M   CREM %DN:11.00</t>
        </is>
      </c>
      <c r="E229" s="13" t="n">
        <v>1</v>
      </c>
      <c r="F229" s="13" t="n">
        <v>6</v>
      </c>
      <c r="G229" s="13" t="n">
        <v>6</v>
      </c>
      <c r="H229" s="8" t="n">
        <v>3.492</v>
      </c>
      <c r="I229" s="8">
        <f>G229*H229</f>
        <v/>
      </c>
      <c r="J229" s="8">
        <f>H229/E229</f>
        <v/>
      </c>
      <c r="K229" s="8" t="n">
        <v>3.59</v>
      </c>
      <c r="L229" s="8" t="n">
        <v>3.59</v>
      </c>
      <c r="M229" s="14">
        <f>J229/K229-1</f>
        <v/>
      </c>
      <c r="N229" s="7" t="inlineStr">
        <is>
          <t>OK (≤ menor hist.)</t>
        </is>
      </c>
      <c r="O229" s="7" t="inlineStr"/>
    </row>
    <row r="230">
      <c r="A230" s="7" t="n">
        <v>552861</v>
      </c>
      <c r="B230" s="7" t="inlineStr"/>
      <c r="C230" s="12" t="inlineStr">
        <is>
          <t>7891800628425</t>
        </is>
      </c>
      <c r="D230" s="7" t="inlineStr">
        <is>
          <t>ESPARADRAPO SALVELOX 1,2CMX4,5M</t>
        </is>
      </c>
      <c r="E230" s="13" t="n">
        <v>1</v>
      </c>
      <c r="F230" s="13" t="n">
        <v>1</v>
      </c>
      <c r="G230" s="13" t="n">
        <v>1</v>
      </c>
      <c r="H230" s="8" t="n">
        <v>2.8712</v>
      </c>
      <c r="I230" s="8">
        <f>G230*H230</f>
        <v/>
      </c>
      <c r="J230" s="8">
        <f>H230/E230</f>
        <v/>
      </c>
      <c r="K230" s="8" t="n">
        <v>2.59</v>
      </c>
      <c r="L230" s="8" t="n">
        <v>2.59</v>
      </c>
      <c r="M230" s="14">
        <f>J230/K230-1</f>
        <v/>
      </c>
      <c r="N230" s="7" t="inlineStr">
        <is>
          <t>ACIMA +10.9%</t>
        </is>
      </c>
      <c r="O230" s="7" t="inlineStr"/>
    </row>
    <row r="231">
      <c r="A231" s="7" t="n">
        <v>552901</v>
      </c>
      <c r="B231" s="7" t="inlineStr"/>
      <c r="C231" s="12" t="inlineStr">
        <is>
          <t>7891800628418</t>
        </is>
      </c>
      <c r="D231" s="7" t="inlineStr">
        <is>
          <t>ESPARADRAPO SALVELOX 2,5CMX90CM</t>
        </is>
      </c>
      <c r="E231" s="13" t="n">
        <v>1</v>
      </c>
      <c r="F231" s="13" t="n">
        <v>1</v>
      </c>
      <c r="G231" s="13" t="n">
        <v>1</v>
      </c>
      <c r="H231" s="8" t="n">
        <v>1.843</v>
      </c>
      <c r="I231" s="8">
        <f>G231*H231</f>
        <v/>
      </c>
      <c r="J231" s="8">
        <f>H231/E231</f>
        <v/>
      </c>
      <c r="K231" s="8" t="n">
        <v>1.5425</v>
      </c>
      <c r="L231" s="8" t="n">
        <v>1.5425</v>
      </c>
      <c r="M231" s="14">
        <f>J231/K231-1</f>
        <v/>
      </c>
      <c r="N231" s="7" t="inlineStr">
        <is>
          <t>ACIMA +19.5%</t>
        </is>
      </c>
      <c r="O231" s="7" t="inlineStr"/>
    </row>
    <row r="232">
      <c r="A232" s="7" t="n">
        <v>578121</v>
      </c>
      <c r="B232" s="7" t="inlineStr"/>
      <c r="C232" s="12" t="inlineStr">
        <is>
          <t>7891800628432</t>
        </is>
      </c>
      <c r="D232" s="7" t="inlineStr">
        <is>
          <t>ESPARADRAPO SALVELOX 5CMX4,5M</t>
        </is>
      </c>
      <c r="E232" s="13" t="n">
        <v>1</v>
      </c>
      <c r="F232" s="13" t="n">
        <v>9</v>
      </c>
      <c r="G232" s="13" t="n">
        <v>9</v>
      </c>
      <c r="H232" s="8" t="n">
        <v>6.6542</v>
      </c>
      <c r="I232" s="8">
        <f>G232*H232</f>
        <v/>
      </c>
      <c r="J232" s="8">
        <f>H232/E232</f>
        <v/>
      </c>
      <c r="K232" s="8" t="n">
        <v>6.844</v>
      </c>
      <c r="L232" s="8" t="n">
        <v>6.48</v>
      </c>
      <c r="M232" s="14">
        <f>J232/K232-1</f>
        <v/>
      </c>
      <c r="N232" s="7" t="inlineStr">
        <is>
          <t>OK (≤ últ. compra)</t>
        </is>
      </c>
      <c r="O232" s="7" t="inlineStr"/>
    </row>
    <row r="233">
      <c r="A233" s="7" t="n">
        <v>582421</v>
      </c>
      <c r="B233" s="7" t="inlineStr"/>
      <c r="C233" s="12" t="inlineStr">
        <is>
          <t>4005900648327</t>
        </is>
      </c>
      <c r="D233" s="7" t="inlineStr">
        <is>
          <t>ESPUMA DE BARB NIVEA DEEP BLACK 200ML</t>
        </is>
      </c>
      <c r="E233" s="13" t="n">
        <v>1</v>
      </c>
      <c r="F233" s="13" t="n">
        <v>1</v>
      </c>
      <c r="G233" s="13" t="n">
        <v>1</v>
      </c>
      <c r="H233" s="8" t="n">
        <v>32.58</v>
      </c>
      <c r="I233" s="8">
        <f>G233*H233</f>
        <v/>
      </c>
      <c r="J233" s="8">
        <f>H233/E233</f>
        <v/>
      </c>
      <c r="K233" s="8" t="n">
        <v>28.74</v>
      </c>
      <c r="L233" s="8" t="n">
        <v>28.74</v>
      </c>
      <c r="M233" s="14">
        <f>J233/K233-1</f>
        <v/>
      </c>
      <c r="N233" s="7" t="inlineStr">
        <is>
          <t>ACIMA +13.4%</t>
        </is>
      </c>
      <c r="O233" s="7" t="inlineStr"/>
    </row>
    <row r="234">
      <c r="A234" s="7" t="n">
        <v>582441</v>
      </c>
      <c r="B234" s="7" t="inlineStr"/>
      <c r="C234" s="12" t="inlineStr">
        <is>
          <t>4005808817009</t>
        </is>
      </c>
      <c r="D234" s="7" t="inlineStr">
        <is>
          <t>ESPUMA DE BARB NIVEA ORIG PROT 200ML</t>
        </is>
      </c>
      <c r="E234" s="13" t="n">
        <v>1</v>
      </c>
      <c r="F234" s="13" t="n">
        <v>1</v>
      </c>
      <c r="G234" s="13" t="n">
        <v>1</v>
      </c>
      <c r="H234" s="8" t="n">
        <v>32.58</v>
      </c>
      <c r="I234" s="8">
        <f>G234*H234</f>
        <v/>
      </c>
      <c r="J234" s="8">
        <f>H234/E234</f>
        <v/>
      </c>
      <c r="K234" s="8" t="n">
        <v>26.67</v>
      </c>
      <c r="L234" s="8" t="n">
        <v>26.67</v>
      </c>
      <c r="M234" s="14">
        <f>J234/K234-1</f>
        <v/>
      </c>
      <c r="N234" s="7" t="inlineStr">
        <is>
          <t>ACIMA +22.2%</t>
        </is>
      </c>
      <c r="O234" s="7" t="inlineStr"/>
    </row>
    <row r="235">
      <c r="A235" s="7" t="n">
        <v>490681</v>
      </c>
      <c r="B235" s="7" t="inlineStr"/>
      <c r="C235" s="12" t="inlineStr">
        <is>
          <t>7896004777221</t>
        </is>
      </c>
      <c r="D235" s="7" t="inlineStr">
        <is>
          <t>FACOBA 5+1MG/ML SOL OFT FR 5ML-L</t>
        </is>
      </c>
      <c r="E235" s="13" t="n">
        <v>1</v>
      </c>
      <c r="F235" s="13" t="n">
        <v>1</v>
      </c>
      <c r="G235" s="13" t="n">
        <v>1</v>
      </c>
      <c r="H235" s="8" t="n">
        <v>35.78</v>
      </c>
      <c r="I235" s="8">
        <f>G235*H235</f>
        <v/>
      </c>
      <c r="J235" s="8">
        <f>H235/E235</f>
        <v/>
      </c>
      <c r="K235" s="8" t="n">
        <v>43.99</v>
      </c>
      <c r="L235" s="8" t="n">
        <v>32.78</v>
      </c>
      <c r="M235" s="14">
        <f>J235/K235-1</f>
        <v/>
      </c>
      <c r="N235" s="7" t="inlineStr">
        <is>
          <t>OK (≤ últ. compra)</t>
        </is>
      </c>
      <c r="O235" s="7" t="inlineStr"/>
    </row>
    <row r="236">
      <c r="A236" s="7" t="n">
        <v>613831</v>
      </c>
      <c r="B236" s="7" t="inlineStr"/>
      <c r="C236" s="12" t="inlineStr">
        <is>
          <t>7896902234093</t>
        </is>
      </c>
      <c r="D236" s="7" t="inlineStr">
        <is>
          <t>FARMAIODINE PVPI 10% 100ML</t>
        </is>
      </c>
      <c r="E236" s="13" t="n">
        <v>1</v>
      </c>
      <c r="F236" s="13" t="n">
        <v>2</v>
      </c>
      <c r="G236" s="13" t="n">
        <v>2</v>
      </c>
      <c r="H236" s="8" t="n">
        <v>6.27</v>
      </c>
      <c r="I236" s="8">
        <f>G236*H236</f>
        <v/>
      </c>
      <c r="J236" s="8">
        <f>H236/E236</f>
        <v/>
      </c>
      <c r="K236" s="8" t="n">
        <v>7.09</v>
      </c>
      <c r="L236" s="8" t="n">
        <v>7.09</v>
      </c>
      <c r="M236" s="14">
        <f>J236/K236-1</f>
        <v/>
      </c>
      <c r="N236" s="7" t="inlineStr">
        <is>
          <t>OK (≤ menor hist.)</t>
        </is>
      </c>
      <c r="O236" s="7" t="inlineStr"/>
    </row>
    <row r="237">
      <c r="A237" s="7" t="n">
        <v>646991</v>
      </c>
      <c r="B237" s="7" t="inlineStr"/>
      <c r="C237" s="12" t="inlineStr">
        <is>
          <t>7500435185011</t>
        </is>
      </c>
      <c r="D237" s="7" t="inlineStr">
        <is>
          <t>FEMIBION 1 C/28 COMP-DEMAIS PROD</t>
        </is>
      </c>
      <c r="E237" s="13" t="n">
        <v>1</v>
      </c>
      <c r="F237" s="13" t="n">
        <v>1</v>
      </c>
      <c r="G237" s="13" t="n">
        <v>1</v>
      </c>
      <c r="H237" s="8" t="n">
        <v>102.5525</v>
      </c>
      <c r="I237" s="8">
        <f>G237*H237</f>
        <v/>
      </c>
      <c r="J237" s="8">
        <f>H237/E237</f>
        <v/>
      </c>
      <c r="K237" s="8" t="n">
        <v>69.4517</v>
      </c>
      <c r="L237" s="8" t="n">
        <v>69.4517</v>
      </c>
      <c r="M237" s="14">
        <f>J237/K237-1</f>
        <v/>
      </c>
      <c r="N237" s="7" t="inlineStr">
        <is>
          <t>ACIMA +47.7%</t>
        </is>
      </c>
      <c r="O237" s="7" t="inlineStr"/>
    </row>
    <row r="238">
      <c r="A238" s="7" t="n">
        <v>641971</v>
      </c>
      <c r="B238" s="7" t="inlineStr"/>
      <c r="C238" s="12" t="inlineStr">
        <is>
          <t>7500435185035</t>
        </is>
      </c>
      <c r="D238" s="7" t="inlineStr">
        <is>
          <t>FEMIBION 3 C/28 COMP-DEMAIS PROD</t>
        </is>
      </c>
      <c r="E238" s="13" t="n">
        <v>1</v>
      </c>
      <c r="F238" s="13" t="n">
        <v>5</v>
      </c>
      <c r="G238" s="13" t="n">
        <v>5</v>
      </c>
      <c r="H238" s="8" t="n">
        <v>136.8665</v>
      </c>
      <c r="I238" s="8">
        <f>G238*H238</f>
        <v/>
      </c>
      <c r="J238" s="8">
        <f>H238/E238</f>
        <v/>
      </c>
      <c r="K238" s="8" t="n">
        <v>127.5667</v>
      </c>
      <c r="L238" s="8" t="n">
        <v>101.32</v>
      </c>
      <c r="M238" s="14">
        <f>J238/K238-1</f>
        <v/>
      </c>
      <c r="N238" s="7" t="inlineStr">
        <is>
          <t>ACIMA +7.3%</t>
        </is>
      </c>
      <c r="O238" s="7" t="inlineStr"/>
    </row>
    <row r="239">
      <c r="A239" s="7" t="n">
        <v>430141</v>
      </c>
      <c r="B239" s="7" t="inlineStr"/>
      <c r="C239" s="12" t="inlineStr">
        <is>
          <t>7896014673124</t>
        </is>
      </c>
      <c r="D239" s="7" t="inlineStr">
        <is>
          <t>FERROPURUM 20 MG/ML SOL INJ 5 AMP 5ML</t>
        </is>
      </c>
      <c r="E239" s="13" t="n">
        <v>1</v>
      </c>
      <c r="F239" s="13" t="n">
        <v>9</v>
      </c>
      <c r="G239" s="13" t="n">
        <v>9</v>
      </c>
      <c r="H239" s="8" t="n">
        <v>67.81409699999999</v>
      </c>
      <c r="I239" s="8">
        <f>G239*H239</f>
        <v/>
      </c>
      <c r="J239" s="8">
        <f>H239/E239</f>
        <v/>
      </c>
      <c r="K239" s="8" t="n">
        <v>69.76000000000001</v>
      </c>
      <c r="L239" s="8" t="n">
        <v>51.6738</v>
      </c>
      <c r="M239" s="14">
        <f>J239/K239-1</f>
        <v/>
      </c>
      <c r="N239" s="7" t="inlineStr">
        <is>
          <t>OK (≤ últ. compra)</t>
        </is>
      </c>
      <c r="O239" s="7" t="inlineStr"/>
    </row>
    <row r="240">
      <c r="A240" s="7" t="n">
        <v>616361</v>
      </c>
      <c r="B240" s="7" t="inlineStr"/>
      <c r="C240" s="12" t="inlineStr">
        <is>
          <t>7896523201504</t>
        </is>
      </c>
      <c r="D240" s="7" t="inlineStr">
        <is>
          <t>FIGMED 200MG CAPS C/30</t>
        </is>
      </c>
      <c r="E240" s="13" t="n">
        <v>1</v>
      </c>
      <c r="F240" s="13" t="n">
        <v>13</v>
      </c>
      <c r="G240" s="13" t="n">
        <v>13</v>
      </c>
      <c r="H240" s="8" t="n">
        <v>30.53</v>
      </c>
      <c r="I240" s="8">
        <f>G240*H240</f>
        <v/>
      </c>
      <c r="J240" s="8">
        <f>H240/E240</f>
        <v/>
      </c>
      <c r="K240" s="8" t="n">
        <v>35.69</v>
      </c>
      <c r="L240" s="8" t="n">
        <v>31.99</v>
      </c>
      <c r="M240" s="14">
        <f>J240/K240-1</f>
        <v/>
      </c>
      <c r="N240" s="7" t="inlineStr">
        <is>
          <t>OK (≤ menor hist.)</t>
        </is>
      </c>
      <c r="O240" s="7" t="inlineStr"/>
    </row>
    <row r="241">
      <c r="A241" s="7" t="n">
        <v>249121</v>
      </c>
      <c r="B241" s="7" t="inlineStr"/>
      <c r="C241" s="12" t="inlineStr">
        <is>
          <t>7896523227542</t>
        </is>
      </c>
      <c r="D241" s="7" t="inlineStr">
        <is>
          <t>FINASTERIDA 1MG CX 30 COMP REV</t>
        </is>
      </c>
      <c r="E241" s="13" t="n">
        <v>1</v>
      </c>
      <c r="F241" s="13" t="n">
        <v>2</v>
      </c>
      <c r="G241" s="13" t="n">
        <v>2</v>
      </c>
      <c r="H241" s="8" t="n">
        <v>62.28</v>
      </c>
      <c r="I241" s="8">
        <f>G241*H241</f>
        <v/>
      </c>
      <c r="J241" s="8">
        <f>H241/E241</f>
        <v/>
      </c>
      <c r="K241" s="8" t="n"/>
      <c r="L241" s="8" t="n"/>
      <c r="M241" s="14" t="n"/>
      <c r="N241" s="7" t="inlineStr">
        <is>
          <t>SEM HISTÓRICO</t>
        </is>
      </c>
      <c r="O241" s="7" t="inlineStr"/>
    </row>
    <row r="242">
      <c r="A242" s="7" t="n">
        <v>248621</v>
      </c>
      <c r="B242" s="7" t="inlineStr"/>
      <c r="C242" s="12" t="inlineStr">
        <is>
          <t>7896523227559</t>
        </is>
      </c>
      <c r="D242" s="7" t="inlineStr">
        <is>
          <t>FINASTERIDA 5MG CX 30 COMP REV</t>
        </is>
      </c>
      <c r="E242" s="13" t="n">
        <v>1</v>
      </c>
      <c r="F242" s="13" t="n">
        <v>2</v>
      </c>
      <c r="G242" s="13" t="n">
        <v>2</v>
      </c>
      <c r="H242" s="8" t="n">
        <v>95.7</v>
      </c>
      <c r="I242" s="8">
        <f>G242*H242</f>
        <v/>
      </c>
      <c r="J242" s="8">
        <f>H242/E242</f>
        <v/>
      </c>
      <c r="K242" s="8" t="n">
        <v>10.99</v>
      </c>
      <c r="L242" s="8" t="n">
        <v>10.99</v>
      </c>
      <c r="M242" s="14">
        <f>J242/K242-1</f>
        <v/>
      </c>
      <c r="N242" s="7" t="inlineStr">
        <is>
          <t>ACIMA +770.8%</t>
        </is>
      </c>
      <c r="O242" s="7" t="inlineStr">
        <is>
          <t>conferir emb.</t>
        </is>
      </c>
    </row>
    <row r="243">
      <c r="A243" s="7" t="n">
        <v>567201</v>
      </c>
      <c r="B243" s="7" t="inlineStr"/>
      <c r="C243" s="12" t="inlineStr">
        <is>
          <t>7891010501105</t>
        </is>
      </c>
      <c r="D243" s="7" t="inlineStr">
        <is>
          <t>FIO DEN REACH J J ESSENC MENTA 100M</t>
        </is>
      </c>
      <c r="E243" s="13" t="n">
        <v>1</v>
      </c>
      <c r="F243" s="13" t="n">
        <v>3</v>
      </c>
      <c r="G243" s="13" t="n">
        <v>3</v>
      </c>
      <c r="H243" s="8" t="n">
        <v>15.07</v>
      </c>
      <c r="I243" s="8">
        <f>G243*H243</f>
        <v/>
      </c>
      <c r="J243" s="8">
        <f>H243/E243</f>
        <v/>
      </c>
      <c r="K243" s="8" t="n">
        <v>14.415</v>
      </c>
      <c r="L243" s="8" t="n">
        <v>13.635</v>
      </c>
      <c r="M243" s="14">
        <f>J243/K243-1</f>
        <v/>
      </c>
      <c r="N243" s="7" t="inlineStr">
        <is>
          <t>ACIMA +4.5%</t>
        </is>
      </c>
      <c r="O243" s="7" t="inlineStr"/>
    </row>
    <row r="244">
      <c r="A244" s="7" t="n">
        <v>577401</v>
      </c>
      <c r="B244" s="7" t="inlineStr"/>
      <c r="C244" s="12" t="inlineStr">
        <is>
          <t>7891024183007</t>
        </is>
      </c>
      <c r="D244" s="7" t="inlineStr">
        <is>
          <t>FIO DENT. COLGATE NYLON 50M</t>
        </is>
      </c>
      <c r="E244" s="13" t="n">
        <v>1</v>
      </c>
      <c r="F244" s="13" t="n">
        <v>1</v>
      </c>
      <c r="G244" s="13" t="n">
        <v>1</v>
      </c>
      <c r="H244" s="8" t="n">
        <v>11.99</v>
      </c>
      <c r="I244" s="8">
        <f>G244*H244</f>
        <v/>
      </c>
      <c r="J244" s="8">
        <f>H244/E244</f>
        <v/>
      </c>
      <c r="K244" s="8" t="n">
        <v>11.65</v>
      </c>
      <c r="L244" s="8" t="n">
        <v>9.529999999999999</v>
      </c>
      <c r="M244" s="14">
        <f>J244/K244-1</f>
        <v/>
      </c>
      <c r="N244" s="7" t="inlineStr">
        <is>
          <t>ACIMA +2.9%</t>
        </is>
      </c>
      <c r="O244" s="7" t="inlineStr"/>
    </row>
    <row r="245">
      <c r="A245" s="7" t="n">
        <v>614721</v>
      </c>
      <c r="B245" s="7" t="inlineStr"/>
      <c r="C245" s="12" t="inlineStr">
        <is>
          <t>7891010038908</t>
        </is>
      </c>
      <c r="D245" s="7" t="inlineStr">
        <is>
          <t>FIO DT JOHNSON REACH 50M MENTA</t>
        </is>
      </c>
      <c r="E245" s="13" t="n">
        <v>1</v>
      </c>
      <c r="F245" s="13" t="n">
        <v>4</v>
      </c>
      <c r="G245" s="13" t="n">
        <v>4</v>
      </c>
      <c r="H245" s="8" t="n">
        <v>13.91</v>
      </c>
      <c r="I245" s="8">
        <f>G245*H245</f>
        <v/>
      </c>
      <c r="J245" s="8">
        <f>H245/E245</f>
        <v/>
      </c>
      <c r="K245" s="8" t="n">
        <v>13.5833</v>
      </c>
      <c r="L245" s="8" t="n">
        <v>13.1458</v>
      </c>
      <c r="M245" s="14">
        <f>J245/K245-1</f>
        <v/>
      </c>
      <c r="N245" s="7" t="inlineStr">
        <is>
          <t>ACIMA +2.4%</t>
        </is>
      </c>
      <c r="O245" s="7" t="inlineStr"/>
    </row>
    <row r="246">
      <c r="A246" s="7" t="n">
        <v>671121</v>
      </c>
      <c r="B246" s="7" t="inlineStr"/>
      <c r="C246" s="12" t="inlineStr">
        <is>
          <t>7899828214019</t>
        </is>
      </c>
      <c r="D246" s="7" t="inlineStr">
        <is>
          <t>FITA KINES 5MX5CM BEGE</t>
        </is>
      </c>
      <c r="E246" s="13" t="n">
        <v>1</v>
      </c>
      <c r="F246" s="13" t="n">
        <v>2</v>
      </c>
      <c r="G246" s="13" t="n">
        <v>2</v>
      </c>
      <c r="H246" s="8" t="n">
        <v>24.46</v>
      </c>
      <c r="I246" s="8">
        <f>G246*H246</f>
        <v/>
      </c>
      <c r="J246" s="8">
        <f>H246/E246</f>
        <v/>
      </c>
      <c r="K246" s="8" t="n">
        <v>21.99</v>
      </c>
      <c r="L246" s="8" t="n">
        <v>21.99</v>
      </c>
      <c r="M246" s="14">
        <f>J246/K246-1</f>
        <v/>
      </c>
      <c r="N246" s="7" t="inlineStr">
        <is>
          <t>ACIMA +11.2%</t>
        </is>
      </c>
      <c r="O246" s="7" t="inlineStr">
        <is>
          <t>estoque parcial (1 un)</t>
        </is>
      </c>
    </row>
    <row r="247">
      <c r="A247" s="7" t="n">
        <v>596631</v>
      </c>
      <c r="B247" s="7" t="inlineStr"/>
      <c r="C247" s="12" t="inlineStr">
        <is>
          <t>7891800665529</t>
        </is>
      </c>
      <c r="D247" s="7" t="inlineStr">
        <is>
          <t>FITA MICROPOROSA SALVELOX 1,2CMX4,5M</t>
        </is>
      </c>
      <c r="E247" s="13" t="n">
        <v>1</v>
      </c>
      <c r="F247" s="13" t="n">
        <v>7</v>
      </c>
      <c r="G247" s="13" t="n">
        <v>7</v>
      </c>
      <c r="H247" s="8" t="n">
        <v>2.7257</v>
      </c>
      <c r="I247" s="8">
        <f>G247*H247</f>
        <v/>
      </c>
      <c r="J247" s="8">
        <f>H247/E247</f>
        <v/>
      </c>
      <c r="K247" s="8" t="n">
        <v>2.8038</v>
      </c>
      <c r="L247" s="8" t="n">
        <v>2.65</v>
      </c>
      <c r="M247" s="14">
        <f>J247/K247-1</f>
        <v/>
      </c>
      <c r="N247" s="7" t="inlineStr">
        <is>
          <t>OK (≤ últ. compra)</t>
        </is>
      </c>
      <c r="O247" s="7" t="inlineStr"/>
    </row>
    <row r="248">
      <c r="A248" s="7" t="n">
        <v>596641</v>
      </c>
      <c r="B248" s="7" t="inlineStr"/>
      <c r="C248" s="12" t="inlineStr">
        <is>
          <t>7891800665512</t>
        </is>
      </c>
      <c r="D248" s="7" t="inlineStr">
        <is>
          <t>FITA MICROPOROSA SALVELOX 2,5CMX4,5M</t>
        </is>
      </c>
      <c r="E248" s="13" t="n">
        <v>1</v>
      </c>
      <c r="F248" s="13" t="n">
        <v>1</v>
      </c>
      <c r="G248" s="13" t="n">
        <v>1</v>
      </c>
      <c r="H248" s="8" t="n">
        <v>3.8606</v>
      </c>
      <c r="I248" s="8">
        <f>G248*H248</f>
        <v/>
      </c>
      <c r="J248" s="8">
        <f>H248/E248</f>
        <v/>
      </c>
      <c r="K248" s="8" t="n">
        <v>3.2244</v>
      </c>
      <c r="L248" s="8" t="n">
        <v>3.2244</v>
      </c>
      <c r="M248" s="14">
        <f>J248/K248-1</f>
        <v/>
      </c>
      <c r="N248" s="7" t="inlineStr">
        <is>
          <t>ACIMA +19.7%</t>
        </is>
      </c>
      <c r="O248" s="7" t="inlineStr"/>
    </row>
    <row r="249">
      <c r="A249" s="7" t="n">
        <v>602961</v>
      </c>
      <c r="B249" s="7" t="inlineStr"/>
      <c r="C249" s="12" t="inlineStr">
        <is>
          <t>7891800665536</t>
        </is>
      </c>
      <c r="D249" s="7" t="inlineStr">
        <is>
          <t>FITA MICROPOROSA SALVELOX 5CMX4,5M</t>
        </is>
      </c>
      <c r="E249" s="13" t="n">
        <v>1</v>
      </c>
      <c r="F249" s="13" t="n">
        <v>2</v>
      </c>
      <c r="G249" s="13" t="n">
        <v>2</v>
      </c>
      <c r="H249" s="8" t="n">
        <v>6.2662</v>
      </c>
      <c r="I249" s="8">
        <f>G249*H249</f>
        <v/>
      </c>
      <c r="J249" s="8">
        <f>H249/E249</f>
        <v/>
      </c>
      <c r="K249" s="8" t="n">
        <v>5.2318</v>
      </c>
      <c r="L249" s="8" t="n">
        <v>5.2318</v>
      </c>
      <c r="M249" s="14">
        <f>J249/K249-1</f>
        <v/>
      </c>
      <c r="N249" s="7" t="inlineStr">
        <is>
          <t>ACIMA +19.8%</t>
        </is>
      </c>
      <c r="O249" s="7" t="inlineStr"/>
    </row>
    <row r="250">
      <c r="A250" s="7" t="n">
        <v>648341</v>
      </c>
      <c r="B250" s="7" t="inlineStr"/>
      <c r="C250" s="12" t="inlineStr">
        <is>
          <t>7898108640982</t>
        </is>
      </c>
      <c r="D250" s="7" t="inlineStr">
        <is>
          <t>FITA MICROPOROSA SANFARMA 50MMX4,5M</t>
        </is>
      </c>
      <c r="E250" s="13" t="n">
        <v>1</v>
      </c>
      <c r="F250" s="13" t="n">
        <v>2</v>
      </c>
      <c r="G250" s="13" t="n">
        <v>2</v>
      </c>
      <c r="H250" s="8" t="n">
        <v>6.4505</v>
      </c>
      <c r="I250" s="8">
        <f>G250*H250</f>
        <v/>
      </c>
      <c r="J250" s="8">
        <f>H250/E250</f>
        <v/>
      </c>
      <c r="K250" s="8" t="n">
        <v>5.84</v>
      </c>
      <c r="L250" s="8" t="n">
        <v>5.84</v>
      </c>
      <c r="M250" s="14">
        <f>J250/K250-1</f>
        <v/>
      </c>
      <c r="N250" s="7" t="inlineStr">
        <is>
          <t>ACIMA +10.5%</t>
        </is>
      </c>
      <c r="O250" s="7" t="inlineStr"/>
    </row>
    <row r="251">
      <c r="A251" s="7" t="n">
        <v>653681</v>
      </c>
      <c r="B251" s="7" t="inlineStr"/>
      <c r="C251" s="12" t="inlineStr">
        <is>
          <t>7908020507246</t>
        </is>
      </c>
      <c r="D251" s="7" t="inlineStr">
        <is>
          <t>FLORENT 100MG C/12 CPS DURA</t>
        </is>
      </c>
      <c r="E251" s="13" t="n">
        <v>1</v>
      </c>
      <c r="F251" s="13" t="n">
        <v>3</v>
      </c>
      <c r="G251" s="13" t="n">
        <v>3</v>
      </c>
      <c r="H251" s="8" t="n">
        <v>39.6</v>
      </c>
      <c r="I251" s="8">
        <f>G251*H251</f>
        <v/>
      </c>
      <c r="J251" s="8">
        <f>H251/E251</f>
        <v/>
      </c>
      <c r="K251" s="8" t="n">
        <v>9.74</v>
      </c>
      <c r="L251" s="8" t="n">
        <v>9.74</v>
      </c>
      <c r="M251" s="14">
        <f>J251/K251-1</f>
        <v/>
      </c>
      <c r="N251" s="7" t="inlineStr">
        <is>
          <t>ACIMA +306.6%</t>
        </is>
      </c>
      <c r="O251" s="7" t="inlineStr">
        <is>
          <t>conferir emb.</t>
        </is>
      </c>
    </row>
    <row r="252">
      <c r="A252" s="7" t="n">
        <v>653691</v>
      </c>
      <c r="B252" s="7" t="inlineStr"/>
      <c r="C252" s="12" t="inlineStr">
        <is>
          <t>7908020507260</t>
        </is>
      </c>
      <c r="D252" s="7" t="inlineStr">
        <is>
          <t>FLORENT 200MG C/06 CPS DURA</t>
        </is>
      </c>
      <c r="E252" s="13" t="n">
        <v>1</v>
      </c>
      <c r="F252" s="13" t="n">
        <v>2</v>
      </c>
      <c r="G252" s="13" t="n">
        <v>2</v>
      </c>
      <c r="H252" s="8" t="n">
        <v>39.6</v>
      </c>
      <c r="I252" s="8">
        <f>G252*H252</f>
        <v/>
      </c>
      <c r="J252" s="8">
        <f>H252/E252</f>
        <v/>
      </c>
      <c r="K252" s="8" t="n">
        <v>9.550000000000001</v>
      </c>
      <c r="L252" s="8" t="n">
        <v>9.550000000000001</v>
      </c>
      <c r="M252" s="14">
        <f>J252/K252-1</f>
        <v/>
      </c>
      <c r="N252" s="7" t="inlineStr">
        <is>
          <t>ACIMA +314.7%</t>
        </is>
      </c>
      <c r="O252" s="7" t="inlineStr">
        <is>
          <t>conferir emb.</t>
        </is>
      </c>
    </row>
    <row r="253">
      <c r="A253" s="7" t="n">
        <v>315441</v>
      </c>
      <c r="B253" s="7" t="inlineStr"/>
      <c r="C253" s="12" t="inlineStr">
        <is>
          <t>7898158692238</t>
        </is>
      </c>
      <c r="D253" s="7" t="inlineStr">
        <is>
          <t>FLORENT 200MG PO 4 SACHES X 1G</t>
        </is>
      </c>
      <c r="E253" s="13" t="n">
        <v>1</v>
      </c>
      <c r="F253" s="13" t="n">
        <v>12</v>
      </c>
      <c r="G253" s="13" t="n">
        <v>12</v>
      </c>
      <c r="H253" s="8" t="n">
        <v>26.86</v>
      </c>
      <c r="I253" s="8">
        <f>G253*H253</f>
        <v/>
      </c>
      <c r="J253" s="8">
        <f>H253/E253</f>
        <v/>
      </c>
      <c r="K253" s="8" t="n">
        <v>7.02</v>
      </c>
      <c r="L253" s="8" t="n">
        <v>7.02</v>
      </c>
      <c r="M253" s="14">
        <f>J253/K253-1</f>
        <v/>
      </c>
      <c r="N253" s="7" t="inlineStr">
        <is>
          <t>ACIMA +282.6%</t>
        </is>
      </c>
      <c r="O253" s="7" t="inlineStr">
        <is>
          <t>conferir emb.</t>
        </is>
      </c>
    </row>
    <row r="254">
      <c r="A254" s="7" t="n">
        <v>250801</v>
      </c>
      <c r="B254" s="7" t="inlineStr"/>
      <c r="C254" s="12" t="inlineStr">
        <is>
          <t>7896422505079</t>
        </is>
      </c>
      <c r="D254" s="7" t="inlineStr">
        <is>
          <t>FLUCONAZOL 150MG CX 2 CAP</t>
        </is>
      </c>
      <c r="E254" s="13" t="n">
        <v>1</v>
      </c>
      <c r="F254" s="13" t="n">
        <v>3</v>
      </c>
      <c r="G254" s="13" t="n">
        <v>3</v>
      </c>
      <c r="H254" s="8" t="n">
        <v>32.41</v>
      </c>
      <c r="I254" s="8">
        <f>G254*H254</f>
        <v/>
      </c>
      <c r="J254" s="8">
        <f>H254/E254</f>
        <v/>
      </c>
      <c r="K254" s="8" t="n">
        <v>4.6964</v>
      </c>
      <c r="L254" s="8" t="n">
        <v>4.6964</v>
      </c>
      <c r="M254" s="14">
        <f>J254/K254-1</f>
        <v/>
      </c>
      <c r="N254" s="7" t="inlineStr">
        <is>
          <t>ACIMA +590.1%</t>
        </is>
      </c>
      <c r="O254" s="7" t="inlineStr">
        <is>
          <t>conferir emb.</t>
        </is>
      </c>
    </row>
    <row r="255">
      <c r="A255" s="7" t="n">
        <v>539681</v>
      </c>
      <c r="B255" s="7" t="inlineStr"/>
      <c r="C255" s="12" t="inlineStr">
        <is>
          <t>7896677700281</t>
        </is>
      </c>
      <c r="D255" s="7" t="inlineStr">
        <is>
          <t>FORTEVIRON CX 60 COMP</t>
        </is>
      </c>
      <c r="E255" s="13" t="n">
        <v>1</v>
      </c>
      <c r="F255" s="13" t="n">
        <v>4</v>
      </c>
      <c r="G255" s="13" t="n">
        <v>4</v>
      </c>
      <c r="H255" s="8" t="n">
        <v>68.25</v>
      </c>
      <c r="I255" s="8">
        <f>G255*H255</f>
        <v/>
      </c>
      <c r="J255" s="8">
        <f>H255/E255</f>
        <v/>
      </c>
      <c r="K255" s="8" t="n">
        <v>51.0667</v>
      </c>
      <c r="L255" s="8" t="n">
        <v>51.0667</v>
      </c>
      <c r="M255" s="14">
        <f>J255/K255-1</f>
        <v/>
      </c>
      <c r="N255" s="7" t="inlineStr">
        <is>
          <t>ACIMA +33.6%</t>
        </is>
      </c>
      <c r="O255" s="7" t="inlineStr"/>
    </row>
    <row r="256">
      <c r="A256" s="7" t="n">
        <v>614481</v>
      </c>
      <c r="B256" s="7" t="inlineStr"/>
      <c r="C256" s="12" t="inlineStr">
        <is>
          <t>7896007551279</t>
        </is>
      </c>
      <c r="D256" s="7" t="inlineStr">
        <is>
          <t>FRA HUGGIES CARE ROUP HIPER XXG C/48</t>
        </is>
      </c>
      <c r="E256" s="13" t="n">
        <v>1</v>
      </c>
      <c r="F256" s="13" t="n">
        <v>2</v>
      </c>
      <c r="G256" s="13" t="n">
        <v>2</v>
      </c>
      <c r="H256" s="8" t="n">
        <v>89.83</v>
      </c>
      <c r="I256" s="8">
        <f>G256*H256</f>
        <v/>
      </c>
      <c r="J256" s="8">
        <f>H256/E256</f>
        <v/>
      </c>
      <c r="K256" s="8" t="n">
        <v>87.53619999999999</v>
      </c>
      <c r="L256" s="8" t="n">
        <v>87.53619999999999</v>
      </c>
      <c r="M256" s="14">
        <f>J256/K256-1</f>
        <v/>
      </c>
      <c r="N256" s="7" t="inlineStr">
        <is>
          <t>ACIMA +2.6%</t>
        </is>
      </c>
      <c r="O256" s="7" t="inlineStr"/>
    </row>
    <row r="257">
      <c r="A257" s="7" t="n">
        <v>651681</v>
      </c>
      <c r="B257" s="7" t="inlineStr"/>
      <c r="C257" s="12" t="inlineStr">
        <is>
          <t>7896007552016</t>
        </is>
      </c>
      <c r="D257" s="7" t="inlineStr">
        <is>
          <t>FRA HUGGIES NATURAL CARE_RN MEGA C/34 N</t>
        </is>
      </c>
      <c r="E257" s="13" t="n">
        <v>1</v>
      </c>
      <c r="F257" s="13" t="n">
        <v>1</v>
      </c>
      <c r="G257" s="13" t="n">
        <v>1</v>
      </c>
      <c r="H257" s="8" t="n">
        <v>45.57</v>
      </c>
      <c r="I257" s="8">
        <f>G257*H257</f>
        <v/>
      </c>
      <c r="J257" s="8">
        <f>H257/E257</f>
        <v/>
      </c>
      <c r="K257" s="8" t="n">
        <v>36.6483</v>
      </c>
      <c r="L257" s="8" t="n">
        <v>36.6483</v>
      </c>
      <c r="M257" s="14">
        <f>J257/K257-1</f>
        <v/>
      </c>
      <c r="N257" s="7" t="inlineStr">
        <is>
          <t>ACIMA +24.3%</t>
        </is>
      </c>
      <c r="O257" s="7" t="inlineStr"/>
    </row>
    <row r="258">
      <c r="A258" s="7" t="n">
        <v>614451</v>
      </c>
      <c r="B258" s="7" t="inlineStr"/>
      <c r="C258" s="12" t="inlineStr">
        <is>
          <t>7896007549719</t>
        </is>
      </c>
      <c r="D258" s="7" t="inlineStr">
        <is>
          <t>FRA HUGGIES SP CARE ROUP HIPER GDE C/60</t>
        </is>
      </c>
      <c r="E258" s="13" t="n">
        <v>1</v>
      </c>
      <c r="F258" s="13" t="n">
        <v>1</v>
      </c>
      <c r="G258" s="13" t="n">
        <v>1</v>
      </c>
      <c r="H258" s="8" t="n">
        <v>89.83</v>
      </c>
      <c r="I258" s="8">
        <f>G258*H258</f>
        <v/>
      </c>
      <c r="J258" s="8">
        <f>H258/E258</f>
        <v/>
      </c>
      <c r="K258" s="8" t="n">
        <v>87.53619999999999</v>
      </c>
      <c r="L258" s="8" t="n">
        <v>87.53619999999999</v>
      </c>
      <c r="M258" s="14">
        <f>J258/K258-1</f>
        <v/>
      </c>
      <c r="N258" s="7" t="inlineStr">
        <is>
          <t>ACIMA +2.6%</t>
        </is>
      </c>
      <c r="O258" s="7" t="inlineStr"/>
    </row>
    <row r="259">
      <c r="A259" s="7" t="n">
        <v>614461</v>
      </c>
      <c r="B259" s="7" t="inlineStr"/>
      <c r="C259" s="12" t="inlineStr">
        <is>
          <t>7896007551262</t>
        </is>
      </c>
      <c r="D259" s="7" t="inlineStr">
        <is>
          <t>FRA HUGGIES SP CARE ROUP HIPER MED C/72</t>
        </is>
      </c>
      <c r="E259" s="13" t="n">
        <v>1</v>
      </c>
      <c r="F259" s="13" t="n">
        <v>2</v>
      </c>
      <c r="G259" s="13" t="n">
        <v>2</v>
      </c>
      <c r="H259" s="8" t="n">
        <v>89.83</v>
      </c>
      <c r="I259" s="8">
        <f>G259*H259</f>
        <v/>
      </c>
      <c r="J259" s="8">
        <f>H259/E259</f>
        <v/>
      </c>
      <c r="K259" s="8" t="n">
        <v>87.53619999999999</v>
      </c>
      <c r="L259" s="8" t="n">
        <v>87.53619999999999</v>
      </c>
      <c r="M259" s="14">
        <f>J259/K259-1</f>
        <v/>
      </c>
      <c r="N259" s="7" t="inlineStr">
        <is>
          <t>ACIMA +2.6%</t>
        </is>
      </c>
      <c r="O259" s="7" t="inlineStr"/>
    </row>
    <row r="260">
      <c r="A260" s="7" t="n">
        <v>617081</v>
      </c>
      <c r="B260" s="7" t="inlineStr"/>
      <c r="C260" s="12" t="inlineStr">
        <is>
          <t>7896007553051</t>
        </is>
      </c>
      <c r="D260" s="7" t="inlineStr">
        <is>
          <t>FRA HUGGIES TRIPLA ROUP MEGA - GDE C/28</t>
        </is>
      </c>
      <c r="E260" s="13" t="n">
        <v>1</v>
      </c>
      <c r="F260" s="13" t="n">
        <v>7</v>
      </c>
      <c r="G260" s="13" t="n">
        <v>7</v>
      </c>
      <c r="H260" s="8" t="n">
        <v>37.88</v>
      </c>
      <c r="I260" s="8">
        <f>G260*H260</f>
        <v/>
      </c>
      <c r="J260" s="8">
        <f>H260/E260</f>
        <v/>
      </c>
      <c r="K260" s="8" t="n">
        <v>36.98</v>
      </c>
      <c r="L260" s="8" t="n">
        <v>36.98</v>
      </c>
      <c r="M260" s="14">
        <f>J260/K260-1</f>
        <v/>
      </c>
      <c r="N260" s="7" t="inlineStr">
        <is>
          <t>ACIMA +2.4%</t>
        </is>
      </c>
      <c r="O260" s="7" t="inlineStr"/>
    </row>
    <row r="261">
      <c r="A261" s="7" t="n">
        <v>616531</v>
      </c>
      <c r="B261" s="7" t="inlineStr"/>
      <c r="C261" s="12" t="inlineStr">
        <is>
          <t>7896007553068</t>
        </is>
      </c>
      <c r="D261" s="7" t="inlineStr">
        <is>
          <t>FRA HUGGIES TRIPLA ROUP MEGA - XG C/24</t>
        </is>
      </c>
      <c r="E261" s="13" t="n">
        <v>1</v>
      </c>
      <c r="F261" s="13" t="n">
        <v>2</v>
      </c>
      <c r="G261" s="13" t="n">
        <v>2</v>
      </c>
      <c r="H261" s="8" t="n">
        <v>37.88</v>
      </c>
      <c r="I261" s="8">
        <f>G261*H261</f>
        <v/>
      </c>
      <c r="J261" s="8">
        <f>H261/E261</f>
        <v/>
      </c>
      <c r="K261" s="8" t="n">
        <v>36.98</v>
      </c>
      <c r="L261" s="8" t="n">
        <v>36.98</v>
      </c>
      <c r="M261" s="14">
        <f>J261/K261-1</f>
        <v/>
      </c>
      <c r="N261" s="7" t="inlineStr">
        <is>
          <t>ACIMA +2.4%</t>
        </is>
      </c>
      <c r="O261" s="7" t="inlineStr"/>
    </row>
    <row r="262">
      <c r="A262" s="7" t="n">
        <v>572481</v>
      </c>
      <c r="B262" s="7" t="inlineStr"/>
      <c r="C262" s="12" t="inlineStr">
        <is>
          <t>7896064486170</t>
        </is>
      </c>
      <c r="D262" s="7" t="inlineStr">
        <is>
          <t>FRALDA GERIAMAX G 7 UN</t>
        </is>
      </c>
      <c r="E262" s="13" t="n">
        <v>1</v>
      </c>
      <c r="F262" s="13" t="n">
        <v>3</v>
      </c>
      <c r="G262" s="13" t="n">
        <v>3</v>
      </c>
      <c r="H262" s="8" t="n">
        <v>16.36</v>
      </c>
      <c r="I262" s="8">
        <f>G262*H262</f>
        <v/>
      </c>
      <c r="J262" s="8">
        <f>H262/E262</f>
        <v/>
      </c>
      <c r="K262" s="8" t="n">
        <v>18.17</v>
      </c>
      <c r="L262" s="8" t="n">
        <v>18.17</v>
      </c>
      <c r="M262" s="14">
        <f>J262/K262-1</f>
        <v/>
      </c>
      <c r="N262" s="7" t="inlineStr">
        <is>
          <t>OK (≤ menor hist.)</t>
        </is>
      </c>
      <c r="O262" s="7" t="inlineStr"/>
    </row>
    <row r="263">
      <c r="A263" s="7" t="n">
        <v>572501</v>
      </c>
      <c r="B263" s="7" t="inlineStr"/>
      <c r="C263" s="12" t="inlineStr">
        <is>
          <t>7896064486163</t>
        </is>
      </c>
      <c r="D263" s="7" t="inlineStr">
        <is>
          <t>FRALDA GERIAMAX M 8 UN</t>
        </is>
      </c>
      <c r="E263" s="13" t="n">
        <v>1</v>
      </c>
      <c r="F263" s="13" t="n">
        <v>3</v>
      </c>
      <c r="G263" s="13" t="n">
        <v>3</v>
      </c>
      <c r="H263" s="8" t="n">
        <v>16.36</v>
      </c>
      <c r="I263" s="8">
        <f>G263*H263</f>
        <v/>
      </c>
      <c r="J263" s="8">
        <f>H263/E263</f>
        <v/>
      </c>
      <c r="K263" s="8" t="n">
        <v>18.26</v>
      </c>
      <c r="L263" s="8" t="n">
        <v>18.17</v>
      </c>
      <c r="M263" s="14">
        <f>J263/K263-1</f>
        <v/>
      </c>
      <c r="N263" s="7" t="inlineStr">
        <is>
          <t>OK (≤ menor hist.)</t>
        </is>
      </c>
      <c r="O263" s="7" t="inlineStr"/>
    </row>
    <row r="264">
      <c r="A264" s="7" t="n">
        <v>537821</v>
      </c>
      <c r="B264" s="7" t="inlineStr"/>
      <c r="C264" s="12" t="inlineStr">
        <is>
          <t>7896007549689</t>
        </is>
      </c>
      <c r="D264" s="7" t="inlineStr">
        <is>
          <t>FRALDA HUGGIES ROUPINHA SUPREME CARE - G - 30</t>
        </is>
      </c>
      <c r="E264" s="13" t="n">
        <v>1</v>
      </c>
      <c r="F264" s="13" t="n">
        <v>5</v>
      </c>
      <c r="G264" s="13" t="n">
        <v>5</v>
      </c>
      <c r="H264" s="8" t="n">
        <v>51.34</v>
      </c>
      <c r="I264" s="8">
        <f>G264*H264</f>
        <v/>
      </c>
      <c r="J264" s="8">
        <f>H264/E264</f>
        <v/>
      </c>
      <c r="K264" s="8" t="n">
        <v>47.7</v>
      </c>
      <c r="L264" s="8" t="n">
        <v>44.7033</v>
      </c>
      <c r="M264" s="14">
        <f>J264/K264-1</f>
        <v/>
      </c>
      <c r="N264" s="7" t="inlineStr">
        <is>
          <t>ACIMA +7.6%</t>
        </is>
      </c>
      <c r="O264" s="7" t="inlineStr"/>
    </row>
    <row r="265">
      <c r="A265" s="7" t="n">
        <v>544421</v>
      </c>
      <c r="B265" s="7" t="inlineStr"/>
      <c r="C265" s="12" t="inlineStr">
        <is>
          <t>7896007548415</t>
        </is>
      </c>
      <c r="D265" s="7" t="inlineStr">
        <is>
          <t>FRALDA HUGGIES SUPREME CARE G 32UN</t>
        </is>
      </c>
      <c r="E265" s="13" t="n">
        <v>1</v>
      </c>
      <c r="F265" s="13" t="n">
        <v>1</v>
      </c>
      <c r="G265" s="13" t="n">
        <v>1</v>
      </c>
      <c r="H265" s="8" t="n">
        <v>56.4</v>
      </c>
      <c r="I265" s="8">
        <f>G265*H265</f>
        <v/>
      </c>
      <c r="J265" s="8">
        <f>H265/E265</f>
        <v/>
      </c>
      <c r="K265" s="8" t="n">
        <v>35.0217</v>
      </c>
      <c r="L265" s="8" t="n">
        <v>35.0217</v>
      </c>
      <c r="M265" s="14">
        <f>J265/K265-1</f>
        <v/>
      </c>
      <c r="N265" s="7" t="inlineStr">
        <is>
          <t>ACIMA +61.0%</t>
        </is>
      </c>
      <c r="O265" s="7" t="inlineStr"/>
    </row>
    <row r="266">
      <c r="A266" s="7" t="n">
        <v>631061</v>
      </c>
      <c r="B266" s="7" t="inlineStr"/>
      <c r="C266" s="12" t="inlineStr">
        <is>
          <t>7896007549269</t>
        </is>
      </c>
      <c r="D266" s="7" t="inlineStr">
        <is>
          <t>FRALDA HUGGIES TRIPLA HIPER G 78UN</t>
        </is>
      </c>
      <c r="E266" s="13" t="n">
        <v>1</v>
      </c>
      <c r="F266" s="13" t="n">
        <v>2</v>
      </c>
      <c r="G266" s="13" t="n">
        <v>2</v>
      </c>
      <c r="H266" s="8" t="n">
        <v>86.56999999999999</v>
      </c>
      <c r="I266" s="8">
        <f>G266*H266</f>
        <v/>
      </c>
      <c r="J266" s="8">
        <f>H266/E266</f>
        <v/>
      </c>
      <c r="K266" s="8" t="n">
        <v>88.23</v>
      </c>
      <c r="L266" s="8" t="n">
        <v>88.23</v>
      </c>
      <c r="M266" s="14">
        <f>J266/K266-1</f>
        <v/>
      </c>
      <c r="N266" s="7" t="inlineStr">
        <is>
          <t>OK (≤ menor hist.)</t>
        </is>
      </c>
      <c r="O266" s="7" t="inlineStr"/>
    </row>
    <row r="267">
      <c r="A267" s="7" t="n">
        <v>631071</v>
      </c>
      <c r="B267" s="7" t="inlineStr"/>
      <c r="C267" s="12" t="inlineStr">
        <is>
          <t>7896007549252</t>
        </is>
      </c>
      <c r="D267" s="7" t="inlineStr">
        <is>
          <t>FRALDA HUGGIES TRIPLA HIPER M 92UN</t>
        </is>
      </c>
      <c r="E267" s="13" t="n">
        <v>1</v>
      </c>
      <c r="F267" s="13" t="n">
        <v>1</v>
      </c>
      <c r="G267" s="13" t="n">
        <v>1</v>
      </c>
      <c r="H267" s="8" t="n">
        <v>86.56999999999999</v>
      </c>
      <c r="I267" s="8">
        <f>G267*H267</f>
        <v/>
      </c>
      <c r="J267" s="8">
        <f>H267/E267</f>
        <v/>
      </c>
      <c r="K267" s="8" t="n">
        <v>80.73</v>
      </c>
      <c r="L267" s="8" t="n">
        <v>80.73</v>
      </c>
      <c r="M267" s="14">
        <f>J267/K267-1</f>
        <v/>
      </c>
      <c r="N267" s="7" t="inlineStr">
        <is>
          <t>ACIMA +7.2%</t>
        </is>
      </c>
      <c r="O267" s="7" t="inlineStr"/>
    </row>
    <row r="268">
      <c r="A268" s="7" t="n">
        <v>631091</v>
      </c>
      <c r="B268" s="7" t="inlineStr"/>
      <c r="C268" s="12" t="inlineStr">
        <is>
          <t>7896007551293</t>
        </is>
      </c>
      <c r="D268" s="7" t="inlineStr">
        <is>
          <t>FRALDA HUGGIES TRIPLA HIPER XXG 66</t>
        </is>
      </c>
      <c r="E268" s="13" t="n">
        <v>1</v>
      </c>
      <c r="F268" s="13" t="n">
        <v>2</v>
      </c>
      <c r="G268" s="13" t="n">
        <v>2</v>
      </c>
      <c r="H268" s="8" t="n">
        <v>86.56999999999999</v>
      </c>
      <c r="I268" s="8">
        <f>G268*H268</f>
        <v/>
      </c>
      <c r="J268" s="8">
        <f>H268/E268</f>
        <v/>
      </c>
      <c r="K268" s="8" t="n">
        <v>80.73</v>
      </c>
      <c r="L268" s="8" t="n">
        <v>80.73</v>
      </c>
      <c r="M268" s="14">
        <f>J268/K268-1</f>
        <v/>
      </c>
      <c r="N268" s="7" t="inlineStr">
        <is>
          <t>ACIMA +7.2%</t>
        </is>
      </c>
      <c r="O268" s="7" t="inlineStr"/>
    </row>
    <row r="269">
      <c r="A269" s="7" t="n">
        <v>556001</v>
      </c>
      <c r="B269" s="7" t="inlineStr"/>
      <c r="C269" s="12" t="inlineStr">
        <is>
          <t>7896007549696</t>
        </is>
      </c>
      <c r="D269" s="7" t="inlineStr">
        <is>
          <t>FRALDA SHORTINHO HUGGIES SUPREME CARE XG 24UN</t>
        </is>
      </c>
      <c r="E269" s="13" t="n">
        <v>1</v>
      </c>
      <c r="F269" s="13" t="n">
        <v>7</v>
      </c>
      <c r="G269" s="13" t="n">
        <v>7</v>
      </c>
      <c r="H269" s="8" t="n">
        <v>51.34</v>
      </c>
      <c r="I269" s="8">
        <f>G269*H269</f>
        <v/>
      </c>
      <c r="J269" s="8">
        <f>H269/E269</f>
        <v/>
      </c>
      <c r="K269" s="8" t="n">
        <v>47.7</v>
      </c>
      <c r="L269" s="8" t="n">
        <v>44.7033</v>
      </c>
      <c r="M269" s="14">
        <f>J269/K269-1</f>
        <v/>
      </c>
      <c r="N269" s="7" t="inlineStr">
        <is>
          <t>ACIMA +7.6%</t>
        </is>
      </c>
      <c r="O269" s="7" t="inlineStr">
        <is>
          <t>estoque parcial (6 un)</t>
        </is>
      </c>
    </row>
    <row r="270">
      <c r="A270" s="7" t="n">
        <v>556021</v>
      </c>
      <c r="B270" s="7" t="inlineStr"/>
      <c r="C270" s="12" t="inlineStr">
        <is>
          <t>7896007549702</t>
        </is>
      </c>
      <c r="D270" s="7" t="inlineStr">
        <is>
          <t>FRALDA SHORTINHO HUGGIES SUPREME CARE XXG 24UN</t>
        </is>
      </c>
      <c r="E270" s="13" t="n">
        <v>1</v>
      </c>
      <c r="F270" s="13" t="n">
        <v>3</v>
      </c>
      <c r="G270" s="13" t="n">
        <v>3</v>
      </c>
      <c r="H270" s="8" t="n">
        <v>51.34</v>
      </c>
      <c r="I270" s="8">
        <f>G270*H270</f>
        <v/>
      </c>
      <c r="J270" s="8">
        <f>H270/E270</f>
        <v/>
      </c>
      <c r="K270" s="8" t="n">
        <v>50.0233</v>
      </c>
      <c r="L270" s="8" t="n">
        <v>50.0233</v>
      </c>
      <c r="M270" s="14">
        <f>J270/K270-1</f>
        <v/>
      </c>
      <c r="N270" s="7" t="inlineStr">
        <is>
          <t>ACIMA +2.6%</t>
        </is>
      </c>
      <c r="O270" s="7" t="inlineStr"/>
    </row>
    <row r="271">
      <c r="A271" s="7" t="n">
        <v>613481</v>
      </c>
      <c r="B271" s="7" t="inlineStr"/>
      <c r="C271" s="12" t="inlineStr">
        <is>
          <t>7896770900267</t>
        </is>
      </c>
      <c r="D271" s="7" t="inlineStr">
        <is>
          <t>FRD AD TENA CONF MEGA M 26UN</t>
        </is>
      </c>
      <c r="E271" s="13" t="n">
        <v>1</v>
      </c>
      <c r="F271" s="13" t="n">
        <v>2</v>
      </c>
      <c r="G271" s="13" t="n">
        <v>2</v>
      </c>
      <c r="H271" s="8" t="n">
        <v>61.09059999999999</v>
      </c>
      <c r="I271" s="8">
        <f>G271*H271</f>
        <v/>
      </c>
      <c r="J271" s="8">
        <f>H271/E271</f>
        <v/>
      </c>
      <c r="K271" s="8" t="n">
        <v>46.98</v>
      </c>
      <c r="L271" s="8" t="n">
        <v>46.98</v>
      </c>
      <c r="M271" s="14">
        <f>J271/K271-1</f>
        <v/>
      </c>
      <c r="N271" s="7" t="inlineStr">
        <is>
          <t>ACIMA +30.0%</t>
        </is>
      </c>
      <c r="O271" s="7" t="inlineStr"/>
    </row>
    <row r="272">
      <c r="A272" s="7" t="n">
        <v>628181</v>
      </c>
      <c r="B272" s="7" t="inlineStr"/>
      <c r="C272" s="12" t="inlineStr">
        <is>
          <t>7896770902612</t>
        </is>
      </c>
      <c r="D272" s="7" t="inlineStr">
        <is>
          <t>FRD AD TENA CONF. MEGA EG 18</t>
        </is>
      </c>
      <c r="E272" s="13" t="n">
        <v>1</v>
      </c>
      <c r="F272" s="13" t="n">
        <v>1</v>
      </c>
      <c r="G272" s="13" t="n">
        <v>1</v>
      </c>
      <c r="H272" s="8" t="n">
        <v>61.09059999999999</v>
      </c>
      <c r="I272" s="8">
        <f>G272*H272</f>
        <v/>
      </c>
      <c r="J272" s="8">
        <f>H272/E272</f>
        <v/>
      </c>
      <c r="K272" s="8" t="n">
        <v>44.42</v>
      </c>
      <c r="L272" s="8" t="n">
        <v>44.42</v>
      </c>
      <c r="M272" s="14">
        <f>J272/K272-1</f>
        <v/>
      </c>
      <c r="N272" s="7" t="inlineStr">
        <is>
          <t>ACIMA +37.5%</t>
        </is>
      </c>
      <c r="O272" s="7" t="inlineStr"/>
    </row>
    <row r="273">
      <c r="A273" s="7" t="n">
        <v>628221</v>
      </c>
      <c r="B273" s="7" t="inlineStr"/>
      <c r="C273" s="12" t="inlineStr">
        <is>
          <t>7896770979348</t>
        </is>
      </c>
      <c r="D273" s="7" t="inlineStr">
        <is>
          <t>FRD AD TENA PANT CONF G/EG C/16</t>
        </is>
      </c>
      <c r="E273" s="13" t="n">
        <v>1</v>
      </c>
      <c r="F273" s="13" t="n">
        <v>1</v>
      </c>
      <c r="G273" s="13" t="n">
        <v>1</v>
      </c>
      <c r="H273" s="8" t="n">
        <v>61.28</v>
      </c>
      <c r="I273" s="8">
        <f>G273*H273</f>
        <v/>
      </c>
      <c r="J273" s="8">
        <f>H273/E273</f>
        <v/>
      </c>
      <c r="K273" s="8" t="n">
        <v>45.72</v>
      </c>
      <c r="L273" s="8" t="n">
        <v>45.72</v>
      </c>
      <c r="M273" s="14">
        <f>J273/K273-1</f>
        <v/>
      </c>
      <c r="N273" s="7" t="inlineStr">
        <is>
          <t>ACIMA +34.0%</t>
        </is>
      </c>
      <c r="O273" s="7" t="inlineStr"/>
    </row>
    <row r="274">
      <c r="A274" s="7" t="n">
        <v>628211</v>
      </c>
      <c r="B274" s="7" t="inlineStr"/>
      <c r="C274" s="12" t="inlineStr">
        <is>
          <t>7896770982140</t>
        </is>
      </c>
      <c r="D274" s="7" t="inlineStr">
        <is>
          <t>FRD AD TENA PANTS CONF G/EG C/32</t>
        </is>
      </c>
      <c r="E274" s="13" t="n">
        <v>1</v>
      </c>
      <c r="F274" s="13" t="n">
        <v>1</v>
      </c>
      <c r="G274" s="13" t="n">
        <v>1</v>
      </c>
      <c r="H274" s="8" t="n">
        <v>105.245</v>
      </c>
      <c r="I274" s="8">
        <f>G274*H274</f>
        <v/>
      </c>
      <c r="J274" s="8">
        <f>H274/E274</f>
        <v/>
      </c>
      <c r="K274" s="8" t="n">
        <v>64.91330000000001</v>
      </c>
      <c r="L274" s="8" t="n">
        <v>64.91330000000001</v>
      </c>
      <c r="M274" s="14">
        <f>J274/K274-1</f>
        <v/>
      </c>
      <c r="N274" s="7" t="inlineStr">
        <is>
          <t>ACIMA +62.1%</t>
        </is>
      </c>
      <c r="O274" s="7" t="inlineStr"/>
    </row>
    <row r="275">
      <c r="A275" s="7" t="n">
        <v>628241</v>
      </c>
      <c r="B275" s="7" t="inlineStr"/>
      <c r="C275" s="12" t="inlineStr">
        <is>
          <t>7896770980160</t>
        </is>
      </c>
      <c r="D275" s="7" t="inlineStr">
        <is>
          <t>FRD AD TENA PANTS CONF P/M C/24</t>
        </is>
      </c>
      <c r="E275" s="13" t="n">
        <v>1</v>
      </c>
      <c r="F275" s="13" t="n">
        <v>1</v>
      </c>
      <c r="G275" s="13" t="n">
        <v>1</v>
      </c>
      <c r="H275" s="8" t="n">
        <v>86.47550000000001</v>
      </c>
      <c r="I275" s="8">
        <f>G275*H275</f>
        <v/>
      </c>
      <c r="J275" s="8">
        <f>H275/E275</f>
        <v/>
      </c>
      <c r="K275" s="8" t="n">
        <v>66.51000000000001</v>
      </c>
      <c r="L275" s="8" t="n">
        <v>66.51000000000001</v>
      </c>
      <c r="M275" s="14">
        <f>J275/K275-1</f>
        <v/>
      </c>
      <c r="N275" s="7" t="inlineStr">
        <is>
          <t>ACIMA +30.0%</t>
        </is>
      </c>
      <c r="O275" s="7" t="inlineStr"/>
    </row>
    <row r="276">
      <c r="A276" s="7" t="n">
        <v>628261</v>
      </c>
      <c r="B276" s="7" t="inlineStr"/>
      <c r="C276" s="12" t="inlineStr">
        <is>
          <t>7896770980146</t>
        </is>
      </c>
      <c r="D276" s="7" t="inlineStr">
        <is>
          <t>FRD AD TENA SLIP NOT M C/7</t>
        </is>
      </c>
      <c r="E276" s="13" t="n">
        <v>1</v>
      </c>
      <c r="F276" s="13" t="n">
        <v>1</v>
      </c>
      <c r="G276" s="13" t="n">
        <v>1</v>
      </c>
      <c r="H276" s="8" t="n">
        <v>33.95</v>
      </c>
      <c r="I276" s="8">
        <f>G276*H276</f>
        <v/>
      </c>
      <c r="J276" s="8">
        <f>H276/E276</f>
        <v/>
      </c>
      <c r="K276" s="8" t="n">
        <v>29.6</v>
      </c>
      <c r="L276" s="8" t="n">
        <v>29.6</v>
      </c>
      <c r="M276" s="14">
        <f>J276/K276-1</f>
        <v/>
      </c>
      <c r="N276" s="7" t="inlineStr">
        <is>
          <t>ACIMA +14.7%</t>
        </is>
      </c>
      <c r="O276" s="7" t="inlineStr"/>
    </row>
    <row r="277">
      <c r="A277" s="7" t="n">
        <v>644911</v>
      </c>
      <c r="B277" s="7" t="inlineStr"/>
      <c r="C277" s="12" t="inlineStr">
        <is>
          <t>7896770979850</t>
        </is>
      </c>
      <c r="D277" s="7" t="inlineStr">
        <is>
          <t>FRD BIOFRAL CLASSIC GENERIC XG C/24</t>
        </is>
      </c>
      <c r="E277" s="13" t="n">
        <v>1</v>
      </c>
      <c r="F277" s="13" t="n">
        <v>1</v>
      </c>
      <c r="G277" s="13" t="n">
        <v>1</v>
      </c>
      <c r="H277" s="8" t="n">
        <v>65.22279999999999</v>
      </c>
      <c r="I277" s="8">
        <f>G277*H277</f>
        <v/>
      </c>
      <c r="J277" s="8">
        <f>H277/E277</f>
        <v/>
      </c>
      <c r="K277" s="8" t="n">
        <v>49.06</v>
      </c>
      <c r="L277" s="8" t="n">
        <v>49.06</v>
      </c>
      <c r="M277" s="14">
        <f>J277/K277-1</f>
        <v/>
      </c>
      <c r="N277" s="7" t="inlineStr">
        <is>
          <t>ACIMA +32.9%</t>
        </is>
      </c>
      <c r="O277" s="7" t="inlineStr"/>
    </row>
    <row r="278">
      <c r="A278" s="7" t="n">
        <v>652231</v>
      </c>
      <c r="B278" s="7" t="inlineStr"/>
      <c r="C278" s="12" t="inlineStr">
        <is>
          <t>7896770980054</t>
        </is>
      </c>
      <c r="D278" s="7" t="inlineStr">
        <is>
          <t>FRD GER TENA PANTS NOTURNA REG P/M C/7</t>
        </is>
      </c>
      <c r="E278" s="13" t="n">
        <v>1</v>
      </c>
      <c r="F278" s="13" t="n">
        <v>2</v>
      </c>
      <c r="G278" s="13" t="n">
        <v>2</v>
      </c>
      <c r="H278" s="8" t="n">
        <v>35.9967</v>
      </c>
      <c r="I278" s="8">
        <f>G278*H278</f>
        <v/>
      </c>
      <c r="J278" s="8">
        <f>H278/E278</f>
        <v/>
      </c>
      <c r="K278" s="8" t="n">
        <v>27.9</v>
      </c>
      <c r="L278" s="8" t="n">
        <v>27.9</v>
      </c>
      <c r="M278" s="14">
        <f>J278/K278-1</f>
        <v/>
      </c>
      <c r="N278" s="7" t="inlineStr">
        <is>
          <t>ACIMA +29.0%</t>
        </is>
      </c>
      <c r="O278" s="7" t="inlineStr"/>
    </row>
    <row r="279">
      <c r="A279" s="7" t="n">
        <v>594871</v>
      </c>
      <c r="B279" s="7" t="inlineStr"/>
      <c r="C279" s="12" t="inlineStr">
        <is>
          <t>7896007548408</t>
        </is>
      </c>
      <c r="D279" s="7" t="inlineStr">
        <is>
          <t>FRD HUG SUPR CARE MEG M 40UN</t>
        </is>
      </c>
      <c r="E279" s="13" t="n">
        <v>1</v>
      </c>
      <c r="F279" s="13" t="n">
        <v>1</v>
      </c>
      <c r="G279" s="13" t="n">
        <v>1</v>
      </c>
      <c r="H279" s="8" t="n">
        <v>56.4</v>
      </c>
      <c r="I279" s="8">
        <f>G279*H279</f>
        <v/>
      </c>
      <c r="J279" s="8">
        <f>H279/E279</f>
        <v/>
      </c>
      <c r="K279" s="8" t="n">
        <v>51.9075</v>
      </c>
      <c r="L279" s="8" t="n">
        <v>51.9075</v>
      </c>
      <c r="M279" s="14">
        <f>J279/K279-1</f>
        <v/>
      </c>
      <c r="N279" s="7" t="inlineStr">
        <is>
          <t>ACIMA +8.7%</t>
        </is>
      </c>
      <c r="O279" s="7" t="inlineStr"/>
    </row>
    <row r="280">
      <c r="A280" s="7" t="n">
        <v>617451</v>
      </c>
      <c r="B280" s="7" t="inlineStr"/>
      <c r="C280" s="12" t="inlineStr">
        <is>
          <t>17896007552983</t>
        </is>
      </c>
      <c r="D280" s="7" t="inlineStr">
        <is>
          <t>FRD PLENIT CLASSIC G/XG 16UN</t>
        </is>
      </c>
      <c r="E280" s="13" t="n">
        <v>1</v>
      </c>
      <c r="F280" s="13" t="n">
        <v>1</v>
      </c>
      <c r="G280" s="13" t="n">
        <v>1</v>
      </c>
      <c r="H280" s="8" t="n">
        <v>59.83</v>
      </c>
      <c r="I280" s="8">
        <f>G280*H280</f>
        <v/>
      </c>
      <c r="J280" s="8">
        <f>H280/E280</f>
        <v/>
      </c>
      <c r="K280" s="8" t="n">
        <v>42.24</v>
      </c>
      <c r="L280" s="8" t="n">
        <v>42.24</v>
      </c>
      <c r="M280" s="14">
        <f>J280/K280-1</f>
        <v/>
      </c>
      <c r="N280" s="7" t="inlineStr">
        <is>
          <t>ACIMA +41.6%</t>
        </is>
      </c>
      <c r="O280" s="7" t="inlineStr"/>
    </row>
    <row r="281">
      <c r="A281" s="7" t="n">
        <v>617461</v>
      </c>
      <c r="B281" s="7" t="inlineStr"/>
      <c r="C281" s="12" t="inlineStr">
        <is>
          <t>17896007552969</t>
        </is>
      </c>
      <c r="D281" s="7" t="inlineStr">
        <is>
          <t>FRD PLENIT CLASSIC G/XG 8UN</t>
        </is>
      </c>
      <c r="E281" s="13" t="n">
        <v>1</v>
      </c>
      <c r="F281" s="13" t="n">
        <v>1</v>
      </c>
      <c r="G281" s="13" t="n">
        <v>1</v>
      </c>
      <c r="H281" s="8" t="n">
        <v>31.35</v>
      </c>
      <c r="I281" s="8">
        <f>G281*H281</f>
        <v/>
      </c>
      <c r="J281" s="8">
        <f>H281/E281</f>
        <v/>
      </c>
      <c r="K281" s="8" t="n">
        <v>22.4625</v>
      </c>
      <c r="L281" s="8" t="n">
        <v>22.4625</v>
      </c>
      <c r="M281" s="14">
        <f>J281/K281-1</f>
        <v/>
      </c>
      <c r="N281" s="7" t="inlineStr">
        <is>
          <t>ACIMA +39.6%</t>
        </is>
      </c>
      <c r="O281" s="7" t="inlineStr"/>
    </row>
    <row r="282">
      <c r="A282" s="7" t="n">
        <v>617471</v>
      </c>
      <c r="B282" s="7" t="inlineStr"/>
      <c r="C282" s="12" t="inlineStr">
        <is>
          <t>17896007552976</t>
        </is>
      </c>
      <c r="D282" s="7" t="inlineStr">
        <is>
          <t>FRD PLENIT CLASSIC P/M 16UN</t>
        </is>
      </c>
      <c r="E282" s="13" t="n">
        <v>1</v>
      </c>
      <c r="F282" s="13" t="n">
        <v>1</v>
      </c>
      <c r="G282" s="13" t="n">
        <v>1</v>
      </c>
      <c r="H282" s="8" t="n">
        <v>59.83</v>
      </c>
      <c r="I282" s="8">
        <f>G282*H282</f>
        <v/>
      </c>
      <c r="J282" s="8">
        <f>H282/E282</f>
        <v/>
      </c>
      <c r="K282" s="8" t="n">
        <v>36.36</v>
      </c>
      <c r="L282" s="8" t="n">
        <v>36.36</v>
      </c>
      <c r="M282" s="14">
        <f>J282/K282-1</f>
        <v/>
      </c>
      <c r="N282" s="7" t="inlineStr">
        <is>
          <t>ACIMA +64.5%</t>
        </is>
      </c>
      <c r="O282" s="7" t="inlineStr"/>
    </row>
    <row r="283">
      <c r="A283" s="7" t="n">
        <v>564521</v>
      </c>
      <c r="B283" s="7" t="inlineStr"/>
      <c r="C283" s="12" t="inlineStr">
        <is>
          <t>7896007547173</t>
        </is>
      </c>
      <c r="D283" s="7" t="inlineStr">
        <is>
          <t>FRD PLENIT PROT PLUS G/XG 8</t>
        </is>
      </c>
      <c r="E283" s="13" t="n">
        <v>1</v>
      </c>
      <c r="F283" s="13" t="n">
        <v>1</v>
      </c>
      <c r="G283" s="13" t="n">
        <v>1</v>
      </c>
      <c r="H283" s="8" t="n">
        <v>34.83</v>
      </c>
      <c r="I283" s="8">
        <f>G283*H283</f>
        <v/>
      </c>
      <c r="J283" s="8">
        <f>H283/E283</f>
        <v/>
      </c>
      <c r="K283" s="8" t="n">
        <v>25.045</v>
      </c>
      <c r="L283" s="8" t="n">
        <v>25.045</v>
      </c>
      <c r="M283" s="14">
        <f>J283/K283-1</f>
        <v/>
      </c>
      <c r="N283" s="7" t="inlineStr">
        <is>
          <t>ACIMA +39.1%</t>
        </is>
      </c>
      <c r="O283" s="7" t="inlineStr">
        <is>
          <t>estoque parcial (3 un)</t>
        </is>
      </c>
    </row>
    <row r="284">
      <c r="A284" s="7" t="n">
        <v>637311</v>
      </c>
      <c r="B284" s="7" t="inlineStr"/>
      <c r="C284" s="12" t="inlineStr">
        <is>
          <t>7896770900250</t>
        </is>
      </c>
      <c r="D284" s="7" t="inlineStr">
        <is>
          <t>FRD TENA CONFORT P C/30</t>
        </is>
      </c>
      <c r="E284" s="13" t="n">
        <v>1</v>
      </c>
      <c r="F284" s="13" t="n">
        <v>1</v>
      </c>
      <c r="G284" s="13" t="n">
        <v>1</v>
      </c>
      <c r="H284" s="8" t="n">
        <v>61.09059999999999</v>
      </c>
      <c r="I284" s="8">
        <f>G284*H284</f>
        <v/>
      </c>
      <c r="J284" s="8">
        <f>H284/E284</f>
        <v/>
      </c>
      <c r="K284" s="8" t="n">
        <v>44.42</v>
      </c>
      <c r="L284" s="8" t="n">
        <v>44.42</v>
      </c>
      <c r="M284" s="14">
        <f>J284/K284-1</f>
        <v/>
      </c>
      <c r="N284" s="7" t="inlineStr">
        <is>
          <t>ACIMA +37.5%</t>
        </is>
      </c>
      <c r="O284" s="7" t="inlineStr"/>
    </row>
    <row r="285">
      <c r="A285" s="7" t="n">
        <v>670071</v>
      </c>
      <c r="B285" s="7" t="inlineStr"/>
      <c r="C285" s="12" t="inlineStr">
        <is>
          <t>17896770982864</t>
        </is>
      </c>
      <c r="D285" s="7" t="inlineStr">
        <is>
          <t>FRD.AD.TENA PANT.DE.G 4X16 OF</t>
        </is>
      </c>
      <c r="E285" s="13" t="n">
        <v>1</v>
      </c>
      <c r="F285" s="13" t="n">
        <v>1</v>
      </c>
      <c r="G285" s="13" t="n">
        <v>1</v>
      </c>
      <c r="H285" s="8" t="n">
        <v>59.9266</v>
      </c>
      <c r="I285" s="8">
        <f>G285*H285</f>
        <v/>
      </c>
      <c r="J285" s="8">
        <f>H285/E285</f>
        <v/>
      </c>
      <c r="K285" s="8" t="n">
        <v>39.0775</v>
      </c>
      <c r="L285" s="8" t="n">
        <v>39.0775</v>
      </c>
      <c r="M285" s="14">
        <f>J285/K285-1</f>
        <v/>
      </c>
      <c r="N285" s="7" t="inlineStr">
        <is>
          <t>ACIMA +53.4%</t>
        </is>
      </c>
      <c r="O285" s="7" t="inlineStr"/>
    </row>
    <row r="286">
      <c r="A286" s="7" t="n">
        <v>670571</v>
      </c>
      <c r="B286" s="7" t="inlineStr"/>
      <c r="C286" s="12" t="inlineStr">
        <is>
          <t>7898216368037</t>
        </is>
      </c>
      <c r="D286" s="7" t="inlineStr">
        <is>
          <t>GARDENAL 100MG C/20 COMP (C1)-REFERENCIA</t>
        </is>
      </c>
      <c r="E286" s="13" t="n">
        <v>1</v>
      </c>
      <c r="F286" s="13" t="n">
        <v>2</v>
      </c>
      <c r="G286" s="13" t="n">
        <v>2</v>
      </c>
      <c r="H286" s="8" t="n">
        <v>9.468</v>
      </c>
      <c r="I286" s="8">
        <f>G286*H286</f>
        <v/>
      </c>
      <c r="J286" s="8">
        <f>H286/E286</f>
        <v/>
      </c>
      <c r="K286" s="8" t="n">
        <v>9.4094</v>
      </c>
      <c r="L286" s="8" t="n">
        <v>9.4094</v>
      </c>
      <c r="M286" s="14">
        <f>J286/K286-1</f>
        <v/>
      </c>
      <c r="N286" s="7" t="inlineStr">
        <is>
          <t>ACIMA +0.6%</t>
        </is>
      </c>
      <c r="O286" s="7" t="inlineStr"/>
    </row>
    <row r="287">
      <c r="A287" s="7" t="n">
        <v>630831</v>
      </c>
      <c r="B287" s="7" t="inlineStr"/>
      <c r="C287" s="12" t="inlineStr">
        <is>
          <t>7899706178129</t>
        </is>
      </c>
      <c r="D287" s="7" t="inlineStr">
        <is>
          <t>GARNIER AGUA MICELAR 400ML TUDO EM 1</t>
        </is>
      </c>
      <c r="E287" s="13" t="n">
        <v>1</v>
      </c>
      <c r="F287" s="13" t="n">
        <v>1</v>
      </c>
      <c r="G287" s="13" t="n">
        <v>1</v>
      </c>
      <c r="H287" s="8" t="n">
        <v>45.67</v>
      </c>
      <c r="I287" s="8">
        <f>G287*H287</f>
        <v/>
      </c>
      <c r="J287" s="8">
        <f>H287/E287</f>
        <v/>
      </c>
      <c r="K287" s="8" t="n">
        <v>44.69</v>
      </c>
      <c r="L287" s="8" t="n">
        <v>44.69</v>
      </c>
      <c r="M287" s="14">
        <f>J287/K287-1</f>
        <v/>
      </c>
      <c r="N287" s="7" t="inlineStr">
        <is>
          <t>ACIMA +2.2%</t>
        </is>
      </c>
      <c r="O287" s="7" t="inlineStr"/>
    </row>
    <row r="288">
      <c r="A288" s="7" t="n">
        <v>672141</v>
      </c>
      <c r="B288" s="7" t="inlineStr"/>
      <c r="C288" s="12" t="inlineStr">
        <is>
          <t>7908785422136</t>
        </is>
      </c>
      <c r="D288" s="7" t="inlineStr">
        <is>
          <t>GARNIER HIDRAT FAC ANTIACNE 85G-DEMAIS PROD</t>
        </is>
      </c>
      <c r="E288" s="13" t="n">
        <v>1</v>
      </c>
      <c r="F288" s="13" t="n">
        <v>1</v>
      </c>
      <c r="G288" s="13" t="n">
        <v>1</v>
      </c>
      <c r="H288" s="8" t="n">
        <v>30.21</v>
      </c>
      <c r="I288" s="8">
        <f>G288*H288</f>
        <v/>
      </c>
      <c r="J288" s="8">
        <f>H288/E288</f>
        <v/>
      </c>
      <c r="K288" s="8" t="n">
        <v>24.4</v>
      </c>
      <c r="L288" s="8" t="n">
        <v>24.4</v>
      </c>
      <c r="M288" s="14">
        <f>J288/K288-1</f>
        <v/>
      </c>
      <c r="N288" s="7" t="inlineStr">
        <is>
          <t>ACIMA +23.8%</t>
        </is>
      </c>
      <c r="O288" s="7" t="inlineStr"/>
    </row>
    <row r="289">
      <c r="A289" s="7" t="n">
        <v>365461</v>
      </c>
      <c r="B289" s="7" t="inlineStr"/>
      <c r="C289" s="12" t="inlineStr">
        <is>
          <t>7891317489595</t>
        </is>
      </c>
      <c r="D289" s="7" t="inlineStr">
        <is>
          <t>GINNA 0,02G CREM VAG BG 40G+7APLIC</t>
        </is>
      </c>
      <c r="E289" s="13" t="n">
        <v>1</v>
      </c>
      <c r="F289" s="13" t="n">
        <v>1</v>
      </c>
      <c r="G289" s="13" t="n">
        <v>1</v>
      </c>
      <c r="H289" s="8" t="n">
        <v>37.99460000000001</v>
      </c>
      <c r="I289" s="8">
        <f>G289*H289</f>
        <v/>
      </c>
      <c r="J289" s="8">
        <f>H289/E289</f>
        <v/>
      </c>
      <c r="K289" s="8" t="n">
        <v>37.45</v>
      </c>
      <c r="L289" s="8" t="n">
        <v>33.595</v>
      </c>
      <c r="M289" s="14">
        <f>J289/K289-1</f>
        <v/>
      </c>
      <c r="N289" s="7" t="inlineStr">
        <is>
          <t>ACIMA +1.5%</t>
        </is>
      </c>
      <c r="O289" s="7" t="inlineStr"/>
    </row>
    <row r="290">
      <c r="A290" s="7" t="n">
        <v>672581</v>
      </c>
      <c r="B290" s="7" t="inlineStr"/>
      <c r="C290" s="12" t="inlineStr">
        <is>
          <t>7891106916561</t>
        </is>
      </c>
      <c r="D290" s="7" t="inlineStr">
        <is>
          <t>GINO CANESTEN PURO CUIDADO 200ML-DEMAIS PROD</t>
        </is>
      </c>
      <c r="E290" s="13" t="n">
        <v>1</v>
      </c>
      <c r="F290" s="13" t="n">
        <v>2</v>
      </c>
      <c r="G290" s="13" t="n">
        <v>2</v>
      </c>
      <c r="H290" s="8" t="n">
        <v>23.086</v>
      </c>
      <c r="I290" s="8">
        <f>G290*H290</f>
        <v/>
      </c>
      <c r="J290" s="8">
        <f>H290/E290</f>
        <v/>
      </c>
      <c r="K290" s="8" t="n">
        <v>18.34</v>
      </c>
      <c r="L290" s="8" t="n">
        <v>18.34</v>
      </c>
      <c r="M290" s="14">
        <f>J290/K290-1</f>
        <v/>
      </c>
      <c r="N290" s="7" t="inlineStr">
        <is>
          <t>ACIMA +25.9%</t>
        </is>
      </c>
      <c r="O290" s="7" t="inlineStr"/>
    </row>
    <row r="291">
      <c r="A291" s="7" t="n">
        <v>584761</v>
      </c>
      <c r="B291" s="7" t="inlineStr"/>
      <c r="C291" s="12" t="inlineStr">
        <is>
          <t>7896902217614</t>
        </is>
      </c>
      <c r="D291" s="7" t="inlineStr">
        <is>
          <t>GLICERINA PURA 100ML</t>
        </is>
      </c>
      <c r="E291" s="13" t="n">
        <v>1</v>
      </c>
      <c r="F291" s="13" t="n">
        <v>6</v>
      </c>
      <c r="G291" s="13" t="n">
        <v>6</v>
      </c>
      <c r="H291" s="8" t="n">
        <v>6.42</v>
      </c>
      <c r="I291" s="8">
        <f>G291*H291</f>
        <v/>
      </c>
      <c r="J291" s="8">
        <f>H291/E291</f>
        <v/>
      </c>
      <c r="K291" s="8" t="n">
        <v>6.04</v>
      </c>
      <c r="L291" s="8" t="n">
        <v>5.85</v>
      </c>
      <c r="M291" s="14">
        <f>J291/K291-1</f>
        <v/>
      </c>
      <c r="N291" s="7" t="inlineStr">
        <is>
          <t>ACIMA +6.3%</t>
        </is>
      </c>
      <c r="O291" s="7" t="inlineStr"/>
    </row>
    <row r="292">
      <c r="A292" s="7" t="n">
        <v>499461</v>
      </c>
      <c r="B292" s="7" t="inlineStr"/>
      <c r="C292" s="12" t="inlineStr">
        <is>
          <t>7896523210926</t>
        </is>
      </c>
      <c r="D292" s="7" t="inlineStr">
        <is>
          <t>GLIMEPIRIDA 2MG CX 30 COMP</t>
        </is>
      </c>
      <c r="E292" s="13" t="n">
        <v>1</v>
      </c>
      <c r="F292" s="13" t="n">
        <v>3</v>
      </c>
      <c r="G292" s="13" t="n">
        <v>3</v>
      </c>
      <c r="H292" s="8" t="n">
        <v>28.04</v>
      </c>
      <c r="I292" s="8">
        <f>G292*H292</f>
        <v/>
      </c>
      <c r="J292" s="8">
        <f>H292/E292</f>
        <v/>
      </c>
      <c r="K292" s="8" t="n">
        <v>2.49</v>
      </c>
      <c r="L292" s="8" t="n">
        <v>2.39</v>
      </c>
      <c r="M292" s="14">
        <f>J292/K292-1</f>
        <v/>
      </c>
      <c r="N292" s="7" t="inlineStr">
        <is>
          <t>ACIMA +1026.1%</t>
        </is>
      </c>
      <c r="O292" s="7" t="inlineStr">
        <is>
          <t>conferir emb.</t>
        </is>
      </c>
    </row>
    <row r="293">
      <c r="A293" s="7" t="n">
        <v>663841</v>
      </c>
      <c r="B293" s="7" t="inlineStr"/>
      <c r="C293" s="12" t="inlineStr">
        <is>
          <t>7891158106835</t>
        </is>
      </c>
      <c r="D293" s="7" t="inlineStr">
        <is>
          <t>GLUCERNA SR BAUNILHA 200ML-DEMAIS PROD</t>
        </is>
      </c>
      <c r="E293" s="13" t="n">
        <v>1</v>
      </c>
      <c r="F293" s="13" t="n">
        <v>1</v>
      </c>
      <c r="G293" s="13" t="n">
        <v>1</v>
      </c>
      <c r="H293" s="8" t="n">
        <v>16.9302</v>
      </c>
      <c r="I293" s="8">
        <f>G293*H293</f>
        <v/>
      </c>
      <c r="J293" s="8">
        <f>H293/E293</f>
        <v/>
      </c>
      <c r="K293" s="8" t="n">
        <v>14.855</v>
      </c>
      <c r="L293" s="8" t="n">
        <v>14.855</v>
      </c>
      <c r="M293" s="14">
        <f>J293/K293-1</f>
        <v/>
      </c>
      <c r="N293" s="7" t="inlineStr">
        <is>
          <t>ACIMA +14.0%</t>
        </is>
      </c>
      <c r="O293" s="7" t="inlineStr"/>
    </row>
    <row r="294">
      <c r="A294" s="7" t="n">
        <v>669561</v>
      </c>
      <c r="B294" s="7" t="inlineStr"/>
      <c r="C294" s="12" t="inlineStr">
        <is>
          <t>7891158106842</t>
        </is>
      </c>
      <c r="D294" s="7" t="inlineStr">
        <is>
          <t>GLUCERNA SR CHOCOLATE 200ML-DEMAIS PROD</t>
        </is>
      </c>
      <c r="E294" s="13" t="n">
        <v>1</v>
      </c>
      <c r="F294" s="13" t="n">
        <v>1</v>
      </c>
      <c r="G294" s="13" t="n">
        <v>1</v>
      </c>
      <c r="H294" s="8" t="n">
        <v>16.9302</v>
      </c>
      <c r="I294" s="8">
        <f>G294*H294</f>
        <v/>
      </c>
      <c r="J294" s="8">
        <f>H294/E294</f>
        <v/>
      </c>
      <c r="K294" s="8" t="n">
        <v>14.12</v>
      </c>
      <c r="L294" s="8" t="n">
        <v>14.12</v>
      </c>
      <c r="M294" s="14">
        <f>J294/K294-1</f>
        <v/>
      </c>
      <c r="N294" s="7" t="inlineStr">
        <is>
          <t>ACIMA +19.9%</t>
        </is>
      </c>
      <c r="O294" s="7" t="inlineStr"/>
    </row>
    <row r="295">
      <c r="A295" s="7" t="n">
        <v>583441</v>
      </c>
      <c r="B295" s="7" t="inlineStr"/>
      <c r="C295" s="12" t="inlineStr">
        <is>
          <t>7896512944436</t>
        </is>
      </c>
      <c r="D295" s="7" t="inlineStr">
        <is>
          <t>GRANADO BEBE CR HID 120ML TRADICIONAL</t>
        </is>
      </c>
      <c r="E295" s="13" t="n">
        <v>1</v>
      </c>
      <c r="F295" s="13" t="n">
        <v>1</v>
      </c>
      <c r="G295" s="13" t="n">
        <v>1</v>
      </c>
      <c r="H295" s="8" t="n">
        <v>21.32</v>
      </c>
      <c r="I295" s="8">
        <f>G295*H295</f>
        <v/>
      </c>
      <c r="J295" s="8">
        <f>H295/E295</f>
        <v/>
      </c>
      <c r="K295" s="8" t="n">
        <v>21.65</v>
      </c>
      <c r="L295" s="8" t="n">
        <v>21.65</v>
      </c>
      <c r="M295" s="14">
        <f>J295/K295-1</f>
        <v/>
      </c>
      <c r="N295" s="7" t="inlineStr">
        <is>
          <t>OK (≤ menor hist.)</t>
        </is>
      </c>
      <c r="O295" s="7" t="inlineStr"/>
    </row>
    <row r="296">
      <c r="A296" s="7" t="n">
        <v>555481</v>
      </c>
      <c r="B296" s="7" t="inlineStr"/>
      <c r="C296" s="12" t="inlineStr">
        <is>
          <t>7898075311755</t>
        </is>
      </c>
      <c r="D296" s="7" t="inlineStr">
        <is>
          <t>GRAV TEST CLICK</t>
        </is>
      </c>
      <c r="E296" s="13" t="n">
        <v>1</v>
      </c>
      <c r="F296" s="13" t="n">
        <v>20</v>
      </c>
      <c r="G296" s="13" t="n">
        <v>20</v>
      </c>
      <c r="H296" s="8" t="n">
        <v>10.41</v>
      </c>
      <c r="I296" s="8">
        <f>G296*H296</f>
        <v/>
      </c>
      <c r="J296" s="8">
        <f>H296/E296</f>
        <v/>
      </c>
      <c r="K296" s="8" t="n">
        <v>9.09</v>
      </c>
      <c r="L296" s="8" t="n">
        <v>7.29</v>
      </c>
      <c r="M296" s="14">
        <f>J296/K296-1</f>
        <v/>
      </c>
      <c r="N296" s="7" t="inlineStr">
        <is>
          <t>ACIMA +14.5%</t>
        </is>
      </c>
      <c r="O296" s="7" t="inlineStr"/>
    </row>
    <row r="297">
      <c r="A297" s="7" t="n">
        <v>558721</v>
      </c>
      <c r="B297" s="7" t="inlineStr"/>
      <c r="C297" s="12" t="inlineStr">
        <is>
          <t>7898075310383</t>
        </is>
      </c>
      <c r="D297" s="7" t="inlineStr">
        <is>
          <t>GRAV TEST EASY</t>
        </is>
      </c>
      <c r="E297" s="13" t="n">
        <v>1</v>
      </c>
      <c r="F297" s="13" t="n">
        <v>93</v>
      </c>
      <c r="G297" s="13" t="n">
        <v>93</v>
      </c>
      <c r="H297" s="8" t="n">
        <v>3.63</v>
      </c>
      <c r="I297" s="8">
        <f>G297*H297</f>
        <v/>
      </c>
      <c r="J297" s="8">
        <f>H297/E297</f>
        <v/>
      </c>
      <c r="K297" s="8" t="n">
        <v>2.69</v>
      </c>
      <c r="L297" s="8" t="n">
        <v>1.99</v>
      </c>
      <c r="M297" s="14">
        <f>J297/K297-1</f>
        <v/>
      </c>
      <c r="N297" s="7" t="inlineStr">
        <is>
          <t>ACIMA +34.9%</t>
        </is>
      </c>
      <c r="O297" s="7" t="inlineStr"/>
    </row>
    <row r="298">
      <c r="A298" s="7" t="n">
        <v>626171</v>
      </c>
      <c r="B298" s="7" t="inlineStr"/>
      <c r="C298" s="12" t="inlineStr">
        <is>
          <t>7898185414865</t>
        </is>
      </c>
      <c r="D298" s="7" t="inlineStr">
        <is>
          <t>GUM ENXAGUANTE INF TROLLS 250ML</t>
        </is>
      </c>
      <c r="E298" s="13" t="n">
        <v>1</v>
      </c>
      <c r="F298" s="13" t="n">
        <v>1</v>
      </c>
      <c r="G298" s="13" t="n">
        <v>1</v>
      </c>
      <c r="H298" s="8" t="n">
        <v>13.1712</v>
      </c>
      <c r="I298" s="8">
        <f>G298*H298</f>
        <v/>
      </c>
      <c r="J298" s="8">
        <f>H298/E298</f>
        <v/>
      </c>
      <c r="K298" s="8" t="n">
        <v>11.245</v>
      </c>
      <c r="L298" s="8" t="n">
        <v>11.245</v>
      </c>
      <c r="M298" s="14">
        <f>J298/K298-1</f>
        <v/>
      </c>
      <c r="N298" s="7" t="inlineStr">
        <is>
          <t>ACIMA +17.1%</t>
        </is>
      </c>
      <c r="O298" s="7" t="inlineStr"/>
    </row>
    <row r="299">
      <c r="A299" s="7" t="n">
        <v>626251</v>
      </c>
      <c r="B299" s="7" t="inlineStr"/>
      <c r="C299" s="12" t="inlineStr">
        <is>
          <t>070942005142</t>
        </is>
      </c>
      <c r="D299" s="7" t="inlineStr">
        <is>
          <t>GUM ESC DENTAL MIRACULOUS MANUAL 2UN</t>
        </is>
      </c>
      <c r="E299" s="13" t="n">
        <v>1</v>
      </c>
      <c r="F299" s="13" t="n">
        <v>1</v>
      </c>
      <c r="G299" s="13" t="n">
        <v>1</v>
      </c>
      <c r="H299" s="8" t="n">
        <v>14.2176</v>
      </c>
      <c r="I299" s="8">
        <f>G299*H299</f>
        <v/>
      </c>
      <c r="J299" s="8">
        <f>H299/E299</f>
        <v/>
      </c>
      <c r="K299" s="8" t="n">
        <v>15.265</v>
      </c>
      <c r="L299" s="8" t="n">
        <v>15.265</v>
      </c>
      <c r="M299" s="14">
        <f>J299/K299-1</f>
        <v/>
      </c>
      <c r="N299" s="7" t="inlineStr">
        <is>
          <t>OK (≤ menor hist.)</t>
        </is>
      </c>
      <c r="O299" s="7" t="inlineStr"/>
    </row>
    <row r="300">
      <c r="A300" s="7" t="n">
        <v>554541</v>
      </c>
      <c r="B300" s="7" t="inlineStr"/>
      <c r="C300" s="12" t="inlineStr">
        <is>
          <t>7908134200040</t>
        </is>
      </c>
      <c r="D300" s="7" t="inlineStr">
        <is>
          <t>GYNOTRAN 750+200MG OVULO 1 STRIP X 7+14 DEDEIRAS</t>
        </is>
      </c>
      <c r="E300" s="13" t="n">
        <v>1</v>
      </c>
      <c r="F300" s="13" t="n">
        <v>2</v>
      </c>
      <c r="G300" s="13" t="n">
        <v>2</v>
      </c>
      <c r="H300" s="8" t="n">
        <v>87.41460000000001</v>
      </c>
      <c r="I300" s="8">
        <f>G300*H300</f>
        <v/>
      </c>
      <c r="J300" s="8">
        <f>H300/E300</f>
        <v/>
      </c>
      <c r="K300" s="8" t="n">
        <v>90.84</v>
      </c>
      <c r="L300" s="8" t="n">
        <v>84.2</v>
      </c>
      <c r="M300" s="14">
        <f>J300/K300-1</f>
        <v/>
      </c>
      <c r="N300" s="7" t="inlineStr">
        <is>
          <t>OK (≤ últ. compra)</t>
        </is>
      </c>
      <c r="O300" s="7" t="inlineStr"/>
    </row>
    <row r="301">
      <c r="A301" s="7" t="n">
        <v>648351</v>
      </c>
      <c r="B301" s="7" t="inlineStr"/>
      <c r="C301" s="12" t="inlineStr">
        <is>
          <t>7898108640623</t>
        </is>
      </c>
      <c r="D301" s="7" t="inlineStr">
        <is>
          <t>HASTES FLEX SANCARE 75UN</t>
        </is>
      </c>
      <c r="E301" s="13" t="n">
        <v>1</v>
      </c>
      <c r="F301" s="13" t="n">
        <v>1</v>
      </c>
      <c r="G301" s="13" t="n">
        <v>1</v>
      </c>
      <c r="H301" s="8" t="n">
        <v>1.767</v>
      </c>
      <c r="I301" s="8">
        <f>G301*H301</f>
        <v/>
      </c>
      <c r="J301" s="8">
        <f>H301/E301</f>
        <v/>
      </c>
      <c r="K301" s="8" t="n">
        <v>1.8442</v>
      </c>
      <c r="L301" s="8" t="n">
        <v>1.8442</v>
      </c>
      <c r="M301" s="14">
        <f>J301/K301-1</f>
        <v/>
      </c>
      <c r="N301" s="7" t="inlineStr">
        <is>
          <t>OK (≤ menor hist.)</t>
        </is>
      </c>
      <c r="O301" s="7" t="inlineStr"/>
    </row>
    <row r="302">
      <c r="A302" s="7" t="n">
        <v>275521</v>
      </c>
      <c r="B302" s="7" t="inlineStr"/>
      <c r="C302" s="12" t="inlineStr">
        <is>
          <t>7891721027017</t>
        </is>
      </c>
      <c r="D302" s="7" t="inlineStr">
        <is>
          <t>HEMIFUMARATO DE BISOPROLOL 10MG CX 30 COMP REV</t>
        </is>
      </c>
      <c r="E302" s="13" t="n">
        <v>1</v>
      </c>
      <c r="F302" s="13" t="n">
        <v>1</v>
      </c>
      <c r="G302" s="13" t="n">
        <v>1</v>
      </c>
      <c r="H302" s="8" t="n">
        <v>55.44</v>
      </c>
      <c r="I302" s="8">
        <f>G302*H302</f>
        <v/>
      </c>
      <c r="J302" s="8">
        <f>H302/E302</f>
        <v/>
      </c>
      <c r="K302" s="8" t="n">
        <v>27.72</v>
      </c>
      <c r="L302" s="8" t="n">
        <v>27.72</v>
      </c>
      <c r="M302" s="14">
        <f>J302/K302-1</f>
        <v/>
      </c>
      <c r="N302" s="7" t="inlineStr">
        <is>
          <t>ACIMA +100.0%</t>
        </is>
      </c>
      <c r="O302" s="7" t="inlineStr"/>
    </row>
    <row r="303">
      <c r="A303" s="7" t="n">
        <v>275641</v>
      </c>
      <c r="B303" s="7" t="inlineStr"/>
      <c r="C303" s="12" t="inlineStr">
        <is>
          <t>7896422522670</t>
        </is>
      </c>
      <c r="D303" s="7" t="inlineStr">
        <is>
          <t>HEMIFUMARATO DE BISOPROLOL 5MG CX 30 COMP REV</t>
        </is>
      </c>
      <c r="E303" s="13" t="n">
        <v>1</v>
      </c>
      <c r="F303" s="13" t="n">
        <v>1</v>
      </c>
      <c r="G303" s="13" t="n">
        <v>1</v>
      </c>
      <c r="H303" s="8" t="n">
        <v>46.942124</v>
      </c>
      <c r="I303" s="8">
        <f>G303*H303</f>
        <v/>
      </c>
      <c r="J303" s="8">
        <f>H303/E303</f>
        <v/>
      </c>
      <c r="K303" s="8" t="n">
        <v>24.6867</v>
      </c>
      <c r="L303" s="8" t="n">
        <v>19.7317</v>
      </c>
      <c r="M303" s="14">
        <f>J303/K303-1</f>
        <v/>
      </c>
      <c r="N303" s="7" t="inlineStr">
        <is>
          <t>ACIMA +90.2%</t>
        </is>
      </c>
      <c r="O303" s="7" t="inlineStr"/>
    </row>
    <row r="304">
      <c r="A304" s="7" t="n">
        <v>598351</v>
      </c>
      <c r="B304" s="7" t="inlineStr"/>
      <c r="C304" s="12" t="inlineStr">
        <is>
          <t>7896512944443</t>
        </is>
      </c>
      <c r="D304" s="7" t="inlineStr">
        <is>
          <t>HID INF GRANADO BEBE 120ML LAVANDA</t>
        </is>
      </c>
      <c r="E304" s="13" t="n">
        <v>1</v>
      </c>
      <c r="F304" s="13" t="n">
        <v>1</v>
      </c>
      <c r="G304" s="13" t="n">
        <v>1</v>
      </c>
      <c r="H304" s="8" t="n">
        <v>21.32</v>
      </c>
      <c r="I304" s="8">
        <f>G304*H304</f>
        <v/>
      </c>
      <c r="J304" s="8">
        <f>H304/E304</f>
        <v/>
      </c>
      <c r="K304" s="8" t="n">
        <v>21.65</v>
      </c>
      <c r="L304" s="8" t="n">
        <v>21.65</v>
      </c>
      <c r="M304" s="14">
        <f>J304/K304-1</f>
        <v/>
      </c>
      <c r="N304" s="7" t="inlineStr">
        <is>
          <t>OK (≤ menor hist.)</t>
        </is>
      </c>
      <c r="O304" s="7" t="inlineStr"/>
    </row>
    <row r="305">
      <c r="A305" s="7" t="n">
        <v>626321</v>
      </c>
      <c r="B305" s="7" t="inlineStr"/>
      <c r="C305" s="12" t="inlineStr">
        <is>
          <t>7898040325008</t>
        </is>
      </c>
      <c r="D305" s="7" t="inlineStr">
        <is>
          <t>HIDRAFEMME GEL 24G C/ 8 APLIC</t>
        </is>
      </c>
      <c r="E305" s="13" t="n">
        <v>1</v>
      </c>
      <c r="F305" s="13" t="n">
        <v>2</v>
      </c>
      <c r="G305" s="13" t="n">
        <v>2</v>
      </c>
      <c r="H305" s="8" t="n">
        <v>75.2041</v>
      </c>
      <c r="I305" s="8">
        <f>G305*H305</f>
        <v/>
      </c>
      <c r="J305" s="8">
        <f>H305/E305</f>
        <v/>
      </c>
      <c r="K305" s="8" t="n">
        <v>69.84</v>
      </c>
      <c r="L305" s="8" t="n">
        <v>57.646</v>
      </c>
      <c r="M305" s="14">
        <f>J305/K305-1</f>
        <v/>
      </c>
      <c r="N305" s="7" t="inlineStr">
        <is>
          <t>ACIMA +7.7%</t>
        </is>
      </c>
      <c r="O305" s="7" t="inlineStr"/>
    </row>
    <row r="306">
      <c r="A306" s="7" t="n">
        <v>284521</v>
      </c>
      <c r="B306" s="7" t="inlineStr"/>
      <c r="C306" s="12" t="inlineStr">
        <is>
          <t>7891058002657</t>
        </is>
      </c>
      <c r="D306" s="7" t="inlineStr">
        <is>
          <t>HIDROCLOROTIAZIDA 25MG CX 30 COMP</t>
        </is>
      </c>
      <c r="E306" s="13" t="n">
        <v>1</v>
      </c>
      <c r="F306" s="13" t="n">
        <v>75</v>
      </c>
      <c r="G306" s="13" t="n">
        <v>75</v>
      </c>
      <c r="H306" s="8" t="n">
        <v>2.434242</v>
      </c>
      <c r="I306" s="8">
        <f>G306*H306</f>
        <v/>
      </c>
      <c r="J306" s="8">
        <f>H306/E306</f>
        <v/>
      </c>
      <c r="K306" s="8" t="n">
        <v>2.38</v>
      </c>
      <c r="L306" s="8" t="n">
        <v>0.8065</v>
      </c>
      <c r="M306" s="14">
        <f>J306/K306-1</f>
        <v/>
      </c>
      <c r="N306" s="7" t="inlineStr">
        <is>
          <t>ACIMA +2.3%</t>
        </is>
      </c>
      <c r="O306" s="7" t="inlineStr"/>
    </row>
    <row r="307">
      <c r="A307" s="7" t="n">
        <v>285361</v>
      </c>
      <c r="B307" s="7" t="inlineStr"/>
      <c r="C307" s="12" t="inlineStr">
        <is>
          <t>7896523210070</t>
        </is>
      </c>
      <c r="D307" s="7" t="inlineStr">
        <is>
          <t>HIDROCLOROTIAZIDA 25MG CX 3BL X 10 COMP</t>
        </is>
      </c>
      <c r="E307" s="13" t="n">
        <v>1</v>
      </c>
      <c r="F307" s="13" t="n">
        <v>62</v>
      </c>
      <c r="G307" s="13" t="n">
        <v>62</v>
      </c>
      <c r="H307" s="8" t="n">
        <v>5.09</v>
      </c>
      <c r="I307" s="8">
        <f>G307*H307</f>
        <v/>
      </c>
      <c r="J307" s="8">
        <f>H307/E307</f>
        <v/>
      </c>
      <c r="K307" s="8" t="n">
        <v>1.25</v>
      </c>
      <c r="L307" s="8" t="n">
        <v>1.15</v>
      </c>
      <c r="M307" s="14">
        <f>J307/K307-1</f>
        <v/>
      </c>
      <c r="N307" s="7" t="inlineStr">
        <is>
          <t>ACIMA +307.2%</t>
        </is>
      </c>
      <c r="O307" s="7" t="inlineStr">
        <is>
          <t>conferir emb.</t>
        </is>
      </c>
    </row>
    <row r="308">
      <c r="A308" s="7" t="n">
        <v>406241</v>
      </c>
      <c r="B308" s="7" t="inlineStr"/>
      <c r="C308" s="12" t="inlineStr">
        <is>
          <t>7897411601505</t>
        </is>
      </c>
      <c r="D308" s="7" t="inlineStr">
        <is>
          <t>HIRUDOID 3MG/G GEL BG X 40G</t>
        </is>
      </c>
      <c r="E308" s="13" t="n">
        <v>1</v>
      </c>
      <c r="F308" s="13" t="n">
        <v>2</v>
      </c>
      <c r="G308" s="13" t="n">
        <v>2</v>
      </c>
      <c r="H308" s="8" t="n">
        <v>32.016</v>
      </c>
      <c r="I308" s="8">
        <f>G308*H308</f>
        <v/>
      </c>
      <c r="J308" s="8">
        <f>H308/E308</f>
        <v/>
      </c>
      <c r="K308" s="8" t="n">
        <v>32.92</v>
      </c>
      <c r="L308" s="8" t="n">
        <v>28.79</v>
      </c>
      <c r="M308" s="14">
        <f>J308/K308-1</f>
        <v/>
      </c>
      <c r="N308" s="7" t="inlineStr">
        <is>
          <t>OK (≤ últ. compra)</t>
        </is>
      </c>
      <c r="O308" s="7" t="inlineStr"/>
    </row>
    <row r="309">
      <c r="A309" s="7" t="n">
        <v>406261</v>
      </c>
      <c r="B309" s="7" t="inlineStr"/>
      <c r="C309" s="12" t="inlineStr">
        <is>
          <t>7897411601567</t>
        </is>
      </c>
      <c r="D309" s="7" t="inlineStr">
        <is>
          <t>HIRUDOID 5MG/G POM BG X 40G</t>
        </is>
      </c>
      <c r="E309" s="13" t="n">
        <v>1</v>
      </c>
      <c r="F309" s="13" t="n">
        <v>1</v>
      </c>
      <c r="G309" s="13" t="n">
        <v>1</v>
      </c>
      <c r="H309" s="8" t="n">
        <v>35.0592</v>
      </c>
      <c r="I309" s="8">
        <f>G309*H309</f>
        <v/>
      </c>
      <c r="J309" s="8">
        <f>H309/E309</f>
        <v/>
      </c>
      <c r="K309" s="8" t="n">
        <v>36.05</v>
      </c>
      <c r="L309" s="8" t="n">
        <v>31.52</v>
      </c>
      <c r="M309" s="14">
        <f>J309/K309-1</f>
        <v/>
      </c>
      <c r="N309" s="7" t="inlineStr">
        <is>
          <t>OK (≤ últ. compra)</t>
        </is>
      </c>
      <c r="O309" s="7" t="inlineStr"/>
    </row>
    <row r="310">
      <c r="A310" s="7" t="n">
        <v>646171</v>
      </c>
      <c r="B310" s="7" t="inlineStr"/>
      <c r="C310" s="12" t="inlineStr">
        <is>
          <t>7899941202269</t>
        </is>
      </c>
      <c r="D310" s="7" t="inlineStr">
        <is>
          <t>HORUS MAX TITANIUM FRUTAS VERMELHAS POTE 150G</t>
        </is>
      </c>
      <c r="E310" s="13" t="n">
        <v>1</v>
      </c>
      <c r="F310" s="13" t="n">
        <v>3</v>
      </c>
      <c r="G310" s="13" t="n">
        <v>3</v>
      </c>
      <c r="H310" s="8" t="n">
        <v>38.09</v>
      </c>
      <c r="I310" s="8">
        <f>G310*H310</f>
        <v/>
      </c>
      <c r="J310" s="8">
        <f>H310/E310</f>
        <v/>
      </c>
      <c r="K310" s="8" t="n">
        <v>59.9</v>
      </c>
      <c r="L310" s="8" t="n">
        <v>59.9</v>
      </c>
      <c r="M310" s="14">
        <f>J310/K310-1</f>
        <v/>
      </c>
      <c r="N310" s="7" t="inlineStr">
        <is>
          <t>OK (≤ menor hist.)</t>
        </is>
      </c>
      <c r="O310" s="7" t="inlineStr"/>
    </row>
    <row r="311">
      <c r="A311" s="7" t="n">
        <v>592811</v>
      </c>
      <c r="B311" s="7" t="inlineStr"/>
      <c r="C311" s="12" t="inlineStr">
        <is>
          <t>7898495609487</t>
        </is>
      </c>
      <c r="D311" s="7" t="inlineStr">
        <is>
          <t>IMOLAC SOL C/200ML+COP (CFE)</t>
        </is>
      </c>
      <c r="E311" s="13" t="n">
        <v>1</v>
      </c>
      <c r="F311" s="13" t="n">
        <v>3</v>
      </c>
      <c r="G311" s="13" t="n">
        <v>3</v>
      </c>
      <c r="H311" s="8" t="n">
        <v>91.3061</v>
      </c>
      <c r="I311" s="8">
        <f>G311*H311</f>
        <v/>
      </c>
      <c r="J311" s="8">
        <f>H311/E311</f>
        <v/>
      </c>
      <c r="K311" s="8" t="n">
        <v>67.37</v>
      </c>
      <c r="L311" s="8" t="n">
        <v>67.37</v>
      </c>
      <c r="M311" s="14">
        <f>J311/K311-1</f>
        <v/>
      </c>
      <c r="N311" s="7" t="inlineStr">
        <is>
          <t>ACIMA +35.5%</t>
        </is>
      </c>
      <c r="O311" s="7" t="inlineStr"/>
    </row>
    <row r="312">
      <c r="A312" s="7" t="n">
        <v>240081</v>
      </c>
      <c r="B312" s="7" t="inlineStr"/>
      <c r="C312" s="12" t="inlineStr">
        <is>
          <t>7896094208094</t>
        </is>
      </c>
      <c r="D312" s="7" t="inlineStr">
        <is>
          <t>IUMI 3+0,02MG CX 24 COMP REV</t>
        </is>
      </c>
      <c r="E312" s="13" t="n">
        <v>1</v>
      </c>
      <c r="F312" s="13" t="n">
        <v>1</v>
      </c>
      <c r="G312" s="13" t="n">
        <v>1</v>
      </c>
      <c r="H312" s="8" t="n">
        <v>57.7764</v>
      </c>
      <c r="I312" s="8">
        <f>G312*H312</f>
        <v/>
      </c>
      <c r="J312" s="8">
        <f>H312/E312</f>
        <v/>
      </c>
      <c r="K312" s="8" t="n">
        <v>58.84</v>
      </c>
      <c r="L312" s="8" t="n">
        <v>54.58</v>
      </c>
      <c r="M312" s="14">
        <f>J312/K312-1</f>
        <v/>
      </c>
      <c r="N312" s="7" t="inlineStr">
        <is>
          <t>OK (≤ últ. compra)</t>
        </is>
      </c>
      <c r="O312" s="7" t="inlineStr"/>
    </row>
    <row r="313">
      <c r="A313" s="7" t="n">
        <v>237681</v>
      </c>
      <c r="B313" s="7" t="inlineStr"/>
      <c r="C313" s="12" t="inlineStr">
        <is>
          <t>7896094209510</t>
        </is>
      </c>
      <c r="D313" s="7" t="inlineStr">
        <is>
          <t>IZIZ 2,5+1,5MG CX CARTELA COMP REV CAIXA C/ 3 CARTELAS</t>
        </is>
      </c>
      <c r="E313" s="13" t="n">
        <v>1</v>
      </c>
      <c r="F313" s="13" t="n">
        <v>1</v>
      </c>
      <c r="G313" s="13" t="n">
        <v>1</v>
      </c>
      <c r="H313" s="8" t="n">
        <v>124.0767</v>
      </c>
      <c r="I313" s="8">
        <f>G313*H313</f>
        <v/>
      </c>
      <c r="J313" s="8">
        <f>H313/E313</f>
        <v/>
      </c>
      <c r="K313" s="8" t="n">
        <v>42.1167</v>
      </c>
      <c r="L313" s="8" t="n">
        <v>38.5967</v>
      </c>
      <c r="M313" s="14">
        <f>J313/K313-1</f>
        <v/>
      </c>
      <c r="N313" s="7" t="inlineStr">
        <is>
          <t>ACIMA +194.6%</t>
        </is>
      </c>
      <c r="O313" s="7" t="inlineStr">
        <is>
          <t>conferir emb.</t>
        </is>
      </c>
    </row>
    <row r="314">
      <c r="A314" s="7" t="n">
        <v>654861</v>
      </c>
      <c r="B314" s="7" t="inlineStr"/>
      <c r="C314" s="12" t="inlineStr">
        <is>
          <t>7897947620131</t>
        </is>
      </c>
      <c r="D314" s="7" t="inlineStr">
        <is>
          <t>JOAO E MARIA SAB LIQ BABY GLIC FR 200ML</t>
        </is>
      </c>
      <c r="E314" s="13" t="n">
        <v>1</v>
      </c>
      <c r="F314" s="13" t="n">
        <v>1</v>
      </c>
      <c r="G314" s="13" t="n">
        <v>1</v>
      </c>
      <c r="H314" s="8" t="n">
        <v>16.21</v>
      </c>
      <c r="I314" s="8">
        <f>G314*H314</f>
        <v/>
      </c>
      <c r="J314" s="8">
        <f>H314/E314</f>
        <v/>
      </c>
      <c r="K314" s="8" t="n">
        <v>13.83</v>
      </c>
      <c r="L314" s="8" t="n">
        <v>13.83</v>
      </c>
      <c r="M314" s="14">
        <f>J314/K314-1</f>
        <v/>
      </c>
      <c r="N314" s="7" t="inlineStr">
        <is>
          <t>ACIMA +17.2%</t>
        </is>
      </c>
      <c r="O314" s="7" t="inlineStr"/>
    </row>
    <row r="315">
      <c r="A315" s="7" t="n">
        <v>42603</v>
      </c>
      <c r="B315" s="7" t="inlineStr"/>
      <c r="C315" s="12" t="inlineStr">
        <is>
          <t>7896222720368</t>
        </is>
      </c>
      <c r="D315" s="7" t="inlineStr">
        <is>
          <t>JONTEX XL LUBRIFICADO 6-DEMAIS PROD</t>
        </is>
      </c>
      <c r="E315" s="13" t="n">
        <v>1</v>
      </c>
      <c r="F315" s="13" t="n">
        <v>1</v>
      </c>
      <c r="G315" s="13" t="n">
        <v>1</v>
      </c>
      <c r="H315" s="8" t="n">
        <v>15.1998</v>
      </c>
      <c r="I315" s="8">
        <f>G315*H315</f>
        <v/>
      </c>
      <c r="J315" s="8">
        <f>H315/E315</f>
        <v/>
      </c>
      <c r="K315" s="8" t="n">
        <v>13.7433</v>
      </c>
      <c r="L315" s="8" t="n">
        <v>13.7433</v>
      </c>
      <c r="M315" s="14">
        <f>J315/K315-1</f>
        <v/>
      </c>
      <c r="N315" s="7" t="inlineStr">
        <is>
          <t>ACIMA +10.6%</t>
        </is>
      </c>
      <c r="O315" s="7" t="inlineStr"/>
    </row>
    <row r="316">
      <c r="A316" s="7" t="n">
        <v>546681</v>
      </c>
      <c r="B316" s="7" t="inlineStr"/>
      <c r="C316" s="12" t="inlineStr">
        <is>
          <t>7896523210582</t>
        </is>
      </c>
      <c r="D316" s="7" t="inlineStr">
        <is>
          <t>K-MED 2 EM 1 GEL FR 203 G</t>
        </is>
      </c>
      <c r="E316" s="13" t="n">
        <v>1</v>
      </c>
      <c r="F316" s="13" t="n">
        <v>8</v>
      </c>
      <c r="G316" s="13" t="n">
        <v>8</v>
      </c>
      <c r="H316" s="8" t="n">
        <v>30.61</v>
      </c>
      <c r="I316" s="8">
        <f>G316*H316</f>
        <v/>
      </c>
      <c r="J316" s="8">
        <f>H316/E316</f>
        <v/>
      </c>
      <c r="K316" s="8" t="n">
        <v>27.83</v>
      </c>
      <c r="L316" s="8" t="n">
        <v>13.99</v>
      </c>
      <c r="M316" s="14">
        <f>J316/K316-1</f>
        <v/>
      </c>
      <c r="N316" s="7" t="inlineStr">
        <is>
          <t>ACIMA +10.0%</t>
        </is>
      </c>
      <c r="O316" s="7" t="inlineStr"/>
    </row>
    <row r="317">
      <c r="A317" s="7" t="n">
        <v>607011</v>
      </c>
      <c r="B317" s="7" t="inlineStr"/>
      <c r="C317" s="12" t="inlineStr">
        <is>
          <t>7896523228136</t>
        </is>
      </c>
      <c r="D317" s="7" t="inlineStr">
        <is>
          <t>K-MED 2 EM 1 GEL FR 203 G LGBTQIA+</t>
        </is>
      </c>
      <c r="E317" s="13" t="n">
        <v>1</v>
      </c>
      <c r="F317" s="13" t="n">
        <v>3</v>
      </c>
      <c r="G317" s="13" t="n">
        <v>3</v>
      </c>
      <c r="H317" s="8" t="n">
        <v>30.45</v>
      </c>
      <c r="I317" s="8">
        <f>G317*H317</f>
        <v/>
      </c>
      <c r="J317" s="8">
        <f>H317/E317</f>
        <v/>
      </c>
      <c r="K317" s="8" t="n">
        <v>26.72</v>
      </c>
      <c r="L317" s="8" t="n">
        <v>24.29</v>
      </c>
      <c r="M317" s="14">
        <f>J317/K317-1</f>
        <v/>
      </c>
      <c r="N317" s="7" t="inlineStr">
        <is>
          <t>ACIMA +14.0%</t>
        </is>
      </c>
      <c r="O317" s="7" t="inlineStr"/>
    </row>
    <row r="318">
      <c r="A318" s="7" t="n">
        <v>630501</v>
      </c>
      <c r="B318" s="7" t="inlineStr"/>
      <c r="C318" s="12" t="inlineStr">
        <is>
          <t>7896523201948</t>
        </is>
      </c>
      <c r="D318" s="7" t="inlineStr">
        <is>
          <t>K-MED 2 EM 1 GEL FR 50 G</t>
        </is>
      </c>
      <c r="E318" s="13" t="n">
        <v>1</v>
      </c>
      <c r="F318" s="13" t="n">
        <v>7</v>
      </c>
      <c r="G318" s="13" t="n">
        <v>7</v>
      </c>
      <c r="H318" s="8" t="n">
        <v>17.48</v>
      </c>
      <c r="I318" s="8">
        <f>G318*H318</f>
        <v/>
      </c>
      <c r="J318" s="8">
        <f>H318/E318</f>
        <v/>
      </c>
      <c r="K318" s="8" t="n">
        <v>13.3</v>
      </c>
      <c r="L318" s="8" t="n">
        <v>12.09</v>
      </c>
      <c r="M318" s="14">
        <f>J318/K318-1</f>
        <v/>
      </c>
      <c r="N318" s="7" t="inlineStr">
        <is>
          <t>ACIMA +31.4%</t>
        </is>
      </c>
      <c r="O318" s="7" t="inlineStr"/>
    </row>
    <row r="319">
      <c r="A319" s="7" t="n">
        <v>621221</v>
      </c>
      <c r="B319" s="7" t="inlineStr"/>
      <c r="C319" s="12" t="inlineStr">
        <is>
          <t>7896523228440</t>
        </is>
      </c>
      <c r="D319" s="7" t="inlineStr">
        <is>
          <t>K-MED ICE FR 50G</t>
        </is>
      </c>
      <c r="E319" s="13" t="n">
        <v>1</v>
      </c>
      <c r="F319" s="13" t="n">
        <v>7</v>
      </c>
      <c r="G319" s="13" t="n">
        <v>7</v>
      </c>
      <c r="H319" s="8" t="n">
        <v>17.48</v>
      </c>
      <c r="I319" s="8">
        <f>G319*H319</f>
        <v/>
      </c>
      <c r="J319" s="8">
        <f>H319/E319</f>
        <v/>
      </c>
      <c r="K319" s="8" t="n">
        <v>14.06</v>
      </c>
      <c r="L319" s="8" t="n">
        <v>12.09</v>
      </c>
      <c r="M319" s="14">
        <f>J319/K319-1</f>
        <v/>
      </c>
      <c r="N319" s="7" t="inlineStr">
        <is>
          <t>ACIMA +24.3%</t>
        </is>
      </c>
      <c r="O319" s="7" t="inlineStr"/>
    </row>
    <row r="320">
      <c r="A320" s="7" t="n">
        <v>400901</v>
      </c>
      <c r="B320" s="7" t="inlineStr"/>
      <c r="C320" s="12" t="inlineStr">
        <is>
          <t>7896641804397</t>
        </is>
      </c>
      <c r="D320" s="7" t="inlineStr">
        <is>
          <t>KALOBA 825MG/ML SOL ORAL FR 50ML</t>
        </is>
      </c>
      <c r="E320" s="13" t="n">
        <v>1</v>
      </c>
      <c r="F320" s="13" t="n">
        <v>1</v>
      </c>
      <c r="G320" s="13" t="n">
        <v>1</v>
      </c>
      <c r="H320" s="8" t="n">
        <v>124.8096</v>
      </c>
      <c r="I320" s="8">
        <f>G320*H320</f>
        <v/>
      </c>
      <c r="J320" s="8">
        <f>H320/E320</f>
        <v/>
      </c>
      <c r="K320" s="8" t="n">
        <v>128.35</v>
      </c>
      <c r="L320" s="8" t="n">
        <v>111.97</v>
      </c>
      <c r="M320" s="14">
        <f>J320/K320-1</f>
        <v/>
      </c>
      <c r="N320" s="7" t="inlineStr">
        <is>
          <t>OK (≤ últ. compra)</t>
        </is>
      </c>
      <c r="O320" s="7" t="inlineStr"/>
    </row>
    <row r="321">
      <c r="A321" s="7" t="n">
        <v>535001</v>
      </c>
      <c r="B321" s="7" t="inlineStr"/>
      <c r="C321" s="12" t="inlineStr">
        <is>
          <t>7896000724953</t>
        </is>
      </c>
      <c r="D321" s="7" t="inlineStr">
        <is>
          <t>KIT COLORACAO CREME 1.110 PRETO ÔNIX NIELY COR&amp;TON MEGA COLORS</t>
        </is>
      </c>
      <c r="E321" s="13" t="n">
        <v>1</v>
      </c>
      <c r="F321" s="13" t="n">
        <v>4</v>
      </c>
      <c r="G321" s="13" t="n">
        <v>4</v>
      </c>
      <c r="H321" s="8" t="n">
        <v>12.87</v>
      </c>
      <c r="I321" s="8">
        <f>G321*H321</f>
        <v/>
      </c>
      <c r="J321" s="8">
        <f>H321/E321</f>
        <v/>
      </c>
      <c r="K321" s="8" t="n">
        <v>12.58</v>
      </c>
      <c r="L321" s="8" t="n">
        <v>10.5</v>
      </c>
      <c r="M321" s="14">
        <f>J321/K321-1</f>
        <v/>
      </c>
      <c r="N321" s="7" t="inlineStr">
        <is>
          <t>ACIMA +2.3%</t>
        </is>
      </c>
      <c r="O321" s="7" t="inlineStr"/>
    </row>
    <row r="322">
      <c r="A322" s="7" t="n">
        <v>535041</v>
      </c>
      <c r="B322" s="7" t="inlineStr"/>
      <c r="C322" s="12" t="inlineStr">
        <is>
          <t>7896000705969</t>
        </is>
      </c>
      <c r="D322" s="7" t="inlineStr">
        <is>
          <t>KIT COLORACAO CREME 3.0 CASTANHO ESCURO NIELY COR&amp;TON</t>
        </is>
      </c>
      <c r="E322" s="13" t="n">
        <v>1</v>
      </c>
      <c r="F322" s="13" t="n">
        <v>2</v>
      </c>
      <c r="G322" s="13" t="n">
        <v>2</v>
      </c>
      <c r="H322" s="8" t="n">
        <v>12.87</v>
      </c>
      <c r="I322" s="8">
        <f>G322*H322</f>
        <v/>
      </c>
      <c r="J322" s="8">
        <f>H322/E322</f>
        <v/>
      </c>
      <c r="K322" s="8" t="n">
        <v>12.58</v>
      </c>
      <c r="L322" s="8" t="n">
        <v>9.585000000000001</v>
      </c>
      <c r="M322" s="14">
        <f>J322/K322-1</f>
        <v/>
      </c>
      <c r="N322" s="7" t="inlineStr">
        <is>
          <t>ACIMA +2.3%</t>
        </is>
      </c>
      <c r="O322" s="7" t="inlineStr"/>
    </row>
    <row r="323">
      <c r="A323" s="7" t="n">
        <v>534981</v>
      </c>
      <c r="B323" s="7" t="inlineStr"/>
      <c r="C323" s="12" t="inlineStr">
        <is>
          <t>7896000705983</t>
        </is>
      </c>
      <c r="D323" s="7" t="inlineStr">
        <is>
          <t>KIT COLORACAO CREME 5.0 CASTANHO CLARO NIELY COR&amp;TON</t>
        </is>
      </c>
      <c r="E323" s="13" t="n">
        <v>1</v>
      </c>
      <c r="F323" s="13" t="n">
        <v>4</v>
      </c>
      <c r="G323" s="13" t="n">
        <v>4</v>
      </c>
      <c r="H323" s="8" t="n">
        <v>12.87</v>
      </c>
      <c r="I323" s="8">
        <f>G323*H323</f>
        <v/>
      </c>
      <c r="J323" s="8">
        <f>H323/E323</f>
        <v/>
      </c>
      <c r="K323" s="8" t="n">
        <v>12.58</v>
      </c>
      <c r="L323" s="8" t="n">
        <v>9.82</v>
      </c>
      <c r="M323" s="14">
        <f>J323/K323-1</f>
        <v/>
      </c>
      <c r="N323" s="7" t="inlineStr">
        <is>
          <t>ACIMA +2.3%</t>
        </is>
      </c>
      <c r="O323" s="7" t="inlineStr"/>
    </row>
    <row r="324">
      <c r="A324" s="7" t="n">
        <v>536661</v>
      </c>
      <c r="B324" s="7" t="inlineStr"/>
      <c r="C324" s="12" t="inlineStr">
        <is>
          <t>7896000724731</t>
        </is>
      </c>
      <c r="D324" s="7" t="inlineStr">
        <is>
          <t>KIT COLORACAO CREME 6.646 VERMELHO CEREJA NIELY COR&amp;TON MEGA COLORS</t>
        </is>
      </c>
      <c r="E324" s="13" t="n">
        <v>1</v>
      </c>
      <c r="F324" s="13" t="n">
        <v>3</v>
      </c>
      <c r="G324" s="13" t="n">
        <v>3</v>
      </c>
      <c r="H324" s="8" t="n">
        <v>12.87</v>
      </c>
      <c r="I324" s="8">
        <f>G324*H324</f>
        <v/>
      </c>
      <c r="J324" s="8">
        <f>H324/E324</f>
        <v/>
      </c>
      <c r="K324" s="8" t="n">
        <v>12.58</v>
      </c>
      <c r="L324" s="8" t="n">
        <v>9.7033</v>
      </c>
      <c r="M324" s="14">
        <f>J324/K324-1</f>
        <v/>
      </c>
      <c r="N324" s="7" t="inlineStr">
        <is>
          <t>ACIMA +2.3%</t>
        </is>
      </c>
      <c r="O324" s="7" t="inlineStr"/>
    </row>
    <row r="325">
      <c r="A325" s="7" t="n">
        <v>535101</v>
      </c>
      <c r="B325" s="7" t="inlineStr"/>
      <c r="C325" s="12" t="inlineStr">
        <is>
          <t>7896000705921</t>
        </is>
      </c>
      <c r="D325" s="7" t="inlineStr">
        <is>
          <t>KIT COLORACAO CREME COR&amp;TON 6.7 CHOCOLATE</t>
        </is>
      </c>
      <c r="E325" s="13" t="n">
        <v>1</v>
      </c>
      <c r="F325" s="13" t="n">
        <v>3</v>
      </c>
      <c r="G325" s="13" t="n">
        <v>3</v>
      </c>
      <c r="H325" s="8" t="n">
        <v>12.87</v>
      </c>
      <c r="I325" s="8">
        <f>G325*H325</f>
        <v/>
      </c>
      <c r="J325" s="8">
        <f>H325/E325</f>
        <v/>
      </c>
      <c r="K325" s="8" t="n">
        <v>12.58</v>
      </c>
      <c r="L325" s="8" t="n">
        <v>9.585000000000001</v>
      </c>
      <c r="M325" s="14">
        <f>J325/K325-1</f>
        <v/>
      </c>
      <c r="N325" s="7" t="inlineStr">
        <is>
          <t>ACIMA +2.3%</t>
        </is>
      </c>
      <c r="O325" s="7" t="inlineStr"/>
    </row>
    <row r="326">
      <c r="A326" s="7" t="n">
        <v>677701</v>
      </c>
      <c r="B326" s="7" t="inlineStr"/>
      <c r="C326" s="12" t="inlineStr">
        <is>
          <t>7891150103801</t>
        </is>
      </c>
      <c r="D326" s="7" t="inlineStr">
        <is>
          <t>KIT SH+COND DOVE HIDRAT+HIA 350ML+175ML</t>
        </is>
      </c>
      <c r="E326" s="13" t="n">
        <v>1</v>
      </c>
      <c r="F326" s="13" t="n">
        <v>1</v>
      </c>
      <c r="G326" s="13" t="n">
        <v>1</v>
      </c>
      <c r="H326" s="8" t="n">
        <v>21.52</v>
      </c>
      <c r="I326" s="8">
        <f>G326*H326</f>
        <v/>
      </c>
      <c r="J326" s="8">
        <f>H326/E326</f>
        <v/>
      </c>
      <c r="K326" s="8" t="n">
        <v>28.36</v>
      </c>
      <c r="L326" s="8" t="n">
        <v>28.36</v>
      </c>
      <c r="M326" s="14">
        <f>J326/K326-1</f>
        <v/>
      </c>
      <c r="N326" s="7" t="inlineStr">
        <is>
          <t>OK (≤ menor hist.)</t>
        </is>
      </c>
      <c r="O326" s="7" t="inlineStr"/>
    </row>
    <row r="327">
      <c r="A327" s="7" t="n">
        <v>677901</v>
      </c>
      <c r="B327" s="7" t="inlineStr"/>
      <c r="C327" s="12" t="inlineStr">
        <is>
          <t>7891150097384</t>
        </is>
      </c>
      <c r="D327" s="7" t="inlineStr">
        <is>
          <t>KIT SH+COND SEDA LISO PERF 300ML+190ML</t>
        </is>
      </c>
      <c r="E327" s="13" t="n">
        <v>1</v>
      </c>
      <c r="F327" s="13" t="n">
        <v>1</v>
      </c>
      <c r="G327" s="13" t="n">
        <v>1</v>
      </c>
      <c r="H327" s="8" t="n">
        <v>14.8</v>
      </c>
      <c r="I327" s="8">
        <f>G327*H327</f>
        <v/>
      </c>
      <c r="J327" s="8">
        <f>H327/E327</f>
        <v/>
      </c>
      <c r="K327" s="8" t="n">
        <v>14.65</v>
      </c>
      <c r="L327" s="8" t="n">
        <v>14.65</v>
      </c>
      <c r="M327" s="14">
        <f>J327/K327-1</f>
        <v/>
      </c>
      <c r="N327" s="7" t="inlineStr">
        <is>
          <t>ACIMA +1.0%</t>
        </is>
      </c>
      <c r="O327" s="7" t="inlineStr"/>
    </row>
    <row r="328">
      <c r="A328" s="7" t="n">
        <v>552141</v>
      </c>
      <c r="B328" s="7" t="inlineStr"/>
      <c r="C328" s="12" t="inlineStr">
        <is>
          <t>7896000727527</t>
        </is>
      </c>
      <c r="D328" s="7" t="inlineStr">
        <is>
          <t>KIT SHAMP.+COND.NIELY GOLD (HIDRATACAO)</t>
        </is>
      </c>
      <c r="E328" s="13" t="n">
        <v>1</v>
      </c>
      <c r="F328" s="13" t="n">
        <v>1</v>
      </c>
      <c r="G328" s="13" t="n">
        <v>1</v>
      </c>
      <c r="H328" s="8" t="n">
        <v>17.98</v>
      </c>
      <c r="I328" s="8">
        <f>G328*H328</f>
        <v/>
      </c>
      <c r="J328" s="8">
        <f>H328/E328</f>
        <v/>
      </c>
      <c r="K328" s="8" t="n">
        <v>15.08</v>
      </c>
      <c r="L328" s="8" t="n">
        <v>15.08</v>
      </c>
      <c r="M328" s="14">
        <f>J328/K328-1</f>
        <v/>
      </c>
      <c r="N328" s="7" t="inlineStr">
        <is>
          <t>ACIMA +19.2%</t>
        </is>
      </c>
      <c r="O328" s="7" t="inlineStr"/>
    </row>
    <row r="329">
      <c r="A329" s="7" t="n">
        <v>663141</v>
      </c>
      <c r="B329" s="7" t="inlineStr"/>
      <c r="C329" s="12" t="inlineStr">
        <is>
          <t>7891150101630</t>
        </is>
      </c>
      <c r="D329" s="7" t="inlineStr">
        <is>
          <t>KIT SHP+COND SEDA TOQUE DE SEDA 300ML+190ML   UNIL %DN:10.00</t>
        </is>
      </c>
      <c r="E329" s="13" t="n">
        <v>1</v>
      </c>
      <c r="F329" s="13" t="n">
        <v>2</v>
      </c>
      <c r="G329" s="13" t="n">
        <v>2</v>
      </c>
      <c r="H329" s="8" t="n">
        <v>14.8</v>
      </c>
      <c r="I329" s="8">
        <f>G329*H329</f>
        <v/>
      </c>
      <c r="J329" s="8">
        <f>H329/E329</f>
        <v/>
      </c>
      <c r="K329" s="8" t="n">
        <v>13.625</v>
      </c>
      <c r="L329" s="8" t="n">
        <v>13.625</v>
      </c>
      <c r="M329" s="14">
        <f>J329/K329-1</f>
        <v/>
      </c>
      <c r="N329" s="7" t="inlineStr">
        <is>
          <t>ACIMA +8.6%</t>
        </is>
      </c>
      <c r="O329" s="7" t="inlineStr"/>
    </row>
    <row r="330">
      <c r="A330" s="7" t="n">
        <v>114801</v>
      </c>
      <c r="B330" s="7" t="inlineStr"/>
      <c r="C330" s="12" t="inlineStr">
        <is>
          <t>7896523206929</t>
        </is>
      </c>
      <c r="D330" s="7" t="inlineStr">
        <is>
          <t>KURAMED 20+1,30MG/ML SOL TOP SPRAY FR 50ML</t>
        </is>
      </c>
      <c r="E330" s="13" t="n">
        <v>1</v>
      </c>
      <c r="F330" s="13" t="n">
        <v>4</v>
      </c>
      <c r="G330" s="13" t="n">
        <v>4</v>
      </c>
      <c r="H330" s="8" t="n">
        <v>19.86</v>
      </c>
      <c r="I330" s="8">
        <f>G330*H330</f>
        <v/>
      </c>
      <c r="J330" s="8">
        <f>H330/E330</f>
        <v/>
      </c>
      <c r="K330" s="8" t="n">
        <v>7.99</v>
      </c>
      <c r="L330" s="8" t="n">
        <v>7.99</v>
      </c>
      <c r="M330" s="14">
        <f>J330/K330-1</f>
        <v/>
      </c>
      <c r="N330" s="7" t="inlineStr">
        <is>
          <t>ACIMA +148.6%</t>
        </is>
      </c>
      <c r="O330" s="7" t="inlineStr">
        <is>
          <t>conferir emb.</t>
        </is>
      </c>
    </row>
    <row r="331">
      <c r="A331" s="7" t="n">
        <v>637661</v>
      </c>
      <c r="B331" s="7" t="inlineStr"/>
      <c r="C331" s="12" t="inlineStr">
        <is>
          <t>4005900453259</t>
        </is>
      </c>
      <c r="D331" s="7" t="inlineStr">
        <is>
          <t>LABIAL NIVEA AMORA SHINE 4,8G</t>
        </is>
      </c>
      <c r="E331" s="13" t="n">
        <v>1</v>
      </c>
      <c r="F331" s="13" t="n">
        <v>2</v>
      </c>
      <c r="G331" s="13" t="n">
        <v>2</v>
      </c>
      <c r="H331" s="8" t="n">
        <v>19.41</v>
      </c>
      <c r="I331" s="8">
        <f>G331*H331</f>
        <v/>
      </c>
      <c r="J331" s="8">
        <f>H331/E331</f>
        <v/>
      </c>
      <c r="K331" s="8" t="n">
        <v>14.2933</v>
      </c>
      <c r="L331" s="8" t="n">
        <v>14.1692</v>
      </c>
      <c r="M331" s="14">
        <f>J331/K331-1</f>
        <v/>
      </c>
      <c r="N331" s="7" t="inlineStr">
        <is>
          <t>ACIMA +35.8%</t>
        </is>
      </c>
      <c r="O331" s="7" t="inlineStr"/>
    </row>
    <row r="332">
      <c r="A332" s="7" t="n">
        <v>582461</v>
      </c>
      <c r="B332" s="7" t="inlineStr"/>
      <c r="C332" s="12" t="inlineStr">
        <is>
          <t>4005900663993</t>
        </is>
      </c>
      <c r="D332" s="7" t="inlineStr">
        <is>
          <t>LABIAL NIVEA CEREJA SHINE 4,8G</t>
        </is>
      </c>
      <c r="E332" s="13" t="n">
        <v>1</v>
      </c>
      <c r="F332" s="13" t="n">
        <v>4</v>
      </c>
      <c r="G332" s="13" t="n">
        <v>4</v>
      </c>
      <c r="H332" s="8" t="n">
        <v>19.41</v>
      </c>
      <c r="I332" s="8">
        <f>G332*H332</f>
        <v/>
      </c>
      <c r="J332" s="8">
        <f>H332/E332</f>
        <v/>
      </c>
      <c r="K332" s="8" t="n">
        <v>14.17</v>
      </c>
      <c r="L332" s="8" t="n">
        <v>14.17</v>
      </c>
      <c r="M332" s="14">
        <f>J332/K332-1</f>
        <v/>
      </c>
      <c r="N332" s="7" t="inlineStr">
        <is>
          <t>ACIMA +37.0%</t>
        </is>
      </c>
      <c r="O332" s="7" t="inlineStr"/>
    </row>
    <row r="333">
      <c r="A333" s="7" t="n">
        <v>566881</v>
      </c>
      <c r="B333" s="7" t="inlineStr"/>
      <c r="C333" s="12" t="inlineStr">
        <is>
          <t>4005808850617</t>
        </is>
      </c>
      <c r="D333" s="7" t="inlineStr">
        <is>
          <t>LABIAL NIVEA ESSENTIAL 4,8G  NIVE %DN:0.00</t>
        </is>
      </c>
      <c r="E333" s="13" t="n">
        <v>1</v>
      </c>
      <c r="F333" s="13" t="n">
        <v>1</v>
      </c>
      <c r="G333" s="13" t="n">
        <v>1</v>
      </c>
      <c r="H333" s="8" t="n">
        <v>19.41</v>
      </c>
      <c r="I333" s="8">
        <f>G333*H333</f>
        <v/>
      </c>
      <c r="J333" s="8">
        <f>H333/E333</f>
        <v/>
      </c>
      <c r="K333" s="8" t="n">
        <v>13.92</v>
      </c>
      <c r="L333" s="8" t="n">
        <v>13.92</v>
      </c>
      <c r="M333" s="14">
        <f>J333/K333-1</f>
        <v/>
      </c>
      <c r="N333" s="7" t="inlineStr">
        <is>
          <t>ACIMA +39.4%</t>
        </is>
      </c>
      <c r="O333" s="7" t="inlineStr"/>
    </row>
    <row r="334">
      <c r="A334" s="7" t="n">
        <v>22803</v>
      </c>
      <c r="B334" s="7" t="inlineStr"/>
      <c r="C334" s="12" t="inlineStr">
        <is>
          <t>4006000101354</t>
        </is>
      </c>
      <c r="D334" s="7" t="inlineStr">
        <is>
          <t>LABIAL NIVEA HIDRACOLOR VERMEL FPS30 4,8G</t>
        </is>
      </c>
      <c r="E334" s="13" t="n">
        <v>1</v>
      </c>
      <c r="F334" s="13" t="n">
        <v>1</v>
      </c>
      <c r="G334" s="13" t="n">
        <v>1</v>
      </c>
      <c r="H334" s="8" t="n">
        <v>23.3</v>
      </c>
      <c r="I334" s="8">
        <f>G334*H334</f>
        <v/>
      </c>
      <c r="J334" s="8">
        <f>H334/E334</f>
        <v/>
      </c>
      <c r="K334" s="8" t="n">
        <v>23.18</v>
      </c>
      <c r="L334" s="8" t="n">
        <v>23.18</v>
      </c>
      <c r="M334" s="14">
        <f>J334/K334-1</f>
        <v/>
      </c>
      <c r="N334" s="7" t="inlineStr">
        <is>
          <t>ACIMA +0.5%</t>
        </is>
      </c>
      <c r="O334" s="7" t="inlineStr"/>
    </row>
    <row r="335">
      <c r="A335" s="7" t="n">
        <v>594291</v>
      </c>
      <c r="B335" s="7" t="inlineStr"/>
      <c r="C335" s="12" t="inlineStr">
        <is>
          <t>4005808934980</t>
        </is>
      </c>
      <c r="D335" s="7" t="inlineStr">
        <is>
          <t>LABIAL NIVEA MELANCIA 4,8G</t>
        </is>
      </c>
      <c r="E335" s="13" t="n">
        <v>1</v>
      </c>
      <c r="F335" s="13" t="n">
        <v>2</v>
      </c>
      <c r="G335" s="13" t="n">
        <v>2</v>
      </c>
      <c r="H335" s="8" t="n">
        <v>19.41</v>
      </c>
      <c r="I335" s="8">
        <f>G335*H335</f>
        <v/>
      </c>
      <c r="J335" s="8">
        <f>H335/E335</f>
        <v/>
      </c>
      <c r="K335" s="8" t="n">
        <v>14.34</v>
      </c>
      <c r="L335" s="8" t="n">
        <v>14.34</v>
      </c>
      <c r="M335" s="14">
        <f>J335/K335-1</f>
        <v/>
      </c>
      <c r="N335" s="7" t="inlineStr">
        <is>
          <t>ACIMA +35.4%</t>
        </is>
      </c>
      <c r="O335" s="7" t="inlineStr"/>
    </row>
    <row r="336">
      <c r="A336" s="7" t="n">
        <v>615351</v>
      </c>
      <c r="B336" s="7" t="inlineStr"/>
      <c r="C336" s="12" t="inlineStr">
        <is>
          <t>4005808850839</t>
        </is>
      </c>
      <c r="D336" s="7" t="inlineStr">
        <is>
          <t>LABIAL NIVEA STAR FRU STRAWB 4,8G</t>
        </is>
      </c>
      <c r="E336" s="13" t="n">
        <v>1</v>
      </c>
      <c r="F336" s="13" t="n">
        <v>5</v>
      </c>
      <c r="G336" s="13" t="n">
        <v>5</v>
      </c>
      <c r="H336" s="8" t="n">
        <v>19.41</v>
      </c>
      <c r="I336" s="8">
        <f>G336*H336</f>
        <v/>
      </c>
      <c r="J336" s="8">
        <f>H336/E336</f>
        <v/>
      </c>
      <c r="K336" s="8" t="n">
        <v>14.2933</v>
      </c>
      <c r="L336" s="8" t="n">
        <v>13.92</v>
      </c>
      <c r="M336" s="14">
        <f>J336/K336-1</f>
        <v/>
      </c>
      <c r="N336" s="7" t="inlineStr">
        <is>
          <t>ACIMA +35.8%</t>
        </is>
      </c>
      <c r="O336" s="7" t="inlineStr"/>
    </row>
    <row r="337">
      <c r="A337" s="7" t="n">
        <v>128941</v>
      </c>
      <c r="B337" s="7" t="inlineStr"/>
      <c r="C337" s="12" t="inlineStr">
        <is>
          <t>7896637028417</t>
        </is>
      </c>
      <c r="D337" s="7" t="inlineStr">
        <is>
          <t>LABIRIN 8MG CX 30 COMP</t>
        </is>
      </c>
      <c r="E337" s="13" t="n">
        <v>1</v>
      </c>
      <c r="F337" s="13" t="n">
        <v>1</v>
      </c>
      <c r="G337" s="13" t="n">
        <v>1</v>
      </c>
      <c r="H337" s="8" t="n">
        <v>29.95385</v>
      </c>
      <c r="I337" s="8">
        <f>G337*H337</f>
        <v/>
      </c>
      <c r="J337" s="8">
        <f>H337/E337</f>
        <v/>
      </c>
      <c r="K337" s="8" t="n">
        <v>29.194</v>
      </c>
      <c r="L337" s="8" t="n">
        <v>29.194</v>
      </c>
      <c r="M337" s="14">
        <f>J337/K337-1</f>
        <v/>
      </c>
      <c r="N337" s="7" t="inlineStr">
        <is>
          <t>ACIMA +2.6%</t>
        </is>
      </c>
      <c r="O337" s="7" t="inlineStr"/>
    </row>
    <row r="338">
      <c r="A338" s="7" t="n">
        <v>662291</v>
      </c>
      <c r="B338" s="7" t="inlineStr"/>
      <c r="C338" s="12" t="inlineStr">
        <is>
          <t>7896637034852</t>
        </is>
      </c>
      <c r="D338" s="7" t="inlineStr">
        <is>
          <t>LABIRIN XR 48MG 30CPR</t>
        </is>
      </c>
      <c r="E338" s="13" t="n">
        <v>1</v>
      </c>
      <c r="F338" s="13" t="n">
        <v>1</v>
      </c>
      <c r="G338" s="13" t="n">
        <v>1</v>
      </c>
      <c r="H338" s="8" t="n">
        <v>65.6798</v>
      </c>
      <c r="I338" s="8">
        <f>G338*H338</f>
        <v/>
      </c>
      <c r="J338" s="8">
        <f>H338/E338</f>
        <v/>
      </c>
      <c r="K338" s="8" t="n">
        <v>61.68</v>
      </c>
      <c r="L338" s="8" t="n">
        <v>61.67</v>
      </c>
      <c r="M338" s="14">
        <f>J338/K338-1</f>
        <v/>
      </c>
      <c r="N338" s="7" t="inlineStr">
        <is>
          <t>ACIMA +6.5%</t>
        </is>
      </c>
      <c r="O338" s="7" t="inlineStr"/>
    </row>
    <row r="339">
      <c r="A339" s="7" t="n">
        <v>310061</v>
      </c>
      <c r="B339" s="7" t="inlineStr"/>
      <c r="C339" s="12" t="inlineStr">
        <is>
          <t>7897411610750</t>
        </is>
      </c>
      <c r="D339" s="7" t="inlineStr">
        <is>
          <t>LACTULONA 667MG/ML XPE FR 120ML SB AMEIXA</t>
        </is>
      </c>
      <c r="E339" s="13" t="n">
        <v>1</v>
      </c>
      <c r="F339" s="13" t="n">
        <v>1</v>
      </c>
      <c r="G339" s="13" t="n">
        <v>1</v>
      </c>
      <c r="H339" s="8" t="n">
        <v>46.8384</v>
      </c>
      <c r="I339" s="8">
        <f>G339*H339</f>
        <v/>
      </c>
      <c r="J339" s="8">
        <f>H339/E339</f>
        <v/>
      </c>
      <c r="K339" s="8" t="n">
        <v>48.17</v>
      </c>
      <c r="L339" s="8" t="n">
        <v>42.12</v>
      </c>
      <c r="M339" s="14">
        <f>J339/K339-1</f>
        <v/>
      </c>
      <c r="N339" s="7" t="inlineStr">
        <is>
          <t>OK (≤ últ. compra)</t>
        </is>
      </c>
      <c r="O339" s="7" t="inlineStr"/>
    </row>
    <row r="340">
      <c r="A340" s="7" t="n">
        <v>555341</v>
      </c>
      <c r="B340" s="7" t="inlineStr"/>
      <c r="C340" s="12" t="inlineStr">
        <is>
          <t>7898949409458</t>
        </is>
      </c>
      <c r="D340" s="7" t="inlineStr">
        <is>
          <t>LAKESIA GENOMMA CAIXA 30ML SOLUÇÃO ANTIMICÓTICA</t>
        </is>
      </c>
      <c r="E340" s="13" t="n">
        <v>1</v>
      </c>
      <c r="F340" s="13" t="n">
        <v>4</v>
      </c>
      <c r="G340" s="13" t="n">
        <v>4</v>
      </c>
      <c r="H340" s="8" t="n">
        <v>44.18</v>
      </c>
      <c r="I340" s="8">
        <f>G340*H340</f>
        <v/>
      </c>
      <c r="J340" s="8">
        <f>H340/E340</f>
        <v/>
      </c>
      <c r="K340" s="8" t="n">
        <v>35.342</v>
      </c>
      <c r="L340" s="8" t="n">
        <v>33.17</v>
      </c>
      <c r="M340" s="14">
        <f>J340/K340-1</f>
        <v/>
      </c>
      <c r="N340" s="7" t="inlineStr">
        <is>
          <t>ACIMA +25.0%</t>
        </is>
      </c>
      <c r="O340" s="7" t="inlineStr"/>
    </row>
    <row r="341">
      <c r="A341" s="7" t="n">
        <v>655561</v>
      </c>
      <c r="B341" s="7" t="inlineStr"/>
      <c r="C341" s="12" t="inlineStr">
        <is>
          <t>7891317029869</t>
        </is>
      </c>
      <c r="D341" s="7" t="inlineStr">
        <is>
          <t>LARC 500MG C/14 COMP-SIMILAR</t>
        </is>
      </c>
      <c r="E341" s="13" t="n">
        <v>1</v>
      </c>
      <c r="F341" s="13" t="n">
        <v>2</v>
      </c>
      <c r="G341" s="13" t="n">
        <v>2</v>
      </c>
      <c r="H341" s="8" t="n">
        <v>37.3</v>
      </c>
      <c r="I341" s="8">
        <f>G341*H341</f>
        <v/>
      </c>
      <c r="J341" s="8">
        <f>H341/E341</f>
        <v/>
      </c>
      <c r="K341" s="8" t="n">
        <v>33.36</v>
      </c>
      <c r="L341" s="8" t="n">
        <v>33.36</v>
      </c>
      <c r="M341" s="14">
        <f>J341/K341-1</f>
        <v/>
      </c>
      <c r="N341" s="7" t="inlineStr">
        <is>
          <t>ACIMA +11.8%</t>
        </is>
      </c>
      <c r="O341" s="7" t="inlineStr">
        <is>
          <t>estoque parcial (1 un)</t>
        </is>
      </c>
    </row>
    <row r="342">
      <c r="A342" s="7" t="n">
        <v>640111</v>
      </c>
      <c r="B342" s="7" t="inlineStr"/>
      <c r="C342" s="12" t="inlineStr">
        <is>
          <t>7897947617445</t>
        </is>
      </c>
      <c r="D342" s="7" t="inlineStr">
        <is>
          <t>LAVITAN CABELOS E UNHAS CPRV FR C/30 SF</t>
        </is>
      </c>
      <c r="E342" s="13" t="n">
        <v>1</v>
      </c>
      <c r="F342" s="13" t="n">
        <v>1</v>
      </c>
      <c r="G342" s="13" t="n">
        <v>1</v>
      </c>
      <c r="H342" s="8" t="n">
        <v>43.91</v>
      </c>
      <c r="I342" s="8">
        <f>G342*H342</f>
        <v/>
      </c>
      <c r="J342" s="8">
        <f>H342/E342</f>
        <v/>
      </c>
      <c r="K342" s="8" t="n">
        <v>38.21</v>
      </c>
      <c r="L342" s="8" t="n">
        <v>36.39</v>
      </c>
      <c r="M342" s="14">
        <f>J342/K342-1</f>
        <v/>
      </c>
      <c r="N342" s="7" t="inlineStr">
        <is>
          <t>ACIMA +14.9%</t>
        </is>
      </c>
      <c r="O342" s="7" t="inlineStr"/>
    </row>
    <row r="343">
      <c r="A343" s="7" t="n">
        <v>1243</v>
      </c>
      <c r="B343" s="7" t="inlineStr"/>
      <c r="C343" s="12" t="inlineStr">
        <is>
          <t>7897947601871</t>
        </is>
      </c>
      <c r="D343" s="7" t="inlineStr">
        <is>
          <t>LAVITAN COLAGENO VERI+AC H PO PT 300G</t>
        </is>
      </c>
      <c r="E343" s="13" t="n">
        <v>1</v>
      </c>
      <c r="F343" s="13" t="n">
        <v>1</v>
      </c>
      <c r="G343" s="13" t="n">
        <v>1</v>
      </c>
      <c r="H343" s="8" t="n">
        <v>97.95999999999999</v>
      </c>
      <c r="I343" s="8">
        <f>G343*H343</f>
        <v/>
      </c>
      <c r="J343" s="8">
        <f>H343/E343</f>
        <v/>
      </c>
      <c r="K343" s="8" t="n">
        <v>78.52</v>
      </c>
      <c r="L343" s="8" t="n">
        <v>78.52</v>
      </c>
      <c r="M343" s="14">
        <f>J343/K343-1</f>
        <v/>
      </c>
      <c r="N343" s="7" t="inlineStr">
        <is>
          <t>ACIMA +24.8%</t>
        </is>
      </c>
      <c r="O343" s="7" t="inlineStr"/>
    </row>
    <row r="344">
      <c r="A344" s="7" t="n">
        <v>984</v>
      </c>
      <c r="B344" s="7" t="inlineStr"/>
      <c r="C344" s="12" t="inlineStr">
        <is>
          <t>7897947621077</t>
        </is>
      </c>
      <c r="D344" s="7" t="inlineStr">
        <is>
          <t>LAVITAN COMPLEXO B COMP REV FR X 100</t>
        </is>
      </c>
      <c r="E344" s="13" t="n">
        <v>1</v>
      </c>
      <c r="F344" s="13" t="n">
        <v>1</v>
      </c>
      <c r="G344" s="13" t="n">
        <v>1</v>
      </c>
      <c r="H344" s="8" t="n">
        <v>38.97</v>
      </c>
      <c r="I344" s="8">
        <f>G344*H344</f>
        <v/>
      </c>
      <c r="J344" s="8">
        <f>H344/E344</f>
        <v/>
      </c>
      <c r="K344" s="8" t="n"/>
      <c r="L344" s="8" t="n"/>
      <c r="M344" s="14" t="n"/>
      <c r="N344" s="7" t="inlineStr">
        <is>
          <t>SEM HISTÓRICO</t>
        </is>
      </c>
      <c r="O344" s="7" t="inlineStr"/>
    </row>
    <row r="345">
      <c r="A345" s="7" t="n">
        <v>655431</v>
      </c>
      <c r="B345" s="7" t="inlineStr"/>
      <c r="C345" s="12" t="inlineStr">
        <is>
          <t>7897947620223</t>
        </is>
      </c>
      <c r="D345" s="7" t="inlineStr">
        <is>
          <t>LAVITAN CREATINA PO PT 300G</t>
        </is>
      </c>
      <c r="E345" s="13" t="n">
        <v>1</v>
      </c>
      <c r="F345" s="13" t="n">
        <v>3</v>
      </c>
      <c r="G345" s="13" t="n">
        <v>3</v>
      </c>
      <c r="H345" s="8" t="n">
        <v>86.87</v>
      </c>
      <c r="I345" s="8">
        <f>G345*H345</f>
        <v/>
      </c>
      <c r="J345" s="8">
        <f>H345/E345</f>
        <v/>
      </c>
      <c r="K345" s="8" t="n">
        <v>31.99</v>
      </c>
      <c r="L345" s="8" t="n">
        <v>31.99</v>
      </c>
      <c r="M345" s="14">
        <f>J345/K345-1</f>
        <v/>
      </c>
      <c r="N345" s="7" t="inlineStr">
        <is>
          <t>ACIMA +171.6%</t>
        </is>
      </c>
      <c r="O345" s="7" t="inlineStr">
        <is>
          <t>conferir emb.</t>
        </is>
      </c>
    </row>
    <row r="346">
      <c r="A346" s="7" t="n">
        <v>564641</v>
      </c>
      <c r="B346" s="7" t="inlineStr"/>
      <c r="C346" s="12" t="inlineStr">
        <is>
          <t>7897947601147</t>
        </is>
      </c>
      <c r="D346" s="7" t="inlineStr">
        <is>
          <t>LAVITAN MELATONINA 0,21MG CP PT 90 MOR</t>
        </is>
      </c>
      <c r="E346" s="13" t="n">
        <v>1</v>
      </c>
      <c r="F346" s="13" t="n">
        <v>13</v>
      </c>
      <c r="G346" s="13" t="n">
        <v>13</v>
      </c>
      <c r="H346" s="8" t="n">
        <v>19.18</v>
      </c>
      <c r="I346" s="8">
        <f>G346*H346</f>
        <v/>
      </c>
      <c r="J346" s="8">
        <f>H346/E346</f>
        <v/>
      </c>
      <c r="K346" s="8" t="n">
        <v>21.94</v>
      </c>
      <c r="L346" s="8" t="n">
        <v>19.59</v>
      </c>
      <c r="M346" s="14">
        <f>J346/K346-1</f>
        <v/>
      </c>
      <c r="N346" s="7" t="inlineStr">
        <is>
          <t>OK (≤ menor hist.)</t>
        </is>
      </c>
      <c r="O346" s="7" t="inlineStr"/>
    </row>
    <row r="347">
      <c r="A347" s="7" t="n">
        <v>546241</v>
      </c>
      <c r="B347" s="7" t="inlineStr"/>
      <c r="C347" s="12" t="inlineStr">
        <is>
          <t>7897947616509</t>
        </is>
      </c>
      <c r="D347" s="7" t="inlineStr">
        <is>
          <t>LAVITAN MULTI HOMEM 5G 60CP</t>
        </is>
      </c>
      <c r="E347" s="13" t="n">
        <v>1</v>
      </c>
      <c r="F347" s="13" t="n">
        <v>8</v>
      </c>
      <c r="G347" s="13" t="n">
        <v>8</v>
      </c>
      <c r="H347" s="8" t="n">
        <v>39.92</v>
      </c>
      <c r="I347" s="8">
        <f>G347*H347</f>
        <v/>
      </c>
      <c r="J347" s="8">
        <f>H347/E347</f>
        <v/>
      </c>
      <c r="K347" s="8" t="n">
        <v>36.5</v>
      </c>
      <c r="L347" s="8" t="n">
        <v>32.59</v>
      </c>
      <c r="M347" s="14">
        <f>J347/K347-1</f>
        <v/>
      </c>
      <c r="N347" s="7" t="inlineStr">
        <is>
          <t>ACIMA +9.4%</t>
        </is>
      </c>
      <c r="O347" s="7" t="inlineStr"/>
    </row>
    <row r="348">
      <c r="A348" s="7" t="n">
        <v>546261</v>
      </c>
      <c r="B348" s="7" t="inlineStr"/>
      <c r="C348" s="12" t="inlineStr">
        <is>
          <t>7897947616516</t>
        </is>
      </c>
      <c r="D348" s="7" t="inlineStr">
        <is>
          <t>LAVITAN MULTI MULHER 5G 60CP</t>
        </is>
      </c>
      <c r="E348" s="13" t="n">
        <v>1</v>
      </c>
      <c r="F348" s="13" t="n">
        <v>4</v>
      </c>
      <c r="G348" s="13" t="n">
        <v>4</v>
      </c>
      <c r="H348" s="8" t="n">
        <v>39.92</v>
      </c>
      <c r="I348" s="8">
        <f>G348*H348</f>
        <v/>
      </c>
      <c r="J348" s="8">
        <f>H348/E348</f>
        <v/>
      </c>
      <c r="K348" s="8" t="n">
        <v>38.33</v>
      </c>
      <c r="L348" s="8" t="n">
        <v>32.59</v>
      </c>
      <c r="M348" s="14">
        <f>J348/K348-1</f>
        <v/>
      </c>
      <c r="N348" s="7" t="inlineStr">
        <is>
          <t>ACIMA +4.1%</t>
        </is>
      </c>
      <c r="O348" s="7" t="inlineStr"/>
    </row>
    <row r="349">
      <c r="A349" s="7" t="n">
        <v>546101</v>
      </c>
      <c r="B349" s="7" t="inlineStr"/>
      <c r="C349" s="12" t="inlineStr">
        <is>
          <t>7897947612600</t>
        </is>
      </c>
      <c r="D349" s="7" t="inlineStr">
        <is>
          <t>LAVITAN OMEGA 3 MAIS 90CP GEL</t>
        </is>
      </c>
      <c r="E349" s="13" t="n">
        <v>1</v>
      </c>
      <c r="F349" s="13" t="n">
        <v>1</v>
      </c>
      <c r="G349" s="13" t="n">
        <v>1</v>
      </c>
      <c r="H349" s="8" t="n">
        <v>42.04</v>
      </c>
      <c r="I349" s="8">
        <f>G349*H349</f>
        <v/>
      </c>
      <c r="J349" s="8">
        <f>H349/E349</f>
        <v/>
      </c>
      <c r="K349" s="8" t="n">
        <v>32.59</v>
      </c>
      <c r="L349" s="8" t="n">
        <v>32.59</v>
      </c>
      <c r="M349" s="14">
        <f>J349/K349-1</f>
        <v/>
      </c>
      <c r="N349" s="7" t="inlineStr">
        <is>
          <t>ACIMA +29.0%</t>
        </is>
      </c>
      <c r="O349" s="7" t="inlineStr"/>
    </row>
    <row r="350">
      <c r="A350" s="7" t="n">
        <v>616351</v>
      </c>
      <c r="B350" s="7" t="inlineStr"/>
      <c r="C350" s="12" t="inlineStr">
        <is>
          <t>7897947612594</t>
        </is>
      </c>
      <c r="D350" s="7" t="inlineStr">
        <is>
          <t>LAVITAN VIT AZ MULHER COMP REV FR C/ 90</t>
        </is>
      </c>
      <c r="E350" s="13" t="n">
        <v>1</v>
      </c>
      <c r="F350" s="13" t="n">
        <v>9</v>
      </c>
      <c r="G350" s="13" t="n">
        <v>9</v>
      </c>
      <c r="H350" s="8" t="n">
        <v>22.22</v>
      </c>
      <c r="I350" s="8">
        <f>G350*H350</f>
        <v/>
      </c>
      <c r="J350" s="8">
        <f>H350/E350</f>
        <v/>
      </c>
      <c r="K350" s="8" t="n">
        <v>21.39</v>
      </c>
      <c r="L350" s="8" t="n">
        <v>21.39</v>
      </c>
      <c r="M350" s="14">
        <f>J350/K350-1</f>
        <v/>
      </c>
      <c r="N350" s="7" t="inlineStr">
        <is>
          <t>ACIMA +3.9%</t>
        </is>
      </c>
      <c r="O350" s="7" t="inlineStr"/>
    </row>
    <row r="351">
      <c r="A351" s="7" t="n">
        <v>646341</v>
      </c>
      <c r="B351" s="7" t="inlineStr"/>
      <c r="C351" s="12" t="inlineStr">
        <is>
          <t>7908615053097</t>
        </is>
      </c>
      <c r="D351" s="7" t="inlineStr">
        <is>
          <t>LEAVE IN ELSEVE 100ML CICATRI RENOV BNGA</t>
        </is>
      </c>
      <c r="E351" s="13" t="n">
        <v>1</v>
      </c>
      <c r="F351" s="13" t="n">
        <v>1</v>
      </c>
      <c r="G351" s="13" t="n">
        <v>1</v>
      </c>
      <c r="H351" s="8" t="n">
        <v>26.54</v>
      </c>
      <c r="I351" s="8">
        <f>G351*H351</f>
        <v/>
      </c>
      <c r="J351" s="8">
        <f>H351/E351</f>
        <v/>
      </c>
      <c r="K351" s="8" t="n">
        <v>30.07</v>
      </c>
      <c r="L351" s="8" t="n">
        <v>30.07</v>
      </c>
      <c r="M351" s="14">
        <f>J351/K351-1</f>
        <v/>
      </c>
      <c r="N351" s="7" t="inlineStr">
        <is>
          <t>OK (≤ menor hist.)</t>
        </is>
      </c>
      <c r="O351" s="7" t="inlineStr"/>
    </row>
    <row r="352">
      <c r="A352" s="7" t="n">
        <v>651991</v>
      </c>
      <c r="B352" s="7" t="inlineStr"/>
      <c r="C352" s="12" t="inlineStr">
        <is>
          <t>7895858015664</t>
        </is>
      </c>
      <c r="D352" s="7" t="inlineStr">
        <is>
          <t>LEITE DE MAGNESIA PHILLIPS HORT 120ML</t>
        </is>
      </c>
      <c r="E352" s="13" t="n">
        <v>1</v>
      </c>
      <c r="F352" s="13" t="n">
        <v>1</v>
      </c>
      <c r="G352" s="13" t="n">
        <v>1</v>
      </c>
      <c r="H352" s="8" t="n">
        <v>18.88</v>
      </c>
      <c r="I352" s="8">
        <f>G352*H352</f>
        <v/>
      </c>
      <c r="J352" s="8">
        <f>H352/E352</f>
        <v/>
      </c>
      <c r="K352" s="8" t="n">
        <v>18.31</v>
      </c>
      <c r="L352" s="8" t="n">
        <v>9.81</v>
      </c>
      <c r="M352" s="14">
        <f>J352/K352-1</f>
        <v/>
      </c>
      <c r="N352" s="7" t="inlineStr">
        <is>
          <t>ACIMA +3.1%</t>
        </is>
      </c>
      <c r="O352" s="7" t="inlineStr"/>
    </row>
    <row r="353">
      <c r="A353" s="7" t="n">
        <v>537361</v>
      </c>
      <c r="B353" s="7" t="inlineStr"/>
      <c r="C353" s="12" t="inlineStr">
        <is>
          <t>7891010247324</t>
        </is>
      </c>
      <c r="D353" s="7" t="inlineStr">
        <is>
          <t>LENC HUM JOHNSONS 44UN</t>
        </is>
      </c>
      <c r="E353" s="13" t="n">
        <v>1</v>
      </c>
      <c r="F353" s="13" t="n">
        <v>4</v>
      </c>
      <c r="G353" s="13" t="n">
        <v>4</v>
      </c>
      <c r="H353" s="8" t="n">
        <v>11.75</v>
      </c>
      <c r="I353" s="8">
        <f>G353*H353</f>
        <v/>
      </c>
      <c r="J353" s="8">
        <f>H353/E353</f>
        <v/>
      </c>
      <c r="K353" s="8" t="n">
        <v>11.36</v>
      </c>
      <c r="L353" s="8" t="n">
        <v>11.36</v>
      </c>
      <c r="M353" s="14">
        <f>J353/K353-1</f>
        <v/>
      </c>
      <c r="N353" s="7" t="inlineStr">
        <is>
          <t>ACIMA +3.4%</t>
        </is>
      </c>
      <c r="O353" s="7" t="inlineStr"/>
    </row>
    <row r="354">
      <c r="A354" s="7" t="n">
        <v>661741</v>
      </c>
      <c r="B354" s="7" t="inlineStr"/>
      <c r="C354" s="12" t="inlineStr">
        <is>
          <t>7896018700536</t>
        </is>
      </c>
      <c r="D354" s="7" t="inlineStr">
        <is>
          <t>LENCO UMED INTIMUS DEFESA NATURAL 16UN</t>
        </is>
      </c>
      <c r="E354" s="13" t="n">
        <v>1</v>
      </c>
      <c r="F354" s="13" t="n">
        <v>2</v>
      </c>
      <c r="G354" s="13" t="n">
        <v>2</v>
      </c>
      <c r="H354" s="8" t="n">
        <v>11.87</v>
      </c>
      <c r="I354" s="8">
        <f>G354*H354</f>
        <v/>
      </c>
      <c r="J354" s="8">
        <f>H354/E354</f>
        <v/>
      </c>
      <c r="K354" s="8" t="n">
        <v>6.5371</v>
      </c>
      <c r="L354" s="8" t="n">
        <v>6.5371</v>
      </c>
      <c r="M354" s="14">
        <f>J354/K354-1</f>
        <v/>
      </c>
      <c r="N354" s="7" t="inlineStr">
        <is>
          <t>ACIMA +81.6%</t>
        </is>
      </c>
      <c r="O354" s="7" t="inlineStr"/>
    </row>
    <row r="355">
      <c r="A355" s="7" t="n">
        <v>594421</v>
      </c>
      <c r="B355" s="7" t="inlineStr"/>
      <c r="C355" s="12" t="inlineStr">
        <is>
          <t>7891010568764</t>
        </is>
      </c>
      <c r="D355" s="7" t="inlineStr">
        <is>
          <t>LENCOS J J BABY UMED H SONO</t>
        </is>
      </c>
      <c r="E355" s="13" t="n">
        <v>1</v>
      </c>
      <c r="F355" s="13" t="n">
        <v>2</v>
      </c>
      <c r="G355" s="13" t="n">
        <v>2</v>
      </c>
      <c r="H355" s="8" t="n">
        <v>16.94</v>
      </c>
      <c r="I355" s="8">
        <f>G355*H355</f>
        <v/>
      </c>
      <c r="J355" s="8">
        <f>H355/E355</f>
        <v/>
      </c>
      <c r="K355" s="8" t="n">
        <v>15.74</v>
      </c>
      <c r="L355" s="8" t="n">
        <v>15.74</v>
      </c>
      <c r="M355" s="14">
        <f>J355/K355-1</f>
        <v/>
      </c>
      <c r="N355" s="7" t="inlineStr">
        <is>
          <t>ACIMA +7.6%</t>
        </is>
      </c>
      <c r="O355" s="7" t="inlineStr"/>
    </row>
    <row r="356">
      <c r="A356" s="7" t="n">
        <v>319001</v>
      </c>
      <c r="B356" s="7" t="inlineStr"/>
      <c r="C356" s="12" t="inlineStr">
        <is>
          <t>7896523200361</t>
        </is>
      </c>
      <c r="D356" s="7" t="inlineStr">
        <is>
          <t>LEVONORGESTREL 1,5MG CX 1 COMP</t>
        </is>
      </c>
      <c r="E356" s="13" t="n">
        <v>1</v>
      </c>
      <c r="F356" s="13" t="n">
        <v>40</v>
      </c>
      <c r="G356" s="13" t="n">
        <v>40</v>
      </c>
      <c r="H356" s="8" t="n">
        <v>13.88</v>
      </c>
      <c r="I356" s="8">
        <f>G356*H356</f>
        <v/>
      </c>
      <c r="J356" s="8">
        <f>H356/E356</f>
        <v/>
      </c>
      <c r="K356" s="8" t="n">
        <v>5.19</v>
      </c>
      <c r="L356" s="8" t="n">
        <v>5.19</v>
      </c>
      <c r="M356" s="14">
        <f>J356/K356-1</f>
        <v/>
      </c>
      <c r="N356" s="7" t="inlineStr">
        <is>
          <t>ACIMA +167.4%</t>
        </is>
      </c>
      <c r="O356" s="7" t="inlineStr">
        <is>
          <t>conferir emb.</t>
        </is>
      </c>
    </row>
    <row r="357">
      <c r="A357" s="7" t="n">
        <v>634641</v>
      </c>
      <c r="B357" s="7" t="inlineStr"/>
      <c r="C357" s="12" t="inlineStr">
        <is>
          <t>7891721202889</t>
        </is>
      </c>
      <c r="D357" s="7" t="inlineStr">
        <is>
          <t>LEVOTIROXINA SODICA 125MCG CX 30 COMP</t>
        </is>
      </c>
      <c r="E357" s="13" t="n">
        <v>1</v>
      </c>
      <c r="F357" s="13" t="n">
        <v>11</v>
      </c>
      <c r="G357" s="13" t="n">
        <v>11</v>
      </c>
      <c r="H357" s="8" t="n">
        <v>11.673102</v>
      </c>
      <c r="I357" s="8">
        <f>G357*H357</f>
        <v/>
      </c>
      <c r="J357" s="8">
        <f>H357/E357</f>
        <v/>
      </c>
      <c r="K357" s="8" t="n">
        <v>10.295</v>
      </c>
      <c r="L357" s="8" t="n">
        <v>10.275</v>
      </c>
      <c r="M357" s="14">
        <f>J357/K357-1</f>
        <v/>
      </c>
      <c r="N357" s="7" t="inlineStr">
        <is>
          <t>ACIMA +13.4%</t>
        </is>
      </c>
      <c r="O357" s="7" t="inlineStr"/>
    </row>
    <row r="358">
      <c r="A358" s="7" t="n">
        <v>634661</v>
      </c>
      <c r="B358" s="7" t="inlineStr"/>
      <c r="C358" s="12" t="inlineStr">
        <is>
          <t>7891721202810</t>
        </is>
      </c>
      <c r="D358" s="7" t="inlineStr">
        <is>
          <t>LEVOTIROXINA SODICA 50MCG CX 30 COMP</t>
        </is>
      </c>
      <c r="E358" s="13" t="n">
        <v>1</v>
      </c>
      <c r="F358" s="13" t="n">
        <v>2</v>
      </c>
      <c r="G358" s="13" t="n">
        <v>2</v>
      </c>
      <c r="H358" s="8" t="n">
        <v>9.317828</v>
      </c>
      <c r="I358" s="8">
        <f>G358*H358</f>
        <v/>
      </c>
      <c r="J358" s="8">
        <f>H358/E358</f>
        <v/>
      </c>
      <c r="K358" s="8" t="n">
        <v>6.89</v>
      </c>
      <c r="L358" s="8" t="n">
        <v>6.6717</v>
      </c>
      <c r="M358" s="14">
        <f>J358/K358-1</f>
        <v/>
      </c>
      <c r="N358" s="7" t="inlineStr">
        <is>
          <t>ACIMA +35.2%</t>
        </is>
      </c>
      <c r="O358" s="7" t="inlineStr"/>
    </row>
    <row r="359">
      <c r="A359" s="7" t="n">
        <v>634681</v>
      </c>
      <c r="B359" s="7" t="inlineStr"/>
      <c r="C359" s="12" t="inlineStr">
        <is>
          <t>7891721202841</t>
        </is>
      </c>
      <c r="D359" s="7" t="inlineStr">
        <is>
          <t>LEVOTIROXINA SODICA 88MCG CX 30 COMP</t>
        </is>
      </c>
      <c r="E359" s="13" t="n">
        <v>1</v>
      </c>
      <c r="F359" s="13" t="n">
        <v>4</v>
      </c>
      <c r="G359" s="13" t="n">
        <v>4</v>
      </c>
      <c r="H359" s="8" t="n">
        <v>12.298024</v>
      </c>
      <c r="I359" s="8">
        <f>G359*H359</f>
        <v/>
      </c>
      <c r="J359" s="8">
        <f>H359/E359</f>
        <v/>
      </c>
      <c r="K359" s="8" t="n">
        <v>9.085599999999999</v>
      </c>
      <c r="L359" s="8" t="n">
        <v>8.81</v>
      </c>
      <c r="M359" s="14">
        <f>J359/K359-1</f>
        <v/>
      </c>
      <c r="N359" s="7" t="inlineStr">
        <is>
          <t>ACIMA +35.4%</t>
        </is>
      </c>
      <c r="O359" s="7" t="inlineStr"/>
    </row>
    <row r="360">
      <c r="A360" s="7" t="n">
        <v>553481</v>
      </c>
      <c r="B360" s="7" t="inlineStr"/>
      <c r="C360" s="12" t="inlineStr">
        <is>
          <t>7895858017422</t>
        </is>
      </c>
      <c r="D360" s="7" t="inlineStr">
        <is>
          <t>MAGNESIA BISURADA 63,7+521+67+3,3MG(CARTELA)</t>
        </is>
      </c>
      <c r="E360" s="13" t="n">
        <v>4</v>
      </c>
      <c r="F360" s="13" t="n">
        <v>6</v>
      </c>
      <c r="G360" s="13" t="n">
        <v>2</v>
      </c>
      <c r="H360" s="8" t="n">
        <v>41.17</v>
      </c>
      <c r="I360" s="8">
        <f>G360*H360</f>
        <v/>
      </c>
      <c r="J360" s="8">
        <f>H360/E360</f>
        <v/>
      </c>
      <c r="K360" s="8" t="n">
        <v>10.2681</v>
      </c>
      <c r="L360" s="8" t="n">
        <v>8.754799999999999</v>
      </c>
      <c r="M360" s="14">
        <f>J360/K360-1</f>
        <v/>
      </c>
      <c r="N360" s="7" t="inlineStr">
        <is>
          <t>ACIMA +0.2%</t>
        </is>
      </c>
      <c r="O360" s="7" t="inlineStr">
        <is>
          <t>1 emb = 4 un</t>
        </is>
      </c>
    </row>
    <row r="361">
      <c r="A361" s="7" t="n">
        <v>79381</v>
      </c>
      <c r="B361" s="7" t="inlineStr"/>
      <c r="C361" s="12" t="inlineStr">
        <is>
          <t>7895858017309</t>
        </is>
      </c>
      <c r="D361" s="7" t="inlineStr">
        <is>
          <t>MAGNESIA BISURADA 63,70+521,0+67,0+3,30MG CX 200 PAST</t>
        </is>
      </c>
      <c r="E361" s="13" t="n">
        <v>20</v>
      </c>
      <c r="F361" s="13" t="n">
        <v>1</v>
      </c>
      <c r="G361" s="13" t="n">
        <v>1</v>
      </c>
      <c r="H361" s="8" t="n">
        <v>205.88</v>
      </c>
      <c r="I361" s="8">
        <f>G361*H361</f>
        <v/>
      </c>
      <c r="J361" s="8">
        <f>H361/E361</f>
        <v/>
      </c>
      <c r="K361" s="8" t="n">
        <v>9.779299999999999</v>
      </c>
      <c r="L361" s="8" t="n">
        <v>8.995799999999999</v>
      </c>
      <c r="M361" s="14">
        <f>J361/K361-1</f>
        <v/>
      </c>
      <c r="N361" s="7" t="inlineStr">
        <is>
          <t>ACIMA +5.3%</t>
        </is>
      </c>
      <c r="O361" s="7" t="inlineStr">
        <is>
          <t>1 emb = 20 un</t>
        </is>
      </c>
    </row>
    <row r="362">
      <c r="A362" s="7" t="n">
        <v>654211</v>
      </c>
      <c r="B362" s="7" t="inlineStr"/>
      <c r="C362" s="12" t="inlineStr">
        <is>
          <t>7896026170406</t>
        </is>
      </c>
      <c r="D362" s="7" t="inlineStr">
        <is>
          <t>MALVATRIKIDS BABY CR DEN S/FLUOR 70G</t>
        </is>
      </c>
      <c r="E362" s="13" t="n">
        <v>1</v>
      </c>
      <c r="F362" s="13" t="n">
        <v>3</v>
      </c>
      <c r="G362" s="13" t="n">
        <v>3</v>
      </c>
      <c r="H362" s="8" t="n">
        <v>18.4106</v>
      </c>
      <c r="I362" s="8">
        <f>G362*H362</f>
        <v/>
      </c>
      <c r="J362" s="8">
        <f>H362/E362</f>
        <v/>
      </c>
      <c r="K362" s="8" t="n">
        <v>13.26</v>
      </c>
      <c r="L362" s="8" t="n">
        <v>13.26</v>
      </c>
      <c r="M362" s="14">
        <f>J362/K362-1</f>
        <v/>
      </c>
      <c r="N362" s="7" t="inlineStr">
        <is>
          <t>ACIMA +38.8%</t>
        </is>
      </c>
      <c r="O362" s="7" t="inlineStr"/>
    </row>
    <row r="363">
      <c r="A363" s="7" t="n">
        <v>640591</v>
      </c>
      <c r="B363" s="7" t="inlineStr"/>
      <c r="C363" s="12" t="inlineStr">
        <is>
          <t>7898040322540</t>
        </is>
      </c>
      <c r="D363" s="7" t="inlineStr">
        <is>
          <t>MARESIS (N.S.) SOL SPRAY FR 100ML</t>
        </is>
      </c>
      <c r="E363" s="13" t="n">
        <v>1</v>
      </c>
      <c r="F363" s="13" t="n">
        <v>1</v>
      </c>
      <c r="G363" s="13" t="n">
        <v>1</v>
      </c>
      <c r="H363" s="8" t="n">
        <v>37.7427</v>
      </c>
      <c r="I363" s="8">
        <f>G363*H363</f>
        <v/>
      </c>
      <c r="J363" s="8">
        <f>H363/E363</f>
        <v/>
      </c>
      <c r="K363" s="8" t="n">
        <v>41.6</v>
      </c>
      <c r="L363" s="8" t="n">
        <v>37.585</v>
      </c>
      <c r="M363" s="14">
        <f>J363/K363-1</f>
        <v/>
      </c>
      <c r="N363" s="7" t="inlineStr">
        <is>
          <t>OK (≤ últ. compra)</t>
        </is>
      </c>
      <c r="O363" s="7" t="inlineStr"/>
    </row>
    <row r="364">
      <c r="A364" s="7" t="n">
        <v>653761</v>
      </c>
      <c r="B364" s="7" t="inlineStr"/>
      <c r="C364" s="12" t="inlineStr">
        <is>
          <t>7898244720609</t>
        </is>
      </c>
      <c r="D364" s="7" t="inlineStr">
        <is>
          <t>MARESIS FLEX 1,08G KIT FR+15SACH   FQM %DN:15.00</t>
        </is>
      </c>
      <c r="E364" s="13" t="n">
        <v>1</v>
      </c>
      <c r="F364" s="13" t="n">
        <v>1</v>
      </c>
      <c r="G364" s="13" t="n">
        <v>1</v>
      </c>
      <c r="H364" s="8" t="n">
        <v>37.18980000000001</v>
      </c>
      <c r="I364" s="8">
        <f>G364*H364</f>
        <v/>
      </c>
      <c r="J364" s="8">
        <f>H364/E364</f>
        <v/>
      </c>
      <c r="K364" s="8" t="n">
        <v>33.8425</v>
      </c>
      <c r="L364" s="8" t="n">
        <v>33.8425</v>
      </c>
      <c r="M364" s="14">
        <f>J364/K364-1</f>
        <v/>
      </c>
      <c r="N364" s="7" t="inlineStr">
        <is>
          <t>ACIMA +9.9%</t>
        </is>
      </c>
      <c r="O364" s="7" t="inlineStr"/>
    </row>
    <row r="365">
      <c r="A365" s="7" t="n">
        <v>120461</v>
      </c>
      <c r="B365" s="7" t="inlineStr"/>
      <c r="C365" s="12" t="inlineStr">
        <is>
          <t>7898040326425</t>
        </is>
      </c>
      <c r="D365" s="7" t="inlineStr">
        <is>
          <t>MARESIS HT 2% 20MG/ML SOL SPR NAS FR 100ML</t>
        </is>
      </c>
      <c r="E365" s="13" t="n">
        <v>1</v>
      </c>
      <c r="F365" s="13" t="n">
        <v>1</v>
      </c>
      <c r="G365" s="13" t="n">
        <v>1</v>
      </c>
      <c r="H365" s="8" t="n">
        <v>46.3854</v>
      </c>
      <c r="I365" s="8">
        <f>G365*H365</f>
        <v/>
      </c>
      <c r="J365" s="8">
        <f>H365/E365</f>
        <v/>
      </c>
      <c r="K365" s="8" t="n">
        <v>40.65</v>
      </c>
      <c r="L365" s="8" t="n">
        <v>40.65</v>
      </c>
      <c r="M365" s="14">
        <f>J365/K365-1</f>
        <v/>
      </c>
      <c r="N365" s="7" t="inlineStr">
        <is>
          <t>ACIMA +14.1%</t>
        </is>
      </c>
      <c r="O365" s="7" t="inlineStr"/>
    </row>
    <row r="366">
      <c r="A366" s="7" t="n">
        <v>615911</v>
      </c>
      <c r="B366" s="7" t="inlineStr"/>
      <c r="C366" s="12" t="inlineStr">
        <is>
          <t>7896000722737</t>
        </is>
      </c>
      <c r="D366" s="7" t="inlineStr">
        <is>
          <t>MASC HID CAP N GOLD O AR 430ML</t>
        </is>
      </c>
      <c r="E366" s="13" t="n">
        <v>1</v>
      </c>
      <c r="F366" s="13" t="n">
        <v>1</v>
      </c>
      <c r="G366" s="13" t="n">
        <v>1</v>
      </c>
      <c r="H366" s="8" t="n">
        <v>13.65</v>
      </c>
      <c r="I366" s="8">
        <f>G366*H366</f>
        <v/>
      </c>
      <c r="J366" s="8">
        <f>H366/E366</f>
        <v/>
      </c>
      <c r="K366" s="8" t="n">
        <v>9.779999999999999</v>
      </c>
      <c r="L366" s="8" t="n">
        <v>9.779999999999999</v>
      </c>
      <c r="M366" s="14">
        <f>J366/K366-1</f>
        <v/>
      </c>
      <c r="N366" s="7" t="inlineStr">
        <is>
          <t>ACIMA +39.6%</t>
        </is>
      </c>
      <c r="O366" s="7" t="inlineStr"/>
    </row>
    <row r="367">
      <c r="A367" s="7" t="n">
        <v>663151</v>
      </c>
      <c r="B367" s="7" t="inlineStr"/>
      <c r="C367" s="12" t="inlineStr">
        <is>
          <t>7891150101661</t>
        </is>
      </c>
      <c r="D367" s="7" t="inlineStr">
        <is>
          <t>MASC TRAT SEDA CERAMIDAS 300G</t>
        </is>
      </c>
      <c r="E367" s="13" t="n">
        <v>1</v>
      </c>
      <c r="F367" s="13" t="n">
        <v>1</v>
      </c>
      <c r="G367" s="13" t="n">
        <v>1</v>
      </c>
      <c r="H367" s="8" t="n">
        <v>14.31</v>
      </c>
      <c r="I367" s="8">
        <f>G367*H367</f>
        <v/>
      </c>
      <c r="J367" s="8">
        <f>H367/E367</f>
        <v/>
      </c>
      <c r="K367" s="8" t="n">
        <v>12.03</v>
      </c>
      <c r="L367" s="8" t="n">
        <v>12.03</v>
      </c>
      <c r="M367" s="14">
        <f>J367/K367-1</f>
        <v/>
      </c>
      <c r="N367" s="7" t="inlineStr">
        <is>
          <t>ACIMA +19.0%</t>
        </is>
      </c>
      <c r="O367" s="7" t="inlineStr"/>
    </row>
    <row r="368">
      <c r="A368" s="7" t="n">
        <v>663171</v>
      </c>
      <c r="B368" s="7" t="inlineStr"/>
      <c r="C368" s="12" t="inlineStr">
        <is>
          <t>7891150101579</t>
        </is>
      </c>
      <c r="D368" s="7" t="inlineStr">
        <is>
          <t>MASC TRAT SEDA TOQUE DE SEDA 300G</t>
        </is>
      </c>
      <c r="E368" s="13" t="n">
        <v>1</v>
      </c>
      <c r="F368" s="13" t="n">
        <v>1</v>
      </c>
      <c r="G368" s="13" t="n">
        <v>1</v>
      </c>
      <c r="H368" s="8" t="n">
        <v>14.31</v>
      </c>
      <c r="I368" s="8">
        <f>G368*H368</f>
        <v/>
      </c>
      <c r="J368" s="8">
        <f>H368/E368</f>
        <v/>
      </c>
      <c r="K368" s="8" t="n">
        <v>10.92</v>
      </c>
      <c r="L368" s="8" t="n">
        <v>10.92</v>
      </c>
      <c r="M368" s="14">
        <f>J368/K368-1</f>
        <v/>
      </c>
      <c r="N368" s="7" t="inlineStr">
        <is>
          <t>ACIMA +31.0%</t>
        </is>
      </c>
      <c r="O368" s="7" t="inlineStr"/>
    </row>
    <row r="369">
      <c r="A369" s="7" t="n">
        <v>660541</v>
      </c>
      <c r="B369" s="7" t="inlineStr"/>
      <c r="C369" s="12" t="inlineStr">
        <is>
          <t>7891150100350</t>
        </is>
      </c>
      <c r="D369" s="7" t="inlineStr">
        <is>
          <t>MASC TRAT TRESEMME BLIND ANTIUMIDADE 400GR</t>
        </is>
      </c>
      <c r="E369" s="13" t="n">
        <v>1</v>
      </c>
      <c r="F369" s="13" t="n">
        <v>1</v>
      </c>
      <c r="G369" s="13" t="n">
        <v>1</v>
      </c>
      <c r="H369" s="8" t="n">
        <v>21.28</v>
      </c>
      <c r="I369" s="8">
        <f>G369*H369</f>
        <v/>
      </c>
      <c r="J369" s="8">
        <f>H369/E369</f>
        <v/>
      </c>
      <c r="K369" s="8" t="n">
        <v>17.97</v>
      </c>
      <c r="L369" s="8" t="n">
        <v>17.97</v>
      </c>
      <c r="M369" s="14">
        <f>J369/K369-1</f>
        <v/>
      </c>
      <c r="N369" s="7" t="inlineStr">
        <is>
          <t>ACIMA +18.4%</t>
        </is>
      </c>
      <c r="O369" s="7" t="inlineStr"/>
    </row>
    <row r="370">
      <c r="A370" s="7" t="n">
        <v>650111</v>
      </c>
      <c r="B370" s="7" t="inlineStr"/>
      <c r="C370" s="12" t="inlineStr">
        <is>
          <t>7891150096738</t>
        </is>
      </c>
      <c r="D370" s="7" t="inlineStr">
        <is>
          <t>MASC. TRAT. CAP. DOVE HIDRAT. 500</t>
        </is>
      </c>
      <c r="E370" s="13" t="n">
        <v>1</v>
      </c>
      <c r="F370" s="13" t="n">
        <v>2</v>
      </c>
      <c r="G370" s="13" t="n">
        <v>2</v>
      </c>
      <c r="H370" s="8" t="n">
        <v>21.15</v>
      </c>
      <c r="I370" s="8">
        <f>G370*H370</f>
        <v/>
      </c>
      <c r="J370" s="8">
        <f>H370/E370</f>
        <v/>
      </c>
      <c r="K370" s="8" t="n">
        <v>17.54</v>
      </c>
      <c r="L370" s="8" t="n">
        <v>16.5133</v>
      </c>
      <c r="M370" s="14">
        <f>J370/K370-1</f>
        <v/>
      </c>
      <c r="N370" s="7" t="inlineStr">
        <is>
          <t>ACIMA +20.6%</t>
        </is>
      </c>
      <c r="O370" s="7" t="inlineStr"/>
    </row>
    <row r="371">
      <c r="A371" s="7" t="n">
        <v>665751</v>
      </c>
      <c r="B371" s="7" t="inlineStr"/>
      <c r="C371" s="12" t="inlineStr">
        <is>
          <t>7896148500600</t>
        </is>
      </c>
      <c r="D371" s="7" t="inlineStr">
        <is>
          <t>MEL DE ABELHA 200G BISNAGA FITOBEL</t>
        </is>
      </c>
      <c r="E371" s="13" t="n">
        <v>1</v>
      </c>
      <c r="F371" s="13" t="n">
        <v>2</v>
      </c>
      <c r="G371" s="13" t="n">
        <v>2</v>
      </c>
      <c r="H371" s="8" t="n">
        <v>10.54</v>
      </c>
      <c r="I371" s="8">
        <f>G371*H371</f>
        <v/>
      </c>
      <c r="J371" s="8">
        <f>H371/E371</f>
        <v/>
      </c>
      <c r="K371" s="8" t="n">
        <v>10.54</v>
      </c>
      <c r="L371" s="8" t="n">
        <v>9.43</v>
      </c>
      <c r="M371" s="14">
        <f>J371/K371-1</f>
        <v/>
      </c>
      <c r="N371" s="7" t="inlineStr">
        <is>
          <t>OK (≤ últ. compra)</t>
        </is>
      </c>
      <c r="O371" s="7" t="inlineStr"/>
    </row>
    <row r="372">
      <c r="A372" s="7" t="n">
        <v>345701</v>
      </c>
      <c r="B372" s="7" t="inlineStr"/>
      <c r="C372" s="12" t="inlineStr">
        <is>
          <t>7896014669028</t>
        </is>
      </c>
      <c r="D372" s="7" t="inlineStr">
        <is>
          <t>METREXATO 2,5MG CX 24 COMP</t>
        </is>
      </c>
      <c r="E372" s="13" t="n">
        <v>1</v>
      </c>
      <c r="F372" s="13" t="n">
        <v>7</v>
      </c>
      <c r="G372" s="13" t="n">
        <v>7</v>
      </c>
      <c r="H372" s="8" t="n">
        <v>25.110068</v>
      </c>
      <c r="I372" s="8">
        <f>G372*H372</f>
        <v/>
      </c>
      <c r="J372" s="8">
        <f>H372/E372</f>
        <v/>
      </c>
      <c r="K372" s="8" t="n">
        <v>24.8467</v>
      </c>
      <c r="L372" s="8" t="n">
        <v>20.995</v>
      </c>
      <c r="M372" s="14">
        <f>J372/K372-1</f>
        <v/>
      </c>
      <c r="N372" s="7" t="inlineStr">
        <is>
          <t>ACIMA +1.1%</t>
        </is>
      </c>
      <c r="O372" s="7" t="inlineStr"/>
    </row>
    <row r="373">
      <c r="A373" s="7" t="n">
        <v>650421</v>
      </c>
      <c r="B373" s="7" t="inlineStr"/>
      <c r="C373" s="12" t="inlineStr">
        <is>
          <t>7891800666090</t>
        </is>
      </c>
      <c r="D373" s="7" t="inlineStr">
        <is>
          <t>MICROPOROSA CREMER BRANCA 2,5CMX90CM</t>
        </is>
      </c>
      <c r="E373" s="13" t="n">
        <v>1</v>
      </c>
      <c r="F373" s="13" t="n">
        <v>7</v>
      </c>
      <c r="G373" s="13" t="n">
        <v>7</v>
      </c>
      <c r="H373" s="8" t="n">
        <v>3.9382</v>
      </c>
      <c r="I373" s="8">
        <f>G373*H373</f>
        <v/>
      </c>
      <c r="J373" s="8">
        <f>H373/E373</f>
        <v/>
      </c>
      <c r="K373" s="8" t="n">
        <v>4.0517</v>
      </c>
      <c r="L373" s="8" t="n">
        <v>3.83</v>
      </c>
      <c r="M373" s="14">
        <f>J373/K373-1</f>
        <v/>
      </c>
      <c r="N373" s="7" t="inlineStr">
        <is>
          <t>OK (≤ últ. compra)</t>
        </is>
      </c>
      <c r="O373" s="7" t="inlineStr"/>
    </row>
    <row r="374">
      <c r="A374" s="7" t="n">
        <v>225321</v>
      </c>
      <c r="B374" s="7" t="inlineStr"/>
      <c r="C374" s="12" t="inlineStr">
        <is>
          <t>7896004760995</t>
        </is>
      </c>
      <c r="D374" s="7" t="inlineStr">
        <is>
          <t>MIGRALIV CX 12 COMP</t>
        </is>
      </c>
      <c r="E374" s="13" t="n">
        <v>1</v>
      </c>
      <c r="F374" s="13" t="n">
        <v>1</v>
      </c>
      <c r="G374" s="13" t="n">
        <v>1</v>
      </c>
      <c r="H374" s="8" t="n">
        <v>16.56525</v>
      </c>
      <c r="I374" s="8">
        <f>G374*H374</f>
        <v/>
      </c>
      <c r="J374" s="8">
        <f>H374/E374</f>
        <v/>
      </c>
      <c r="K374" s="8" t="n">
        <v>12.36</v>
      </c>
      <c r="L374" s="8" t="n">
        <v>12.36</v>
      </c>
      <c r="M374" s="14">
        <f>J374/K374-1</f>
        <v/>
      </c>
      <c r="N374" s="7" t="inlineStr">
        <is>
          <t>ACIMA +34.0%</t>
        </is>
      </c>
      <c r="O374" s="7" t="inlineStr"/>
    </row>
    <row r="375">
      <c r="A375" s="7" t="n">
        <v>670851</v>
      </c>
      <c r="B375" s="7" t="inlineStr"/>
      <c r="C375" s="12" t="inlineStr">
        <is>
          <t>7891000357019</t>
        </is>
      </c>
      <c r="D375" s="7" t="inlineStr">
        <is>
          <t>MING MUCILON ARROZ/AVEIA SH 360G</t>
        </is>
      </c>
      <c r="E375" s="13" t="n">
        <v>1</v>
      </c>
      <c r="F375" s="13" t="n">
        <v>1</v>
      </c>
      <c r="G375" s="13" t="n">
        <v>1</v>
      </c>
      <c r="H375" s="8" t="n">
        <v>13.36</v>
      </c>
      <c r="I375" s="8">
        <f>G375*H375</f>
        <v/>
      </c>
      <c r="J375" s="8">
        <f>H375/E375</f>
        <v/>
      </c>
      <c r="K375" s="8" t="n">
        <v>8.59</v>
      </c>
      <c r="L375" s="8" t="n">
        <v>8.59</v>
      </c>
      <c r="M375" s="14">
        <f>J375/K375-1</f>
        <v/>
      </c>
      <c r="N375" s="7" t="inlineStr">
        <is>
          <t>ACIMA +55.5%</t>
        </is>
      </c>
      <c r="O375" s="7" t="inlineStr"/>
    </row>
    <row r="376">
      <c r="A376" s="7" t="n">
        <v>670861</v>
      </c>
      <c r="B376" s="7" t="inlineStr"/>
      <c r="C376" s="12" t="inlineStr">
        <is>
          <t>7891000356975</t>
        </is>
      </c>
      <c r="D376" s="7" t="inlineStr">
        <is>
          <t>MING MUCILON MILHO SH 360G</t>
        </is>
      </c>
      <c r="E376" s="13" t="n">
        <v>1</v>
      </c>
      <c r="F376" s="13" t="n">
        <v>1</v>
      </c>
      <c r="G376" s="13" t="n">
        <v>1</v>
      </c>
      <c r="H376" s="8" t="n">
        <v>13.36</v>
      </c>
      <c r="I376" s="8">
        <f>G376*H376</f>
        <v/>
      </c>
      <c r="J376" s="8">
        <f>H376/E376</f>
        <v/>
      </c>
      <c r="K376" s="8" t="n">
        <v>8.59</v>
      </c>
      <c r="L376" s="8" t="n">
        <v>8.59</v>
      </c>
      <c r="M376" s="14">
        <f>J376/K376-1</f>
        <v/>
      </c>
      <c r="N376" s="7" t="inlineStr">
        <is>
          <t>ACIMA +55.5%</t>
        </is>
      </c>
      <c r="O376" s="7" t="inlineStr"/>
    </row>
    <row r="377">
      <c r="A377" s="7" t="n">
        <v>351361</v>
      </c>
      <c r="B377" s="7" t="inlineStr"/>
      <c r="C377" s="12" t="inlineStr">
        <is>
          <t>7897851250585</t>
        </is>
      </c>
      <c r="D377" s="7" t="inlineStr">
        <is>
          <t>MONOCORDIL 40MG CX 30 COMP</t>
        </is>
      </c>
      <c r="E377" s="13" t="n">
        <v>1</v>
      </c>
      <c r="F377" s="13" t="n">
        <v>1</v>
      </c>
      <c r="G377" s="13" t="n">
        <v>1</v>
      </c>
      <c r="H377" s="8" t="n">
        <v>29.6723</v>
      </c>
      <c r="I377" s="8">
        <f>G377*H377</f>
        <v/>
      </c>
      <c r="J377" s="8">
        <f>H377/E377</f>
        <v/>
      </c>
      <c r="K377" s="8" t="n">
        <v>25.57</v>
      </c>
      <c r="L377" s="8" t="n">
        <v>25.57</v>
      </c>
      <c r="M377" s="14">
        <f>J377/K377-1</f>
        <v/>
      </c>
      <c r="N377" s="7" t="inlineStr">
        <is>
          <t>ACIMA +16.0%</t>
        </is>
      </c>
      <c r="O377" s="7" t="inlineStr"/>
    </row>
    <row r="378">
      <c r="A378" s="7" t="n">
        <v>229001</v>
      </c>
      <c r="B378" s="7" t="inlineStr"/>
      <c r="C378" s="12" t="inlineStr">
        <is>
          <t>7896212429738</t>
        </is>
      </c>
      <c r="D378" s="7" t="inlineStr">
        <is>
          <t>MOTILIUM 10MG CX 30 COMP</t>
        </is>
      </c>
      <c r="E378" s="13" t="n">
        <v>1</v>
      </c>
      <c r="F378" s="13" t="n">
        <v>5</v>
      </c>
      <c r="G378" s="13" t="n">
        <v>5</v>
      </c>
      <c r="H378" s="8" t="n">
        <v>27.88</v>
      </c>
      <c r="I378" s="8">
        <f>G378*H378</f>
        <v/>
      </c>
      <c r="J378" s="8">
        <f>H378/E378</f>
        <v/>
      </c>
      <c r="K378" s="8" t="n">
        <v>28.63</v>
      </c>
      <c r="L378" s="8" t="n">
        <v>27.02</v>
      </c>
      <c r="M378" s="14">
        <f>J378/K378-1</f>
        <v/>
      </c>
      <c r="N378" s="7" t="inlineStr">
        <is>
          <t>OK (≤ últ. compra)</t>
        </is>
      </c>
      <c r="O378" s="7" t="inlineStr">
        <is>
          <t>estoque parcial (1 un); preços divergentes entre EANs (usado menor)</t>
        </is>
      </c>
    </row>
    <row r="379">
      <c r="A379" s="7" t="n">
        <v>672781</v>
      </c>
      <c r="B379" s="7" t="inlineStr"/>
      <c r="C379" s="12" t="inlineStr">
        <is>
          <t>7891000319598</t>
        </is>
      </c>
      <c r="D379" s="7" t="inlineStr">
        <is>
          <t>MUCILON MILHO SACHET 12X180G BR</t>
        </is>
      </c>
      <c r="E379" s="13" t="n">
        <v>1</v>
      </c>
      <c r="F379" s="13" t="n">
        <v>1</v>
      </c>
      <c r="G379" s="13" t="n">
        <v>1</v>
      </c>
      <c r="H379" s="8" t="n">
        <v>7.46</v>
      </c>
      <c r="I379" s="8">
        <f>G379*H379</f>
        <v/>
      </c>
      <c r="J379" s="8">
        <f>H379/E379</f>
        <v/>
      </c>
      <c r="K379" s="8" t="n">
        <v>6.1883</v>
      </c>
      <c r="L379" s="8" t="n">
        <v>6.0358</v>
      </c>
      <c r="M379" s="14">
        <f>J379/K379-1</f>
        <v/>
      </c>
      <c r="N379" s="7" t="inlineStr">
        <is>
          <t>ACIMA +20.6%</t>
        </is>
      </c>
      <c r="O379" s="7" t="inlineStr"/>
    </row>
    <row r="380">
      <c r="A380" s="7" t="n">
        <v>590141</v>
      </c>
      <c r="B380" s="7" t="inlineStr"/>
      <c r="C380" s="12" t="inlineStr">
        <is>
          <t>7891000086131</t>
        </is>
      </c>
      <c r="D380" s="7" t="inlineStr">
        <is>
          <t>MUCILON MULTICEREAIS SACHET 9X600G BR</t>
        </is>
      </c>
      <c r="E380" s="13" t="n">
        <v>1</v>
      </c>
      <c r="F380" s="13" t="n">
        <v>1</v>
      </c>
      <c r="G380" s="13" t="n">
        <v>1</v>
      </c>
      <c r="H380" s="8" t="n">
        <v>23.14</v>
      </c>
      <c r="I380" s="8">
        <f>G380*H380</f>
        <v/>
      </c>
      <c r="J380" s="8">
        <f>H380/E380</f>
        <v/>
      </c>
      <c r="K380" s="8" t="n">
        <v>19.5189</v>
      </c>
      <c r="L380" s="8" t="n">
        <v>18.7089</v>
      </c>
      <c r="M380" s="14">
        <f>J380/K380-1</f>
        <v/>
      </c>
      <c r="N380" s="7" t="inlineStr">
        <is>
          <t>ACIMA +18.6%</t>
        </is>
      </c>
      <c r="O380" s="7" t="inlineStr"/>
    </row>
    <row r="381">
      <c r="A381" s="7" t="n">
        <v>609671</v>
      </c>
      <c r="B381" s="7" t="inlineStr"/>
      <c r="C381" s="12" t="inlineStr">
        <is>
          <t>7891000383063</t>
        </is>
      </c>
      <c r="D381" s="7" t="inlineStr">
        <is>
          <t>MUCILON PIPOQUINHA MILHO 35G</t>
        </is>
      </c>
      <c r="E381" s="13" t="n">
        <v>1</v>
      </c>
      <c r="F381" s="13" t="n">
        <v>1</v>
      </c>
      <c r="G381" s="13" t="n">
        <v>1</v>
      </c>
      <c r="H381" s="8" t="n">
        <v>5.01</v>
      </c>
      <c r="I381" s="8">
        <f>G381*H381</f>
        <v/>
      </c>
      <c r="J381" s="8">
        <f>H381/E381</f>
        <v/>
      </c>
      <c r="K381" s="8" t="n">
        <v>4.28</v>
      </c>
      <c r="L381" s="8" t="n">
        <v>4.28</v>
      </c>
      <c r="M381" s="14">
        <f>J381/K381-1</f>
        <v/>
      </c>
      <c r="N381" s="7" t="inlineStr">
        <is>
          <t>ACIMA +17.1%</t>
        </is>
      </c>
      <c r="O381" s="7" t="inlineStr"/>
    </row>
    <row r="382">
      <c r="A382" s="7" t="n">
        <v>661311</v>
      </c>
      <c r="B382" s="7" t="inlineStr"/>
      <c r="C382" s="12" t="inlineStr">
        <is>
          <t>0618231034291</t>
        </is>
      </c>
      <c r="D382" s="7" t="inlineStr">
        <is>
          <t>MULTIVITALE VIT D 2.000UI 60CPS</t>
        </is>
      </c>
      <c r="E382" s="13" t="n">
        <v>1</v>
      </c>
      <c r="F382" s="13" t="n">
        <v>1</v>
      </c>
      <c r="G382" s="13" t="n">
        <v>1</v>
      </c>
      <c r="H382" s="8" t="n">
        <v>18.31</v>
      </c>
      <c r="I382" s="8">
        <f>G382*H382</f>
        <v/>
      </c>
      <c r="J382" s="8">
        <f>H382/E382</f>
        <v/>
      </c>
      <c r="K382" s="8" t="n">
        <v>18.31</v>
      </c>
      <c r="L382" s="8" t="n">
        <v>18.31</v>
      </c>
      <c r="M382" s="14">
        <f>J382/K382-1</f>
        <v/>
      </c>
      <c r="N382" s="7" t="inlineStr">
        <is>
          <t>OK (≤ menor hist.)</t>
        </is>
      </c>
      <c r="O382" s="7" t="inlineStr"/>
    </row>
    <row r="383">
      <c r="A383" s="7" t="n">
        <v>434881</v>
      </c>
      <c r="B383" s="7" t="inlineStr"/>
      <c r="C383" s="12" t="inlineStr">
        <is>
          <t>7891010256432</t>
        </is>
      </c>
      <c r="D383" s="7" t="inlineStr">
        <is>
          <t>MYLANTA PLUS 80+80+6MG SUS OR FR 240ML SB MORANGO</t>
        </is>
      </c>
      <c r="E383" s="13" t="n">
        <v>1</v>
      </c>
      <c r="F383" s="13" t="n">
        <v>8</v>
      </c>
      <c r="G383" s="13" t="n">
        <v>8</v>
      </c>
      <c r="H383" s="8" t="n">
        <v>48.93</v>
      </c>
      <c r="I383" s="8">
        <f>G383*H383</f>
        <v/>
      </c>
      <c r="J383" s="8">
        <f>H383/E383</f>
        <v/>
      </c>
      <c r="K383" s="8" t="n">
        <v>44.04</v>
      </c>
      <c r="L383" s="8" t="n">
        <v>39.865</v>
      </c>
      <c r="M383" s="14">
        <f>J383/K383-1</f>
        <v/>
      </c>
      <c r="N383" s="7" t="inlineStr">
        <is>
          <t>ACIMA +11.1%</t>
        </is>
      </c>
      <c r="O383" s="7" t="inlineStr"/>
    </row>
    <row r="384">
      <c r="A384" s="7" t="n">
        <v>652151</v>
      </c>
      <c r="B384" s="7" t="inlineStr"/>
      <c r="C384" s="12" t="inlineStr">
        <is>
          <t>7896007553563</t>
        </is>
      </c>
      <c r="D384" s="7" t="inlineStr">
        <is>
          <t>N ABS INTIMUS NOTURNO SUAVE C/A 45UN   KIMB %DN:3.00</t>
        </is>
      </c>
      <c r="E384" s="13" t="n">
        <v>1</v>
      </c>
      <c r="F384" s="13" t="n">
        <v>2</v>
      </c>
      <c r="G384" s="13" t="n">
        <v>2</v>
      </c>
      <c r="H384" s="8" t="n">
        <v>32.68</v>
      </c>
      <c r="I384" s="8">
        <f>G384*H384</f>
        <v/>
      </c>
      <c r="J384" s="8">
        <f>H384/E384</f>
        <v/>
      </c>
      <c r="K384" s="8" t="n">
        <v>27.3308</v>
      </c>
      <c r="L384" s="8" t="n">
        <v>27.3308</v>
      </c>
      <c r="M384" s="14">
        <f>J384/K384-1</f>
        <v/>
      </c>
      <c r="N384" s="7" t="inlineStr">
        <is>
          <t>ACIMA +19.6%</t>
        </is>
      </c>
      <c r="O384" s="7" t="inlineStr"/>
    </row>
    <row r="385">
      <c r="A385" s="7" t="n">
        <v>651901</v>
      </c>
      <c r="B385" s="7" t="inlineStr"/>
      <c r="C385" s="12" t="inlineStr">
        <is>
          <t>7898108640050</t>
        </is>
      </c>
      <c r="D385" s="7" t="inlineStr">
        <is>
          <t>N COMPRESSA GAZES 11FIOS ESTER 5UND   SANF %DN:0.00</t>
        </is>
      </c>
      <c r="E385" s="13" t="n">
        <v>1</v>
      </c>
      <c r="F385" s="13" t="n">
        <v>1</v>
      </c>
      <c r="G385" s="13" t="n">
        <v>1</v>
      </c>
      <c r="H385" s="8" t="n">
        <v>0.8929999999999999</v>
      </c>
      <c r="I385" s="8">
        <f>G385*H385</f>
        <v/>
      </c>
      <c r="J385" s="8">
        <f>H385/E385</f>
        <v/>
      </c>
      <c r="K385" s="8" t="n">
        <v>0.92</v>
      </c>
      <c r="L385" s="8" t="n">
        <v>0.92</v>
      </c>
      <c r="M385" s="14">
        <f>J385/K385-1</f>
        <v/>
      </c>
      <c r="N385" s="7" t="inlineStr">
        <is>
          <t>OK (≤ menor hist.)</t>
        </is>
      </c>
      <c r="O385" s="7" t="inlineStr"/>
    </row>
    <row r="386">
      <c r="A386" s="7" t="n">
        <v>669941</v>
      </c>
      <c r="B386" s="7" t="inlineStr"/>
      <c r="C386" s="12" t="inlineStr">
        <is>
          <t>7506306255678</t>
        </is>
      </c>
      <c r="D386" s="7" t="inlineStr">
        <is>
          <t>N SAB DOVE ESFOLIANTE BEAUTY SCRUB COCO 280G   UNIL %DN:0.00</t>
        </is>
      </c>
      <c r="E386" s="13" t="n">
        <v>1</v>
      </c>
      <c r="F386" s="13" t="n">
        <v>1</v>
      </c>
      <c r="G386" s="13" t="n">
        <v>1</v>
      </c>
      <c r="H386" s="8" t="n">
        <v>38.79</v>
      </c>
      <c r="I386" s="8">
        <f>G386*H386</f>
        <v/>
      </c>
      <c r="J386" s="8">
        <f>H386/E386</f>
        <v/>
      </c>
      <c r="K386" s="8" t="n">
        <v>37.43</v>
      </c>
      <c r="L386" s="8" t="n">
        <v>37.43</v>
      </c>
      <c r="M386" s="14">
        <f>J386/K386-1</f>
        <v/>
      </c>
      <c r="N386" s="7" t="inlineStr">
        <is>
          <t>ACIMA +3.6%</t>
        </is>
      </c>
      <c r="O386" s="7" t="inlineStr"/>
    </row>
    <row r="387">
      <c r="A387" s="7" t="n">
        <v>598381</v>
      </c>
      <c r="B387" s="7" t="inlineStr"/>
      <c r="C387" s="12" t="inlineStr">
        <is>
          <t>7509546673189</t>
        </is>
      </c>
      <c r="D387" s="7" t="inlineStr">
        <is>
          <t>N SAB LIQ PROTEX BABY GLIC 200ML</t>
        </is>
      </c>
      <c r="E387" s="13" t="n">
        <v>1</v>
      </c>
      <c r="F387" s="13" t="n">
        <v>5</v>
      </c>
      <c r="G387" s="13" t="n">
        <v>5</v>
      </c>
      <c r="H387" s="8" t="n">
        <v>18.04</v>
      </c>
      <c r="I387" s="8">
        <f>G387*H387</f>
        <v/>
      </c>
      <c r="J387" s="8">
        <f>H387/E387</f>
        <v/>
      </c>
      <c r="K387" s="8" t="n">
        <v>9.215</v>
      </c>
      <c r="L387" s="8" t="n">
        <v>9.215</v>
      </c>
      <c r="M387" s="14">
        <f>J387/K387-1</f>
        <v/>
      </c>
      <c r="N387" s="7" t="inlineStr">
        <is>
          <t>ACIMA +95.8%</t>
        </is>
      </c>
      <c r="O387" s="7" t="inlineStr"/>
    </row>
    <row r="388">
      <c r="A388" s="7" t="n">
        <v>666171</v>
      </c>
      <c r="B388" s="7" t="inlineStr"/>
      <c r="C388" s="12" t="inlineStr">
        <is>
          <t>7891000071625</t>
        </is>
      </c>
      <c r="D388" s="7" t="inlineStr">
        <is>
          <t>NAN COMFOR 0-6MESES HMO 6X800G BR</t>
        </is>
      </c>
      <c r="E388" s="13" t="n">
        <v>1</v>
      </c>
      <c r="F388" s="13" t="n">
        <v>3</v>
      </c>
      <c r="G388" s="13" t="n">
        <v>3</v>
      </c>
      <c r="H388" s="8" t="n">
        <v>96.62</v>
      </c>
      <c r="I388" s="8">
        <f>G388*H388</f>
        <v/>
      </c>
      <c r="J388" s="8">
        <f>H388/E388</f>
        <v/>
      </c>
      <c r="K388" s="8" t="n">
        <v>67.94499999999999</v>
      </c>
      <c r="L388" s="8" t="n">
        <v>66.08499999999999</v>
      </c>
      <c r="M388" s="14">
        <f>J388/K388-1</f>
        <v/>
      </c>
      <c r="N388" s="7" t="inlineStr">
        <is>
          <t>ACIMA +42.2%</t>
        </is>
      </c>
      <c r="O388" s="7" t="inlineStr"/>
    </row>
    <row r="389">
      <c r="A389" s="7" t="n">
        <v>590371</v>
      </c>
      <c r="B389" s="7" t="inlineStr"/>
      <c r="C389" s="12" t="inlineStr">
        <is>
          <t>7891000097649</t>
        </is>
      </c>
      <c r="D389" s="7" t="inlineStr">
        <is>
          <t>NANLAC COMFOR FI 800G LT</t>
        </is>
      </c>
      <c r="E389" s="13" t="n">
        <v>1</v>
      </c>
      <c r="F389" s="13" t="n">
        <v>1</v>
      </c>
      <c r="G389" s="13" t="n">
        <v>1</v>
      </c>
      <c r="H389" s="8" t="n">
        <v>89.26000000000001</v>
      </c>
      <c r="I389" s="8">
        <f>G389*H389</f>
        <v/>
      </c>
      <c r="J389" s="8">
        <f>H389/E389</f>
        <v/>
      </c>
      <c r="K389" s="8" t="n">
        <v>57.655</v>
      </c>
      <c r="L389" s="8" t="n">
        <v>57.655</v>
      </c>
      <c r="M389" s="14">
        <f>J389/K389-1</f>
        <v/>
      </c>
      <c r="N389" s="7" t="inlineStr">
        <is>
          <t>ACIMA +54.8%</t>
        </is>
      </c>
      <c r="O389" s="7" t="inlineStr"/>
    </row>
    <row r="390">
      <c r="A390" s="7" t="n">
        <v>416901</v>
      </c>
      <c r="B390" s="7" t="inlineStr"/>
      <c r="C390" s="12" t="inlineStr">
        <is>
          <t>7896094206342</t>
        </is>
      </c>
      <c r="D390" s="7" t="inlineStr">
        <is>
          <t>NAPRIX 2,5MG BL AL AL CX 30 COMP</t>
        </is>
      </c>
      <c r="E390" s="13" t="n">
        <v>1</v>
      </c>
      <c r="F390" s="13" t="n">
        <v>1</v>
      </c>
      <c r="G390" s="13" t="n">
        <v>1</v>
      </c>
      <c r="H390" s="8" t="n">
        <v>65.21130000000001</v>
      </c>
      <c r="I390" s="8">
        <f>G390*H390</f>
        <v/>
      </c>
      <c r="J390" s="8">
        <f>H390/E390</f>
        <v/>
      </c>
      <c r="K390" s="8" t="n">
        <v>58.95</v>
      </c>
      <c r="L390" s="8" t="n">
        <v>58.95</v>
      </c>
      <c r="M390" s="14">
        <f>J390/K390-1</f>
        <v/>
      </c>
      <c r="N390" s="7" t="inlineStr">
        <is>
          <t>ACIMA +10.6%</t>
        </is>
      </c>
      <c r="O390" s="7" t="inlineStr"/>
    </row>
    <row r="391">
      <c r="A391" s="7" t="n">
        <v>290881</v>
      </c>
      <c r="B391" s="7" t="inlineStr"/>
      <c r="C391" s="12" t="inlineStr">
        <is>
          <t>7896094203266</t>
        </is>
      </c>
      <c r="D391" s="7" t="inlineStr">
        <is>
          <t>NAPRIX D 12,5MG CX 30 CAP</t>
        </is>
      </c>
      <c r="E391" s="13" t="n">
        <v>1</v>
      </c>
      <c r="F391" s="13" t="n">
        <v>1</v>
      </c>
      <c r="G391" s="13" t="n">
        <v>1</v>
      </c>
      <c r="H391" s="8" t="n">
        <v>57.47940000000001</v>
      </c>
      <c r="I391" s="8">
        <f>G391*H391</f>
        <v/>
      </c>
      <c r="J391" s="8">
        <f>H391/E391</f>
        <v/>
      </c>
      <c r="K391" s="8" t="n">
        <v>55.03</v>
      </c>
      <c r="L391" s="8" t="n">
        <v>55.03</v>
      </c>
      <c r="M391" s="14">
        <f>J391/K391-1</f>
        <v/>
      </c>
      <c r="N391" s="7" t="inlineStr">
        <is>
          <t>ACIMA +4.5%</t>
        </is>
      </c>
      <c r="O391" s="7" t="inlineStr"/>
    </row>
    <row r="392">
      <c r="A392" s="7" t="n">
        <v>237461</v>
      </c>
      <c r="B392" s="7" t="inlineStr"/>
      <c r="C392" s="12" t="inlineStr">
        <is>
          <t>7896094201460</t>
        </is>
      </c>
      <c r="D392" s="7" t="inlineStr">
        <is>
          <t>NATIFA 1MG CX 28 COMP REV</t>
        </is>
      </c>
      <c r="E392" s="13" t="n">
        <v>1</v>
      </c>
      <c r="F392" s="13" t="n">
        <v>3</v>
      </c>
      <c r="G392" s="13" t="n">
        <v>3</v>
      </c>
      <c r="H392" s="8" t="n">
        <v>57.2418</v>
      </c>
      <c r="I392" s="8">
        <f>G392*H392</f>
        <v/>
      </c>
      <c r="J392" s="8">
        <f>H392/E392</f>
        <v/>
      </c>
      <c r="K392" s="8" t="n">
        <v>58.3</v>
      </c>
      <c r="L392" s="8" t="n">
        <v>54.075</v>
      </c>
      <c r="M392" s="14">
        <f>J392/K392-1</f>
        <v/>
      </c>
      <c r="N392" s="7" t="inlineStr">
        <is>
          <t>OK (≤ últ. compra)</t>
        </is>
      </c>
      <c r="O392" s="7" t="inlineStr"/>
    </row>
    <row r="393">
      <c r="A393" s="7" t="n">
        <v>644711</v>
      </c>
      <c r="B393" s="7" t="inlineStr"/>
      <c r="C393" s="12" t="inlineStr">
        <is>
          <t>7891010254025</t>
        </is>
      </c>
      <c r="D393" s="7" t="inlineStr">
        <is>
          <t>NEOS MINESOL COR/ROS FPS70 120ML</t>
        </is>
      </c>
      <c r="E393" s="13" t="n">
        <v>1</v>
      </c>
      <c r="F393" s="13" t="n">
        <v>1</v>
      </c>
      <c r="G393" s="13" t="n">
        <v>1</v>
      </c>
      <c r="H393" s="8" t="n">
        <v>127.48</v>
      </c>
      <c r="I393" s="8">
        <f>G393*H393</f>
        <v/>
      </c>
      <c r="J393" s="8">
        <f>H393/E393</f>
        <v/>
      </c>
      <c r="K393" s="8" t="n">
        <v>82.5275</v>
      </c>
      <c r="L393" s="8" t="n">
        <v>82.5275</v>
      </c>
      <c r="M393" s="14">
        <f>J393/K393-1</f>
        <v/>
      </c>
      <c r="N393" s="7" t="inlineStr">
        <is>
          <t>ACIMA +54.5%</t>
        </is>
      </c>
      <c r="O393" s="7" t="inlineStr"/>
    </row>
    <row r="394">
      <c r="A394" s="7" t="n">
        <v>669601</v>
      </c>
      <c r="B394" s="7" t="inlineStr"/>
      <c r="C394" s="12" t="inlineStr">
        <is>
          <t>7896046304126</t>
        </is>
      </c>
      <c r="D394" s="7" t="inlineStr">
        <is>
          <t>NEOVITE MAX 30CAP BLPA</t>
        </is>
      </c>
      <c r="E394" s="13" t="n">
        <v>1</v>
      </c>
      <c r="F394" s="13" t="n">
        <v>1</v>
      </c>
      <c r="G394" s="13" t="n">
        <v>1</v>
      </c>
      <c r="H394" s="8" t="n">
        <v>166.63</v>
      </c>
      <c r="I394" s="8">
        <f>G394*H394</f>
        <v/>
      </c>
      <c r="J394" s="8">
        <f>H394/E394</f>
        <v/>
      </c>
      <c r="K394" s="8" t="n">
        <v>81.84</v>
      </c>
      <c r="L394" s="8" t="n">
        <v>81.84</v>
      </c>
      <c r="M394" s="14">
        <f>J394/K394-1</f>
        <v/>
      </c>
      <c r="N394" s="7" t="inlineStr">
        <is>
          <t>ACIMA +103.6%</t>
        </is>
      </c>
      <c r="O394" s="7" t="inlineStr">
        <is>
          <t>conferir emb.</t>
        </is>
      </c>
    </row>
    <row r="395">
      <c r="A395" s="7" t="n">
        <v>556401</v>
      </c>
      <c r="B395" s="7" t="inlineStr"/>
      <c r="C395" s="12" t="inlineStr">
        <is>
          <t>7896677704890</t>
        </is>
      </c>
      <c r="D395" s="7" t="inlineStr">
        <is>
          <t>NERVOCALM 250MG CX 20 COMP</t>
        </is>
      </c>
      <c r="E395" s="13" t="n">
        <v>1</v>
      </c>
      <c r="F395" s="13" t="n">
        <v>5</v>
      </c>
      <c r="G395" s="13" t="n">
        <v>5</v>
      </c>
      <c r="H395" s="8" t="n">
        <v>30.15</v>
      </c>
      <c r="I395" s="8">
        <f>G395*H395</f>
        <v/>
      </c>
      <c r="J395" s="8">
        <f>H395/E395</f>
        <v/>
      </c>
      <c r="K395" s="8" t="n">
        <v>31.33</v>
      </c>
      <c r="L395" s="8" t="n">
        <v>22.32</v>
      </c>
      <c r="M395" s="14">
        <f>J395/K395-1</f>
        <v/>
      </c>
      <c r="N395" s="7" t="inlineStr">
        <is>
          <t>OK (≤ últ. compra)</t>
        </is>
      </c>
      <c r="O395" s="7" t="inlineStr"/>
    </row>
    <row r="396">
      <c r="A396" s="7" t="n">
        <v>567381</v>
      </c>
      <c r="B396" s="7" t="inlineStr"/>
      <c r="C396" s="12" t="inlineStr">
        <is>
          <t>7891000056523</t>
        </is>
      </c>
      <c r="D396" s="7" t="inlineStr">
        <is>
          <t>NESTOGENO 1 400G</t>
        </is>
      </c>
      <c r="E396" s="13" t="n">
        <v>1</v>
      </c>
      <c r="F396" s="13" t="n">
        <v>2</v>
      </c>
      <c r="G396" s="13" t="n">
        <v>2</v>
      </c>
      <c r="H396" s="8" t="n">
        <v>41.78</v>
      </c>
      <c r="I396" s="8">
        <f>G396*H396</f>
        <v/>
      </c>
      <c r="J396" s="8">
        <f>H396/E396</f>
        <v/>
      </c>
      <c r="K396" s="8" t="n">
        <v>34.68</v>
      </c>
      <c r="L396" s="8" t="n">
        <v>28.8158</v>
      </c>
      <c r="M396" s="14">
        <f>J396/K396-1</f>
        <v/>
      </c>
      <c r="N396" s="7" t="inlineStr">
        <is>
          <t>ACIMA +20.5%</t>
        </is>
      </c>
      <c r="O396" s="7" t="inlineStr">
        <is>
          <t>estoque parcial (1 un)</t>
        </is>
      </c>
    </row>
    <row r="397">
      <c r="A397" s="7" t="n">
        <v>592121</v>
      </c>
      <c r="B397" s="7" t="inlineStr"/>
      <c r="C397" s="12" t="inlineStr">
        <is>
          <t>7891000062739</t>
        </is>
      </c>
      <c r="D397" s="7" t="inlineStr">
        <is>
          <t>NESTOGENO 1 FORMULA INFANTIL 800G</t>
        </is>
      </c>
      <c r="E397" s="13" t="n">
        <v>1</v>
      </c>
      <c r="F397" s="13" t="n">
        <v>1</v>
      </c>
      <c r="G397" s="13" t="n">
        <v>1</v>
      </c>
      <c r="H397" s="8" t="n">
        <v>67.52</v>
      </c>
      <c r="I397" s="8">
        <f>G397*H397</f>
        <v/>
      </c>
      <c r="J397" s="8">
        <f>H397/E397</f>
        <v/>
      </c>
      <c r="K397" s="8" t="n">
        <v>56.435</v>
      </c>
      <c r="L397" s="8" t="n">
        <v>49.5933</v>
      </c>
      <c r="M397" s="14">
        <f>J397/K397-1</f>
        <v/>
      </c>
      <c r="N397" s="7" t="inlineStr">
        <is>
          <t>ACIMA +19.6%</t>
        </is>
      </c>
      <c r="O397" s="7" t="inlineStr"/>
    </row>
    <row r="398">
      <c r="A398" s="7" t="n">
        <v>567401</v>
      </c>
      <c r="B398" s="7" t="inlineStr"/>
      <c r="C398" s="12" t="inlineStr">
        <is>
          <t>7891000056615</t>
        </is>
      </c>
      <c r="D398" s="7" t="inlineStr">
        <is>
          <t>NESTOGENO 2 400G</t>
        </is>
      </c>
      <c r="E398" s="13" t="n">
        <v>1</v>
      </c>
      <c r="F398" s="13" t="n">
        <v>5</v>
      </c>
      <c r="G398" s="13" t="n">
        <v>5</v>
      </c>
      <c r="H398" s="8" t="n">
        <v>41.78</v>
      </c>
      <c r="I398" s="8">
        <f>G398*H398</f>
        <v/>
      </c>
      <c r="J398" s="8">
        <f>H398/E398</f>
        <v/>
      </c>
      <c r="K398" s="8" t="n">
        <v>34.67</v>
      </c>
      <c r="L398" s="8" t="n">
        <v>28.66</v>
      </c>
      <c r="M398" s="14">
        <f>J398/K398-1</f>
        <v/>
      </c>
      <c r="N398" s="7" t="inlineStr">
        <is>
          <t>ACIMA +20.5%</t>
        </is>
      </c>
      <c r="O398" s="7" t="inlineStr"/>
    </row>
    <row r="399">
      <c r="A399" s="7" t="n">
        <v>358321</v>
      </c>
      <c r="B399" s="7" t="inlineStr"/>
      <c r="C399" s="12" t="inlineStr">
        <is>
          <t>7894916500333</t>
        </is>
      </c>
      <c r="D399" s="7" t="inlineStr">
        <is>
          <t>NEUTROFER 300MG FR 30 COMP</t>
        </is>
      </c>
      <c r="E399" s="13" t="n">
        <v>1</v>
      </c>
      <c r="F399" s="13" t="n">
        <v>3</v>
      </c>
      <c r="G399" s="13" t="n">
        <v>3</v>
      </c>
      <c r="H399" s="8" t="n">
        <v>47.21925</v>
      </c>
      <c r="I399" s="8">
        <f>G399*H399</f>
        <v/>
      </c>
      <c r="J399" s="8">
        <f>H399/E399</f>
        <v/>
      </c>
      <c r="K399" s="8" t="n">
        <v>45.04</v>
      </c>
      <c r="L399" s="8" t="n">
        <v>44.905</v>
      </c>
      <c r="M399" s="14">
        <f>J399/K399-1</f>
        <v/>
      </c>
      <c r="N399" s="7" t="inlineStr">
        <is>
          <t>ACIMA +4.8%</t>
        </is>
      </c>
      <c r="O399" s="7" t="inlineStr"/>
    </row>
    <row r="400">
      <c r="A400" s="7" t="n">
        <v>443</v>
      </c>
      <c r="B400" s="7" t="inlineStr"/>
      <c r="C400" s="12" t="inlineStr">
        <is>
          <t>7891010704490</t>
        </is>
      </c>
      <c r="D400" s="7" t="inlineStr">
        <is>
          <t>NEUTROG D CLEAN ESF ENER 100G</t>
        </is>
      </c>
      <c r="E400" s="13" t="n">
        <v>1</v>
      </c>
      <c r="F400" s="13" t="n">
        <v>1</v>
      </c>
      <c r="G400" s="13" t="n">
        <v>1</v>
      </c>
      <c r="H400" s="8" t="n">
        <v>33.46</v>
      </c>
      <c r="I400" s="8">
        <f>G400*H400</f>
        <v/>
      </c>
      <c r="J400" s="8">
        <f>H400/E400</f>
        <v/>
      </c>
      <c r="K400" s="8" t="n">
        <v>33.105</v>
      </c>
      <c r="L400" s="8" t="n">
        <v>33.105</v>
      </c>
      <c r="M400" s="14">
        <f>J400/K400-1</f>
        <v/>
      </c>
      <c r="N400" s="7" t="inlineStr">
        <is>
          <t>ACIMA +1.1%</t>
        </is>
      </c>
      <c r="O400" s="7" t="inlineStr"/>
    </row>
    <row r="401">
      <c r="A401" s="7" t="n">
        <v>666971</v>
      </c>
      <c r="B401" s="7" t="inlineStr"/>
      <c r="C401" s="12" t="inlineStr">
        <is>
          <t>7908785482697</t>
        </is>
      </c>
      <c r="D401" s="7" t="inlineStr">
        <is>
          <t>NIELY GOLD - SILIC CONC 42ML RECONSTRUC</t>
        </is>
      </c>
      <c r="E401" s="13" t="n">
        <v>1</v>
      </c>
      <c r="F401" s="13" t="n">
        <v>1</v>
      </c>
      <c r="G401" s="13" t="n">
        <v>1</v>
      </c>
      <c r="H401" s="8" t="n">
        <v>19.1</v>
      </c>
      <c r="I401" s="8">
        <f>G401*H401</f>
        <v/>
      </c>
      <c r="J401" s="8">
        <f>H401/E401</f>
        <v/>
      </c>
      <c r="K401" s="8" t="n">
        <v>14.5</v>
      </c>
      <c r="L401" s="8" t="n">
        <v>14.5</v>
      </c>
      <c r="M401" s="14">
        <f>J401/K401-1</f>
        <v/>
      </c>
      <c r="N401" s="7" t="inlineStr">
        <is>
          <t>ACIMA +31.7%</t>
        </is>
      </c>
      <c r="O401" s="7" t="inlineStr"/>
    </row>
    <row r="402">
      <c r="A402" s="7" t="n">
        <v>361981</v>
      </c>
      <c r="B402" s="7" t="inlineStr"/>
      <c r="C402" s="12" t="inlineStr">
        <is>
          <t>7896523211268</t>
        </is>
      </c>
      <c r="D402" s="7" t="inlineStr">
        <is>
          <t>NIMESULIDA 50MG/ML SUS OR FR GOTS 15ML</t>
        </is>
      </c>
      <c r="E402" s="13" t="n">
        <v>1</v>
      </c>
      <c r="F402" s="13" t="n">
        <v>7</v>
      </c>
      <c r="G402" s="13" t="n">
        <v>7</v>
      </c>
      <c r="H402" s="8" t="n">
        <v>23.79</v>
      </c>
      <c r="I402" s="8">
        <f>G402*H402</f>
        <v/>
      </c>
      <c r="J402" s="8">
        <f>H402/E402</f>
        <v/>
      </c>
      <c r="K402" s="8" t="n">
        <v>2.19</v>
      </c>
      <c r="L402" s="8" t="n">
        <v>2.09</v>
      </c>
      <c r="M402" s="14">
        <f>J402/K402-1</f>
        <v/>
      </c>
      <c r="N402" s="7" t="inlineStr">
        <is>
          <t>ACIMA +986.3%</t>
        </is>
      </c>
      <c r="O402" s="7" t="inlineStr">
        <is>
          <t>conferir emb.</t>
        </is>
      </c>
    </row>
    <row r="403">
      <c r="A403" s="7" t="n">
        <v>577281</v>
      </c>
      <c r="B403" s="7" t="inlineStr"/>
      <c r="C403" s="12" t="inlineStr">
        <is>
          <t>7891000062661</t>
        </is>
      </c>
      <c r="D403" s="7" t="inlineStr">
        <is>
          <t>NINHO 1 PREBIO FASES LATA 800G</t>
        </is>
      </c>
      <c r="E403" s="13" t="n">
        <v>1</v>
      </c>
      <c r="F403" s="13" t="n">
        <v>1</v>
      </c>
      <c r="G403" s="13" t="n">
        <v>1</v>
      </c>
      <c r="H403" s="8" t="n">
        <v>56.48</v>
      </c>
      <c r="I403" s="8">
        <f>G403*H403</f>
        <v/>
      </c>
      <c r="J403" s="8">
        <f>H403/E403</f>
        <v/>
      </c>
      <c r="K403" s="8" t="n">
        <v>45.0808</v>
      </c>
      <c r="L403" s="8" t="n">
        <v>40.55</v>
      </c>
      <c r="M403" s="14">
        <f>J403/K403-1</f>
        <v/>
      </c>
      <c r="N403" s="7" t="inlineStr">
        <is>
          <t>ACIMA +25.3%</t>
        </is>
      </c>
      <c r="O403" s="7" t="inlineStr"/>
    </row>
    <row r="404">
      <c r="A404" s="7" t="n">
        <v>637571</v>
      </c>
      <c r="B404" s="7" t="inlineStr"/>
      <c r="C404" s="12" t="inlineStr">
        <is>
          <t>7891000340981</t>
        </is>
      </c>
      <c r="D404" s="7" t="inlineStr">
        <is>
          <t>NINHO 380G 10% GRATIS LEITE EM PÓ INTEGRAL NESTLE</t>
        </is>
      </c>
      <c r="E404" s="13" t="n">
        <v>1</v>
      </c>
      <c r="F404" s="13" t="n">
        <v>114</v>
      </c>
      <c r="G404" s="13" t="n">
        <v>114</v>
      </c>
      <c r="H404" s="8" t="n">
        <v>20.89</v>
      </c>
      <c r="I404" s="8">
        <f>G404*H404</f>
        <v/>
      </c>
      <c r="J404" s="8">
        <f>H404/E404</f>
        <v/>
      </c>
      <c r="K404" s="8" t="n">
        <v>16.99</v>
      </c>
      <c r="L404" s="8" t="n">
        <v>16.99</v>
      </c>
      <c r="M404" s="14">
        <f>J404/K404-1</f>
        <v/>
      </c>
      <c r="N404" s="7" t="inlineStr">
        <is>
          <t>ACIMA +23.0%</t>
        </is>
      </c>
      <c r="O404" s="7" t="inlineStr"/>
    </row>
    <row r="405">
      <c r="A405" s="7" t="n">
        <v>580781</v>
      </c>
      <c r="B405" s="7" t="inlineStr"/>
      <c r="C405" s="12" t="inlineStr">
        <is>
          <t>7891000325858</t>
        </is>
      </c>
      <c r="D405" s="7" t="inlineStr">
        <is>
          <t>NINHO 380G LEITE EM PÓ INTEGRAL NESTLE</t>
        </is>
      </c>
      <c r="E405" s="13" t="n">
        <v>1</v>
      </c>
      <c r="F405" s="13" t="n">
        <v>58</v>
      </c>
      <c r="G405" s="13" t="n">
        <v>58</v>
      </c>
      <c r="H405" s="8" t="n">
        <v>26.65</v>
      </c>
      <c r="I405" s="8">
        <f>G405*H405</f>
        <v/>
      </c>
      <c r="J405" s="8">
        <f>H405/E405</f>
        <v/>
      </c>
      <c r="K405" s="8" t="n">
        <v>16.79</v>
      </c>
      <c r="L405" s="8" t="n">
        <v>16.79</v>
      </c>
      <c r="M405" s="14">
        <f>J405/K405-1</f>
        <v/>
      </c>
      <c r="N405" s="7" t="inlineStr">
        <is>
          <t>ACIMA +58.7%</t>
        </is>
      </c>
      <c r="O405" s="7" t="inlineStr"/>
    </row>
    <row r="406">
      <c r="A406" s="7" t="n">
        <v>642291</v>
      </c>
      <c r="B406" s="7" t="inlineStr"/>
      <c r="C406" s="12" t="inlineStr">
        <is>
          <t>7891000397077</t>
        </is>
      </c>
      <c r="D406" s="7" t="inlineStr">
        <is>
          <t>NINHO ADULTO LEITE EM PO 350G BR</t>
        </is>
      </c>
      <c r="E406" s="13" t="n">
        <v>1</v>
      </c>
      <c r="F406" s="13" t="n">
        <v>23</v>
      </c>
      <c r="G406" s="13" t="n">
        <v>23</v>
      </c>
      <c r="H406" s="8" t="n">
        <v>23.13</v>
      </c>
      <c r="I406" s="8">
        <f>G406*H406</f>
        <v/>
      </c>
      <c r="J406" s="8">
        <f>H406/E406</f>
        <v/>
      </c>
      <c r="K406" s="8" t="n">
        <v>21.84</v>
      </c>
      <c r="L406" s="8" t="n">
        <v>21.84</v>
      </c>
      <c r="M406" s="14">
        <f>J406/K406-1</f>
        <v/>
      </c>
      <c r="N406" s="7" t="inlineStr">
        <is>
          <t>ACIMA +5.9%</t>
        </is>
      </c>
      <c r="O406" s="7" t="inlineStr"/>
    </row>
    <row r="407">
      <c r="A407" s="7" t="n">
        <v>362441</v>
      </c>
      <c r="B407" s="7" t="inlineStr"/>
      <c r="C407" s="12" t="inlineStr">
        <is>
          <t>7896422504577</t>
        </is>
      </c>
      <c r="D407" s="7" t="inlineStr">
        <is>
          <t>NISTATINA 25.000UI/G CREM VAG BG+14 APLIC</t>
        </is>
      </c>
      <c r="E407" s="13" t="n">
        <v>1</v>
      </c>
      <c r="F407" s="13" t="n">
        <v>9</v>
      </c>
      <c r="G407" s="13" t="n">
        <v>9</v>
      </c>
      <c r="H407" s="8" t="n">
        <v>12.27216</v>
      </c>
      <c r="I407" s="8">
        <f>G407*H407</f>
        <v/>
      </c>
      <c r="J407" s="8">
        <f>H407/E407</f>
        <v/>
      </c>
      <c r="K407" s="8" t="n">
        <v>9.878</v>
      </c>
      <c r="L407" s="8" t="n">
        <v>8.788</v>
      </c>
      <c r="M407" s="14">
        <f>J407/K407-1</f>
        <v/>
      </c>
      <c r="N407" s="7" t="inlineStr">
        <is>
          <t>ACIMA +24.2%</t>
        </is>
      </c>
      <c r="O407" s="7" t="inlineStr"/>
    </row>
    <row r="408">
      <c r="A408" s="7" t="n">
        <v>652331</v>
      </c>
      <c r="B408" s="7" t="inlineStr"/>
      <c r="C408" s="12" t="inlineStr">
        <is>
          <t>7896026160018</t>
        </is>
      </c>
      <c r="D408" s="7" t="inlineStr">
        <is>
          <t>NOPLAK SOL 250ML</t>
        </is>
      </c>
      <c r="E408" s="13" t="n">
        <v>1</v>
      </c>
      <c r="F408" s="13" t="n">
        <v>1</v>
      </c>
      <c r="G408" s="13" t="n">
        <v>1</v>
      </c>
      <c r="H408" s="8" t="n">
        <v>21.6601</v>
      </c>
      <c r="I408" s="8">
        <f>G408*H408</f>
        <v/>
      </c>
      <c r="J408" s="8">
        <f>H408/E408</f>
        <v/>
      </c>
      <c r="K408" s="8" t="n">
        <v>16.94</v>
      </c>
      <c r="L408" s="8" t="n">
        <v>10.385</v>
      </c>
      <c r="M408" s="14">
        <f>J408/K408-1</f>
        <v/>
      </c>
      <c r="N408" s="7" t="inlineStr">
        <is>
          <t>ACIMA +27.9%</t>
        </is>
      </c>
      <c r="O408" s="7" t="inlineStr"/>
    </row>
    <row r="409">
      <c r="A409" s="7" t="n">
        <v>601521</v>
      </c>
      <c r="B409" s="7" t="inlineStr"/>
      <c r="C409" s="12" t="inlineStr">
        <is>
          <t>7898581710615</t>
        </is>
      </c>
      <c r="D409" s="7" t="inlineStr">
        <is>
          <t>NORIPURUM ENDOV INJ 5 AMP X 5ML</t>
        </is>
      </c>
      <c r="E409" s="13" t="n">
        <v>1</v>
      </c>
      <c r="F409" s="13" t="n">
        <v>3</v>
      </c>
      <c r="G409" s="13" t="n">
        <v>3</v>
      </c>
      <c r="H409" s="8" t="n">
        <v>74.59</v>
      </c>
      <c r="I409" s="8">
        <f>G409*H409</f>
        <v/>
      </c>
      <c r="J409" s="8">
        <f>H409/E409</f>
        <v/>
      </c>
      <c r="K409" s="8" t="n">
        <v>70.11</v>
      </c>
      <c r="L409" s="8" t="n">
        <v>68.31</v>
      </c>
      <c r="M409" s="14">
        <f>J409/K409-1</f>
        <v/>
      </c>
      <c r="N409" s="7" t="inlineStr">
        <is>
          <t>ACIMA +6.4%</t>
        </is>
      </c>
      <c r="O409" s="7" t="inlineStr"/>
    </row>
    <row r="410">
      <c r="A410" s="7" t="n">
        <v>669611</v>
      </c>
      <c r="B410" s="7" t="inlineStr"/>
      <c r="C410" s="12" t="inlineStr">
        <is>
          <t>7891000417584</t>
        </is>
      </c>
      <c r="D410" s="7" t="inlineStr">
        <is>
          <t>NUTREN MULTI A-Z 30CAPS SOFTGEL</t>
        </is>
      </c>
      <c r="E410" s="13" t="n">
        <v>1</v>
      </c>
      <c r="F410" s="13" t="n">
        <v>1</v>
      </c>
      <c r="G410" s="13" t="n">
        <v>1</v>
      </c>
      <c r="H410" s="8" t="n">
        <v>30.38</v>
      </c>
      <c r="I410" s="8">
        <f>G410*H410</f>
        <v/>
      </c>
      <c r="J410" s="8">
        <f>H410/E410</f>
        <v/>
      </c>
      <c r="K410" s="8" t="n">
        <v>27.21</v>
      </c>
      <c r="L410" s="8" t="n">
        <v>16.6</v>
      </c>
      <c r="M410" s="14">
        <f>J410/K410-1</f>
        <v/>
      </c>
      <c r="N410" s="7" t="inlineStr">
        <is>
          <t>ACIMA +11.7%</t>
        </is>
      </c>
      <c r="O410" s="7" t="inlineStr"/>
    </row>
    <row r="411">
      <c r="A411" s="7" t="n">
        <v>597291</v>
      </c>
      <c r="B411" s="7" t="inlineStr"/>
      <c r="C411" s="12" t="inlineStr">
        <is>
          <t>7891000096482</t>
        </is>
      </c>
      <c r="D411" s="7" t="inlineStr">
        <is>
          <t>NUTREN SENIOR PO 370G BR</t>
        </is>
      </c>
      <c r="E411" s="13" t="n">
        <v>1</v>
      </c>
      <c r="F411" s="13" t="n">
        <v>1</v>
      </c>
      <c r="G411" s="13" t="n">
        <v>1</v>
      </c>
      <c r="H411" s="8" t="n">
        <v>102.41</v>
      </c>
      <c r="I411" s="8">
        <f>G411*H411</f>
        <v/>
      </c>
      <c r="J411" s="8">
        <f>H411/E411</f>
        <v/>
      </c>
      <c r="K411" s="8" t="n">
        <v>77.842</v>
      </c>
      <c r="L411" s="8" t="n">
        <v>77.842</v>
      </c>
      <c r="M411" s="14">
        <f>J411/K411-1</f>
        <v/>
      </c>
      <c r="N411" s="7" t="inlineStr">
        <is>
          <t>ACIMA +31.6%</t>
        </is>
      </c>
      <c r="O411" s="7" t="inlineStr"/>
    </row>
    <row r="412">
      <c r="A412" s="7" t="n">
        <v>606041</v>
      </c>
      <c r="B412" s="7" t="inlineStr"/>
      <c r="C412" s="12" t="inlineStr">
        <is>
          <t>7891000103487</t>
        </is>
      </c>
      <c r="D412" s="7" t="inlineStr">
        <is>
          <t>NUTREN SENIOR PO 740 G</t>
        </is>
      </c>
      <c r="E412" s="13" t="n">
        <v>1</v>
      </c>
      <c r="F412" s="13" t="n">
        <v>1</v>
      </c>
      <c r="G412" s="13" t="n">
        <v>1</v>
      </c>
      <c r="H412" s="8" t="n">
        <v>177.95</v>
      </c>
      <c r="I412" s="8">
        <f>G412*H412</f>
        <v/>
      </c>
      <c r="J412" s="8">
        <f>H412/E412</f>
        <v/>
      </c>
      <c r="K412" s="8" t="n">
        <v>74.3008</v>
      </c>
      <c r="L412" s="8" t="n">
        <v>74.3008</v>
      </c>
      <c r="M412" s="14">
        <f>J412/K412-1</f>
        <v/>
      </c>
      <c r="N412" s="7" t="inlineStr">
        <is>
          <t>ACIMA +139.5%</t>
        </is>
      </c>
      <c r="O412" s="7" t="inlineStr">
        <is>
          <t>conferir emb.</t>
        </is>
      </c>
    </row>
    <row r="413">
      <c r="A413" s="7" t="n">
        <v>564341</v>
      </c>
      <c r="B413" s="7" t="inlineStr"/>
      <c r="C413" s="12" t="inlineStr">
        <is>
          <t>7899026478909</t>
        </is>
      </c>
      <c r="D413" s="7" t="inlineStr">
        <is>
          <t>OLEO ELSEVE EXTRAORDINAR 100ML</t>
        </is>
      </c>
      <c r="E413" s="13" t="n">
        <v>1</v>
      </c>
      <c r="F413" s="13" t="n">
        <v>14</v>
      </c>
      <c r="G413" s="13" t="n">
        <v>14</v>
      </c>
      <c r="H413" s="8" t="n">
        <v>35.03</v>
      </c>
      <c r="I413" s="8">
        <f>G413*H413</f>
        <v/>
      </c>
      <c r="J413" s="8">
        <f>H413/E413</f>
        <v/>
      </c>
      <c r="K413" s="8" t="n">
        <v>33.88</v>
      </c>
      <c r="L413" s="8" t="n">
        <v>33.88</v>
      </c>
      <c r="M413" s="14">
        <f>J413/K413-1</f>
        <v/>
      </c>
      <c r="N413" s="7" t="inlineStr">
        <is>
          <t>ACIMA +3.4%</t>
        </is>
      </c>
      <c r="O413" s="7" t="inlineStr"/>
    </row>
    <row r="414">
      <c r="A414" s="7" t="n">
        <v>563181</v>
      </c>
      <c r="B414" s="7" t="inlineStr"/>
      <c r="C414" s="12" t="inlineStr">
        <is>
          <t>7896523224435</t>
        </is>
      </c>
      <c r="D414" s="7" t="inlineStr">
        <is>
          <t>OLEO MINERAL FR 100 ML</t>
        </is>
      </c>
      <c r="E414" s="13" t="n">
        <v>1</v>
      </c>
      <c r="F414" s="13" t="n">
        <v>7</v>
      </c>
      <c r="G414" s="13" t="n">
        <v>7</v>
      </c>
      <c r="H414" s="8" t="n">
        <v>7.2</v>
      </c>
      <c r="I414" s="8">
        <f>G414*H414</f>
        <v/>
      </c>
      <c r="J414" s="8">
        <f>H414/E414</f>
        <v/>
      </c>
      <c r="K414" s="8" t="n">
        <v>6.99</v>
      </c>
      <c r="L414" s="8" t="n">
        <v>6.99</v>
      </c>
      <c r="M414" s="14">
        <f>J414/K414-1</f>
        <v/>
      </c>
      <c r="N414" s="7" t="inlineStr">
        <is>
          <t>ACIMA +3.0%</t>
        </is>
      </c>
      <c r="O414" s="7" t="inlineStr"/>
    </row>
    <row r="415">
      <c r="A415" s="7" t="n">
        <v>668581</v>
      </c>
      <c r="B415" s="7" t="inlineStr"/>
      <c r="C415" s="12" t="inlineStr">
        <is>
          <t>7896000722553</t>
        </is>
      </c>
      <c r="D415" s="7" t="inlineStr">
        <is>
          <t>OLEO NIELY G SILICONE NUTRI 42ML-DEMAIS PROD</t>
        </is>
      </c>
      <c r="E415" s="13" t="n">
        <v>1</v>
      </c>
      <c r="F415" s="13" t="n">
        <v>1</v>
      </c>
      <c r="G415" s="13" t="n">
        <v>1</v>
      </c>
      <c r="H415" s="8" t="n">
        <v>19.1</v>
      </c>
      <c r="I415" s="8">
        <f>G415*H415</f>
        <v/>
      </c>
      <c r="J415" s="8">
        <f>H415/E415</f>
        <v/>
      </c>
      <c r="K415" s="8" t="n">
        <v>18.66</v>
      </c>
      <c r="L415" s="8" t="n">
        <v>17.26</v>
      </c>
      <c r="M415" s="14">
        <f>J415/K415-1</f>
        <v/>
      </c>
      <c r="N415" s="7" t="inlineStr">
        <is>
          <t>ACIMA +2.4%</t>
        </is>
      </c>
      <c r="O415" s="7" t="inlineStr"/>
    </row>
    <row r="416">
      <c r="A416" s="7" t="n">
        <v>636361</v>
      </c>
      <c r="B416" s="7" t="inlineStr"/>
      <c r="C416" s="12" t="inlineStr">
        <is>
          <t>7891058003159</t>
        </is>
      </c>
      <c r="D416" s="7" t="inlineStr">
        <is>
          <t>OLMESARTANA MEDOXOMILA 20MG CX 30 COMP REV</t>
        </is>
      </c>
      <c r="E416" s="13" t="n">
        <v>1</v>
      </c>
      <c r="F416" s="13" t="n">
        <v>4</v>
      </c>
      <c r="G416" s="13" t="n">
        <v>4</v>
      </c>
      <c r="H416" s="8" t="n">
        <v>27.2025</v>
      </c>
      <c r="I416" s="8">
        <f>G416*H416</f>
        <v/>
      </c>
      <c r="J416" s="8">
        <f>H416/E416</f>
        <v/>
      </c>
      <c r="K416" s="8" t="n">
        <v>15.655</v>
      </c>
      <c r="L416" s="8" t="n">
        <v>14.2667</v>
      </c>
      <c r="M416" s="14">
        <f>J416/K416-1</f>
        <v/>
      </c>
      <c r="N416" s="7" t="inlineStr">
        <is>
          <t>ACIMA +73.8%</t>
        </is>
      </c>
      <c r="O416" s="7" t="inlineStr"/>
    </row>
    <row r="417">
      <c r="A417" s="7" t="n">
        <v>378101</v>
      </c>
      <c r="B417" s="7" t="inlineStr"/>
      <c r="C417" s="12" t="inlineStr">
        <is>
          <t>7896523227184</t>
        </is>
      </c>
      <c r="D417" s="7" t="inlineStr">
        <is>
          <t>OMEPRAZOL 20MG CX 28 CAP LIB RETARD</t>
        </is>
      </c>
      <c r="E417" s="13" t="n">
        <v>1</v>
      </c>
      <c r="F417" s="13" t="n">
        <v>14</v>
      </c>
      <c r="G417" s="13" t="n">
        <v>14</v>
      </c>
      <c r="H417" s="8" t="n">
        <v>23.13</v>
      </c>
      <c r="I417" s="8">
        <f>G417*H417</f>
        <v/>
      </c>
      <c r="J417" s="8">
        <f>H417/E417</f>
        <v/>
      </c>
      <c r="K417" s="8" t="n">
        <v>2.79</v>
      </c>
      <c r="L417" s="8" t="n">
        <v>2.65</v>
      </c>
      <c r="M417" s="14">
        <f>J417/K417-1</f>
        <v/>
      </c>
      <c r="N417" s="7" t="inlineStr">
        <is>
          <t>ACIMA +729.0%</t>
        </is>
      </c>
      <c r="O417" s="7" t="inlineStr">
        <is>
          <t>conferir emb.</t>
        </is>
      </c>
    </row>
    <row r="418">
      <c r="A418" s="7" t="n">
        <v>378121</v>
      </c>
      <c r="B418" s="7" t="inlineStr"/>
      <c r="C418" s="12" t="inlineStr">
        <is>
          <t>7896523227191</t>
        </is>
      </c>
      <c r="D418" s="7" t="inlineStr">
        <is>
          <t>OMEPRAZOL 20MG CX 56 CAP LIB RETARD</t>
        </is>
      </c>
      <c r="E418" s="13" t="n">
        <v>1</v>
      </c>
      <c r="F418" s="13" t="n">
        <v>8</v>
      </c>
      <c r="G418" s="13" t="n">
        <v>8</v>
      </c>
      <c r="H418" s="8" t="n">
        <v>21.22</v>
      </c>
      <c r="I418" s="8">
        <f>G418*H418</f>
        <v/>
      </c>
      <c r="J418" s="8">
        <f>H418/E418</f>
        <v/>
      </c>
      <c r="K418" s="8" t="n">
        <v>4.95</v>
      </c>
      <c r="L418" s="8" t="n">
        <v>3.94</v>
      </c>
      <c r="M418" s="14">
        <f>J418/K418-1</f>
        <v/>
      </c>
      <c r="N418" s="7" t="inlineStr">
        <is>
          <t>ACIMA +328.7%</t>
        </is>
      </c>
      <c r="O418" s="7" t="inlineStr">
        <is>
          <t>conferir emb.</t>
        </is>
      </c>
    </row>
    <row r="419">
      <c r="A419" s="7" t="n">
        <v>609511</v>
      </c>
      <c r="B419" s="7" t="inlineStr"/>
      <c r="C419" s="12" t="inlineStr">
        <is>
          <t>7897316806388</t>
        </is>
      </c>
      <c r="D419" s="7" t="inlineStr">
        <is>
          <t>OPTIVE FR 15ML</t>
        </is>
      </c>
      <c r="E419" s="13" t="n">
        <v>1</v>
      </c>
      <c r="F419" s="13" t="n">
        <v>1</v>
      </c>
      <c r="G419" s="13" t="n">
        <v>1</v>
      </c>
      <c r="H419" s="8" t="n">
        <v>65.136</v>
      </c>
      <c r="I419" s="8">
        <f>G419*H419</f>
        <v/>
      </c>
      <c r="J419" s="8">
        <f>H419/E419</f>
        <v/>
      </c>
      <c r="K419" s="8" t="n">
        <v>81.22</v>
      </c>
      <c r="L419" s="8" t="n">
        <v>73.28</v>
      </c>
      <c r="M419" s="14">
        <f>J419/K419-1</f>
        <v/>
      </c>
      <c r="N419" s="7" t="inlineStr">
        <is>
          <t>OK (≤ menor hist.)</t>
        </is>
      </c>
      <c r="O419" s="7" t="inlineStr"/>
    </row>
    <row r="420">
      <c r="A420" s="7" t="n">
        <v>666771</v>
      </c>
      <c r="B420" s="7" t="inlineStr"/>
      <c r="C420" s="12" t="inlineStr">
        <is>
          <t>7891058002428</t>
        </is>
      </c>
      <c r="D420" s="7" t="inlineStr">
        <is>
          <t>OXALATO DE ESCITALOPRAM 10MG CX 60 COMP REV</t>
        </is>
      </c>
      <c r="E420" s="13" t="n">
        <v>1</v>
      </c>
      <c r="F420" s="13" t="n">
        <v>1</v>
      </c>
      <c r="G420" s="13" t="n">
        <v>1</v>
      </c>
      <c r="H420" s="8" t="n">
        <v>44.380476</v>
      </c>
      <c r="I420" s="8">
        <f>G420*H420</f>
        <v/>
      </c>
      <c r="J420" s="8">
        <f>H420/E420</f>
        <v/>
      </c>
      <c r="K420" s="8" t="n">
        <v>16.19</v>
      </c>
      <c r="L420" s="8" t="n">
        <v>11.4133</v>
      </c>
      <c r="M420" s="14">
        <f>J420/K420-1</f>
        <v/>
      </c>
      <c r="N420" s="7" t="inlineStr">
        <is>
          <t>ACIMA +174.1%</t>
        </is>
      </c>
      <c r="O420" s="7" t="inlineStr">
        <is>
          <t>conferir emb.</t>
        </is>
      </c>
    </row>
    <row r="421">
      <c r="A421" s="7" t="n">
        <v>670391</v>
      </c>
      <c r="B421" s="7" t="inlineStr"/>
      <c r="C421" s="12" t="inlineStr">
        <is>
          <t>7891058005979</t>
        </is>
      </c>
      <c r="D421" s="7" t="inlineStr">
        <is>
          <t>PANTOPRAZOL 40MG 28CPR LIB RET</t>
        </is>
      </c>
      <c r="E421" s="13" t="n">
        <v>1</v>
      </c>
      <c r="F421" s="13" t="n">
        <v>15</v>
      </c>
      <c r="G421" s="13" t="n">
        <v>15</v>
      </c>
      <c r="H421" s="8" t="n">
        <v>16.54848</v>
      </c>
      <c r="I421" s="8">
        <f>G421*H421</f>
        <v/>
      </c>
      <c r="J421" s="8">
        <f>H421/E421</f>
        <v/>
      </c>
      <c r="K421" s="8" t="n">
        <v>6.23</v>
      </c>
      <c r="L421" s="8" t="n">
        <v>6.23</v>
      </c>
      <c r="M421" s="14">
        <f>J421/K421-1</f>
        <v/>
      </c>
      <c r="N421" s="7" t="inlineStr">
        <is>
          <t>ACIMA +165.6%</t>
        </is>
      </c>
      <c r="O421" s="7" t="inlineStr">
        <is>
          <t>estoque parcial (2 un); conferir emb.</t>
        </is>
      </c>
    </row>
    <row r="422">
      <c r="A422" s="7" t="n">
        <v>664791</v>
      </c>
      <c r="B422" s="7" t="inlineStr"/>
      <c r="C422" s="12" t="inlineStr">
        <is>
          <t>7896523201726</t>
        </is>
      </c>
      <c r="D422" s="7" t="inlineStr">
        <is>
          <t>PARACETAMOL 750 MG CX 20CP</t>
        </is>
      </c>
      <c r="E422" s="13" t="n">
        <v>1</v>
      </c>
      <c r="F422" s="13" t="n">
        <v>19</v>
      </c>
      <c r="G422" s="13" t="n">
        <v>19</v>
      </c>
      <c r="H422" s="8" t="n">
        <v>20.31</v>
      </c>
      <c r="I422" s="8">
        <f>G422*H422</f>
        <v/>
      </c>
      <c r="J422" s="8">
        <f>H422/E422</f>
        <v/>
      </c>
      <c r="K422" s="8" t="n">
        <v>3.39</v>
      </c>
      <c r="L422" s="8" t="n">
        <v>3.39</v>
      </c>
      <c r="M422" s="14">
        <f>J422/K422-1</f>
        <v/>
      </c>
      <c r="N422" s="7" t="inlineStr">
        <is>
          <t>ACIMA +499.1%</t>
        </is>
      </c>
      <c r="O422" s="7" t="inlineStr">
        <is>
          <t>conferir emb.</t>
        </is>
      </c>
    </row>
    <row r="423">
      <c r="A423" s="7" t="n">
        <v>630971</v>
      </c>
      <c r="B423" s="7" t="inlineStr"/>
      <c r="C423" s="12" t="inlineStr">
        <is>
          <t>7896902209749</t>
        </is>
      </c>
      <c r="D423" s="7" t="inlineStr">
        <is>
          <t>PEDRA HUME FARMAX 30ML C/GLIC SPRAY</t>
        </is>
      </c>
      <c r="E423" s="13" t="n">
        <v>1</v>
      </c>
      <c r="F423" s="13" t="n">
        <v>2</v>
      </c>
      <c r="G423" s="13" t="n">
        <v>2</v>
      </c>
      <c r="H423" s="8" t="n">
        <v>7.04</v>
      </c>
      <c r="I423" s="8">
        <f>G423*H423</f>
        <v/>
      </c>
      <c r="J423" s="8">
        <f>H423/E423</f>
        <v/>
      </c>
      <c r="K423" s="8" t="n">
        <v>7.04</v>
      </c>
      <c r="L423" s="8" t="n">
        <v>7.04</v>
      </c>
      <c r="M423" s="14">
        <f>J423/K423-1</f>
        <v/>
      </c>
      <c r="N423" s="7" t="inlineStr">
        <is>
          <t>OK (≤ menor hist.)</t>
        </is>
      </c>
      <c r="O423" s="7" t="inlineStr"/>
    </row>
    <row r="424">
      <c r="A424" s="7" t="n">
        <v>553021</v>
      </c>
      <c r="B424" s="7" t="inlineStr"/>
      <c r="C424" s="12" t="inlineStr">
        <is>
          <t>7896676434323</t>
        </is>
      </c>
      <c r="D424" s="7" t="inlineStr">
        <is>
          <t>PHOSFOENEMA 160+60MG/ML ENEMA FR 130ML</t>
        </is>
      </c>
      <c r="E424" s="13" t="n">
        <v>1</v>
      </c>
      <c r="F424" s="13" t="n">
        <v>8</v>
      </c>
      <c r="G424" s="13" t="n">
        <v>8</v>
      </c>
      <c r="H424" s="8" t="n">
        <v>17.0618</v>
      </c>
      <c r="I424" s="8">
        <f>G424*H424</f>
        <v/>
      </c>
      <c r="J424" s="8">
        <f>H424/E424</f>
        <v/>
      </c>
      <c r="K424" s="8" t="n">
        <v>16.8267</v>
      </c>
      <c r="L424" s="8" t="n">
        <v>14.228</v>
      </c>
      <c r="M424" s="14">
        <f>J424/K424-1</f>
        <v/>
      </c>
      <c r="N424" s="7" t="inlineStr">
        <is>
          <t>ACIMA +1.4%</t>
        </is>
      </c>
      <c r="O424" s="7" t="inlineStr"/>
    </row>
    <row r="425">
      <c r="A425" s="7" t="n">
        <v>629391</v>
      </c>
      <c r="B425" s="7" t="inlineStr"/>
      <c r="C425" s="12" t="inlineStr">
        <is>
          <t>7898936110558</t>
        </is>
      </c>
      <c r="D425" s="7" t="inlineStr">
        <is>
          <t>PIQUITUCHO TOALHAS UMD PREMIUM C/60</t>
        </is>
      </c>
      <c r="E425" s="13" t="n">
        <v>1</v>
      </c>
      <c r="F425" s="13" t="n">
        <v>15</v>
      </c>
      <c r="G425" s="13" t="n">
        <v>15</v>
      </c>
      <c r="H425" s="8" t="n">
        <v>5.3253</v>
      </c>
      <c r="I425" s="8">
        <f>G425*H425</f>
        <v/>
      </c>
      <c r="J425" s="8">
        <f>H425/E425</f>
        <v/>
      </c>
      <c r="K425" s="8" t="n">
        <v>4.25</v>
      </c>
      <c r="L425" s="8" t="n">
        <v>4.18</v>
      </c>
      <c r="M425" s="14">
        <f>J425/K425-1</f>
        <v/>
      </c>
      <c r="N425" s="7" t="inlineStr">
        <is>
          <t>ACIMA +25.3%</t>
        </is>
      </c>
      <c r="O425" s="7" t="inlineStr"/>
    </row>
    <row r="426">
      <c r="A426" s="7" t="n">
        <v>159781</v>
      </c>
      <c r="B426" s="7" t="inlineStr"/>
      <c r="C426" s="12" t="inlineStr">
        <is>
          <t>7891058059149</t>
        </is>
      </c>
      <c r="D426" s="7" t="inlineStr">
        <is>
          <t>PLASIL 10MG CX 20 COMP</t>
        </is>
      </c>
      <c r="E426" s="13" t="n">
        <v>1</v>
      </c>
      <c r="F426" s="13" t="n">
        <v>8</v>
      </c>
      <c r="G426" s="13" t="n">
        <v>8</v>
      </c>
      <c r="H426" s="8" t="n">
        <v>11.037</v>
      </c>
      <c r="I426" s="8">
        <f>G426*H426</f>
        <v/>
      </c>
      <c r="J426" s="8">
        <f>H426/E426</f>
        <v/>
      </c>
      <c r="K426" s="8" t="n">
        <v>11.352</v>
      </c>
      <c r="L426" s="8" t="n">
        <v>9.918900000000001</v>
      </c>
      <c r="M426" s="14">
        <f>J426/K426-1</f>
        <v/>
      </c>
      <c r="N426" s="7" t="inlineStr">
        <is>
          <t>OK (≤ últ. compra)</t>
        </is>
      </c>
      <c r="O426" s="7" t="inlineStr">
        <is>
          <t>estoque parcial (5 un)</t>
        </is>
      </c>
    </row>
    <row r="427">
      <c r="A427" s="7" t="n">
        <v>594181</v>
      </c>
      <c r="B427" s="7" t="inlineStr"/>
      <c r="C427" s="12" t="inlineStr">
        <is>
          <t>7891024130728</t>
        </is>
      </c>
      <c r="D427" s="7" t="inlineStr">
        <is>
          <t>PLAX DEN COLGATE FRESH MINT 60ML</t>
        </is>
      </c>
      <c r="E427" s="13" t="n">
        <v>1</v>
      </c>
      <c r="F427" s="13" t="n">
        <v>5</v>
      </c>
      <c r="G427" s="13" t="n">
        <v>5</v>
      </c>
      <c r="H427" s="8" t="n">
        <v>4.52</v>
      </c>
      <c r="I427" s="8">
        <f>G427*H427</f>
        <v/>
      </c>
      <c r="J427" s="8">
        <f>H427/E427</f>
        <v/>
      </c>
      <c r="K427" s="8" t="n">
        <v>4.5017</v>
      </c>
      <c r="L427" s="8" t="n">
        <v>4.37</v>
      </c>
      <c r="M427" s="14">
        <f>J427/K427-1</f>
        <v/>
      </c>
      <c r="N427" s="7" t="inlineStr">
        <is>
          <t>ACIMA +0.4%</t>
        </is>
      </c>
      <c r="O427" s="7" t="inlineStr"/>
    </row>
    <row r="428">
      <c r="A428" s="7" t="n">
        <v>627821</v>
      </c>
      <c r="B428" s="7" t="inlineStr"/>
      <c r="C428" s="12" t="inlineStr">
        <is>
          <t>7896523201320</t>
        </is>
      </c>
      <c r="D428" s="7" t="inlineStr">
        <is>
          <t>PRALIVIO 400MG BL 10 CAP</t>
        </is>
      </c>
      <c r="E428" s="13" t="n">
        <v>1</v>
      </c>
      <c r="F428" s="13" t="n">
        <v>1</v>
      </c>
      <c r="G428" s="13" t="n">
        <v>1</v>
      </c>
      <c r="H428" s="8" t="n">
        <v>18.61</v>
      </c>
      <c r="I428" s="8">
        <f>G428*H428</f>
        <v/>
      </c>
      <c r="J428" s="8">
        <f>H428/E428</f>
        <v/>
      </c>
      <c r="K428" s="8" t="n">
        <v>6.99</v>
      </c>
      <c r="L428" s="8" t="n">
        <v>6.99</v>
      </c>
      <c r="M428" s="14">
        <f>J428/K428-1</f>
        <v/>
      </c>
      <c r="N428" s="7" t="inlineStr">
        <is>
          <t>ACIMA +166.2%</t>
        </is>
      </c>
      <c r="O428" s="7" t="inlineStr">
        <is>
          <t>conferir emb.</t>
        </is>
      </c>
    </row>
    <row r="429">
      <c r="A429" s="7" t="n">
        <v>660331</v>
      </c>
      <c r="B429" s="7" t="inlineStr"/>
      <c r="C429" s="12" t="inlineStr">
        <is>
          <t>7891058005665</t>
        </is>
      </c>
      <c r="D429" s="7" t="inlineStr">
        <is>
          <t>PREDNISONA 20MG CX 10 COMP</t>
        </is>
      </c>
      <c r="E429" s="13" t="n">
        <v>1</v>
      </c>
      <c r="F429" s="13" t="n">
        <v>8</v>
      </c>
      <c r="G429" s="13" t="n">
        <v>8</v>
      </c>
      <c r="H429" s="8" t="n">
        <v>8.305759999999999</v>
      </c>
      <c r="I429" s="8">
        <f>G429*H429</f>
        <v/>
      </c>
      <c r="J429" s="8">
        <f>H429/E429</f>
        <v/>
      </c>
      <c r="K429" s="8" t="n">
        <v>4.74</v>
      </c>
      <c r="L429" s="8" t="n">
        <v>4.07</v>
      </c>
      <c r="M429" s="14">
        <f>J429/K429-1</f>
        <v/>
      </c>
      <c r="N429" s="7" t="inlineStr">
        <is>
          <t>ACIMA +75.2%</t>
        </is>
      </c>
      <c r="O429" s="7" t="inlineStr"/>
    </row>
    <row r="430">
      <c r="A430" s="7" t="n">
        <v>408261</v>
      </c>
      <c r="B430" s="7" t="inlineStr"/>
      <c r="C430" s="12" t="inlineStr">
        <is>
          <t>7891317004095</t>
        </is>
      </c>
      <c r="D430" s="7" t="inlineStr">
        <is>
          <t>PRENI 20MG CX 10 COMP</t>
        </is>
      </c>
      <c r="E430" s="13" t="n">
        <v>1</v>
      </c>
      <c r="F430" s="13" t="n">
        <v>1</v>
      </c>
      <c r="G430" s="13" t="n">
        <v>1</v>
      </c>
      <c r="H430" s="8" t="n">
        <v>22.26</v>
      </c>
      <c r="I430" s="8">
        <f>G430*H430</f>
        <v/>
      </c>
      <c r="J430" s="8">
        <f>H430/E430</f>
        <v/>
      </c>
      <c r="K430" s="8" t="n">
        <v>19.31</v>
      </c>
      <c r="L430" s="8" t="n">
        <v>19.31</v>
      </c>
      <c r="M430" s="14">
        <f>J430/K430-1</f>
        <v/>
      </c>
      <c r="N430" s="7" t="inlineStr">
        <is>
          <t>ACIMA +15.3%</t>
        </is>
      </c>
      <c r="O430" s="7" t="inlineStr"/>
    </row>
    <row r="431">
      <c r="A431" s="7" t="n">
        <v>563761</v>
      </c>
      <c r="B431" s="7" t="inlineStr"/>
      <c r="C431" s="12" t="inlineStr">
        <is>
          <t>7891035991110</t>
        </is>
      </c>
      <c r="D431" s="7" t="inlineStr">
        <is>
          <t>PRES JONTEX ULTRA SENSITIVE C2UN</t>
        </is>
      </c>
      <c r="E431" s="13" t="n">
        <v>1</v>
      </c>
      <c r="F431" s="13" t="n">
        <v>1</v>
      </c>
      <c r="G431" s="13" t="n">
        <v>1</v>
      </c>
      <c r="H431" s="8" t="n">
        <v>13.1908</v>
      </c>
      <c r="I431" s="8">
        <f>G431*H431</f>
        <v/>
      </c>
      <c r="J431" s="8">
        <f>H431/E431</f>
        <v/>
      </c>
      <c r="K431" s="8" t="n">
        <v>12.06</v>
      </c>
      <c r="L431" s="8" t="n">
        <v>11.4783</v>
      </c>
      <c r="M431" s="14">
        <f>J431/K431-1</f>
        <v/>
      </c>
      <c r="N431" s="7" t="inlineStr">
        <is>
          <t>ACIMA +9.4%</t>
        </is>
      </c>
      <c r="O431" s="7" t="inlineStr"/>
    </row>
    <row r="432">
      <c r="A432" s="7" t="n">
        <v>657391</v>
      </c>
      <c r="B432" s="7" t="inlineStr"/>
      <c r="C432" s="12" t="inlineStr">
        <is>
          <t>7898079001300</t>
        </is>
      </c>
      <c r="D432" s="7" t="inlineStr">
        <is>
          <t>PRES. PRUDENCE AROM MORANGO C/06</t>
        </is>
      </c>
      <c r="E432" s="13" t="n">
        <v>1</v>
      </c>
      <c r="F432" s="13" t="n">
        <v>6</v>
      </c>
      <c r="G432" s="13" t="n">
        <v>6</v>
      </c>
      <c r="H432" s="8" t="n">
        <v>9.6995</v>
      </c>
      <c r="I432" s="8">
        <f>G432*H432</f>
        <v/>
      </c>
      <c r="J432" s="8">
        <f>H432/E432</f>
        <v/>
      </c>
      <c r="K432" s="8" t="n">
        <v>8.390000000000001</v>
      </c>
      <c r="L432" s="8" t="n">
        <v>8.390000000000001</v>
      </c>
      <c r="M432" s="14">
        <f>J432/K432-1</f>
        <v/>
      </c>
      <c r="N432" s="7" t="inlineStr">
        <is>
          <t>ACIMA +15.6%</t>
        </is>
      </c>
      <c r="O432" s="7" t="inlineStr"/>
    </row>
    <row r="433">
      <c r="A433" s="7" t="n">
        <v>595671</v>
      </c>
      <c r="B433" s="7" t="inlineStr"/>
      <c r="C433" s="12" t="inlineStr">
        <is>
          <t>7898079006404</t>
        </is>
      </c>
      <c r="D433" s="7" t="inlineStr">
        <is>
          <t>PRESERV PRUDENCE EF RET 8 OF</t>
        </is>
      </c>
      <c r="E433" s="13" t="n">
        <v>1</v>
      </c>
      <c r="F433" s="13" t="n">
        <v>3</v>
      </c>
      <c r="G433" s="13" t="n">
        <v>3</v>
      </c>
      <c r="H433" s="8" t="n">
        <v>14.7725</v>
      </c>
      <c r="I433" s="8">
        <f>G433*H433</f>
        <v/>
      </c>
      <c r="J433" s="8">
        <f>H433/E433</f>
        <v/>
      </c>
      <c r="K433" s="8" t="n">
        <v>12.99</v>
      </c>
      <c r="L433" s="8" t="n">
        <v>12.99</v>
      </c>
      <c r="M433" s="14">
        <f>J433/K433-1</f>
        <v/>
      </c>
      <c r="N433" s="7" t="inlineStr">
        <is>
          <t>ACIMA +13.7%</t>
        </is>
      </c>
      <c r="O433" s="7" t="inlineStr"/>
    </row>
    <row r="434">
      <c r="A434" s="7" t="n">
        <v>595661</v>
      </c>
      <c r="B434" s="7" t="inlineStr"/>
      <c r="C434" s="12" t="inlineStr">
        <is>
          <t>7898079000433</t>
        </is>
      </c>
      <c r="D434" s="7" t="inlineStr">
        <is>
          <t>PRESERV PRUDENCE EG US 8 OF</t>
        </is>
      </c>
      <c r="E434" s="13" t="n">
        <v>1</v>
      </c>
      <c r="F434" s="13" t="n">
        <v>4</v>
      </c>
      <c r="G434" s="13" t="n">
        <v>4</v>
      </c>
      <c r="H434" s="8" t="n">
        <v>13.4995</v>
      </c>
      <c r="I434" s="8">
        <f>G434*H434</f>
        <v/>
      </c>
      <c r="J434" s="8">
        <f>H434/E434</f>
        <v/>
      </c>
      <c r="K434" s="8" t="n">
        <v>11.88</v>
      </c>
      <c r="L434" s="8" t="n">
        <v>11.88</v>
      </c>
      <c r="M434" s="14">
        <f>J434/K434-1</f>
        <v/>
      </c>
      <c r="N434" s="7" t="inlineStr">
        <is>
          <t>ACIMA +13.6%</t>
        </is>
      </c>
      <c r="O434" s="7" t="inlineStr"/>
    </row>
    <row r="435">
      <c r="A435" s="7" t="n">
        <v>662501</v>
      </c>
      <c r="B435" s="7" t="inlineStr"/>
      <c r="C435" s="12" t="inlineStr">
        <is>
          <t>7898079000938</t>
        </is>
      </c>
      <c r="D435" s="7" t="inlineStr">
        <is>
          <t>PRESERVATIVO PRUDENCE C S MIX TROPICAL LV8 PG6</t>
        </is>
      </c>
      <c r="E435" s="13" t="n">
        <v>1</v>
      </c>
      <c r="F435" s="13" t="n">
        <v>2</v>
      </c>
      <c r="G435" s="13" t="n">
        <v>2</v>
      </c>
      <c r="H435" s="8" t="n">
        <v>9.6995</v>
      </c>
      <c r="I435" s="8">
        <f>G435*H435</f>
        <v/>
      </c>
      <c r="J435" s="8">
        <f>H435/E435</f>
        <v/>
      </c>
      <c r="K435" s="8" t="n">
        <v>8.539999999999999</v>
      </c>
      <c r="L435" s="8" t="n">
        <v>8.539999999999999</v>
      </c>
      <c r="M435" s="14">
        <f>J435/K435-1</f>
        <v/>
      </c>
      <c r="N435" s="7" t="inlineStr">
        <is>
          <t>ACIMA +13.6%</t>
        </is>
      </c>
      <c r="O435" s="7" t="inlineStr"/>
    </row>
    <row r="436">
      <c r="A436" s="7" t="n">
        <v>658581</v>
      </c>
      <c r="B436" s="7" t="inlineStr"/>
      <c r="C436" s="12" t="inlineStr">
        <is>
          <t>0070341368183</t>
        </is>
      </c>
      <c r="D436" s="7" t="inlineStr">
        <is>
          <t>PRINCIPIA DC AD-02 70ML HIDRATA E ACALMA</t>
        </is>
      </c>
      <c r="E436" s="13" t="n">
        <v>1</v>
      </c>
      <c r="F436" s="13" t="n">
        <v>1</v>
      </c>
      <c r="G436" s="13" t="n">
        <v>1</v>
      </c>
      <c r="H436" s="8" t="n">
        <v>35.24</v>
      </c>
      <c r="I436" s="8">
        <f>G436*H436</f>
        <v/>
      </c>
      <c r="J436" s="8">
        <f>H436/E436</f>
        <v/>
      </c>
      <c r="K436" s="8" t="n">
        <v>30.8</v>
      </c>
      <c r="L436" s="8" t="n">
        <v>30.8</v>
      </c>
      <c r="M436" s="14">
        <f>J436/K436-1</f>
        <v/>
      </c>
      <c r="N436" s="7" t="inlineStr">
        <is>
          <t>ACIMA +14.4%</t>
        </is>
      </c>
      <c r="O436" s="7" t="inlineStr"/>
    </row>
    <row r="437">
      <c r="A437" s="7" t="n">
        <v>658621</v>
      </c>
      <c r="B437" s="7" t="inlineStr"/>
      <c r="C437" s="12" t="inlineStr">
        <is>
          <t>0609963220625</t>
        </is>
      </c>
      <c r="D437" s="7" t="inlineStr">
        <is>
          <t>PRINCIPIA EMULSAO CORPORAL EC-01 200ML</t>
        </is>
      </c>
      <c r="E437" s="13" t="n">
        <v>1</v>
      </c>
      <c r="F437" s="13" t="n">
        <v>4</v>
      </c>
      <c r="G437" s="13" t="n">
        <v>4</v>
      </c>
      <c r="H437" s="8" t="n">
        <v>45.01</v>
      </c>
      <c r="I437" s="8">
        <f>G437*H437</f>
        <v/>
      </c>
      <c r="J437" s="8">
        <f>H437/E437</f>
        <v/>
      </c>
      <c r="K437" s="8" t="n">
        <v>38.63</v>
      </c>
      <c r="L437" s="8" t="n">
        <v>38.63</v>
      </c>
      <c r="M437" s="14">
        <f>J437/K437-1</f>
        <v/>
      </c>
      <c r="N437" s="7" t="inlineStr">
        <is>
          <t>ACIMA +16.5%</t>
        </is>
      </c>
      <c r="O437" s="7" t="inlineStr"/>
    </row>
    <row r="438">
      <c r="A438" s="7" t="n">
        <v>658571</v>
      </c>
      <c r="B438" s="7" t="inlineStr"/>
      <c r="C438" s="12" t="inlineStr">
        <is>
          <t>0736532824868</t>
        </is>
      </c>
      <c r="D438" s="7" t="inlineStr">
        <is>
          <t>PRINCIPIA EMULSAO FAC GRANACTI GR-2 30ML</t>
        </is>
      </c>
      <c r="E438" s="13" t="n">
        <v>1</v>
      </c>
      <c r="F438" s="13" t="n">
        <v>1</v>
      </c>
      <c r="G438" s="13" t="n">
        <v>1</v>
      </c>
      <c r="H438" s="8" t="n">
        <v>82.53</v>
      </c>
      <c r="I438" s="8">
        <f>G438*H438</f>
        <v/>
      </c>
      <c r="J438" s="8">
        <f>H438/E438</f>
        <v/>
      </c>
      <c r="K438" s="8" t="n">
        <v>68.44</v>
      </c>
      <c r="L438" s="8" t="n">
        <v>68.44</v>
      </c>
      <c r="M438" s="14">
        <f>J438/K438-1</f>
        <v/>
      </c>
      <c r="N438" s="7" t="inlineStr">
        <is>
          <t>ACIMA +20.6%</t>
        </is>
      </c>
      <c r="O438" s="7" t="inlineStr"/>
    </row>
    <row r="439">
      <c r="A439" s="7" t="n">
        <v>658701</v>
      </c>
      <c r="B439" s="7" t="inlineStr"/>
      <c r="C439" s="12" t="inlineStr">
        <is>
          <t>609963220564</t>
        </is>
      </c>
      <c r="D439" s="7" t="inlineStr">
        <is>
          <t>PRINCIPIA GEL LIMPEZA FAC GL-01 350G</t>
        </is>
      </c>
      <c r="E439" s="13" t="n">
        <v>1</v>
      </c>
      <c r="F439" s="13" t="n">
        <v>6</v>
      </c>
      <c r="G439" s="13" t="n">
        <v>6</v>
      </c>
      <c r="H439" s="8" t="n">
        <v>45.47</v>
      </c>
      <c r="I439" s="8">
        <f>G439*H439</f>
        <v/>
      </c>
      <c r="J439" s="8">
        <f>H439/E439</f>
        <v/>
      </c>
      <c r="K439" s="8" t="n">
        <v>40.77</v>
      </c>
      <c r="L439" s="8" t="n">
        <v>34.3</v>
      </c>
      <c r="M439" s="14">
        <f>J439/K439-1</f>
        <v/>
      </c>
      <c r="N439" s="7" t="inlineStr">
        <is>
          <t>ACIMA +11.5%</t>
        </is>
      </c>
      <c r="O439" s="7" t="inlineStr"/>
    </row>
    <row r="440">
      <c r="A440" s="7" t="n">
        <v>658711</v>
      </c>
      <c r="B440" s="7" t="inlineStr"/>
      <c r="C440" s="12" t="inlineStr">
        <is>
          <t>609963220755</t>
        </is>
      </c>
      <c r="D440" s="7" t="inlineStr">
        <is>
          <t>PRINCIPIA GEL LIMPEZA FAC GL-02 350G</t>
        </is>
      </c>
      <c r="E440" s="13" t="n">
        <v>1</v>
      </c>
      <c r="F440" s="13" t="n">
        <v>3</v>
      </c>
      <c r="G440" s="13" t="n">
        <v>3</v>
      </c>
      <c r="H440" s="8" t="n">
        <v>41.26</v>
      </c>
      <c r="I440" s="8">
        <f>G440*H440</f>
        <v/>
      </c>
      <c r="J440" s="8">
        <f>H440/E440</f>
        <v/>
      </c>
      <c r="K440" s="8" t="n">
        <v>38.64</v>
      </c>
      <c r="L440" s="8" t="n">
        <v>34.3</v>
      </c>
      <c r="M440" s="14">
        <f>J440/K440-1</f>
        <v/>
      </c>
      <c r="N440" s="7" t="inlineStr">
        <is>
          <t>ACIMA +6.8%</t>
        </is>
      </c>
      <c r="O440" s="7" t="inlineStr"/>
    </row>
    <row r="441">
      <c r="A441" s="7" t="n">
        <v>658731</v>
      </c>
      <c r="B441" s="7" t="inlineStr"/>
      <c r="C441" s="12" t="inlineStr">
        <is>
          <t>0609963220694</t>
        </is>
      </c>
      <c r="D441" s="7" t="inlineStr">
        <is>
          <t>PRINCIPIA PROT SOL FAC PS-01 FPS60 40ML</t>
        </is>
      </c>
      <c r="E441" s="13" t="n">
        <v>1</v>
      </c>
      <c r="F441" s="13" t="n">
        <v>3</v>
      </c>
      <c r="G441" s="13" t="n">
        <v>3</v>
      </c>
      <c r="H441" s="8" t="n">
        <v>40.85</v>
      </c>
      <c r="I441" s="8">
        <f>G441*H441</f>
        <v/>
      </c>
      <c r="J441" s="8">
        <f>H441/E441</f>
        <v/>
      </c>
      <c r="K441" s="8" t="n">
        <v>36.74</v>
      </c>
      <c r="L441" s="8" t="n">
        <v>30.8</v>
      </c>
      <c r="M441" s="14">
        <f>J441/K441-1</f>
        <v/>
      </c>
      <c r="N441" s="7" t="inlineStr">
        <is>
          <t>ACIMA +11.2%</t>
        </is>
      </c>
      <c r="O441" s="7" t="inlineStr"/>
    </row>
    <row r="442">
      <c r="A442" s="7" t="n">
        <v>658721</v>
      </c>
      <c r="B442" s="7" t="inlineStr"/>
      <c r="C442" s="12" t="inlineStr">
        <is>
          <t>602883706477</t>
        </is>
      </c>
      <c r="D442" s="7" t="inlineStr">
        <is>
          <t>PRINCIPIA SERUM FAC NIACINAM MIX-01 30ML</t>
        </is>
      </c>
      <c r="E442" s="13" t="n">
        <v>1</v>
      </c>
      <c r="F442" s="13" t="n">
        <v>2</v>
      </c>
      <c r="G442" s="13" t="n">
        <v>2</v>
      </c>
      <c r="H442" s="8" t="n">
        <v>61.69</v>
      </c>
      <c r="I442" s="8">
        <f>G442*H442</f>
        <v/>
      </c>
      <c r="J442" s="8">
        <f>H442/E442</f>
        <v/>
      </c>
      <c r="K442" s="8" t="n">
        <v>53.85</v>
      </c>
      <c r="L442" s="8" t="n">
        <v>44.8</v>
      </c>
      <c r="M442" s="14">
        <f>J442/K442-1</f>
        <v/>
      </c>
      <c r="N442" s="7" t="inlineStr">
        <is>
          <t>ACIMA +14.6%</t>
        </is>
      </c>
      <c r="O442" s="7" t="inlineStr"/>
    </row>
    <row r="443">
      <c r="A443" s="7" t="n">
        <v>405861</v>
      </c>
      <c r="B443" s="7" t="inlineStr"/>
      <c r="C443" s="12" t="inlineStr">
        <is>
          <t>7896641801792</t>
        </is>
      </c>
      <c r="D443" s="7" t="inlineStr">
        <is>
          <t>PROCTYL POM BG 30G</t>
        </is>
      </c>
      <c r="E443" s="13" t="n">
        <v>1</v>
      </c>
      <c r="F443" s="13" t="n">
        <v>3</v>
      </c>
      <c r="G443" s="13" t="n">
        <v>3</v>
      </c>
      <c r="H443" s="8" t="n">
        <v>83.40000000000001</v>
      </c>
      <c r="I443" s="8">
        <f>G443*H443</f>
        <v/>
      </c>
      <c r="J443" s="8">
        <f>H443/E443</f>
        <v/>
      </c>
      <c r="K443" s="8" t="n">
        <v>84.06999999999999</v>
      </c>
      <c r="L443" s="8" t="n">
        <v>65.70999999999999</v>
      </c>
      <c r="M443" s="14">
        <f>J443/K443-1</f>
        <v/>
      </c>
      <c r="N443" s="7" t="inlineStr">
        <is>
          <t>OK (≤ últ. compra)</t>
        </is>
      </c>
      <c r="O443" s="7" t="inlineStr"/>
    </row>
    <row r="444">
      <c r="A444" s="7" t="n">
        <v>96361</v>
      </c>
      <c r="B444" s="7" t="inlineStr"/>
      <c r="C444" s="12" t="inlineStr">
        <is>
          <t>7896070601871</t>
        </is>
      </c>
      <c r="D444" s="7" t="inlineStr">
        <is>
          <t>PROFENID 50MG SOL INJ CX 6 AMP X 2ML</t>
        </is>
      </c>
      <c r="E444" s="13" t="n">
        <v>6</v>
      </c>
      <c r="F444" s="13" t="n">
        <v>1</v>
      </c>
      <c r="G444" s="13" t="n">
        <v>1</v>
      </c>
      <c r="H444" s="8" t="n">
        <v>31.4535</v>
      </c>
      <c r="I444" s="8">
        <f>G444*H444</f>
        <v/>
      </c>
      <c r="J444" s="8">
        <f>H444/E444</f>
        <v/>
      </c>
      <c r="K444" s="8" t="n">
        <v>5.3083</v>
      </c>
      <c r="L444" s="8" t="n">
        <v>5.0654</v>
      </c>
      <c r="M444" s="14">
        <f>J444/K444-1</f>
        <v/>
      </c>
      <c r="N444" s="7" t="inlineStr">
        <is>
          <t>OK (≤ últ. compra)</t>
        </is>
      </c>
      <c r="O444" s="7" t="inlineStr">
        <is>
          <t>1 emb = 6 un</t>
        </is>
      </c>
    </row>
    <row r="445">
      <c r="A445" s="7" t="n">
        <v>594451</v>
      </c>
      <c r="B445" s="7" t="inlineStr"/>
      <c r="C445" s="12" t="inlineStr">
        <is>
          <t>7891010087722</t>
        </is>
      </c>
      <c r="D445" s="7" t="inlineStr">
        <is>
          <t>PROT DIAR CAREFREE PROTECAO C/PERF 15UN</t>
        </is>
      </c>
      <c r="E445" s="13" t="n">
        <v>1</v>
      </c>
      <c r="F445" s="13" t="n">
        <v>2</v>
      </c>
      <c r="G445" s="13" t="n">
        <v>2</v>
      </c>
      <c r="H445" s="8" t="n">
        <v>7.82</v>
      </c>
      <c r="I445" s="8">
        <f>G445*H445</f>
        <v/>
      </c>
      <c r="J445" s="8">
        <f>H445/E445</f>
        <v/>
      </c>
      <c r="K445" s="8" t="n">
        <v>7.1408</v>
      </c>
      <c r="L445" s="8" t="n">
        <v>7.1408</v>
      </c>
      <c r="M445" s="14">
        <f>J445/K445-1</f>
        <v/>
      </c>
      <c r="N445" s="7" t="inlineStr">
        <is>
          <t>ACIMA +9.5%</t>
        </is>
      </c>
      <c r="O445" s="7" t="inlineStr"/>
    </row>
    <row r="446">
      <c r="A446" s="7" t="n">
        <v>661771</v>
      </c>
      <c r="B446" s="7" t="inlineStr"/>
      <c r="C446" s="12" t="inlineStr">
        <is>
          <t>7899852025780</t>
        </is>
      </c>
      <c r="D446" s="7" t="inlineStr">
        <is>
          <t>PROT LAB VULT AMORA FPS15 3,5G-DEMAIS PROD</t>
        </is>
      </c>
      <c r="E446" s="13" t="n">
        <v>1</v>
      </c>
      <c r="F446" s="13" t="n">
        <v>1</v>
      </c>
      <c r="G446" s="13" t="n">
        <v>1</v>
      </c>
      <c r="H446" s="8" t="n">
        <v>13.72</v>
      </c>
      <c r="I446" s="8">
        <f>G446*H446</f>
        <v/>
      </c>
      <c r="J446" s="8">
        <f>H446/E446</f>
        <v/>
      </c>
      <c r="K446" s="8" t="n">
        <v>11.1</v>
      </c>
      <c r="L446" s="8" t="n">
        <v>11.1</v>
      </c>
      <c r="M446" s="14">
        <f>J446/K446-1</f>
        <v/>
      </c>
      <c r="N446" s="7" t="inlineStr">
        <is>
          <t>ACIMA +23.6%</t>
        </is>
      </c>
      <c r="O446" s="7" t="inlineStr"/>
    </row>
    <row r="447">
      <c r="A447" s="7" t="n">
        <v>566981</v>
      </c>
      <c r="B447" s="7" t="inlineStr"/>
      <c r="C447" s="12" t="inlineStr">
        <is>
          <t>4005900308719</t>
        </is>
      </c>
      <c r="D447" s="7" t="inlineStr">
        <is>
          <t>PROT NIVEA SOLAR SUN PROT  HIDRAT FPS70 200ML</t>
        </is>
      </c>
      <c r="E447" s="13" t="n">
        <v>1</v>
      </c>
      <c r="F447" s="13" t="n">
        <v>1</v>
      </c>
      <c r="G447" s="13" t="n">
        <v>1</v>
      </c>
      <c r="H447" s="8" t="n">
        <v>76.68000000000001</v>
      </c>
      <c r="I447" s="8">
        <f>G447*H447</f>
        <v/>
      </c>
      <c r="J447" s="8">
        <f>H447/E447</f>
        <v/>
      </c>
      <c r="K447" s="8" t="n">
        <v>51.4243</v>
      </c>
      <c r="L447" s="8" t="n">
        <v>51.4243</v>
      </c>
      <c r="M447" s="14">
        <f>J447/K447-1</f>
        <v/>
      </c>
      <c r="N447" s="7" t="inlineStr">
        <is>
          <t>ACIMA +49.1%</t>
        </is>
      </c>
      <c r="O447" s="7" t="inlineStr"/>
    </row>
    <row r="448">
      <c r="A448" s="7" t="n">
        <v>637681</v>
      </c>
      <c r="B448" s="7" t="inlineStr"/>
      <c r="C448" s="12" t="inlineStr">
        <is>
          <t>4005900980380</t>
        </is>
      </c>
      <c r="D448" s="7" t="inlineStr">
        <is>
          <t>PROT NIVEA SUN FACIAL TOQUE SECO FPS30 40ML</t>
        </is>
      </c>
      <c r="E448" s="13" t="n">
        <v>1</v>
      </c>
      <c r="F448" s="13" t="n">
        <v>1</v>
      </c>
      <c r="G448" s="13" t="n">
        <v>1</v>
      </c>
      <c r="H448" s="8" t="n">
        <v>35.95</v>
      </c>
      <c r="I448" s="8">
        <f>G448*H448</f>
        <v/>
      </c>
      <c r="J448" s="8">
        <f>H448/E448</f>
        <v/>
      </c>
      <c r="K448" s="8" t="n">
        <v>35.8</v>
      </c>
      <c r="L448" s="8" t="n">
        <v>35.8</v>
      </c>
      <c r="M448" s="14">
        <f>J448/K448-1</f>
        <v/>
      </c>
      <c r="N448" s="7" t="inlineStr">
        <is>
          <t>ACIMA +0.4%</t>
        </is>
      </c>
      <c r="O448" s="7" t="inlineStr"/>
    </row>
    <row r="449">
      <c r="A449" s="7" t="n">
        <v>554841</v>
      </c>
      <c r="B449" s="7" t="inlineStr"/>
      <c r="C449" s="12" t="inlineStr">
        <is>
          <t>7896007550463</t>
        </is>
      </c>
      <c r="D449" s="7" t="inlineStr">
        <is>
          <t>PROTETOR DIARIO INTIMUS ANTBAC 15UN</t>
        </is>
      </c>
      <c r="E449" s="13" t="n">
        <v>1</v>
      </c>
      <c r="F449" s="13" t="n">
        <v>5</v>
      </c>
      <c r="G449" s="13" t="n">
        <v>5</v>
      </c>
      <c r="H449" s="8" t="n">
        <v>5.76</v>
      </c>
      <c r="I449" s="8">
        <f>G449*H449</f>
        <v/>
      </c>
      <c r="J449" s="8">
        <f>H449/E449</f>
        <v/>
      </c>
      <c r="K449" s="8" t="n">
        <v>4.035</v>
      </c>
      <c r="L449" s="8" t="n">
        <v>4.035</v>
      </c>
      <c r="M449" s="14">
        <f>J449/K449-1</f>
        <v/>
      </c>
      <c r="N449" s="7" t="inlineStr">
        <is>
          <t>ACIMA +42.8%</t>
        </is>
      </c>
      <c r="O449" s="7" t="inlineStr"/>
    </row>
    <row r="450">
      <c r="A450" s="7" t="n">
        <v>648811</v>
      </c>
      <c r="B450" s="7" t="inlineStr"/>
      <c r="C450" s="12" t="inlineStr">
        <is>
          <t>7509546687865</t>
        </is>
      </c>
      <c r="D450" s="7" t="inlineStr">
        <is>
          <t>PROTEX BABY BW LAVANDA REFIL 180ML</t>
        </is>
      </c>
      <c r="E450" s="13" t="n">
        <v>1</v>
      </c>
      <c r="F450" s="13" t="n">
        <v>8</v>
      </c>
      <c r="G450" s="13" t="n">
        <v>8</v>
      </c>
      <c r="H450" s="8" t="n">
        <v>11.98</v>
      </c>
      <c r="I450" s="8">
        <f>G450*H450</f>
        <v/>
      </c>
      <c r="J450" s="8">
        <f>H450/E450</f>
        <v/>
      </c>
      <c r="K450" s="8" t="n">
        <v>11.0733</v>
      </c>
      <c r="L450" s="8" t="n">
        <v>5.78</v>
      </c>
      <c r="M450" s="14">
        <f>J450/K450-1</f>
        <v/>
      </c>
      <c r="N450" s="7" t="inlineStr">
        <is>
          <t>ACIMA +8.2%</t>
        </is>
      </c>
      <c r="O450" s="7" t="inlineStr"/>
    </row>
    <row r="451">
      <c r="A451" s="7" t="n">
        <v>695701</v>
      </c>
      <c r="B451" s="7" t="inlineStr"/>
      <c r="C451" s="12" t="inlineStr">
        <is>
          <t>0070341368572</t>
        </is>
      </c>
      <c r="D451" s="7" t="inlineStr">
        <is>
          <t>PS-05 PROTETOR SOLAR 14,5% MIX DE FILTROS UV + 5% NIACINAMIDA FPS 70 - COR 2.0 30ML</t>
        </is>
      </c>
      <c r="E451" s="13" t="n">
        <v>1</v>
      </c>
      <c r="F451" s="13" t="n">
        <v>1</v>
      </c>
      <c r="G451" s="13" t="n">
        <v>1</v>
      </c>
      <c r="H451" s="8" t="n">
        <v>44.11</v>
      </c>
      <c r="I451" s="8">
        <f>G451*H451</f>
        <v/>
      </c>
      <c r="J451" s="8">
        <f>H451/E451</f>
        <v/>
      </c>
      <c r="K451" s="8" t="n">
        <v>38.63</v>
      </c>
      <c r="L451" s="8" t="n">
        <v>38.63</v>
      </c>
      <c r="M451" s="14">
        <f>J451/K451-1</f>
        <v/>
      </c>
      <c r="N451" s="7" t="inlineStr">
        <is>
          <t>ACIMA +14.2%</t>
        </is>
      </c>
      <c r="O451" s="7" t="inlineStr"/>
    </row>
    <row r="452">
      <c r="A452" s="7" t="n">
        <v>695801</v>
      </c>
      <c r="B452" s="7" t="inlineStr"/>
      <c r="C452" s="12" t="inlineStr">
        <is>
          <t>0070341368589</t>
        </is>
      </c>
      <c r="D452" s="7" t="inlineStr">
        <is>
          <t>PS-05 PROTETOR SOLAR 14,5% MIX DE FILTROS UV + 5% NIACINAMIDA FPS 70 - COR 3.0 30ML</t>
        </is>
      </c>
      <c r="E452" s="13" t="n">
        <v>1</v>
      </c>
      <c r="F452" s="13" t="n">
        <v>3</v>
      </c>
      <c r="G452" s="13" t="n">
        <v>3</v>
      </c>
      <c r="H452" s="8" t="n">
        <v>44.11</v>
      </c>
      <c r="I452" s="8">
        <f>G452*H452</f>
        <v/>
      </c>
      <c r="J452" s="8">
        <f>H452/E452</f>
        <v/>
      </c>
      <c r="K452" s="8" t="n">
        <v>38.63</v>
      </c>
      <c r="L452" s="8" t="n">
        <v>38.63</v>
      </c>
      <c r="M452" s="14">
        <f>J452/K452-1</f>
        <v/>
      </c>
      <c r="N452" s="7" t="inlineStr">
        <is>
          <t>ACIMA +14.2%</t>
        </is>
      </c>
      <c r="O452" s="7" t="inlineStr"/>
    </row>
    <row r="453">
      <c r="A453" s="7" t="n">
        <v>69341</v>
      </c>
      <c r="B453" s="7" t="inlineStr"/>
      <c r="C453" s="12" t="inlineStr">
        <is>
          <t>7896206401610</t>
        </is>
      </c>
      <c r="D453" s="7" t="inlineStr">
        <is>
          <t>PULMICORT 0,25MG SUS EMBALAGEM FRACIONADA (5 FC)</t>
        </is>
      </c>
      <c r="E453" s="13" t="n">
        <v>4</v>
      </c>
      <c r="F453" s="13" t="n">
        <v>1</v>
      </c>
      <c r="G453" s="13" t="n">
        <v>1</v>
      </c>
      <c r="H453" s="8" t="n">
        <v>173.6949</v>
      </c>
      <c r="I453" s="8">
        <f>G453*H453</f>
        <v/>
      </c>
      <c r="J453" s="8">
        <f>H453/E453</f>
        <v/>
      </c>
      <c r="K453" s="8" t="n">
        <v>43.5222</v>
      </c>
      <c r="L453" s="8" t="n">
        <v>39.2025</v>
      </c>
      <c r="M453" s="14">
        <f>J453/K453-1</f>
        <v/>
      </c>
      <c r="N453" s="7" t="inlineStr">
        <is>
          <t>OK (≤ últ. compra)</t>
        </is>
      </c>
      <c r="O453" s="7" t="inlineStr">
        <is>
          <t>1 emb = 4 un</t>
        </is>
      </c>
    </row>
    <row r="454">
      <c r="A454" s="7" t="n">
        <v>331801</v>
      </c>
      <c r="B454" s="7" t="inlineStr"/>
      <c r="C454" s="12" t="inlineStr">
        <is>
          <t>7896523209425</t>
        </is>
      </c>
      <c r="D454" s="7" t="inlineStr">
        <is>
          <t>PV - ALERGOMINE 0,4MG/ML SOL OR FR 120ML+CM</t>
        </is>
      </c>
      <c r="E454" s="13" t="n">
        <v>1</v>
      </c>
      <c r="F454" s="13" t="n">
        <v>5</v>
      </c>
      <c r="G454" s="13" t="n">
        <v>5</v>
      </c>
      <c r="H454" s="8" t="n">
        <v>21.03</v>
      </c>
      <c r="I454" s="8">
        <f>G454*H454</f>
        <v/>
      </c>
      <c r="J454" s="8">
        <f>H454/E454</f>
        <v/>
      </c>
      <c r="K454" s="8" t="n">
        <v>10.2</v>
      </c>
      <c r="L454" s="8" t="n">
        <v>10.2</v>
      </c>
      <c r="M454" s="14">
        <f>J454/K454-1</f>
        <v/>
      </c>
      <c r="N454" s="7" t="inlineStr">
        <is>
          <t>ACIMA +106.2%</t>
        </is>
      </c>
      <c r="O454" s="7" t="inlineStr">
        <is>
          <t>conferir emb.</t>
        </is>
      </c>
    </row>
    <row r="455">
      <c r="A455" s="7" t="n">
        <v>509861</v>
      </c>
      <c r="B455" s="7" t="inlineStr"/>
      <c r="C455" s="12" t="inlineStr">
        <is>
          <t>7896672203909</t>
        </is>
      </c>
      <c r="D455" s="7" t="inlineStr">
        <is>
          <t>PV - BRONCHO-VAXOM 3,5MG PO LIOF CX 10 CAP</t>
        </is>
      </c>
      <c r="E455" s="13" t="n">
        <v>1</v>
      </c>
      <c r="F455" s="13" t="n">
        <v>1</v>
      </c>
      <c r="G455" s="13" t="n">
        <v>1</v>
      </c>
      <c r="H455" s="8" t="n">
        <v>54.3394</v>
      </c>
      <c r="I455" s="8">
        <f>G455*H455</f>
        <v/>
      </c>
      <c r="J455" s="8">
        <f>H455/E455</f>
        <v/>
      </c>
      <c r="K455" s="8" t="n">
        <v>49.26</v>
      </c>
      <c r="L455" s="8" t="n">
        <v>49.26</v>
      </c>
      <c r="M455" s="14">
        <f>J455/K455-1</f>
        <v/>
      </c>
      <c r="N455" s="7" t="inlineStr">
        <is>
          <t>ACIMA +10.3%</t>
        </is>
      </c>
      <c r="O455" s="7" t="inlineStr"/>
    </row>
    <row r="456">
      <c r="A456" s="7" t="n">
        <v>634631</v>
      </c>
      <c r="B456" s="7" t="inlineStr"/>
      <c r="C456" s="12" t="inlineStr">
        <is>
          <t>7891721202872</t>
        </is>
      </c>
      <c r="D456" s="7" t="inlineStr">
        <is>
          <t>PV - LEVOTIROXINA SODICA 112MCG CX 30 COMP</t>
        </is>
      </c>
      <c r="E456" s="13" t="n">
        <v>1</v>
      </c>
      <c r="F456" s="13" t="n">
        <v>1</v>
      </c>
      <c r="G456" s="13" t="n">
        <v>1</v>
      </c>
      <c r="H456" s="8" t="n">
        <v>15.664891</v>
      </c>
      <c r="I456" s="8">
        <f>G456*H456</f>
        <v/>
      </c>
      <c r="J456" s="8">
        <f>H456/E456</f>
        <v/>
      </c>
      <c r="K456" s="8" t="n">
        <v>14.33</v>
      </c>
      <c r="L456" s="8" t="n">
        <v>12.17</v>
      </c>
      <c r="M456" s="14">
        <f>J456/K456-1</f>
        <v/>
      </c>
      <c r="N456" s="7" t="inlineStr">
        <is>
          <t>ACIMA +9.3%</t>
        </is>
      </c>
      <c r="O456" s="7" t="inlineStr"/>
    </row>
    <row r="457">
      <c r="A457" s="7" t="n">
        <v>290261</v>
      </c>
      <c r="B457" s="7" t="inlineStr"/>
      <c r="C457" s="12" t="inlineStr">
        <is>
          <t>7894916510417</t>
        </is>
      </c>
      <c r="D457" s="7" t="inlineStr">
        <is>
          <t>PV - OLMY HCT 20+12,5MG CX 10 COMP REV</t>
        </is>
      </c>
      <c r="E457" s="13" t="n">
        <v>1</v>
      </c>
      <c r="F457" s="13" t="n">
        <v>1</v>
      </c>
      <c r="G457" s="13" t="n">
        <v>1</v>
      </c>
      <c r="H457" s="8" t="n">
        <v>49.1</v>
      </c>
      <c r="I457" s="8">
        <f>G457*H457</f>
        <v/>
      </c>
      <c r="J457" s="8">
        <f>H457/E457</f>
        <v/>
      </c>
      <c r="K457" s="8" t="n">
        <v>49.1</v>
      </c>
      <c r="L457" s="8" t="n">
        <v>49.1</v>
      </c>
      <c r="M457" s="14">
        <f>J457/K457-1</f>
        <v/>
      </c>
      <c r="N457" s="7" t="inlineStr">
        <is>
          <t>OK (≤ menor hist.)</t>
        </is>
      </c>
      <c r="O457" s="7" t="inlineStr"/>
    </row>
    <row r="458">
      <c r="A458" s="7" t="n">
        <v>204261</v>
      </c>
      <c r="B458" s="7" t="inlineStr"/>
      <c r="C458" s="12" t="inlineStr">
        <is>
          <t>7897337713382</t>
        </is>
      </c>
      <c r="D458" s="7" t="inlineStr">
        <is>
          <t>PV - PEROLA 0,075MG CX 28 COMP REV</t>
        </is>
      </c>
      <c r="E458" s="13" t="n">
        <v>1</v>
      </c>
      <c r="F458" s="13" t="n">
        <v>1</v>
      </c>
      <c r="G458" s="13" t="n">
        <v>1</v>
      </c>
      <c r="H458" s="8" t="n">
        <v>36.7824</v>
      </c>
      <c r="I458" s="8">
        <f>G458*H458</f>
        <v/>
      </c>
      <c r="J458" s="8">
        <f>H458/E458</f>
        <v/>
      </c>
      <c r="K458" s="8" t="n">
        <v>32.905</v>
      </c>
      <c r="L458" s="8" t="n">
        <v>32.905</v>
      </c>
      <c r="M458" s="14">
        <f>J458/K458-1</f>
        <v/>
      </c>
      <c r="N458" s="7" t="inlineStr">
        <is>
          <t>ACIMA +11.8%</t>
        </is>
      </c>
      <c r="O458" s="7" t="inlineStr"/>
    </row>
    <row r="459">
      <c r="A459" s="7" t="n">
        <v>604551</v>
      </c>
      <c r="B459" s="7" t="inlineStr"/>
      <c r="C459" s="12" t="inlineStr">
        <is>
          <t>7891010253691</t>
        </is>
      </c>
      <c r="D459" s="7" t="inlineStr">
        <is>
          <t>PV - SAB.LIQ.JOHN.K.200ML LIMP.S.PO</t>
        </is>
      </c>
      <c r="E459" s="13" t="n">
        <v>1</v>
      </c>
      <c r="F459" s="13" t="n">
        <v>3</v>
      </c>
      <c r="G459" s="13" t="n">
        <v>3</v>
      </c>
      <c r="H459" s="8" t="n">
        <v>19.5</v>
      </c>
      <c r="I459" s="8">
        <f>G459*H459</f>
        <v/>
      </c>
      <c r="J459" s="8">
        <f>H459/E459</f>
        <v/>
      </c>
      <c r="K459" s="8" t="n">
        <v>19.5333</v>
      </c>
      <c r="L459" s="8" t="n">
        <v>19.5333</v>
      </c>
      <c r="M459" s="14">
        <f>J459/K459-1</f>
        <v/>
      </c>
      <c r="N459" s="7" t="inlineStr">
        <is>
          <t>OK (≤ menor hist.)</t>
        </is>
      </c>
      <c r="O459" s="7" t="inlineStr">
        <is>
          <t>estoque parcial (1 un)</t>
        </is>
      </c>
    </row>
    <row r="460">
      <c r="A460" s="7" t="n">
        <v>616811</v>
      </c>
      <c r="B460" s="7" t="inlineStr"/>
      <c r="C460" s="12" t="inlineStr">
        <is>
          <t>7899852022833</t>
        </is>
      </c>
      <c r="D460" s="7" t="inlineStr">
        <is>
          <t>PV - VULT CARE CREME FAC HID UNIFORMIZAD 100G</t>
        </is>
      </c>
      <c r="E460" s="13" t="n">
        <v>1</v>
      </c>
      <c r="F460" s="13" t="n">
        <v>1</v>
      </c>
      <c r="G460" s="13" t="n">
        <v>1</v>
      </c>
      <c r="H460" s="8" t="n">
        <v>23.56</v>
      </c>
      <c r="I460" s="8">
        <f>G460*H460</f>
        <v/>
      </c>
      <c r="J460" s="8">
        <f>H460/E460</f>
        <v/>
      </c>
      <c r="K460" s="8" t="n">
        <v>21.65</v>
      </c>
      <c r="L460" s="8" t="n">
        <v>21.65</v>
      </c>
      <c r="M460" s="14">
        <f>J460/K460-1</f>
        <v/>
      </c>
      <c r="N460" s="7" t="inlineStr">
        <is>
          <t>ACIMA +8.8%</t>
        </is>
      </c>
      <c r="O460" s="7" t="inlineStr"/>
    </row>
    <row r="461">
      <c r="A461" s="7" t="n">
        <v>534421</v>
      </c>
      <c r="B461" s="7" t="inlineStr"/>
      <c r="C461" s="12" t="inlineStr">
        <is>
          <t>7891024042915</t>
        </is>
      </c>
      <c r="D461" s="7" t="inlineStr">
        <is>
          <t>PV CONDICIONADOR PALMOLIVE DETOX ENERGIZANTE FORCE</t>
        </is>
      </c>
      <c r="E461" s="13" t="n">
        <v>1</v>
      </c>
      <c r="F461" s="13" t="n">
        <v>1</v>
      </c>
      <c r="G461" s="13" t="n">
        <v>1</v>
      </c>
      <c r="H461" s="8" t="n">
        <v>9.869999999999999</v>
      </c>
      <c r="I461" s="8">
        <f>G461*H461</f>
        <v/>
      </c>
      <c r="J461" s="8">
        <f>H461/E461</f>
        <v/>
      </c>
      <c r="K461" s="8" t="n">
        <v>7.98</v>
      </c>
      <c r="L461" s="8" t="n">
        <v>7.98</v>
      </c>
      <c r="M461" s="14">
        <f>J461/K461-1</f>
        <v/>
      </c>
      <c r="N461" s="7" t="inlineStr">
        <is>
          <t>ACIMA +23.7%</t>
        </is>
      </c>
      <c r="O461" s="7" t="inlineStr"/>
    </row>
    <row r="462">
      <c r="A462" s="7" t="n">
        <v>546021</v>
      </c>
      <c r="B462" s="7" t="inlineStr"/>
      <c r="C462" s="12" t="inlineStr">
        <is>
          <t>7897947605053</t>
        </is>
      </c>
      <c r="D462" s="7" t="inlineStr">
        <is>
          <t>PV LAVITAN KIDS LARANJA, UVA E LIMÃO CIMED CAIXA 60 COMP MAST</t>
        </is>
      </c>
      <c r="E462" s="13" t="n">
        <v>1</v>
      </c>
      <c r="F462" s="13" t="n">
        <v>6</v>
      </c>
      <c r="G462" s="13" t="n">
        <v>6</v>
      </c>
      <c r="H462" s="8" t="n">
        <v>21.22</v>
      </c>
      <c r="I462" s="8">
        <f>G462*H462</f>
        <v/>
      </c>
      <c r="J462" s="8">
        <f>H462/E462</f>
        <v/>
      </c>
      <c r="K462" s="8" t="n">
        <v>12.99</v>
      </c>
      <c r="L462" s="8" t="n">
        <v>12.99</v>
      </c>
      <c r="M462" s="14">
        <f>J462/K462-1</f>
        <v/>
      </c>
      <c r="N462" s="7" t="inlineStr">
        <is>
          <t>ACIMA +63.4%</t>
        </is>
      </c>
      <c r="O462" s="7" t="inlineStr"/>
    </row>
    <row r="463">
      <c r="A463" s="7" t="n">
        <v>584141</v>
      </c>
      <c r="B463" s="7" t="inlineStr"/>
      <c r="C463" s="12" t="inlineStr">
        <is>
          <t>7891000319505</t>
        </is>
      </c>
      <c r="D463" s="7" t="inlineStr">
        <is>
          <t>PV MUCILON MULTICEREAIS SACHET 180G BR</t>
        </is>
      </c>
      <c r="E463" s="13" t="n">
        <v>1</v>
      </c>
      <c r="F463" s="13" t="n">
        <v>1</v>
      </c>
      <c r="G463" s="13" t="n">
        <v>1</v>
      </c>
      <c r="H463" s="8" t="n">
        <v>6.64</v>
      </c>
      <c r="I463" s="8">
        <f>G463*H463</f>
        <v/>
      </c>
      <c r="J463" s="8">
        <f>H463/E463</f>
        <v/>
      </c>
      <c r="K463" s="8" t="n">
        <v>6.2967</v>
      </c>
      <c r="L463" s="8" t="n">
        <v>5.785</v>
      </c>
      <c r="M463" s="14">
        <f>J463/K463-1</f>
        <v/>
      </c>
      <c r="N463" s="7" t="inlineStr">
        <is>
          <t>ACIMA +5.5%</t>
        </is>
      </c>
      <c r="O463" s="7" t="inlineStr">
        <is>
          <t>preços divergentes entre EANs (usado menor)</t>
        </is>
      </c>
    </row>
    <row r="464">
      <c r="A464" s="7" t="n">
        <v>17761</v>
      </c>
      <c r="B464" s="7" t="inlineStr"/>
      <c r="C464" s="12" t="inlineStr">
        <is>
          <t>7896512904089</t>
        </is>
      </c>
      <c r="D464" s="7" t="inlineStr">
        <is>
          <t>PV POLVILHO ANTISSEPTICO 3,0+0,352+17,602+11,735G PO TOP FR 100G</t>
        </is>
      </c>
      <c r="E464" s="13" t="n">
        <v>1</v>
      </c>
      <c r="F464" s="13" t="n">
        <v>3</v>
      </c>
      <c r="G464" s="13" t="n">
        <v>3</v>
      </c>
      <c r="H464" s="8" t="n">
        <v>12.88</v>
      </c>
      <c r="I464" s="8">
        <f>G464*H464</f>
        <v/>
      </c>
      <c r="J464" s="8">
        <f>H464/E464</f>
        <v/>
      </c>
      <c r="K464" s="8" t="n">
        <v>9.859999999999999</v>
      </c>
      <c r="L464" s="8" t="n">
        <v>9.859999999999999</v>
      </c>
      <c r="M464" s="14">
        <f>J464/K464-1</f>
        <v/>
      </c>
      <c r="N464" s="7" t="inlineStr">
        <is>
          <t>ACIMA +30.6%</t>
        </is>
      </c>
      <c r="O464" s="7" t="inlineStr"/>
    </row>
    <row r="465">
      <c r="A465" s="7" t="n">
        <v>17801</v>
      </c>
      <c r="B465" s="7" t="inlineStr"/>
      <c r="C465" s="12" t="inlineStr">
        <is>
          <t>7896512904324</t>
        </is>
      </c>
      <c r="D465" s="7" t="inlineStr">
        <is>
          <t>PV POLVILHO ANTISSEPTICO FRESH 3,0+0,352+17,602+11,735G PO TOP FR 100G</t>
        </is>
      </c>
      <c r="E465" s="13" t="n">
        <v>1</v>
      </c>
      <c r="F465" s="13" t="n">
        <v>2</v>
      </c>
      <c r="G465" s="13" t="n">
        <v>2</v>
      </c>
      <c r="H465" s="8" t="n">
        <v>12.88</v>
      </c>
      <c r="I465" s="8">
        <f>G465*H465</f>
        <v/>
      </c>
      <c r="J465" s="8">
        <f>H465/E465</f>
        <v/>
      </c>
      <c r="K465" s="8" t="n">
        <v>10.72</v>
      </c>
      <c r="L465" s="8" t="n">
        <v>10.72</v>
      </c>
      <c r="M465" s="14">
        <f>J465/K465-1</f>
        <v/>
      </c>
      <c r="N465" s="7" t="inlineStr">
        <is>
          <t>ACIMA +20.1%</t>
        </is>
      </c>
      <c r="O465" s="7" t="inlineStr"/>
    </row>
    <row r="466">
      <c r="A466" s="7" t="n">
        <v>204241</v>
      </c>
      <c r="B466" s="7" t="inlineStr"/>
      <c r="C466" s="12" t="inlineStr">
        <is>
          <t>7897337713399</t>
        </is>
      </c>
      <c r="D466" s="7" t="inlineStr">
        <is>
          <t>PV- PEROLA 0,075MG (CARTELA) C/28CP</t>
        </is>
      </c>
      <c r="E466" s="13" t="n">
        <v>1</v>
      </c>
      <c r="F466" s="13" t="n">
        <v>1</v>
      </c>
      <c r="G466" s="13" t="n">
        <v>1</v>
      </c>
      <c r="H466" s="8" t="n">
        <v>96.61199999999999</v>
      </c>
      <c r="I466" s="8">
        <f>G466*H466</f>
        <v/>
      </c>
      <c r="J466" s="8">
        <f>H466/E466</f>
        <v/>
      </c>
      <c r="K466" s="8" t="n">
        <v>86.43000000000001</v>
      </c>
      <c r="L466" s="8" t="n">
        <v>86.43000000000001</v>
      </c>
      <c r="M466" s="14">
        <f>J466/K466-1</f>
        <v/>
      </c>
      <c r="N466" s="7" t="inlineStr">
        <is>
          <t>ACIMA +11.8%</t>
        </is>
      </c>
      <c r="O466" s="7" t="inlineStr"/>
    </row>
    <row r="467">
      <c r="A467" s="7" t="n">
        <v>234601</v>
      </c>
      <c r="B467" s="7" t="inlineStr"/>
      <c r="C467" s="12" t="inlineStr">
        <is>
          <t>7896206425906</t>
        </is>
      </c>
      <c r="D467" s="7" t="inlineStr">
        <is>
          <t>PVV - ESOMEPRAZOL MAGNESIO TRIIDRATADO 40MG CX 28 COMP REV</t>
        </is>
      </c>
      <c r="E467" s="13" t="n">
        <v>1</v>
      </c>
      <c r="F467" s="13" t="n">
        <v>3</v>
      </c>
      <c r="G467" s="13" t="n">
        <v>3</v>
      </c>
      <c r="H467" s="8" t="n">
        <v>123.32</v>
      </c>
      <c r="I467" s="8">
        <f>G467*H467</f>
        <v/>
      </c>
      <c r="J467" s="8">
        <f>H467/E467</f>
        <v/>
      </c>
      <c r="K467" s="8" t="n">
        <v>37.7017</v>
      </c>
      <c r="L467" s="8" t="n">
        <v>37.7017</v>
      </c>
      <c r="M467" s="14">
        <f>J467/K467-1</f>
        <v/>
      </c>
      <c r="N467" s="7" t="inlineStr">
        <is>
          <t>ACIMA +227.1%</t>
        </is>
      </c>
      <c r="O467" s="7" t="inlineStr">
        <is>
          <t>conferir emb.</t>
        </is>
      </c>
    </row>
    <row r="468">
      <c r="A468" s="7" t="n">
        <v>662901</v>
      </c>
      <c r="B468" s="7" t="inlineStr"/>
      <c r="C468" s="12" t="inlineStr">
        <is>
          <t>7897947619548</t>
        </is>
      </c>
      <c r="D468" s="7" t="inlineStr">
        <is>
          <t>PVV - LAVITAN OMEGA COMPLEX CAP GEL PT X 30 SF</t>
        </is>
      </c>
      <c r="E468" s="13" t="n">
        <v>1</v>
      </c>
      <c r="F468" s="13" t="n">
        <v>1</v>
      </c>
      <c r="G468" s="13" t="n">
        <v>1</v>
      </c>
      <c r="H468" s="8" t="n">
        <v>50.46</v>
      </c>
      <c r="I468" s="8">
        <f>G468*H468</f>
        <v/>
      </c>
      <c r="J468" s="8">
        <f>H468/E468</f>
        <v/>
      </c>
      <c r="K468" s="8" t="n"/>
      <c r="L468" s="8" t="n"/>
      <c r="M468" s="14" t="n"/>
      <c r="N468" s="7" t="inlineStr">
        <is>
          <t>SEM HISTÓRICO</t>
        </is>
      </c>
      <c r="O468" s="7" t="inlineStr"/>
    </row>
    <row r="469">
      <c r="A469" s="7" t="n">
        <v>622891</v>
      </c>
      <c r="B469" s="7" t="inlineStr"/>
      <c r="C469" s="12" t="inlineStr">
        <is>
          <t>7891106908535</t>
        </is>
      </c>
      <c r="D469" s="7" t="inlineStr">
        <is>
          <t>REDOXITOS LARANJA 25 UNIDADES-DEMAIS PROD</t>
        </is>
      </c>
      <c r="E469" s="13" t="n">
        <v>1</v>
      </c>
      <c r="F469" s="13" t="n">
        <v>2</v>
      </c>
      <c r="G469" s="13" t="n">
        <v>2</v>
      </c>
      <c r="H469" s="8" t="n">
        <v>16.393</v>
      </c>
      <c r="I469" s="8">
        <f>G469*H469</f>
        <v/>
      </c>
      <c r="J469" s="8">
        <f>H469/E469</f>
        <v/>
      </c>
      <c r="K469" s="8" t="n">
        <v>16.18</v>
      </c>
      <c r="L469" s="8" t="n">
        <v>14.7067</v>
      </c>
      <c r="M469" s="14">
        <f>J469/K469-1</f>
        <v/>
      </c>
      <c r="N469" s="7" t="inlineStr">
        <is>
          <t>ACIMA +1.3%</t>
        </is>
      </c>
      <c r="O469" s="7" t="inlineStr"/>
    </row>
    <row r="470">
      <c r="A470" s="7" t="n">
        <v>598361</v>
      </c>
      <c r="B470" s="7" t="inlineStr"/>
      <c r="C470" s="12" t="inlineStr">
        <is>
          <t>7896902201255</t>
        </is>
      </c>
      <c r="D470" s="7" t="inlineStr">
        <is>
          <t>REMOV ESM FARMAX 100ML S/ACET VITAM</t>
        </is>
      </c>
      <c r="E470" s="13" t="n">
        <v>1</v>
      </c>
      <c r="F470" s="13" t="n">
        <v>3</v>
      </c>
      <c r="G470" s="13" t="n">
        <v>3</v>
      </c>
      <c r="H470" s="8" t="n">
        <v>3.79</v>
      </c>
      <c r="I470" s="8">
        <f>G470*H470</f>
        <v/>
      </c>
      <c r="J470" s="8">
        <f>H470/E470</f>
        <v/>
      </c>
      <c r="K470" s="8" t="n">
        <v>4.56</v>
      </c>
      <c r="L470" s="8" t="n">
        <v>4.56</v>
      </c>
      <c r="M470" s="14">
        <f>J470/K470-1</f>
        <v/>
      </c>
      <c r="N470" s="7" t="inlineStr">
        <is>
          <t>OK (≤ menor hist.)</t>
        </is>
      </c>
      <c r="O470" s="7" t="inlineStr"/>
    </row>
    <row r="471">
      <c r="A471" s="7" t="n">
        <v>664401</v>
      </c>
      <c r="B471" s="7" t="inlineStr"/>
      <c r="C471" s="12" t="inlineStr">
        <is>
          <t>7899420508370</t>
        </is>
      </c>
      <c r="D471" s="7" t="inlineStr">
        <is>
          <t>RENOVI B PLUS 5+100+100+4,3MG SOL INJ 3 DOSES AMP</t>
        </is>
      </c>
      <c r="E471" s="13" t="n">
        <v>1</v>
      </c>
      <c r="F471" s="13" t="n">
        <v>1</v>
      </c>
      <c r="G471" s="13" t="n">
        <v>1</v>
      </c>
      <c r="H471" s="8" t="n">
        <v>40.55240000000001</v>
      </c>
      <c r="I471" s="8">
        <f>G471*H471</f>
        <v/>
      </c>
      <c r="J471" s="8">
        <f>H471/E471</f>
        <v/>
      </c>
      <c r="K471" s="8" t="n">
        <v>37.9567</v>
      </c>
      <c r="L471" s="8" t="n">
        <v>37.9567</v>
      </c>
      <c r="M471" s="14">
        <f>J471/K471-1</f>
        <v/>
      </c>
      <c r="N471" s="7" t="inlineStr">
        <is>
          <t>ACIMA +6.8%</t>
        </is>
      </c>
      <c r="O471" s="7" t="inlineStr"/>
    </row>
    <row r="472">
      <c r="A472" s="7" t="n">
        <v>607761</v>
      </c>
      <c r="B472" s="7" t="inlineStr"/>
      <c r="C472" s="12" t="inlineStr">
        <is>
          <t>7894650009567</t>
        </is>
      </c>
      <c r="D472" s="7" t="inlineStr">
        <is>
          <t>REP OFF FAMILY SPRAY 170ML</t>
        </is>
      </c>
      <c r="E472" s="13" t="n">
        <v>1</v>
      </c>
      <c r="F472" s="13" t="n">
        <v>2</v>
      </c>
      <c r="G472" s="13" t="n">
        <v>2</v>
      </c>
      <c r="H472" s="8" t="n">
        <v>17.2</v>
      </c>
      <c r="I472" s="8">
        <f>G472*H472</f>
        <v/>
      </c>
      <c r="J472" s="8">
        <f>H472/E472</f>
        <v/>
      </c>
      <c r="K472" s="8" t="n">
        <v>18.38</v>
      </c>
      <c r="L472" s="8" t="n">
        <v>18.38</v>
      </c>
      <c r="M472" s="14">
        <f>J472/K472-1</f>
        <v/>
      </c>
      <c r="N472" s="7" t="inlineStr">
        <is>
          <t>OK (≤ menor hist.)</t>
        </is>
      </c>
      <c r="O472" s="7" t="inlineStr"/>
    </row>
    <row r="473">
      <c r="A473" s="7" t="n">
        <v>544781</v>
      </c>
      <c r="B473" s="7" t="inlineStr"/>
      <c r="C473" s="12" t="inlineStr">
        <is>
          <t>7894650005712</t>
        </is>
      </c>
      <c r="D473" s="7" t="inlineStr">
        <is>
          <t>REP OFF KIDS LOCAO 117ML</t>
        </is>
      </c>
      <c r="E473" s="13" t="n">
        <v>1</v>
      </c>
      <c r="F473" s="13" t="n">
        <v>3</v>
      </c>
      <c r="G473" s="13" t="n">
        <v>3</v>
      </c>
      <c r="H473" s="8" t="n">
        <v>19.84</v>
      </c>
      <c r="I473" s="8">
        <f>G473*H473</f>
        <v/>
      </c>
      <c r="J473" s="8">
        <f>H473/E473</f>
        <v/>
      </c>
      <c r="K473" s="8" t="n">
        <v>20.92</v>
      </c>
      <c r="L473" s="8" t="n">
        <v>20.92</v>
      </c>
      <c r="M473" s="14">
        <f>J473/K473-1</f>
        <v/>
      </c>
      <c r="N473" s="7" t="inlineStr">
        <is>
          <t>OK (≤ menor hist.)</t>
        </is>
      </c>
      <c r="O473" s="7" t="inlineStr"/>
    </row>
    <row r="474">
      <c r="A474" s="7" t="n">
        <v>1603</v>
      </c>
      <c r="B474" s="7" t="inlineStr"/>
      <c r="C474" s="12" t="inlineStr">
        <is>
          <t>7891010913908</t>
        </is>
      </c>
      <c r="D474" s="7" t="inlineStr">
        <is>
          <t>REPEL J&amp;J BABY ANTI MOSQ 200ML-DEMAIS PROD</t>
        </is>
      </c>
      <c r="E474" s="13" t="n">
        <v>1</v>
      </c>
      <c r="F474" s="13" t="n">
        <v>1</v>
      </c>
      <c r="G474" s="13" t="n">
        <v>1</v>
      </c>
      <c r="H474" s="8" t="n">
        <v>66.73</v>
      </c>
      <c r="I474" s="8">
        <f>G474*H474</f>
        <v/>
      </c>
      <c r="J474" s="8">
        <f>H474/E474</f>
        <v/>
      </c>
      <c r="K474" s="8" t="n">
        <v>50.15</v>
      </c>
      <c r="L474" s="8" t="n">
        <v>50.15</v>
      </c>
      <c r="M474" s="14">
        <f>J474/K474-1</f>
        <v/>
      </c>
      <c r="N474" s="7" t="inlineStr">
        <is>
          <t>ACIMA +33.1%</t>
        </is>
      </c>
      <c r="O474" s="7" t="inlineStr"/>
    </row>
    <row r="475">
      <c r="A475" s="7" t="n">
        <v>590231</v>
      </c>
      <c r="B475" s="7" t="inlineStr"/>
      <c r="C475" s="12" t="inlineStr">
        <is>
          <t>7894650940006</t>
        </is>
      </c>
      <c r="D475" s="7" t="inlineStr">
        <is>
          <t>REPEL OFF LOCAO 200ML OF</t>
        </is>
      </c>
      <c r="E475" s="13" t="n">
        <v>1</v>
      </c>
      <c r="F475" s="13" t="n">
        <v>4</v>
      </c>
      <c r="G475" s="13" t="n">
        <v>4</v>
      </c>
      <c r="H475" s="8" t="n">
        <v>17.09</v>
      </c>
      <c r="I475" s="8">
        <f>G475*H475</f>
        <v/>
      </c>
      <c r="J475" s="8">
        <f>H475/E475</f>
        <v/>
      </c>
      <c r="K475" s="8" t="n">
        <v>19.9</v>
      </c>
      <c r="L475" s="8" t="n">
        <v>19.9</v>
      </c>
      <c r="M475" s="14">
        <f>J475/K475-1</f>
        <v/>
      </c>
      <c r="N475" s="7" t="inlineStr">
        <is>
          <t>OK (≤ menor hist.)</t>
        </is>
      </c>
      <c r="O475" s="7" t="inlineStr"/>
    </row>
    <row r="476">
      <c r="A476" s="7" t="n">
        <v>590241</v>
      </c>
      <c r="B476" s="7" t="inlineStr"/>
      <c r="C476" s="12" t="inlineStr">
        <is>
          <t>7894650013380</t>
        </is>
      </c>
      <c r="D476" s="7" t="inlineStr">
        <is>
          <t>REPEL OFF LOCAO BABY 117ML</t>
        </is>
      </c>
      <c r="E476" s="13" t="n">
        <v>1</v>
      </c>
      <c r="F476" s="13" t="n">
        <v>1</v>
      </c>
      <c r="G476" s="13" t="n">
        <v>1</v>
      </c>
      <c r="H476" s="8" t="n">
        <v>27.22</v>
      </c>
      <c r="I476" s="8">
        <f>G476*H476</f>
        <v/>
      </c>
      <c r="J476" s="8">
        <f>H476/E476</f>
        <v/>
      </c>
      <c r="K476" s="8" t="n">
        <v>25.34</v>
      </c>
      <c r="L476" s="8" t="n">
        <v>25.34</v>
      </c>
      <c r="M476" s="14">
        <f>J476/K476-1</f>
        <v/>
      </c>
      <c r="N476" s="7" t="inlineStr">
        <is>
          <t>ACIMA +7.4%</t>
        </is>
      </c>
      <c r="O476" s="7" t="inlineStr"/>
    </row>
    <row r="477">
      <c r="A477" s="7" t="n">
        <v>662471</v>
      </c>
      <c r="B477" s="7" t="inlineStr"/>
      <c r="C477" s="12" t="inlineStr">
        <is>
          <t>7894916325882</t>
        </is>
      </c>
      <c r="D477" s="7" t="inlineStr">
        <is>
          <t>REPOFLOR 250/250MG FR CAP</t>
        </is>
      </c>
      <c r="E477" s="13" t="n">
        <v>1</v>
      </c>
      <c r="F477" s="13" t="n">
        <v>1</v>
      </c>
      <c r="G477" s="13" t="n">
        <v>1</v>
      </c>
      <c r="H477" s="8" t="n">
        <v>35.22</v>
      </c>
      <c r="I477" s="8">
        <f>G477*H477</f>
        <v/>
      </c>
      <c r="J477" s="8">
        <f>H477/E477</f>
        <v/>
      </c>
      <c r="K477" s="8" t="n">
        <v>22.13</v>
      </c>
      <c r="L477" s="8" t="n">
        <v>22.13</v>
      </c>
      <c r="M477" s="14">
        <f>J477/K477-1</f>
        <v/>
      </c>
      <c r="N477" s="7" t="inlineStr">
        <is>
          <t>ACIMA +59.2%</t>
        </is>
      </c>
      <c r="O477" s="7" t="inlineStr"/>
    </row>
    <row r="478">
      <c r="A478" s="7" t="n">
        <v>619441</v>
      </c>
      <c r="B478" s="7" t="inlineStr"/>
      <c r="C478" s="12" t="inlineStr">
        <is>
          <t>7897947617483</t>
        </is>
      </c>
      <c r="D478" s="7" t="inlineStr">
        <is>
          <t>RESSALIV SOL   FLAC 10ML SBR ABACAXI</t>
        </is>
      </c>
      <c r="E478" s="13" t="n">
        <v>1</v>
      </c>
      <c r="F478" s="13" t="n">
        <v>2</v>
      </c>
      <c r="G478" s="13" t="n">
        <v>2</v>
      </c>
      <c r="H478" s="8" t="n">
        <v>34.51</v>
      </c>
      <c r="I478" s="8">
        <f>G478*H478</f>
        <v/>
      </c>
      <c r="J478" s="8">
        <f>H478/E478</f>
        <v/>
      </c>
      <c r="K478" s="8" t="n">
        <v>0.4998</v>
      </c>
      <c r="L478" s="8" t="n">
        <v>0.4998</v>
      </c>
      <c r="M478" s="14">
        <f>J478/K478-1</f>
        <v/>
      </c>
      <c r="N478" s="7" t="inlineStr">
        <is>
          <t>ACIMA +6804.8%</t>
        </is>
      </c>
      <c r="O478" s="7" t="inlineStr">
        <is>
          <t>conferir emb.</t>
        </is>
      </c>
    </row>
    <row r="479">
      <c r="A479" s="7" t="n">
        <v>696001</v>
      </c>
      <c r="B479" s="7" t="inlineStr"/>
      <c r="C479" s="12" t="inlineStr">
        <is>
          <t>0609963220526</t>
        </is>
      </c>
      <c r="D479" s="7" t="inlineStr">
        <is>
          <t>RN-0,3 SERUM RETINOL 0,3%+VIT E 30ML</t>
        </is>
      </c>
      <c r="E479" s="13" t="n">
        <v>1</v>
      </c>
      <c r="F479" s="13" t="n">
        <v>1</v>
      </c>
      <c r="G479" s="13" t="n">
        <v>1</v>
      </c>
      <c r="H479" s="8" t="n">
        <v>57.52</v>
      </c>
      <c r="I479" s="8">
        <f>G479*H479</f>
        <v/>
      </c>
      <c r="J479" s="8">
        <f>H479/E479</f>
        <v/>
      </c>
      <c r="K479" s="8" t="n">
        <v>49.48</v>
      </c>
      <c r="L479" s="8" t="n">
        <v>49.48</v>
      </c>
      <c r="M479" s="14">
        <f>J479/K479-1</f>
        <v/>
      </c>
      <c r="N479" s="7" t="inlineStr">
        <is>
          <t>ACIMA +16.2%</t>
        </is>
      </c>
      <c r="O479" s="7" t="inlineStr"/>
    </row>
    <row r="480">
      <c r="A480" s="7" t="n">
        <v>427821</v>
      </c>
      <c r="B480" s="7" t="inlineStr"/>
      <c r="C480" s="12" t="inlineStr">
        <is>
          <t>8902220109506</t>
        </is>
      </c>
      <c r="D480" s="7" t="inlineStr">
        <is>
          <t>ROSUCOR 10MG CX 30 COMP REV</t>
        </is>
      </c>
      <c r="E480" s="13" t="n">
        <v>1</v>
      </c>
      <c r="F480" s="13" t="n">
        <v>1</v>
      </c>
      <c r="G480" s="13" t="n">
        <v>1</v>
      </c>
      <c r="H480" s="8" t="n">
        <v>33.65920000000001</v>
      </c>
      <c r="I480" s="8">
        <f>G480*H480</f>
        <v/>
      </c>
      <c r="J480" s="8">
        <f>H480/E480</f>
        <v/>
      </c>
      <c r="K480" s="8" t="n">
        <v>33.14</v>
      </c>
      <c r="L480" s="8" t="n">
        <v>28.21</v>
      </c>
      <c r="M480" s="14">
        <f>J480/K480-1</f>
        <v/>
      </c>
      <c r="N480" s="7" t="inlineStr">
        <is>
          <t>ACIMA +1.6%</t>
        </is>
      </c>
      <c r="O480" s="7" t="inlineStr"/>
    </row>
    <row r="481">
      <c r="A481" s="7" t="n">
        <v>427841</v>
      </c>
      <c r="B481" s="7" t="inlineStr"/>
      <c r="C481" s="12" t="inlineStr">
        <is>
          <t>8902220109520</t>
        </is>
      </c>
      <c r="D481" s="7" t="inlineStr">
        <is>
          <t>ROSUCOR 20MG CX 30 COMP REV</t>
        </is>
      </c>
      <c r="E481" s="13" t="n">
        <v>1</v>
      </c>
      <c r="F481" s="13" t="n">
        <v>1</v>
      </c>
      <c r="G481" s="13" t="n">
        <v>1</v>
      </c>
      <c r="H481" s="8" t="n">
        <v>57.56225</v>
      </c>
      <c r="I481" s="8">
        <f>G481*H481</f>
        <v/>
      </c>
      <c r="J481" s="8">
        <f>H481/E481</f>
        <v/>
      </c>
      <c r="K481" s="8" t="n">
        <v>58.89</v>
      </c>
      <c r="L481" s="8" t="n">
        <v>46.56</v>
      </c>
      <c r="M481" s="14">
        <f>J481/K481-1</f>
        <v/>
      </c>
      <c r="N481" s="7" t="inlineStr">
        <is>
          <t>OK (≤ últ. compra)</t>
        </is>
      </c>
      <c r="O481" s="7" t="inlineStr"/>
    </row>
    <row r="482">
      <c r="A482" s="7" t="n">
        <v>426321</v>
      </c>
      <c r="B482" s="7" t="inlineStr"/>
      <c r="C482" s="12" t="inlineStr">
        <is>
          <t>7896422528580</t>
        </is>
      </c>
      <c r="D482" s="7" t="inlineStr">
        <is>
          <t>ROSUVASTATINA CALCICA 10MG CX 30 COMP REV</t>
        </is>
      </c>
      <c r="E482" s="13" t="n">
        <v>1</v>
      </c>
      <c r="F482" s="13" t="n">
        <v>5</v>
      </c>
      <c r="G482" s="13" t="n">
        <v>5</v>
      </c>
      <c r="H482" s="8" t="n">
        <v>37.690797</v>
      </c>
      <c r="I482" s="8">
        <f>G482*H482</f>
        <v/>
      </c>
      <c r="J482" s="8">
        <f>H482/E482</f>
        <v/>
      </c>
      <c r="K482" s="8" t="n">
        <v>6.47</v>
      </c>
      <c r="L482" s="8" t="n">
        <v>4.0392</v>
      </c>
      <c r="M482" s="14">
        <f>J482/K482-1</f>
        <v/>
      </c>
      <c r="N482" s="7" t="inlineStr">
        <is>
          <t>ACIMA +482.5%</t>
        </is>
      </c>
      <c r="O482" s="7" t="inlineStr">
        <is>
          <t>conferir emb.</t>
        </is>
      </c>
    </row>
    <row r="483">
      <c r="A483" s="7" t="n">
        <v>425921</v>
      </c>
      <c r="B483" s="7" t="inlineStr"/>
      <c r="C483" s="12" t="inlineStr">
        <is>
          <t>8902220109544</t>
        </is>
      </c>
      <c r="D483" s="7" t="inlineStr">
        <is>
          <t>ROSUVASTATINA CALCICA 10MG CX 30 COMP REV</t>
        </is>
      </c>
      <c r="E483" s="13" t="n">
        <v>1</v>
      </c>
      <c r="F483" s="13" t="n">
        <v>2</v>
      </c>
      <c r="G483" s="13" t="n">
        <v>2</v>
      </c>
      <c r="H483" s="8" t="n">
        <v>52.31</v>
      </c>
      <c r="I483" s="8">
        <f>G483*H483</f>
        <v/>
      </c>
      <c r="J483" s="8">
        <f>H483/E483</f>
        <v/>
      </c>
      <c r="K483" s="8" t="n">
        <v>8.16</v>
      </c>
      <c r="L483" s="8" t="n">
        <v>8.16</v>
      </c>
      <c r="M483" s="14">
        <f>J483/K483-1</f>
        <v/>
      </c>
      <c r="N483" s="7" t="inlineStr">
        <is>
          <t>ACIMA +541.1%</t>
        </is>
      </c>
      <c r="O483" s="7" t="inlineStr">
        <is>
          <t>conferir emb.</t>
        </is>
      </c>
    </row>
    <row r="484">
      <c r="A484" s="7" t="n">
        <v>663181</v>
      </c>
      <c r="B484" s="7" t="inlineStr"/>
      <c r="C484" s="12" t="inlineStr">
        <is>
          <t>7891150090989</t>
        </is>
      </c>
      <c r="D484" s="7" t="inlineStr">
        <is>
          <t>SAB BAR GLIC ESSENC BR BROMELIA 100G</t>
        </is>
      </c>
      <c r="E484" s="13" t="n">
        <v>1</v>
      </c>
      <c r="F484" s="13" t="n">
        <v>3</v>
      </c>
      <c r="G484" s="13" t="n">
        <v>3</v>
      </c>
      <c r="H484" s="8" t="n">
        <v>4</v>
      </c>
      <c r="I484" s="8">
        <f>G484*H484</f>
        <v/>
      </c>
      <c r="J484" s="8">
        <f>H484/E484</f>
        <v/>
      </c>
      <c r="K484" s="8" t="n">
        <v>3.1208</v>
      </c>
      <c r="L484" s="8" t="n">
        <v>3.1208</v>
      </c>
      <c r="M484" s="14">
        <f>J484/K484-1</f>
        <v/>
      </c>
      <c r="N484" s="7" t="inlineStr">
        <is>
          <t>ACIMA +28.2%</t>
        </is>
      </c>
      <c r="O484" s="7" t="inlineStr"/>
    </row>
    <row r="485">
      <c r="A485" s="7" t="n">
        <v>663201</v>
      </c>
      <c r="B485" s="7" t="inlineStr"/>
      <c r="C485" s="12" t="inlineStr">
        <is>
          <t>7891150090996</t>
        </is>
      </c>
      <c r="D485" s="7" t="inlineStr">
        <is>
          <t>SAB BAR GLIC ESSENC BR FLOR CAJ 100G   UNIL %DN:17.00</t>
        </is>
      </c>
      <c r="E485" s="13" t="n">
        <v>1</v>
      </c>
      <c r="F485" s="13" t="n">
        <v>3</v>
      </c>
      <c r="G485" s="13" t="n">
        <v>3</v>
      </c>
      <c r="H485" s="8" t="n">
        <v>4</v>
      </c>
      <c r="I485" s="8">
        <f>G485*H485</f>
        <v/>
      </c>
      <c r="J485" s="8">
        <f>H485/E485</f>
        <v/>
      </c>
      <c r="K485" s="8" t="n">
        <v>3.1208</v>
      </c>
      <c r="L485" s="8" t="n">
        <v>3.1208</v>
      </c>
      <c r="M485" s="14">
        <f>J485/K485-1</f>
        <v/>
      </c>
      <c r="N485" s="7" t="inlineStr">
        <is>
          <t>ACIMA +28.2%</t>
        </is>
      </c>
      <c r="O485" s="7" t="inlineStr"/>
    </row>
    <row r="486">
      <c r="A486" s="7" t="n">
        <v>623921</v>
      </c>
      <c r="B486" s="7" t="inlineStr"/>
      <c r="C486" s="12" t="inlineStr">
        <is>
          <t>7509546678832</t>
        </is>
      </c>
      <c r="D486" s="7" t="inlineStr">
        <is>
          <t>SAB BARRA PROTEX CARVAO 85G</t>
        </is>
      </c>
      <c r="E486" s="13" t="n">
        <v>1</v>
      </c>
      <c r="F486" s="13" t="n">
        <v>2</v>
      </c>
      <c r="G486" s="13" t="n">
        <v>2</v>
      </c>
      <c r="H486" s="8" t="n">
        <v>3.55</v>
      </c>
      <c r="I486" s="8">
        <f>G486*H486</f>
        <v/>
      </c>
      <c r="J486" s="8">
        <f>H486/E486</f>
        <v/>
      </c>
      <c r="K486" s="8" t="n">
        <v>3.75</v>
      </c>
      <c r="L486" s="8" t="n">
        <v>3.75</v>
      </c>
      <c r="M486" s="14">
        <f>J486/K486-1</f>
        <v/>
      </c>
      <c r="N486" s="7" t="inlineStr">
        <is>
          <t>OK (≤ menor hist.)</t>
        </is>
      </c>
      <c r="O486" s="7" t="inlineStr"/>
    </row>
    <row r="487">
      <c r="A487" s="7" t="n">
        <v>590251</v>
      </c>
      <c r="B487" s="7" t="inlineStr"/>
      <c r="C487" s="12" t="inlineStr">
        <is>
          <t>7898422746759</t>
        </is>
      </c>
      <c r="D487" s="7" t="inlineStr">
        <is>
          <t>SAB DOVE 90G CREMOSO</t>
        </is>
      </c>
      <c r="E487" s="13" t="n">
        <v>1</v>
      </c>
      <c r="F487" s="13" t="n">
        <v>1</v>
      </c>
      <c r="G487" s="13" t="n">
        <v>1</v>
      </c>
      <c r="H487" s="8" t="n">
        <v>5.41</v>
      </c>
      <c r="I487" s="8">
        <f>G487*H487</f>
        <v/>
      </c>
      <c r="J487" s="8">
        <f>H487/E487</f>
        <v/>
      </c>
      <c r="K487" s="8" t="n">
        <v>3.7046</v>
      </c>
      <c r="L487" s="8" t="n">
        <v>3.7046</v>
      </c>
      <c r="M487" s="14">
        <f>J487/K487-1</f>
        <v/>
      </c>
      <c r="N487" s="7" t="inlineStr">
        <is>
          <t>ACIMA +46.0%</t>
        </is>
      </c>
      <c r="O487" s="7" t="inlineStr"/>
    </row>
    <row r="488">
      <c r="A488" s="7" t="n">
        <v>615871</v>
      </c>
      <c r="B488" s="7" t="inlineStr"/>
      <c r="C488" s="12" t="inlineStr">
        <is>
          <t>7891150034075</t>
        </is>
      </c>
      <c r="D488" s="7" t="inlineStr">
        <is>
          <t>SAB DOVE 90G LEITE DE COCO</t>
        </is>
      </c>
      <c r="E488" s="13" t="n">
        <v>1</v>
      </c>
      <c r="F488" s="13" t="n">
        <v>4</v>
      </c>
      <c r="G488" s="13" t="n">
        <v>4</v>
      </c>
      <c r="H488" s="8" t="n">
        <v>5.41</v>
      </c>
      <c r="I488" s="8">
        <f>G488*H488</f>
        <v/>
      </c>
      <c r="J488" s="8">
        <f>H488/E488</f>
        <v/>
      </c>
      <c r="K488" s="8" t="n">
        <v>3.7183</v>
      </c>
      <c r="L488" s="8" t="n">
        <v>3.7183</v>
      </c>
      <c r="M488" s="14">
        <f>J488/K488-1</f>
        <v/>
      </c>
      <c r="N488" s="7" t="inlineStr">
        <is>
          <t>ACIMA +45.5%</t>
        </is>
      </c>
      <c r="O488" s="7" t="inlineStr"/>
    </row>
    <row r="489">
      <c r="A489" s="7" t="n">
        <v>615891</v>
      </c>
      <c r="B489" s="7" t="inlineStr"/>
      <c r="C489" s="12" t="inlineStr">
        <is>
          <t>7891150057470</t>
        </is>
      </c>
      <c r="D489" s="7" t="inlineStr">
        <is>
          <t>SAB DOVE 90G MICELAR ANTI STR.</t>
        </is>
      </c>
      <c r="E489" s="13" t="n">
        <v>1</v>
      </c>
      <c r="F489" s="13" t="n">
        <v>4</v>
      </c>
      <c r="G489" s="13" t="n">
        <v>4</v>
      </c>
      <c r="H489" s="8" t="n">
        <v>5.26</v>
      </c>
      <c r="I489" s="8">
        <f>G489*H489</f>
        <v/>
      </c>
      <c r="J489" s="8">
        <f>H489/E489</f>
        <v/>
      </c>
      <c r="K489" s="8" t="n">
        <v>5.0925</v>
      </c>
      <c r="L489" s="8" t="n">
        <v>4.5025</v>
      </c>
      <c r="M489" s="14">
        <f>J489/K489-1</f>
        <v/>
      </c>
      <c r="N489" s="7" t="inlineStr">
        <is>
          <t>ACIMA +3.3%</t>
        </is>
      </c>
      <c r="O489" s="7" t="inlineStr"/>
    </row>
    <row r="490">
      <c r="A490" s="7" t="n">
        <v>615901</v>
      </c>
      <c r="B490" s="7" t="inlineStr"/>
      <c r="C490" s="12" t="inlineStr">
        <is>
          <t>7891150043923</t>
        </is>
      </c>
      <c r="D490" s="7" t="inlineStr">
        <is>
          <t>SAB DOVE 90G REVIGORANTE</t>
        </is>
      </c>
      <c r="E490" s="13" t="n">
        <v>1</v>
      </c>
      <c r="F490" s="13" t="n">
        <v>4</v>
      </c>
      <c r="G490" s="13" t="n">
        <v>4</v>
      </c>
      <c r="H490" s="8" t="n">
        <v>5.26</v>
      </c>
      <c r="I490" s="8">
        <f>G490*H490</f>
        <v/>
      </c>
      <c r="J490" s="8">
        <f>H490/E490</f>
        <v/>
      </c>
      <c r="K490" s="8" t="n">
        <v>5.0925</v>
      </c>
      <c r="L490" s="8" t="n">
        <v>5.0925</v>
      </c>
      <c r="M490" s="14">
        <f>J490/K490-1</f>
        <v/>
      </c>
      <c r="N490" s="7" t="inlineStr">
        <is>
          <t>ACIMA +3.3%</t>
        </is>
      </c>
      <c r="O490" s="7" t="inlineStr"/>
    </row>
    <row r="491">
      <c r="A491" s="7" t="n">
        <v>610851</v>
      </c>
      <c r="B491" s="7" t="inlineStr"/>
      <c r="C491" s="12" t="inlineStr">
        <is>
          <t>7891150075382</t>
        </is>
      </c>
      <c r="D491" s="7" t="inlineStr">
        <is>
          <t>SAB DOVE ANTIBAC</t>
        </is>
      </c>
      <c r="E491" s="13" t="n">
        <v>1</v>
      </c>
      <c r="F491" s="13" t="n">
        <v>4</v>
      </c>
      <c r="G491" s="13" t="n">
        <v>4</v>
      </c>
      <c r="H491" s="8" t="n">
        <v>5.26</v>
      </c>
      <c r="I491" s="8">
        <f>G491*H491</f>
        <v/>
      </c>
      <c r="J491" s="8">
        <f>H491/E491</f>
        <v/>
      </c>
      <c r="K491" s="8" t="n">
        <v>5.0925</v>
      </c>
      <c r="L491" s="8" t="n">
        <v>5.0925</v>
      </c>
      <c r="M491" s="14">
        <f>J491/K491-1</f>
        <v/>
      </c>
      <c r="N491" s="7" t="inlineStr">
        <is>
          <t>ACIMA +3.3%</t>
        </is>
      </c>
      <c r="O491" s="7" t="inlineStr">
        <is>
          <t>estoque parcial (1 un)</t>
        </is>
      </c>
    </row>
    <row r="492">
      <c r="A492" s="7" t="n">
        <v>660551</v>
      </c>
      <c r="B492" s="7" t="inlineStr"/>
      <c r="C492" s="12" t="inlineStr">
        <is>
          <t>7891150044654</t>
        </is>
      </c>
      <c r="D492" s="7" t="inlineStr">
        <is>
          <t>SAB DOVE KARITE/BAUNI 90G</t>
        </is>
      </c>
      <c r="E492" s="13" t="n">
        <v>1</v>
      </c>
      <c r="F492" s="13" t="n">
        <v>1</v>
      </c>
      <c r="G492" s="13" t="n">
        <v>1</v>
      </c>
      <c r="H492" s="8" t="n">
        <v>27.85</v>
      </c>
      <c r="I492" s="8">
        <f>G492*H492</f>
        <v/>
      </c>
      <c r="J492" s="8">
        <f>H492/E492</f>
        <v/>
      </c>
      <c r="K492" s="8" t="n">
        <v>21.04</v>
      </c>
      <c r="L492" s="8" t="n">
        <v>21.04</v>
      </c>
      <c r="M492" s="14">
        <f>J492/K492-1</f>
        <v/>
      </c>
      <c r="N492" s="7" t="inlineStr">
        <is>
          <t>ACIMA +32.4%</t>
        </is>
      </c>
      <c r="O492" s="7" t="inlineStr"/>
    </row>
    <row r="493">
      <c r="A493" s="7" t="n">
        <v>663241</v>
      </c>
      <c r="B493" s="7" t="inlineStr"/>
      <c r="C493" s="12" t="inlineStr">
        <is>
          <t>7891150095694</t>
        </is>
      </c>
      <c r="D493" s="7" t="inlineStr">
        <is>
          <t>SAB DOVE LIQ PELE SENSIVEL 250ML   UNIL %DN:17.00</t>
        </is>
      </c>
      <c r="E493" s="13" t="n">
        <v>1</v>
      </c>
      <c r="F493" s="13" t="n">
        <v>1</v>
      </c>
      <c r="G493" s="13" t="n">
        <v>1</v>
      </c>
      <c r="H493" s="8" t="n">
        <v>12.38</v>
      </c>
      <c r="I493" s="8">
        <f>G493*H493</f>
        <v/>
      </c>
      <c r="J493" s="8">
        <f>H493/E493</f>
        <v/>
      </c>
      <c r="K493" s="8" t="n">
        <v>11.685</v>
      </c>
      <c r="L493" s="8" t="n">
        <v>10.565</v>
      </c>
      <c r="M493" s="14">
        <f>J493/K493-1</f>
        <v/>
      </c>
      <c r="N493" s="7" t="inlineStr">
        <is>
          <t>ACIMA +5.9%</t>
        </is>
      </c>
      <c r="O493" s="7" t="inlineStr"/>
    </row>
    <row r="494">
      <c r="A494" s="7" t="n">
        <v>603091</v>
      </c>
      <c r="B494" s="7" t="inlineStr"/>
      <c r="C494" s="12" t="inlineStr">
        <is>
          <t>7896512941923</t>
        </is>
      </c>
      <c r="D494" s="7" t="inlineStr">
        <is>
          <t>SAB GLIC BEBE CAMOMILA 250ML</t>
        </is>
      </c>
      <c r="E494" s="13" t="n">
        <v>1</v>
      </c>
      <c r="F494" s="13" t="n">
        <v>4</v>
      </c>
      <c r="G494" s="13" t="n">
        <v>4</v>
      </c>
      <c r="H494" s="8" t="n">
        <v>22.65</v>
      </c>
      <c r="I494" s="8">
        <f>G494*H494</f>
        <v/>
      </c>
      <c r="J494" s="8">
        <f>H494/E494</f>
        <v/>
      </c>
      <c r="K494" s="8" t="n">
        <v>20.385</v>
      </c>
      <c r="L494" s="8" t="n">
        <v>17.96</v>
      </c>
      <c r="M494" s="14">
        <f>J494/K494-1</f>
        <v/>
      </c>
      <c r="N494" s="7" t="inlineStr">
        <is>
          <t>ACIMA +11.1%</t>
        </is>
      </c>
      <c r="O494" s="7" t="inlineStr"/>
    </row>
    <row r="495">
      <c r="A495" s="7" t="n">
        <v>603101</v>
      </c>
      <c r="B495" s="7" t="inlineStr"/>
      <c r="C495" s="12" t="inlineStr">
        <is>
          <t>7896512911933</t>
        </is>
      </c>
      <c r="D495" s="7" t="inlineStr">
        <is>
          <t>SAB GLIC BEBE LAVANDA 250ML</t>
        </is>
      </c>
      <c r="E495" s="13" t="n">
        <v>1</v>
      </c>
      <c r="F495" s="13" t="n">
        <v>6</v>
      </c>
      <c r="G495" s="13" t="n">
        <v>6</v>
      </c>
      <c r="H495" s="8" t="n">
        <v>22.65</v>
      </c>
      <c r="I495" s="8">
        <f>G495*H495</f>
        <v/>
      </c>
      <c r="J495" s="8">
        <f>H495/E495</f>
        <v/>
      </c>
      <c r="K495" s="8" t="n">
        <v>18.98</v>
      </c>
      <c r="L495" s="8" t="n">
        <v>17.96</v>
      </c>
      <c r="M495" s="14">
        <f>J495/K495-1</f>
        <v/>
      </c>
      <c r="N495" s="7" t="inlineStr">
        <is>
          <t>ACIMA +19.3%</t>
        </is>
      </c>
      <c r="O495" s="7" t="inlineStr"/>
    </row>
    <row r="496">
      <c r="A496" s="7" t="n">
        <v>617541</v>
      </c>
      <c r="B496" s="7" t="inlineStr"/>
      <c r="C496" s="12" t="inlineStr">
        <is>
          <t>47896512900058</t>
        </is>
      </c>
      <c r="D496" s="7" t="inlineStr">
        <is>
          <t>SAB GRANADO 100G COCO</t>
        </is>
      </c>
      <c r="E496" s="13" t="n">
        <v>1</v>
      </c>
      <c r="F496" s="13" t="n">
        <v>5</v>
      </c>
      <c r="G496" s="13" t="n">
        <v>5</v>
      </c>
      <c r="H496" s="8" t="n">
        <v>8.41</v>
      </c>
      <c r="I496" s="8">
        <f>G496*H496</f>
        <v/>
      </c>
      <c r="J496" s="8">
        <f>H496/E496</f>
        <v/>
      </c>
      <c r="K496" s="8" t="n">
        <v>6.67</v>
      </c>
      <c r="L496" s="8" t="n">
        <v>6.67</v>
      </c>
      <c r="M496" s="14">
        <f>J496/K496-1</f>
        <v/>
      </c>
      <c r="N496" s="7" t="inlineStr">
        <is>
          <t>ACIMA +26.1%</t>
        </is>
      </c>
      <c r="O496" s="7" t="inlineStr"/>
    </row>
    <row r="497">
      <c r="A497" s="7" t="n">
        <v>617551</v>
      </c>
      <c r="B497" s="7" t="inlineStr"/>
      <c r="C497" s="12" t="inlineStr">
        <is>
          <t>7896512910936</t>
        </is>
      </c>
      <c r="D497" s="7" t="inlineStr">
        <is>
          <t>SAB GRANADO 90G ANTIS.FRESH</t>
        </is>
      </c>
      <c r="E497" s="13" t="n">
        <v>1</v>
      </c>
      <c r="F497" s="13" t="n">
        <v>2</v>
      </c>
      <c r="G497" s="13" t="n">
        <v>2</v>
      </c>
      <c r="H497" s="8" t="n">
        <v>7.95</v>
      </c>
      <c r="I497" s="8">
        <f>G497*H497</f>
        <v/>
      </c>
      <c r="J497" s="8">
        <f>H497/E497</f>
        <v/>
      </c>
      <c r="K497" s="8" t="n">
        <v>6.8217</v>
      </c>
      <c r="L497" s="8" t="n">
        <v>6.8217</v>
      </c>
      <c r="M497" s="14">
        <f>J497/K497-1</f>
        <v/>
      </c>
      <c r="N497" s="7" t="inlineStr">
        <is>
          <t>ACIMA +16.5%</t>
        </is>
      </c>
      <c r="O497" s="7" t="inlineStr"/>
    </row>
    <row r="498">
      <c r="A498" s="7" t="n">
        <v>617601</v>
      </c>
      <c r="B498" s="7" t="inlineStr"/>
      <c r="C498" s="12" t="inlineStr">
        <is>
          <t>37896512912306</t>
        </is>
      </c>
      <c r="D498" s="7" t="inlineStr">
        <is>
          <t>SAB GRANADO 90G GLIC B LAV</t>
        </is>
      </c>
      <c r="E498" s="13" t="n">
        <v>1</v>
      </c>
      <c r="F498" s="13" t="n">
        <v>2</v>
      </c>
      <c r="G498" s="13" t="n">
        <v>2</v>
      </c>
      <c r="H498" s="8" t="n">
        <v>7.95</v>
      </c>
      <c r="I498" s="8">
        <f>G498*H498</f>
        <v/>
      </c>
      <c r="J498" s="8">
        <f>H498/E498</f>
        <v/>
      </c>
      <c r="K498" s="8" t="n">
        <v>7.13</v>
      </c>
      <c r="L498" s="8" t="n">
        <v>7.13</v>
      </c>
      <c r="M498" s="14">
        <f>J498/K498-1</f>
        <v/>
      </c>
      <c r="N498" s="7" t="inlineStr">
        <is>
          <t>ACIMA +11.5%</t>
        </is>
      </c>
      <c r="O498" s="7" t="inlineStr"/>
    </row>
    <row r="499">
      <c r="A499" s="7" t="n">
        <v>598341</v>
      </c>
      <c r="B499" s="7" t="inlineStr"/>
      <c r="C499" s="12" t="inlineStr">
        <is>
          <t>7896512941947</t>
        </is>
      </c>
      <c r="D499" s="7" t="inlineStr">
        <is>
          <t>SAB INF GRANADO GLIC BEBE 90G CAMOMILA</t>
        </is>
      </c>
      <c r="E499" s="13" t="n">
        <v>1</v>
      </c>
      <c r="F499" s="13" t="n">
        <v>8</v>
      </c>
      <c r="G499" s="13" t="n">
        <v>8</v>
      </c>
      <c r="H499" s="8" t="n">
        <v>6.17</v>
      </c>
      <c r="I499" s="8">
        <f>G499*H499</f>
        <v/>
      </c>
      <c r="J499" s="8">
        <f>H499/E499</f>
        <v/>
      </c>
      <c r="K499" s="8" t="n">
        <v>4.95</v>
      </c>
      <c r="L499" s="8" t="n">
        <v>4.95</v>
      </c>
      <c r="M499" s="14">
        <f>J499/K499-1</f>
        <v/>
      </c>
      <c r="N499" s="7" t="inlineStr">
        <is>
          <t>ACIMA +24.6%</t>
        </is>
      </c>
      <c r="O499" s="7" t="inlineStr"/>
    </row>
    <row r="500">
      <c r="A500" s="7" t="n">
        <v>634</v>
      </c>
      <c r="B500" s="7" t="inlineStr"/>
      <c r="C500" s="12" t="inlineStr">
        <is>
          <t>7896018703704</t>
        </is>
      </c>
      <c r="D500" s="7" t="inlineStr">
        <is>
          <t>SAB INTIMO INTIMUS DEFESA NATURAL 200ML</t>
        </is>
      </c>
      <c r="E500" s="13" t="n">
        <v>1</v>
      </c>
      <c r="F500" s="13" t="n">
        <v>4</v>
      </c>
      <c r="G500" s="13" t="n">
        <v>4</v>
      </c>
      <c r="H500" s="8" t="n">
        <v>34.11</v>
      </c>
      <c r="I500" s="8">
        <f>G500*H500</f>
        <v/>
      </c>
      <c r="J500" s="8">
        <f>H500/E500</f>
        <v/>
      </c>
      <c r="K500" s="8" t="n">
        <v>22.3217</v>
      </c>
      <c r="L500" s="8" t="n">
        <v>22.3217</v>
      </c>
      <c r="M500" s="14">
        <f>J500/K500-1</f>
        <v/>
      </c>
      <c r="N500" s="7" t="inlineStr">
        <is>
          <t>ACIMA +52.8%</t>
        </is>
      </c>
      <c r="O500" s="7" t="inlineStr"/>
    </row>
    <row r="501">
      <c r="A501" s="7" t="n">
        <v>843</v>
      </c>
      <c r="B501" s="7" t="inlineStr"/>
      <c r="C501" s="12" t="inlineStr">
        <is>
          <t>7891010781668</t>
        </is>
      </c>
      <c r="D501" s="7" t="inlineStr">
        <is>
          <t>SAB J J BABY HORA DO SONO 80G</t>
        </is>
      </c>
      <c r="E501" s="13" t="n">
        <v>1</v>
      </c>
      <c r="F501" s="13" t="n">
        <v>1</v>
      </c>
      <c r="G501" s="13" t="n">
        <v>1</v>
      </c>
      <c r="H501" s="8" t="n">
        <v>5.63</v>
      </c>
      <c r="I501" s="8">
        <f>G501*H501</f>
        <v/>
      </c>
      <c r="J501" s="8">
        <f>H501/E501</f>
        <v/>
      </c>
      <c r="K501" s="8" t="n">
        <v>5.79</v>
      </c>
      <c r="L501" s="8" t="n">
        <v>5.79</v>
      </c>
      <c r="M501" s="14">
        <f>J501/K501-1</f>
        <v/>
      </c>
      <c r="N501" s="7" t="inlineStr">
        <is>
          <t>OK (≤ menor hist.)</t>
        </is>
      </c>
      <c r="O501" s="7" t="inlineStr"/>
    </row>
    <row r="502">
      <c r="A502" s="7" t="n">
        <v>567301</v>
      </c>
      <c r="B502" s="7" t="inlineStr"/>
      <c r="C502" s="12" t="inlineStr">
        <is>
          <t>7891010871024</t>
        </is>
      </c>
      <c r="D502" s="7" t="inlineStr">
        <is>
          <t>SAB J J BABY LIQ REF HORA SONO 180ML</t>
        </is>
      </c>
      <c r="E502" s="13" t="n">
        <v>1</v>
      </c>
      <c r="F502" s="13" t="n">
        <v>4</v>
      </c>
      <c r="G502" s="13" t="n">
        <v>4</v>
      </c>
      <c r="H502" s="8" t="n">
        <v>13.88</v>
      </c>
      <c r="I502" s="8">
        <f>G502*H502</f>
        <v/>
      </c>
      <c r="J502" s="8">
        <f>H502/E502</f>
        <v/>
      </c>
      <c r="K502" s="8" t="n">
        <v>12.9692</v>
      </c>
      <c r="L502" s="8" t="n">
        <v>12.9692</v>
      </c>
      <c r="M502" s="14">
        <f>J502/K502-1</f>
        <v/>
      </c>
      <c r="N502" s="7" t="inlineStr">
        <is>
          <t>ACIMA +7.0%</t>
        </is>
      </c>
      <c r="O502" s="7" t="inlineStr"/>
    </row>
    <row r="503">
      <c r="A503" s="7" t="n">
        <v>612361</v>
      </c>
      <c r="B503" s="7" t="inlineStr"/>
      <c r="C503" s="12" t="inlineStr">
        <is>
          <t>7891010247409</t>
        </is>
      </c>
      <c r="D503" s="7" t="inlineStr">
        <is>
          <t>SAB JOHNSONS AMENDOAS 80G</t>
        </is>
      </c>
      <c r="E503" s="13" t="n">
        <v>1</v>
      </c>
      <c r="F503" s="13" t="n">
        <v>2</v>
      </c>
      <c r="G503" s="13" t="n">
        <v>2</v>
      </c>
      <c r="H503" s="8" t="n">
        <v>2.25</v>
      </c>
      <c r="I503" s="8">
        <f>G503*H503</f>
        <v/>
      </c>
      <c r="J503" s="8">
        <f>H503/E503</f>
        <v/>
      </c>
      <c r="K503" s="8" t="n">
        <v>2.31</v>
      </c>
      <c r="L503" s="8" t="n">
        <v>2.31</v>
      </c>
      <c r="M503" s="14">
        <f>J503/K503-1</f>
        <v/>
      </c>
      <c r="N503" s="7" t="inlineStr">
        <is>
          <t>OK (≤ menor hist.)</t>
        </is>
      </c>
      <c r="O503" s="7" t="inlineStr"/>
    </row>
    <row r="504">
      <c r="A504" s="7" t="n">
        <v>612371</v>
      </c>
      <c r="B504" s="7" t="inlineStr"/>
      <c r="C504" s="12" t="inlineStr">
        <is>
          <t>7891010247393</t>
        </is>
      </c>
      <c r="D504" s="7" t="inlineStr">
        <is>
          <t>SAB JOHNSONS ROSAS E SANDALO 80G</t>
        </is>
      </c>
      <c r="E504" s="13" t="n">
        <v>1</v>
      </c>
      <c r="F504" s="13" t="n">
        <v>5</v>
      </c>
      <c r="G504" s="13" t="n">
        <v>5</v>
      </c>
      <c r="H504" s="8" t="n">
        <v>2.25</v>
      </c>
      <c r="I504" s="8">
        <f>G504*H504</f>
        <v/>
      </c>
      <c r="J504" s="8">
        <f>H504/E504</f>
        <v/>
      </c>
      <c r="K504" s="8" t="n">
        <v>2.31</v>
      </c>
      <c r="L504" s="8" t="n">
        <v>2.31</v>
      </c>
      <c r="M504" s="14">
        <f>J504/K504-1</f>
        <v/>
      </c>
      <c r="N504" s="7" t="inlineStr">
        <is>
          <t>OK (≤ menor hist.)</t>
        </is>
      </c>
      <c r="O504" s="7" t="inlineStr"/>
    </row>
    <row r="505">
      <c r="A505" s="7" t="n">
        <v>603131</v>
      </c>
      <c r="B505" s="7" t="inlineStr"/>
      <c r="C505" s="12" t="inlineStr">
        <is>
          <t>7896512949417</t>
        </is>
      </c>
      <c r="D505" s="7" t="inlineStr">
        <is>
          <t>SAB LIQ BEBE TRAD 500ML</t>
        </is>
      </c>
      <c r="E505" s="13" t="n">
        <v>1</v>
      </c>
      <c r="F505" s="13" t="n">
        <v>3</v>
      </c>
      <c r="G505" s="13" t="n">
        <v>3</v>
      </c>
      <c r="H505" s="8" t="n">
        <v>33.62</v>
      </c>
      <c r="I505" s="8">
        <f>G505*H505</f>
        <v/>
      </c>
      <c r="J505" s="8">
        <f>H505/E505</f>
        <v/>
      </c>
      <c r="K505" s="8" t="n">
        <v>28.35</v>
      </c>
      <c r="L505" s="8" t="n">
        <v>28.35</v>
      </c>
      <c r="M505" s="14">
        <f>J505/K505-1</f>
        <v/>
      </c>
      <c r="N505" s="7" t="inlineStr">
        <is>
          <t>ACIMA +18.6%</t>
        </is>
      </c>
      <c r="O505" s="7" t="inlineStr"/>
    </row>
    <row r="506">
      <c r="A506" s="7" t="n">
        <v>539001</v>
      </c>
      <c r="B506" s="7" t="inlineStr"/>
      <c r="C506" s="12" t="inlineStr">
        <is>
          <t>7891150060241</t>
        </is>
      </c>
      <c r="D506" s="7" t="inlineStr">
        <is>
          <t>SAB LIQ BUQUE DE JASMIM 200ML REFIL</t>
        </is>
      </c>
      <c r="E506" s="13" t="n">
        <v>1</v>
      </c>
      <c r="F506" s="13" t="n">
        <v>4</v>
      </c>
      <c r="G506" s="13" t="n">
        <v>4</v>
      </c>
      <c r="H506" s="8" t="n">
        <v>6.4</v>
      </c>
      <c r="I506" s="8">
        <f>G506*H506</f>
        <v/>
      </c>
      <c r="J506" s="8">
        <f>H506/E506</f>
        <v/>
      </c>
      <c r="K506" s="8" t="n">
        <v>6.19</v>
      </c>
      <c r="L506" s="8" t="n">
        <v>6.19</v>
      </c>
      <c r="M506" s="14">
        <f>J506/K506-1</f>
        <v/>
      </c>
      <c r="N506" s="7" t="inlineStr">
        <is>
          <t>ACIMA +3.4%</t>
        </is>
      </c>
      <c r="O506" s="7" t="inlineStr"/>
    </row>
    <row r="507">
      <c r="A507" s="7" t="n">
        <v>541901</v>
      </c>
      <c r="B507" s="7" t="inlineStr"/>
      <c r="C507" s="12" t="inlineStr">
        <is>
          <t>7896018704206</t>
        </is>
      </c>
      <c r="D507" s="7" t="inlineStr">
        <is>
          <t>SAB LIQ CABECA AOS PES DISNEY BABY HUGGIES 200ML REFIL</t>
        </is>
      </c>
      <c r="E507" s="13" t="n">
        <v>1</v>
      </c>
      <c r="F507" s="13" t="n">
        <v>1</v>
      </c>
      <c r="G507" s="13" t="n">
        <v>1</v>
      </c>
      <c r="H507" s="8" t="n">
        <v>11.79</v>
      </c>
      <c r="I507" s="8">
        <f>G507*H507</f>
        <v/>
      </c>
      <c r="J507" s="8">
        <f>H507/E507</f>
        <v/>
      </c>
      <c r="K507" s="8" t="n">
        <v>7.8133</v>
      </c>
      <c r="L507" s="8" t="n">
        <v>7.8133</v>
      </c>
      <c r="M507" s="14">
        <f>J507/K507-1</f>
        <v/>
      </c>
      <c r="N507" s="7" t="inlineStr">
        <is>
          <t>ACIMA +50.9%</t>
        </is>
      </c>
      <c r="O507" s="7" t="inlineStr"/>
    </row>
    <row r="508">
      <c r="A508" s="7" t="n">
        <v>669521</v>
      </c>
      <c r="B508" s="7" t="inlineStr"/>
      <c r="C508" s="12" t="inlineStr">
        <is>
          <t>7509546695945</t>
        </is>
      </c>
      <c r="D508" s="7" t="inlineStr">
        <is>
          <t>SAB LIQ CORP PALMOLIVE MELANCIA   LICHIA 250ML</t>
        </is>
      </c>
      <c r="E508" s="13" t="n">
        <v>1</v>
      </c>
      <c r="F508" s="13" t="n">
        <v>10</v>
      </c>
      <c r="G508" s="13" t="n">
        <v>10</v>
      </c>
      <c r="H508" s="8" t="n">
        <v>7.58</v>
      </c>
      <c r="I508" s="8">
        <f>G508*H508</f>
        <v/>
      </c>
      <c r="J508" s="8">
        <f>H508/E508</f>
        <v/>
      </c>
      <c r="K508" s="8" t="n">
        <v>5.685</v>
      </c>
      <c r="L508" s="8" t="n">
        <v>5.685</v>
      </c>
      <c r="M508" s="14">
        <f>J508/K508-1</f>
        <v/>
      </c>
      <c r="N508" s="7" t="inlineStr">
        <is>
          <t>ACIMA +33.3%</t>
        </is>
      </c>
      <c r="O508" s="7" t="inlineStr"/>
    </row>
    <row r="509">
      <c r="A509" s="7" t="n">
        <v>669171</v>
      </c>
      <c r="B509" s="7" t="inlineStr"/>
      <c r="C509" s="12" t="inlineStr">
        <is>
          <t>7891150098442</t>
        </is>
      </c>
      <c r="D509" s="7" t="inlineStr">
        <is>
          <t>SAB LIQ DOVE OLEO DE BANHO 240ML</t>
        </is>
      </c>
      <c r="E509" s="13" t="n">
        <v>1</v>
      </c>
      <c r="F509" s="13" t="n">
        <v>4</v>
      </c>
      <c r="G509" s="13" t="n">
        <v>4</v>
      </c>
      <c r="H509" s="8" t="n">
        <v>26.05</v>
      </c>
      <c r="I509" s="8">
        <f>G509*H509</f>
        <v/>
      </c>
      <c r="J509" s="8">
        <f>H509/E509</f>
        <v/>
      </c>
      <c r="K509" s="8" t="n">
        <v>25.735</v>
      </c>
      <c r="L509" s="8" t="n">
        <v>23.9367</v>
      </c>
      <c r="M509" s="14">
        <f>J509/K509-1</f>
        <v/>
      </c>
      <c r="N509" s="7" t="inlineStr">
        <is>
          <t>ACIMA +1.2%</t>
        </is>
      </c>
      <c r="O509" s="7" t="inlineStr"/>
    </row>
    <row r="510">
      <c r="A510" s="7" t="n">
        <v>567921</v>
      </c>
      <c r="B510" s="7" t="inlineStr"/>
      <c r="C510" s="12" t="inlineStr">
        <is>
          <t>7896512922472</t>
        </is>
      </c>
      <c r="D510" s="7" t="inlineStr">
        <is>
          <t>SAB LIQ GRANADO LAVANDA REFIL 250ML</t>
        </is>
      </c>
      <c r="E510" s="13" t="n">
        <v>1</v>
      </c>
      <c r="F510" s="13" t="n">
        <v>6</v>
      </c>
      <c r="G510" s="13" t="n">
        <v>6</v>
      </c>
      <c r="H510" s="8" t="n">
        <v>16.9</v>
      </c>
      <c r="I510" s="8">
        <f>G510*H510</f>
        <v/>
      </c>
      <c r="J510" s="8">
        <f>H510/E510</f>
        <v/>
      </c>
      <c r="K510" s="8" t="n">
        <v>15.72</v>
      </c>
      <c r="L510" s="8" t="n">
        <v>14.1958</v>
      </c>
      <c r="M510" s="14">
        <f>J510/K510-1</f>
        <v/>
      </c>
      <c r="N510" s="7" t="inlineStr">
        <is>
          <t>ACIMA +7.5%</t>
        </is>
      </c>
      <c r="O510" s="7" t="inlineStr"/>
    </row>
    <row r="511">
      <c r="A511" s="7" t="n">
        <v>668531</v>
      </c>
      <c r="B511" s="7" t="inlineStr"/>
      <c r="C511" s="12" t="inlineStr">
        <is>
          <t>7891150095311</t>
        </is>
      </c>
      <c r="D511" s="7" t="inlineStr">
        <is>
          <t>SAB LIQ LUX GARD E OLEO DE AMEND 250ML</t>
        </is>
      </c>
      <c r="E511" s="13" t="n">
        <v>1</v>
      </c>
      <c r="F511" s="13" t="n">
        <v>1</v>
      </c>
      <c r="G511" s="13" t="n">
        <v>1</v>
      </c>
      <c r="H511" s="8" t="n">
        <v>8.58</v>
      </c>
      <c r="I511" s="8">
        <f>G511*H511</f>
        <v/>
      </c>
      <c r="J511" s="8">
        <f>H511/E511</f>
        <v/>
      </c>
      <c r="K511" s="8" t="n">
        <v>5.98</v>
      </c>
      <c r="L511" s="8" t="n">
        <v>5.98</v>
      </c>
      <c r="M511" s="14">
        <f>J511/K511-1</f>
        <v/>
      </c>
      <c r="N511" s="7" t="inlineStr">
        <is>
          <t>ACIMA +43.5%</t>
        </is>
      </c>
      <c r="O511" s="7" t="inlineStr"/>
    </row>
    <row r="512">
      <c r="A512" s="7" t="n">
        <v>537401</v>
      </c>
      <c r="B512" s="7" t="inlineStr"/>
      <c r="C512" s="12" t="inlineStr">
        <is>
          <t>7891150060210</t>
        </is>
      </c>
      <c r="D512" s="7" t="inlineStr">
        <is>
          <t>SAB LIQ ORQUIDEA NEGRA LUX 200ML REFIL</t>
        </is>
      </c>
      <c r="E512" s="13" t="n">
        <v>1</v>
      </c>
      <c r="F512" s="13" t="n">
        <v>5</v>
      </c>
      <c r="G512" s="13" t="n">
        <v>5</v>
      </c>
      <c r="H512" s="8" t="n">
        <v>6.4</v>
      </c>
      <c r="I512" s="8">
        <f>G512*H512</f>
        <v/>
      </c>
      <c r="J512" s="8">
        <f>H512/E512</f>
        <v/>
      </c>
      <c r="K512" s="8" t="n">
        <v>5.94</v>
      </c>
      <c r="L512" s="8" t="n">
        <v>5.4517</v>
      </c>
      <c r="M512" s="14">
        <f>J512/K512-1</f>
        <v/>
      </c>
      <c r="N512" s="7" t="inlineStr">
        <is>
          <t>ACIMA +7.7%</t>
        </is>
      </c>
      <c r="O512" s="7" t="inlineStr"/>
    </row>
    <row r="513">
      <c r="A513" s="7" t="n">
        <v>613911</v>
      </c>
      <c r="B513" s="7" t="inlineStr"/>
      <c r="C513" s="12" t="inlineStr">
        <is>
          <t>7891024029831</t>
        </is>
      </c>
      <c r="D513" s="7" t="inlineStr">
        <is>
          <t>SAB LIQ PALM NAT OLEO NUTRITIVO 250ML</t>
        </is>
      </c>
      <c r="E513" s="13" t="n">
        <v>1</v>
      </c>
      <c r="F513" s="13" t="n">
        <v>6</v>
      </c>
      <c r="G513" s="13" t="n">
        <v>6</v>
      </c>
      <c r="H513" s="8" t="n">
        <v>7.58</v>
      </c>
      <c r="I513" s="8">
        <f>G513*H513</f>
        <v/>
      </c>
      <c r="J513" s="8">
        <f>H513/E513</f>
        <v/>
      </c>
      <c r="K513" s="8" t="n">
        <v>5.5567</v>
      </c>
      <c r="L513" s="8" t="n">
        <v>5.5567</v>
      </c>
      <c r="M513" s="14">
        <f>J513/K513-1</f>
        <v/>
      </c>
      <c r="N513" s="7" t="inlineStr">
        <is>
          <t>ACIMA +36.4%</t>
        </is>
      </c>
      <c r="O513" s="7" t="inlineStr"/>
    </row>
    <row r="514">
      <c r="A514" s="7" t="n">
        <v>598501</v>
      </c>
      <c r="B514" s="7" t="inlineStr"/>
      <c r="C514" s="12" t="inlineStr">
        <is>
          <t>7509546665818</t>
        </is>
      </c>
      <c r="D514" s="7" t="inlineStr">
        <is>
          <t>SAB LIQ POLM LUMINOUS OILS 250ML</t>
        </is>
      </c>
      <c r="E514" s="13" t="n">
        <v>1</v>
      </c>
      <c r="F514" s="13" t="n">
        <v>5</v>
      </c>
      <c r="G514" s="13" t="n">
        <v>5</v>
      </c>
      <c r="H514" s="8" t="n">
        <v>11.82</v>
      </c>
      <c r="I514" s="8">
        <f>G514*H514</f>
        <v/>
      </c>
      <c r="J514" s="8">
        <f>H514/E514</f>
        <v/>
      </c>
      <c r="K514" s="8" t="n">
        <v>8.68</v>
      </c>
      <c r="L514" s="8" t="n">
        <v>7.42</v>
      </c>
      <c r="M514" s="14">
        <f>J514/K514-1</f>
        <v/>
      </c>
      <c r="N514" s="7" t="inlineStr">
        <is>
          <t>ACIMA +36.2%</t>
        </is>
      </c>
      <c r="O514" s="7" t="inlineStr"/>
    </row>
    <row r="515">
      <c r="A515" s="7" t="n">
        <v>571261</v>
      </c>
      <c r="B515" s="7" t="inlineStr"/>
      <c r="C515" s="12" t="inlineStr">
        <is>
          <t>7891024027257</t>
        </is>
      </c>
      <c r="D515" s="7" t="inlineStr">
        <is>
          <t>SAB LIQ PROTEX 200ML REF VIT E</t>
        </is>
      </c>
      <c r="E515" s="13" t="n">
        <v>1</v>
      </c>
      <c r="F515" s="13" t="n">
        <v>2</v>
      </c>
      <c r="G515" s="13" t="n">
        <v>2</v>
      </c>
      <c r="H515" s="8" t="n">
        <v>7.75</v>
      </c>
      <c r="I515" s="8">
        <f>G515*H515</f>
        <v/>
      </c>
      <c r="J515" s="8">
        <f>H515/E515</f>
        <v/>
      </c>
      <c r="K515" s="8" t="n">
        <v>7.59</v>
      </c>
      <c r="L515" s="8" t="n">
        <v>7.31</v>
      </c>
      <c r="M515" s="14">
        <f>J515/K515-1</f>
        <v/>
      </c>
      <c r="N515" s="7" t="inlineStr">
        <is>
          <t>ACIMA +2.1%</t>
        </is>
      </c>
      <c r="O515" s="7" t="inlineStr"/>
    </row>
    <row r="516">
      <c r="A516" s="7" t="n">
        <v>571281</v>
      </c>
      <c r="B516" s="7" t="inlineStr"/>
      <c r="C516" s="12" t="inlineStr">
        <is>
          <t>7891024114865</t>
        </is>
      </c>
      <c r="D516" s="7" t="inlineStr">
        <is>
          <t>SAB LIQ PROTEX 250ML VITAMI E</t>
        </is>
      </c>
      <c r="E516" s="13" t="n">
        <v>1</v>
      </c>
      <c r="F516" s="13" t="n">
        <v>6</v>
      </c>
      <c r="G516" s="13" t="n">
        <v>6</v>
      </c>
      <c r="H516" s="8" t="n">
        <v>11.7</v>
      </c>
      <c r="I516" s="8">
        <f>G516*H516</f>
        <v/>
      </c>
      <c r="J516" s="8">
        <f>H516/E516</f>
        <v/>
      </c>
      <c r="K516" s="8" t="n">
        <v>7.6233</v>
      </c>
      <c r="L516" s="8" t="n">
        <v>6.0325</v>
      </c>
      <c r="M516" s="14">
        <f>J516/K516-1</f>
        <v/>
      </c>
      <c r="N516" s="7" t="inlineStr">
        <is>
          <t>ACIMA +53.5%</t>
        </is>
      </c>
      <c r="O516" s="7" t="inlineStr"/>
    </row>
    <row r="517">
      <c r="A517" s="7" t="n">
        <v>623951</v>
      </c>
      <c r="B517" s="7" t="inlineStr"/>
      <c r="C517" s="12" t="inlineStr">
        <is>
          <t>7891024033227</t>
        </is>
      </c>
      <c r="D517" s="7" t="inlineStr">
        <is>
          <t>SAB LIQ PROTEX INTIMO CALM PROTECT 200ML   COLG %DN:2.00</t>
        </is>
      </c>
      <c r="E517" s="13" t="n">
        <v>1</v>
      </c>
      <c r="F517" s="13" t="n">
        <v>2</v>
      </c>
      <c r="G517" s="13" t="n">
        <v>2</v>
      </c>
      <c r="H517" s="8" t="n">
        <v>20.24</v>
      </c>
      <c r="I517" s="8">
        <f>G517*H517</f>
        <v/>
      </c>
      <c r="J517" s="8">
        <f>H517/E517</f>
        <v/>
      </c>
      <c r="K517" s="8" t="n">
        <v>18.13</v>
      </c>
      <c r="L517" s="8" t="n">
        <v>18.13</v>
      </c>
      <c r="M517" s="14">
        <f>J517/K517-1</f>
        <v/>
      </c>
      <c r="N517" s="7" t="inlineStr">
        <is>
          <t>ACIMA +11.6%</t>
        </is>
      </c>
      <c r="O517" s="7" t="inlineStr"/>
    </row>
    <row r="518">
      <c r="A518" s="7" t="n">
        <v>623971</v>
      </c>
      <c r="B518" s="7" t="inlineStr"/>
      <c r="C518" s="12" t="inlineStr">
        <is>
          <t>7509546665986</t>
        </is>
      </c>
      <c r="D518" s="7" t="inlineStr">
        <is>
          <t>SAB LIQ PROTEX PUM ERVA DOCE 400ML</t>
        </is>
      </c>
      <c r="E518" s="13" t="n">
        <v>1</v>
      </c>
      <c r="F518" s="13" t="n">
        <v>1</v>
      </c>
      <c r="G518" s="13" t="n">
        <v>1</v>
      </c>
      <c r="H518" s="8" t="n">
        <v>16.67</v>
      </c>
      <c r="I518" s="8">
        <f>G518*H518</f>
        <v/>
      </c>
      <c r="J518" s="8">
        <f>H518/E518</f>
        <v/>
      </c>
      <c r="K518" s="8" t="n">
        <v>19.53</v>
      </c>
      <c r="L518" s="8" t="n">
        <v>19.53</v>
      </c>
      <c r="M518" s="14">
        <f>J518/K518-1</f>
        <v/>
      </c>
      <c r="N518" s="7" t="inlineStr">
        <is>
          <t>OK (≤ menor hist.)</t>
        </is>
      </c>
      <c r="O518" s="7" t="inlineStr"/>
    </row>
    <row r="519">
      <c r="A519" s="7" t="n">
        <v>689301</v>
      </c>
      <c r="B519" s="7" t="inlineStr"/>
      <c r="C519" s="12" t="inlineStr">
        <is>
          <t>7891150083042</t>
        </is>
      </c>
      <c r="D519" s="7" t="inlineStr">
        <is>
          <t>SAB LIQ REXONA ANTIBAC FRESH 250ML</t>
        </is>
      </c>
      <c r="E519" s="13" t="n">
        <v>1</v>
      </c>
      <c r="F519" s="13" t="n">
        <v>2</v>
      </c>
      <c r="G519" s="13" t="n">
        <v>2</v>
      </c>
      <c r="H519" s="8" t="n">
        <v>8.529999999999999</v>
      </c>
      <c r="I519" s="8">
        <f>G519*H519</f>
        <v/>
      </c>
      <c r="J519" s="8">
        <f>H519/E519</f>
        <v/>
      </c>
      <c r="K519" s="8" t="n">
        <v>9.58</v>
      </c>
      <c r="L519" s="8" t="n">
        <v>9.58</v>
      </c>
      <c r="M519" s="14">
        <f>J519/K519-1</f>
        <v/>
      </c>
      <c r="N519" s="7" t="inlineStr">
        <is>
          <t>OK (≤ menor hist.)</t>
        </is>
      </c>
      <c r="O519" s="7" t="inlineStr"/>
    </row>
    <row r="520">
      <c r="A520" s="7" t="n">
        <v>538881</v>
      </c>
      <c r="B520" s="7" t="inlineStr"/>
      <c r="C520" s="12" t="inlineStr">
        <is>
          <t>7891150060234</t>
        </is>
      </c>
      <c r="D520" s="7" t="inlineStr">
        <is>
          <t>SAB LIQ ROSAS FRANCESAS LUX  200ML REFIL</t>
        </is>
      </c>
      <c r="E520" s="13" t="n">
        <v>1</v>
      </c>
      <c r="F520" s="13" t="n">
        <v>7</v>
      </c>
      <c r="G520" s="13" t="n">
        <v>7</v>
      </c>
      <c r="H520" s="8" t="n">
        <v>6.4</v>
      </c>
      <c r="I520" s="8">
        <f>G520*H520</f>
        <v/>
      </c>
      <c r="J520" s="8">
        <f>H520/E520</f>
        <v/>
      </c>
      <c r="K520" s="8" t="n">
        <v>5.9558</v>
      </c>
      <c r="L520" s="8" t="n">
        <v>4.4775</v>
      </c>
      <c r="M520" s="14">
        <f>J520/K520-1</f>
        <v/>
      </c>
      <c r="N520" s="7" t="inlineStr">
        <is>
          <t>ACIMA +7.5%</t>
        </is>
      </c>
      <c r="O520" s="7" t="inlineStr"/>
    </row>
    <row r="521">
      <c r="A521" s="7" t="n">
        <v>663261</v>
      </c>
      <c r="B521" s="7" t="inlineStr"/>
      <c r="C521" s="12" t="inlineStr">
        <is>
          <t>7891150060289</t>
        </is>
      </c>
      <c r="D521" s="7" t="inlineStr">
        <is>
          <t>SAB LUX BUQUE JASMIM 125G</t>
        </is>
      </c>
      <c r="E521" s="13" t="n">
        <v>1</v>
      </c>
      <c r="F521" s="13" t="n">
        <v>4</v>
      </c>
      <c r="G521" s="13" t="n">
        <v>4</v>
      </c>
      <c r="H521" s="8" t="n">
        <v>3.52</v>
      </c>
      <c r="I521" s="8">
        <f>G521*H521</f>
        <v/>
      </c>
      <c r="J521" s="8">
        <f>H521/E521</f>
        <v/>
      </c>
      <c r="K521" s="8" t="n">
        <v>2.6061</v>
      </c>
      <c r="L521" s="8" t="n">
        <v>2.6061</v>
      </c>
      <c r="M521" s="14">
        <f>J521/K521-1</f>
        <v/>
      </c>
      <c r="N521" s="7" t="inlineStr">
        <is>
          <t>ACIMA +35.1%</t>
        </is>
      </c>
      <c r="O521" s="7" t="inlineStr"/>
    </row>
    <row r="522">
      <c r="A522" s="7" t="n">
        <v>663271</v>
      </c>
      <c r="B522" s="7" t="inlineStr"/>
      <c r="C522" s="12" t="inlineStr">
        <is>
          <t>7891150095304</t>
        </is>
      </c>
      <c r="D522" s="7" t="inlineStr">
        <is>
          <t>SAB LUX GARD E OLEO DE AMEND 85G   UNIL %DN:17.00</t>
        </is>
      </c>
      <c r="E522" s="13" t="n">
        <v>1</v>
      </c>
      <c r="F522" s="13" t="n">
        <v>2</v>
      </c>
      <c r="G522" s="13" t="n">
        <v>2</v>
      </c>
      <c r="H522" s="8" t="n">
        <v>2.52</v>
      </c>
      <c r="I522" s="8">
        <f>G522*H522</f>
        <v/>
      </c>
      <c r="J522" s="8">
        <f>H522/E522</f>
        <v/>
      </c>
      <c r="K522" s="8" t="n">
        <v>1.8925</v>
      </c>
      <c r="L522" s="8" t="n">
        <v>1.8925</v>
      </c>
      <c r="M522" s="14">
        <f>J522/K522-1</f>
        <v/>
      </c>
      <c r="N522" s="7" t="inlineStr">
        <is>
          <t>ACIMA +33.2%</t>
        </is>
      </c>
      <c r="O522" s="7" t="inlineStr"/>
    </row>
    <row r="523">
      <c r="A523" s="7" t="n">
        <v>552661</v>
      </c>
      <c r="B523" s="7" t="inlineStr"/>
      <c r="C523" s="12" t="inlineStr">
        <is>
          <t>7896512941930</t>
        </is>
      </c>
      <c r="D523" s="7" t="inlineStr">
        <is>
          <t>SAB LÍQ CAMOMILA GRANADO SACHÊ 250ML REFIL</t>
        </is>
      </c>
      <c r="E523" s="13" t="n">
        <v>1</v>
      </c>
      <c r="F523" s="13" t="n">
        <v>3</v>
      </c>
      <c r="G523" s="13" t="n">
        <v>3</v>
      </c>
      <c r="H523" s="8" t="n">
        <v>16.9</v>
      </c>
      <c r="I523" s="8">
        <f>G523*H523</f>
        <v/>
      </c>
      <c r="J523" s="8">
        <f>H523/E523</f>
        <v/>
      </c>
      <c r="K523" s="8" t="n">
        <v>14.1958</v>
      </c>
      <c r="L523" s="8" t="n">
        <v>14.1958</v>
      </c>
      <c r="M523" s="14">
        <f>J523/K523-1</f>
        <v/>
      </c>
      <c r="N523" s="7" t="inlineStr">
        <is>
          <t>ACIMA +19.0%</t>
        </is>
      </c>
      <c r="O523" s="7" t="inlineStr"/>
    </row>
    <row r="524">
      <c r="A524" s="7" t="n">
        <v>551381</v>
      </c>
      <c r="B524" s="7" t="inlineStr"/>
      <c r="C524" s="12" t="inlineStr">
        <is>
          <t>7891150035874</t>
        </is>
      </c>
      <c r="D524" s="7" t="inlineStr">
        <is>
          <t>SAB LÍQ HIDR ENRIQ DA CABEÇA AOS PÉS DOVE BABY SACHÊ 180ML</t>
        </is>
      </c>
      <c r="E524" s="13" t="n">
        <v>1</v>
      </c>
      <c r="F524" s="13" t="n">
        <v>5</v>
      </c>
      <c r="G524" s="13" t="n">
        <v>5</v>
      </c>
      <c r="H524" s="8" t="n">
        <v>10.77</v>
      </c>
      <c r="I524" s="8">
        <f>G524*H524</f>
        <v/>
      </c>
      <c r="J524" s="8">
        <f>H524/E524</f>
        <v/>
      </c>
      <c r="K524" s="8" t="n">
        <v>10.5242</v>
      </c>
      <c r="L524" s="8" t="n">
        <v>10.5242</v>
      </c>
      <c r="M524" s="14">
        <f>J524/K524-1</f>
        <v/>
      </c>
      <c r="N524" s="7" t="inlineStr">
        <is>
          <t>ACIMA +2.3%</t>
        </is>
      </c>
      <c r="O524" s="7" t="inlineStr"/>
    </row>
    <row r="525">
      <c r="A525" s="7" t="n">
        <v>551161</v>
      </c>
      <c r="B525" s="7" t="inlineStr"/>
      <c r="C525" s="12" t="inlineStr">
        <is>
          <t>7891150060227</t>
        </is>
      </c>
      <c r="D525" s="7" t="inlineStr">
        <is>
          <t>SAB LÍQ LAVANDA LUX BOTANICALS SACHÊ 200ML REFIL</t>
        </is>
      </c>
      <c r="E525" s="13" t="n">
        <v>1</v>
      </c>
      <c r="F525" s="13" t="n">
        <v>4</v>
      </c>
      <c r="G525" s="13" t="n">
        <v>4</v>
      </c>
      <c r="H525" s="8" t="n">
        <v>6.4</v>
      </c>
      <c r="I525" s="8">
        <f>G525*H525</f>
        <v/>
      </c>
      <c r="J525" s="8">
        <f>H525/E525</f>
        <v/>
      </c>
      <c r="K525" s="8" t="n">
        <v>4.8892</v>
      </c>
      <c r="L525" s="8" t="n">
        <v>4.8892</v>
      </c>
      <c r="M525" s="14">
        <f>J525/K525-1</f>
        <v/>
      </c>
      <c r="N525" s="7" t="inlineStr">
        <is>
          <t>ACIMA +30.9%</t>
        </is>
      </c>
      <c r="O525" s="7" t="inlineStr"/>
    </row>
    <row r="526">
      <c r="A526" s="7" t="n">
        <v>551181</v>
      </c>
      <c r="B526" s="7" t="inlineStr"/>
      <c r="C526" s="12" t="inlineStr">
        <is>
          <t>7891150060197</t>
        </is>
      </c>
      <c r="D526" s="7" t="inlineStr">
        <is>
          <t>SAB LÍQ ROSAS FRANCESAS LUX 250ML</t>
        </is>
      </c>
      <c r="E526" s="13" t="n">
        <v>1</v>
      </c>
      <c r="F526" s="13" t="n">
        <v>4</v>
      </c>
      <c r="G526" s="13" t="n">
        <v>4</v>
      </c>
      <c r="H526" s="8" t="n">
        <v>8.58</v>
      </c>
      <c r="I526" s="8">
        <f>G526*H526</f>
        <v/>
      </c>
      <c r="J526" s="8">
        <f>H526/E526</f>
        <v/>
      </c>
      <c r="K526" s="8" t="n">
        <v>5.9825</v>
      </c>
      <c r="L526" s="8" t="n">
        <v>5.9825</v>
      </c>
      <c r="M526" s="14">
        <f>J526/K526-1</f>
        <v/>
      </c>
      <c r="N526" s="7" t="inlineStr">
        <is>
          <t>ACIMA +43.4%</t>
        </is>
      </c>
      <c r="O526" s="7" t="inlineStr"/>
    </row>
    <row r="527">
      <c r="A527" s="7" t="n">
        <v>554601</v>
      </c>
      <c r="B527" s="7" t="inlineStr"/>
      <c r="C527" s="12" t="inlineStr">
        <is>
          <t>7896512922373</t>
        </is>
      </c>
      <c r="D527" s="7" t="inlineStr">
        <is>
          <t>SAB LÍQUIDO DE GLICERINA GRANADO BEBÊ 250ML REFIL</t>
        </is>
      </c>
      <c r="E527" s="13" t="n">
        <v>1</v>
      </c>
      <c r="F527" s="13" t="n">
        <v>14</v>
      </c>
      <c r="G527" s="13" t="n">
        <v>14</v>
      </c>
      <c r="H527" s="8" t="n">
        <v>16.9</v>
      </c>
      <c r="I527" s="8">
        <f>G527*H527</f>
        <v/>
      </c>
      <c r="J527" s="8">
        <f>H527/E527</f>
        <v/>
      </c>
      <c r="K527" s="8" t="n">
        <v>15.72</v>
      </c>
      <c r="L527" s="8" t="n">
        <v>12.59</v>
      </c>
      <c r="M527" s="14">
        <f>J527/K527-1</f>
        <v/>
      </c>
      <c r="N527" s="7" t="inlineStr">
        <is>
          <t>ACIMA +7.5%</t>
        </is>
      </c>
      <c r="O527" s="7" t="inlineStr"/>
    </row>
    <row r="528">
      <c r="A528" s="7" t="n">
        <v>637861</v>
      </c>
      <c r="B528" s="7" t="inlineStr"/>
      <c r="C528" s="12" t="inlineStr">
        <is>
          <t>7896512945136</t>
        </is>
      </c>
      <c r="D528" s="7" t="inlineStr">
        <is>
          <t>SAB MEDITERRANEO GERANIO 100G</t>
        </is>
      </c>
      <c r="E528" s="13" t="n">
        <v>1</v>
      </c>
      <c r="F528" s="13" t="n">
        <v>1</v>
      </c>
      <c r="G528" s="13" t="n">
        <v>1</v>
      </c>
      <c r="H528" s="8" t="n">
        <v>5.44</v>
      </c>
      <c r="I528" s="8">
        <f>G528*H528</f>
        <v/>
      </c>
      <c r="J528" s="8">
        <f>H528/E528</f>
        <v/>
      </c>
      <c r="K528" s="8" t="n">
        <v>4.7658</v>
      </c>
      <c r="L528" s="8" t="n">
        <v>4.7658</v>
      </c>
      <c r="M528" s="14">
        <f>J528/K528-1</f>
        <v/>
      </c>
      <c r="N528" s="7" t="inlineStr">
        <is>
          <t>ACIMA +14.1%</t>
        </is>
      </c>
      <c r="O528" s="7" t="inlineStr"/>
    </row>
    <row r="529">
      <c r="A529" s="7" t="n">
        <v>604601</v>
      </c>
      <c r="B529" s="7" t="inlineStr"/>
      <c r="C529" s="12" t="inlineStr">
        <is>
          <t>4005900521934</t>
        </is>
      </c>
      <c r="D529" s="7" t="inlineStr">
        <is>
          <t>SAB NIVEA HIDRAT 85G</t>
        </is>
      </c>
      <c r="E529" s="13" t="n">
        <v>1</v>
      </c>
      <c r="F529" s="13" t="n">
        <v>1</v>
      </c>
      <c r="G529" s="13" t="n">
        <v>1</v>
      </c>
      <c r="H529" s="8" t="n">
        <v>2.77</v>
      </c>
      <c r="I529" s="8">
        <f>G529*H529</f>
        <v/>
      </c>
      <c r="J529" s="8">
        <f>H529/E529</f>
        <v/>
      </c>
      <c r="K529" s="8" t="n">
        <v>2.2525</v>
      </c>
      <c r="L529" s="8" t="n">
        <v>2.2525</v>
      </c>
      <c r="M529" s="14">
        <f>J529/K529-1</f>
        <v/>
      </c>
      <c r="N529" s="7" t="inlineStr">
        <is>
          <t>ACIMA +23.0%</t>
        </is>
      </c>
      <c r="O529" s="7" t="inlineStr"/>
    </row>
    <row r="530">
      <c r="A530" s="7" t="n">
        <v>615401</v>
      </c>
      <c r="B530" s="7" t="inlineStr"/>
      <c r="C530" s="12" t="inlineStr">
        <is>
          <t>4005808896134</t>
        </is>
      </c>
      <c r="D530" s="7" t="inlineStr">
        <is>
          <t>SAB NIVEA LIQ FRANGI   OIL 250ML</t>
        </is>
      </c>
      <c r="E530" s="13" t="n">
        <v>1</v>
      </c>
      <c r="F530" s="13" t="n">
        <v>1</v>
      </c>
      <c r="G530" s="13" t="n">
        <v>1</v>
      </c>
      <c r="H530" s="8" t="n">
        <v>17.12</v>
      </c>
      <c r="I530" s="8">
        <f>G530*H530</f>
        <v/>
      </c>
      <c r="J530" s="8">
        <f>H530/E530</f>
        <v/>
      </c>
      <c r="K530" s="8" t="n">
        <v>17</v>
      </c>
      <c r="L530" s="8" t="n">
        <v>17</v>
      </c>
      <c r="M530" s="14">
        <f>J530/K530-1</f>
        <v/>
      </c>
      <c r="N530" s="7" t="inlineStr">
        <is>
          <t>ACIMA +0.7%</t>
        </is>
      </c>
      <c r="O530" s="7" t="inlineStr"/>
    </row>
    <row r="531">
      <c r="A531" s="7" t="n">
        <v>610831</v>
      </c>
      <c r="B531" s="7" t="inlineStr"/>
      <c r="C531" s="12" t="inlineStr">
        <is>
          <t>7896512909763</t>
        </is>
      </c>
      <c r="D531" s="7" t="inlineStr">
        <is>
          <t>SAB PHEBO FRESCOR DA MANHA</t>
        </is>
      </c>
      <c r="E531" s="13" t="n">
        <v>1</v>
      </c>
      <c r="F531" s="13" t="n">
        <v>1</v>
      </c>
      <c r="G531" s="13" t="n">
        <v>1</v>
      </c>
      <c r="H531" s="8" t="n">
        <v>4.99</v>
      </c>
      <c r="I531" s="8">
        <f>G531*H531</f>
        <v/>
      </c>
      <c r="J531" s="8">
        <f>H531/E531</f>
        <v/>
      </c>
      <c r="K531" s="8" t="n">
        <v>3.92</v>
      </c>
      <c r="L531" s="8" t="n">
        <v>3.92</v>
      </c>
      <c r="M531" s="14">
        <f>J531/K531-1</f>
        <v/>
      </c>
      <c r="N531" s="7" t="inlineStr">
        <is>
          <t>ACIMA +27.3%</t>
        </is>
      </c>
      <c r="O531" s="7" t="inlineStr"/>
    </row>
    <row r="532">
      <c r="A532" s="7" t="n">
        <v>637871</v>
      </c>
      <c r="B532" s="7" t="inlineStr"/>
      <c r="C532" s="12" t="inlineStr">
        <is>
          <t>7896512911537</t>
        </is>
      </c>
      <c r="D532" s="7" t="inlineStr">
        <is>
          <t>SAB PHEBO MEDITERR ALFAZEMA PROV 100GR</t>
        </is>
      </c>
      <c r="E532" s="13" t="n">
        <v>1</v>
      </c>
      <c r="F532" s="13" t="n">
        <v>2</v>
      </c>
      <c r="G532" s="13" t="n">
        <v>2</v>
      </c>
      <c r="H532" s="8" t="n">
        <v>5.44</v>
      </c>
      <c r="I532" s="8">
        <f>G532*H532</f>
        <v/>
      </c>
      <c r="J532" s="8">
        <f>H532/E532</f>
        <v/>
      </c>
      <c r="K532" s="8" t="n">
        <v>4.7658</v>
      </c>
      <c r="L532" s="8" t="n">
        <v>4.7658</v>
      </c>
      <c r="M532" s="14">
        <f>J532/K532-1</f>
        <v/>
      </c>
      <c r="N532" s="7" t="inlineStr">
        <is>
          <t>ACIMA +14.1%</t>
        </is>
      </c>
      <c r="O532" s="7" t="inlineStr"/>
    </row>
    <row r="533">
      <c r="A533" s="7" t="n">
        <v>637881</v>
      </c>
      <c r="B533" s="7" t="inlineStr"/>
      <c r="C533" s="12" t="inlineStr">
        <is>
          <t>7896512921789</t>
        </is>
      </c>
      <c r="D533" s="7" t="inlineStr">
        <is>
          <t>SAB PHEBO MEDITERR LIMAO SICILIAN 100GR</t>
        </is>
      </c>
      <c r="E533" s="13" t="n">
        <v>1</v>
      </c>
      <c r="F533" s="13" t="n">
        <v>1</v>
      </c>
      <c r="G533" s="13" t="n">
        <v>1</v>
      </c>
      <c r="H533" s="8" t="n">
        <v>5.44</v>
      </c>
      <c r="I533" s="8">
        <f>G533*H533</f>
        <v/>
      </c>
      <c r="J533" s="8">
        <f>H533/E533</f>
        <v/>
      </c>
      <c r="K533" s="8" t="n">
        <v>4.1667</v>
      </c>
      <c r="L533" s="8" t="n">
        <v>4.1667</v>
      </c>
      <c r="M533" s="14">
        <f>J533/K533-1</f>
        <v/>
      </c>
      <c r="N533" s="7" t="inlineStr">
        <is>
          <t>ACIMA +30.6%</t>
        </is>
      </c>
      <c r="O533" s="7" t="inlineStr"/>
    </row>
    <row r="534">
      <c r="A534" s="7" t="n">
        <v>637891</v>
      </c>
      <c r="B534" s="7" t="inlineStr"/>
      <c r="C534" s="12" t="inlineStr">
        <is>
          <t>7896512937834</t>
        </is>
      </c>
      <c r="D534" s="7" t="inlineStr">
        <is>
          <t>SAB PHEBO NECTARINA 100G</t>
        </is>
      </c>
      <c r="E534" s="13" t="n">
        <v>1</v>
      </c>
      <c r="F534" s="13" t="n">
        <v>1</v>
      </c>
      <c r="G534" s="13" t="n">
        <v>1</v>
      </c>
      <c r="H534" s="8" t="n">
        <v>5.44</v>
      </c>
      <c r="I534" s="8">
        <f>G534*H534</f>
        <v/>
      </c>
      <c r="J534" s="8">
        <f>H534/E534</f>
        <v/>
      </c>
      <c r="K534" s="8" t="n">
        <v>4.1667</v>
      </c>
      <c r="L534" s="8" t="n">
        <v>4.1667</v>
      </c>
      <c r="M534" s="14">
        <f>J534/K534-1</f>
        <v/>
      </c>
      <c r="N534" s="7" t="inlineStr">
        <is>
          <t>ACIMA +30.6%</t>
        </is>
      </c>
      <c r="O534" s="7" t="inlineStr"/>
    </row>
    <row r="535">
      <c r="A535" s="7" t="n">
        <v>598481</v>
      </c>
      <c r="B535" s="7" t="inlineStr"/>
      <c r="C535" s="12" t="inlineStr">
        <is>
          <t>7891024035313</t>
        </is>
      </c>
      <c r="D535" s="7" t="inlineStr">
        <is>
          <t>SAB PROTEX MEN SPORT 85G</t>
        </is>
      </c>
      <c r="E535" s="13" t="n">
        <v>1</v>
      </c>
      <c r="F535" s="13" t="n">
        <v>1</v>
      </c>
      <c r="G535" s="13" t="n">
        <v>1</v>
      </c>
      <c r="H535" s="8" t="n">
        <v>3.55</v>
      </c>
      <c r="I535" s="8">
        <f>G535*H535</f>
        <v/>
      </c>
      <c r="J535" s="8">
        <f>H535/E535</f>
        <v/>
      </c>
      <c r="K535" s="8" t="n">
        <v>35.535</v>
      </c>
      <c r="L535" s="8" t="n">
        <v>35.535</v>
      </c>
      <c r="M535" s="14">
        <f>J535/K535-1</f>
        <v/>
      </c>
      <c r="N535" s="7" t="inlineStr">
        <is>
          <t>OK (≤ menor hist.)</t>
        </is>
      </c>
      <c r="O535" s="7" t="inlineStr">
        <is>
          <t>conferir emb.</t>
        </is>
      </c>
    </row>
    <row r="536">
      <c r="A536" s="7" t="n">
        <v>651621</v>
      </c>
      <c r="B536" s="7" t="inlineStr"/>
      <c r="C536" s="12" t="inlineStr">
        <is>
          <t>7509546692043</t>
        </is>
      </c>
      <c r="D536" s="7" t="inlineStr">
        <is>
          <t>SAB PROTEX SERUM RETINOL 250ML-DEMAIS PROD</t>
        </is>
      </c>
      <c r="E536" s="13" t="n">
        <v>1</v>
      </c>
      <c r="F536" s="13" t="n">
        <v>1</v>
      </c>
      <c r="G536" s="13" t="n">
        <v>1</v>
      </c>
      <c r="H536" s="8" t="n">
        <v>12.5</v>
      </c>
      <c r="I536" s="8">
        <f>G536*H536</f>
        <v/>
      </c>
      <c r="J536" s="8">
        <f>H536/E536</f>
        <v/>
      </c>
      <c r="K536" s="8" t="n">
        <v>9.5608</v>
      </c>
      <c r="L536" s="8" t="n">
        <v>9.5608</v>
      </c>
      <c r="M536" s="14">
        <f>J536/K536-1</f>
        <v/>
      </c>
      <c r="N536" s="7" t="inlineStr">
        <is>
          <t>ACIMA +30.7%</t>
        </is>
      </c>
      <c r="O536" s="7" t="inlineStr"/>
    </row>
    <row r="537">
      <c r="A537" s="7" t="n">
        <v>605611</v>
      </c>
      <c r="B537" s="7" t="inlineStr"/>
      <c r="C537" s="12" t="inlineStr">
        <is>
          <t>7898422746827</t>
        </is>
      </c>
      <c r="D537" s="7" t="inlineStr">
        <is>
          <t>SAB.DOVE 90G ESFOLIACAO DIARIA</t>
        </is>
      </c>
      <c r="E537" s="13" t="n">
        <v>1</v>
      </c>
      <c r="F537" s="13" t="n">
        <v>1</v>
      </c>
      <c r="G537" s="13" t="n">
        <v>1</v>
      </c>
      <c r="H537" s="8" t="n">
        <v>5.41</v>
      </c>
      <c r="I537" s="8">
        <f>G537*H537</f>
        <v/>
      </c>
      <c r="J537" s="8">
        <f>H537/E537</f>
        <v/>
      </c>
      <c r="K537" s="8" t="n">
        <v>4.9258</v>
      </c>
      <c r="L537" s="8" t="n">
        <v>4.9258</v>
      </c>
      <c r="M537" s="14">
        <f>J537/K537-1</f>
        <v/>
      </c>
      <c r="N537" s="7" t="inlineStr">
        <is>
          <t>ACIMA +9.8%</t>
        </is>
      </c>
      <c r="O537" s="7" t="inlineStr"/>
    </row>
    <row r="538">
      <c r="A538" s="7" t="n">
        <v>569901</v>
      </c>
      <c r="B538" s="7" t="inlineStr"/>
      <c r="C538" s="12" t="inlineStr">
        <is>
          <t>7891150060159</t>
        </is>
      </c>
      <c r="D538" s="7" t="inlineStr">
        <is>
          <t>SAB.LIQ.LUX BOT.250ML LAVANDA</t>
        </is>
      </c>
      <c r="E538" s="13" t="n">
        <v>1</v>
      </c>
      <c r="F538" s="13" t="n">
        <v>4</v>
      </c>
      <c r="G538" s="13" t="n">
        <v>4</v>
      </c>
      <c r="H538" s="8" t="n">
        <v>8.58</v>
      </c>
      <c r="I538" s="8">
        <f>G538*H538</f>
        <v/>
      </c>
      <c r="J538" s="8">
        <f>H538/E538</f>
        <v/>
      </c>
      <c r="K538" s="8" t="n">
        <v>7.9925</v>
      </c>
      <c r="L538" s="8" t="n">
        <v>7.9925</v>
      </c>
      <c r="M538" s="14">
        <f>J538/K538-1</f>
        <v/>
      </c>
      <c r="N538" s="7" t="inlineStr">
        <is>
          <t>ACIMA +7.4%</t>
        </is>
      </c>
      <c r="O538" s="7" t="inlineStr"/>
    </row>
    <row r="539">
      <c r="A539" s="7" t="n">
        <v>569921</v>
      </c>
      <c r="B539" s="7" t="inlineStr"/>
      <c r="C539" s="12" t="inlineStr">
        <is>
          <t>7891150060142</t>
        </is>
      </c>
      <c r="D539" s="7" t="inlineStr">
        <is>
          <t>SAB.LIQ.LUX BOT.250ML ORQ.NEG.</t>
        </is>
      </c>
      <c r="E539" s="13" t="n">
        <v>1</v>
      </c>
      <c r="F539" s="13" t="n">
        <v>1</v>
      </c>
      <c r="G539" s="13" t="n">
        <v>1</v>
      </c>
      <c r="H539" s="8" t="n">
        <v>8.58</v>
      </c>
      <c r="I539" s="8">
        <f>G539*H539</f>
        <v/>
      </c>
      <c r="J539" s="8">
        <f>H539/E539</f>
        <v/>
      </c>
      <c r="K539" s="8" t="n">
        <v>5.98</v>
      </c>
      <c r="L539" s="8" t="n">
        <v>5.98</v>
      </c>
      <c r="M539" s="14">
        <f>J539/K539-1</f>
        <v/>
      </c>
      <c r="N539" s="7" t="inlineStr">
        <is>
          <t>ACIMA +43.5%</t>
        </is>
      </c>
      <c r="O539" s="7" t="inlineStr"/>
    </row>
    <row r="540">
      <c r="A540" s="7" t="n">
        <v>604611</v>
      </c>
      <c r="B540" s="7" t="inlineStr"/>
      <c r="C540" s="12" t="inlineStr">
        <is>
          <t>4005900522016</t>
        </is>
      </c>
      <c r="D540" s="7" t="inlineStr">
        <is>
          <t>SAB.NIVEA HIDRAT.12X85G ORQ.</t>
        </is>
      </c>
      <c r="E540" s="13" t="n">
        <v>1</v>
      </c>
      <c r="F540" s="13" t="n">
        <v>1</v>
      </c>
      <c r="G540" s="13" t="n">
        <v>1</v>
      </c>
      <c r="H540" s="8" t="n">
        <v>2.77</v>
      </c>
      <c r="I540" s="8">
        <f>G540*H540</f>
        <v/>
      </c>
      <c r="J540" s="8">
        <f>H540/E540</f>
        <v/>
      </c>
      <c r="K540" s="8" t="n">
        <v>2.5367</v>
      </c>
      <c r="L540" s="8" t="n">
        <v>2.5367</v>
      </c>
      <c r="M540" s="14">
        <f>J540/K540-1</f>
        <v/>
      </c>
      <c r="N540" s="7" t="inlineStr">
        <is>
          <t>ACIMA +9.2%</t>
        </is>
      </c>
      <c r="O540" s="7" t="inlineStr"/>
    </row>
    <row r="541">
      <c r="A541" s="7" t="n">
        <v>549061</v>
      </c>
      <c r="B541" s="7" t="inlineStr"/>
      <c r="C541" s="12" t="inlineStr">
        <is>
          <t>7896512904621</t>
        </is>
      </c>
      <c r="D541" s="7" t="inlineStr">
        <is>
          <t>SABON.LIQ.GRANADO INF.TRAD.250ML</t>
        </is>
      </c>
      <c r="E541" s="13" t="n">
        <v>1</v>
      </c>
      <c r="F541" s="13" t="n">
        <v>7</v>
      </c>
      <c r="G541" s="13" t="n">
        <v>7</v>
      </c>
      <c r="H541" s="8" t="n">
        <v>22.65</v>
      </c>
      <c r="I541" s="8">
        <f>G541*H541</f>
        <v/>
      </c>
      <c r="J541" s="8">
        <f>H541/E541</f>
        <v/>
      </c>
      <c r="K541" s="8" t="n">
        <v>18.98</v>
      </c>
      <c r="L541" s="8" t="n">
        <v>16.72</v>
      </c>
      <c r="M541" s="14">
        <f>J541/K541-1</f>
        <v/>
      </c>
      <c r="N541" s="7" t="inlineStr">
        <is>
          <t>ACIMA +19.3%</t>
        </is>
      </c>
      <c r="O541" s="7" t="inlineStr"/>
    </row>
    <row r="542">
      <c r="A542" s="7" t="n">
        <v>538781</v>
      </c>
      <c r="B542" s="7" t="inlineStr"/>
      <c r="C542" s="12" t="inlineStr">
        <is>
          <t>7891150059849</t>
        </is>
      </c>
      <c r="D542" s="7" t="inlineStr">
        <is>
          <t>SABONETE BARRA BUQUE DE JASMIM LUX BOTANICALS ENVOLTÓRIO 85G</t>
        </is>
      </c>
      <c r="E542" s="13" t="n">
        <v>1</v>
      </c>
      <c r="F542" s="13" t="n">
        <v>8</v>
      </c>
      <c r="G542" s="13" t="n">
        <v>8</v>
      </c>
      <c r="H542" s="8" t="n">
        <v>2.52</v>
      </c>
      <c r="I542" s="8">
        <f>G542*H542</f>
        <v/>
      </c>
      <c r="J542" s="8">
        <f>H542/E542</f>
        <v/>
      </c>
      <c r="K542" s="8" t="n">
        <v>2.28</v>
      </c>
      <c r="L542" s="8" t="n">
        <v>2.28</v>
      </c>
      <c r="M542" s="14">
        <f>J542/K542-1</f>
        <v/>
      </c>
      <c r="N542" s="7" t="inlineStr">
        <is>
          <t>ACIMA +10.5%</t>
        </is>
      </c>
      <c r="O542" s="7" t="inlineStr"/>
    </row>
    <row r="543">
      <c r="A543" s="7" t="n">
        <v>537201</v>
      </c>
      <c r="B543" s="7" t="inlineStr"/>
      <c r="C543" s="12" t="inlineStr">
        <is>
          <t>7896512900043</t>
        </is>
      </c>
      <c r="D543" s="7" t="inlineStr">
        <is>
          <t>SABONETE BARRA ENXOFRE GRANADO CAIXA 90G</t>
        </is>
      </c>
      <c r="E543" s="13" t="n">
        <v>1</v>
      </c>
      <c r="F543" s="13" t="n">
        <v>71</v>
      </c>
      <c r="G543" s="13" t="n">
        <v>71</v>
      </c>
      <c r="H543" s="8" t="n">
        <v>8.41</v>
      </c>
      <c r="I543" s="8">
        <f>G543*H543</f>
        <v/>
      </c>
      <c r="J543" s="8">
        <f>H543/E543</f>
        <v/>
      </c>
      <c r="K543" s="8" t="n">
        <v>6.6661</v>
      </c>
      <c r="L543" s="8" t="n">
        <v>6.363</v>
      </c>
      <c r="M543" s="14">
        <f>J543/K543-1</f>
        <v/>
      </c>
      <c r="N543" s="7" t="inlineStr">
        <is>
          <t>ACIMA +26.2%</t>
        </is>
      </c>
      <c r="O543" s="7" t="inlineStr"/>
    </row>
    <row r="544">
      <c r="A544" s="7" t="n">
        <v>538761</v>
      </c>
      <c r="B544" s="7" t="inlineStr"/>
      <c r="C544" s="12" t="inlineStr">
        <is>
          <t>7891150059924</t>
        </is>
      </c>
      <c r="D544" s="7" t="inlineStr">
        <is>
          <t>SABONETE BARRA FLOR DE LÓTUS LUX BOTANICALS ENVOLTÓRIO 85G</t>
        </is>
      </c>
      <c r="E544" s="13" t="n">
        <v>1</v>
      </c>
      <c r="F544" s="13" t="n">
        <v>1</v>
      </c>
      <c r="G544" s="13" t="n">
        <v>1</v>
      </c>
      <c r="H544" s="8" t="n">
        <v>2.52</v>
      </c>
      <c r="I544" s="8">
        <f>G544*H544</f>
        <v/>
      </c>
      <c r="J544" s="8">
        <f>H544/E544</f>
        <v/>
      </c>
      <c r="K544" s="8" t="n">
        <v>1.8925</v>
      </c>
      <c r="L544" s="8" t="n">
        <v>1.8925</v>
      </c>
      <c r="M544" s="14">
        <f>J544/K544-1</f>
        <v/>
      </c>
      <c r="N544" s="7" t="inlineStr">
        <is>
          <t>ACIMA +33.2%</t>
        </is>
      </c>
      <c r="O544" s="7" t="inlineStr"/>
    </row>
    <row r="545">
      <c r="A545" s="7" t="n">
        <v>538801</v>
      </c>
      <c r="B545" s="7" t="inlineStr"/>
      <c r="C545" s="12" t="inlineStr">
        <is>
          <t>7891150059917</t>
        </is>
      </c>
      <c r="D545" s="7" t="inlineStr">
        <is>
          <t>SABONETE BARRA LIRIO AZUL LUX BOTANICALS ENVOLTÓRIO 85G</t>
        </is>
      </c>
      <c r="E545" s="13" t="n">
        <v>1</v>
      </c>
      <c r="F545" s="13" t="n">
        <v>3</v>
      </c>
      <c r="G545" s="13" t="n">
        <v>3</v>
      </c>
      <c r="H545" s="8" t="n">
        <v>2.52</v>
      </c>
      <c r="I545" s="8">
        <f>G545*H545</f>
        <v/>
      </c>
      <c r="J545" s="8">
        <f>H545/E545</f>
        <v/>
      </c>
      <c r="K545" s="8" t="n">
        <v>1.8925</v>
      </c>
      <c r="L545" s="8" t="n">
        <v>1.8925</v>
      </c>
      <c r="M545" s="14">
        <f>J545/K545-1</f>
        <v/>
      </c>
      <c r="N545" s="7" t="inlineStr">
        <is>
          <t>ACIMA +33.2%</t>
        </is>
      </c>
      <c r="O545" s="7" t="inlineStr"/>
    </row>
    <row r="546">
      <c r="A546" s="7" t="n">
        <v>552301</v>
      </c>
      <c r="B546" s="7" t="inlineStr"/>
      <c r="C546" s="12" t="inlineStr">
        <is>
          <t>7896512900111</t>
        </is>
      </c>
      <c r="D546" s="7" t="inlineStr">
        <is>
          <t>SABONETE BARRA SULFUROSO GRANADO CAIXA 90G</t>
        </is>
      </c>
      <c r="E546" s="13" t="n">
        <v>1</v>
      </c>
      <c r="F546" s="13" t="n">
        <v>10</v>
      </c>
      <c r="G546" s="13" t="n">
        <v>10</v>
      </c>
      <c r="H546" s="8" t="n">
        <v>8.41</v>
      </c>
      <c r="I546" s="8">
        <f>G546*H546</f>
        <v/>
      </c>
      <c r="J546" s="8">
        <f>H546/E546</f>
        <v/>
      </c>
      <c r="K546" s="8" t="n">
        <v>6.665</v>
      </c>
      <c r="L546" s="8" t="n">
        <v>6.4504</v>
      </c>
      <c r="M546" s="14">
        <f>J546/K546-1</f>
        <v/>
      </c>
      <c r="N546" s="7" t="inlineStr">
        <is>
          <t>ACIMA +26.2%</t>
        </is>
      </c>
      <c r="O546" s="7" t="inlineStr"/>
    </row>
    <row r="547">
      <c r="A547" s="7" t="n">
        <v>536801</v>
      </c>
      <c r="B547" s="7" t="inlineStr"/>
      <c r="C547" s="12" t="inlineStr">
        <is>
          <t>7896512909787</t>
        </is>
      </c>
      <c r="D547" s="7" t="inlineStr">
        <is>
          <t>SABONETE BARRA VEGETAL ODOR DE ROSAS PHEBO ENVOLTÓRIO 90G</t>
        </is>
      </c>
      <c r="E547" s="13" t="n">
        <v>1</v>
      </c>
      <c r="F547" s="13" t="n">
        <v>11</v>
      </c>
      <c r="G547" s="13" t="n">
        <v>11</v>
      </c>
      <c r="H547" s="8" t="n">
        <v>4.68</v>
      </c>
      <c r="I547" s="8">
        <f>G547*H547</f>
        <v/>
      </c>
      <c r="J547" s="8">
        <f>H547/E547</f>
        <v/>
      </c>
      <c r="K547" s="8" t="n">
        <v>4.6</v>
      </c>
      <c r="L547" s="8" t="n">
        <v>4.6</v>
      </c>
      <c r="M547" s="14">
        <f>J547/K547-1</f>
        <v/>
      </c>
      <c r="N547" s="7" t="inlineStr">
        <is>
          <t>ACIMA +1.7%</t>
        </is>
      </c>
      <c r="O547" s="7" t="inlineStr"/>
    </row>
    <row r="548">
      <c r="A548" s="7" t="n">
        <v>545341</v>
      </c>
      <c r="B548" s="7" t="inlineStr"/>
      <c r="C548" s="12" t="inlineStr">
        <is>
          <t>7896018700789</t>
        </is>
      </c>
      <c r="D548" s="7" t="inlineStr">
        <is>
          <t>SABONETE INFANTIL BARRA CHÁ DE CAMOMILA DISNEY BABY HUGGIES 75G</t>
        </is>
      </c>
      <c r="E548" s="13" t="n">
        <v>1</v>
      </c>
      <c r="F548" s="13" t="n">
        <v>4</v>
      </c>
      <c r="G548" s="13" t="n">
        <v>4</v>
      </c>
      <c r="H548" s="8" t="n">
        <v>4.55</v>
      </c>
      <c r="I548" s="8">
        <f>G548*H548</f>
        <v/>
      </c>
      <c r="J548" s="8">
        <f>H548/E548</f>
        <v/>
      </c>
      <c r="K548" s="8" t="n">
        <v>4.55</v>
      </c>
      <c r="L548" s="8" t="n">
        <v>4.55</v>
      </c>
      <c r="M548" s="14">
        <f>J548/K548-1</f>
        <v/>
      </c>
      <c r="N548" s="7" t="inlineStr">
        <is>
          <t>OK (≤ menor hist.)</t>
        </is>
      </c>
      <c r="O548" s="7" t="inlineStr"/>
    </row>
    <row r="549">
      <c r="A549" s="7" t="n">
        <v>540441</v>
      </c>
      <c r="B549" s="7" t="inlineStr"/>
      <c r="C549" s="12" t="inlineStr">
        <is>
          <t>7896018700338</t>
        </is>
      </c>
      <c r="D549" s="7" t="inlineStr">
        <is>
          <t>SABONETE LIQ HUGGIES EXTRA SUAVE 200ML</t>
        </is>
      </c>
      <c r="E549" s="13" t="n">
        <v>1</v>
      </c>
      <c r="F549" s="13" t="n">
        <v>1</v>
      </c>
      <c r="G549" s="13" t="n">
        <v>1</v>
      </c>
      <c r="H549" s="8" t="n">
        <v>15.73</v>
      </c>
      <c r="I549" s="8">
        <f>G549*H549</f>
        <v/>
      </c>
      <c r="J549" s="8">
        <f>H549/E549</f>
        <v/>
      </c>
      <c r="K549" s="8" t="n">
        <v>10.64</v>
      </c>
      <c r="L549" s="8" t="n">
        <v>10.64</v>
      </c>
      <c r="M549" s="14">
        <f>J549/K549-1</f>
        <v/>
      </c>
      <c r="N549" s="7" t="inlineStr">
        <is>
          <t>ACIMA +47.8%</t>
        </is>
      </c>
      <c r="O549" s="7" t="inlineStr"/>
    </row>
    <row r="550">
      <c r="A550" s="7" t="n">
        <v>535741</v>
      </c>
      <c r="B550" s="7" t="inlineStr"/>
      <c r="C550" s="12" t="inlineStr">
        <is>
          <t>7890704810516</t>
        </is>
      </c>
      <c r="D550" s="7" t="inlineStr">
        <is>
          <t>SABONETE LIQUIDO INTIMO NIVEA SUAVE FRASCO 250ML</t>
        </is>
      </c>
      <c r="E550" s="13" t="n">
        <v>1</v>
      </c>
      <c r="F550" s="13" t="n">
        <v>3</v>
      </c>
      <c r="G550" s="13" t="n">
        <v>3</v>
      </c>
      <c r="H550" s="8" t="n">
        <v>20.34</v>
      </c>
      <c r="I550" s="8">
        <f>G550*H550</f>
        <v/>
      </c>
      <c r="J550" s="8">
        <f>H550/E550</f>
        <v/>
      </c>
      <c r="K550" s="8" t="n">
        <v>17.7647</v>
      </c>
      <c r="L550" s="8" t="n">
        <v>16.0142</v>
      </c>
      <c r="M550" s="14">
        <f>J550/K550-1</f>
        <v/>
      </c>
      <c r="N550" s="7" t="inlineStr">
        <is>
          <t>ACIMA +14.5%</t>
        </is>
      </c>
      <c r="O550" s="7" t="inlineStr"/>
    </row>
    <row r="551">
      <c r="A551" s="7" t="n">
        <v>535581</v>
      </c>
      <c r="B551" s="7" t="inlineStr"/>
      <c r="C551" s="12" t="inlineStr">
        <is>
          <t>7891024115800</t>
        </is>
      </c>
      <c r="D551" s="7" t="inlineStr">
        <is>
          <t>SABONETE LIQUIDO PROTEX BALANCE SAUDAVEL FRASCO 250ML</t>
        </is>
      </c>
      <c r="E551" s="13" t="n">
        <v>1</v>
      </c>
      <c r="F551" s="13" t="n">
        <v>3</v>
      </c>
      <c r="G551" s="13" t="n">
        <v>3</v>
      </c>
      <c r="H551" s="8" t="n">
        <v>11.7</v>
      </c>
      <c r="I551" s="8">
        <f>G551*H551</f>
        <v/>
      </c>
      <c r="J551" s="8">
        <f>H551/E551</f>
        <v/>
      </c>
      <c r="K551" s="8" t="n">
        <v>7.6233</v>
      </c>
      <c r="L551" s="8" t="n">
        <v>7.0783</v>
      </c>
      <c r="M551" s="14">
        <f>J551/K551-1</f>
        <v/>
      </c>
      <c r="N551" s="7" t="inlineStr">
        <is>
          <t>ACIMA +53.5%</t>
        </is>
      </c>
      <c r="O551" s="7" t="inlineStr"/>
    </row>
    <row r="552">
      <c r="A552" s="7" t="n">
        <v>535621</v>
      </c>
      <c r="B552" s="7" t="inlineStr"/>
      <c r="C552" s="12" t="inlineStr">
        <is>
          <t>7891024115107</t>
        </is>
      </c>
      <c r="D552" s="7" t="inlineStr">
        <is>
          <t>SABONETE LIQUIDO PROTEX CREAM FRASCO 250ML</t>
        </is>
      </c>
      <c r="E552" s="13" t="n">
        <v>1</v>
      </c>
      <c r="F552" s="13" t="n">
        <v>6</v>
      </c>
      <c r="G552" s="13" t="n">
        <v>6</v>
      </c>
      <c r="H552" s="8" t="n">
        <v>11.7</v>
      </c>
      <c r="I552" s="8">
        <f>G552*H552</f>
        <v/>
      </c>
      <c r="J552" s="8">
        <f>H552/E552</f>
        <v/>
      </c>
      <c r="K552" s="8" t="n">
        <v>8.775</v>
      </c>
      <c r="L552" s="8" t="n">
        <v>7.0783</v>
      </c>
      <c r="M552" s="14">
        <f>J552/K552-1</f>
        <v/>
      </c>
      <c r="N552" s="7" t="inlineStr">
        <is>
          <t>ACIMA +33.3%</t>
        </is>
      </c>
      <c r="O552" s="7" t="inlineStr"/>
    </row>
    <row r="553">
      <c r="A553" s="7" t="n">
        <v>318421</v>
      </c>
      <c r="B553" s="7" t="inlineStr"/>
      <c r="C553" s="12" t="inlineStr">
        <is>
          <t>7896227800812</t>
        </is>
      </c>
      <c r="D553" s="7" t="inlineStr">
        <is>
          <t>SALONPAS 144,0+131,0+28,4MG  CX 2 UNID. ADES TAM GDE</t>
        </is>
      </c>
      <c r="E553" s="13" t="n">
        <v>1</v>
      </c>
      <c r="F553" s="13" t="n">
        <v>36</v>
      </c>
      <c r="G553" s="13" t="n">
        <v>36</v>
      </c>
      <c r="H553" s="8" t="n">
        <v>8.220000000000001</v>
      </c>
      <c r="I553" s="8">
        <f>G553*H553</f>
        <v/>
      </c>
      <c r="J553" s="8">
        <f>H553/E553</f>
        <v/>
      </c>
      <c r="K553" s="8" t="n">
        <v>8.029500000000001</v>
      </c>
      <c r="L553" s="8" t="n">
        <v>6.1254</v>
      </c>
      <c r="M553" s="14">
        <f>J553/K553-1</f>
        <v/>
      </c>
      <c r="N553" s="7" t="inlineStr">
        <is>
          <t>ACIMA +2.4%</t>
        </is>
      </c>
      <c r="O553" s="7" t="inlineStr">
        <is>
          <t>estoque parcial (32 un)</t>
        </is>
      </c>
    </row>
    <row r="554">
      <c r="A554" s="7" t="n">
        <v>318441</v>
      </c>
      <c r="B554" s="7" t="inlineStr"/>
      <c r="C554" s="12" t="inlineStr">
        <is>
          <t>7896227800829</t>
        </is>
      </c>
      <c r="D554" s="7" t="inlineStr">
        <is>
          <t>SALONPAS 144,0+131,0+28,4MG CX 4 UNID. ADES TAM GDE</t>
        </is>
      </c>
      <c r="E554" s="13" t="n">
        <v>1</v>
      </c>
      <c r="F554" s="13" t="n">
        <v>61</v>
      </c>
      <c r="G554" s="13" t="n">
        <v>61</v>
      </c>
      <c r="H554" s="8" t="n">
        <v>14.8</v>
      </c>
      <c r="I554" s="8">
        <f>G554*H554</f>
        <v/>
      </c>
      <c r="J554" s="8">
        <f>H554/E554</f>
        <v/>
      </c>
      <c r="K554" s="8" t="n">
        <v>15.3803</v>
      </c>
      <c r="L554" s="8" t="n">
        <v>11.0372</v>
      </c>
      <c r="M554" s="14">
        <f>J554/K554-1</f>
        <v/>
      </c>
      <c r="N554" s="7" t="inlineStr">
        <is>
          <t>OK (≤ últ. compra)</t>
        </is>
      </c>
      <c r="O554" s="7" t="inlineStr"/>
    </row>
    <row r="555">
      <c r="A555" s="7" t="n">
        <v>431321</v>
      </c>
      <c r="B555" s="7" t="inlineStr"/>
      <c r="C555" s="12" t="inlineStr">
        <is>
          <t>7896227800041</t>
        </is>
      </c>
      <c r="D555" s="7" t="inlineStr">
        <is>
          <t>SALONPAS 30+38,5+38,5+19MG/ML LATA COM 80ML</t>
        </is>
      </c>
      <c r="E555" s="13" t="n">
        <v>1</v>
      </c>
      <c r="F555" s="13" t="n">
        <v>1</v>
      </c>
      <c r="G555" s="13" t="n">
        <v>1</v>
      </c>
      <c r="H555" s="8" t="n">
        <v>43.68</v>
      </c>
      <c r="I555" s="8">
        <f>G555*H555</f>
        <v/>
      </c>
      <c r="J555" s="8">
        <f>H555/E555</f>
        <v/>
      </c>
      <c r="K555" s="8" t="n">
        <v>37.6733</v>
      </c>
      <c r="L555" s="8" t="n">
        <v>32.5533</v>
      </c>
      <c r="M555" s="14">
        <f>J555/K555-1</f>
        <v/>
      </c>
      <c r="N555" s="7" t="inlineStr">
        <is>
          <t>ACIMA +15.9%</t>
        </is>
      </c>
      <c r="O555" s="7" t="inlineStr"/>
    </row>
    <row r="556">
      <c r="A556" s="7" t="n">
        <v>318381</v>
      </c>
      <c r="B556" s="7" t="inlineStr"/>
      <c r="C556" s="12" t="inlineStr">
        <is>
          <t>7896227800805</t>
        </is>
      </c>
      <c r="D556" s="7" t="inlineStr">
        <is>
          <t>SALONPAS 36,0MG+33,0MG+7,1MG CX 10 UNID. ADES TAM PEQ</t>
        </is>
      </c>
      <c r="E556" s="13" t="n">
        <v>1</v>
      </c>
      <c r="F556" s="13" t="n">
        <v>32</v>
      </c>
      <c r="G556" s="13" t="n">
        <v>32</v>
      </c>
      <c r="H556" s="8" t="n">
        <v>9.279999999999999</v>
      </c>
      <c r="I556" s="8">
        <f>G556*H556</f>
        <v/>
      </c>
      <c r="J556" s="8">
        <f>H556/E556</f>
        <v/>
      </c>
      <c r="K556" s="8" t="n">
        <v>8.486000000000001</v>
      </c>
      <c r="L556" s="8" t="n">
        <v>6.9125</v>
      </c>
      <c r="M556" s="14">
        <f>J556/K556-1</f>
        <v/>
      </c>
      <c r="N556" s="7" t="inlineStr">
        <is>
          <t>ACIMA +9.4%</t>
        </is>
      </c>
      <c r="O556" s="7" t="inlineStr"/>
    </row>
    <row r="557">
      <c r="A557" s="7" t="n">
        <v>628621</v>
      </c>
      <c r="B557" s="7" t="inlineStr"/>
      <c r="C557" s="12" t="inlineStr">
        <is>
          <t>7891150075375</t>
        </is>
      </c>
      <c r="D557" s="7" t="inlineStr">
        <is>
          <t>SB LIQ DOVE 200ML RF CUIDA PROTEGE M3</t>
        </is>
      </c>
      <c r="E557" s="13" t="n">
        <v>1</v>
      </c>
      <c r="F557" s="13" t="n">
        <v>2</v>
      </c>
      <c r="G557" s="13" t="n">
        <v>2</v>
      </c>
      <c r="H557" s="8" t="n">
        <v>9.35</v>
      </c>
      <c r="I557" s="8">
        <f>G557*H557</f>
        <v/>
      </c>
      <c r="J557" s="8">
        <f>H557/E557</f>
        <v/>
      </c>
      <c r="K557" s="8" t="n">
        <v>8.31</v>
      </c>
      <c r="L557" s="8" t="n">
        <v>7.53</v>
      </c>
      <c r="M557" s="14">
        <f>J557/K557-1</f>
        <v/>
      </c>
      <c r="N557" s="7" t="inlineStr">
        <is>
          <t>ACIMA +12.5%</t>
        </is>
      </c>
      <c r="O557" s="7" t="inlineStr"/>
    </row>
    <row r="558">
      <c r="A558" s="7" t="n">
        <v>576081</v>
      </c>
      <c r="B558" s="7" t="inlineStr"/>
      <c r="C558" s="12" t="inlineStr">
        <is>
          <t>7891150075405</t>
        </is>
      </c>
      <c r="D558" s="7" t="inlineStr">
        <is>
          <t>SB LIQ DOVE 250ML CUIDA PROTEGE M3</t>
        </is>
      </c>
      <c r="E558" s="13" t="n">
        <v>1</v>
      </c>
      <c r="F558" s="13" t="n">
        <v>4</v>
      </c>
      <c r="G558" s="13" t="n">
        <v>4</v>
      </c>
      <c r="H558" s="8" t="n">
        <v>12.38</v>
      </c>
      <c r="I558" s="8">
        <f>G558*H558</f>
        <v/>
      </c>
      <c r="J558" s="8">
        <f>H558/E558</f>
        <v/>
      </c>
      <c r="K558" s="8" t="n">
        <v>11.685</v>
      </c>
      <c r="L558" s="8" t="n">
        <v>11.5333</v>
      </c>
      <c r="M558" s="14">
        <f>J558/K558-1</f>
        <v/>
      </c>
      <c r="N558" s="7" t="inlineStr">
        <is>
          <t>ACIMA +5.9%</t>
        </is>
      </c>
      <c r="O558" s="7" t="inlineStr"/>
    </row>
    <row r="559">
      <c r="A559" s="7" t="n">
        <v>575521</v>
      </c>
      <c r="B559" s="7" t="inlineStr"/>
      <c r="C559" s="12" t="inlineStr">
        <is>
          <t>7891150029293</t>
        </is>
      </c>
      <c r="D559" s="7" t="inlineStr">
        <is>
          <t>SB LIQ DOVE 250ML CUIDADO RECONFORTAN M3</t>
        </is>
      </c>
      <c r="E559" s="13" t="n">
        <v>1</v>
      </c>
      <c r="F559" s="13" t="n">
        <v>1</v>
      </c>
      <c r="G559" s="13" t="n">
        <v>1</v>
      </c>
      <c r="H559" s="8" t="n">
        <v>12.38</v>
      </c>
      <c r="I559" s="8">
        <f>G559*H559</f>
        <v/>
      </c>
      <c r="J559" s="8">
        <f>H559/E559</f>
        <v/>
      </c>
      <c r="K559" s="8" t="n">
        <v>12.6</v>
      </c>
      <c r="L559" s="8" t="n">
        <v>12.6</v>
      </c>
      <c r="M559" s="14">
        <f>J559/K559-1</f>
        <v/>
      </c>
      <c r="N559" s="7" t="inlineStr">
        <is>
          <t>OK (≤ menor hist.)</t>
        </is>
      </c>
      <c r="O559" s="7" t="inlineStr"/>
    </row>
    <row r="560">
      <c r="A560" s="7" t="n">
        <v>631681</v>
      </c>
      <c r="B560" s="7" t="inlineStr"/>
      <c r="C560" s="12" t="inlineStr">
        <is>
          <t>7891150063105</t>
        </is>
      </c>
      <c r="D560" s="7" t="inlineStr">
        <is>
          <t>SB LIQ DOVE 250ML NUTRICAO PROFUNDA</t>
        </is>
      </c>
      <c r="E560" s="13" t="n">
        <v>1</v>
      </c>
      <c r="F560" s="13" t="n">
        <v>2</v>
      </c>
      <c r="G560" s="13" t="n">
        <v>2</v>
      </c>
      <c r="H560" s="8" t="n">
        <v>12.03</v>
      </c>
      <c r="I560" s="8">
        <f>G560*H560</f>
        <v/>
      </c>
      <c r="J560" s="8">
        <f>H560/E560</f>
        <v/>
      </c>
      <c r="K560" s="8" t="n">
        <v>12.17</v>
      </c>
      <c r="L560" s="8" t="n">
        <v>10.7908</v>
      </c>
      <c r="M560" s="14">
        <f>J560/K560-1</f>
        <v/>
      </c>
      <c r="N560" s="7" t="inlineStr">
        <is>
          <t>OK (≤ últ. compra)</t>
        </is>
      </c>
      <c r="O560" s="7" t="inlineStr"/>
    </row>
    <row r="561">
      <c r="A561" s="7" t="n">
        <v>653871</v>
      </c>
      <c r="B561" s="7" t="inlineStr"/>
      <c r="C561" s="12" t="inlineStr">
        <is>
          <t>7891150095328</t>
        </is>
      </c>
      <c r="D561" s="7" t="inlineStr">
        <is>
          <t>SB LIQ LUX BOT 200ML REFIL GARD AMEND</t>
        </is>
      </c>
      <c r="E561" s="13" t="n">
        <v>1</v>
      </c>
      <c r="F561" s="13" t="n">
        <v>3</v>
      </c>
      <c r="G561" s="13" t="n">
        <v>3</v>
      </c>
      <c r="H561" s="8" t="n">
        <v>6.4</v>
      </c>
      <c r="I561" s="8">
        <f>G561*H561</f>
        <v/>
      </c>
      <c r="J561" s="8">
        <f>H561/E561</f>
        <v/>
      </c>
      <c r="K561" s="8" t="n">
        <v>5.94</v>
      </c>
      <c r="L561" s="8" t="n">
        <v>5.94</v>
      </c>
      <c r="M561" s="14">
        <f>J561/K561-1</f>
        <v/>
      </c>
      <c r="N561" s="7" t="inlineStr">
        <is>
          <t>ACIMA +7.7%</t>
        </is>
      </c>
      <c r="O561" s="7" t="inlineStr"/>
    </row>
    <row r="562">
      <c r="A562" s="7" t="n">
        <v>575781</v>
      </c>
      <c r="B562" s="7" t="inlineStr"/>
      <c r="C562" s="12" t="inlineStr">
        <is>
          <t>7891150060166</t>
        </is>
      </c>
      <c r="D562" s="7" t="inlineStr">
        <is>
          <t>SB LIQ LUX BOTANICALS 250ML BUQ DE JA M3</t>
        </is>
      </c>
      <c r="E562" s="13" t="n">
        <v>1</v>
      </c>
      <c r="F562" s="13" t="n">
        <v>6</v>
      </c>
      <c r="G562" s="13" t="n">
        <v>6</v>
      </c>
      <c r="H562" s="8" t="n">
        <v>8.58</v>
      </c>
      <c r="I562" s="8">
        <f>G562*H562</f>
        <v/>
      </c>
      <c r="J562" s="8">
        <f>H562/E562</f>
        <v/>
      </c>
      <c r="K562" s="8" t="n">
        <v>8.026</v>
      </c>
      <c r="L562" s="8" t="n">
        <v>7.67</v>
      </c>
      <c r="M562" s="14">
        <f>J562/K562-1</f>
        <v/>
      </c>
      <c r="N562" s="7" t="inlineStr">
        <is>
          <t>ACIMA +6.9%</t>
        </is>
      </c>
      <c r="O562" s="7" t="inlineStr"/>
    </row>
    <row r="563">
      <c r="A563" s="7" t="n">
        <v>636211</v>
      </c>
      <c r="B563" s="7" t="inlineStr"/>
      <c r="C563" s="12" t="inlineStr">
        <is>
          <t>7896512934536</t>
        </is>
      </c>
      <c r="D563" s="7" t="inlineStr">
        <is>
          <t>SB PHEBO 90G PATCHOULY M12</t>
        </is>
      </c>
      <c r="E563" s="13" t="n">
        <v>1</v>
      </c>
      <c r="F563" s="13" t="n">
        <v>2</v>
      </c>
      <c r="G563" s="13" t="n">
        <v>2</v>
      </c>
      <c r="H563" s="8" t="n">
        <v>4.68</v>
      </c>
      <c r="I563" s="8">
        <f>G563*H563</f>
        <v/>
      </c>
      <c r="J563" s="8">
        <f>H563/E563</f>
        <v/>
      </c>
      <c r="K563" s="8" t="n">
        <v>4.2117</v>
      </c>
      <c r="L563" s="8" t="n">
        <v>4.2117</v>
      </c>
      <c r="M563" s="14">
        <f>J563/K563-1</f>
        <v/>
      </c>
      <c r="N563" s="7" t="inlineStr">
        <is>
          <t>ACIMA +11.1%</t>
        </is>
      </c>
      <c r="O563" s="7" t="inlineStr"/>
    </row>
    <row r="564">
      <c r="A564" s="7" t="n">
        <v>540721</v>
      </c>
      <c r="B564" s="7" t="inlineStr"/>
      <c r="C564" s="12" t="inlineStr">
        <is>
          <t>7896512905420</t>
        </is>
      </c>
      <c r="D564" s="7" t="inlineStr">
        <is>
          <t>SBNT GRANADO GLICERINA 90G</t>
        </is>
      </c>
      <c r="E564" s="13" t="n">
        <v>1</v>
      </c>
      <c r="F564" s="13" t="n">
        <v>7</v>
      </c>
      <c r="G564" s="13" t="n">
        <v>7</v>
      </c>
      <c r="H564" s="8" t="n">
        <v>6.17</v>
      </c>
      <c r="I564" s="8">
        <f>G564*H564</f>
        <v/>
      </c>
      <c r="J564" s="8">
        <f>H564/E564</f>
        <v/>
      </c>
      <c r="K564" s="8" t="n">
        <v>4.95</v>
      </c>
      <c r="L564" s="8" t="n">
        <v>4.95</v>
      </c>
      <c r="M564" s="14">
        <f>J564/K564-1</f>
        <v/>
      </c>
      <c r="N564" s="7" t="inlineStr">
        <is>
          <t>ACIMA +24.6%</t>
        </is>
      </c>
      <c r="O564" s="7" t="inlineStr"/>
    </row>
    <row r="565">
      <c r="A565" s="7" t="n">
        <v>593601</v>
      </c>
      <c r="B565" s="7" t="inlineStr"/>
      <c r="C565" s="12" t="inlineStr">
        <is>
          <t>7891035000898</t>
        </is>
      </c>
      <c r="D565" s="7" t="inlineStr">
        <is>
          <t>SBP LOCAO REPEL INFANTIL BABY 12X100ML</t>
        </is>
      </c>
      <c r="E565" s="13" t="n">
        <v>1</v>
      </c>
      <c r="F565" s="13" t="n">
        <v>3</v>
      </c>
      <c r="G565" s="13" t="n">
        <v>3</v>
      </c>
      <c r="H565" s="8" t="n">
        <v>31.2032</v>
      </c>
      <c r="I565" s="8">
        <f>G565*H565</f>
        <v/>
      </c>
      <c r="J565" s="8">
        <f>H565/E565</f>
        <v/>
      </c>
      <c r="K565" s="8" t="n">
        <v>35.33</v>
      </c>
      <c r="L565" s="8" t="n">
        <v>35.33</v>
      </c>
      <c r="M565" s="14">
        <f>J565/K565-1</f>
        <v/>
      </c>
      <c r="N565" s="7" t="inlineStr">
        <is>
          <t>OK (≤ menor hist.)</t>
        </is>
      </c>
      <c r="O565" s="7" t="inlineStr"/>
    </row>
    <row r="566">
      <c r="A566" s="7" t="n">
        <v>648661</v>
      </c>
      <c r="B566" s="7" t="inlineStr"/>
      <c r="C566" s="12" t="inlineStr">
        <is>
          <t>7891150095618</t>
        </is>
      </c>
      <c r="D566" s="7" t="inlineStr">
        <is>
          <t>SDS DOVE 90G PELE SENSIVEL M3</t>
        </is>
      </c>
      <c r="E566" s="13" t="n">
        <v>1</v>
      </c>
      <c r="F566" s="13" t="n">
        <v>9</v>
      </c>
      <c r="G566" s="13" t="n">
        <v>9</v>
      </c>
      <c r="H566" s="8" t="n">
        <v>5.26</v>
      </c>
      <c r="I566" s="8">
        <f>G566*H566</f>
        <v/>
      </c>
      <c r="J566" s="8">
        <f>H566/E566</f>
        <v/>
      </c>
      <c r="K566" s="8" t="n">
        <v>5.0925</v>
      </c>
      <c r="L566" s="8" t="n">
        <v>4.5022</v>
      </c>
      <c r="M566" s="14">
        <f>J566/K566-1</f>
        <v/>
      </c>
      <c r="N566" s="7" t="inlineStr">
        <is>
          <t>ACIMA +3.3%</t>
        </is>
      </c>
      <c r="O566" s="7" t="inlineStr"/>
    </row>
    <row r="567">
      <c r="A567" s="7" t="n">
        <v>432381</v>
      </c>
      <c r="B567" s="7" t="inlineStr"/>
      <c r="C567" s="12" t="inlineStr">
        <is>
          <t>7896422505680</t>
        </is>
      </c>
      <c r="D567" s="7" t="inlineStr">
        <is>
          <t>SECNIDAZOL 1G CX 2 COMP</t>
        </is>
      </c>
      <c r="E567" s="13" t="n">
        <v>1</v>
      </c>
      <c r="F567" s="13" t="n">
        <v>9</v>
      </c>
      <c r="G567" s="13" t="n">
        <v>9</v>
      </c>
      <c r="H567" s="8" t="n">
        <v>9.875632</v>
      </c>
      <c r="I567" s="8">
        <f>G567*H567</f>
        <v/>
      </c>
      <c r="J567" s="8">
        <f>H567/E567</f>
        <v/>
      </c>
      <c r="K567" s="8" t="n">
        <v>4.054</v>
      </c>
      <c r="L567" s="8" t="n">
        <v>4.054</v>
      </c>
      <c r="M567" s="14">
        <f>J567/K567-1</f>
        <v/>
      </c>
      <c r="N567" s="7" t="inlineStr">
        <is>
          <t>ACIMA +143.6%</t>
        </is>
      </c>
      <c r="O567" s="7" t="inlineStr">
        <is>
          <t>conferir emb.</t>
        </is>
      </c>
    </row>
    <row r="568">
      <c r="A568" s="7" t="n">
        <v>660561</v>
      </c>
      <c r="B568" s="7" t="inlineStr"/>
      <c r="C568" s="12" t="inlineStr">
        <is>
          <t>7891150099821</t>
        </is>
      </c>
      <c r="D568" s="7" t="inlineStr">
        <is>
          <t>SEDA SERUM LUMINOSO UV 110ML</t>
        </is>
      </c>
      <c r="E568" s="13" t="n">
        <v>1</v>
      </c>
      <c r="F568" s="13" t="n">
        <v>1</v>
      </c>
      <c r="G568" s="13" t="n">
        <v>1</v>
      </c>
      <c r="H568" s="8" t="n">
        <v>19.16</v>
      </c>
      <c r="I568" s="8">
        <f>G568*H568</f>
        <v/>
      </c>
      <c r="J568" s="8">
        <f>H568/E568</f>
        <v/>
      </c>
      <c r="K568" s="8" t="n">
        <v>14.87</v>
      </c>
      <c r="L568" s="8" t="n">
        <v>14.87</v>
      </c>
      <c r="M568" s="14">
        <f>J568/K568-1</f>
        <v/>
      </c>
      <c r="N568" s="7" t="inlineStr">
        <is>
          <t>ACIMA +28.9%</t>
        </is>
      </c>
      <c r="O568" s="7" t="inlineStr"/>
    </row>
    <row r="569">
      <c r="A569" s="7" t="n">
        <v>662821</v>
      </c>
      <c r="B569" s="7" t="inlineStr"/>
      <c r="C569" s="12" t="inlineStr">
        <is>
          <t>7908785461555</t>
        </is>
      </c>
      <c r="D569" s="7" t="inlineStr">
        <is>
          <t>SERUM ELSEVE SONHOS 2025 100ML</t>
        </is>
      </c>
      <c r="E569" s="13" t="n">
        <v>1</v>
      </c>
      <c r="F569" s="13" t="n">
        <v>2</v>
      </c>
      <c r="G569" s="13" t="n">
        <v>2</v>
      </c>
      <c r="H569" s="8" t="n">
        <v>36.53</v>
      </c>
      <c r="I569" s="8">
        <f>G569*H569</f>
        <v/>
      </c>
      <c r="J569" s="8">
        <f>H569/E569</f>
        <v/>
      </c>
      <c r="K569" s="8" t="n">
        <v>33.72</v>
      </c>
      <c r="L569" s="8" t="n">
        <v>33.72</v>
      </c>
      <c r="M569" s="14">
        <f>J569/K569-1</f>
        <v/>
      </c>
      <c r="N569" s="7" t="inlineStr">
        <is>
          <t>ACIMA +8.3%</t>
        </is>
      </c>
      <c r="O569" s="7" t="inlineStr"/>
    </row>
    <row r="570">
      <c r="A570" s="7" t="n">
        <v>696101</v>
      </c>
      <c r="B570" s="7" t="inlineStr"/>
      <c r="C570" s="12" t="inlineStr">
        <is>
          <t>0609963220359</t>
        </is>
      </c>
      <c r="D570" s="7" t="inlineStr">
        <is>
          <t>SERUM VIT C 10%+FERULICO VC-10 - ANTIOXIDANTE 30ML</t>
        </is>
      </c>
      <c r="E570" s="13" t="n">
        <v>1</v>
      </c>
      <c r="F570" s="13" t="n">
        <v>1</v>
      </c>
      <c r="G570" s="13" t="n">
        <v>1</v>
      </c>
      <c r="H570" s="8" t="n">
        <v>57.52</v>
      </c>
      <c r="I570" s="8">
        <f>G570*H570</f>
        <v/>
      </c>
      <c r="J570" s="8">
        <f>H570/E570</f>
        <v/>
      </c>
      <c r="K570" s="8" t="n">
        <v>53.39</v>
      </c>
      <c r="L570" s="8" t="n">
        <v>53.39</v>
      </c>
      <c r="M570" s="14">
        <f>J570/K570-1</f>
        <v/>
      </c>
      <c r="N570" s="7" t="inlineStr">
        <is>
          <t>ACIMA +7.7%</t>
        </is>
      </c>
      <c r="O570" s="7" t="inlineStr"/>
    </row>
    <row r="571">
      <c r="A571" s="7" t="n">
        <v>582641</v>
      </c>
      <c r="B571" s="7" t="inlineStr"/>
      <c r="C571" s="12" t="inlineStr">
        <is>
          <t>7899026459960</t>
        </is>
      </c>
      <c r="D571" s="7" t="inlineStr">
        <is>
          <t>SH .ELSEVE REPARAC.TOTAL5 200ML</t>
        </is>
      </c>
      <c r="E571" s="13" t="n">
        <v>1</v>
      </c>
      <c r="F571" s="13" t="n">
        <v>2</v>
      </c>
      <c r="G571" s="13" t="n">
        <v>2</v>
      </c>
      <c r="H571" s="8" t="n">
        <v>14.37</v>
      </c>
      <c r="I571" s="8">
        <f>G571*H571</f>
        <v/>
      </c>
      <c r="J571" s="8">
        <f>H571/E571</f>
        <v/>
      </c>
      <c r="K571" s="8" t="n">
        <v>13.5</v>
      </c>
      <c r="L571" s="8" t="n">
        <v>11.0167</v>
      </c>
      <c r="M571" s="14">
        <f>J571/K571-1</f>
        <v/>
      </c>
      <c r="N571" s="7" t="inlineStr">
        <is>
          <t>ACIMA +6.4%</t>
        </is>
      </c>
      <c r="O571" s="7" t="inlineStr"/>
    </row>
    <row r="572">
      <c r="A572" s="7" t="n">
        <v>591831</v>
      </c>
      <c r="B572" s="7" t="inlineStr"/>
      <c r="C572" s="12" t="inlineStr">
        <is>
          <t>7891150081611</t>
        </is>
      </c>
      <c r="D572" s="7" t="inlineStr">
        <is>
          <t>SH ANT CAS CLEAR ANTICOC 200ML</t>
        </is>
      </c>
      <c r="E572" s="13" t="n">
        <v>1</v>
      </c>
      <c r="F572" s="13" t="n">
        <v>1</v>
      </c>
      <c r="G572" s="13" t="n">
        <v>1</v>
      </c>
      <c r="H572" s="8" t="n">
        <v>15.7</v>
      </c>
      <c r="I572" s="8">
        <f>G572*H572</f>
        <v/>
      </c>
      <c r="J572" s="8">
        <f>H572/E572</f>
        <v/>
      </c>
      <c r="K572" s="8" t="n">
        <v>10.15</v>
      </c>
      <c r="L572" s="8" t="n">
        <v>10.15</v>
      </c>
      <c r="M572" s="14">
        <f>J572/K572-1</f>
        <v/>
      </c>
      <c r="N572" s="7" t="inlineStr">
        <is>
          <t>ACIMA +54.7%</t>
        </is>
      </c>
      <c r="O572" s="7" t="inlineStr"/>
    </row>
    <row r="573">
      <c r="A573" s="7" t="n">
        <v>545941</v>
      </c>
      <c r="B573" s="7" t="inlineStr"/>
      <c r="C573" s="12" t="inlineStr">
        <is>
          <t>7891150019508</t>
        </is>
      </c>
      <c r="D573" s="7" t="inlineStr">
        <is>
          <t>SH ANT CAS CLEAR MEN SPORTS FRASCO 200ML</t>
        </is>
      </c>
      <c r="E573" s="13" t="n">
        <v>1</v>
      </c>
      <c r="F573" s="13" t="n">
        <v>3</v>
      </c>
      <c r="G573" s="13" t="n">
        <v>3</v>
      </c>
      <c r="H573" s="8" t="n">
        <v>15.7</v>
      </c>
      <c r="I573" s="8">
        <f>G573*H573</f>
        <v/>
      </c>
      <c r="J573" s="8">
        <f>H573/E573</f>
        <v/>
      </c>
      <c r="K573" s="8" t="n">
        <v>14.1067</v>
      </c>
      <c r="L573" s="8" t="n">
        <v>14.0525</v>
      </c>
      <c r="M573" s="14">
        <f>J573/K573-1</f>
        <v/>
      </c>
      <c r="N573" s="7" t="inlineStr">
        <is>
          <t>ACIMA +11.3%</t>
        </is>
      </c>
      <c r="O573" s="7" t="inlineStr"/>
    </row>
    <row r="574">
      <c r="A574" s="7" t="n">
        <v>551361</v>
      </c>
      <c r="B574" s="7" t="inlineStr"/>
      <c r="C574" s="12" t="inlineStr">
        <is>
          <t>7891150055698</t>
        </is>
      </c>
      <c r="D574" s="7" t="inlineStr">
        <is>
          <t>SH ANT CAS CLEAR SCALPFOODS DETOX DIÁRIO FRASCO 200ML</t>
        </is>
      </c>
      <c r="E574" s="13" t="n">
        <v>1</v>
      </c>
      <c r="F574" s="13" t="n">
        <v>1</v>
      </c>
      <c r="G574" s="13" t="n">
        <v>1</v>
      </c>
      <c r="H574" s="8" t="n">
        <v>15.7</v>
      </c>
      <c r="I574" s="8">
        <f>G574*H574</f>
        <v/>
      </c>
      <c r="J574" s="8">
        <f>H574/E574</f>
        <v/>
      </c>
      <c r="K574" s="8" t="n">
        <v>10.15</v>
      </c>
      <c r="L574" s="8" t="n">
        <v>10.15</v>
      </c>
      <c r="M574" s="14">
        <f>J574/K574-1</f>
        <v/>
      </c>
      <c r="N574" s="7" t="inlineStr">
        <is>
          <t>ACIMA +54.7%</t>
        </is>
      </c>
      <c r="O574" s="7" t="inlineStr"/>
    </row>
    <row r="575">
      <c r="A575" s="7" t="n">
        <v>546641</v>
      </c>
      <c r="B575" s="7" t="inlineStr"/>
      <c r="C575" s="12" t="inlineStr">
        <is>
          <t>7891150007406</t>
        </is>
      </c>
      <c r="D575" s="7" t="inlineStr">
        <is>
          <t>SH ANT CAS ICE COOL MENTHOL CLEAR MEN FRASCO 200ML</t>
        </is>
      </c>
      <c r="E575" s="13" t="n">
        <v>1</v>
      </c>
      <c r="F575" s="13" t="n">
        <v>2</v>
      </c>
      <c r="G575" s="13" t="n">
        <v>2</v>
      </c>
      <c r="H575" s="8" t="n">
        <v>15.7</v>
      </c>
      <c r="I575" s="8">
        <f>G575*H575</f>
        <v/>
      </c>
      <c r="J575" s="8">
        <f>H575/E575</f>
        <v/>
      </c>
      <c r="K575" s="8" t="n">
        <v>14.11</v>
      </c>
      <c r="L575" s="8" t="n">
        <v>14.11</v>
      </c>
      <c r="M575" s="14">
        <f>J575/K575-1</f>
        <v/>
      </c>
      <c r="N575" s="7" t="inlineStr">
        <is>
          <t>ACIMA +11.3%</t>
        </is>
      </c>
      <c r="O575" s="7" t="inlineStr"/>
    </row>
    <row r="576">
      <c r="A576" s="7" t="n">
        <v>591851</v>
      </c>
      <c r="B576" s="7" t="inlineStr"/>
      <c r="C576" s="12" t="inlineStr">
        <is>
          <t>7891150075276</t>
        </is>
      </c>
      <c r="D576" s="7" t="inlineStr">
        <is>
          <t>SH ANT CAS MEN C.B 200ML</t>
        </is>
      </c>
      <c r="E576" s="13" t="n">
        <v>1</v>
      </c>
      <c r="F576" s="13" t="n">
        <v>2</v>
      </c>
      <c r="G576" s="13" t="n">
        <v>2</v>
      </c>
      <c r="H576" s="8" t="n">
        <v>15.7</v>
      </c>
      <c r="I576" s="8">
        <f>G576*H576</f>
        <v/>
      </c>
      <c r="J576" s="8">
        <f>H576/E576</f>
        <v/>
      </c>
      <c r="K576" s="8" t="n">
        <v>14.85</v>
      </c>
      <c r="L576" s="8" t="n">
        <v>14.0525</v>
      </c>
      <c r="M576" s="14">
        <f>J576/K576-1</f>
        <v/>
      </c>
      <c r="N576" s="7" t="inlineStr">
        <is>
          <t>ACIMA +5.7%</t>
        </is>
      </c>
      <c r="O576" s="7" t="inlineStr"/>
    </row>
    <row r="577">
      <c r="A577" s="7" t="n">
        <v>672851</v>
      </c>
      <c r="B577" s="7" t="inlineStr"/>
      <c r="C577" s="12" t="inlineStr">
        <is>
          <t>7891150097643</t>
        </is>
      </c>
      <c r="D577" s="7" t="inlineStr">
        <is>
          <t>SH DOVE BOND 350ML+COND 150ML-DEMAIS PROD</t>
        </is>
      </c>
      <c r="E577" s="13" t="n">
        <v>1</v>
      </c>
      <c r="F577" s="13" t="n">
        <v>2</v>
      </c>
      <c r="G577" s="13" t="n">
        <v>2</v>
      </c>
      <c r="H577" s="8" t="n">
        <v>21.52</v>
      </c>
      <c r="I577" s="8">
        <f>G577*H577</f>
        <v/>
      </c>
      <c r="J577" s="8">
        <f>H577/E577</f>
        <v/>
      </c>
      <c r="K577" s="8" t="n">
        <v>32.18</v>
      </c>
      <c r="L577" s="8" t="n">
        <v>32.18</v>
      </c>
      <c r="M577" s="14">
        <f>J577/K577-1</f>
        <v/>
      </c>
      <c r="N577" s="7" t="inlineStr">
        <is>
          <t>OK (≤ menor hist.)</t>
        </is>
      </c>
      <c r="O577" s="7" t="inlineStr"/>
    </row>
    <row r="578">
      <c r="A578" s="7" t="n">
        <v>672151</v>
      </c>
      <c r="B578" s="7" t="inlineStr"/>
      <c r="C578" s="12" t="inlineStr">
        <is>
          <t>7908966528404</t>
        </is>
      </c>
      <c r="D578" s="7" t="inlineStr">
        <is>
          <t>SH ELSEVE COLAGENO 200ML-DEMAIS PROD</t>
        </is>
      </c>
      <c r="E578" s="13" t="n">
        <v>1</v>
      </c>
      <c r="F578" s="13" t="n">
        <v>2</v>
      </c>
      <c r="G578" s="13" t="n">
        <v>2</v>
      </c>
      <c r="H578" s="8" t="n">
        <v>14.37</v>
      </c>
      <c r="I578" s="8">
        <f>G578*H578</f>
        <v/>
      </c>
      <c r="J578" s="8">
        <f>H578/E578</f>
        <v/>
      </c>
      <c r="K578" s="8" t="n">
        <v>14.9</v>
      </c>
      <c r="L578" s="8" t="n">
        <v>12.96</v>
      </c>
      <c r="M578" s="14">
        <f>J578/K578-1</f>
        <v/>
      </c>
      <c r="N578" s="7" t="inlineStr">
        <is>
          <t>OK (≤ últ. compra)</t>
        </is>
      </c>
      <c r="O578" s="7" t="inlineStr"/>
    </row>
    <row r="579">
      <c r="A579" s="7" t="n">
        <v>656971</v>
      </c>
      <c r="B579" s="7" t="inlineStr"/>
      <c r="C579" s="12" t="inlineStr">
        <is>
          <t>7908785461753</t>
        </is>
      </c>
      <c r="D579" s="7" t="inlineStr">
        <is>
          <t>SH ELSEVE LISO SONHOS 2025 200ML-DEMAIS PROD</t>
        </is>
      </c>
      <c r="E579" s="13" t="n">
        <v>1</v>
      </c>
      <c r="F579" s="13" t="n">
        <v>10</v>
      </c>
      <c r="G579" s="13" t="n">
        <v>10</v>
      </c>
      <c r="H579" s="8" t="n">
        <v>14.37</v>
      </c>
      <c r="I579" s="8">
        <f>G579*H579</f>
        <v/>
      </c>
      <c r="J579" s="8">
        <f>H579/E579</f>
        <v/>
      </c>
      <c r="K579" s="8" t="n">
        <v>13.5</v>
      </c>
      <c r="L579" s="8" t="n">
        <v>10.7567</v>
      </c>
      <c r="M579" s="14">
        <f>J579/K579-1</f>
        <v/>
      </c>
      <c r="N579" s="7" t="inlineStr">
        <is>
          <t>ACIMA +6.4%</t>
        </is>
      </c>
      <c r="O579" s="7" t="inlineStr"/>
    </row>
    <row r="580">
      <c r="A580" s="7" t="n">
        <v>638551</v>
      </c>
      <c r="B580" s="7" t="inlineStr"/>
      <c r="C580" s="12" t="inlineStr">
        <is>
          <t>7896512973771</t>
        </is>
      </c>
      <c r="D580" s="7" t="inlineStr">
        <is>
          <t>SH INF GRANADO BEBE 250ML TRADIC-REF</t>
        </is>
      </c>
      <c r="E580" s="13" t="n">
        <v>1</v>
      </c>
      <c r="F580" s="13" t="n">
        <v>3</v>
      </c>
      <c r="G580" s="13" t="n">
        <v>3</v>
      </c>
      <c r="H580" s="8" t="n">
        <v>12.81</v>
      </c>
      <c r="I580" s="8">
        <f>G580*H580</f>
        <v/>
      </c>
      <c r="J580" s="8">
        <f>H580/E580</f>
        <v/>
      </c>
      <c r="K580" s="8" t="n">
        <v>11.5292</v>
      </c>
      <c r="L580" s="8" t="n">
        <v>11.5292</v>
      </c>
      <c r="M580" s="14">
        <f>J580/K580-1</f>
        <v/>
      </c>
      <c r="N580" s="7" t="inlineStr">
        <is>
          <t>ACIMA +11.1%</t>
        </is>
      </c>
      <c r="O580" s="7" t="inlineStr"/>
    </row>
    <row r="581">
      <c r="A581" s="7" t="n">
        <v>659421</v>
      </c>
      <c r="B581" s="7" t="inlineStr"/>
      <c r="C581" s="12" t="inlineStr">
        <is>
          <t>7891010256494</t>
        </is>
      </c>
      <c r="D581" s="7" t="inlineStr">
        <is>
          <t>SH INF JS BABY 180ML CHEIRINHO PROL -REF</t>
        </is>
      </c>
      <c r="E581" s="13" t="n">
        <v>1</v>
      </c>
      <c r="F581" s="13" t="n">
        <v>1</v>
      </c>
      <c r="G581" s="13" t="n">
        <v>1</v>
      </c>
      <c r="H581" s="8" t="n">
        <v>14.88</v>
      </c>
      <c r="I581" s="8">
        <f>G581*H581</f>
        <v/>
      </c>
      <c r="J581" s="8">
        <f>H581/E581</f>
        <v/>
      </c>
      <c r="K581" s="8" t="n">
        <v>13.44</v>
      </c>
      <c r="L581" s="8" t="n">
        <v>13.44</v>
      </c>
      <c r="M581" s="14">
        <f>J581/K581-1</f>
        <v/>
      </c>
      <c r="N581" s="7" t="inlineStr">
        <is>
          <t>ACIMA +10.7%</t>
        </is>
      </c>
      <c r="O581" s="7" t="inlineStr"/>
    </row>
    <row r="582">
      <c r="A582" s="7" t="n">
        <v>569401</v>
      </c>
      <c r="B582" s="7" t="inlineStr"/>
      <c r="C582" s="12" t="inlineStr">
        <is>
          <t>7891150037595</t>
        </is>
      </c>
      <c r="D582" s="7" t="inlineStr">
        <is>
          <t>SH SEDA CACHOS DEFINID.325ML</t>
        </is>
      </c>
      <c r="E582" s="13" t="n">
        <v>1</v>
      </c>
      <c r="F582" s="13" t="n">
        <v>1</v>
      </c>
      <c r="G582" s="13" t="n">
        <v>1</v>
      </c>
      <c r="H582" s="8" t="n">
        <v>10.52</v>
      </c>
      <c r="I582" s="8">
        <f>G582*H582</f>
        <v/>
      </c>
      <c r="J582" s="8">
        <f>H582/E582</f>
        <v/>
      </c>
      <c r="K582" s="8" t="n">
        <v>9.6333</v>
      </c>
      <c r="L582" s="8" t="n">
        <v>9.6333</v>
      </c>
      <c r="M582" s="14">
        <f>J582/K582-1</f>
        <v/>
      </c>
      <c r="N582" s="7" t="inlineStr">
        <is>
          <t>ACIMA +9.2%</t>
        </is>
      </c>
      <c r="O582" s="7" t="inlineStr"/>
    </row>
    <row r="583">
      <c r="A583" s="7" t="n">
        <v>590001</v>
      </c>
      <c r="B583" s="7" t="inlineStr"/>
      <c r="C583" s="12" t="inlineStr">
        <is>
          <t>7891150037397</t>
        </is>
      </c>
      <c r="D583" s="7" t="inlineStr">
        <is>
          <t>SH SEDA CERAMIDAS 325ML</t>
        </is>
      </c>
      <c r="E583" s="13" t="n">
        <v>1</v>
      </c>
      <c r="F583" s="13" t="n">
        <v>1</v>
      </c>
      <c r="G583" s="13" t="n">
        <v>1</v>
      </c>
      <c r="H583" s="8" t="n">
        <v>10.52</v>
      </c>
      <c r="I583" s="8">
        <f>G583*H583</f>
        <v/>
      </c>
      <c r="J583" s="8">
        <f>H583/E583</f>
        <v/>
      </c>
      <c r="K583" s="8" t="n">
        <v>9.6333</v>
      </c>
      <c r="L583" s="8" t="n">
        <v>9.255000000000001</v>
      </c>
      <c r="M583" s="14">
        <f>J583/K583-1</f>
        <v/>
      </c>
      <c r="N583" s="7" t="inlineStr">
        <is>
          <t>ACIMA +9.2%</t>
        </is>
      </c>
      <c r="O583" s="7" t="inlineStr"/>
    </row>
    <row r="584">
      <c r="A584" s="7" t="n">
        <v>569461</v>
      </c>
      <c r="B584" s="7" t="inlineStr"/>
      <c r="C584" s="12" t="inlineStr">
        <is>
          <t>7891150037519</t>
        </is>
      </c>
      <c r="D584" s="7" t="inlineStr">
        <is>
          <t>SH SEDA LISO PERFEITO 325ML</t>
        </is>
      </c>
      <c r="E584" s="13" t="n">
        <v>1</v>
      </c>
      <c r="F584" s="13" t="n">
        <v>5</v>
      </c>
      <c r="G584" s="13" t="n">
        <v>5</v>
      </c>
      <c r="H584" s="8" t="n">
        <v>10.52</v>
      </c>
      <c r="I584" s="8">
        <f>G584*H584</f>
        <v/>
      </c>
      <c r="J584" s="8">
        <f>H584/E584</f>
        <v/>
      </c>
      <c r="K584" s="8" t="n">
        <v>9.914199999999999</v>
      </c>
      <c r="L584" s="8" t="n">
        <v>9.914199999999999</v>
      </c>
      <c r="M584" s="14">
        <f>J584/K584-1</f>
        <v/>
      </c>
      <c r="N584" s="7" t="inlineStr">
        <is>
          <t>ACIMA +6.1%</t>
        </is>
      </c>
      <c r="O584" s="7" t="inlineStr"/>
    </row>
    <row r="585">
      <c r="A585" s="7" t="n">
        <v>569481</v>
      </c>
      <c r="B585" s="7" t="inlineStr"/>
      <c r="C585" s="12" t="inlineStr">
        <is>
          <t>7891150037526</t>
        </is>
      </c>
      <c r="D585" s="7" t="inlineStr">
        <is>
          <t>SH SEDA PRETOS LUMINOSOS 325M</t>
        </is>
      </c>
      <c r="E585" s="13" t="n">
        <v>1</v>
      </c>
      <c r="F585" s="13" t="n">
        <v>4</v>
      </c>
      <c r="G585" s="13" t="n">
        <v>4</v>
      </c>
      <c r="H585" s="8" t="n">
        <v>10.52</v>
      </c>
      <c r="I585" s="8">
        <f>G585*H585</f>
        <v/>
      </c>
      <c r="J585" s="8">
        <f>H585/E585</f>
        <v/>
      </c>
      <c r="K585" s="8" t="n">
        <v>9.255000000000001</v>
      </c>
      <c r="L585" s="8" t="n">
        <v>9.255000000000001</v>
      </c>
      <c r="M585" s="14">
        <f>J585/K585-1</f>
        <v/>
      </c>
      <c r="N585" s="7" t="inlineStr">
        <is>
          <t>ACIMA +13.7%</t>
        </is>
      </c>
      <c r="O585" s="7" t="inlineStr"/>
    </row>
    <row r="586">
      <c r="A586" s="7" t="n">
        <v>533621</v>
      </c>
      <c r="B586" s="7" t="inlineStr"/>
      <c r="C586" s="12" t="inlineStr">
        <is>
          <t>7891150019416</t>
        </is>
      </c>
      <c r="D586" s="7" t="inlineStr">
        <is>
          <t>SHAMPOO ANTICASPA CLEAR MEN SPORTS FRASCO 400ML</t>
        </is>
      </c>
      <c r="E586" s="13" t="n">
        <v>1</v>
      </c>
      <c r="F586" s="13" t="n">
        <v>3</v>
      </c>
      <c r="G586" s="13" t="n">
        <v>3</v>
      </c>
      <c r="H586" s="8" t="n">
        <v>26.73</v>
      </c>
      <c r="I586" s="8">
        <f>G586*H586</f>
        <v/>
      </c>
      <c r="J586" s="8">
        <f>H586/E586</f>
        <v/>
      </c>
      <c r="K586" s="8" t="n">
        <v>25.33</v>
      </c>
      <c r="L586" s="8" t="n">
        <v>22.438</v>
      </c>
      <c r="M586" s="14">
        <f>J586/K586-1</f>
        <v/>
      </c>
      <c r="N586" s="7" t="inlineStr">
        <is>
          <t>ACIMA +5.5%</t>
        </is>
      </c>
      <c r="O586" s="7" t="inlineStr"/>
    </row>
    <row r="587">
      <c r="A587" s="7" t="n">
        <v>551341</v>
      </c>
      <c r="B587" s="7" t="inlineStr"/>
      <c r="C587" s="12" t="inlineStr">
        <is>
          <t>7891150008151</t>
        </is>
      </c>
      <c r="D587" s="7" t="inlineStr">
        <is>
          <t>SHAMPOO ANTICASPA CLEAR WOMEN HIDRATAÇÃO INTENSA FRASCO 200ML</t>
        </is>
      </c>
      <c r="E587" s="13" t="n">
        <v>1</v>
      </c>
      <c r="F587" s="13" t="n">
        <v>2</v>
      </c>
      <c r="G587" s="13" t="n">
        <v>2</v>
      </c>
      <c r="H587" s="8" t="n">
        <v>15.7</v>
      </c>
      <c r="I587" s="8">
        <f>G587*H587</f>
        <v/>
      </c>
      <c r="J587" s="8">
        <f>H587/E587</f>
        <v/>
      </c>
      <c r="K587" s="8" t="n">
        <v>14.0517</v>
      </c>
      <c r="L587" s="8" t="n">
        <v>14.0517</v>
      </c>
      <c r="M587" s="14">
        <f>J587/K587-1</f>
        <v/>
      </c>
      <c r="N587" s="7" t="inlineStr">
        <is>
          <t>ACIMA +11.7%</t>
        </is>
      </c>
      <c r="O587" s="7" t="inlineStr"/>
    </row>
    <row r="588">
      <c r="A588" s="7" t="n">
        <v>669951</v>
      </c>
      <c r="B588" s="7" t="inlineStr"/>
      <c r="C588" s="12" t="inlineStr">
        <is>
          <t>7891150102507</t>
        </is>
      </c>
      <c r="D588" s="7" t="inlineStr">
        <is>
          <t>SHP DOVE HIDRAT HIALU VIT 190ML   UNIL %DN:15.00</t>
        </is>
      </c>
      <c r="E588" s="13" t="n">
        <v>1</v>
      </c>
      <c r="F588" s="13" t="n">
        <v>1</v>
      </c>
      <c r="G588" s="13" t="n">
        <v>1</v>
      </c>
      <c r="H588" s="8" t="n">
        <v>13.59</v>
      </c>
      <c r="I588" s="8">
        <f>G588*H588</f>
        <v/>
      </c>
      <c r="J588" s="8">
        <f>H588/E588</f>
        <v/>
      </c>
      <c r="K588" s="8" t="n">
        <v>11.55</v>
      </c>
      <c r="L588" s="8" t="n">
        <v>11.55</v>
      </c>
      <c r="M588" s="14">
        <f>J588/K588-1</f>
        <v/>
      </c>
      <c r="N588" s="7" t="inlineStr">
        <is>
          <t>ACIMA +17.7%</t>
        </is>
      </c>
      <c r="O588" s="7" t="inlineStr"/>
    </row>
    <row r="589">
      <c r="A589" s="7" t="n">
        <v>668541</v>
      </c>
      <c r="B589" s="7" t="inlineStr"/>
      <c r="C589" s="12" t="inlineStr">
        <is>
          <t>7891150102637</t>
        </is>
      </c>
      <c r="D589" s="7" t="inlineStr">
        <is>
          <t>SHP DOVE RECON AMINOACIDO 370ML</t>
        </is>
      </c>
      <c r="E589" s="13" t="n">
        <v>1</v>
      </c>
      <c r="F589" s="13" t="n">
        <v>1</v>
      </c>
      <c r="G589" s="13" t="n">
        <v>1</v>
      </c>
      <c r="H589" s="8" t="n">
        <v>21.41</v>
      </c>
      <c r="I589" s="8">
        <f>G589*H589</f>
        <v/>
      </c>
      <c r="J589" s="8">
        <f>H589/E589</f>
        <v/>
      </c>
      <c r="K589" s="8" t="n">
        <v>16.98</v>
      </c>
      <c r="L589" s="8" t="n">
        <v>16.98</v>
      </c>
      <c r="M589" s="14">
        <f>J589/K589-1</f>
        <v/>
      </c>
      <c r="N589" s="7" t="inlineStr">
        <is>
          <t>ACIMA +26.1%</t>
        </is>
      </c>
      <c r="O589" s="7" t="inlineStr"/>
    </row>
    <row r="590">
      <c r="A590" s="7" t="n">
        <v>668461</v>
      </c>
      <c r="B590" s="7" t="inlineStr"/>
      <c r="C590" s="12" t="inlineStr">
        <is>
          <t>7891150102729</t>
        </is>
      </c>
      <c r="D590" s="7" t="inlineStr">
        <is>
          <t>SHP DOVE UV REPAIR 370ML</t>
        </is>
      </c>
      <c r="E590" s="13" t="n">
        <v>1</v>
      </c>
      <c r="F590" s="13" t="n">
        <v>1</v>
      </c>
      <c r="G590" s="13" t="n">
        <v>1</v>
      </c>
      <c r="H590" s="8" t="n">
        <v>21.41</v>
      </c>
      <c r="I590" s="8">
        <f>G590*H590</f>
        <v/>
      </c>
      <c r="J590" s="8">
        <f>H590/E590</f>
        <v/>
      </c>
      <c r="K590" s="8" t="n">
        <v>16.97</v>
      </c>
      <c r="L590" s="8" t="n">
        <v>16.97</v>
      </c>
      <c r="M590" s="14">
        <f>J590/K590-1</f>
        <v/>
      </c>
      <c r="N590" s="7" t="inlineStr">
        <is>
          <t>ACIMA +26.2%</t>
        </is>
      </c>
      <c r="O590" s="7" t="inlineStr"/>
    </row>
    <row r="591">
      <c r="A591" s="7" t="n">
        <v>617121</v>
      </c>
      <c r="B591" s="7" t="inlineStr"/>
      <c r="C591" s="12" t="inlineStr">
        <is>
          <t>7896512959850</t>
        </is>
      </c>
      <c r="D591" s="7" t="inlineStr">
        <is>
          <t>SHP GRANADO BEBE CALENDULA 250ML</t>
        </is>
      </c>
      <c r="E591" s="13" t="n">
        <v>1</v>
      </c>
      <c r="F591" s="13" t="n">
        <v>1</v>
      </c>
      <c r="G591" s="13" t="n">
        <v>1</v>
      </c>
      <c r="H591" s="8" t="n">
        <v>15.4</v>
      </c>
      <c r="I591" s="8">
        <f>G591*H591</f>
        <v/>
      </c>
      <c r="J591" s="8">
        <f>H591/E591</f>
        <v/>
      </c>
      <c r="K591" s="8" t="n">
        <v>12.22</v>
      </c>
      <c r="L591" s="8" t="n">
        <v>12.22</v>
      </c>
      <c r="M591" s="14">
        <f>J591/K591-1</f>
        <v/>
      </c>
      <c r="N591" s="7" t="inlineStr">
        <is>
          <t>ACIMA +26.0%</t>
        </is>
      </c>
      <c r="O591" s="7" t="inlineStr"/>
    </row>
    <row r="592">
      <c r="A592" s="7" t="n">
        <v>567321</v>
      </c>
      <c r="B592" s="7" t="inlineStr"/>
      <c r="C592" s="12" t="inlineStr">
        <is>
          <t>7891010030889</t>
        </is>
      </c>
      <c r="D592" s="7" t="inlineStr">
        <is>
          <t>SHP J J BABY CAB CLAROS 200ML</t>
        </is>
      </c>
      <c r="E592" s="13" t="n">
        <v>1</v>
      </c>
      <c r="F592" s="13" t="n">
        <v>1</v>
      </c>
      <c r="G592" s="13" t="n">
        <v>1</v>
      </c>
      <c r="H592" s="8" t="n">
        <v>17.02</v>
      </c>
      <c r="I592" s="8">
        <f>G592*H592</f>
        <v/>
      </c>
      <c r="J592" s="8">
        <f>H592/E592</f>
        <v/>
      </c>
      <c r="K592" s="8" t="n">
        <v>17.8506</v>
      </c>
      <c r="L592" s="8" t="n">
        <v>17.8506</v>
      </c>
      <c r="M592" s="14">
        <f>J592/K592-1</f>
        <v/>
      </c>
      <c r="N592" s="7" t="inlineStr">
        <is>
          <t>OK (≤ menor hist.)</t>
        </is>
      </c>
      <c r="O592" s="7" t="inlineStr"/>
    </row>
    <row r="593">
      <c r="A593" s="7" t="n">
        <v>556721</v>
      </c>
      <c r="B593" s="7" t="inlineStr"/>
      <c r="C593" s="12" t="inlineStr">
        <is>
          <t>7891010030094</t>
        </is>
      </c>
      <c r="D593" s="7" t="inlineStr">
        <is>
          <t>SHP J J BABY REG 200ML</t>
        </is>
      </c>
      <c r="E593" s="13" t="n">
        <v>1</v>
      </c>
      <c r="F593" s="13" t="n">
        <v>4</v>
      </c>
      <c r="G593" s="13" t="n">
        <v>4</v>
      </c>
      <c r="H593" s="8" t="n">
        <v>17.02</v>
      </c>
      <c r="I593" s="8">
        <f>G593*H593</f>
        <v/>
      </c>
      <c r="J593" s="8">
        <f>H593/E593</f>
        <v/>
      </c>
      <c r="K593" s="8" t="n">
        <v>15.1533</v>
      </c>
      <c r="L593" s="8" t="n">
        <v>12.915</v>
      </c>
      <c r="M593" s="14">
        <f>J593/K593-1</f>
        <v/>
      </c>
      <c r="N593" s="7" t="inlineStr">
        <is>
          <t>ACIMA +12.3%</t>
        </is>
      </c>
      <c r="O593" s="7" t="inlineStr"/>
    </row>
    <row r="594">
      <c r="A594" s="7" t="n">
        <v>663321</v>
      </c>
      <c r="B594" s="7" t="inlineStr"/>
      <c r="C594" s="12" t="inlineStr">
        <is>
          <t>7891150099845</t>
        </is>
      </c>
      <c r="D594" s="7" t="inlineStr">
        <is>
          <t>SHP SEDA LUMINOSO UV 300ML   UNIL %DN:10.00</t>
        </is>
      </c>
      <c r="E594" s="13" t="n">
        <v>1</v>
      </c>
      <c r="F594" s="13" t="n">
        <v>1</v>
      </c>
      <c r="G594" s="13" t="n">
        <v>1</v>
      </c>
      <c r="H594" s="8" t="n">
        <v>10.52</v>
      </c>
      <c r="I594" s="8">
        <f>G594*H594</f>
        <v/>
      </c>
      <c r="J594" s="8">
        <f>H594/E594</f>
        <v/>
      </c>
      <c r="K594" s="8" t="n">
        <v>10.14</v>
      </c>
      <c r="L594" s="8" t="n">
        <v>10.14</v>
      </c>
      <c r="M594" s="14">
        <f>J594/K594-1</f>
        <v/>
      </c>
      <c r="N594" s="7" t="inlineStr">
        <is>
          <t>ACIMA +3.7%</t>
        </is>
      </c>
      <c r="O594" s="7" t="inlineStr"/>
    </row>
    <row r="595">
      <c r="A595" s="7" t="n">
        <v>660581</v>
      </c>
      <c r="B595" s="7" t="inlineStr"/>
      <c r="C595" s="12" t="inlineStr">
        <is>
          <t>7891150101616</t>
        </is>
      </c>
      <c r="D595" s="7" t="inlineStr">
        <is>
          <t>SHP SEDA TOQUE DE SEDA 300ML</t>
        </is>
      </c>
      <c r="E595" s="13" t="n">
        <v>1</v>
      </c>
      <c r="F595" s="13" t="n">
        <v>1</v>
      </c>
      <c r="G595" s="13" t="n">
        <v>1</v>
      </c>
      <c r="H595" s="8" t="n">
        <v>10.52</v>
      </c>
      <c r="I595" s="8">
        <f>G595*H595</f>
        <v/>
      </c>
      <c r="J595" s="8">
        <f>H595/E595</f>
        <v/>
      </c>
      <c r="K595" s="8" t="n">
        <v>9.255000000000001</v>
      </c>
      <c r="L595" s="8" t="n">
        <v>9.255000000000001</v>
      </c>
      <c r="M595" s="14">
        <f>J595/K595-1</f>
        <v/>
      </c>
      <c r="N595" s="7" t="inlineStr">
        <is>
          <t>ACIMA +13.7%</t>
        </is>
      </c>
      <c r="O595" s="7" t="inlineStr"/>
    </row>
    <row r="596">
      <c r="A596" s="7" t="n">
        <v>660591</v>
      </c>
      <c r="B596" s="7" t="inlineStr"/>
      <c r="C596" s="12" t="inlineStr">
        <is>
          <t>7891150100312</t>
        </is>
      </c>
      <c r="D596" s="7" t="inlineStr">
        <is>
          <t>SHP TRESEMME BLIND ANTIUMIDADE 650ML</t>
        </is>
      </c>
      <c r="E596" s="13" t="n">
        <v>1</v>
      </c>
      <c r="F596" s="13" t="n">
        <v>1</v>
      </c>
      <c r="G596" s="13" t="n">
        <v>1</v>
      </c>
      <c r="H596" s="8" t="n">
        <v>32.05</v>
      </c>
      <c r="I596" s="8">
        <f>G596*H596</f>
        <v/>
      </c>
      <c r="J596" s="8">
        <f>H596/E596</f>
        <v/>
      </c>
      <c r="K596" s="8" t="n">
        <v>23.88</v>
      </c>
      <c r="L596" s="8" t="n">
        <v>23.88</v>
      </c>
      <c r="M596" s="14">
        <f>J596/K596-1</f>
        <v/>
      </c>
      <c r="N596" s="7" t="inlineStr">
        <is>
          <t>ACIMA +34.2%</t>
        </is>
      </c>
      <c r="O596" s="7" t="inlineStr"/>
    </row>
    <row r="597">
      <c r="A597" s="7" t="n">
        <v>635261</v>
      </c>
      <c r="B597" s="7" t="inlineStr"/>
      <c r="C597" s="12" t="inlineStr">
        <is>
          <t>7891033535026</t>
        </is>
      </c>
      <c r="D597" s="7" t="inlineStr">
        <is>
          <t>SIAGE SH ACELERA CRESCIMENTO 250ML</t>
        </is>
      </c>
      <c r="E597" s="13" t="n">
        <v>1</v>
      </c>
      <c r="F597" s="13" t="n">
        <v>1</v>
      </c>
      <c r="G597" s="13" t="n">
        <v>1</v>
      </c>
      <c r="H597" s="8" t="n">
        <v>40.7</v>
      </c>
      <c r="I597" s="8">
        <f>G597*H597</f>
        <v/>
      </c>
      <c r="J597" s="8">
        <f>H597/E597</f>
        <v/>
      </c>
      <c r="K597" s="8" t="n">
        <v>42.58</v>
      </c>
      <c r="L597" s="8" t="n">
        <v>42.58</v>
      </c>
      <c r="M597" s="14">
        <f>J597/K597-1</f>
        <v/>
      </c>
      <c r="N597" s="7" t="inlineStr">
        <is>
          <t>OK (≤ menor hist.)</t>
        </is>
      </c>
      <c r="O597" s="7" t="inlineStr"/>
    </row>
    <row r="598">
      <c r="A598" s="7" t="n">
        <v>634941</v>
      </c>
      <c r="B598" s="7" t="inlineStr"/>
      <c r="C598" s="12" t="inlineStr">
        <is>
          <t>7891033530946</t>
        </is>
      </c>
      <c r="D598" s="7" t="inlineStr">
        <is>
          <t>SIAGE SH PRO CRONOLOGY 250ML</t>
        </is>
      </c>
      <c r="E598" s="13" t="n">
        <v>1</v>
      </c>
      <c r="F598" s="13" t="n">
        <v>1</v>
      </c>
      <c r="G598" s="13" t="n">
        <v>1</v>
      </c>
      <c r="H598" s="8" t="n">
        <v>40.7</v>
      </c>
      <c r="I598" s="8">
        <f>G598*H598</f>
        <v/>
      </c>
      <c r="J598" s="8">
        <f>H598/E598</f>
        <v/>
      </c>
      <c r="K598" s="8" t="n">
        <v>38.32</v>
      </c>
      <c r="L598" s="8" t="n">
        <v>38.32</v>
      </c>
      <c r="M598" s="14">
        <f>J598/K598-1</f>
        <v/>
      </c>
      <c r="N598" s="7" t="inlineStr">
        <is>
          <t>ACIMA +6.2%</t>
        </is>
      </c>
      <c r="O598" s="7" t="inlineStr"/>
    </row>
    <row r="599">
      <c r="A599" s="7" t="n">
        <v>434001</v>
      </c>
      <c r="B599" s="7" t="inlineStr"/>
      <c r="C599" s="12" t="inlineStr">
        <is>
          <t>7897460401743</t>
        </is>
      </c>
      <c r="D599" s="7" t="inlineStr">
        <is>
          <t>SILIMALON 140 140+100MG CX 30 COMP REV</t>
        </is>
      </c>
      <c r="E599" s="13" t="n">
        <v>1</v>
      </c>
      <c r="F599" s="13" t="n">
        <v>3</v>
      </c>
      <c r="G599" s="13" t="n">
        <v>3</v>
      </c>
      <c r="H599" s="8" t="n">
        <v>89.982</v>
      </c>
      <c r="I599" s="8">
        <f>G599*H599</f>
        <v/>
      </c>
      <c r="J599" s="8">
        <f>H599/E599</f>
        <v/>
      </c>
      <c r="K599" s="8" t="n">
        <v>92.47</v>
      </c>
      <c r="L599" s="8" t="n">
        <v>84.03</v>
      </c>
      <c r="M599" s="14">
        <f>J599/K599-1</f>
        <v/>
      </c>
      <c r="N599" s="7" t="inlineStr">
        <is>
          <t>OK (≤ últ. compra)</t>
        </is>
      </c>
      <c r="O599" s="7" t="inlineStr"/>
    </row>
    <row r="600">
      <c r="A600" s="7" t="n">
        <v>433961</v>
      </c>
      <c r="B600" s="7" t="inlineStr"/>
      <c r="C600" s="12" t="inlineStr">
        <is>
          <t>7897460401750</t>
        </is>
      </c>
      <c r="D600" s="7" t="inlineStr">
        <is>
          <t>SILIMALON 140 140+100MG CX 60 COMP REV</t>
        </is>
      </c>
      <c r="E600" s="13" t="n">
        <v>1</v>
      </c>
      <c r="F600" s="13" t="n">
        <v>1</v>
      </c>
      <c r="G600" s="13" t="n">
        <v>1</v>
      </c>
      <c r="H600" s="8" t="n">
        <v>137.556</v>
      </c>
      <c r="I600" s="8">
        <f>G600*H600</f>
        <v/>
      </c>
      <c r="J600" s="8">
        <f>H600/E600</f>
        <v/>
      </c>
      <c r="K600" s="8" t="n">
        <v>128.47</v>
      </c>
      <c r="L600" s="8" t="n">
        <v>128.47</v>
      </c>
      <c r="M600" s="14">
        <f>J600/K600-1</f>
        <v/>
      </c>
      <c r="N600" s="7" t="inlineStr">
        <is>
          <t>ACIMA +7.1%</t>
        </is>
      </c>
      <c r="O600" s="7" t="inlineStr"/>
    </row>
    <row r="601">
      <c r="A601" s="7" t="n">
        <v>626961</v>
      </c>
      <c r="B601" s="7" t="inlineStr"/>
      <c r="C601" s="12" t="inlineStr">
        <is>
          <t>7896422520669</t>
        </is>
      </c>
      <c r="D601" s="7" t="inlineStr">
        <is>
          <t>SIMETICONA (N.S) 125MG CX 10 CAP</t>
        </is>
      </c>
      <c r="E601" s="13" t="n">
        <v>1</v>
      </c>
      <c r="F601" s="13" t="n">
        <v>7</v>
      </c>
      <c r="G601" s="13" t="n">
        <v>7</v>
      </c>
      <c r="H601" s="8" t="n">
        <v>9.103100000000001</v>
      </c>
      <c r="I601" s="8">
        <f>G601*H601</f>
        <v/>
      </c>
      <c r="J601" s="8">
        <f>H601/E601</f>
        <v/>
      </c>
      <c r="K601" s="8" t="n">
        <v>3.2333</v>
      </c>
      <c r="L601" s="8" t="n">
        <v>2.5302</v>
      </c>
      <c r="M601" s="14">
        <f>J601/K601-1</f>
        <v/>
      </c>
      <c r="N601" s="7" t="inlineStr">
        <is>
          <t>ACIMA +181.5%</t>
        </is>
      </c>
      <c r="O601" s="7" t="inlineStr">
        <is>
          <t>conferir emb.</t>
        </is>
      </c>
    </row>
    <row r="602">
      <c r="A602" s="7" t="n">
        <v>643171</v>
      </c>
      <c r="B602" s="7" t="inlineStr"/>
      <c r="C602" s="12" t="inlineStr">
        <is>
          <t>7896422522823</t>
        </is>
      </c>
      <c r="D602" s="7" t="inlineStr">
        <is>
          <t>SIMETICONA (N.S) 40MG CX 20 COMP</t>
        </is>
      </c>
      <c r="E602" s="13" t="n">
        <v>1</v>
      </c>
      <c r="F602" s="13" t="n">
        <v>31</v>
      </c>
      <c r="G602" s="13" t="n">
        <v>31</v>
      </c>
      <c r="H602" s="8" t="n">
        <v>6.177599999999999</v>
      </c>
      <c r="I602" s="8">
        <f>G602*H602</f>
        <v/>
      </c>
      <c r="J602" s="8">
        <f>H602/E602</f>
        <v/>
      </c>
      <c r="K602" s="8" t="n">
        <v>2.9995</v>
      </c>
      <c r="L602" s="8" t="n">
        <v>2.9995</v>
      </c>
      <c r="M602" s="14">
        <f>J602/K602-1</f>
        <v/>
      </c>
      <c r="N602" s="7" t="inlineStr">
        <is>
          <t>ACIMA +106.0%</t>
        </is>
      </c>
      <c r="O602" s="7" t="inlineStr">
        <is>
          <t>conferir emb.</t>
        </is>
      </c>
    </row>
    <row r="603">
      <c r="A603" s="7" t="n">
        <v>638851</v>
      </c>
      <c r="B603" s="7" t="inlineStr"/>
      <c r="C603" s="12" t="inlineStr">
        <is>
          <t>7896422504744</t>
        </is>
      </c>
      <c r="D603" s="7" t="inlineStr">
        <is>
          <t>SIMETICONA (N.S) 75MG/ML EMU FR GOT 15ML</t>
        </is>
      </c>
      <c r="E603" s="13" t="n">
        <v>1</v>
      </c>
      <c r="F603" s="13" t="n">
        <v>10</v>
      </c>
      <c r="G603" s="13" t="n">
        <v>10</v>
      </c>
      <c r="H603" s="8" t="n">
        <v>7.3834</v>
      </c>
      <c r="I603" s="8">
        <f>G603*H603</f>
        <v/>
      </c>
      <c r="J603" s="8">
        <f>H603/E603</f>
        <v/>
      </c>
      <c r="K603" s="8" t="n">
        <v>2.5777</v>
      </c>
      <c r="L603" s="8" t="n">
        <v>2.5777</v>
      </c>
      <c r="M603" s="14">
        <f>J603/K603-1</f>
        <v/>
      </c>
      <c r="N603" s="7" t="inlineStr">
        <is>
          <t>ACIMA +186.4%</t>
        </is>
      </c>
      <c r="O603" s="7" t="inlineStr">
        <is>
          <t>conferir emb.</t>
        </is>
      </c>
    </row>
    <row r="604">
      <c r="A604" s="7" t="n">
        <v>555741</v>
      </c>
      <c r="B604" s="7" t="inlineStr"/>
      <c r="C604" s="12" t="inlineStr">
        <is>
          <t>7896523226675</t>
        </is>
      </c>
      <c r="D604" s="7" t="inlineStr">
        <is>
          <t>SIMETICONA 125MG CAPS MOLE 1 BL X 10</t>
        </is>
      </c>
      <c r="E604" s="13" t="n">
        <v>1</v>
      </c>
      <c r="F604" s="13" t="n">
        <v>63</v>
      </c>
      <c r="G604" s="13" t="n">
        <v>63</v>
      </c>
      <c r="H604" s="8" t="n">
        <v>14.12</v>
      </c>
      <c r="I604" s="8">
        <f>G604*H604</f>
        <v/>
      </c>
      <c r="J604" s="8">
        <f>H604/E604</f>
        <v/>
      </c>
      <c r="K604" s="8" t="n">
        <v>2.32</v>
      </c>
      <c r="L604" s="8" t="n">
        <v>2.23</v>
      </c>
      <c r="M604" s="14">
        <f>J604/K604-1</f>
        <v/>
      </c>
      <c r="N604" s="7" t="inlineStr">
        <is>
          <t>ACIMA +508.6%</t>
        </is>
      </c>
      <c r="O604" s="7" t="inlineStr">
        <is>
          <t>conferir emb.</t>
        </is>
      </c>
    </row>
    <row r="605">
      <c r="A605" s="7" t="n">
        <v>555501</v>
      </c>
      <c r="B605" s="7" t="inlineStr"/>
      <c r="C605" s="12" t="inlineStr">
        <is>
          <t>7896523212319</t>
        </is>
      </c>
      <c r="D605" s="7" t="inlineStr">
        <is>
          <t>SIMETICONA 75MG/ML EMU OR FR 15ML</t>
        </is>
      </c>
      <c r="E605" s="13" t="n">
        <v>1</v>
      </c>
      <c r="F605" s="13" t="n">
        <v>40</v>
      </c>
      <c r="G605" s="13" t="n">
        <v>40</v>
      </c>
      <c r="H605" s="8" t="n">
        <v>10.41</v>
      </c>
      <c r="I605" s="8">
        <f>G605*H605</f>
        <v/>
      </c>
      <c r="J605" s="8">
        <f>H605/E605</f>
        <v/>
      </c>
      <c r="K605" s="8" t="n">
        <v>2.09</v>
      </c>
      <c r="L605" s="8" t="n">
        <v>1.82</v>
      </c>
      <c r="M605" s="14">
        <f>J605/K605-1</f>
        <v/>
      </c>
      <c r="N605" s="7" t="inlineStr">
        <is>
          <t>ACIMA +398.1%</t>
        </is>
      </c>
      <c r="O605" s="7" t="inlineStr">
        <is>
          <t>conferir emb.</t>
        </is>
      </c>
    </row>
    <row r="606">
      <c r="A606" s="7" t="n">
        <v>435741</v>
      </c>
      <c r="B606" s="7" t="inlineStr"/>
      <c r="C606" s="12" t="inlineStr">
        <is>
          <t>7896523215235</t>
        </is>
      </c>
      <c r="D606" s="7" t="inlineStr">
        <is>
          <t>SINVASTATINA 20MG CX 30 COMP REV</t>
        </is>
      </c>
      <c r="E606" s="13" t="n">
        <v>1</v>
      </c>
      <c r="F606" s="13" t="n">
        <v>26</v>
      </c>
      <c r="G606" s="13" t="n">
        <v>26</v>
      </c>
      <c r="H606" s="8" t="n">
        <v>12.67</v>
      </c>
      <c r="I606" s="8">
        <f>G606*H606</f>
        <v/>
      </c>
      <c r="J606" s="8">
        <f>H606/E606</f>
        <v/>
      </c>
      <c r="K606" s="8" t="n">
        <v>2.65</v>
      </c>
      <c r="L606" s="8" t="n">
        <v>2.55</v>
      </c>
      <c r="M606" s="14">
        <f>J606/K606-1</f>
        <v/>
      </c>
      <c r="N606" s="7" t="inlineStr">
        <is>
          <t>ACIMA +378.1%</t>
        </is>
      </c>
      <c r="O606" s="7" t="inlineStr">
        <is>
          <t>conferir emb.</t>
        </is>
      </c>
    </row>
    <row r="607">
      <c r="A607" s="7" t="n">
        <v>435701</v>
      </c>
      <c r="B607" s="7" t="inlineStr"/>
      <c r="C607" s="12" t="inlineStr">
        <is>
          <t>7896523215273</t>
        </is>
      </c>
      <c r="D607" s="7" t="inlineStr">
        <is>
          <t>SINVASTATINA 40MG CX 30 COMP REV</t>
        </is>
      </c>
      <c r="E607" s="13" t="n">
        <v>1</v>
      </c>
      <c r="F607" s="13" t="n">
        <v>24</v>
      </c>
      <c r="G607" s="13" t="n">
        <v>24</v>
      </c>
      <c r="H607" s="8" t="n">
        <v>18.37</v>
      </c>
      <c r="I607" s="8">
        <f>G607*H607</f>
        <v/>
      </c>
      <c r="J607" s="8">
        <f>H607/E607</f>
        <v/>
      </c>
      <c r="K607" s="8" t="n">
        <v>5.09</v>
      </c>
      <c r="L607" s="8" t="n">
        <v>4.8</v>
      </c>
      <c r="M607" s="14">
        <f>J607/K607-1</f>
        <v/>
      </c>
      <c r="N607" s="7" t="inlineStr">
        <is>
          <t>ACIMA +260.9%</t>
        </is>
      </c>
      <c r="O607" s="7" t="inlineStr">
        <is>
          <t>conferir emb.</t>
        </is>
      </c>
    </row>
    <row r="608">
      <c r="A608" s="7" t="n">
        <v>529941</v>
      </c>
      <c r="B608" s="7" t="inlineStr"/>
      <c r="C608" s="12" t="inlineStr">
        <is>
          <t>7908134200552</t>
        </is>
      </c>
      <c r="D608" s="7" t="inlineStr">
        <is>
          <t>SLINDA 4MG (CAIXA C/ 3 CARTELAS) C/28 COMP REV</t>
        </is>
      </c>
      <c r="E608" s="13" t="n">
        <v>1</v>
      </c>
      <c r="F608" s="13" t="n">
        <v>2</v>
      </c>
      <c r="G608" s="13" t="n">
        <v>2</v>
      </c>
      <c r="H608" s="8" t="n">
        <v>219.2827</v>
      </c>
      <c r="I608" s="8">
        <f>G608*H608</f>
        <v/>
      </c>
      <c r="J608" s="8">
        <f>H608/E608</f>
        <v/>
      </c>
      <c r="K608" s="8" t="n">
        <v>226.51</v>
      </c>
      <c r="L608" s="8" t="n">
        <v>67.41330000000001</v>
      </c>
      <c r="M608" s="14">
        <f>J608/K608-1</f>
        <v/>
      </c>
      <c r="N608" s="7" t="inlineStr">
        <is>
          <t>OK (≤ últ. compra)</t>
        </is>
      </c>
      <c r="O608" s="7" t="inlineStr"/>
    </row>
    <row r="609">
      <c r="A609" s="7" t="n">
        <v>529921</v>
      </c>
      <c r="B609" s="7" t="inlineStr"/>
      <c r="C609" s="12" t="inlineStr">
        <is>
          <t>7908134200453</t>
        </is>
      </c>
      <c r="D609" s="7" t="inlineStr">
        <is>
          <t>SLINDA 4MG CX 24 COMP REV+4 PLACEBOS</t>
        </is>
      </c>
      <c r="E609" s="13" t="n">
        <v>1</v>
      </c>
      <c r="F609" s="13" t="n">
        <v>3</v>
      </c>
      <c r="G609" s="13" t="n">
        <v>3</v>
      </c>
      <c r="H609" s="8" t="n">
        <v>92.04650000000001</v>
      </c>
      <c r="I609" s="8">
        <f>G609*H609</f>
        <v/>
      </c>
      <c r="J609" s="8">
        <f>H609/E609</f>
        <v/>
      </c>
      <c r="K609" s="8" t="n">
        <v>95.08</v>
      </c>
      <c r="L609" s="8" t="n">
        <v>89.83499999999999</v>
      </c>
      <c r="M609" s="14">
        <f>J609/K609-1</f>
        <v/>
      </c>
      <c r="N609" s="7" t="inlineStr">
        <is>
          <t>OK (≤ últ. compra)</t>
        </is>
      </c>
      <c r="O609" s="7" t="inlineStr"/>
    </row>
    <row r="610">
      <c r="A610" s="7" t="n">
        <v>651321</v>
      </c>
      <c r="B610" s="7" t="inlineStr"/>
      <c r="C610" s="12" t="inlineStr">
        <is>
          <t>7899706197946</t>
        </is>
      </c>
      <c r="D610" s="7" t="inlineStr">
        <is>
          <t>SOLAR EXPERT ANTIOL F60 40G 3.0-DEMAIS PROD</t>
        </is>
      </c>
      <c r="E610" s="13" t="n">
        <v>1</v>
      </c>
      <c r="F610" s="13" t="n">
        <v>1</v>
      </c>
      <c r="G610" s="13" t="n">
        <v>1</v>
      </c>
      <c r="H610" s="8" t="n">
        <v>44.1</v>
      </c>
      <c r="I610" s="8">
        <f>G610*H610</f>
        <v/>
      </c>
      <c r="J610" s="8">
        <f>H610/E610</f>
        <v/>
      </c>
      <c r="K610" s="8" t="n">
        <v>34.79</v>
      </c>
      <c r="L610" s="8" t="n">
        <v>34.79</v>
      </c>
      <c r="M610" s="14">
        <f>J610/K610-1</f>
        <v/>
      </c>
      <c r="N610" s="7" t="inlineStr">
        <is>
          <t>ACIMA +26.8%</t>
        </is>
      </c>
      <c r="O610" s="7" t="inlineStr"/>
    </row>
    <row r="611">
      <c r="A611" s="7" t="n">
        <v>558381</v>
      </c>
      <c r="B611" s="7" t="inlineStr"/>
      <c r="C611" s="12" t="inlineStr">
        <is>
          <t>7896902212152</t>
        </is>
      </c>
      <c r="D611" s="7" t="inlineStr">
        <is>
          <t>SOLUCAO SORIMAX 100 ML</t>
        </is>
      </c>
      <c r="E611" s="13" t="n">
        <v>1</v>
      </c>
      <c r="F611" s="13" t="n">
        <v>50</v>
      </c>
      <c r="G611" s="13" t="n">
        <v>50</v>
      </c>
      <c r="H611" s="8" t="n">
        <v>2.39</v>
      </c>
      <c r="I611" s="8">
        <f>G611*H611</f>
        <v/>
      </c>
      <c r="J611" s="8">
        <f>H611/E611</f>
        <v/>
      </c>
      <c r="K611" s="8" t="n">
        <v>2.69</v>
      </c>
      <c r="L611" s="8" t="n">
        <v>2.69</v>
      </c>
      <c r="M611" s="14">
        <f>J611/K611-1</f>
        <v/>
      </c>
      <c r="N611" s="7" t="inlineStr">
        <is>
          <t>OK (≤ menor hist.)</t>
        </is>
      </c>
      <c r="O611" s="7" t="inlineStr"/>
    </row>
    <row r="612">
      <c r="A612" s="7" t="n">
        <v>264541</v>
      </c>
      <c r="B612" s="7" t="inlineStr"/>
      <c r="C612" s="12" t="inlineStr">
        <is>
          <t>7894916512107</t>
        </is>
      </c>
      <c r="D612" s="7" t="inlineStr">
        <is>
          <t>SOMALGIN CARDIO 81MG 6 BLT 10 COMP REV-S</t>
        </is>
      </c>
      <c r="E612" s="13" t="n">
        <v>1</v>
      </c>
      <c r="F612" s="13" t="n">
        <v>2</v>
      </c>
      <c r="G612" s="13" t="n">
        <v>2</v>
      </c>
      <c r="H612" s="8" t="n">
        <v>24.0045</v>
      </c>
      <c r="I612" s="8">
        <f>G612*H612</f>
        <v/>
      </c>
      <c r="J612" s="8">
        <f>H612/E612</f>
        <v/>
      </c>
      <c r="K612" s="8" t="n">
        <v>22.9</v>
      </c>
      <c r="L612" s="8" t="n">
        <v>21.925</v>
      </c>
      <c r="M612" s="14">
        <f>J612/K612-1</f>
        <v/>
      </c>
      <c r="N612" s="7" t="inlineStr">
        <is>
          <t>ACIMA +4.8%</t>
        </is>
      </c>
      <c r="O612" s="7" t="inlineStr"/>
    </row>
    <row r="613">
      <c r="A613" s="7" t="n">
        <v>614861</v>
      </c>
      <c r="B613" s="7" t="inlineStr"/>
      <c r="C613" s="12" t="inlineStr">
        <is>
          <t>7891317011277</t>
        </is>
      </c>
      <c r="D613" s="7" t="inlineStr">
        <is>
          <t>SONIC 50MG CX 60 COMP REV</t>
        </is>
      </c>
      <c r="E613" s="13" t="n">
        <v>1</v>
      </c>
      <c r="F613" s="13" t="n">
        <v>2</v>
      </c>
      <c r="G613" s="13" t="n">
        <v>2</v>
      </c>
      <c r="H613" s="8" t="n">
        <v>41.5912</v>
      </c>
      <c r="I613" s="8">
        <f>G613*H613</f>
        <v/>
      </c>
      <c r="J613" s="8">
        <f>H613/E613</f>
        <v/>
      </c>
      <c r="K613" s="8" t="n">
        <v>41.02</v>
      </c>
      <c r="L613" s="8" t="n">
        <v>37.98</v>
      </c>
      <c r="M613" s="14">
        <f>J613/K613-1</f>
        <v/>
      </c>
      <c r="N613" s="7" t="inlineStr">
        <is>
          <t>ACIMA +1.4%</t>
        </is>
      </c>
      <c r="O613" s="7" t="inlineStr"/>
    </row>
    <row r="614">
      <c r="A614" s="7" t="n">
        <v>619991</v>
      </c>
      <c r="B614" s="7" t="inlineStr"/>
      <c r="C614" s="12" t="inlineStr">
        <is>
          <t>7898636193974</t>
        </is>
      </c>
      <c r="D614" s="7" t="inlineStr">
        <is>
          <t>SOROX ABACAXI COM HORTELA 550ML</t>
        </is>
      </c>
      <c r="E614" s="13" t="n">
        <v>1</v>
      </c>
      <c r="F614" s="13" t="n">
        <v>4</v>
      </c>
      <c r="G614" s="13" t="n">
        <v>4</v>
      </c>
      <c r="H614" s="8" t="n">
        <v>9.74</v>
      </c>
      <c r="I614" s="8">
        <f>G614*H614</f>
        <v/>
      </c>
      <c r="J614" s="8">
        <f>H614/E614</f>
        <v/>
      </c>
      <c r="K614" s="8" t="n">
        <v>6.5767</v>
      </c>
      <c r="L614" s="8" t="n">
        <v>6.5767</v>
      </c>
      <c r="M614" s="14">
        <f>J614/K614-1</f>
        <v/>
      </c>
      <c r="N614" s="7" t="inlineStr">
        <is>
          <t>ACIMA +48.1%</t>
        </is>
      </c>
      <c r="O614" s="7" t="inlineStr"/>
    </row>
    <row r="615">
      <c r="A615" s="7" t="n">
        <v>656951</v>
      </c>
      <c r="B615" s="7" t="inlineStr"/>
      <c r="C615" s="12" t="inlineStr">
        <is>
          <t>7898636194186</t>
        </is>
      </c>
      <c r="D615" s="7" t="inlineStr">
        <is>
          <t>SOROX FRUTAS AMARELAS 550ML-DEMAIS PROD</t>
        </is>
      </c>
      <c r="E615" s="13" t="n">
        <v>1</v>
      </c>
      <c r="F615" s="13" t="n">
        <v>2</v>
      </c>
      <c r="G615" s="13" t="n">
        <v>2</v>
      </c>
      <c r="H615" s="8" t="n">
        <v>9.74</v>
      </c>
      <c r="I615" s="8">
        <f>G615*H615</f>
        <v/>
      </c>
      <c r="J615" s="8">
        <f>H615/E615</f>
        <v/>
      </c>
      <c r="K615" s="8" t="n">
        <v>6.5767</v>
      </c>
      <c r="L615" s="8" t="n">
        <v>6.5767</v>
      </c>
      <c r="M615" s="14">
        <f>J615/K615-1</f>
        <v/>
      </c>
      <c r="N615" s="7" t="inlineStr">
        <is>
          <t>ACIMA +48.1%</t>
        </is>
      </c>
      <c r="O615" s="7" t="inlineStr"/>
    </row>
    <row r="616">
      <c r="A616" s="7" t="n">
        <v>620001</v>
      </c>
      <c r="B616" s="7" t="inlineStr"/>
      <c r="C616" s="12" t="inlineStr">
        <is>
          <t>7898636193882</t>
        </is>
      </c>
      <c r="D616" s="7" t="inlineStr">
        <is>
          <t>SOROX FRUTAS VERMELHAS 550ML</t>
        </is>
      </c>
      <c r="E616" s="13" t="n">
        <v>1</v>
      </c>
      <c r="F616" s="13" t="n">
        <v>5</v>
      </c>
      <c r="G616" s="13" t="n">
        <v>5</v>
      </c>
      <c r="H616" s="8" t="n">
        <v>9.74</v>
      </c>
      <c r="I616" s="8">
        <f>G616*H616</f>
        <v/>
      </c>
      <c r="J616" s="8">
        <f>H616/E616</f>
        <v/>
      </c>
      <c r="K616" s="8" t="n">
        <v>6.5767</v>
      </c>
      <c r="L616" s="8" t="n">
        <v>6.5767</v>
      </c>
      <c r="M616" s="14">
        <f>J616/K616-1</f>
        <v/>
      </c>
      <c r="N616" s="7" t="inlineStr">
        <is>
          <t>ACIMA +48.1%</t>
        </is>
      </c>
      <c r="O616" s="7" t="inlineStr"/>
    </row>
    <row r="617">
      <c r="A617" s="7" t="n">
        <v>609721</v>
      </c>
      <c r="B617" s="7" t="inlineStr"/>
      <c r="C617" s="12" t="inlineStr">
        <is>
          <t>7898636193493</t>
        </is>
      </c>
      <c r="D617" s="7" t="inlineStr">
        <is>
          <t>SOROX LIMAO 550ML</t>
        </is>
      </c>
      <c r="E617" s="13" t="n">
        <v>1</v>
      </c>
      <c r="F617" s="13" t="n">
        <v>3</v>
      </c>
      <c r="G617" s="13" t="n">
        <v>3</v>
      </c>
      <c r="H617" s="8" t="n">
        <v>9.74</v>
      </c>
      <c r="I617" s="8">
        <f>G617*H617</f>
        <v/>
      </c>
      <c r="J617" s="8">
        <f>H617/E617</f>
        <v/>
      </c>
      <c r="K617" s="8" t="n">
        <v>6.5767</v>
      </c>
      <c r="L617" s="8" t="n">
        <v>6.5767</v>
      </c>
      <c r="M617" s="14">
        <f>J617/K617-1</f>
        <v/>
      </c>
      <c r="N617" s="7" t="inlineStr">
        <is>
          <t>ACIMA +48.1%</t>
        </is>
      </c>
      <c r="O617" s="7" t="inlineStr"/>
    </row>
    <row r="618">
      <c r="A618" s="7" t="n">
        <v>655781</v>
      </c>
      <c r="B618" s="7" t="inlineStr"/>
      <c r="C618" s="12" t="inlineStr">
        <is>
          <t>7898636194193</t>
        </is>
      </c>
      <c r="D618" s="7" t="inlineStr">
        <is>
          <t>SOROX MORANGOI COM LARANJA 550ML</t>
        </is>
      </c>
      <c r="E618" s="13" t="n">
        <v>1</v>
      </c>
      <c r="F618" s="13" t="n">
        <v>2</v>
      </c>
      <c r="G618" s="13" t="n">
        <v>2</v>
      </c>
      <c r="H618" s="8" t="n">
        <v>9.74</v>
      </c>
      <c r="I618" s="8">
        <f>G618*H618</f>
        <v/>
      </c>
      <c r="J618" s="8">
        <f>H618/E618</f>
        <v/>
      </c>
      <c r="K618" s="8" t="n">
        <v>7.235</v>
      </c>
      <c r="L618" s="8" t="n">
        <v>6.5767</v>
      </c>
      <c r="M618" s="14">
        <f>J618/K618-1</f>
        <v/>
      </c>
      <c r="N618" s="7" t="inlineStr">
        <is>
          <t>ACIMA +34.6%</t>
        </is>
      </c>
      <c r="O618" s="7" t="inlineStr"/>
    </row>
    <row r="619">
      <c r="A619" s="7" t="n">
        <v>609731</v>
      </c>
      <c r="B619" s="7" t="inlineStr"/>
      <c r="C619" s="12" t="inlineStr">
        <is>
          <t>7898636193509</t>
        </is>
      </c>
      <c r="D619" s="7" t="inlineStr">
        <is>
          <t>SOROX TANGERINA 550ML</t>
        </is>
      </c>
      <c r="E619" s="13" t="n">
        <v>1</v>
      </c>
      <c r="F619" s="13" t="n">
        <v>9</v>
      </c>
      <c r="G619" s="13" t="n">
        <v>9</v>
      </c>
      <c r="H619" s="8" t="n">
        <v>9.74</v>
      </c>
      <c r="I619" s="8">
        <f>G619*H619</f>
        <v/>
      </c>
      <c r="J619" s="8">
        <f>H619/E619</f>
        <v/>
      </c>
      <c r="K619" s="8" t="n">
        <v>6.5767</v>
      </c>
      <c r="L619" s="8" t="n">
        <v>6.5767</v>
      </c>
      <c r="M619" s="14">
        <f>J619/K619-1</f>
        <v/>
      </c>
      <c r="N619" s="7" t="inlineStr">
        <is>
          <t>ACIMA +48.1%</t>
        </is>
      </c>
      <c r="O619" s="7" t="inlineStr"/>
    </row>
    <row r="620">
      <c r="A620" s="7" t="n">
        <v>609741</v>
      </c>
      <c r="B620" s="7" t="inlineStr"/>
      <c r="C620" s="12" t="inlineStr">
        <is>
          <t>7898636193516</t>
        </is>
      </c>
      <c r="D620" s="7" t="inlineStr">
        <is>
          <t>SOROX UVA 550ML</t>
        </is>
      </c>
      <c r="E620" s="13" t="n">
        <v>1</v>
      </c>
      <c r="F620" s="13" t="n">
        <v>4</v>
      </c>
      <c r="G620" s="13" t="n">
        <v>4</v>
      </c>
      <c r="H620" s="8" t="n">
        <v>9.74</v>
      </c>
      <c r="I620" s="8">
        <f>G620*H620</f>
        <v/>
      </c>
      <c r="J620" s="8">
        <f>H620/E620</f>
        <v/>
      </c>
      <c r="K620" s="8" t="n">
        <v>6.5767</v>
      </c>
      <c r="L620" s="8" t="n">
        <v>6.5767</v>
      </c>
      <c r="M620" s="14">
        <f>J620/K620-1</f>
        <v/>
      </c>
      <c r="N620" s="7" t="inlineStr">
        <is>
          <t>ACIMA +48.1%</t>
        </is>
      </c>
      <c r="O620" s="7" t="inlineStr"/>
    </row>
    <row r="621">
      <c r="A621" s="7" t="n">
        <v>661151</v>
      </c>
      <c r="B621" s="7" t="inlineStr"/>
      <c r="C621" s="12" t="inlineStr">
        <is>
          <t>7899852025469</t>
        </is>
      </c>
      <c r="D621" s="7" t="inlineStr">
        <is>
          <t>SPR VULT RECARGA HIDRT 100ML-DEMAIS PROD</t>
        </is>
      </c>
      <c r="E621" s="13" t="n">
        <v>1</v>
      </c>
      <c r="F621" s="13" t="n">
        <v>1</v>
      </c>
      <c r="G621" s="13" t="n">
        <v>1</v>
      </c>
      <c r="H621" s="8" t="n">
        <v>27.38</v>
      </c>
      <c r="I621" s="8">
        <f>G621*H621</f>
        <v/>
      </c>
      <c r="J621" s="8">
        <f>H621/E621</f>
        <v/>
      </c>
      <c r="K621" s="8" t="n">
        <v>27.51</v>
      </c>
      <c r="L621" s="8" t="n">
        <v>27.51</v>
      </c>
      <c r="M621" s="14">
        <f>J621/K621-1</f>
        <v/>
      </c>
      <c r="N621" s="7" t="inlineStr">
        <is>
          <t>OK (≤ menor hist.)</t>
        </is>
      </c>
      <c r="O621" s="7" t="inlineStr"/>
    </row>
    <row r="622">
      <c r="A622" s="7" t="n">
        <v>526121</v>
      </c>
      <c r="B622" s="7" t="inlineStr"/>
      <c r="C622" s="12" t="inlineStr">
        <is>
          <t>5060632508768</t>
        </is>
      </c>
      <c r="D622" s="7" t="inlineStr">
        <is>
          <t>STEZZA 2,5+1,5MG CX 24 COMP REV+CALEND+4 PLACEBO</t>
        </is>
      </c>
      <c r="E622" s="13" t="n">
        <v>1</v>
      </c>
      <c r="F622" s="13" t="n">
        <v>1</v>
      </c>
      <c r="G622" s="13" t="n">
        <v>1</v>
      </c>
      <c r="H622" s="8" t="n">
        <v>46.39</v>
      </c>
      <c r="I622" s="8">
        <f>G622*H622</f>
        <v/>
      </c>
      <c r="J622" s="8">
        <f>H622/E622</f>
        <v/>
      </c>
      <c r="K622" s="8" t="n">
        <v>48.21</v>
      </c>
      <c r="L622" s="8" t="n">
        <v>41.29</v>
      </c>
      <c r="M622" s="14">
        <f>J622/K622-1</f>
        <v/>
      </c>
      <c r="N622" s="7" t="inlineStr">
        <is>
          <t>OK (≤ últ. compra)</t>
        </is>
      </c>
      <c r="O622" s="7" t="inlineStr"/>
    </row>
    <row r="623">
      <c r="A623" s="7" t="n">
        <v>505781</v>
      </c>
      <c r="B623" s="7" t="inlineStr"/>
      <c r="C623" s="12" t="inlineStr">
        <is>
          <t>7891058000950</t>
        </is>
      </c>
      <c r="D623" s="7" t="inlineStr">
        <is>
          <t>SUCCINATO DE METOPROLOL 25MG CX 30 COMP REV LIB PROL</t>
        </is>
      </c>
      <c r="E623" s="13" t="n">
        <v>1</v>
      </c>
      <c r="F623" s="13" t="n">
        <v>5</v>
      </c>
      <c r="G623" s="13" t="n">
        <v>5</v>
      </c>
      <c r="H623" s="8" t="n">
        <v>19.91</v>
      </c>
      <c r="I623" s="8">
        <f>G623*H623</f>
        <v/>
      </c>
      <c r="J623" s="8">
        <f>H623/E623</f>
        <v/>
      </c>
      <c r="K623" s="8" t="n">
        <v>16.3058</v>
      </c>
      <c r="L623" s="8" t="n">
        <v>16.3058</v>
      </c>
      <c r="M623" s="14">
        <f>J623/K623-1</f>
        <v/>
      </c>
      <c r="N623" s="7" t="inlineStr">
        <is>
          <t>ACIMA +22.1%</t>
        </is>
      </c>
      <c r="O623" s="7" t="inlineStr"/>
    </row>
    <row r="624">
      <c r="A624" s="7" t="n">
        <v>505761</v>
      </c>
      <c r="B624" s="7" t="inlineStr"/>
      <c r="C624" s="12" t="inlineStr">
        <is>
          <t>7891058000943</t>
        </is>
      </c>
      <c r="D624" s="7" t="inlineStr">
        <is>
          <t>SUCCINATO DE METOPROLOL 50MG CX 30 COMP REV LIB PROL</t>
        </is>
      </c>
      <c r="E624" s="13" t="n">
        <v>1</v>
      </c>
      <c r="F624" s="13" t="n">
        <v>1</v>
      </c>
      <c r="G624" s="13" t="n">
        <v>1</v>
      </c>
      <c r="H624" s="8" t="n">
        <v>35.1994</v>
      </c>
      <c r="I624" s="8">
        <f>G624*H624</f>
        <v/>
      </c>
      <c r="J624" s="8">
        <f>H624/E624</f>
        <v/>
      </c>
      <c r="K624" s="8" t="n">
        <v>20.52</v>
      </c>
      <c r="L624" s="8" t="n">
        <v>18.785</v>
      </c>
      <c r="M624" s="14">
        <f>J624/K624-1</f>
        <v/>
      </c>
      <c r="N624" s="7" t="inlineStr">
        <is>
          <t>ACIMA +71.5%</t>
        </is>
      </c>
      <c r="O624" s="7" t="inlineStr"/>
    </row>
    <row r="625">
      <c r="A625" s="7" t="n">
        <v>48521</v>
      </c>
      <c r="B625" s="7" t="inlineStr"/>
      <c r="C625" s="12" t="inlineStr">
        <is>
          <t>7896422504478</t>
        </is>
      </c>
      <c r="D625" s="7" t="inlineStr">
        <is>
          <t>SULFATO DE NEOMICINA+BACITRACINA POM BG 50G</t>
        </is>
      </c>
      <c r="E625" s="13" t="n">
        <v>1</v>
      </c>
      <c r="F625" s="13" t="n">
        <v>1</v>
      </c>
      <c r="G625" s="13" t="n">
        <v>1</v>
      </c>
      <c r="H625" s="8" t="n">
        <v>14.476</v>
      </c>
      <c r="I625" s="8">
        <f>G625*H625</f>
        <v/>
      </c>
      <c r="J625" s="8">
        <f>H625/E625</f>
        <v/>
      </c>
      <c r="K625" s="8" t="n">
        <v>7.9267</v>
      </c>
      <c r="L625" s="8" t="n">
        <v>7.9267</v>
      </c>
      <c r="M625" s="14">
        <f>J625/K625-1</f>
        <v/>
      </c>
      <c r="N625" s="7" t="inlineStr">
        <is>
          <t>ACIMA +82.6%</t>
        </is>
      </c>
      <c r="O625" s="7" t="inlineStr"/>
    </row>
    <row r="626">
      <c r="A626" s="7" t="n">
        <v>445201</v>
      </c>
      <c r="B626" s="7" t="inlineStr"/>
      <c r="C626" s="12" t="inlineStr">
        <is>
          <t>7896094201064</t>
        </is>
      </c>
      <c r="D626" s="7" t="inlineStr">
        <is>
          <t>SUMAX 25MG CX 4 COMP REV</t>
        </is>
      </c>
      <c r="E626" s="13" t="n">
        <v>1</v>
      </c>
      <c r="F626" s="13" t="n">
        <v>2</v>
      </c>
      <c r="G626" s="13" t="n">
        <v>2</v>
      </c>
      <c r="H626" s="8" t="n">
        <v>28.2843</v>
      </c>
      <c r="I626" s="8">
        <f>G626*H626</f>
        <v/>
      </c>
      <c r="J626" s="8">
        <f>H626/E626</f>
        <v/>
      </c>
      <c r="K626" s="8" t="n">
        <v>28.8</v>
      </c>
      <c r="L626" s="8" t="n">
        <v>24.6367</v>
      </c>
      <c r="M626" s="14">
        <f>J626/K626-1</f>
        <v/>
      </c>
      <c r="N626" s="7" t="inlineStr">
        <is>
          <t>OK (≤ últ. compra)</t>
        </is>
      </c>
      <c r="O626" s="7" t="inlineStr"/>
    </row>
    <row r="627">
      <c r="A627" s="7" t="n">
        <v>445261</v>
      </c>
      <c r="B627" s="7" t="inlineStr"/>
      <c r="C627" s="12" t="inlineStr">
        <is>
          <t>7896094208278</t>
        </is>
      </c>
      <c r="D627" s="7" t="inlineStr">
        <is>
          <t>SUMAXPRO 500+50MG CX 2 COMP REV</t>
        </is>
      </c>
      <c r="E627" s="13" t="n">
        <v>1</v>
      </c>
      <c r="F627" s="13" t="n">
        <v>2</v>
      </c>
      <c r="G627" s="13" t="n">
        <v>2</v>
      </c>
      <c r="H627" s="8" t="n">
        <v>34.7787</v>
      </c>
      <c r="I627" s="8">
        <f>G627*H627</f>
        <v/>
      </c>
      <c r="J627" s="8">
        <f>H627/E627</f>
        <v/>
      </c>
      <c r="K627" s="8" t="n">
        <v>35.42</v>
      </c>
      <c r="L627" s="8" t="n">
        <v>32.86</v>
      </c>
      <c r="M627" s="14">
        <f>J627/K627-1</f>
        <v/>
      </c>
      <c r="N627" s="7" t="inlineStr">
        <is>
          <t>OK (≤ últ. compra)</t>
        </is>
      </c>
      <c r="O627" s="7" t="inlineStr"/>
    </row>
    <row r="628">
      <c r="A628" s="7" t="n">
        <v>605081</v>
      </c>
      <c r="B628" s="7" t="inlineStr"/>
      <c r="C628" s="12" t="inlineStr">
        <is>
          <t>7898941911270</t>
        </is>
      </c>
      <c r="D628" s="7" t="inlineStr">
        <is>
          <t>SUSTAGEN KIDS SACHET BAUNILHA 190GR UN QTD. 2.00 UN</t>
        </is>
      </c>
      <c r="E628" s="13" t="n">
        <v>1</v>
      </c>
      <c r="F628" s="13" t="n">
        <v>1</v>
      </c>
      <c r="G628" s="13" t="n">
        <v>1</v>
      </c>
      <c r="H628" s="8" t="n">
        <v>16.8854</v>
      </c>
      <c r="I628" s="8">
        <f>G628*H628</f>
        <v/>
      </c>
      <c r="J628" s="8">
        <f>H628/E628</f>
        <v/>
      </c>
      <c r="K628" s="8" t="n">
        <v>12.6617</v>
      </c>
      <c r="L628" s="8" t="n">
        <v>12.6617</v>
      </c>
      <c r="M628" s="14">
        <f>J628/K628-1</f>
        <v/>
      </c>
      <c r="N628" s="7" t="inlineStr">
        <is>
          <t>ACIMA +33.4%</t>
        </is>
      </c>
      <c r="O628" s="7" t="inlineStr"/>
    </row>
    <row r="629">
      <c r="A629" s="7" t="n">
        <v>617111</v>
      </c>
      <c r="B629" s="7" t="inlineStr"/>
      <c r="C629" s="12" t="inlineStr">
        <is>
          <t>7896512914415</t>
        </is>
      </c>
      <c r="D629" s="7" t="inlineStr">
        <is>
          <t>TALCO CREMOSO PINK 100GR</t>
        </is>
      </c>
      <c r="E629" s="13" t="n">
        <v>1</v>
      </c>
      <c r="F629" s="13" t="n">
        <v>1</v>
      </c>
      <c r="G629" s="13" t="n">
        <v>1</v>
      </c>
      <c r="H629" s="8" t="n">
        <v>24.62</v>
      </c>
      <c r="I629" s="8">
        <f>G629*H629</f>
        <v/>
      </c>
      <c r="J629" s="8">
        <f>H629/E629</f>
        <v/>
      </c>
      <c r="K629" s="8" t="n">
        <v>16.1917</v>
      </c>
      <c r="L629" s="8" t="n">
        <v>16.1917</v>
      </c>
      <c r="M629" s="14">
        <f>J629/K629-1</f>
        <v/>
      </c>
      <c r="N629" s="7" t="inlineStr">
        <is>
          <t>ACIMA +52.1%</t>
        </is>
      </c>
      <c r="O629" s="7" t="inlineStr"/>
    </row>
    <row r="630">
      <c r="A630" s="7" t="n">
        <v>540761</v>
      </c>
      <c r="B630" s="7" t="inlineStr"/>
      <c r="C630" s="12" t="inlineStr">
        <is>
          <t>7896512909190</t>
        </is>
      </c>
      <c r="D630" s="7" t="inlineStr">
        <is>
          <t>TALCO GRANADO BEBE 100G</t>
        </is>
      </c>
      <c r="E630" s="13" t="n">
        <v>1</v>
      </c>
      <c r="F630" s="13" t="n">
        <v>12</v>
      </c>
      <c r="G630" s="13" t="n">
        <v>12</v>
      </c>
      <c r="H630" s="8" t="n">
        <v>14.43</v>
      </c>
      <c r="I630" s="8">
        <f>G630*H630</f>
        <v/>
      </c>
      <c r="J630" s="8">
        <f>H630/E630</f>
        <v/>
      </c>
      <c r="K630" s="8" t="n">
        <v>10.8358</v>
      </c>
      <c r="L630" s="8" t="n">
        <v>10.8358</v>
      </c>
      <c r="M630" s="14">
        <f>J630/K630-1</f>
        <v/>
      </c>
      <c r="N630" s="7" t="inlineStr">
        <is>
          <t>ACIMA +33.2%</t>
        </is>
      </c>
      <c r="O630" s="7" t="inlineStr"/>
    </row>
    <row r="631">
      <c r="A631" s="7" t="n">
        <v>624141</v>
      </c>
      <c r="B631" s="7" t="inlineStr"/>
      <c r="C631" s="12" t="inlineStr">
        <is>
          <t>7506339305142</t>
        </is>
      </c>
      <c r="D631" s="7" t="inlineStr">
        <is>
          <t>TESTE GRAV CLEARBLUE PLUS 2UNI-DEMAIS PROD</t>
        </is>
      </c>
      <c r="E631" s="13" t="n">
        <v>1</v>
      </c>
      <c r="F631" s="13" t="n">
        <v>2</v>
      </c>
      <c r="G631" s="13" t="n">
        <v>2</v>
      </c>
      <c r="H631" s="8" t="n">
        <v>23.84</v>
      </c>
      <c r="I631" s="8">
        <f>G631*H631</f>
        <v/>
      </c>
      <c r="J631" s="8">
        <f>H631/E631</f>
        <v/>
      </c>
      <c r="K631" s="8" t="n">
        <v>24.7675</v>
      </c>
      <c r="L631" s="8" t="n">
        <v>23.11</v>
      </c>
      <c r="M631" s="14">
        <f>J631/K631-1</f>
        <v/>
      </c>
      <c r="N631" s="7" t="inlineStr">
        <is>
          <t>OK (≤ últ. compra)</t>
        </is>
      </c>
      <c r="O631" s="7" t="inlineStr"/>
    </row>
    <row r="632">
      <c r="A632" s="7" t="n">
        <v>622921</v>
      </c>
      <c r="B632" s="7" t="inlineStr"/>
      <c r="C632" s="12" t="inlineStr">
        <is>
          <t>7500435137959</t>
        </is>
      </c>
      <c r="D632" s="7" t="inlineStr">
        <is>
          <t>TESTE GRAV CLEARBLUE SAIBA ANTES-DEMAIS PROD</t>
        </is>
      </c>
      <c r="E632" s="13" t="n">
        <v>1</v>
      </c>
      <c r="F632" s="13" t="n">
        <v>8</v>
      </c>
      <c r="G632" s="13" t="n">
        <v>8</v>
      </c>
      <c r="H632" s="8" t="n">
        <v>18.753</v>
      </c>
      <c r="I632" s="8">
        <f>G632*H632</f>
        <v/>
      </c>
      <c r="J632" s="8">
        <f>H632/E632</f>
        <v/>
      </c>
      <c r="K632" s="8" t="n">
        <v>21.65</v>
      </c>
      <c r="L632" s="8" t="n">
        <v>19.62</v>
      </c>
      <c r="M632" s="14">
        <f>J632/K632-1</f>
        <v/>
      </c>
      <c r="N632" s="7" t="inlineStr">
        <is>
          <t>OK (≤ menor hist.)</t>
        </is>
      </c>
      <c r="O632" s="7" t="inlineStr"/>
    </row>
    <row r="633">
      <c r="A633" s="7" t="n">
        <v>672181</v>
      </c>
      <c r="B633" s="7" t="inlineStr"/>
      <c r="C633" s="12" t="inlineStr">
        <is>
          <t>7896014183067</t>
        </is>
      </c>
      <c r="D633" s="7" t="inlineStr">
        <is>
          <t>TINT CASTING CASTANHO ESCURO 300-DEMAIS PROD</t>
        </is>
      </c>
      <c r="E633" s="13" t="n">
        <v>1</v>
      </c>
      <c r="F633" s="13" t="n">
        <v>2</v>
      </c>
      <c r="G633" s="13" t="n">
        <v>2</v>
      </c>
      <c r="H633" s="8" t="n">
        <v>28.51</v>
      </c>
      <c r="I633" s="8">
        <f>G633*H633</f>
        <v/>
      </c>
      <c r="J633" s="8">
        <f>H633/E633</f>
        <v/>
      </c>
      <c r="K633" s="8" t="n">
        <v>25.3429</v>
      </c>
      <c r="L633" s="8" t="n">
        <v>25.3429</v>
      </c>
      <c r="M633" s="14">
        <f>J633/K633-1</f>
        <v/>
      </c>
      <c r="N633" s="7" t="inlineStr">
        <is>
          <t>ACIMA +12.5%</t>
        </is>
      </c>
      <c r="O633" s="7" t="inlineStr"/>
    </row>
    <row r="634">
      <c r="A634" s="7" t="n">
        <v>672211</v>
      </c>
      <c r="B634" s="7" t="inlineStr"/>
      <c r="C634" s="12" t="inlineStr">
        <is>
          <t>7896014183210</t>
        </is>
      </c>
      <c r="D634" s="7" t="inlineStr">
        <is>
          <t>TINT CASTING LOURO NATURAL 700-DEMAIS PROD</t>
        </is>
      </c>
      <c r="E634" s="13" t="n">
        <v>1</v>
      </c>
      <c r="F634" s="13" t="n">
        <v>5</v>
      </c>
      <c r="G634" s="13" t="n">
        <v>5</v>
      </c>
      <c r="H634" s="8" t="n">
        <v>28.51</v>
      </c>
      <c r="I634" s="8">
        <f>G634*H634</f>
        <v/>
      </c>
      <c r="J634" s="8">
        <f>H634/E634</f>
        <v/>
      </c>
      <c r="K634" s="8" t="n">
        <v>26.1</v>
      </c>
      <c r="L634" s="8" t="n">
        <v>26.1</v>
      </c>
      <c r="M634" s="14">
        <f>J634/K634-1</f>
        <v/>
      </c>
      <c r="N634" s="7" t="inlineStr">
        <is>
          <t>ACIMA +9.2%</t>
        </is>
      </c>
      <c r="O634" s="7" t="inlineStr"/>
    </row>
    <row r="635">
      <c r="A635" s="7" t="n">
        <v>668591</v>
      </c>
      <c r="B635" s="7" t="inlineStr"/>
      <c r="C635" s="12" t="inlineStr">
        <is>
          <t>7896014183043</t>
        </is>
      </c>
      <c r="D635" s="7" t="inlineStr">
        <is>
          <t>TINT CASTING PRETO 200-DEMAIS PROD</t>
        </is>
      </c>
      <c r="E635" s="13" t="n">
        <v>1</v>
      </c>
      <c r="F635" s="13" t="n">
        <v>2</v>
      </c>
      <c r="G635" s="13" t="n">
        <v>2</v>
      </c>
      <c r="H635" s="8" t="n">
        <v>28.51</v>
      </c>
      <c r="I635" s="8">
        <f>G635*H635</f>
        <v/>
      </c>
      <c r="J635" s="8">
        <f>H635/E635</f>
        <v/>
      </c>
      <c r="K635" s="8" t="n">
        <v>27.57</v>
      </c>
      <c r="L635" s="8" t="n">
        <v>22.45</v>
      </c>
      <c r="M635" s="14">
        <f>J635/K635-1</f>
        <v/>
      </c>
      <c r="N635" s="7" t="inlineStr">
        <is>
          <t>ACIMA +3.4%</t>
        </is>
      </c>
      <c r="O635" s="7" t="inlineStr"/>
    </row>
    <row r="636">
      <c r="A636" s="7" t="n">
        <v>672231</v>
      </c>
      <c r="B636" s="7" t="inlineStr"/>
      <c r="C636" s="12" t="inlineStr">
        <is>
          <t>7898587762564</t>
        </is>
      </c>
      <c r="D636" s="7" t="inlineStr">
        <is>
          <t>TINT CASTING PRETO NOITE 100-DEMAIS PROD</t>
        </is>
      </c>
      <c r="E636" s="13" t="n">
        <v>1</v>
      </c>
      <c r="F636" s="13" t="n">
        <v>1</v>
      </c>
      <c r="G636" s="13" t="n">
        <v>1</v>
      </c>
      <c r="H636" s="8" t="n">
        <v>28.51</v>
      </c>
      <c r="I636" s="8">
        <f>G636*H636</f>
        <v/>
      </c>
      <c r="J636" s="8">
        <f>H636/E636</f>
        <v/>
      </c>
      <c r="K636" s="8" t="n">
        <v>25.34</v>
      </c>
      <c r="L636" s="8" t="n">
        <v>25.34</v>
      </c>
      <c r="M636" s="14">
        <f>J636/K636-1</f>
        <v/>
      </c>
      <c r="N636" s="7" t="inlineStr">
        <is>
          <t>ACIMA +12.5%</t>
        </is>
      </c>
      <c r="O636" s="7" t="inlineStr"/>
    </row>
    <row r="637">
      <c r="A637" s="7" t="n">
        <v>590011</v>
      </c>
      <c r="B637" s="7" t="inlineStr"/>
      <c r="C637" s="12" t="inlineStr">
        <is>
          <t>7896000706034</t>
        </is>
      </c>
      <c r="D637" s="7" t="inlineStr">
        <is>
          <t>TINT COR &amp; TON 8.0 LOU CL 50G</t>
        </is>
      </c>
      <c r="E637" s="13" t="n">
        <v>1</v>
      </c>
      <c r="F637" s="13" t="n">
        <v>3</v>
      </c>
      <c r="G637" s="13" t="n">
        <v>3</v>
      </c>
      <c r="H637" s="8" t="n">
        <v>12.87</v>
      </c>
      <c r="I637" s="8">
        <f>G637*H637</f>
        <v/>
      </c>
      <c r="J637" s="8">
        <f>H637/E637</f>
        <v/>
      </c>
      <c r="K637" s="8" t="n">
        <v>11.3</v>
      </c>
      <c r="L637" s="8" t="n">
        <v>10.5</v>
      </c>
      <c r="M637" s="14">
        <f>J637/K637-1</f>
        <v/>
      </c>
      <c r="N637" s="7" t="inlineStr">
        <is>
          <t>ACIMA +13.9%</t>
        </is>
      </c>
      <c r="O637" s="7" t="inlineStr"/>
    </row>
    <row r="638">
      <c r="A638" s="7" t="n">
        <v>562981</v>
      </c>
      <c r="B638" s="7" t="inlineStr"/>
      <c r="C638" s="12" t="inlineStr">
        <is>
          <t>7896000705945</t>
        </is>
      </c>
      <c r="D638" s="7" t="inlineStr">
        <is>
          <t>TINT COR &amp;TON 1.0 PRETO AZULADO</t>
        </is>
      </c>
      <c r="E638" s="13" t="n">
        <v>1</v>
      </c>
      <c r="F638" s="13" t="n">
        <v>9</v>
      </c>
      <c r="G638" s="13" t="n">
        <v>9</v>
      </c>
      <c r="H638" s="8" t="n">
        <v>12.87</v>
      </c>
      <c r="I638" s="8">
        <f>G638*H638</f>
        <v/>
      </c>
      <c r="J638" s="8">
        <f>H638/E638</f>
        <v/>
      </c>
      <c r="K638" s="8" t="n">
        <v>12.58</v>
      </c>
      <c r="L638" s="8" t="n">
        <v>9.585000000000001</v>
      </c>
      <c r="M638" s="14">
        <f>J638/K638-1</f>
        <v/>
      </c>
      <c r="N638" s="7" t="inlineStr">
        <is>
          <t>ACIMA +2.3%</t>
        </is>
      </c>
      <c r="O638" s="7" t="inlineStr"/>
    </row>
    <row r="639">
      <c r="A639" s="7" t="n">
        <v>563001</v>
      </c>
      <c r="B639" s="7" t="inlineStr"/>
      <c r="C639" s="12" t="inlineStr">
        <is>
          <t>7896000705952</t>
        </is>
      </c>
      <c r="D639" s="7" t="inlineStr">
        <is>
          <t>TINT COR&amp;TON 2.0 PRETO</t>
        </is>
      </c>
      <c r="E639" s="13" t="n">
        <v>1</v>
      </c>
      <c r="F639" s="13" t="n">
        <v>1</v>
      </c>
      <c r="G639" s="13" t="n">
        <v>1</v>
      </c>
      <c r="H639" s="8" t="n">
        <v>12.87</v>
      </c>
      <c r="I639" s="8">
        <f>G639*H639</f>
        <v/>
      </c>
      <c r="J639" s="8">
        <f>H639/E639</f>
        <v/>
      </c>
      <c r="K639" s="8" t="n">
        <v>11.3</v>
      </c>
      <c r="L639" s="8" t="n">
        <v>10.5</v>
      </c>
      <c r="M639" s="14">
        <f>J639/K639-1</f>
        <v/>
      </c>
      <c r="N639" s="7" t="inlineStr">
        <is>
          <t>ACIMA +13.9%</t>
        </is>
      </c>
      <c r="O639" s="7" t="inlineStr"/>
    </row>
    <row r="640">
      <c r="A640" s="7" t="n">
        <v>563061</v>
      </c>
      <c r="B640" s="7" t="inlineStr"/>
      <c r="C640" s="12" t="inlineStr">
        <is>
          <t>7896000705938</t>
        </is>
      </c>
      <c r="D640" s="7" t="inlineStr">
        <is>
          <t>TINT COR&amp;TON 7.7 MARROM DOURADO</t>
        </is>
      </c>
      <c r="E640" s="13" t="n">
        <v>1</v>
      </c>
      <c r="F640" s="13" t="n">
        <v>2</v>
      </c>
      <c r="G640" s="13" t="n">
        <v>2</v>
      </c>
      <c r="H640" s="8" t="n">
        <v>12.87</v>
      </c>
      <c r="I640" s="8">
        <f>G640*H640</f>
        <v/>
      </c>
      <c r="J640" s="8">
        <f>H640/E640</f>
        <v/>
      </c>
      <c r="K640" s="8" t="n">
        <v>10.99</v>
      </c>
      <c r="L640" s="8" t="n">
        <v>10.5</v>
      </c>
      <c r="M640" s="14">
        <f>J640/K640-1</f>
        <v/>
      </c>
      <c r="N640" s="7" t="inlineStr">
        <is>
          <t>ACIMA +17.1%</t>
        </is>
      </c>
      <c r="O640" s="7" t="inlineStr"/>
    </row>
    <row r="641">
      <c r="A641" s="7" t="n">
        <v>614501</v>
      </c>
      <c r="B641" s="7" t="inlineStr"/>
      <c r="C641" s="12" t="inlineStr">
        <is>
          <t>7908615062457</t>
        </is>
      </c>
      <c r="D641" s="7" t="inlineStr">
        <is>
          <t>TINT COR&amp;TON S/AMONIA 1.0 PRETO INTENSO</t>
        </is>
      </c>
      <c r="E641" s="13" t="n">
        <v>1</v>
      </c>
      <c r="F641" s="13" t="n">
        <v>2</v>
      </c>
      <c r="G641" s="13" t="n">
        <v>2</v>
      </c>
      <c r="H641" s="8" t="n">
        <v>16.09</v>
      </c>
      <c r="I641" s="8">
        <f>G641*H641</f>
        <v/>
      </c>
      <c r="J641" s="8">
        <f>H641/E641</f>
        <v/>
      </c>
      <c r="K641" s="8" t="n">
        <v>15.73</v>
      </c>
      <c r="L641" s="8" t="n">
        <v>13.39</v>
      </c>
      <c r="M641" s="14">
        <f>J641/K641-1</f>
        <v/>
      </c>
      <c r="N641" s="7" t="inlineStr">
        <is>
          <t>ACIMA +2.3%</t>
        </is>
      </c>
      <c r="O641" s="7" t="inlineStr"/>
    </row>
    <row r="642">
      <c r="A642" s="7" t="n">
        <v>614521</v>
      </c>
      <c r="B642" s="7" t="inlineStr"/>
      <c r="C642" s="12" t="inlineStr">
        <is>
          <t>7908615062372</t>
        </is>
      </c>
      <c r="D642" s="7" t="inlineStr">
        <is>
          <t>TINT COR&amp;TON S/AMONIA 2.0 PRETO</t>
        </is>
      </c>
      <c r="E642" s="13" t="n">
        <v>1</v>
      </c>
      <c r="F642" s="13" t="n">
        <v>4</v>
      </c>
      <c r="G642" s="13" t="n">
        <v>4</v>
      </c>
      <c r="H642" s="8" t="n">
        <v>16.09</v>
      </c>
      <c r="I642" s="8">
        <f>G642*H642</f>
        <v/>
      </c>
      <c r="J642" s="8">
        <f>H642/E642</f>
        <v/>
      </c>
      <c r="K642" s="8" t="n">
        <v>15.73</v>
      </c>
      <c r="L642" s="8" t="n">
        <v>12.0267</v>
      </c>
      <c r="M642" s="14">
        <f>J642/K642-1</f>
        <v/>
      </c>
      <c r="N642" s="7" t="inlineStr">
        <is>
          <t>ACIMA +2.3%</t>
        </is>
      </c>
      <c r="O642" s="7" t="inlineStr"/>
    </row>
    <row r="643">
      <c r="A643" s="7" t="n">
        <v>614551</v>
      </c>
      <c r="B643" s="7" t="inlineStr"/>
      <c r="C643" s="12" t="inlineStr">
        <is>
          <t>7908615062433</t>
        </is>
      </c>
      <c r="D643" s="7" t="inlineStr">
        <is>
          <t>TINT COR&amp;TON S/AMONIA 5.0 CASTANHO CLAR</t>
        </is>
      </c>
      <c r="E643" s="13" t="n">
        <v>1</v>
      </c>
      <c r="F643" s="13" t="n">
        <v>9</v>
      </c>
      <c r="G643" s="13" t="n">
        <v>9</v>
      </c>
      <c r="H643" s="8" t="n">
        <v>16.09</v>
      </c>
      <c r="I643" s="8">
        <f>G643*H643</f>
        <v/>
      </c>
      <c r="J643" s="8">
        <f>H643/E643</f>
        <v/>
      </c>
      <c r="K643" s="8" t="n">
        <v>15.73</v>
      </c>
      <c r="L643" s="8" t="n">
        <v>13.99</v>
      </c>
      <c r="M643" s="14">
        <f>J643/K643-1</f>
        <v/>
      </c>
      <c r="N643" s="7" t="inlineStr">
        <is>
          <t>ACIMA +2.3%</t>
        </is>
      </c>
      <c r="O643" s="7" t="inlineStr">
        <is>
          <t>estoque parcial (5 un)</t>
        </is>
      </c>
    </row>
    <row r="644">
      <c r="A644" s="7" t="n">
        <v>672291</v>
      </c>
      <c r="B644" s="7" t="inlineStr"/>
      <c r="C644" s="12" t="inlineStr">
        <is>
          <t>7896014140527</t>
        </is>
      </c>
      <c r="D644" s="7" t="inlineStr">
        <is>
          <t>TINT IMEDIA EXC LOURO ESCURO 6-DEMAIS PROD</t>
        </is>
      </c>
      <c r="E644" s="13" t="n">
        <v>1</v>
      </c>
      <c r="F644" s="13" t="n">
        <v>1</v>
      </c>
      <c r="G644" s="13" t="n">
        <v>1</v>
      </c>
      <c r="H644" s="8" t="n">
        <v>27.3</v>
      </c>
      <c r="I644" s="8">
        <f>G644*H644</f>
        <v/>
      </c>
      <c r="J644" s="8">
        <f>H644/E644</f>
        <v/>
      </c>
      <c r="K644" s="8" t="n">
        <v>24.27</v>
      </c>
      <c r="L644" s="8" t="n">
        <v>24.27</v>
      </c>
      <c r="M644" s="14">
        <f>J644/K644-1</f>
        <v/>
      </c>
      <c r="N644" s="7" t="inlineStr">
        <is>
          <t>ACIMA +12.5%</t>
        </is>
      </c>
      <c r="O644" s="7" t="inlineStr"/>
    </row>
    <row r="645">
      <c r="A645" s="7" t="n">
        <v>534301</v>
      </c>
      <c r="B645" s="7" t="inlineStr"/>
      <c r="C645" s="12" t="inlineStr">
        <is>
          <t>7896014125265</t>
        </is>
      </c>
      <c r="D645" s="7" t="inlineStr">
        <is>
          <t>TINT. NUTRISSE 30 GRAFITE</t>
        </is>
      </c>
      <c r="E645" s="13" t="n">
        <v>1</v>
      </c>
      <c r="F645" s="13" t="n">
        <v>1</v>
      </c>
      <c r="G645" s="13" t="n">
        <v>1</v>
      </c>
      <c r="H645" s="8" t="n">
        <v>19.68</v>
      </c>
      <c r="I645" s="8">
        <f>G645*H645</f>
        <v/>
      </c>
      <c r="J645" s="8">
        <f>H645/E645</f>
        <v/>
      </c>
      <c r="K645" s="8" t="n">
        <v>17.14</v>
      </c>
      <c r="L645" s="8" t="n">
        <v>17.14</v>
      </c>
      <c r="M645" s="14">
        <f>J645/K645-1</f>
        <v/>
      </c>
      <c r="N645" s="7" t="inlineStr">
        <is>
          <t>ACIMA +14.8%</t>
        </is>
      </c>
      <c r="O645" s="7" t="inlineStr"/>
    </row>
    <row r="646">
      <c r="A646" s="7" t="n">
        <v>563021</v>
      </c>
      <c r="B646" s="7" t="inlineStr"/>
      <c r="C646" s="12" t="inlineStr">
        <is>
          <t>7896000706072</t>
        </is>
      </c>
      <c r="D646" s="7" t="inlineStr">
        <is>
          <t>TINT.COR&amp;TON 8.1 LOURO CINZA CLARO</t>
        </is>
      </c>
      <c r="E646" s="13" t="n">
        <v>1</v>
      </c>
      <c r="F646" s="13" t="n">
        <v>1</v>
      </c>
      <c r="G646" s="13" t="n">
        <v>1</v>
      </c>
      <c r="H646" s="8" t="n">
        <v>12.87</v>
      </c>
      <c r="I646" s="8">
        <f>G646*H646</f>
        <v/>
      </c>
      <c r="J646" s="8">
        <f>H646/E646</f>
        <v/>
      </c>
      <c r="K646" s="8" t="n">
        <v>12.09</v>
      </c>
      <c r="L646" s="8" t="n">
        <v>9.82</v>
      </c>
      <c r="M646" s="14">
        <f>J646/K646-1</f>
        <v/>
      </c>
      <c r="N646" s="7" t="inlineStr">
        <is>
          <t>ACIMA +6.5%</t>
        </is>
      </c>
      <c r="O646" s="7" t="inlineStr"/>
    </row>
    <row r="647">
      <c r="A647" s="7" t="n">
        <v>534361</v>
      </c>
      <c r="B647" s="7" t="inlineStr"/>
      <c r="C647" s="12" t="inlineStr">
        <is>
          <t>7896014125241</t>
        </is>
      </c>
      <c r="D647" s="7" t="inlineStr">
        <is>
          <t>TINT.NUTRISSE 10 PRETO ONIX</t>
        </is>
      </c>
      <c r="E647" s="13" t="n">
        <v>1</v>
      </c>
      <c r="F647" s="13" t="n">
        <v>2</v>
      </c>
      <c r="G647" s="13" t="n">
        <v>2</v>
      </c>
      <c r="H647" s="8" t="n">
        <v>19.68</v>
      </c>
      <c r="I647" s="8">
        <f>G647*H647</f>
        <v/>
      </c>
      <c r="J647" s="8">
        <f>H647/E647</f>
        <v/>
      </c>
      <c r="K647" s="8" t="n">
        <v>17.14</v>
      </c>
      <c r="L647" s="8" t="n">
        <v>17.14</v>
      </c>
      <c r="M647" s="14">
        <f>J647/K647-1</f>
        <v/>
      </c>
      <c r="N647" s="7" t="inlineStr">
        <is>
          <t>ACIMA +14.8%</t>
        </is>
      </c>
      <c r="O647" s="7" t="inlineStr"/>
    </row>
    <row r="648">
      <c r="A648" s="7" t="n">
        <v>535061</v>
      </c>
      <c r="B648" s="7" t="inlineStr"/>
      <c r="C648" s="12" t="inlineStr">
        <is>
          <t>7896000706041</t>
        </is>
      </c>
      <c r="D648" s="7" t="inlineStr">
        <is>
          <t>TINTURA PERMANENTE CORTON 50G 9.0 LOURO CLARISSIMO UNIT</t>
        </is>
      </c>
      <c r="E648" s="13" t="n">
        <v>1</v>
      </c>
      <c r="F648" s="13" t="n">
        <v>1</v>
      </c>
      <c r="G648" s="13" t="n">
        <v>1</v>
      </c>
      <c r="H648" s="8" t="n">
        <v>12.87</v>
      </c>
      <c r="I648" s="8">
        <f>G648*H648</f>
        <v/>
      </c>
      <c r="J648" s="8">
        <f>H648/E648</f>
        <v/>
      </c>
      <c r="K648" s="8" t="n">
        <v>10.5</v>
      </c>
      <c r="L648" s="8" t="n">
        <v>10.5</v>
      </c>
      <c r="M648" s="14">
        <f>J648/K648-1</f>
        <v/>
      </c>
      <c r="N648" s="7" t="inlineStr">
        <is>
          <t>ACIMA +22.6%</t>
        </is>
      </c>
      <c r="O648" s="7" t="inlineStr"/>
    </row>
    <row r="649">
      <c r="A649" s="7" t="n">
        <v>983</v>
      </c>
      <c r="B649" s="7" t="inlineStr"/>
      <c r="C649" s="12" t="inlineStr">
        <is>
          <t>7898636191581</t>
        </is>
      </c>
      <c r="D649" s="7" t="inlineStr">
        <is>
          <t>TIO NACHO SH+CON ENGROS 415ML</t>
        </is>
      </c>
      <c r="E649" s="13" t="n">
        <v>1</v>
      </c>
      <c r="F649" s="13" t="n">
        <v>1</v>
      </c>
      <c r="G649" s="13" t="n">
        <v>1</v>
      </c>
      <c r="H649" s="8" t="n">
        <v>48.66</v>
      </c>
      <c r="I649" s="8">
        <f>G649*H649</f>
        <v/>
      </c>
      <c r="J649" s="8">
        <f>H649/E649</f>
        <v/>
      </c>
      <c r="K649" s="8" t="n">
        <v>44.6</v>
      </c>
      <c r="L649" s="8" t="n">
        <v>44.6</v>
      </c>
      <c r="M649" s="14">
        <f>J649/K649-1</f>
        <v/>
      </c>
      <c r="N649" s="7" t="inlineStr">
        <is>
          <t>ACIMA +9.1%</t>
        </is>
      </c>
      <c r="O649" s="7" t="inlineStr"/>
    </row>
    <row r="650">
      <c r="A650" s="7" t="n">
        <v>602221</v>
      </c>
      <c r="B650" s="7" t="inlineStr"/>
      <c r="C650" s="12" t="inlineStr">
        <is>
          <t>7896018703636</t>
        </is>
      </c>
      <c r="D650" s="7" t="inlineStr">
        <is>
          <t>TOALHA UMD HUGGIES ONE&amp;DONE C/48</t>
        </is>
      </c>
      <c r="E650" s="13" t="n">
        <v>1</v>
      </c>
      <c r="F650" s="13" t="n">
        <v>8</v>
      </c>
      <c r="G650" s="13" t="n">
        <v>8</v>
      </c>
      <c r="H650" s="8" t="n">
        <v>12.19</v>
      </c>
      <c r="I650" s="8">
        <f>G650*H650</f>
        <v/>
      </c>
      <c r="J650" s="8">
        <f>H650/E650</f>
        <v/>
      </c>
      <c r="K650" s="8" t="n">
        <v>6.93</v>
      </c>
      <c r="L650" s="8" t="n">
        <v>6.93</v>
      </c>
      <c r="M650" s="14">
        <f>J650/K650-1</f>
        <v/>
      </c>
      <c r="N650" s="7" t="inlineStr">
        <is>
          <t>ACIMA +75.9%</t>
        </is>
      </c>
      <c r="O650" s="7" t="inlineStr"/>
    </row>
    <row r="651">
      <c r="A651" s="7" t="n">
        <v>674401</v>
      </c>
      <c r="B651" s="7" t="inlineStr"/>
      <c r="C651" s="12" t="inlineStr">
        <is>
          <t>7898966448409</t>
        </is>
      </c>
      <c r="D651" s="7" t="inlineStr">
        <is>
          <t>TOALHA UMED BEBE LIMP PREM X 140 CX 24</t>
        </is>
      </c>
      <c r="E651" s="13" t="n">
        <v>1</v>
      </c>
      <c r="F651" s="13" t="n">
        <v>8</v>
      </c>
      <c r="G651" s="13" t="n">
        <v>8</v>
      </c>
      <c r="H651" s="8" t="n">
        <v>13.3</v>
      </c>
      <c r="I651" s="8">
        <f>G651*H651</f>
        <v/>
      </c>
      <c r="J651" s="8">
        <f>H651/E651</f>
        <v/>
      </c>
      <c r="K651" s="8" t="n">
        <v>6.52</v>
      </c>
      <c r="L651" s="8" t="n">
        <v>6.52</v>
      </c>
      <c r="M651" s="14">
        <f>J651/K651-1</f>
        <v/>
      </c>
      <c r="N651" s="7" t="inlineStr">
        <is>
          <t>ACIMA +104.0%</t>
        </is>
      </c>
      <c r="O651" s="7" t="inlineStr">
        <is>
          <t>conferir emb.</t>
        </is>
      </c>
    </row>
    <row r="652">
      <c r="A652" s="7" t="n">
        <v>552081</v>
      </c>
      <c r="B652" s="7" t="inlineStr"/>
      <c r="C652" s="12" t="inlineStr">
        <is>
          <t>7896018700604</t>
        </is>
      </c>
      <c r="D652" s="7" t="inlineStr">
        <is>
          <t>TOALHA UMEDECIDA DISNEY BABY HUGGIES SUPREME CARE PACOTE 48 UNIDADES</t>
        </is>
      </c>
      <c r="E652" s="13" t="n">
        <v>1</v>
      </c>
      <c r="F652" s="13" t="n">
        <v>3</v>
      </c>
      <c r="G652" s="13" t="n">
        <v>3</v>
      </c>
      <c r="H652" s="8" t="n">
        <v>14.87</v>
      </c>
      <c r="I652" s="8">
        <f>G652*H652</f>
        <v/>
      </c>
      <c r="J652" s="8">
        <f>H652/E652</f>
        <v/>
      </c>
      <c r="K652" s="8" t="n">
        <v>9.011200000000001</v>
      </c>
      <c r="L652" s="8" t="n">
        <v>9.011200000000001</v>
      </c>
      <c r="M652" s="14">
        <f>J652/K652-1</f>
        <v/>
      </c>
      <c r="N652" s="7" t="inlineStr">
        <is>
          <t>ACIMA +65.0%</t>
        </is>
      </c>
      <c r="O652" s="7" t="inlineStr"/>
    </row>
    <row r="653">
      <c r="A653" s="7" t="n">
        <v>610651</v>
      </c>
      <c r="B653" s="7" t="inlineStr"/>
      <c r="C653" s="12" t="inlineStr">
        <is>
          <t>7908032300866</t>
        </is>
      </c>
      <c r="D653" s="7" t="inlineStr">
        <is>
          <t>TOALHAS UMED PIQUITUCHO PRATIC C/48UND</t>
        </is>
      </c>
      <c r="E653" s="13" t="n">
        <v>1</v>
      </c>
      <c r="F653" s="13" t="n">
        <v>9</v>
      </c>
      <c r="G653" s="13" t="n">
        <v>9</v>
      </c>
      <c r="H653" s="8" t="n">
        <v>4.0255</v>
      </c>
      <c r="I653" s="8">
        <f>G653*H653</f>
        <v/>
      </c>
      <c r="J653" s="8">
        <f>H653/E653</f>
        <v/>
      </c>
      <c r="K653" s="8" t="n">
        <v>6.03</v>
      </c>
      <c r="L653" s="8" t="n">
        <v>6.03</v>
      </c>
      <c r="M653" s="14">
        <f>J653/K653-1</f>
        <v/>
      </c>
      <c r="N653" s="7" t="inlineStr">
        <is>
          <t>OK (≤ menor hist.)</t>
        </is>
      </c>
      <c r="O653" s="7" t="inlineStr"/>
    </row>
    <row r="654">
      <c r="A654" s="7" t="n">
        <v>558541</v>
      </c>
      <c r="B654" s="7" t="inlineStr"/>
      <c r="C654" s="12" t="inlineStr">
        <is>
          <t>7891317015985</t>
        </is>
      </c>
      <c r="D654" s="7" t="inlineStr">
        <is>
          <t>TORANTE 15MG/ML XPE FR 100ML+COP</t>
        </is>
      </c>
      <c r="E654" s="13" t="n">
        <v>1</v>
      </c>
      <c r="F654" s="13" t="n">
        <v>1</v>
      </c>
      <c r="G654" s="13" t="n">
        <v>1</v>
      </c>
      <c r="H654" s="8" t="n">
        <v>51.2246</v>
      </c>
      <c r="I654" s="8">
        <f>G654*H654</f>
        <v/>
      </c>
      <c r="J654" s="8">
        <f>H654/E654</f>
        <v/>
      </c>
      <c r="K654" s="8" t="n">
        <v>50.52</v>
      </c>
      <c r="L654" s="8" t="n">
        <v>44.8</v>
      </c>
      <c r="M654" s="14">
        <f>J654/K654-1</f>
        <v/>
      </c>
      <c r="N654" s="7" t="inlineStr">
        <is>
          <t>ACIMA +1.4%</t>
        </is>
      </c>
      <c r="O654" s="7" t="inlineStr"/>
    </row>
    <row r="655">
      <c r="A655" s="7" t="n">
        <v>446421</v>
      </c>
      <c r="B655" s="7" t="inlineStr"/>
      <c r="C655" s="12" t="inlineStr">
        <is>
          <t>7898906376403</t>
        </is>
      </c>
      <c r="D655" s="7" t="inlineStr">
        <is>
          <t>TRIFAMOX 875+125MG CX 14 COMP REV</t>
        </is>
      </c>
      <c r="E655" s="13" t="n">
        <v>1</v>
      </c>
      <c r="F655" s="13" t="n">
        <v>1</v>
      </c>
      <c r="G655" s="13" t="n">
        <v>1</v>
      </c>
      <c r="H655" s="8" t="n">
        <v>127.3</v>
      </c>
      <c r="I655" s="8">
        <f>G655*H655</f>
        <v/>
      </c>
      <c r="J655" s="8">
        <f>H655/E655</f>
        <v/>
      </c>
      <c r="K655" s="8" t="n">
        <v>104.805</v>
      </c>
      <c r="L655" s="8" t="n">
        <v>104.805</v>
      </c>
      <c r="M655" s="14">
        <f>J655/K655-1</f>
        <v/>
      </c>
      <c r="N655" s="7" t="inlineStr">
        <is>
          <t>ACIMA +21.5%</t>
        </is>
      </c>
      <c r="O655" s="7" t="inlineStr"/>
    </row>
    <row r="656">
      <c r="A656" s="7" t="n">
        <v>395721</v>
      </c>
      <c r="B656" s="7" t="inlineStr"/>
      <c r="C656" s="12" t="inlineStr">
        <is>
          <t>7891010255947</t>
        </is>
      </c>
      <c r="D656" s="7" t="inlineStr">
        <is>
          <t>TYLENOL 200MG SOL OR FR GTS 15ML</t>
        </is>
      </c>
      <c r="E656" s="13" t="n">
        <v>1</v>
      </c>
      <c r="F656" s="13" t="n">
        <v>1</v>
      </c>
      <c r="G656" s="13" t="n">
        <v>1</v>
      </c>
      <c r="H656" s="8" t="n">
        <v>36.49</v>
      </c>
      <c r="I656" s="8">
        <f>G656*H656</f>
        <v/>
      </c>
      <c r="J656" s="8">
        <f>H656/E656</f>
        <v/>
      </c>
      <c r="K656" s="8" t="n">
        <v>35.85</v>
      </c>
      <c r="L656" s="8" t="n">
        <v>29.67</v>
      </c>
      <c r="M656" s="14">
        <f>J656/K656-1</f>
        <v/>
      </c>
      <c r="N656" s="7" t="inlineStr">
        <is>
          <t>ACIMA +1.8%</t>
        </is>
      </c>
      <c r="O656" s="7" t="inlineStr"/>
    </row>
    <row r="657">
      <c r="A657" s="7" t="n">
        <v>395781</v>
      </c>
      <c r="B657" s="7" t="inlineStr"/>
      <c r="C657" s="12" t="inlineStr">
        <is>
          <t>7891010986155</t>
        </is>
      </c>
      <c r="D657" s="7" t="inlineStr">
        <is>
          <t>TYLENOL 500MG CX 20 COMP REV</t>
        </is>
      </c>
      <c r="E657" s="13" t="n">
        <v>1</v>
      </c>
      <c r="F657" s="13" t="n">
        <v>4</v>
      </c>
      <c r="G657" s="13" t="n">
        <v>4</v>
      </c>
      <c r="H657" s="8" t="n">
        <v>30.69</v>
      </c>
      <c r="I657" s="8">
        <f>G657*H657</f>
        <v/>
      </c>
      <c r="J657" s="8">
        <f>H657/E657</f>
        <v/>
      </c>
      <c r="K657" s="8" t="n">
        <v>27.43</v>
      </c>
      <c r="L657" s="8" t="n">
        <v>27.43</v>
      </c>
      <c r="M657" s="14">
        <f>J657/K657-1</f>
        <v/>
      </c>
      <c r="N657" s="7" t="inlineStr">
        <is>
          <t>ACIMA +11.9%</t>
        </is>
      </c>
      <c r="O657" s="7" t="inlineStr"/>
    </row>
    <row r="658">
      <c r="A658" s="7" t="n">
        <v>395741</v>
      </c>
      <c r="B658" s="7" t="inlineStr"/>
      <c r="C658" s="12" t="inlineStr">
        <is>
          <t>7891010255909</t>
        </is>
      </c>
      <c r="D658" s="7" t="inlineStr">
        <is>
          <t>TYLENOL BEBE 100MG SUS OR FR GTS 15ML+SER DOS</t>
        </is>
      </c>
      <c r="E658" s="13" t="n">
        <v>1</v>
      </c>
      <c r="F658" s="13" t="n">
        <v>1</v>
      </c>
      <c r="G658" s="13" t="n">
        <v>1</v>
      </c>
      <c r="H658" s="8" t="n">
        <v>49.56</v>
      </c>
      <c r="I658" s="8">
        <f>G658*H658</f>
        <v/>
      </c>
      <c r="J658" s="8">
        <f>H658/E658</f>
        <v/>
      </c>
      <c r="K658" s="8" t="n">
        <v>39.48</v>
      </c>
      <c r="L658" s="8" t="n">
        <v>39.16</v>
      </c>
      <c r="M658" s="14">
        <f>J658/K658-1</f>
        <v/>
      </c>
      <c r="N658" s="7" t="inlineStr">
        <is>
          <t>ACIMA +25.5%</t>
        </is>
      </c>
      <c r="O658" s="7" t="inlineStr"/>
    </row>
    <row r="659">
      <c r="A659" s="7" t="n">
        <v>413281</v>
      </c>
      <c r="B659" s="7" t="inlineStr"/>
      <c r="C659" s="12" t="inlineStr">
        <is>
          <t>7898948648131</t>
        </is>
      </c>
      <c r="D659" s="7" t="inlineStr">
        <is>
          <t>UTROGESTAN 100MG CX 30 CAP</t>
        </is>
      </c>
      <c r="E659" s="13" t="n">
        <v>1</v>
      </c>
      <c r="F659" s="13" t="n">
        <v>1</v>
      </c>
      <c r="G659" s="13" t="n">
        <v>1</v>
      </c>
      <c r="H659" s="8" t="n">
        <v>63.12</v>
      </c>
      <c r="I659" s="8">
        <f>G659*H659</f>
        <v/>
      </c>
      <c r="J659" s="8">
        <f>H659/E659</f>
        <v/>
      </c>
      <c r="K659" s="8" t="n">
        <v>64.64</v>
      </c>
      <c r="L659" s="8" t="n">
        <v>56.81</v>
      </c>
      <c r="M659" s="14">
        <f>J659/K659-1</f>
        <v/>
      </c>
      <c r="N659" s="7" t="inlineStr">
        <is>
          <t>OK (≤ últ. compra)</t>
        </is>
      </c>
      <c r="O659" s="7" t="inlineStr"/>
    </row>
    <row r="660">
      <c r="A660" s="7" t="n">
        <v>413241</v>
      </c>
      <c r="B660" s="7" t="inlineStr"/>
      <c r="C660" s="12" t="inlineStr">
        <is>
          <t>7898948648148</t>
        </is>
      </c>
      <c r="D660" s="7" t="inlineStr">
        <is>
          <t>UTROGESTAN 200MG CX 14 CAP</t>
        </is>
      </c>
      <c r="E660" s="13" t="n">
        <v>1</v>
      </c>
      <c r="F660" s="13" t="n">
        <v>3</v>
      </c>
      <c r="G660" s="13" t="n">
        <v>3</v>
      </c>
      <c r="H660" s="8" t="n">
        <v>58.95</v>
      </c>
      <c r="I660" s="8">
        <f>G660*H660</f>
        <v/>
      </c>
      <c r="J660" s="8">
        <f>H660/E660</f>
        <v/>
      </c>
      <c r="K660" s="8" t="n">
        <v>60.36</v>
      </c>
      <c r="L660" s="8" t="n">
        <v>53.0533</v>
      </c>
      <c r="M660" s="14">
        <f>J660/K660-1</f>
        <v/>
      </c>
      <c r="N660" s="7" t="inlineStr">
        <is>
          <t>OK (≤ últ. compra)</t>
        </is>
      </c>
      <c r="O660" s="7" t="inlineStr"/>
    </row>
    <row r="661">
      <c r="A661" s="7" t="n">
        <v>319341</v>
      </c>
      <c r="B661" s="7" t="inlineStr"/>
      <c r="C661" s="12" t="inlineStr">
        <is>
          <t>7891045008433</t>
        </is>
      </c>
      <c r="D661" s="7" t="inlineStr">
        <is>
          <t>V - NORDETTE 0,15+0,03MG CX 21 DRG</t>
        </is>
      </c>
      <c r="E661" s="13" t="n">
        <v>1</v>
      </c>
      <c r="F661" s="13" t="n">
        <v>4</v>
      </c>
      <c r="G661" s="13" t="n">
        <v>4</v>
      </c>
      <c r="H661" s="8" t="n">
        <v>9.927499999999998</v>
      </c>
      <c r="I661" s="8">
        <f>G661*H661</f>
        <v/>
      </c>
      <c r="J661" s="8">
        <f>H661/E661</f>
        <v/>
      </c>
      <c r="K661" s="8" t="n">
        <v>10.31</v>
      </c>
      <c r="L661" s="8" t="n">
        <v>9.265000000000001</v>
      </c>
      <c r="M661" s="14">
        <f>J661/K661-1</f>
        <v/>
      </c>
      <c r="N661" s="7" t="inlineStr">
        <is>
          <t>OK (≤ últ. compra)</t>
        </is>
      </c>
      <c r="O661" s="7" t="inlineStr"/>
    </row>
    <row r="662">
      <c r="A662" s="7" t="n">
        <v>654331</v>
      </c>
      <c r="B662" s="7" t="inlineStr"/>
      <c r="C662" s="12" t="inlineStr">
        <is>
          <t>7891653014260</t>
        </is>
      </c>
      <c r="D662" s="7" t="inlineStr">
        <is>
          <t>VAGISIL DEO INTIMO JASMIN BRANCO 75ML</t>
        </is>
      </c>
      <c r="E662" s="13" t="n">
        <v>1</v>
      </c>
      <c r="F662" s="13" t="n">
        <v>1</v>
      </c>
      <c r="G662" s="13" t="n">
        <v>1</v>
      </c>
      <c r="H662" s="8" t="n">
        <v>25.77</v>
      </c>
      <c r="I662" s="8">
        <f>G662*H662</f>
        <v/>
      </c>
      <c r="J662" s="8">
        <f>H662/E662</f>
        <v/>
      </c>
      <c r="K662" s="8" t="n">
        <v>24.47</v>
      </c>
      <c r="L662" s="8" t="n">
        <v>24.47</v>
      </c>
      <c r="M662" s="14">
        <f>J662/K662-1</f>
        <v/>
      </c>
      <c r="N662" s="7" t="inlineStr">
        <is>
          <t>ACIMA +5.3%</t>
        </is>
      </c>
      <c r="O662" s="7" t="inlineStr"/>
    </row>
    <row r="663">
      <c r="A663" s="7" t="n">
        <v>662301</v>
      </c>
      <c r="B663" s="7" t="inlineStr"/>
      <c r="C663" s="12" t="inlineStr">
        <is>
          <t>7891653014031</t>
        </is>
      </c>
      <c r="D663" s="7" t="inlineStr">
        <is>
          <t>VAGISIL DEO INTIMO ODOR BLOCK 60ML</t>
        </is>
      </c>
      <c r="E663" s="13" t="n">
        <v>1</v>
      </c>
      <c r="F663" s="13" t="n">
        <v>1</v>
      </c>
      <c r="G663" s="13" t="n">
        <v>1</v>
      </c>
      <c r="H663" s="8" t="n">
        <v>22.43</v>
      </c>
      <c r="I663" s="8">
        <f>G663*H663</f>
        <v/>
      </c>
      <c r="J663" s="8">
        <f>H663/E663</f>
        <v/>
      </c>
      <c r="K663" s="8" t="n">
        <v>22.43</v>
      </c>
      <c r="L663" s="8" t="n">
        <v>22.42</v>
      </c>
      <c r="M663" s="14">
        <f>J663/K663-1</f>
        <v/>
      </c>
      <c r="N663" s="7" t="inlineStr">
        <is>
          <t>OK (≤ últ. compra)</t>
        </is>
      </c>
      <c r="O663" s="7" t="inlineStr"/>
    </row>
    <row r="664">
      <c r="A664" s="7" t="n">
        <v>654311</v>
      </c>
      <c r="B664" s="7" t="inlineStr"/>
      <c r="C664" s="12" t="inlineStr">
        <is>
          <t>7891653040078</t>
        </is>
      </c>
      <c r="D664" s="7" t="inlineStr">
        <is>
          <t>VAGISIL SAB INTIMO URIN PROTECT 300ML</t>
        </is>
      </c>
      <c r="E664" s="13" t="n">
        <v>1</v>
      </c>
      <c r="F664" s="13" t="n">
        <v>4</v>
      </c>
      <c r="G664" s="13" t="n">
        <v>4</v>
      </c>
      <c r="H664" s="8" t="n">
        <v>21.67</v>
      </c>
      <c r="I664" s="8">
        <f>G664*H664</f>
        <v/>
      </c>
      <c r="J664" s="8">
        <f>H664/E664</f>
        <v/>
      </c>
      <c r="K664" s="8" t="n">
        <v>21.68</v>
      </c>
      <c r="L664" s="8" t="n">
        <v>17.95</v>
      </c>
      <c r="M664" s="14">
        <f>J664/K664-1</f>
        <v/>
      </c>
      <c r="N664" s="7" t="inlineStr">
        <is>
          <t>OK (≤ últ. compra)</t>
        </is>
      </c>
      <c r="O664" s="7" t="inlineStr">
        <is>
          <t>estoque parcial (1 un)</t>
        </is>
      </c>
    </row>
    <row r="665">
      <c r="A665" s="7" t="n">
        <v>543061</v>
      </c>
      <c r="B665" s="7" t="inlineStr"/>
      <c r="C665" s="12" t="inlineStr">
        <is>
          <t>000001355406</t>
        </is>
      </c>
      <c r="D665" s="7" t="inlineStr">
        <is>
          <t>VALDA FRIENDS PASTILHA SACHE 25G</t>
        </is>
      </c>
      <c r="E665" s="13" t="n">
        <v>10</v>
      </c>
      <c r="F665" s="13" t="n">
        <v>1</v>
      </c>
      <c r="G665" s="13" t="n">
        <v>1</v>
      </c>
      <c r="H665" s="8" t="n">
        <v>53.6844</v>
      </c>
      <c r="I665" s="8">
        <f>G665*H665</f>
        <v/>
      </c>
      <c r="J665" s="8">
        <f>H665/E665</f>
        <v/>
      </c>
      <c r="K665" s="8" t="n">
        <v>5.734</v>
      </c>
      <c r="L665" s="8" t="n">
        <v>5.734</v>
      </c>
      <c r="M665" s="14">
        <f>J665/K665-1</f>
        <v/>
      </c>
      <c r="N665" s="7" t="inlineStr">
        <is>
          <t>OK (≤ menor hist.)</t>
        </is>
      </c>
      <c r="O665" s="7" t="inlineStr">
        <is>
          <t>1 emb = 10 un</t>
        </is>
      </c>
    </row>
    <row r="666">
      <c r="A666" s="7" t="n">
        <v>619911</v>
      </c>
      <c r="B666" s="7" t="inlineStr"/>
      <c r="C666" s="12" t="inlineStr">
        <is>
          <t>7896902214828</t>
        </is>
      </c>
      <c r="D666" s="7" t="inlineStr">
        <is>
          <t>VASELINA LIQUIDA 100ML (VASEMAX)</t>
        </is>
      </c>
      <c r="E666" s="13" t="n">
        <v>1</v>
      </c>
      <c r="F666" s="13" t="n">
        <v>1</v>
      </c>
      <c r="G666" s="13" t="n">
        <v>1</v>
      </c>
      <c r="H666" s="8" t="n">
        <v>5.38</v>
      </c>
      <c r="I666" s="8">
        <f>G666*H666</f>
        <v/>
      </c>
      <c r="J666" s="8">
        <f>H666/E666</f>
        <v/>
      </c>
      <c r="K666" s="8" t="n">
        <v>4.36</v>
      </c>
      <c r="L666" s="8" t="n">
        <v>4.36</v>
      </c>
      <c r="M666" s="14">
        <f>J666/K666-1</f>
        <v/>
      </c>
      <c r="N666" s="7" t="inlineStr">
        <is>
          <t>ACIMA +23.4%</t>
        </is>
      </c>
      <c r="O666" s="7" t="inlineStr"/>
    </row>
    <row r="667">
      <c r="A667" s="7" t="n">
        <v>621491</v>
      </c>
      <c r="B667" s="7" t="inlineStr"/>
      <c r="C667" s="12" t="inlineStr">
        <is>
          <t>7896004789545</t>
        </is>
      </c>
      <c r="D667" s="7" t="inlineStr">
        <is>
          <t>VENCIDO - LEFOR 2,5MG CX 30 COMP</t>
        </is>
      </c>
      <c r="E667" s="13" t="n">
        <v>1</v>
      </c>
      <c r="F667" s="13" t="n">
        <v>1</v>
      </c>
      <c r="G667" s="13" t="n">
        <v>1</v>
      </c>
      <c r="H667" s="8" t="n">
        <v>46.73175</v>
      </c>
      <c r="I667" s="8">
        <f>G667*H667</f>
        <v/>
      </c>
      <c r="J667" s="8">
        <f>H667/E667</f>
        <v/>
      </c>
      <c r="K667" s="8" t="n">
        <v>42.835</v>
      </c>
      <c r="L667" s="8" t="n">
        <v>42.835</v>
      </c>
      <c r="M667" s="14">
        <f>J667/K667-1</f>
        <v/>
      </c>
      <c r="N667" s="7" t="inlineStr">
        <is>
          <t>ACIMA +9.1%</t>
        </is>
      </c>
      <c r="O667" s="7" t="inlineStr"/>
    </row>
    <row r="668">
      <c r="A668" s="7" t="n">
        <v>651281</v>
      </c>
      <c r="B668" s="7" t="inlineStr"/>
      <c r="C668" s="12" t="inlineStr">
        <is>
          <t>7500435245340</t>
        </is>
      </c>
      <c r="D668" s="7" t="inlineStr">
        <is>
          <t>VICK DROPS MEL C/20 PAST-DEMAIS PROD</t>
        </is>
      </c>
      <c r="E668" s="13" t="n">
        <v>1</v>
      </c>
      <c r="F668" s="13" t="n">
        <v>1</v>
      </c>
      <c r="G668" s="13" t="n">
        <v>1</v>
      </c>
      <c r="H668" s="8" t="n">
        <v>10.9345</v>
      </c>
      <c r="I668" s="8">
        <f>G668*H668</f>
        <v/>
      </c>
      <c r="J668" s="8">
        <f>H668/E668</f>
        <v/>
      </c>
      <c r="K668" s="8" t="n">
        <v>9.960000000000001</v>
      </c>
      <c r="L668" s="8" t="n">
        <v>7.77</v>
      </c>
      <c r="M668" s="14">
        <f>J668/K668-1</f>
        <v/>
      </c>
      <c r="N668" s="7" t="inlineStr">
        <is>
          <t>ACIMA +9.8%</t>
        </is>
      </c>
      <c r="O668" s="7" t="inlineStr"/>
    </row>
    <row r="669">
      <c r="A669" s="7" t="n">
        <v>660421</v>
      </c>
      <c r="B669" s="7" t="inlineStr"/>
      <c r="C669" s="12" t="inlineStr">
        <is>
          <t>7500435245357</t>
        </is>
      </c>
      <c r="D669" s="7" t="inlineStr">
        <is>
          <t>VICK DROPS MENTOL C/20 PAST-DEMAIS PROD</t>
        </is>
      </c>
      <c r="E669" s="13" t="n">
        <v>1</v>
      </c>
      <c r="F669" s="13" t="n">
        <v>1</v>
      </c>
      <c r="G669" s="13" t="n">
        <v>1</v>
      </c>
      <c r="H669" s="8" t="n">
        <v>10.9345</v>
      </c>
      <c r="I669" s="8">
        <f>G669*H669</f>
        <v/>
      </c>
      <c r="J669" s="8">
        <f>H669/E669</f>
        <v/>
      </c>
      <c r="K669" s="8" t="n">
        <v>47.15</v>
      </c>
      <c r="L669" s="8" t="n">
        <v>7.66</v>
      </c>
      <c r="M669" s="14">
        <f>J669/K669-1</f>
        <v/>
      </c>
      <c r="N669" s="7" t="inlineStr">
        <is>
          <t>OK (≤ últ. compra)</t>
        </is>
      </c>
      <c r="O669" s="7" t="inlineStr">
        <is>
          <t>conferir emb.</t>
        </is>
      </c>
    </row>
    <row r="670">
      <c r="A670" s="7" t="n">
        <v>468541</v>
      </c>
      <c r="B670" s="7" t="inlineStr"/>
      <c r="C670" s="12" t="inlineStr">
        <is>
          <t>7897129303579</t>
        </is>
      </c>
      <c r="D670" s="7" t="inlineStr">
        <is>
          <t>VITACID XT 1,00MG/G CREME DERM BG 25G</t>
        </is>
      </c>
      <c r="E670" s="13" t="n">
        <v>1</v>
      </c>
      <c r="F670" s="13" t="n">
        <v>1</v>
      </c>
      <c r="G670" s="13" t="n">
        <v>1</v>
      </c>
      <c r="H670" s="8" t="n">
        <v>58.3632</v>
      </c>
      <c r="I670" s="8">
        <f>G670*H670</f>
        <v/>
      </c>
      <c r="J670" s="8">
        <f>H670/E670</f>
        <v/>
      </c>
      <c r="K670" s="8" t="n">
        <v>47.28</v>
      </c>
      <c r="L670" s="8" t="n">
        <v>47.28</v>
      </c>
      <c r="M670" s="14">
        <f>J670/K670-1</f>
        <v/>
      </c>
      <c r="N670" s="7" t="inlineStr">
        <is>
          <t>ACIMA +23.4%</t>
        </is>
      </c>
      <c r="O670" s="7" t="inlineStr"/>
    </row>
    <row r="671">
      <c r="A671" s="7" t="n">
        <v>753</v>
      </c>
      <c r="B671" s="7" t="inlineStr"/>
      <c r="C671" s="12" t="inlineStr">
        <is>
          <t>7894916325691</t>
        </is>
      </c>
      <c r="D671" s="7" t="inlineStr">
        <is>
          <t>VOLIG 4MG CX 4 COMP</t>
        </is>
      </c>
      <c r="E671" s="13" t="n">
        <v>1</v>
      </c>
      <c r="F671" s="13" t="n">
        <v>2</v>
      </c>
      <c r="G671" s="13" t="n">
        <v>2</v>
      </c>
      <c r="H671" s="8" t="n">
        <v>14.21</v>
      </c>
      <c r="I671" s="8">
        <f>G671*H671</f>
        <v/>
      </c>
      <c r="J671" s="8">
        <f>H671/E671</f>
        <v/>
      </c>
      <c r="K671" s="8" t="n">
        <v>2.33</v>
      </c>
      <c r="L671" s="8" t="n">
        <v>2.33</v>
      </c>
      <c r="M671" s="14">
        <f>J671/K671-1</f>
        <v/>
      </c>
      <c r="N671" s="7" t="inlineStr">
        <is>
          <t>ACIMA +509.9%</t>
        </is>
      </c>
      <c r="O671" s="7" t="inlineStr">
        <is>
          <t>conferir emb.</t>
        </is>
      </c>
    </row>
    <row r="672">
      <c r="A672" s="7" t="n">
        <v>647851</v>
      </c>
      <c r="B672" s="7" t="inlineStr"/>
      <c r="C672" s="12" t="inlineStr">
        <is>
          <t>7896112407171</t>
        </is>
      </c>
      <c r="D672" s="7" t="inlineStr">
        <is>
          <t>VONAUGASMAX 250MG 10CAPS</t>
        </is>
      </c>
      <c r="E672" s="13" t="n">
        <v>1</v>
      </c>
      <c r="F672" s="13" t="n">
        <v>2</v>
      </c>
      <c r="G672" s="13" t="n">
        <v>2</v>
      </c>
      <c r="H672" s="8" t="n">
        <v>28.224</v>
      </c>
      <c r="I672" s="8">
        <f>G672*H672</f>
        <v/>
      </c>
      <c r="J672" s="8">
        <f>H672/E672</f>
        <v/>
      </c>
      <c r="K672" s="8" t="n">
        <v>14.4425</v>
      </c>
      <c r="L672" s="8" t="n">
        <v>14.4425</v>
      </c>
      <c r="M672" s="14">
        <f>J672/K672-1</f>
        <v/>
      </c>
      <c r="N672" s="7" t="inlineStr">
        <is>
          <t>ACIMA +95.4%</t>
        </is>
      </c>
      <c r="O672" s="7" t="inlineStr"/>
    </row>
    <row r="673">
      <c r="A673" s="7" t="n">
        <v>635041</v>
      </c>
      <c r="B673" s="7" t="inlineStr"/>
      <c r="C673" s="12" t="inlineStr">
        <is>
          <t>7899852025520</t>
        </is>
      </c>
      <c r="D673" s="7" t="inlineStr">
        <is>
          <t>VULT HAIR CO CACHOS 325ML</t>
        </is>
      </c>
      <c r="E673" s="13" t="n">
        <v>1</v>
      </c>
      <c r="F673" s="13" t="n">
        <v>1</v>
      </c>
      <c r="G673" s="13" t="n">
        <v>1</v>
      </c>
      <c r="H673" s="8" t="n">
        <v>20.72</v>
      </c>
      <c r="I673" s="8">
        <f>G673*H673</f>
        <v/>
      </c>
      <c r="J673" s="8">
        <f>H673/E673</f>
        <v/>
      </c>
      <c r="K673" s="8" t="n">
        <v>19.3</v>
      </c>
      <c r="L673" s="8" t="n">
        <v>19.3</v>
      </c>
      <c r="M673" s="14">
        <f>J673/K673-1</f>
        <v/>
      </c>
      <c r="N673" s="7" t="inlineStr">
        <is>
          <t>ACIMA +7.4%</t>
        </is>
      </c>
      <c r="O673" s="7" t="inlineStr"/>
    </row>
    <row r="674">
      <c r="A674" s="7" t="n">
        <v>635051</v>
      </c>
      <c r="B674" s="7" t="inlineStr"/>
      <c r="C674" s="12" t="inlineStr">
        <is>
          <t>7899852025506</t>
        </is>
      </c>
      <c r="D674" s="7" t="inlineStr">
        <is>
          <t>VULT HAIR CO LISOS 325ML</t>
        </is>
      </c>
      <c r="E674" s="13" t="n">
        <v>1</v>
      </c>
      <c r="F674" s="13" t="n">
        <v>1</v>
      </c>
      <c r="G674" s="13" t="n">
        <v>1</v>
      </c>
      <c r="H674" s="8" t="n">
        <v>20.72</v>
      </c>
      <c r="I674" s="8">
        <f>G674*H674</f>
        <v/>
      </c>
      <c r="J674" s="8">
        <f>H674/E674</f>
        <v/>
      </c>
      <c r="K674" s="8" t="n">
        <v>19.11</v>
      </c>
      <c r="L674" s="8" t="n">
        <v>19.11</v>
      </c>
      <c r="M674" s="14">
        <f>J674/K674-1</f>
        <v/>
      </c>
      <c r="N674" s="7" t="inlineStr">
        <is>
          <t>ACIMA +8.4%</t>
        </is>
      </c>
      <c r="O674" s="7" t="inlineStr"/>
    </row>
    <row r="675">
      <c r="A675" s="7" t="n">
        <v>635141</v>
      </c>
      <c r="B675" s="7" t="inlineStr"/>
      <c r="C675" s="12" t="inlineStr">
        <is>
          <t>7899852025407</t>
        </is>
      </c>
      <c r="D675" s="7" t="inlineStr">
        <is>
          <t>VULT HAIR CO RECARGA DE HIDRATACAO 325ML</t>
        </is>
      </c>
      <c r="E675" s="13" t="n">
        <v>1</v>
      </c>
      <c r="F675" s="13" t="n">
        <v>4</v>
      </c>
      <c r="G675" s="13" t="n">
        <v>4</v>
      </c>
      <c r="H675" s="8" t="n">
        <v>20.72</v>
      </c>
      <c r="I675" s="8">
        <f>G675*H675</f>
        <v/>
      </c>
      <c r="J675" s="8">
        <f>H675/E675</f>
        <v/>
      </c>
      <c r="K675" s="8" t="n">
        <v>18.23</v>
      </c>
      <c r="L675" s="8" t="n">
        <v>18.23</v>
      </c>
      <c r="M675" s="14">
        <f>J675/K675-1</f>
        <v/>
      </c>
      <c r="N675" s="7" t="inlineStr">
        <is>
          <t>ACIMA +13.7%</t>
        </is>
      </c>
      <c r="O675" s="7" t="inlineStr"/>
    </row>
    <row r="676">
      <c r="A676" s="7" t="n">
        <v>635081</v>
      </c>
      <c r="B676" s="7" t="inlineStr"/>
      <c r="C676" s="12" t="inlineStr">
        <is>
          <t>7899852025513</t>
        </is>
      </c>
      <c r="D676" s="7" t="inlineStr">
        <is>
          <t>VULT HAIR SH CACHOS 350ML</t>
        </is>
      </c>
      <c r="E676" s="13" t="n">
        <v>1</v>
      </c>
      <c r="F676" s="13" t="n">
        <v>1</v>
      </c>
      <c r="G676" s="13" t="n">
        <v>1</v>
      </c>
      <c r="H676" s="8" t="n">
        <v>18.5</v>
      </c>
      <c r="I676" s="8">
        <f>G676*H676</f>
        <v/>
      </c>
      <c r="J676" s="8">
        <f>H676/E676</f>
        <v/>
      </c>
      <c r="K676" s="8" t="n">
        <v>16.55</v>
      </c>
      <c r="L676" s="8" t="n">
        <v>16.55</v>
      </c>
      <c r="M676" s="14">
        <f>J676/K676-1</f>
        <v/>
      </c>
      <c r="N676" s="7" t="inlineStr">
        <is>
          <t>ACIMA +11.8%</t>
        </is>
      </c>
      <c r="O676" s="7" t="inlineStr"/>
    </row>
    <row r="677">
      <c r="A677" s="7" t="n">
        <v>635091</v>
      </c>
      <c r="B677" s="7" t="inlineStr"/>
      <c r="C677" s="12" t="inlineStr">
        <is>
          <t>7899852025452</t>
        </is>
      </c>
      <c r="D677" s="7" t="inlineStr">
        <is>
          <t>VULT HAIR SH LISOS 350ML</t>
        </is>
      </c>
      <c r="E677" s="13" t="n">
        <v>1</v>
      </c>
      <c r="F677" s="13" t="n">
        <v>1</v>
      </c>
      <c r="G677" s="13" t="n">
        <v>1</v>
      </c>
      <c r="H677" s="8" t="n">
        <v>18.5</v>
      </c>
      <c r="I677" s="8">
        <f>G677*H677</f>
        <v/>
      </c>
      <c r="J677" s="8">
        <f>H677/E677</f>
        <v/>
      </c>
      <c r="K677" s="8" t="n">
        <v>18.74</v>
      </c>
      <c r="L677" s="8" t="n">
        <v>18.74</v>
      </c>
      <c r="M677" s="14">
        <f>J677/K677-1</f>
        <v/>
      </c>
      <c r="N677" s="7" t="inlineStr">
        <is>
          <t>OK (≤ menor hist.)</t>
        </is>
      </c>
      <c r="O677" s="7" t="inlineStr"/>
    </row>
    <row r="678">
      <c r="A678" s="7" t="n">
        <v>596011</v>
      </c>
      <c r="B678" s="7" t="inlineStr"/>
      <c r="C678" s="12" t="inlineStr">
        <is>
          <t>7899852020051</t>
        </is>
      </c>
      <c r="D678" s="7" t="inlineStr">
        <is>
          <t>VULT MAKE PROT LABIAL BALM MELANCIA 3,5G</t>
        </is>
      </c>
      <c r="E678" s="13" t="n">
        <v>1</v>
      </c>
      <c r="F678" s="13" t="n">
        <v>1</v>
      </c>
      <c r="G678" s="13" t="n">
        <v>1</v>
      </c>
      <c r="H678" s="8" t="n">
        <v>13.72</v>
      </c>
      <c r="I678" s="8">
        <f>G678*H678</f>
        <v/>
      </c>
      <c r="J678" s="8">
        <f>H678/E678</f>
        <v/>
      </c>
      <c r="K678" s="8" t="n">
        <v>11.1</v>
      </c>
      <c r="L678" s="8" t="n">
        <v>11.1</v>
      </c>
      <c r="M678" s="14">
        <f>J678/K678-1</f>
        <v/>
      </c>
      <c r="N678" s="7" t="inlineStr">
        <is>
          <t>ACIMA +23.6%</t>
        </is>
      </c>
      <c r="O678" s="7" t="inlineStr"/>
    </row>
    <row r="679">
      <c r="A679" s="7" t="n">
        <v>595991</v>
      </c>
      <c r="B679" s="7" t="inlineStr"/>
      <c r="C679" s="12" t="inlineStr">
        <is>
          <t>7899852020075</t>
        </is>
      </c>
      <c r="D679" s="7" t="inlineStr">
        <is>
          <t>VULT MAKE PROT LABIAL BALM MORANGO 3,5G</t>
        </is>
      </c>
      <c r="E679" s="13" t="n">
        <v>1</v>
      </c>
      <c r="F679" s="13" t="n">
        <v>1</v>
      </c>
      <c r="G679" s="13" t="n">
        <v>1</v>
      </c>
      <c r="H679" s="8" t="n">
        <v>13.72</v>
      </c>
      <c r="I679" s="8">
        <f>G679*H679</f>
        <v/>
      </c>
      <c r="J679" s="8">
        <f>H679/E679</f>
        <v/>
      </c>
      <c r="K679" s="8" t="n">
        <v>8.82</v>
      </c>
      <c r="L679" s="8" t="n">
        <v>8.82</v>
      </c>
      <c r="M679" s="14">
        <f>J679/K679-1</f>
        <v/>
      </c>
      <c r="N679" s="7" t="inlineStr">
        <is>
          <t>ACIMA +55.6%</t>
        </is>
      </c>
      <c r="O679" s="7" t="inlineStr"/>
    </row>
    <row r="680">
      <c r="A680" s="7" t="n">
        <v>556961</v>
      </c>
      <c r="B680" s="7" t="inlineStr"/>
      <c r="C680" s="12" t="inlineStr">
        <is>
          <t>7897947604506</t>
        </is>
      </c>
      <c r="D680" s="7" t="inlineStr">
        <is>
          <t>XO INSETO KIDS LOCAO 100 ML</t>
        </is>
      </c>
      <c r="E680" s="13" t="n">
        <v>1</v>
      </c>
      <c r="F680" s="13" t="n">
        <v>22</v>
      </c>
      <c r="G680" s="13" t="n">
        <v>22</v>
      </c>
      <c r="H680" s="8" t="n">
        <v>12.22</v>
      </c>
      <c r="I680" s="8">
        <f>G680*H680</f>
        <v/>
      </c>
      <c r="J680" s="8">
        <f>H680/E680</f>
        <v/>
      </c>
      <c r="K680" s="8" t="n">
        <v>8.69</v>
      </c>
      <c r="L680" s="8" t="n">
        <v>7.99</v>
      </c>
      <c r="M680" s="14">
        <f>J680/K680-1</f>
        <v/>
      </c>
      <c r="N680" s="7" t="inlineStr">
        <is>
          <t>ACIMA +40.6%</t>
        </is>
      </c>
      <c r="O680" s="7" t="inlineStr"/>
    </row>
    <row r="681">
      <c r="D681" s="5" t="inlineStr">
        <is>
          <t>TOTAL</t>
        </is>
      </c>
      <c r="I681" s="18">
        <f>SUM(I2:I680)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515381</v>
      </c>
      <c r="B3" s="7" t="inlineStr"/>
      <c r="C3" s="12" t="inlineStr">
        <is>
          <t>7891721202391</t>
        </is>
      </c>
      <c r="D3" s="7" t="inlineStr">
        <is>
          <t>ACICLOVIR 400MG FR 30 COMP</t>
        </is>
      </c>
      <c r="E3" s="13" t="n">
        <v>1</v>
      </c>
      <c r="F3" s="13" t="n">
        <v>2</v>
      </c>
      <c r="G3" s="13" t="n">
        <v>2</v>
      </c>
      <c r="H3" s="8" t="n">
        <v>35.01</v>
      </c>
      <c r="I3" s="8">
        <f>G3*H3</f>
        <v/>
      </c>
      <c r="J3" s="8">
        <f>H3/E3</f>
        <v/>
      </c>
      <c r="K3" s="8" t="n">
        <v>30.457</v>
      </c>
      <c r="L3" s="8" t="n">
        <v>30.457</v>
      </c>
      <c r="M3" s="14">
        <f>J3/K3-1</f>
        <v/>
      </c>
      <c r="N3" s="7" t="inlineStr">
        <is>
          <t>ACIMA +14.9%</t>
        </is>
      </c>
      <c r="O3" s="7" t="inlineStr"/>
    </row>
    <row r="4">
      <c r="A4" s="7" t="n">
        <v>558201</v>
      </c>
      <c r="B4" s="7" t="inlineStr"/>
      <c r="C4" s="12" t="inlineStr">
        <is>
          <t>78909830</t>
        </is>
      </c>
      <c r="D4" s="7" t="inlineStr">
        <is>
          <t>AGULHA DESC 30X7 CX100 BD</t>
        </is>
      </c>
      <c r="E4" s="13" t="n">
        <v>1</v>
      </c>
      <c r="F4" s="13" t="n">
        <v>1</v>
      </c>
      <c r="G4" s="13" t="n">
        <v>1</v>
      </c>
      <c r="H4" s="8" t="n">
        <v>19.56</v>
      </c>
      <c r="I4" s="8">
        <f>G4*H4</f>
        <v/>
      </c>
      <c r="J4" s="8">
        <f>H4/E4</f>
        <v/>
      </c>
      <c r="K4" s="8" t="n"/>
      <c r="L4" s="8" t="n"/>
      <c r="M4" s="14" t="n"/>
      <c r="N4" s="7" t="inlineStr">
        <is>
          <t>SEM HISTÓRICO</t>
        </is>
      </c>
      <c r="O4" s="7" t="inlineStr"/>
    </row>
    <row r="5">
      <c r="A5" s="7" t="n">
        <v>666901</v>
      </c>
      <c r="B5" s="7" t="inlineStr"/>
      <c r="C5" s="12" t="inlineStr">
        <is>
          <t>78910348</t>
        </is>
      </c>
      <c r="D5" s="7" t="inlineStr">
        <is>
          <t>AGULHA VERMELHA</t>
        </is>
      </c>
      <c r="E5" s="13" t="n">
        <v>1</v>
      </c>
      <c r="F5" s="13" t="n">
        <v>1</v>
      </c>
      <c r="G5" s="13" t="n">
        <v>1</v>
      </c>
      <c r="H5" s="8" t="n">
        <v>57</v>
      </c>
      <c r="I5" s="8">
        <f>G5*H5</f>
        <v/>
      </c>
      <c r="J5" s="8">
        <f>H5/E5</f>
        <v/>
      </c>
      <c r="K5" s="8" t="n"/>
      <c r="L5" s="8" t="n"/>
      <c r="M5" s="14" t="n"/>
      <c r="N5" s="7" t="inlineStr">
        <is>
          <t>SEM HISTÓRICO</t>
        </is>
      </c>
      <c r="O5" s="7" t="inlineStr"/>
    </row>
    <row r="6">
      <c r="A6" s="7" t="n">
        <v>47701</v>
      </c>
      <c r="B6" s="7" t="inlineStr"/>
      <c r="C6" s="12" t="inlineStr">
        <is>
          <t>7898216364510</t>
        </is>
      </c>
      <c r="D6" s="7" t="inlineStr">
        <is>
          <t>AZITROPHAR 600MG PO SUS OR FR 15ML + SER DOS 5ML</t>
        </is>
      </c>
      <c r="E6" s="13" t="n">
        <v>1</v>
      </c>
      <c r="F6" s="13" t="n">
        <v>6</v>
      </c>
      <c r="G6" s="13" t="n">
        <v>6</v>
      </c>
      <c r="H6" s="8" t="n">
        <v>14.27</v>
      </c>
      <c r="I6" s="8">
        <f>G6*H6</f>
        <v/>
      </c>
      <c r="J6" s="8">
        <f>H6/E6</f>
        <v/>
      </c>
      <c r="K6" s="8" t="n">
        <v>13.96</v>
      </c>
      <c r="L6" s="8" t="n">
        <v>13.96</v>
      </c>
      <c r="M6" s="14">
        <f>J6/K6-1</f>
        <v/>
      </c>
      <c r="N6" s="7" t="inlineStr">
        <is>
          <t>ACIMA +2.2%</t>
        </is>
      </c>
      <c r="O6" s="7" t="inlineStr"/>
    </row>
    <row r="7">
      <c r="A7" s="7" t="n">
        <v>339861</v>
      </c>
      <c r="B7" s="7" t="inlineStr"/>
      <c r="C7" s="12" t="inlineStr">
        <is>
          <t>7896004726793</t>
        </is>
      </c>
      <c r="D7" s="7" t="inlineStr">
        <is>
          <t>BALSAMO BENGUE 0,10+0,50G AER FR 60G</t>
        </is>
      </c>
      <c r="E7" s="13" t="n">
        <v>1</v>
      </c>
      <c r="F7" s="13" t="n">
        <v>2</v>
      </c>
      <c r="G7" s="13" t="n">
        <v>2</v>
      </c>
      <c r="H7" s="8" t="n">
        <v>28.37</v>
      </c>
      <c r="I7" s="8">
        <f>G7*H7</f>
        <v/>
      </c>
      <c r="J7" s="8">
        <f>H7/E7</f>
        <v/>
      </c>
      <c r="K7" s="8" t="n">
        <v>28.88</v>
      </c>
      <c r="L7" s="8" t="n">
        <v>25.51</v>
      </c>
      <c r="M7" s="14">
        <f>J7/K7-1</f>
        <v/>
      </c>
      <c r="N7" s="7" t="inlineStr">
        <is>
          <t>OK (≤ últ. compra)</t>
        </is>
      </c>
      <c r="O7" s="7" t="inlineStr"/>
    </row>
    <row r="8">
      <c r="A8" s="7" t="n">
        <v>457961</v>
      </c>
      <c r="B8" s="7" t="inlineStr"/>
      <c r="C8" s="12" t="inlineStr">
        <is>
          <t>7896004810140</t>
        </is>
      </c>
      <c r="D8" s="7" t="inlineStr">
        <is>
          <t>BISMU-JET SOL FR GTS 20ML</t>
        </is>
      </c>
      <c r="E8" s="13" t="n">
        <v>1</v>
      </c>
      <c r="F8" s="13" t="n">
        <v>7</v>
      </c>
      <c r="G8" s="13" t="n">
        <v>7</v>
      </c>
      <c r="H8" s="8" t="n">
        <v>15.34</v>
      </c>
      <c r="I8" s="8">
        <f>G8*H8</f>
        <v/>
      </c>
      <c r="J8" s="8">
        <f>H8/E8</f>
        <v/>
      </c>
      <c r="K8" s="8" t="n">
        <v>16.56</v>
      </c>
      <c r="L8" s="8" t="n">
        <v>14.3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629511</v>
      </c>
      <c r="B9" s="7" t="inlineStr"/>
      <c r="C9" s="12" t="inlineStr">
        <is>
          <t>7898920630406</t>
        </is>
      </c>
      <c r="D9" s="7" t="inlineStr">
        <is>
          <t>CENTRIX ZINCO 29,59MG 60 CPR</t>
        </is>
      </c>
      <c r="E9" s="13" t="n">
        <v>1</v>
      </c>
      <c r="F9" s="13" t="n">
        <v>1</v>
      </c>
      <c r="G9" s="13" t="n">
        <v>1</v>
      </c>
      <c r="H9" s="8" t="n">
        <v>15.48</v>
      </c>
      <c r="I9" s="8">
        <f>G9*H9</f>
        <v/>
      </c>
      <c r="J9" s="8">
        <f>H9/E9</f>
        <v/>
      </c>
      <c r="K9" s="8" t="n">
        <v>16.9</v>
      </c>
      <c r="L9" s="8" t="n">
        <v>16.9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35203</v>
      </c>
      <c r="B10" s="7" t="inlineStr"/>
      <c r="C10" s="12" t="inlineStr">
        <is>
          <t>7896714292267</t>
        </is>
      </c>
      <c r="D10" s="7" t="inlineStr">
        <is>
          <t>CETOROLACO DE TROMETAMOL 10MG 10 CPR SUBL</t>
        </is>
      </c>
      <c r="E10" s="13" t="n">
        <v>1</v>
      </c>
      <c r="F10" s="13" t="n">
        <v>2</v>
      </c>
      <c r="G10" s="13" t="n">
        <v>2</v>
      </c>
      <c r="H10" s="8" t="n">
        <v>12.97</v>
      </c>
      <c r="I10" s="8">
        <f>G10*H10</f>
        <v/>
      </c>
      <c r="J10" s="8">
        <f>H10/E10</f>
        <v/>
      </c>
      <c r="K10" s="8" t="n">
        <v>12.97</v>
      </c>
      <c r="L10" s="8" t="n">
        <v>12.97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631621</v>
      </c>
      <c r="B11" s="7" t="inlineStr"/>
      <c r="C11" s="12" t="inlineStr">
        <is>
          <t>7895296449816</t>
        </is>
      </c>
      <c r="D11" s="7" t="inlineStr">
        <is>
          <t>CLOR. NARATRIPTANA 2,5 MG C/4 COM REV-NQ</t>
        </is>
      </c>
      <c r="E11" s="13" t="n">
        <v>1</v>
      </c>
      <c r="F11" s="13" t="n">
        <v>7</v>
      </c>
      <c r="G11" s="13" t="n">
        <v>7</v>
      </c>
      <c r="H11" s="8" t="n">
        <v>6.98</v>
      </c>
      <c r="I11" s="8">
        <f>G11*H11</f>
        <v/>
      </c>
      <c r="J11" s="8">
        <f>H11/E11</f>
        <v/>
      </c>
      <c r="K11" s="8" t="n">
        <v>7.78</v>
      </c>
      <c r="L11" s="8" t="n">
        <v>6.5788</v>
      </c>
      <c r="M11" s="14">
        <f>J11/K11-1</f>
        <v/>
      </c>
      <c r="N11" s="7" t="inlineStr">
        <is>
          <t>OK (≤ últ. compra)</t>
        </is>
      </c>
      <c r="O11" s="7" t="inlineStr"/>
    </row>
    <row r="12">
      <c r="A12" s="7" t="n">
        <v>651111</v>
      </c>
      <c r="B12" s="7" t="inlineStr"/>
      <c r="C12" s="12" t="inlineStr">
        <is>
          <t>7891317009052</t>
        </is>
      </c>
      <c r="D12" s="7" t="inlineStr">
        <is>
          <t>CLORIDRATO DE TRAMADOL 100MG 10ML GTS</t>
        </is>
      </c>
      <c r="E12" s="13" t="n">
        <v>1</v>
      </c>
      <c r="F12" s="13" t="n">
        <v>1</v>
      </c>
      <c r="G12" s="13" t="n">
        <v>1</v>
      </c>
      <c r="H12" s="8" t="n">
        <v>16.51</v>
      </c>
      <c r="I12" s="8">
        <f>G12*H12</f>
        <v/>
      </c>
      <c r="J12" s="8">
        <f>H12/E12</f>
        <v/>
      </c>
      <c r="K12" s="8" t="n">
        <v>14.0725</v>
      </c>
      <c r="L12" s="8" t="n">
        <v>14.0725</v>
      </c>
      <c r="M12" s="14">
        <f>J12/K12-1</f>
        <v/>
      </c>
      <c r="N12" s="7" t="inlineStr">
        <is>
          <t>ACIMA +17.3%</t>
        </is>
      </c>
      <c r="O12" s="7" t="inlineStr"/>
    </row>
    <row r="13">
      <c r="A13" s="7" t="n">
        <v>668931</v>
      </c>
      <c r="B13" s="7" t="inlineStr"/>
      <c r="C13" s="12" t="inlineStr">
        <is>
          <t>7899952324356</t>
        </is>
      </c>
      <c r="D13" s="7" t="inlineStr">
        <is>
          <t>COLONIA FEMININA BARBIE GIRL POWER 25ML</t>
        </is>
      </c>
      <c r="E13" s="13" t="n">
        <v>1</v>
      </c>
      <c r="F13" s="13" t="n">
        <v>2</v>
      </c>
      <c r="G13" s="13" t="n">
        <v>2</v>
      </c>
      <c r="H13" s="8" t="n">
        <v>14.94</v>
      </c>
      <c r="I13" s="8">
        <f>G13*H13</f>
        <v/>
      </c>
      <c r="J13" s="8">
        <f>H13/E13</f>
        <v/>
      </c>
      <c r="K13" s="8" t="n">
        <v>14.94</v>
      </c>
      <c r="L13" s="8" t="n">
        <v>14.94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668901</v>
      </c>
      <c r="B14" s="7" t="inlineStr"/>
      <c r="C14" s="12" t="inlineStr">
        <is>
          <t>7899601710301</t>
        </is>
      </c>
      <c r="D14" s="7" t="inlineStr">
        <is>
          <t>COLONIA FEMININA HELLO KITTY ESTILOSA 25ML</t>
        </is>
      </c>
      <c r="E14" s="13" t="n">
        <v>1</v>
      </c>
      <c r="F14" s="13" t="n">
        <v>1</v>
      </c>
      <c r="G14" s="13" t="n">
        <v>1</v>
      </c>
      <c r="H14" s="8" t="n">
        <v>14.94</v>
      </c>
      <c r="I14" s="8">
        <f>G14*H14</f>
        <v/>
      </c>
      <c r="J14" s="8">
        <f>H14/E14</f>
        <v/>
      </c>
      <c r="K14" s="8" t="n">
        <v>14.94</v>
      </c>
      <c r="L14" s="8" t="n">
        <v>14.94</v>
      </c>
      <c r="M14" s="14">
        <f>J14/K14-1</f>
        <v/>
      </c>
      <c r="N14" s="7" t="inlineStr">
        <is>
          <t>OK (≤ menor hist.)</t>
        </is>
      </c>
      <c r="O14" s="7" t="inlineStr"/>
    </row>
    <row r="15">
      <c r="A15" s="7" t="n">
        <v>668861</v>
      </c>
      <c r="B15" s="7" t="inlineStr"/>
      <c r="C15" s="12" t="inlineStr">
        <is>
          <t>7899952324837</t>
        </is>
      </c>
      <c r="D15" s="7" t="inlineStr">
        <is>
          <t>COLONIA MASCULINA CARROS RELAMPAGO MCQUEEN 25ML</t>
        </is>
      </c>
      <c r="E15" s="13" t="n">
        <v>1</v>
      </c>
      <c r="F15" s="13" t="n">
        <v>5</v>
      </c>
      <c r="G15" s="13" t="n">
        <v>5</v>
      </c>
      <c r="H15" s="8" t="n">
        <v>14.94</v>
      </c>
      <c r="I15" s="8">
        <f>G15*H15</f>
        <v/>
      </c>
      <c r="J15" s="8">
        <f>H15/E15</f>
        <v/>
      </c>
      <c r="K15" s="8" t="n">
        <v>14.94</v>
      </c>
      <c r="L15" s="8" t="n">
        <v>14.94</v>
      </c>
      <c r="M15" s="14">
        <f>J15/K15-1</f>
        <v/>
      </c>
      <c r="N15" s="7" t="inlineStr">
        <is>
          <t>OK (≤ menor hist.)</t>
        </is>
      </c>
      <c r="O15" s="7" t="inlineStr"/>
    </row>
    <row r="16">
      <c r="A16" s="7" t="n">
        <v>668791</v>
      </c>
      <c r="B16" s="7" t="inlineStr"/>
      <c r="C16" s="12" t="inlineStr">
        <is>
          <t>7899952324899</t>
        </is>
      </c>
      <c r="D16" s="7" t="inlineStr">
        <is>
          <t>COLONIA SPLASH FEMININA LARISSA MANOELA 200ML</t>
        </is>
      </c>
      <c r="E16" s="13" t="n">
        <v>1</v>
      </c>
      <c r="F16" s="13" t="n">
        <v>1</v>
      </c>
      <c r="G16" s="13" t="n">
        <v>1</v>
      </c>
      <c r="H16" s="8" t="n">
        <v>35.94</v>
      </c>
      <c r="I16" s="8">
        <f>G16*H16</f>
        <v/>
      </c>
      <c r="J16" s="8">
        <f>H16/E16</f>
        <v/>
      </c>
      <c r="K16" s="8" t="n">
        <v>35.94</v>
      </c>
      <c r="L16" s="8" t="n">
        <v>35.94</v>
      </c>
      <c r="M16" s="14">
        <f>J16/K16-1</f>
        <v/>
      </c>
      <c r="N16" s="7" t="inlineStr">
        <is>
          <t>OK (≤ menor hist.)</t>
        </is>
      </c>
      <c r="O16" s="7" t="inlineStr"/>
    </row>
    <row r="17">
      <c r="A17" s="7" t="n">
        <v>4033</v>
      </c>
      <c r="B17" s="7" t="inlineStr"/>
      <c r="C17" s="12" t="inlineStr">
        <is>
          <t>7896544901346</t>
        </is>
      </c>
      <c r="D17" s="7" t="inlineStr">
        <is>
          <t>CURATIVO HIDROCOLOIDE P/ ACNES C/24 UND</t>
        </is>
      </c>
      <c r="E17" s="13" t="n">
        <v>1</v>
      </c>
      <c r="F17" s="13" t="n">
        <v>18</v>
      </c>
      <c r="G17" s="13" t="n">
        <v>18</v>
      </c>
      <c r="H17" s="8" t="n">
        <v>11.51</v>
      </c>
      <c r="I17" s="8">
        <f>G17*H17</f>
        <v/>
      </c>
      <c r="J17" s="8">
        <f>H17/E17</f>
        <v/>
      </c>
      <c r="K17" s="8" t="n">
        <v>8.32</v>
      </c>
      <c r="L17" s="8" t="n">
        <v>8.32</v>
      </c>
      <c r="M17" s="14">
        <f>J17/K17-1</f>
        <v/>
      </c>
      <c r="N17" s="7" t="inlineStr">
        <is>
          <t>ACIMA +38.3%</t>
        </is>
      </c>
      <c r="O17" s="7" t="inlineStr"/>
    </row>
    <row r="18">
      <c r="A18" s="7" t="n">
        <v>5003</v>
      </c>
      <c r="B18" s="7" t="inlineStr"/>
      <c r="C18" s="12" t="inlineStr">
        <is>
          <t>7898108641989</t>
        </is>
      </c>
      <c r="D18" s="7" t="inlineStr">
        <is>
          <t>CURATIVO MICKEY E MINNIE C/10 UND</t>
        </is>
      </c>
      <c r="E18" s="13" t="n">
        <v>1</v>
      </c>
      <c r="F18" s="13" t="n">
        <v>5</v>
      </c>
      <c r="G18" s="13" t="n">
        <v>5</v>
      </c>
      <c r="H18" s="8" t="n">
        <v>3.38</v>
      </c>
      <c r="I18" s="8">
        <f>G18*H18</f>
        <v/>
      </c>
      <c r="J18" s="8">
        <f>H18/E18</f>
        <v/>
      </c>
      <c r="K18" s="8" t="n">
        <v>2.94</v>
      </c>
      <c r="L18" s="8" t="n">
        <v>2.94</v>
      </c>
      <c r="M18" s="14">
        <f>J18/K18-1</f>
        <v/>
      </c>
      <c r="N18" s="7" t="inlineStr">
        <is>
          <t>ACIMA +15.0%</t>
        </is>
      </c>
      <c r="O18" s="7" t="inlineStr"/>
    </row>
    <row r="19">
      <c r="A19" s="7" t="n">
        <v>666411</v>
      </c>
      <c r="B19" s="7" t="inlineStr"/>
      <c r="C19" s="12" t="inlineStr">
        <is>
          <t>7896862994372</t>
        </is>
      </c>
      <c r="D19" s="7" t="inlineStr">
        <is>
          <t>DAPAGLIFLOZINA 10MG COM REV CX 30 COMP</t>
        </is>
      </c>
      <c r="E19" s="13" t="n">
        <v>1</v>
      </c>
      <c r="F19" s="13" t="n">
        <v>2</v>
      </c>
      <c r="G19" s="13" t="n">
        <v>2</v>
      </c>
      <c r="H19" s="8" t="n">
        <v>31.97</v>
      </c>
      <c r="I19" s="8">
        <f>G19*H19</f>
        <v/>
      </c>
      <c r="J19" s="8">
        <f>H19/E19</f>
        <v/>
      </c>
      <c r="K19" s="8" t="n">
        <v>48.25</v>
      </c>
      <c r="L19" s="8" t="n">
        <v>48.25</v>
      </c>
      <c r="M19" s="14">
        <f>J19/K19-1</f>
        <v/>
      </c>
      <c r="N19" s="7" t="inlineStr">
        <is>
          <t>OK (≤ menor hist.)</t>
        </is>
      </c>
      <c r="O19" s="7" t="inlineStr"/>
    </row>
    <row r="20">
      <c r="A20" s="7" t="n">
        <v>35003</v>
      </c>
      <c r="B20" s="7" t="inlineStr"/>
      <c r="C20" s="12" t="inlineStr">
        <is>
          <t>7896714297101</t>
        </is>
      </c>
      <c r="D20" s="7" t="inlineStr">
        <is>
          <t>DIPROPIONATO DE BETAMETASONA CREME 30GR</t>
        </is>
      </c>
      <c r="E20" s="13" t="n">
        <v>1</v>
      </c>
      <c r="F20" s="13" t="n">
        <v>2</v>
      </c>
      <c r="G20" s="13" t="n">
        <v>2</v>
      </c>
      <c r="H20" s="8" t="n">
        <v>14.99</v>
      </c>
      <c r="I20" s="8">
        <f>G20*H20</f>
        <v/>
      </c>
      <c r="J20" s="8">
        <f>H20/E20</f>
        <v/>
      </c>
      <c r="K20" s="8" t="n">
        <v>15.61</v>
      </c>
      <c r="L20" s="8" t="n">
        <v>15.61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229241</v>
      </c>
      <c r="B21" s="7" t="inlineStr"/>
      <c r="C21" s="12" t="inlineStr">
        <is>
          <t>7894916145114</t>
        </is>
      </c>
      <c r="D21" s="7" t="inlineStr">
        <is>
          <t>DOMPERIDONA 10MG CX 2BL X 15 COMP</t>
        </is>
      </c>
      <c r="E21" s="13" t="n">
        <v>1</v>
      </c>
      <c r="F21" s="13" t="n">
        <v>1</v>
      </c>
      <c r="G21" s="13" t="n">
        <v>1</v>
      </c>
      <c r="H21" s="8" t="n">
        <v>4.11</v>
      </c>
      <c r="I21" s="8">
        <f>G21*H21</f>
        <v/>
      </c>
      <c r="J21" s="8">
        <f>H21/E21</f>
        <v/>
      </c>
      <c r="K21" s="8" t="n">
        <v>4.19</v>
      </c>
      <c r="L21" s="8" t="n">
        <v>4.19</v>
      </c>
      <c r="M21" s="14">
        <f>J21/K21-1</f>
        <v/>
      </c>
      <c r="N21" s="7" t="inlineStr">
        <is>
          <t>OK (≤ menor hist.)</t>
        </is>
      </c>
      <c r="O21" s="7" t="inlineStr"/>
    </row>
    <row r="22">
      <c r="A22" s="7" t="n">
        <v>631181</v>
      </c>
      <c r="B22" s="7" t="inlineStr"/>
      <c r="C22" s="12" t="inlineStr">
        <is>
          <t>7898687737714</t>
        </is>
      </c>
      <c r="D22" s="7" t="inlineStr">
        <is>
          <t>EQUALIV VITAMINA C 1G X30 CPR</t>
        </is>
      </c>
      <c r="E22" s="13" t="n">
        <v>1</v>
      </c>
      <c r="F22" s="13" t="n">
        <v>1</v>
      </c>
      <c r="G22" s="13" t="n">
        <v>1</v>
      </c>
      <c r="H22" s="8" t="n">
        <v>35</v>
      </c>
      <c r="I22" s="8">
        <f>G22*H22</f>
        <v/>
      </c>
      <c r="J22" s="8">
        <f>H22/E22</f>
        <v/>
      </c>
      <c r="K22" s="8" t="n">
        <v>20.9</v>
      </c>
      <c r="L22" s="8" t="n">
        <v>20.9</v>
      </c>
      <c r="M22" s="14">
        <f>J22/K22-1</f>
        <v/>
      </c>
      <c r="N22" s="7" t="inlineStr">
        <is>
          <t>ACIMA +67.5%</t>
        </is>
      </c>
      <c r="O22" s="7" t="inlineStr"/>
    </row>
    <row r="23">
      <c r="A23" s="7" t="n">
        <v>303461</v>
      </c>
      <c r="B23" s="7" t="inlineStr"/>
      <c r="C23" s="12" t="inlineStr">
        <is>
          <t>7896004812168</t>
        </is>
      </c>
      <c r="D23" s="7" t="inlineStr">
        <is>
          <t>EXPEC XPE FR 120ML</t>
        </is>
      </c>
      <c r="E23" s="13" t="n">
        <v>1</v>
      </c>
      <c r="F23" s="13" t="n">
        <v>3</v>
      </c>
      <c r="G23" s="13" t="n">
        <v>3</v>
      </c>
      <c r="H23" s="8" t="n">
        <v>24.09</v>
      </c>
      <c r="I23" s="8">
        <f>G23*H23</f>
        <v/>
      </c>
      <c r="J23" s="8">
        <f>H23/E23</f>
        <v/>
      </c>
      <c r="K23" s="8" t="n">
        <v>16.86</v>
      </c>
      <c r="L23" s="8" t="n">
        <v>14</v>
      </c>
      <c r="M23" s="14">
        <f>J23/K23-1</f>
        <v/>
      </c>
      <c r="N23" s="7" t="inlineStr">
        <is>
          <t>ACIMA +42.9%</t>
        </is>
      </c>
      <c r="O23" s="7" t="inlineStr"/>
    </row>
    <row r="24">
      <c r="A24" s="7" t="n">
        <v>249041</v>
      </c>
      <c r="B24" s="7" t="inlineStr"/>
      <c r="C24" s="12" t="inlineStr">
        <is>
          <t>7894916140348</t>
        </is>
      </c>
      <c r="D24" s="7" t="inlineStr">
        <is>
          <t>FINASTERIDA 5MG CX 30 COMP REV</t>
        </is>
      </c>
      <c r="E24" s="13" t="n">
        <v>1</v>
      </c>
      <c r="F24" s="13" t="n">
        <v>1</v>
      </c>
      <c r="G24" s="13" t="n">
        <v>1</v>
      </c>
      <c r="H24" s="8" t="n">
        <v>13.44</v>
      </c>
      <c r="I24" s="8">
        <f>G24*H24</f>
        <v/>
      </c>
      <c r="J24" s="8">
        <f>H24/E24</f>
        <v/>
      </c>
      <c r="K24" s="8" t="n">
        <v>15.75</v>
      </c>
      <c r="L24" s="8" t="n">
        <v>15.75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34803</v>
      </c>
      <c r="B25" s="7" t="inlineStr"/>
      <c r="C25" s="12" t="inlineStr">
        <is>
          <t>7896714292717</t>
        </is>
      </c>
      <c r="D25" s="7" t="inlineStr">
        <is>
          <t>FLOMICIN 200MG FR 6 CAP</t>
        </is>
      </c>
      <c r="E25" s="13" t="n">
        <v>1</v>
      </c>
      <c r="F25" s="13" t="n">
        <v>5</v>
      </c>
      <c r="G25" s="13" t="n">
        <v>5</v>
      </c>
      <c r="H25" s="8" t="n">
        <v>19.85</v>
      </c>
      <c r="I25" s="8">
        <f>G25*H25</f>
        <v/>
      </c>
      <c r="J25" s="8">
        <f>H25/E25</f>
        <v/>
      </c>
      <c r="K25" s="8" t="n">
        <v>20.68</v>
      </c>
      <c r="L25" s="8" t="n">
        <v>20.68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542921</v>
      </c>
      <c r="B26" s="7" t="inlineStr"/>
      <c r="C26" s="12" t="inlineStr">
        <is>
          <t>7898100242955</t>
        </is>
      </c>
      <c r="D26" s="7" t="inlineStr">
        <is>
          <t>GLICEL (N.S.) 2,254G CX 6 SUP ADU</t>
        </is>
      </c>
      <c r="E26" s="13" t="n">
        <v>1</v>
      </c>
      <c r="F26" s="13" t="n">
        <v>2</v>
      </c>
      <c r="G26" s="13" t="n">
        <v>2</v>
      </c>
      <c r="H26" s="8" t="n">
        <v>7.47</v>
      </c>
      <c r="I26" s="8">
        <f>G26*H26</f>
        <v/>
      </c>
      <c r="J26" s="8">
        <f>H26/E26</f>
        <v/>
      </c>
      <c r="K26" s="8" t="n">
        <v>6.69</v>
      </c>
      <c r="L26" s="8" t="n">
        <v>5.59</v>
      </c>
      <c r="M26" s="14">
        <f>J26/K26-1</f>
        <v/>
      </c>
      <c r="N26" s="7" t="inlineStr">
        <is>
          <t>ACIMA +11.7%</t>
        </is>
      </c>
      <c r="O26" s="7" t="inlineStr"/>
    </row>
    <row r="27">
      <c r="A27" s="7" t="n">
        <v>553901</v>
      </c>
      <c r="B27" s="7" t="inlineStr"/>
      <c r="C27" s="12" t="inlineStr">
        <is>
          <t>7896004780481</t>
        </is>
      </c>
      <c r="D27" s="7" t="inlineStr">
        <is>
          <t>HEDRA EXPEC 7MG/ML SOL ORAL FR 100ML</t>
        </is>
      </c>
      <c r="E27" s="13" t="n">
        <v>1</v>
      </c>
      <c r="F27" s="13" t="n">
        <v>11</v>
      </c>
      <c r="G27" s="13" t="n">
        <v>11</v>
      </c>
      <c r="H27" s="8" t="n">
        <v>13.24</v>
      </c>
      <c r="I27" s="8">
        <f>G27*H27</f>
        <v/>
      </c>
      <c r="J27" s="8">
        <f>H27/E27</f>
        <v/>
      </c>
      <c r="K27" s="8" t="n">
        <v>13.0325</v>
      </c>
      <c r="L27" s="8" t="n">
        <v>11.95</v>
      </c>
      <c r="M27" s="14">
        <f>J27/K27-1</f>
        <v/>
      </c>
      <c r="N27" s="7" t="inlineStr">
        <is>
          <t>ACIMA +1.6%</t>
        </is>
      </c>
      <c r="O27" s="7" t="inlineStr"/>
    </row>
    <row r="28">
      <c r="A28" s="7" t="n">
        <v>276041</v>
      </c>
      <c r="B28" s="7" t="inlineStr"/>
      <c r="C28" s="12" t="inlineStr">
        <is>
          <t>8902220114203</t>
        </is>
      </c>
      <c r="D28" s="7" t="inlineStr">
        <is>
          <t>HEMIFUMARATO DE BISOPROLOL 10MG CX 30 COMP REV</t>
        </is>
      </c>
      <c r="E28" s="13" t="n">
        <v>1</v>
      </c>
      <c r="F28" s="13" t="n">
        <v>1</v>
      </c>
      <c r="G28" s="13" t="n">
        <v>1</v>
      </c>
      <c r="H28" s="8" t="n">
        <v>31.45</v>
      </c>
      <c r="I28" s="8">
        <f>G28*H28</f>
        <v/>
      </c>
      <c r="J28" s="8">
        <f>H28/E28</f>
        <v/>
      </c>
      <c r="K28" s="8" t="n">
        <v>9.6</v>
      </c>
      <c r="L28" s="8" t="n">
        <v>9.6</v>
      </c>
      <c r="M28" s="14">
        <f>J28/K28-1</f>
        <v/>
      </c>
      <c r="N28" s="7" t="inlineStr">
        <is>
          <t>ACIMA +227.6%</t>
        </is>
      </c>
      <c r="O28" s="7" t="inlineStr">
        <is>
          <t>conferir emb.</t>
        </is>
      </c>
    </row>
    <row r="29">
      <c r="A29" s="7" t="n">
        <v>295141</v>
      </c>
      <c r="B29" s="7" t="inlineStr"/>
      <c r="C29" s="12" t="inlineStr">
        <is>
          <t>7896004747507</t>
        </is>
      </c>
      <c r="D29" s="7" t="inlineStr">
        <is>
          <t>IBUFLEX 400MG CX 4 CAPS</t>
        </is>
      </c>
      <c r="E29" s="13" t="n">
        <v>1</v>
      </c>
      <c r="F29" s="13" t="n">
        <v>1</v>
      </c>
      <c r="G29" s="13" t="n">
        <v>1</v>
      </c>
      <c r="H29" s="8" t="n">
        <v>31.3</v>
      </c>
      <c r="I29" s="8">
        <f>G29*H29</f>
        <v/>
      </c>
      <c r="J29" s="8">
        <f>H29/E29</f>
        <v/>
      </c>
      <c r="K29" s="8" t="n">
        <v>3.0145</v>
      </c>
      <c r="L29" s="8" t="n">
        <v>2.782</v>
      </c>
      <c r="M29" s="14">
        <f>J29/K29-1</f>
        <v/>
      </c>
      <c r="N29" s="7" t="inlineStr">
        <is>
          <t>ACIMA +938.3%</t>
        </is>
      </c>
      <c r="O29" s="7" t="inlineStr">
        <is>
          <t>conferir emb.</t>
        </is>
      </c>
    </row>
    <row r="30">
      <c r="A30" s="7" t="n">
        <v>295121</v>
      </c>
      <c r="B30" s="7" t="inlineStr"/>
      <c r="C30" s="12" t="inlineStr">
        <is>
          <t>7896004746029</t>
        </is>
      </c>
      <c r="D30" s="7" t="inlineStr">
        <is>
          <t>IBULIV 400MG CX 10BL X 4 CAP</t>
        </is>
      </c>
      <c r="E30" s="13" t="n">
        <v>1</v>
      </c>
      <c r="F30" s="13" t="n">
        <v>1</v>
      </c>
      <c r="G30" s="13" t="n">
        <v>1</v>
      </c>
      <c r="H30" s="8" t="n">
        <v>38.73</v>
      </c>
      <c r="I30" s="8">
        <f>G30*H30</f>
        <v/>
      </c>
      <c r="J30" s="8">
        <f>H30/E30</f>
        <v/>
      </c>
      <c r="K30" s="8" t="n">
        <v>3.588</v>
      </c>
      <c r="L30" s="8" t="n">
        <v>3.588</v>
      </c>
      <c r="M30" s="14">
        <f>J30/K30-1</f>
        <v/>
      </c>
      <c r="N30" s="7" t="inlineStr">
        <is>
          <t>ACIMA +979.4%</t>
        </is>
      </c>
      <c r="O30" s="7" t="inlineStr">
        <is>
          <t>conferir emb.</t>
        </is>
      </c>
    </row>
    <row r="31">
      <c r="A31" s="7" t="n">
        <v>630311</v>
      </c>
      <c r="B31" s="7" t="inlineStr"/>
      <c r="C31" s="12" t="inlineStr">
        <is>
          <t>7898687735901</t>
        </is>
      </c>
      <c r="D31" s="7" t="inlineStr">
        <is>
          <t>IROSE  NITAZOXANIDA 20MG/ML PO SUS OR FR 45ML+SER DOS</t>
        </is>
      </c>
      <c r="E31" s="13" t="n">
        <v>1</v>
      </c>
      <c r="F31" s="13" t="n">
        <v>7</v>
      </c>
      <c r="G31" s="13" t="n">
        <v>7</v>
      </c>
      <c r="H31" s="8" t="n">
        <v>7.79</v>
      </c>
      <c r="I31" s="8">
        <f>G31*H31</f>
        <v/>
      </c>
      <c r="J31" s="8">
        <f>H31/E31</f>
        <v/>
      </c>
      <c r="K31" s="8" t="n">
        <v>7.32</v>
      </c>
      <c r="L31" s="8" t="n">
        <v>7.32</v>
      </c>
      <c r="M31" s="14">
        <f>J31/K31-1</f>
        <v/>
      </c>
      <c r="N31" s="7" t="inlineStr">
        <is>
          <t>ACIMA +6.4%</t>
        </is>
      </c>
      <c r="O31" s="7" t="inlineStr"/>
    </row>
    <row r="32">
      <c r="A32" s="7" t="n">
        <v>306601</v>
      </c>
      <c r="B32" s="7" t="inlineStr"/>
      <c r="C32" s="12" t="inlineStr">
        <is>
          <t>7894916141000</t>
        </is>
      </c>
      <c r="D32" s="7" t="inlineStr">
        <is>
          <t>ITRACONAZOL 100MG CX 15 CAP</t>
        </is>
      </c>
      <c r="E32" s="13" t="n">
        <v>1</v>
      </c>
      <c r="F32" s="13" t="n">
        <v>9</v>
      </c>
      <c r="G32" s="13" t="n">
        <v>9</v>
      </c>
      <c r="H32" s="8" t="n">
        <v>19.91</v>
      </c>
      <c r="I32" s="8">
        <f>G32*H32</f>
        <v/>
      </c>
      <c r="J32" s="8">
        <f>H32/E32</f>
        <v/>
      </c>
      <c r="K32" s="8" t="n">
        <v>17.49</v>
      </c>
      <c r="L32" s="8" t="n">
        <v>17.49</v>
      </c>
      <c r="M32" s="14">
        <f>J32/K32-1</f>
        <v/>
      </c>
      <c r="N32" s="7" t="inlineStr">
        <is>
          <t>ACIMA +13.8%</t>
        </is>
      </c>
      <c r="O32" s="7" t="inlineStr"/>
    </row>
    <row r="33">
      <c r="A33" s="7" t="n">
        <v>570201</v>
      </c>
      <c r="B33" s="7" t="inlineStr"/>
      <c r="C33" s="12" t="inlineStr">
        <is>
          <t>7896004762098</t>
        </is>
      </c>
      <c r="D33" s="7" t="inlineStr">
        <is>
          <t>LACDAY 8CPR MAST</t>
        </is>
      </c>
      <c r="E33" s="13" t="n">
        <v>1</v>
      </c>
      <c r="F33" s="13" t="n">
        <v>3</v>
      </c>
      <c r="G33" s="13" t="n">
        <v>3</v>
      </c>
      <c r="H33" s="8" t="n">
        <v>19.74</v>
      </c>
      <c r="I33" s="8">
        <f>G33*H33</f>
        <v/>
      </c>
      <c r="J33" s="8">
        <f>H33/E33</f>
        <v/>
      </c>
      <c r="K33" s="8" t="n">
        <v>16.73</v>
      </c>
      <c r="L33" s="8" t="n">
        <v>16.73</v>
      </c>
      <c r="M33" s="14">
        <f>J33/K33-1</f>
        <v/>
      </c>
      <c r="N33" s="7" t="inlineStr">
        <is>
          <t>ACIMA +18.0%</t>
        </is>
      </c>
      <c r="O33" s="7" t="inlineStr"/>
    </row>
    <row r="34">
      <c r="A34" s="7" t="n">
        <v>639261</v>
      </c>
      <c r="B34" s="7" t="inlineStr"/>
      <c r="C34" s="12" t="inlineStr">
        <is>
          <t>7896191204579</t>
        </is>
      </c>
      <c r="D34" s="7" t="inlineStr">
        <is>
          <t>MEIA KENDALL ALTA COMPRESSAO 3/4 S/PONTEIRA MEL (1883) G*</t>
        </is>
      </c>
      <c r="E34" s="13" t="n">
        <v>1</v>
      </c>
      <c r="F34" s="13" t="n">
        <v>1</v>
      </c>
      <c r="G34" s="13" t="n">
        <v>1</v>
      </c>
      <c r="H34" s="8" t="n">
        <v>71.33</v>
      </c>
      <c r="I34" s="8">
        <f>G34*H34</f>
        <v/>
      </c>
      <c r="J34" s="8">
        <f>H34/E34</f>
        <v/>
      </c>
      <c r="K34" s="8" t="n">
        <v>55.31</v>
      </c>
      <c r="L34" s="8" t="n">
        <v>55.31</v>
      </c>
      <c r="M34" s="14">
        <f>J34/K34-1</f>
        <v/>
      </c>
      <c r="N34" s="7" t="inlineStr">
        <is>
          <t>ACIMA +29.0%</t>
        </is>
      </c>
      <c r="O34" s="7" t="inlineStr"/>
    </row>
    <row r="35">
      <c r="A35" s="7" t="n">
        <v>639291</v>
      </c>
      <c r="B35" s="7" t="inlineStr"/>
      <c r="C35" s="12" t="inlineStr">
        <is>
          <t>7896191246159</t>
        </is>
      </c>
      <c r="D35" s="7" t="inlineStr">
        <is>
          <t>MEIA KENDALL MEDIA COMPRESSAO 3/4 S/PONTEIRA MEL (1872) M*</t>
        </is>
      </c>
      <c r="E35" s="13" t="n">
        <v>1</v>
      </c>
      <c r="F35" s="13" t="n">
        <v>1</v>
      </c>
      <c r="G35" s="13" t="n">
        <v>1</v>
      </c>
      <c r="H35" s="8" t="n">
        <v>54.02</v>
      </c>
      <c r="I35" s="8">
        <f>G35*H35</f>
        <v/>
      </c>
      <c r="J35" s="8">
        <f>H35/E35</f>
        <v/>
      </c>
      <c r="K35" s="8" t="n">
        <v>41.97</v>
      </c>
      <c r="L35" s="8" t="n">
        <v>41.97</v>
      </c>
      <c r="M35" s="14">
        <f>J35/K35-1</f>
        <v/>
      </c>
      <c r="N35" s="7" t="inlineStr">
        <is>
          <t>ACIMA +28.7%</t>
        </is>
      </c>
      <c r="O35" s="7" t="inlineStr"/>
    </row>
    <row r="36">
      <c r="A36" s="7" t="n">
        <v>656271</v>
      </c>
      <c r="B36" s="7" t="inlineStr"/>
      <c r="C36" s="12" t="inlineStr">
        <is>
          <t>7896436906749</t>
        </is>
      </c>
      <c r="D36" s="7" t="inlineStr">
        <is>
          <t>N AP INAL OMRON INALAR COMPACT NE-C810   OMRO %DN:10.61</t>
        </is>
      </c>
      <c r="E36" s="13" t="n">
        <v>1</v>
      </c>
      <c r="F36" s="13" t="n">
        <v>1</v>
      </c>
      <c r="G36" s="13" t="n">
        <v>1</v>
      </c>
      <c r="H36" s="8" t="n">
        <v>117.91</v>
      </c>
      <c r="I36" s="8">
        <f>G36*H36</f>
        <v/>
      </c>
      <c r="J36" s="8">
        <f>H36/E36</f>
        <v/>
      </c>
      <c r="K36" s="8" t="n">
        <v>99.98999999999999</v>
      </c>
      <c r="L36" s="8" t="n">
        <v>99.98999999999999</v>
      </c>
      <c r="M36" s="14">
        <f>J36/K36-1</f>
        <v/>
      </c>
      <c r="N36" s="7" t="inlineStr">
        <is>
          <t>ACIMA +17.9%</t>
        </is>
      </c>
      <c r="O36" s="7" t="inlineStr"/>
    </row>
    <row r="37">
      <c r="A37" s="7" t="n">
        <v>35503</v>
      </c>
      <c r="B37" s="7" t="inlineStr"/>
      <c r="C37" s="12" t="inlineStr">
        <is>
          <t>7896714296227</t>
        </is>
      </c>
      <c r="D37" s="7" t="inlineStr">
        <is>
          <t>NEOLYTE 4 SCH 29,44G UVA (CLOR SODIO+POTASSIO+SODIO+GLICOSE)</t>
        </is>
      </c>
      <c r="E37" s="13" t="n">
        <v>1</v>
      </c>
      <c r="F37" s="13" t="n">
        <v>1</v>
      </c>
      <c r="G37" s="13" t="n">
        <v>1</v>
      </c>
      <c r="H37" s="8" t="n">
        <v>10.97</v>
      </c>
      <c r="I37" s="8">
        <f>G37*H37</f>
        <v/>
      </c>
      <c r="J37" s="8">
        <f>H37/E37</f>
        <v/>
      </c>
      <c r="K37" s="8" t="n">
        <v>11.43</v>
      </c>
      <c r="L37" s="8" t="n">
        <v>11.43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35403</v>
      </c>
      <c r="B38" s="7" t="inlineStr"/>
      <c r="C38" s="12" t="inlineStr">
        <is>
          <t>7896714296203</t>
        </is>
      </c>
      <c r="D38" s="7" t="inlineStr">
        <is>
          <t>NEOLYTE CX 4 SACHES NATURAL</t>
        </is>
      </c>
      <c r="E38" s="13" t="n">
        <v>1</v>
      </c>
      <c r="F38" s="13" t="n">
        <v>1</v>
      </c>
      <c r="G38" s="13" t="n">
        <v>1</v>
      </c>
      <c r="H38" s="8" t="n">
        <v>10.6</v>
      </c>
      <c r="I38" s="8">
        <f>G38*H38</f>
        <v/>
      </c>
      <c r="J38" s="8">
        <f>H38/E38</f>
        <v/>
      </c>
      <c r="K38" s="8" t="n">
        <v>11.05</v>
      </c>
      <c r="L38" s="8" t="n">
        <v>11.05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361801</v>
      </c>
      <c r="B39" s="7" t="inlineStr"/>
      <c r="C39" s="12" t="inlineStr">
        <is>
          <t>7894916143080</t>
        </is>
      </c>
      <c r="D39" s="7" t="inlineStr">
        <is>
          <t>NIMESULIDA 100MG CX 12 COMP</t>
        </is>
      </c>
      <c r="E39" s="13" t="n">
        <v>1</v>
      </c>
      <c r="F39" s="13" t="n">
        <v>1</v>
      </c>
      <c r="G39" s="13" t="n">
        <v>1</v>
      </c>
      <c r="H39" s="8" t="n">
        <v>1.41</v>
      </c>
      <c r="I39" s="8">
        <f>G39*H39</f>
        <v/>
      </c>
      <c r="J39" s="8">
        <f>H39/E39</f>
        <v/>
      </c>
      <c r="K39" s="8" t="n">
        <v>1.29</v>
      </c>
      <c r="L39" s="8" t="n">
        <v>1.29</v>
      </c>
      <c r="M39" s="14">
        <f>J39/K39-1</f>
        <v/>
      </c>
      <c r="N39" s="7" t="inlineStr">
        <is>
          <t>ACIMA +9.3%</t>
        </is>
      </c>
      <c r="O39" s="7" t="inlineStr"/>
    </row>
    <row r="40">
      <c r="A40" s="7" t="n">
        <v>363861</v>
      </c>
      <c r="B40" s="7" t="inlineStr"/>
      <c r="C40" s="12" t="inlineStr">
        <is>
          <t>7898569764517</t>
        </is>
      </c>
      <c r="D40" s="7" t="inlineStr">
        <is>
          <t>NITAZOXANIDA 500MG CX 6 COMP REV</t>
        </is>
      </c>
      <c r="E40" s="13" t="n">
        <v>1</v>
      </c>
      <c r="F40" s="13" t="n">
        <v>5</v>
      </c>
      <c r="G40" s="13" t="n">
        <v>5</v>
      </c>
      <c r="H40" s="8" t="n">
        <v>12.16</v>
      </c>
      <c r="I40" s="8">
        <f>G40*H40</f>
        <v/>
      </c>
      <c r="J40" s="8">
        <f>H40/E40</f>
        <v/>
      </c>
      <c r="K40" s="8" t="n">
        <v>12.98</v>
      </c>
      <c r="L40" s="8" t="n">
        <v>12.98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408801</v>
      </c>
      <c r="B41" s="7" t="inlineStr"/>
      <c r="C41" s="12" t="inlineStr">
        <is>
          <t>7894916141123</t>
        </is>
      </c>
      <c r="D41" s="7" t="inlineStr">
        <is>
          <t>PREDNISONA 20MG CX 10 COMP</t>
        </is>
      </c>
      <c r="E41" s="13" t="n">
        <v>1</v>
      </c>
      <c r="F41" s="13" t="n">
        <v>1</v>
      </c>
      <c r="G41" s="13" t="n">
        <v>1</v>
      </c>
      <c r="H41" s="8" t="n">
        <v>4.74</v>
      </c>
      <c r="I41" s="8">
        <f>G41*H41</f>
        <v/>
      </c>
      <c r="J41" s="8">
        <f>H41/E41</f>
        <v/>
      </c>
      <c r="K41" s="8" t="n">
        <v>5.04</v>
      </c>
      <c r="L41" s="8" t="n">
        <v>5.04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584721</v>
      </c>
      <c r="B42" s="7" t="inlineStr"/>
      <c r="C42" s="12" t="inlineStr">
        <is>
          <t>7898556850988</t>
        </is>
      </c>
      <c r="D42" s="7" t="inlineStr">
        <is>
          <t>PRES RILEX BACON 3UN</t>
        </is>
      </c>
      <c r="E42" s="13" t="n">
        <v>1</v>
      </c>
      <c r="F42" s="13" t="n">
        <v>1</v>
      </c>
      <c r="G42" s="13" t="n">
        <v>1</v>
      </c>
      <c r="H42" s="8" t="n">
        <v>3.43</v>
      </c>
      <c r="I42" s="8">
        <f>G42*H42</f>
        <v/>
      </c>
      <c r="J42" s="8">
        <f>H42/E42</f>
        <v/>
      </c>
      <c r="K42" s="8" t="n">
        <v>6.16</v>
      </c>
      <c r="L42" s="8" t="n">
        <v>6.16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492781</v>
      </c>
      <c r="B43" s="7" t="inlineStr"/>
      <c r="C43" s="12" t="inlineStr">
        <is>
          <t>7896004778341</t>
        </is>
      </c>
      <c r="D43" s="7" t="inlineStr">
        <is>
          <t>PVV - ALLOVITA 50MG/ML SOL CAPI 3 FR 50ML(UNIDADE)</t>
        </is>
      </c>
      <c r="E43" s="13" t="n">
        <v>1</v>
      </c>
      <c r="F43" s="13" t="n">
        <v>2</v>
      </c>
      <c r="G43" s="13" t="n">
        <v>2</v>
      </c>
      <c r="H43" s="8" t="n">
        <v>78.77</v>
      </c>
      <c r="I43" s="8">
        <f>G43*H43</f>
        <v/>
      </c>
      <c r="J43" s="8">
        <f>H43/E43</f>
        <v/>
      </c>
      <c r="K43" s="8" t="n">
        <v>47.24</v>
      </c>
      <c r="L43" s="8" t="n">
        <v>47.24</v>
      </c>
      <c r="M43" s="14">
        <f>J43/K43-1</f>
        <v/>
      </c>
      <c r="N43" s="7" t="inlineStr">
        <is>
          <t>ACIMA +66.7%</t>
        </is>
      </c>
      <c r="O43" s="7" t="inlineStr"/>
    </row>
    <row r="44">
      <c r="A44" s="7" t="n">
        <v>428321</v>
      </c>
      <c r="B44" s="7" t="inlineStr"/>
      <c r="C44" s="12" t="inlineStr">
        <is>
          <t>7895296096034</t>
        </is>
      </c>
      <c r="D44" s="7" t="inlineStr">
        <is>
          <t>PVV - ROSUVASTATINA CALCICA 10MG CX 30 COMP REV</t>
        </is>
      </c>
      <c r="E44" s="13" t="n">
        <v>1</v>
      </c>
      <c r="F44" s="13" t="n">
        <v>3</v>
      </c>
      <c r="G44" s="13" t="n">
        <v>3</v>
      </c>
      <c r="H44" s="8" t="n">
        <v>6.69</v>
      </c>
      <c r="I44" s="8">
        <f>G44*H44</f>
        <v/>
      </c>
      <c r="J44" s="8">
        <f>H44/E44</f>
        <v/>
      </c>
      <c r="K44" s="8" t="n">
        <v>7.9862</v>
      </c>
      <c r="L44" s="8" t="n">
        <v>7.9862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666461</v>
      </c>
      <c r="B45" s="7" t="inlineStr"/>
      <c r="C45" s="12" t="inlineStr">
        <is>
          <t>7894916325899</t>
        </is>
      </c>
      <c r="D45" s="7" t="inlineStr">
        <is>
          <t>REPOFLOR 250/250MG CX 6 SACHES</t>
        </is>
      </c>
      <c r="E45" s="13" t="n">
        <v>1</v>
      </c>
      <c r="F45" s="13" t="n">
        <v>1</v>
      </c>
      <c r="G45" s="13" t="n">
        <v>1</v>
      </c>
      <c r="H45" s="8" t="n">
        <v>23.25</v>
      </c>
      <c r="I45" s="8">
        <f>G45*H45</f>
        <v/>
      </c>
      <c r="J45" s="8">
        <f>H45/E45</f>
        <v/>
      </c>
      <c r="K45" s="8" t="n">
        <v>20.61</v>
      </c>
      <c r="L45" s="8" t="n">
        <v>14.57</v>
      </c>
      <c r="M45" s="14">
        <f>J45/K45-1</f>
        <v/>
      </c>
      <c r="N45" s="7" t="inlineStr">
        <is>
          <t>ACIMA +12.8%</t>
        </is>
      </c>
      <c r="O45" s="7" t="inlineStr"/>
    </row>
    <row r="46">
      <c r="A46" s="7" t="n">
        <v>624511</v>
      </c>
      <c r="B46" s="7" t="inlineStr"/>
      <c r="C46" s="12" t="inlineStr">
        <is>
          <t>7896004769943</t>
        </is>
      </c>
      <c r="D46" s="7" t="inlineStr">
        <is>
          <t>REPOFLOR 250MG CX 10 SACHES</t>
        </is>
      </c>
      <c r="E46" s="13" t="n">
        <v>1</v>
      </c>
      <c r="F46" s="13" t="n">
        <v>1</v>
      </c>
      <c r="G46" s="13" t="n">
        <v>1</v>
      </c>
      <c r="H46" s="8" t="n">
        <v>26.83</v>
      </c>
      <c r="I46" s="8">
        <f>G46*H46</f>
        <v/>
      </c>
      <c r="J46" s="8">
        <f>H46/E46</f>
        <v/>
      </c>
      <c r="K46" s="8" t="n">
        <v>33.23</v>
      </c>
      <c r="L46" s="8" t="n">
        <v>29.22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428101</v>
      </c>
      <c r="B47" s="7" t="inlineStr"/>
      <c r="C47" s="12" t="inlineStr">
        <is>
          <t>7898569760458</t>
        </is>
      </c>
      <c r="D47" s="7" t="inlineStr">
        <is>
          <t>ROSUVASTATINA CALCICA 10MG CX 30 COMP REV</t>
        </is>
      </c>
      <c r="E47" s="13" t="n">
        <v>1</v>
      </c>
      <c r="F47" s="13" t="n">
        <v>1</v>
      </c>
      <c r="G47" s="13" t="n">
        <v>1</v>
      </c>
      <c r="H47" s="8" t="n">
        <v>4.88</v>
      </c>
      <c r="I47" s="8">
        <f>G47*H47</f>
        <v/>
      </c>
      <c r="J47" s="8">
        <f>H47/E47</f>
        <v/>
      </c>
      <c r="K47" s="8" t="n">
        <v>3.89</v>
      </c>
      <c r="L47" s="8" t="n">
        <v>3.89</v>
      </c>
      <c r="M47" s="14">
        <f>J47/K47-1</f>
        <v/>
      </c>
      <c r="N47" s="7" t="inlineStr">
        <is>
          <t>ACIMA +25.4%</t>
        </is>
      </c>
      <c r="O47" s="7" t="inlineStr"/>
    </row>
    <row r="48">
      <c r="A48" s="7" t="n">
        <v>428181</v>
      </c>
      <c r="B48" s="7" t="inlineStr"/>
      <c r="C48" s="12" t="inlineStr">
        <is>
          <t>7898569760496</t>
        </is>
      </c>
      <c r="D48" s="7" t="inlineStr">
        <is>
          <t>ROSUVASTATINA CALCICA 20MG CX 30 COMP REV</t>
        </is>
      </c>
      <c r="E48" s="13" t="n">
        <v>1</v>
      </c>
      <c r="F48" s="13" t="n">
        <v>5</v>
      </c>
      <c r="G48" s="13" t="n">
        <v>5</v>
      </c>
      <c r="H48" s="8" t="n">
        <v>7.46</v>
      </c>
      <c r="I48" s="8">
        <f>G48*H48</f>
        <v/>
      </c>
      <c r="J48" s="8">
        <f>H48/E48</f>
        <v/>
      </c>
      <c r="K48" s="8" t="n">
        <v>6.83</v>
      </c>
      <c r="L48" s="8" t="n">
        <v>6.83</v>
      </c>
      <c r="M48" s="14">
        <f>J48/K48-1</f>
        <v/>
      </c>
      <c r="N48" s="7" t="inlineStr">
        <is>
          <t>ACIMA +9.2%</t>
        </is>
      </c>
      <c r="O48" s="7" t="inlineStr"/>
    </row>
    <row r="49">
      <c r="A49" s="7" t="n">
        <v>13261</v>
      </c>
      <c r="B49" s="7" t="inlineStr"/>
      <c r="C49" s="12" t="inlineStr">
        <is>
          <t>7898100243792</t>
        </is>
      </c>
      <c r="D49" s="7" t="inlineStr">
        <is>
          <t>SALICETIL INFANTIL 100 MG 10CP</t>
        </is>
      </c>
      <c r="E49" s="13" t="n">
        <v>1</v>
      </c>
      <c r="F49" s="13" t="n">
        <v>4</v>
      </c>
      <c r="G49" s="13" t="n">
        <v>4</v>
      </c>
      <c r="H49" s="8" t="n">
        <v>12.26</v>
      </c>
      <c r="I49" s="8">
        <f>G49*H49</f>
        <v/>
      </c>
      <c r="J49" s="8">
        <f>H49/E49</f>
        <v/>
      </c>
      <c r="K49" s="8" t="n">
        <v>0.4995</v>
      </c>
      <c r="L49" s="8" t="n">
        <v>0.4495</v>
      </c>
      <c r="M49" s="14">
        <f>J49/K49-1</f>
        <v/>
      </c>
      <c r="N49" s="7" t="inlineStr">
        <is>
          <t>ACIMA +2354.5%</t>
        </is>
      </c>
      <c r="O49" s="7" t="inlineStr">
        <is>
          <t>conferir emb.</t>
        </is>
      </c>
    </row>
    <row r="50">
      <c r="A50" s="7" t="n">
        <v>670121</v>
      </c>
      <c r="B50" s="7" t="inlineStr"/>
      <c r="C50" s="12" t="inlineStr">
        <is>
          <t>7896540789580</t>
        </is>
      </c>
      <c r="D50" s="7" t="inlineStr">
        <is>
          <t>TERMOMETRO CLIN. DIG. AMARELO ENCARTELAD</t>
        </is>
      </c>
      <c r="E50" s="13" t="n">
        <v>1</v>
      </c>
      <c r="F50" s="13" t="n">
        <v>1</v>
      </c>
      <c r="G50" s="13" t="n">
        <v>1</v>
      </c>
      <c r="H50" s="8" t="n">
        <v>13.04</v>
      </c>
      <c r="I50" s="8">
        <f>G50*H50</f>
        <v/>
      </c>
      <c r="J50" s="8">
        <f>H50/E50</f>
        <v/>
      </c>
      <c r="K50" s="8" t="n"/>
      <c r="L50" s="8" t="n"/>
      <c r="M50" s="14" t="n"/>
      <c r="N50" s="7" t="inlineStr">
        <is>
          <t>SEM HISTÓRICO</t>
        </is>
      </c>
      <c r="O50" s="7" t="inlineStr"/>
    </row>
    <row r="51">
      <c r="A51" s="7" t="n">
        <v>464681</v>
      </c>
      <c r="B51" s="7" t="inlineStr"/>
      <c r="C51" s="12" t="inlineStr">
        <is>
          <t>7894916145541</t>
        </is>
      </c>
      <c r="D51" s="7" t="inlineStr">
        <is>
          <t>TOBRAMICINA 3MG SOL OFT FR 5ML</t>
        </is>
      </c>
      <c r="E51" s="13" t="n">
        <v>1</v>
      </c>
      <c r="F51" s="13" t="n">
        <v>5</v>
      </c>
      <c r="G51" s="13" t="n">
        <v>5</v>
      </c>
      <c r="H51" s="8" t="n">
        <v>7.38</v>
      </c>
      <c r="I51" s="8">
        <f>G51*H51</f>
        <v/>
      </c>
      <c r="J51" s="8">
        <f>H51/E51</f>
        <v/>
      </c>
      <c r="K51" s="8" t="n">
        <v>11.61</v>
      </c>
      <c r="L51" s="8" t="n">
        <v>10.1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660321</v>
      </c>
      <c r="B52" s="7" t="inlineStr"/>
      <c r="C52" s="12" t="inlineStr">
        <is>
          <t>7896714295503</t>
        </is>
      </c>
      <c r="D52" s="7" t="inlineStr">
        <is>
          <t>TRIMETAZIDINA 35MG 30CP LIB PROL(NQG)</t>
        </is>
      </c>
      <c r="E52" s="13" t="n">
        <v>1</v>
      </c>
      <c r="F52" s="13" t="n">
        <v>1</v>
      </c>
      <c r="G52" s="13" t="n">
        <v>1</v>
      </c>
      <c r="H52" s="8" t="n">
        <v>32.68</v>
      </c>
      <c r="I52" s="8">
        <f>G52*H52</f>
        <v/>
      </c>
      <c r="J52" s="8">
        <f>H52/E52</f>
        <v/>
      </c>
      <c r="K52" s="8" t="n">
        <v>29.54</v>
      </c>
      <c r="L52" s="8" t="n">
        <v>29.54</v>
      </c>
      <c r="M52" s="14">
        <f>J52/K52-1</f>
        <v/>
      </c>
      <c r="N52" s="7" t="inlineStr">
        <is>
          <t>ACIMA +10.6%</t>
        </is>
      </c>
      <c r="O52" s="7" t="inlineStr"/>
    </row>
    <row r="53">
      <c r="A53" s="7" t="n">
        <v>35603</v>
      </c>
      <c r="B53" s="7" t="inlineStr"/>
      <c r="C53" s="12" t="inlineStr">
        <is>
          <t>7896094931688</t>
        </is>
      </c>
      <c r="D53" s="7" t="inlineStr">
        <is>
          <t>VIT NEO QUIMICA B12 60 CPR MAST (VITAMINA B12)</t>
        </is>
      </c>
      <c r="E53" s="13" t="n">
        <v>1</v>
      </c>
      <c r="F53" s="13" t="n">
        <v>2</v>
      </c>
      <c r="G53" s="13" t="n">
        <v>2</v>
      </c>
      <c r="H53" s="8" t="n">
        <v>17.44</v>
      </c>
      <c r="I53" s="8">
        <f>G53*H53</f>
        <v/>
      </c>
      <c r="J53" s="8">
        <f>H53/E53</f>
        <v/>
      </c>
      <c r="K53" s="8" t="n">
        <v>14.57</v>
      </c>
      <c r="L53" s="8" t="n">
        <v>14.57</v>
      </c>
      <c r="M53" s="14">
        <f>J53/K53-1</f>
        <v/>
      </c>
      <c r="N53" s="7" t="inlineStr">
        <is>
          <t>ACIMA +19.7%</t>
        </is>
      </c>
      <c r="O53" s="7" t="inlineStr"/>
    </row>
    <row r="54">
      <c r="A54" s="7" t="n">
        <v>193181</v>
      </c>
      <c r="B54" s="7" t="inlineStr"/>
      <c r="C54" s="12" t="inlineStr">
        <is>
          <t>7898569765125</t>
        </is>
      </c>
      <c r="D54" s="7" t="inlineStr">
        <is>
          <t>VITAMINA D3 10000UI CX 8 CAP</t>
        </is>
      </c>
      <c r="E54" s="13" t="n">
        <v>1</v>
      </c>
      <c r="F54" s="13" t="n">
        <v>1</v>
      </c>
      <c r="G54" s="13" t="n">
        <v>1</v>
      </c>
      <c r="H54" s="8" t="n">
        <v>16.85</v>
      </c>
      <c r="I54" s="8">
        <f>G54*H54</f>
        <v/>
      </c>
      <c r="J54" s="8">
        <f>H54/E54</f>
        <v/>
      </c>
      <c r="K54" s="8" t="n">
        <v>12.69</v>
      </c>
      <c r="L54" s="8" t="n">
        <v>12.69</v>
      </c>
      <c r="M54" s="14">
        <f>J54/K54-1</f>
        <v/>
      </c>
      <c r="N54" s="7" t="inlineStr">
        <is>
          <t>ACIMA +32.8%</t>
        </is>
      </c>
      <c r="O54" s="7" t="inlineStr"/>
    </row>
    <row r="55">
      <c r="D55" s="5" t="inlineStr">
        <is>
          <t>TOTAL</t>
        </is>
      </c>
      <c r="I55" s="18">
        <f>SUM(I2:I54)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2026-09-08T22:06:47Z</dcterms:created>
  <dcterms:modified xsi:type="dcterms:W3CDTF">2026-09-08T22:06:52Z</dcterms:modified>
</cp:coreProperties>
</file>