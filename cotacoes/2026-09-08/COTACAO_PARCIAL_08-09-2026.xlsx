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  <sheet name="Ped_PLUSFARM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COUNTIF(Controle!L2:L4687,"&lt;&gt;SEM COTAÇÃO")</f>
        <v/>
      </c>
    </row>
    <row r="7">
      <c r="A7" s="4" t="inlineStr">
        <is>
          <t>Itens ainda sem cotação</t>
        </is>
      </c>
      <c r="B7" s="5">
        <f>COUNTIF(Controle!L2:L4687,"SEM COTAÇÃO")</f>
        <v/>
      </c>
    </row>
    <row r="8">
      <c r="A8" s="4" t="inlineStr">
        <is>
          <t>Itens OK (≤ menor hist. ou últ. compra)</t>
        </is>
      </c>
      <c r="B8" s="5">
        <f>COUNTIF(Controle!O2:O4687,"OK*")</f>
        <v/>
      </c>
    </row>
    <row r="9">
      <c r="A9" s="4" t="inlineStr">
        <is>
          <t>Itens acima do histórico</t>
        </is>
      </c>
      <c r="B9" s="5">
        <f>COUNTIF(Controle!O2:O4687,"ACIMA*")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COUNT(Controle!J2:J4687)</f>
        <v/>
      </c>
      <c r="E14" s="7">
        <f>COUNTIF(Controle!L2:L4687,"DIMEC")</f>
        <v/>
      </c>
      <c r="F14" s="8">
        <f>Ped_DIMEC!I334</f>
        <v/>
      </c>
    </row>
    <row r="15">
      <c r="A15" s="7" t="inlineStr">
        <is>
          <t>PLUSFARMA</t>
        </is>
      </c>
      <c r="B15" s="7" t="inlineStr">
        <is>
          <t>08/09/2026</t>
        </is>
      </c>
      <c r="C15" s="7" t="inlineStr">
        <is>
          <t>EAN (pedido nº 36)</t>
        </is>
      </c>
      <c r="D15" s="7">
        <f>COUNT(Controle!K2:K4687)</f>
        <v/>
      </c>
      <c r="E15" s="7">
        <f>COUNTIF(Controle!L2:L4687,"PLUSFARMA")</f>
        <v/>
      </c>
      <c r="F15" s="8">
        <f>Ped_PLUSFARMA!I64</f>
        <v/>
      </c>
    </row>
    <row r="16">
      <c r="A16" s="5" t="inlineStr">
        <is>
          <t>TOTAL</t>
        </is>
      </c>
      <c r="D16" s="9">
        <f>SUM(D14:D15)</f>
        <v/>
      </c>
      <c r="E16" s="9">
        <f>SUM(E14:E15)</f>
        <v/>
      </c>
      <c r="F16" s="10">
        <f>SUM(F14:F15)</f>
        <v/>
      </c>
    </row>
    <row r="17">
      <c r="A17" s="3" t="inlineStr">
        <is>
          <t>Aguardando cotação</t>
        </is>
      </c>
    </row>
    <row r="18">
      <c r="A18" s="2" t="inlineStr">
        <is>
          <t>Demais fornecedores: planilha COTACAO_FORNECEDORES_08-09-2026.xlsx enviada; conforme voltarem preenchidas, entram neste comparativo.</t>
        </is>
      </c>
    </row>
    <row r="20">
      <c r="A20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0" customWidth="1" min="13" max="13"/>
    <col width="9" customWidth="1" min="14" max="14"/>
    <col width="17" customWidth="1" min="15" max="15"/>
    <col width="30" customWidth="1" min="16" max="16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DIMEC (un)</t>
        </is>
      </c>
      <c r="K1" s="11" t="inlineStr">
        <is>
          <t>PLUSFARMA (un)</t>
        </is>
      </c>
      <c r="L1" s="11" t="inlineStr">
        <is>
          <t>Melhor forn.</t>
        </is>
      </c>
      <c r="M1" s="11" t="inlineStr">
        <is>
          <t>Melhor (un)</t>
        </is>
      </c>
      <c r="N1" s="11" t="inlineStr">
        <is>
          <t>Dif. %</t>
        </is>
      </c>
      <c r="O1" s="11" t="inlineStr">
        <is>
          <t>Status</t>
        </is>
      </c>
      <c r="P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/>
      <c r="K2" s="8" t="n"/>
      <c r="L2" s="7" t="inlineStr">
        <is>
          <t>SEM COTAÇÃO</t>
        </is>
      </c>
      <c r="M2" s="8" t="n"/>
      <c r="N2" s="14" t="n"/>
      <c r="O2" s="7" t="inlineStr"/>
      <c r="P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/>
      <c r="K3" s="8" t="n"/>
      <c r="L3" s="7" t="inlineStr">
        <is>
          <t>SEM COTAÇÃO</t>
        </is>
      </c>
      <c r="M3" s="8" t="n"/>
      <c r="N3" s="14" t="n"/>
      <c r="O3" s="7" t="inlineStr"/>
      <c r="P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/>
      <c r="K4" s="8" t="n"/>
      <c r="L4" s="7" t="inlineStr">
        <is>
          <t>SEM COTAÇÃO</t>
        </is>
      </c>
      <c r="M4" s="8" t="n"/>
      <c r="N4" s="14" t="n"/>
      <c r="O4" s="7" t="inlineStr"/>
      <c r="P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/>
      <c r="K5" s="8" t="n"/>
      <c r="L5" s="7" t="inlineStr">
        <is>
          <t>SEM COTAÇÃO</t>
        </is>
      </c>
      <c r="M5" s="8" t="n"/>
      <c r="N5" s="14" t="n"/>
      <c r="O5" s="7" t="inlineStr"/>
      <c r="P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/>
      <c r="K6" s="8" t="n"/>
      <c r="L6" s="7" t="inlineStr">
        <is>
          <t>SEM COTAÇÃO</t>
        </is>
      </c>
      <c r="M6" s="8" t="n"/>
      <c r="N6" s="14" t="n"/>
      <c r="O6" s="7" t="inlineStr"/>
      <c r="P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/>
      <c r="K7" s="8" t="n"/>
      <c r="L7" s="7" t="inlineStr">
        <is>
          <t>SEM COTAÇÃO</t>
        </is>
      </c>
      <c r="M7" s="8" t="n"/>
      <c r="N7" s="14" t="n"/>
      <c r="O7" s="7" t="inlineStr"/>
      <c r="P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/>
      <c r="K8" s="8" t="n"/>
      <c r="L8" s="7" t="inlineStr">
        <is>
          <t>SEM COTAÇÃO</t>
        </is>
      </c>
      <c r="M8" s="8" t="n"/>
      <c r="N8" s="14" t="n"/>
      <c r="O8" s="7" t="inlineStr"/>
      <c r="P8" s="7" t="inlineStr"/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/>
      <c r="K9" s="8" t="n"/>
      <c r="L9" s="7" t="inlineStr">
        <is>
          <t>SEM COTAÇÃO</t>
        </is>
      </c>
      <c r="M9" s="8" t="n"/>
      <c r="N9" s="14" t="n"/>
      <c r="O9" s="7" t="inlineStr"/>
      <c r="P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/>
      <c r="K10" s="8" t="n"/>
      <c r="L10" s="7" t="inlineStr">
        <is>
          <t>SEM COTAÇÃO</t>
        </is>
      </c>
      <c r="M10" s="8" t="n"/>
      <c r="N10" s="14" t="n"/>
      <c r="O10" s="7" t="inlineStr"/>
      <c r="P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15" t="n">
        <v>12.2</v>
      </c>
      <c r="K11" s="8" t="n"/>
      <c r="L11" s="7" t="inlineStr">
        <is>
          <t>DIMEC</t>
        </is>
      </c>
      <c r="M11" s="8" t="n">
        <v>12.2</v>
      </c>
      <c r="N11" s="14">
        <f>M11/H11-1</f>
        <v/>
      </c>
      <c r="O11" s="16" t="inlineStr">
        <is>
          <t>ACIMA +30.2%</t>
        </is>
      </c>
      <c r="P11" s="7" t="inlineStr"/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/>
      <c r="K12" s="8" t="n"/>
      <c r="L12" s="7" t="inlineStr">
        <is>
          <t>SEM COTAÇÃO</t>
        </is>
      </c>
      <c r="M12" s="8" t="n"/>
      <c r="N12" s="14" t="n"/>
      <c r="O12" s="7" t="inlineStr"/>
      <c r="P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/>
      <c r="K13" s="8" t="n"/>
      <c r="L13" s="7" t="inlineStr">
        <is>
          <t>SEM COTAÇÃO</t>
        </is>
      </c>
      <c r="M13" s="8" t="n"/>
      <c r="N13" s="14" t="n"/>
      <c r="O13" s="7" t="inlineStr"/>
      <c r="P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/>
      <c r="K14" s="8" t="n"/>
      <c r="L14" s="7" t="inlineStr">
        <is>
          <t>SEM COTAÇÃO</t>
        </is>
      </c>
      <c r="M14" s="8" t="n"/>
      <c r="N14" s="14" t="n"/>
      <c r="O14" s="7" t="inlineStr"/>
      <c r="P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/>
      <c r="K15" s="8" t="n"/>
      <c r="L15" s="7" t="inlineStr">
        <is>
          <t>SEM COTAÇÃO</t>
        </is>
      </c>
      <c r="M15" s="8" t="n"/>
      <c r="N15" s="14" t="n"/>
      <c r="O15" s="7" t="inlineStr"/>
      <c r="P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/>
      <c r="K16" s="8" t="n"/>
      <c r="L16" s="7" t="inlineStr">
        <is>
          <t>SEM COTAÇÃO</t>
        </is>
      </c>
      <c r="M16" s="8" t="n"/>
      <c r="N16" s="14" t="n"/>
      <c r="O16" s="7" t="inlineStr"/>
      <c r="P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/>
      <c r="K17" s="8" t="n"/>
      <c r="L17" s="7" t="inlineStr">
        <is>
          <t>SEM COTAÇÃO</t>
        </is>
      </c>
      <c r="M17" s="8" t="n"/>
      <c r="N17" s="14" t="n"/>
      <c r="O17" s="7" t="inlineStr"/>
      <c r="P17" s="7" t="inlineStr"/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/>
      <c r="K18" s="8" t="n"/>
      <c r="L18" s="7" t="inlineStr">
        <is>
          <t>SEM COTAÇÃO</t>
        </is>
      </c>
      <c r="M18" s="8" t="n"/>
      <c r="N18" s="14" t="n"/>
      <c r="O18" s="7" t="inlineStr"/>
      <c r="P18" s="7" t="inlineStr"/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/>
      <c r="K19" s="8" t="n"/>
      <c r="L19" s="7" t="inlineStr">
        <is>
          <t>SEM COTAÇÃO</t>
        </is>
      </c>
      <c r="M19" s="8" t="n"/>
      <c r="N19" s="14" t="n"/>
      <c r="O19" s="7" t="inlineStr"/>
      <c r="P19" s="7" t="inlineStr"/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/>
      <c r="K20" s="8" t="n"/>
      <c r="L20" s="7" t="inlineStr">
        <is>
          <t>SEM COTAÇÃO</t>
        </is>
      </c>
      <c r="M20" s="8" t="n"/>
      <c r="N20" s="14" t="n"/>
      <c r="O20" s="7" t="inlineStr"/>
      <c r="P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/>
      <c r="K21" s="8" t="n"/>
      <c r="L21" s="7" t="inlineStr">
        <is>
          <t>SEM COTAÇÃO</t>
        </is>
      </c>
      <c r="M21" s="8" t="n"/>
      <c r="N21" s="14" t="n"/>
      <c r="O21" s="7" t="inlineStr"/>
      <c r="P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/>
      <c r="K22" s="8" t="n"/>
      <c r="L22" s="7" t="inlineStr">
        <is>
          <t>SEM COTAÇÃO</t>
        </is>
      </c>
      <c r="M22" s="8" t="n"/>
      <c r="N22" s="14" t="n"/>
      <c r="O22" s="7" t="inlineStr"/>
      <c r="P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/>
      <c r="K23" s="8" t="n"/>
      <c r="L23" s="7" t="inlineStr">
        <is>
          <t>SEM COTAÇÃO</t>
        </is>
      </c>
      <c r="M23" s="8" t="n"/>
      <c r="N23" s="14" t="n"/>
      <c r="O23" s="7" t="inlineStr"/>
      <c r="P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/>
      <c r="K24" s="8" t="n"/>
      <c r="L24" s="7" t="inlineStr">
        <is>
          <t>SEM COTAÇÃO</t>
        </is>
      </c>
      <c r="M24" s="8" t="n"/>
      <c r="N24" s="14" t="n"/>
      <c r="O24" s="7" t="inlineStr"/>
      <c r="P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/>
      <c r="K25" s="8" t="n"/>
      <c r="L25" s="7" t="inlineStr">
        <is>
          <t>SEM COTAÇÃO</t>
        </is>
      </c>
      <c r="M25" s="8" t="n"/>
      <c r="N25" s="14" t="n"/>
      <c r="O25" s="7" t="inlineStr"/>
      <c r="P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/>
      <c r="K26" s="8" t="n"/>
      <c r="L26" s="7" t="inlineStr">
        <is>
          <t>SEM COTAÇÃO</t>
        </is>
      </c>
      <c r="M26" s="8" t="n"/>
      <c r="N26" s="14" t="n"/>
      <c r="O26" s="7" t="inlineStr"/>
      <c r="P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/>
      <c r="K27" s="8" t="n"/>
      <c r="L27" s="7" t="inlineStr">
        <is>
          <t>SEM COTAÇÃO</t>
        </is>
      </c>
      <c r="M27" s="8" t="n"/>
      <c r="N27" s="14" t="n"/>
      <c r="O27" s="7" t="inlineStr"/>
      <c r="P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/>
      <c r="K28" s="8" t="n"/>
      <c r="L28" s="7" t="inlineStr">
        <is>
          <t>SEM COTAÇÃO</t>
        </is>
      </c>
      <c r="M28" s="8" t="n"/>
      <c r="N28" s="14" t="n"/>
      <c r="O28" s="7" t="inlineStr"/>
      <c r="P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/>
      <c r="K29" s="8" t="n"/>
      <c r="L29" s="7" t="inlineStr">
        <is>
          <t>SEM COTAÇÃO</t>
        </is>
      </c>
      <c r="M29" s="8" t="n"/>
      <c r="N29" s="14" t="n"/>
      <c r="O29" s="7" t="inlineStr"/>
      <c r="P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/>
      <c r="K30" s="8" t="n"/>
      <c r="L30" s="7" t="inlineStr">
        <is>
          <t>SEM COTAÇÃO</t>
        </is>
      </c>
      <c r="M30" s="8" t="n"/>
      <c r="N30" s="14" t="n"/>
      <c r="O30" s="7" t="inlineStr"/>
      <c r="P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/>
      <c r="K31" s="8" t="n"/>
      <c r="L31" s="7" t="inlineStr">
        <is>
          <t>SEM COTAÇÃO</t>
        </is>
      </c>
      <c r="M31" s="8" t="n"/>
      <c r="N31" s="14" t="n"/>
      <c r="O31" s="7" t="inlineStr"/>
      <c r="P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/>
      <c r="K32" s="8" t="n"/>
      <c r="L32" s="7" t="inlineStr">
        <is>
          <t>SEM COTAÇÃO</t>
        </is>
      </c>
      <c r="M32" s="8" t="n"/>
      <c r="N32" s="14" t="n"/>
      <c r="O32" s="7" t="inlineStr"/>
      <c r="P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/>
      <c r="K33" s="8" t="n"/>
      <c r="L33" s="7" t="inlineStr">
        <is>
          <t>SEM COTAÇÃO</t>
        </is>
      </c>
      <c r="M33" s="8" t="n"/>
      <c r="N33" s="14" t="n"/>
      <c r="O33" s="7" t="inlineStr"/>
      <c r="P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/>
      <c r="K34" s="8" t="n"/>
      <c r="L34" s="7" t="inlineStr">
        <is>
          <t>SEM COTAÇÃO</t>
        </is>
      </c>
      <c r="M34" s="8" t="n"/>
      <c r="N34" s="14" t="n"/>
      <c r="O34" s="7" t="inlineStr"/>
      <c r="P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/>
      <c r="K35" s="8" t="n"/>
      <c r="L35" s="7" t="inlineStr">
        <is>
          <t>SEM COTAÇÃO</t>
        </is>
      </c>
      <c r="M35" s="8" t="n"/>
      <c r="N35" s="14" t="n"/>
      <c r="O35" s="7" t="inlineStr"/>
      <c r="P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15" t="n">
        <v>33.53</v>
      </c>
      <c r="K36" s="8" t="n"/>
      <c r="L36" s="7" t="inlineStr">
        <is>
          <t>DIMEC</t>
        </is>
      </c>
      <c r="M36" s="8" t="n">
        <v>33.53</v>
      </c>
      <c r="N36" s="14">
        <f>M36/H36-1</f>
        <v/>
      </c>
      <c r="O36" s="17" t="inlineStr">
        <is>
          <t>OK (≤ menor hist.)</t>
        </is>
      </c>
      <c r="P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/>
      <c r="K37" s="8" t="n"/>
      <c r="L37" s="7" t="inlineStr">
        <is>
          <t>SEM COTAÇÃO</t>
        </is>
      </c>
      <c r="M37" s="8" t="n"/>
      <c r="N37" s="14" t="n"/>
      <c r="O37" s="7" t="inlineStr"/>
      <c r="P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/>
      <c r="K38" s="8" t="n"/>
      <c r="L38" s="7" t="inlineStr">
        <is>
          <t>SEM COTAÇÃO</t>
        </is>
      </c>
      <c r="M38" s="8" t="n"/>
      <c r="N38" s="14" t="n"/>
      <c r="O38" s="7" t="inlineStr"/>
      <c r="P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/>
      <c r="K39" s="8" t="n"/>
      <c r="L39" s="7" t="inlineStr">
        <is>
          <t>SEM COTAÇÃO</t>
        </is>
      </c>
      <c r="M39" s="8" t="n"/>
      <c r="N39" s="14" t="n"/>
      <c r="O39" s="7" t="inlineStr"/>
      <c r="P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15" t="n">
        <v>6.4</v>
      </c>
      <c r="K40" s="8" t="n"/>
      <c r="L40" s="7" t="inlineStr">
        <is>
          <t>DIMEC</t>
        </is>
      </c>
      <c r="M40" s="8" t="n">
        <v>6.4</v>
      </c>
      <c r="N40" s="14">
        <f>M40/H40-1</f>
        <v/>
      </c>
      <c r="O40" s="16" t="inlineStr">
        <is>
          <t>ACIMA +13.3%</t>
        </is>
      </c>
      <c r="P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/>
      <c r="K41" s="8" t="n"/>
      <c r="L41" s="7" t="inlineStr">
        <is>
          <t>SEM COTAÇÃO</t>
        </is>
      </c>
      <c r="M41" s="8" t="n"/>
      <c r="N41" s="14" t="n"/>
      <c r="O41" s="7" t="inlineStr"/>
      <c r="P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/>
      <c r="K42" s="8" t="n"/>
      <c r="L42" s="7" t="inlineStr">
        <is>
          <t>SEM COTAÇÃO</t>
        </is>
      </c>
      <c r="M42" s="8" t="n"/>
      <c r="N42" s="14" t="n"/>
      <c r="O42" s="7" t="inlineStr"/>
      <c r="P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/>
      <c r="K43" s="8" t="n"/>
      <c r="L43" s="7" t="inlineStr">
        <is>
          <t>SEM COTAÇÃO</t>
        </is>
      </c>
      <c r="M43" s="8" t="n"/>
      <c r="N43" s="14" t="n"/>
      <c r="O43" s="7" t="inlineStr"/>
      <c r="P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/>
      <c r="K44" s="8" t="n"/>
      <c r="L44" s="7" t="inlineStr">
        <is>
          <t>SEM COTAÇÃO</t>
        </is>
      </c>
      <c r="M44" s="8" t="n"/>
      <c r="N44" s="14" t="n"/>
      <c r="O44" s="7" t="inlineStr"/>
      <c r="P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/>
      <c r="K45" s="8" t="n"/>
      <c r="L45" s="7" t="inlineStr">
        <is>
          <t>SEM COTAÇÃO</t>
        </is>
      </c>
      <c r="M45" s="8" t="n"/>
      <c r="N45" s="14" t="n"/>
      <c r="O45" s="7" t="inlineStr"/>
      <c r="P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/>
      <c r="K46" s="8" t="n"/>
      <c r="L46" s="7" t="inlineStr">
        <is>
          <t>SEM COTAÇÃO</t>
        </is>
      </c>
      <c r="M46" s="8" t="n"/>
      <c r="N46" s="14" t="n"/>
      <c r="O46" s="7" t="inlineStr"/>
      <c r="P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/>
      <c r="K47" s="8" t="n"/>
      <c r="L47" s="7" t="inlineStr">
        <is>
          <t>SEM COTAÇÃO</t>
        </is>
      </c>
      <c r="M47" s="8" t="n"/>
      <c r="N47" s="14" t="n"/>
      <c r="O47" s="7" t="inlineStr"/>
      <c r="P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/>
      <c r="K48" s="8" t="n"/>
      <c r="L48" s="7" t="inlineStr">
        <is>
          <t>SEM COTAÇÃO</t>
        </is>
      </c>
      <c r="M48" s="8" t="n"/>
      <c r="N48" s="14" t="n"/>
      <c r="O48" s="7" t="inlineStr"/>
      <c r="P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/>
      <c r="K49" s="8" t="n"/>
      <c r="L49" s="7" t="inlineStr">
        <is>
          <t>SEM COTAÇÃO</t>
        </is>
      </c>
      <c r="M49" s="8" t="n"/>
      <c r="N49" s="14" t="n"/>
      <c r="O49" s="7" t="inlineStr"/>
      <c r="P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/>
      <c r="K50" s="8" t="n"/>
      <c r="L50" s="7" t="inlineStr">
        <is>
          <t>SEM COTAÇÃO</t>
        </is>
      </c>
      <c r="M50" s="8" t="n"/>
      <c r="N50" s="14" t="n"/>
      <c r="O50" s="7" t="inlineStr"/>
      <c r="P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/>
      <c r="K51" s="8" t="n"/>
      <c r="L51" s="7" t="inlineStr">
        <is>
          <t>SEM COTAÇÃO</t>
        </is>
      </c>
      <c r="M51" s="8" t="n"/>
      <c r="N51" s="14" t="n"/>
      <c r="O51" s="7" t="inlineStr"/>
      <c r="P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/>
      <c r="K52" s="8" t="n"/>
      <c r="L52" s="7" t="inlineStr">
        <is>
          <t>SEM COTAÇÃO</t>
        </is>
      </c>
      <c r="M52" s="8" t="n"/>
      <c r="N52" s="14" t="n"/>
      <c r="O52" s="7" t="inlineStr"/>
      <c r="P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/>
      <c r="K53" s="8" t="n"/>
      <c r="L53" s="7" t="inlineStr">
        <is>
          <t>SEM COTAÇÃO</t>
        </is>
      </c>
      <c r="M53" s="8" t="n"/>
      <c r="N53" s="14" t="n"/>
      <c r="O53" s="7" t="inlineStr"/>
      <c r="P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/>
      <c r="K54" s="8" t="n"/>
      <c r="L54" s="7" t="inlineStr">
        <is>
          <t>SEM COTAÇÃO</t>
        </is>
      </c>
      <c r="M54" s="8" t="n"/>
      <c r="N54" s="14" t="n"/>
      <c r="O54" s="7" t="inlineStr"/>
      <c r="P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/>
      <c r="K55" s="8" t="n"/>
      <c r="L55" s="7" t="inlineStr">
        <is>
          <t>SEM COTAÇÃO</t>
        </is>
      </c>
      <c r="M55" s="8" t="n"/>
      <c r="N55" s="14" t="n"/>
      <c r="O55" s="7" t="inlineStr"/>
      <c r="P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/>
      <c r="K56" s="8" t="n"/>
      <c r="L56" s="7" t="inlineStr">
        <is>
          <t>SEM COTAÇÃO</t>
        </is>
      </c>
      <c r="M56" s="8" t="n"/>
      <c r="N56" s="14" t="n"/>
      <c r="O56" s="7" t="inlineStr"/>
      <c r="P56" s="7" t="inlineStr"/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/>
      <c r="K57" s="8" t="n"/>
      <c r="L57" s="7" t="inlineStr">
        <is>
          <t>SEM COTAÇÃO</t>
        </is>
      </c>
      <c r="M57" s="8" t="n"/>
      <c r="N57" s="14" t="n"/>
      <c r="O57" s="7" t="inlineStr"/>
      <c r="P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/>
      <c r="K58" s="8" t="n"/>
      <c r="L58" s="7" t="inlineStr">
        <is>
          <t>SEM COTAÇÃO</t>
        </is>
      </c>
      <c r="M58" s="8" t="n"/>
      <c r="N58" s="14" t="n"/>
      <c r="O58" s="7" t="inlineStr"/>
      <c r="P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/>
      <c r="K59" s="8" t="n"/>
      <c r="L59" s="7" t="inlineStr">
        <is>
          <t>SEM COTAÇÃO</t>
        </is>
      </c>
      <c r="M59" s="8" t="n"/>
      <c r="N59" s="14" t="n"/>
      <c r="O59" s="7" t="inlineStr"/>
      <c r="P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/>
      <c r="K60" s="8" t="n"/>
      <c r="L60" s="7" t="inlineStr">
        <is>
          <t>SEM COTAÇÃO</t>
        </is>
      </c>
      <c r="M60" s="8" t="n"/>
      <c r="N60" s="14" t="n"/>
      <c r="O60" s="7" t="inlineStr"/>
      <c r="P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/>
      <c r="K61" s="8" t="n"/>
      <c r="L61" s="7" t="inlineStr">
        <is>
          <t>SEM COTAÇÃO</t>
        </is>
      </c>
      <c r="M61" s="8" t="n"/>
      <c r="N61" s="14" t="n"/>
      <c r="O61" s="7" t="inlineStr"/>
      <c r="P61" s="7" t="inlineStr"/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/>
      <c r="K62" s="8" t="n"/>
      <c r="L62" s="7" t="inlineStr">
        <is>
          <t>SEM COTAÇÃO</t>
        </is>
      </c>
      <c r="M62" s="8" t="n"/>
      <c r="N62" s="14" t="n"/>
      <c r="O62" s="7" t="inlineStr"/>
      <c r="P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/>
      <c r="K63" s="8" t="n"/>
      <c r="L63" s="7" t="inlineStr">
        <is>
          <t>SEM COTAÇÃO</t>
        </is>
      </c>
      <c r="M63" s="8" t="n"/>
      <c r="N63" s="14" t="n"/>
      <c r="O63" s="7" t="inlineStr"/>
      <c r="P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/>
      <c r="K64" s="8" t="n"/>
      <c r="L64" s="7" t="inlineStr">
        <is>
          <t>SEM COTAÇÃO</t>
        </is>
      </c>
      <c r="M64" s="8" t="n"/>
      <c r="N64" s="14" t="n"/>
      <c r="O64" s="7" t="inlineStr"/>
      <c r="P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/>
      <c r="K65" s="8" t="n"/>
      <c r="L65" s="7" t="inlineStr">
        <is>
          <t>SEM COTAÇÃO</t>
        </is>
      </c>
      <c r="M65" s="8" t="n"/>
      <c r="N65" s="14" t="n"/>
      <c r="O65" s="7" t="inlineStr"/>
      <c r="P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/>
      <c r="K66" s="8" t="n"/>
      <c r="L66" s="7" t="inlineStr">
        <is>
          <t>SEM COTAÇÃO</t>
        </is>
      </c>
      <c r="M66" s="8" t="n"/>
      <c r="N66" s="14" t="n"/>
      <c r="O66" s="7" t="inlineStr"/>
      <c r="P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/>
      <c r="K67" s="8" t="n"/>
      <c r="L67" s="7" t="inlineStr">
        <is>
          <t>SEM COTAÇÃO</t>
        </is>
      </c>
      <c r="M67" s="8" t="n"/>
      <c r="N67" s="14" t="n"/>
      <c r="O67" s="7" t="inlineStr"/>
      <c r="P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/>
      <c r="K68" s="8" t="n"/>
      <c r="L68" s="7" t="inlineStr">
        <is>
          <t>SEM COTAÇÃO</t>
        </is>
      </c>
      <c r="M68" s="8" t="n"/>
      <c r="N68" s="14" t="n"/>
      <c r="O68" s="7" t="inlineStr"/>
      <c r="P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/>
      <c r="K69" s="8" t="n"/>
      <c r="L69" s="7" t="inlineStr">
        <is>
          <t>SEM COTAÇÃO</t>
        </is>
      </c>
      <c r="M69" s="8" t="n"/>
      <c r="N69" s="14" t="n"/>
      <c r="O69" s="7" t="inlineStr"/>
      <c r="P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/>
      <c r="K70" s="8" t="n"/>
      <c r="L70" s="7" t="inlineStr">
        <is>
          <t>SEM COTAÇÃO</t>
        </is>
      </c>
      <c r="M70" s="8" t="n"/>
      <c r="N70" s="14" t="n"/>
      <c r="O70" s="7" t="inlineStr"/>
      <c r="P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/>
      <c r="K71" s="8" t="n"/>
      <c r="L71" s="7" t="inlineStr">
        <is>
          <t>SEM COTAÇÃO</t>
        </is>
      </c>
      <c r="M71" s="8" t="n"/>
      <c r="N71" s="14" t="n"/>
      <c r="O71" s="7" t="inlineStr"/>
      <c r="P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/>
      <c r="K72" s="8" t="n"/>
      <c r="L72" s="7" t="inlineStr">
        <is>
          <t>SEM COTAÇÃO</t>
        </is>
      </c>
      <c r="M72" s="8" t="n"/>
      <c r="N72" s="14" t="n"/>
      <c r="O72" s="7" t="inlineStr"/>
      <c r="P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7" t="inlineStr">
        <is>
          <t>SEM COTAÇÃO</t>
        </is>
      </c>
      <c r="M73" s="8" t="n"/>
      <c r="N73" s="14" t="n"/>
      <c r="O73" s="7" t="inlineStr"/>
      <c r="P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/>
      <c r="K74" s="8" t="n"/>
      <c r="L74" s="7" t="inlineStr">
        <is>
          <t>SEM COTAÇÃO</t>
        </is>
      </c>
      <c r="M74" s="8" t="n"/>
      <c r="N74" s="14" t="n"/>
      <c r="O74" s="7" t="inlineStr"/>
      <c r="P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/>
      <c r="K75" s="8" t="n"/>
      <c r="L75" s="7" t="inlineStr">
        <is>
          <t>SEM COTAÇÃO</t>
        </is>
      </c>
      <c r="M75" s="8" t="n"/>
      <c r="N75" s="14" t="n"/>
      <c r="O75" s="7" t="inlineStr"/>
      <c r="P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/>
      <c r="K76" s="8" t="n"/>
      <c r="L76" s="7" t="inlineStr">
        <is>
          <t>SEM COTAÇÃO</t>
        </is>
      </c>
      <c r="M76" s="8" t="n"/>
      <c r="N76" s="14" t="n"/>
      <c r="O76" s="7" t="inlineStr"/>
      <c r="P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/>
      <c r="K77" s="8" t="n"/>
      <c r="L77" s="7" t="inlineStr">
        <is>
          <t>SEM COTAÇÃO</t>
        </is>
      </c>
      <c r="M77" s="8" t="n"/>
      <c r="N77" s="14" t="n"/>
      <c r="O77" s="7" t="inlineStr"/>
      <c r="P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/>
      <c r="K78" s="8" t="n"/>
      <c r="L78" s="7" t="inlineStr">
        <is>
          <t>SEM COTAÇÃO</t>
        </is>
      </c>
      <c r="M78" s="8" t="n"/>
      <c r="N78" s="14" t="n"/>
      <c r="O78" s="7" t="inlineStr"/>
      <c r="P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/>
      <c r="K79" s="8" t="n"/>
      <c r="L79" s="7" t="inlineStr">
        <is>
          <t>SEM COTAÇÃO</t>
        </is>
      </c>
      <c r="M79" s="8" t="n"/>
      <c r="N79" s="14" t="n"/>
      <c r="O79" s="7" t="inlineStr"/>
      <c r="P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/>
      <c r="K80" s="8" t="n"/>
      <c r="L80" s="7" t="inlineStr">
        <is>
          <t>SEM COTAÇÃO</t>
        </is>
      </c>
      <c r="M80" s="8" t="n"/>
      <c r="N80" s="14" t="n"/>
      <c r="O80" s="7" t="inlineStr"/>
      <c r="P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/>
      <c r="K81" s="8" t="n"/>
      <c r="L81" s="7" t="inlineStr">
        <is>
          <t>SEM COTAÇÃO</t>
        </is>
      </c>
      <c r="M81" s="8" t="n"/>
      <c r="N81" s="14" t="n"/>
      <c r="O81" s="7" t="inlineStr"/>
      <c r="P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/>
      <c r="K82" s="8" t="n"/>
      <c r="L82" s="7" t="inlineStr">
        <is>
          <t>SEM COTAÇÃO</t>
        </is>
      </c>
      <c r="M82" s="8" t="n"/>
      <c r="N82" s="14" t="n"/>
      <c r="O82" s="7" t="inlineStr"/>
      <c r="P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/>
      <c r="K83" s="8" t="n"/>
      <c r="L83" s="7" t="inlineStr">
        <is>
          <t>SEM COTAÇÃO</t>
        </is>
      </c>
      <c r="M83" s="8" t="n"/>
      <c r="N83" s="14" t="n"/>
      <c r="O83" s="7" t="inlineStr"/>
      <c r="P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/>
      <c r="K84" s="8" t="n"/>
      <c r="L84" s="7" t="inlineStr">
        <is>
          <t>SEM COTAÇÃO</t>
        </is>
      </c>
      <c r="M84" s="8" t="n"/>
      <c r="N84" s="14" t="n"/>
      <c r="O84" s="7" t="inlineStr"/>
      <c r="P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/>
      <c r="K85" s="8" t="n"/>
      <c r="L85" s="7" t="inlineStr">
        <is>
          <t>SEM COTAÇÃO</t>
        </is>
      </c>
      <c r="M85" s="8" t="n"/>
      <c r="N85" s="14" t="n"/>
      <c r="O85" s="7" t="inlineStr"/>
      <c r="P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/>
      <c r="K86" s="8" t="n"/>
      <c r="L86" s="7" t="inlineStr">
        <is>
          <t>SEM COTAÇÃO</t>
        </is>
      </c>
      <c r="M86" s="8" t="n"/>
      <c r="N86" s="14" t="n"/>
      <c r="O86" s="7" t="inlineStr"/>
      <c r="P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/>
      <c r="K87" s="8" t="n"/>
      <c r="L87" s="7" t="inlineStr">
        <is>
          <t>SEM COTAÇÃO</t>
        </is>
      </c>
      <c r="M87" s="8" t="n"/>
      <c r="N87" s="14" t="n"/>
      <c r="O87" s="7" t="inlineStr"/>
      <c r="P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/>
      <c r="K88" s="8" t="n"/>
      <c r="L88" s="7" t="inlineStr">
        <is>
          <t>SEM COTAÇÃO</t>
        </is>
      </c>
      <c r="M88" s="8" t="n"/>
      <c r="N88" s="14" t="n"/>
      <c r="O88" s="7" t="inlineStr"/>
      <c r="P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/>
      <c r="K89" s="8" t="n"/>
      <c r="L89" s="7" t="inlineStr">
        <is>
          <t>SEM COTAÇÃO</t>
        </is>
      </c>
      <c r="M89" s="8" t="n"/>
      <c r="N89" s="14" t="n"/>
      <c r="O89" s="7" t="inlineStr"/>
      <c r="P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/>
      <c r="K90" s="8" t="n"/>
      <c r="L90" s="7" t="inlineStr">
        <is>
          <t>SEM COTAÇÃO</t>
        </is>
      </c>
      <c r="M90" s="8" t="n"/>
      <c r="N90" s="14" t="n"/>
      <c r="O90" s="7" t="inlineStr"/>
      <c r="P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/>
      <c r="K91" s="8" t="n"/>
      <c r="L91" s="7" t="inlineStr">
        <is>
          <t>SEM COTAÇÃO</t>
        </is>
      </c>
      <c r="M91" s="8" t="n"/>
      <c r="N91" s="14" t="n"/>
      <c r="O91" s="7" t="inlineStr"/>
      <c r="P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/>
      <c r="K92" s="8" t="n"/>
      <c r="L92" s="7" t="inlineStr">
        <is>
          <t>SEM COTAÇÃO</t>
        </is>
      </c>
      <c r="M92" s="8" t="n"/>
      <c r="N92" s="14" t="n"/>
      <c r="O92" s="7" t="inlineStr"/>
      <c r="P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/>
      <c r="K93" s="8" t="n"/>
      <c r="L93" s="7" t="inlineStr">
        <is>
          <t>SEM COTAÇÃO</t>
        </is>
      </c>
      <c r="M93" s="8" t="n"/>
      <c r="N93" s="14" t="n"/>
      <c r="O93" s="7" t="inlineStr"/>
      <c r="P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/>
      <c r="K94" s="8" t="n"/>
      <c r="L94" s="7" t="inlineStr">
        <is>
          <t>SEM COTAÇÃO</t>
        </is>
      </c>
      <c r="M94" s="8" t="n"/>
      <c r="N94" s="14" t="n"/>
      <c r="O94" s="7" t="inlineStr"/>
      <c r="P94" s="7" t="inlineStr"/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/>
      <c r="K95" s="8" t="n"/>
      <c r="L95" s="7" t="inlineStr">
        <is>
          <t>SEM COTAÇÃO</t>
        </is>
      </c>
      <c r="M95" s="8" t="n"/>
      <c r="N95" s="14" t="n"/>
      <c r="O95" s="7" t="inlineStr"/>
      <c r="P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/>
      <c r="K96" s="8" t="n"/>
      <c r="L96" s="7" t="inlineStr">
        <is>
          <t>SEM COTAÇÃO</t>
        </is>
      </c>
      <c r="M96" s="8" t="n"/>
      <c r="N96" s="14" t="n"/>
      <c r="O96" s="7" t="inlineStr"/>
      <c r="P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/>
      <c r="K97" s="8" t="n"/>
      <c r="L97" s="7" t="inlineStr">
        <is>
          <t>SEM COTAÇÃO</t>
        </is>
      </c>
      <c r="M97" s="8" t="n"/>
      <c r="N97" s="14" t="n"/>
      <c r="O97" s="7" t="inlineStr"/>
      <c r="P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/>
      <c r="K98" s="8" t="n"/>
      <c r="L98" s="7" t="inlineStr">
        <is>
          <t>SEM COTAÇÃO</t>
        </is>
      </c>
      <c r="M98" s="8" t="n"/>
      <c r="N98" s="14" t="n"/>
      <c r="O98" s="7" t="inlineStr"/>
      <c r="P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/>
      <c r="K99" s="8" t="n"/>
      <c r="L99" s="7" t="inlineStr">
        <is>
          <t>SEM COTAÇÃO</t>
        </is>
      </c>
      <c r="M99" s="8" t="n"/>
      <c r="N99" s="14" t="n"/>
      <c r="O99" s="7" t="inlineStr"/>
      <c r="P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/>
      <c r="K100" s="8" t="n"/>
      <c r="L100" s="7" t="inlineStr">
        <is>
          <t>SEM COTAÇÃO</t>
        </is>
      </c>
      <c r="M100" s="8" t="n"/>
      <c r="N100" s="14" t="n"/>
      <c r="O100" s="7" t="inlineStr"/>
      <c r="P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7" t="inlineStr">
        <is>
          <t>SEM COTAÇÃO</t>
        </is>
      </c>
      <c r="M101" s="8" t="n"/>
      <c r="N101" s="14" t="n"/>
      <c r="O101" s="7" t="inlineStr"/>
      <c r="P101" s="7" t="inlineStr"/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/>
      <c r="K102" s="8" t="n"/>
      <c r="L102" s="7" t="inlineStr">
        <is>
          <t>SEM COTAÇÃO</t>
        </is>
      </c>
      <c r="M102" s="8" t="n"/>
      <c r="N102" s="14" t="n"/>
      <c r="O102" s="7" t="inlineStr"/>
      <c r="P102" s="7" t="inlineStr"/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/>
      <c r="K103" s="8" t="n"/>
      <c r="L103" s="7" t="inlineStr">
        <is>
          <t>SEM COTAÇÃO</t>
        </is>
      </c>
      <c r="M103" s="8" t="n"/>
      <c r="N103" s="14" t="n"/>
      <c r="O103" s="7" t="inlineStr"/>
      <c r="P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/>
      <c r="K104" s="8" t="n"/>
      <c r="L104" s="7" t="inlineStr">
        <is>
          <t>SEM COTAÇÃO</t>
        </is>
      </c>
      <c r="M104" s="8" t="n"/>
      <c r="N104" s="14" t="n"/>
      <c r="O104" s="7" t="inlineStr"/>
      <c r="P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/>
      <c r="K105" s="8" t="n"/>
      <c r="L105" s="7" t="inlineStr">
        <is>
          <t>SEM COTAÇÃO</t>
        </is>
      </c>
      <c r="M105" s="8" t="n"/>
      <c r="N105" s="14" t="n"/>
      <c r="O105" s="7" t="inlineStr"/>
      <c r="P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/>
      <c r="K106" s="8" t="n"/>
      <c r="L106" s="7" t="inlineStr">
        <is>
          <t>SEM COTAÇÃO</t>
        </is>
      </c>
      <c r="M106" s="8" t="n"/>
      <c r="N106" s="14" t="n"/>
      <c r="O106" s="7" t="inlineStr"/>
      <c r="P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/>
      <c r="K107" s="8" t="n"/>
      <c r="L107" s="7" t="inlineStr">
        <is>
          <t>SEM COTAÇÃO</t>
        </is>
      </c>
      <c r="M107" s="8" t="n"/>
      <c r="N107" s="14" t="n"/>
      <c r="O107" s="7" t="inlineStr"/>
      <c r="P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/>
      <c r="K108" s="8" t="n"/>
      <c r="L108" s="7" t="inlineStr">
        <is>
          <t>SEM COTAÇÃO</t>
        </is>
      </c>
      <c r="M108" s="8" t="n"/>
      <c r="N108" s="14" t="n"/>
      <c r="O108" s="7" t="inlineStr"/>
      <c r="P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/>
      <c r="K109" s="8" t="n"/>
      <c r="L109" s="7" t="inlineStr">
        <is>
          <t>SEM COTAÇÃO</t>
        </is>
      </c>
      <c r="M109" s="8" t="n"/>
      <c r="N109" s="14" t="n"/>
      <c r="O109" s="7" t="inlineStr"/>
      <c r="P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/>
      <c r="K110" s="8" t="n"/>
      <c r="L110" s="7" t="inlineStr">
        <is>
          <t>SEM COTAÇÃO</t>
        </is>
      </c>
      <c r="M110" s="8" t="n"/>
      <c r="N110" s="14" t="n"/>
      <c r="O110" s="7" t="inlineStr"/>
      <c r="P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/>
      <c r="K111" s="8" t="n"/>
      <c r="L111" s="7" t="inlineStr">
        <is>
          <t>SEM COTAÇÃO</t>
        </is>
      </c>
      <c r="M111" s="8" t="n"/>
      <c r="N111" s="14" t="n"/>
      <c r="O111" s="7" t="inlineStr"/>
      <c r="P111" s="7" t="inlineStr"/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/>
      <c r="K112" s="8" t="n"/>
      <c r="L112" s="7" t="inlineStr">
        <is>
          <t>SEM COTAÇÃO</t>
        </is>
      </c>
      <c r="M112" s="8" t="n"/>
      <c r="N112" s="14" t="n"/>
      <c r="O112" s="7" t="inlineStr"/>
      <c r="P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/>
      <c r="K113" s="8" t="n"/>
      <c r="L113" s="7" t="inlineStr">
        <is>
          <t>SEM COTAÇÃO</t>
        </is>
      </c>
      <c r="M113" s="8" t="n"/>
      <c r="N113" s="14" t="n"/>
      <c r="O113" s="7" t="inlineStr"/>
      <c r="P113" s="7" t="inlineStr"/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15" t="n">
        <v>7.03</v>
      </c>
      <c r="K114" s="8" t="n"/>
      <c r="L114" s="7" t="inlineStr">
        <is>
          <t>DIMEC</t>
        </is>
      </c>
      <c r="M114" s="8" t="n">
        <v>7.03</v>
      </c>
      <c r="N114" s="14">
        <f>M114/H114-1</f>
        <v/>
      </c>
      <c r="O114" s="16" t="inlineStr">
        <is>
          <t>ACIMA +0.3%</t>
        </is>
      </c>
      <c r="P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15" t="n">
        <v>11.39</v>
      </c>
      <c r="K115" s="8" t="n"/>
      <c r="L115" s="7" t="inlineStr">
        <is>
          <t>DIMEC</t>
        </is>
      </c>
      <c r="M115" s="8" t="n">
        <v>11.39</v>
      </c>
      <c r="N115" s="14">
        <f>M115/H115-1</f>
        <v/>
      </c>
      <c r="O115" s="17" t="inlineStr">
        <is>
          <t>OK (≤ menor hist.)</t>
        </is>
      </c>
      <c r="P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/>
      <c r="K116" s="8" t="n"/>
      <c r="L116" s="7" t="inlineStr">
        <is>
          <t>SEM COTAÇÃO</t>
        </is>
      </c>
      <c r="M116" s="8" t="n"/>
      <c r="N116" s="14" t="n"/>
      <c r="O116" s="7" t="inlineStr"/>
      <c r="P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/>
      <c r="K117" s="8" t="n"/>
      <c r="L117" s="7" t="inlineStr">
        <is>
          <t>SEM COTAÇÃO</t>
        </is>
      </c>
      <c r="M117" s="8" t="n"/>
      <c r="N117" s="14" t="n"/>
      <c r="O117" s="7" t="inlineStr"/>
      <c r="P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/>
      <c r="K118" s="8" t="n"/>
      <c r="L118" s="7" t="inlineStr">
        <is>
          <t>SEM COTAÇÃO</t>
        </is>
      </c>
      <c r="M118" s="8" t="n"/>
      <c r="N118" s="14" t="n"/>
      <c r="O118" s="7" t="inlineStr"/>
      <c r="P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/>
      <c r="K119" s="8" t="n"/>
      <c r="L119" s="7" t="inlineStr">
        <is>
          <t>SEM COTAÇÃO</t>
        </is>
      </c>
      <c r="M119" s="8" t="n"/>
      <c r="N119" s="14" t="n"/>
      <c r="O119" s="7" t="inlineStr"/>
      <c r="P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/>
      <c r="K120" s="8" t="n"/>
      <c r="L120" s="7" t="inlineStr">
        <is>
          <t>SEM COTAÇÃO</t>
        </is>
      </c>
      <c r="M120" s="8" t="n"/>
      <c r="N120" s="14" t="n"/>
      <c r="O120" s="7" t="inlineStr"/>
      <c r="P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/>
      <c r="K121" s="8" t="n"/>
      <c r="L121" s="7" t="inlineStr">
        <is>
          <t>SEM COTAÇÃO</t>
        </is>
      </c>
      <c r="M121" s="8" t="n"/>
      <c r="N121" s="14" t="n"/>
      <c r="O121" s="7" t="inlineStr"/>
      <c r="P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/>
      <c r="K122" s="8" t="n"/>
      <c r="L122" s="7" t="inlineStr">
        <is>
          <t>SEM COTAÇÃO</t>
        </is>
      </c>
      <c r="M122" s="8" t="n"/>
      <c r="N122" s="14" t="n"/>
      <c r="O122" s="7" t="inlineStr"/>
      <c r="P122" s="7" t="inlineStr"/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/>
      <c r="K123" s="8" t="n"/>
      <c r="L123" s="7" t="inlineStr">
        <is>
          <t>SEM COTAÇÃO</t>
        </is>
      </c>
      <c r="M123" s="8" t="n"/>
      <c r="N123" s="14" t="n"/>
      <c r="O123" s="7" t="inlineStr"/>
      <c r="P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15" t="n">
        <v>103.59</v>
      </c>
      <c r="K124" s="8" t="n"/>
      <c r="L124" s="7" t="inlineStr">
        <is>
          <t>DIMEC</t>
        </is>
      </c>
      <c r="M124" s="8" t="n">
        <v>103.59</v>
      </c>
      <c r="N124" s="14">
        <f>M124/H124-1</f>
        <v/>
      </c>
      <c r="O124" s="17" t="inlineStr">
        <is>
          <t>OK (≤ menor hist.)</t>
        </is>
      </c>
      <c r="P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/>
      <c r="K125" s="8" t="n"/>
      <c r="L125" s="7" t="inlineStr">
        <is>
          <t>SEM COTAÇÃO</t>
        </is>
      </c>
      <c r="M125" s="8" t="n"/>
      <c r="N125" s="14" t="n"/>
      <c r="O125" s="7" t="inlineStr"/>
      <c r="P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/>
      <c r="K126" s="8" t="n"/>
      <c r="L126" s="7" t="inlineStr">
        <is>
          <t>SEM COTAÇÃO</t>
        </is>
      </c>
      <c r="M126" s="8" t="n"/>
      <c r="N126" s="14" t="n"/>
      <c r="O126" s="7" t="inlineStr"/>
      <c r="P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/>
      <c r="K127" s="8" t="n"/>
      <c r="L127" s="7" t="inlineStr">
        <is>
          <t>SEM COTAÇÃO</t>
        </is>
      </c>
      <c r="M127" s="8" t="n"/>
      <c r="N127" s="14" t="n"/>
      <c r="O127" s="7" t="inlineStr"/>
      <c r="P127" s="7" t="inlineStr"/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/>
      <c r="K128" s="8" t="n"/>
      <c r="L128" s="7" t="inlineStr">
        <is>
          <t>SEM COTAÇÃO</t>
        </is>
      </c>
      <c r="M128" s="8" t="n"/>
      <c r="N128" s="14" t="n"/>
      <c r="O128" s="7" t="inlineStr"/>
      <c r="P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/>
      <c r="K129" s="8" t="n"/>
      <c r="L129" s="7" t="inlineStr">
        <is>
          <t>SEM COTAÇÃO</t>
        </is>
      </c>
      <c r="M129" s="8" t="n"/>
      <c r="N129" s="14" t="n"/>
      <c r="O129" s="7" t="inlineStr"/>
      <c r="P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/>
      <c r="K130" s="8" t="n"/>
      <c r="L130" s="7" t="inlineStr">
        <is>
          <t>SEM COTAÇÃO</t>
        </is>
      </c>
      <c r="M130" s="8" t="n"/>
      <c r="N130" s="14" t="n"/>
      <c r="O130" s="7" t="inlineStr"/>
      <c r="P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7" t="inlineStr">
        <is>
          <t>SEM COTAÇÃO</t>
        </is>
      </c>
      <c r="M131" s="8" t="n"/>
      <c r="N131" s="14" t="n"/>
      <c r="O131" s="7" t="inlineStr"/>
      <c r="P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/>
      <c r="K132" s="8" t="n"/>
      <c r="L132" s="7" t="inlineStr">
        <is>
          <t>SEM COTAÇÃO</t>
        </is>
      </c>
      <c r="M132" s="8" t="n"/>
      <c r="N132" s="14" t="n"/>
      <c r="O132" s="7" t="inlineStr"/>
      <c r="P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/>
      <c r="K133" s="8" t="n"/>
      <c r="L133" s="7" t="inlineStr">
        <is>
          <t>SEM COTAÇÃO</t>
        </is>
      </c>
      <c r="M133" s="8" t="n"/>
      <c r="N133" s="14" t="n"/>
      <c r="O133" s="7" t="inlineStr"/>
      <c r="P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/>
      <c r="K134" s="8" t="n"/>
      <c r="L134" s="7" t="inlineStr">
        <is>
          <t>SEM COTAÇÃO</t>
        </is>
      </c>
      <c r="M134" s="8" t="n"/>
      <c r="N134" s="14" t="n"/>
      <c r="O134" s="7" t="inlineStr"/>
      <c r="P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/>
      <c r="K135" s="8" t="n"/>
      <c r="L135" s="7" t="inlineStr">
        <is>
          <t>SEM COTAÇÃO</t>
        </is>
      </c>
      <c r="M135" s="8" t="n"/>
      <c r="N135" s="14" t="n"/>
      <c r="O135" s="7" t="inlineStr"/>
      <c r="P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/>
      <c r="K136" s="8" t="n"/>
      <c r="L136" s="7" t="inlineStr">
        <is>
          <t>SEM COTAÇÃO</t>
        </is>
      </c>
      <c r="M136" s="8" t="n"/>
      <c r="N136" s="14" t="n"/>
      <c r="O136" s="7" t="inlineStr"/>
      <c r="P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/>
      <c r="K137" s="8" t="n"/>
      <c r="L137" s="7" t="inlineStr">
        <is>
          <t>SEM COTAÇÃO</t>
        </is>
      </c>
      <c r="M137" s="8" t="n"/>
      <c r="N137" s="14" t="n"/>
      <c r="O137" s="7" t="inlineStr"/>
      <c r="P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/>
      <c r="K138" s="8" t="n"/>
      <c r="L138" s="7" t="inlineStr">
        <is>
          <t>SEM COTAÇÃO</t>
        </is>
      </c>
      <c r="M138" s="8" t="n"/>
      <c r="N138" s="14" t="n"/>
      <c r="O138" s="7" t="inlineStr"/>
      <c r="P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/>
      <c r="K139" s="8" t="n"/>
      <c r="L139" s="7" t="inlineStr">
        <is>
          <t>SEM COTAÇÃO</t>
        </is>
      </c>
      <c r="M139" s="8" t="n"/>
      <c r="N139" s="14" t="n"/>
      <c r="O139" s="7" t="inlineStr"/>
      <c r="P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/>
      <c r="K140" s="8" t="n"/>
      <c r="L140" s="7" t="inlineStr">
        <is>
          <t>SEM COTAÇÃO</t>
        </is>
      </c>
      <c r="M140" s="8" t="n"/>
      <c r="N140" s="14" t="n"/>
      <c r="O140" s="7" t="inlineStr"/>
      <c r="P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/>
      <c r="K141" s="8" t="n"/>
      <c r="L141" s="7" t="inlineStr">
        <is>
          <t>SEM COTAÇÃO</t>
        </is>
      </c>
      <c r="M141" s="8" t="n"/>
      <c r="N141" s="14" t="n"/>
      <c r="O141" s="7" t="inlineStr"/>
      <c r="P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15" t="n">
        <v>8.09</v>
      </c>
      <c r="K142" s="8" t="n"/>
      <c r="L142" s="7" t="inlineStr">
        <is>
          <t>DIMEC</t>
        </is>
      </c>
      <c r="M142" s="8" t="n">
        <v>8.09</v>
      </c>
      <c r="N142" s="14">
        <f>M142/H142-1</f>
        <v/>
      </c>
      <c r="O142" s="17" t="inlineStr">
        <is>
          <t>OK (≤ menor hist.)</t>
        </is>
      </c>
      <c r="P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15" t="n">
        <v>12.35</v>
      </c>
      <c r="K143" s="8" t="n"/>
      <c r="L143" s="7" t="inlineStr">
        <is>
          <t>DIMEC</t>
        </is>
      </c>
      <c r="M143" s="8" t="n">
        <v>12.35</v>
      </c>
      <c r="N143" s="14">
        <f>M143/H143-1</f>
        <v/>
      </c>
      <c r="O143" s="17" t="inlineStr">
        <is>
          <t>OK (≤ menor hist.)</t>
        </is>
      </c>
      <c r="P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/>
      <c r="K144" s="8" t="n"/>
      <c r="L144" s="7" t="inlineStr">
        <is>
          <t>SEM COTAÇÃO</t>
        </is>
      </c>
      <c r="M144" s="8" t="n"/>
      <c r="N144" s="14" t="n"/>
      <c r="O144" s="7" t="inlineStr"/>
      <c r="P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/>
      <c r="K145" s="8" t="n"/>
      <c r="L145" s="7" t="inlineStr">
        <is>
          <t>SEM COTAÇÃO</t>
        </is>
      </c>
      <c r="M145" s="8" t="n"/>
      <c r="N145" s="14" t="n"/>
      <c r="O145" s="7" t="inlineStr"/>
      <c r="P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/>
      <c r="K146" s="8" t="n"/>
      <c r="L146" s="7" t="inlineStr">
        <is>
          <t>SEM COTAÇÃO</t>
        </is>
      </c>
      <c r="M146" s="8" t="n"/>
      <c r="N146" s="14" t="n"/>
      <c r="O146" s="7" t="inlineStr"/>
      <c r="P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/>
      <c r="K147" s="8" t="n"/>
      <c r="L147" s="7" t="inlineStr">
        <is>
          <t>SEM COTAÇÃO</t>
        </is>
      </c>
      <c r="M147" s="8" t="n"/>
      <c r="N147" s="14" t="n"/>
      <c r="O147" s="7" t="inlineStr"/>
      <c r="P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/>
      <c r="K148" s="8" t="n"/>
      <c r="L148" s="7" t="inlineStr">
        <is>
          <t>SEM COTAÇÃO</t>
        </is>
      </c>
      <c r="M148" s="8" t="n"/>
      <c r="N148" s="14" t="n"/>
      <c r="O148" s="7" t="inlineStr"/>
      <c r="P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15" t="n">
        <v>2.69</v>
      </c>
      <c r="K149" s="8" t="n"/>
      <c r="L149" s="7" t="inlineStr">
        <is>
          <t>DIMEC</t>
        </is>
      </c>
      <c r="M149" s="8" t="n">
        <v>2.69</v>
      </c>
      <c r="N149" s="14">
        <f>M149/H149-1</f>
        <v/>
      </c>
      <c r="O149" s="16" t="inlineStr">
        <is>
          <t>ACIMA +8.0%</t>
        </is>
      </c>
      <c r="P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/>
      <c r="K150" s="8" t="n"/>
      <c r="L150" s="7" t="inlineStr">
        <is>
          <t>SEM COTAÇÃO</t>
        </is>
      </c>
      <c r="M150" s="8" t="n"/>
      <c r="N150" s="14" t="n"/>
      <c r="O150" s="7" t="inlineStr"/>
      <c r="P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/>
      <c r="K151" s="8" t="n"/>
      <c r="L151" s="7" t="inlineStr">
        <is>
          <t>SEM COTAÇÃO</t>
        </is>
      </c>
      <c r="M151" s="8" t="n"/>
      <c r="N151" s="14" t="n"/>
      <c r="O151" s="7" t="inlineStr"/>
      <c r="P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15" t="n">
        <v>5.06</v>
      </c>
      <c r="K152" s="8" t="n"/>
      <c r="L152" s="7" t="inlineStr">
        <is>
          <t>DIMEC</t>
        </is>
      </c>
      <c r="M152" s="8" t="n">
        <v>5.06</v>
      </c>
      <c r="N152" s="14">
        <f>M152/H152-1</f>
        <v/>
      </c>
      <c r="O152" s="17" t="inlineStr">
        <is>
          <t>OK (≤ menor hist.)</t>
        </is>
      </c>
      <c r="P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15" t="n">
        <v>10.73</v>
      </c>
      <c r="K153" s="8" t="n"/>
      <c r="L153" s="7" t="inlineStr">
        <is>
          <t>DIMEC</t>
        </is>
      </c>
      <c r="M153" s="8" t="n">
        <v>10.73</v>
      </c>
      <c r="N153" s="14">
        <f>M153/H153-1</f>
        <v/>
      </c>
      <c r="O153" s="17" t="inlineStr">
        <is>
          <t>OK (≤ últ. compra)</t>
        </is>
      </c>
      <c r="P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15" t="n">
        <v>22.17</v>
      </c>
      <c r="K154" s="8" t="n"/>
      <c r="L154" s="7" t="inlineStr">
        <is>
          <t>DIMEC</t>
        </is>
      </c>
      <c r="M154" s="8" t="n">
        <v>22.17</v>
      </c>
      <c r="N154" s="14">
        <f>M154/H154-1</f>
        <v/>
      </c>
      <c r="O154" s="16" t="inlineStr">
        <is>
          <t>ACIMA +0.2%</t>
        </is>
      </c>
      <c r="P154" s="7" t="inlineStr"/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15" t="n">
        <v>14.39</v>
      </c>
      <c r="K155" s="8" t="n"/>
      <c r="L155" s="7" t="inlineStr">
        <is>
          <t>DIMEC</t>
        </is>
      </c>
      <c r="M155" s="8" t="n">
        <v>14.39</v>
      </c>
      <c r="N155" s="14">
        <f>M155/H155-1</f>
        <v/>
      </c>
      <c r="O155" s="16" t="inlineStr">
        <is>
          <t>ACIMA +26.7%</t>
        </is>
      </c>
      <c r="P155" s="7" t="inlineStr"/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7" t="inlineStr">
        <is>
          <t>SEM COTAÇÃO</t>
        </is>
      </c>
      <c r="M156" s="8" t="n"/>
      <c r="N156" s="14" t="n"/>
      <c r="O156" s="7" t="inlineStr"/>
      <c r="P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/>
      <c r="K157" s="8" t="n"/>
      <c r="L157" s="7" t="inlineStr">
        <is>
          <t>SEM COTAÇÃO</t>
        </is>
      </c>
      <c r="M157" s="8" t="n"/>
      <c r="N157" s="14" t="n"/>
      <c r="O157" s="7" t="inlineStr"/>
      <c r="P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/>
      <c r="K158" s="8" t="n"/>
      <c r="L158" s="7" t="inlineStr">
        <is>
          <t>SEM COTAÇÃO</t>
        </is>
      </c>
      <c r="M158" s="8" t="n"/>
      <c r="N158" s="14" t="n"/>
      <c r="O158" s="7" t="inlineStr"/>
      <c r="P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/>
      <c r="K159" s="8" t="n"/>
      <c r="L159" s="7" t="inlineStr">
        <is>
          <t>SEM COTAÇÃO</t>
        </is>
      </c>
      <c r="M159" s="8" t="n"/>
      <c r="N159" s="14" t="n"/>
      <c r="O159" s="7" t="inlineStr"/>
      <c r="P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7" t="inlineStr">
        <is>
          <t>SEM COTAÇÃO</t>
        </is>
      </c>
      <c r="M160" s="8" t="n"/>
      <c r="N160" s="14" t="n"/>
      <c r="O160" s="7" t="inlineStr"/>
      <c r="P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/>
      <c r="K161" s="8" t="n"/>
      <c r="L161" s="7" t="inlineStr">
        <is>
          <t>SEM COTAÇÃO</t>
        </is>
      </c>
      <c r="M161" s="8" t="n"/>
      <c r="N161" s="14" t="n"/>
      <c r="O161" s="7" t="inlineStr"/>
      <c r="P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/>
      <c r="K162" s="8" t="n"/>
      <c r="L162" s="7" t="inlineStr">
        <is>
          <t>SEM COTAÇÃO</t>
        </is>
      </c>
      <c r="M162" s="8" t="n"/>
      <c r="N162" s="14" t="n"/>
      <c r="O162" s="7" t="inlineStr"/>
      <c r="P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/>
      <c r="K163" s="8" t="n"/>
      <c r="L163" s="7" t="inlineStr">
        <is>
          <t>SEM COTAÇÃO</t>
        </is>
      </c>
      <c r="M163" s="8" t="n"/>
      <c r="N163" s="14" t="n"/>
      <c r="O163" s="7" t="inlineStr"/>
      <c r="P163" s="7" t="inlineStr"/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7" t="inlineStr">
        <is>
          <t>SEM COTAÇÃO</t>
        </is>
      </c>
      <c r="M164" s="8" t="n"/>
      <c r="N164" s="14" t="n"/>
      <c r="O164" s="7" t="inlineStr"/>
      <c r="P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/>
      <c r="K165" s="8" t="n"/>
      <c r="L165" s="7" t="inlineStr">
        <is>
          <t>SEM COTAÇÃO</t>
        </is>
      </c>
      <c r="M165" s="8" t="n"/>
      <c r="N165" s="14" t="n"/>
      <c r="O165" s="7" t="inlineStr"/>
      <c r="P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/>
      <c r="K166" s="8" t="n"/>
      <c r="L166" s="7" t="inlineStr">
        <is>
          <t>SEM COTAÇÃO</t>
        </is>
      </c>
      <c r="M166" s="8" t="n"/>
      <c r="N166" s="14" t="n"/>
      <c r="O166" s="7" t="inlineStr"/>
      <c r="P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/>
      <c r="K167" s="8" t="n"/>
      <c r="L167" s="7" t="inlineStr">
        <is>
          <t>SEM COTAÇÃO</t>
        </is>
      </c>
      <c r="M167" s="8" t="n"/>
      <c r="N167" s="14" t="n"/>
      <c r="O167" s="7" t="inlineStr"/>
      <c r="P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/>
      <c r="K168" s="8" t="n"/>
      <c r="L168" s="7" t="inlineStr">
        <is>
          <t>SEM COTAÇÃO</t>
        </is>
      </c>
      <c r="M168" s="8" t="n"/>
      <c r="N168" s="14" t="n"/>
      <c r="O168" s="7" t="inlineStr"/>
      <c r="P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/>
      <c r="K169" s="8" t="n"/>
      <c r="L169" s="7" t="inlineStr">
        <is>
          <t>SEM COTAÇÃO</t>
        </is>
      </c>
      <c r="M169" s="8" t="n"/>
      <c r="N169" s="14" t="n"/>
      <c r="O169" s="7" t="inlineStr"/>
      <c r="P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/>
      <c r="K170" s="8" t="n"/>
      <c r="L170" s="7" t="inlineStr">
        <is>
          <t>SEM COTAÇÃO</t>
        </is>
      </c>
      <c r="M170" s="8" t="n"/>
      <c r="N170" s="14" t="n"/>
      <c r="O170" s="7" t="inlineStr"/>
      <c r="P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/>
      <c r="K171" s="8" t="n"/>
      <c r="L171" s="7" t="inlineStr">
        <is>
          <t>SEM COTAÇÃO</t>
        </is>
      </c>
      <c r="M171" s="8" t="n"/>
      <c r="N171" s="14" t="n"/>
      <c r="O171" s="7" t="inlineStr"/>
      <c r="P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/>
      <c r="K172" s="8" t="n"/>
      <c r="L172" s="7" t="inlineStr">
        <is>
          <t>SEM COTAÇÃO</t>
        </is>
      </c>
      <c r="M172" s="8" t="n"/>
      <c r="N172" s="14" t="n"/>
      <c r="O172" s="7" t="inlineStr"/>
      <c r="P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/>
      <c r="K173" s="8" t="n"/>
      <c r="L173" s="7" t="inlineStr">
        <is>
          <t>SEM COTAÇÃO</t>
        </is>
      </c>
      <c r="M173" s="8" t="n"/>
      <c r="N173" s="14" t="n"/>
      <c r="O173" s="7" t="inlineStr"/>
      <c r="P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/>
      <c r="K174" s="8" t="n"/>
      <c r="L174" s="7" t="inlineStr">
        <is>
          <t>SEM COTAÇÃO</t>
        </is>
      </c>
      <c r="M174" s="8" t="n"/>
      <c r="N174" s="14" t="n"/>
      <c r="O174" s="7" t="inlineStr"/>
      <c r="P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15" t="n">
        <v>2.69</v>
      </c>
      <c r="K175" s="8" t="n"/>
      <c r="L175" s="7" t="inlineStr">
        <is>
          <t>DIMEC</t>
        </is>
      </c>
      <c r="M175" s="8" t="n">
        <v>2.69</v>
      </c>
      <c r="N175" s="14">
        <f>M175/H175-1</f>
        <v/>
      </c>
      <c r="O175" s="16" t="inlineStr">
        <is>
          <t>ACIMA +14.5%</t>
        </is>
      </c>
      <c r="P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/>
      <c r="K176" s="8" t="n"/>
      <c r="L176" s="7" t="inlineStr">
        <is>
          <t>SEM COTAÇÃO</t>
        </is>
      </c>
      <c r="M176" s="8" t="n"/>
      <c r="N176" s="14" t="n"/>
      <c r="O176" s="7" t="inlineStr"/>
      <c r="P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/>
      <c r="K177" s="8" t="n"/>
      <c r="L177" s="7" t="inlineStr">
        <is>
          <t>SEM COTAÇÃO</t>
        </is>
      </c>
      <c r="M177" s="8" t="n"/>
      <c r="N177" s="14" t="n"/>
      <c r="O177" s="7" t="inlineStr"/>
      <c r="P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15" t="n">
        <v>2.42</v>
      </c>
      <c r="K178" s="8" t="n"/>
      <c r="L178" s="7" t="inlineStr">
        <is>
          <t>DIMEC</t>
        </is>
      </c>
      <c r="M178" s="8" t="n">
        <v>2.42</v>
      </c>
      <c r="N178" s="14">
        <f>M178/H178-1</f>
        <v/>
      </c>
      <c r="O178" s="16" t="inlineStr">
        <is>
          <t>ACIMA +24.1%</t>
        </is>
      </c>
      <c r="P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/>
      <c r="K179" s="8" t="n"/>
      <c r="L179" s="7" t="inlineStr">
        <is>
          <t>SEM COTAÇÃO</t>
        </is>
      </c>
      <c r="M179" s="8" t="n"/>
      <c r="N179" s="14" t="n"/>
      <c r="O179" s="7" t="inlineStr"/>
      <c r="P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15" t="n">
        <v>2.4</v>
      </c>
      <c r="K180" s="8" t="n"/>
      <c r="L180" s="7" t="inlineStr">
        <is>
          <t>DIMEC</t>
        </is>
      </c>
      <c r="M180" s="8" t="n">
        <v>2.4</v>
      </c>
      <c r="N180" s="14">
        <f>M180/H180-1</f>
        <v/>
      </c>
      <c r="O180" s="16" t="inlineStr">
        <is>
          <t>ACIMA +1.3%</t>
        </is>
      </c>
      <c r="P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15" t="n">
        <v>8.119999999999999</v>
      </c>
      <c r="K181" s="8" t="n"/>
      <c r="L181" s="7" t="inlineStr">
        <is>
          <t>DIMEC</t>
        </is>
      </c>
      <c r="M181" s="8" t="n">
        <v>8.119999999999999</v>
      </c>
      <c r="N181" s="14">
        <f>M181/H181-1</f>
        <v/>
      </c>
      <c r="O181" s="16" t="inlineStr">
        <is>
          <t>ACIMA +0.4%</t>
        </is>
      </c>
      <c r="P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15" t="n">
        <v>2.4</v>
      </c>
      <c r="K182" s="8" t="n"/>
      <c r="L182" s="7" t="inlineStr">
        <is>
          <t>DIMEC</t>
        </is>
      </c>
      <c r="M182" s="8" t="n">
        <v>2.4</v>
      </c>
      <c r="N182" s="14">
        <f>M182/H182-1</f>
        <v/>
      </c>
      <c r="O182" s="17" t="inlineStr">
        <is>
          <t>OK (≤ últ. compra)</t>
        </is>
      </c>
      <c r="P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/>
      <c r="K183" s="8" t="n"/>
      <c r="L183" s="7" t="inlineStr">
        <is>
          <t>SEM COTAÇÃO</t>
        </is>
      </c>
      <c r="M183" s="8" t="n"/>
      <c r="N183" s="14" t="n"/>
      <c r="O183" s="7" t="inlineStr"/>
      <c r="P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7" t="inlineStr">
        <is>
          <t>SEM COTAÇÃO</t>
        </is>
      </c>
      <c r="M184" s="8" t="n"/>
      <c r="N184" s="14" t="n"/>
      <c r="O184" s="7" t="inlineStr"/>
      <c r="P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7" t="inlineStr">
        <is>
          <t>SEM COTAÇÃO</t>
        </is>
      </c>
      <c r="M185" s="8" t="n"/>
      <c r="N185" s="14" t="n"/>
      <c r="O185" s="7" t="inlineStr"/>
      <c r="P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7" t="inlineStr">
        <is>
          <t>SEM COTAÇÃO</t>
        </is>
      </c>
      <c r="M186" s="8" t="n"/>
      <c r="N186" s="14" t="n"/>
      <c r="O186" s="7" t="inlineStr"/>
      <c r="P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15" t="n">
        <v>0.116</v>
      </c>
      <c r="K187" s="8" t="n"/>
      <c r="L187" s="7" t="inlineStr">
        <is>
          <t>DIMEC</t>
        </is>
      </c>
      <c r="M187" s="8" t="n">
        <v>0.116</v>
      </c>
      <c r="N187" s="14">
        <f>M187/H187-1</f>
        <v/>
      </c>
      <c r="O187" s="17" t="inlineStr">
        <is>
          <t>OK (≤ menor hist.)</t>
        </is>
      </c>
      <c r="P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15" t="n">
        <v>0.1142</v>
      </c>
      <c r="K188" s="8" t="n"/>
      <c r="L188" s="7" t="inlineStr">
        <is>
          <t>DIMEC</t>
        </is>
      </c>
      <c r="M188" s="8" t="n">
        <v>0.1142</v>
      </c>
      <c r="N188" s="14">
        <f>M188/H188-1</f>
        <v/>
      </c>
      <c r="O188" s="17" t="inlineStr">
        <is>
          <t>OK (≤ menor hist.)</t>
        </is>
      </c>
      <c r="P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/>
      <c r="K189" s="8" t="n"/>
      <c r="L189" s="7" t="inlineStr">
        <is>
          <t>SEM COTAÇÃO</t>
        </is>
      </c>
      <c r="M189" s="8" t="n"/>
      <c r="N189" s="14" t="n"/>
      <c r="O189" s="7" t="inlineStr"/>
      <c r="P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/>
      <c r="K190" s="8" t="n"/>
      <c r="L190" s="7" t="inlineStr">
        <is>
          <t>SEM COTAÇÃO</t>
        </is>
      </c>
      <c r="M190" s="8" t="n"/>
      <c r="N190" s="14" t="n"/>
      <c r="O190" s="7" t="inlineStr"/>
      <c r="P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7" t="inlineStr">
        <is>
          <t>SEM COTAÇÃO</t>
        </is>
      </c>
      <c r="M191" s="8" t="n"/>
      <c r="N191" s="14" t="n"/>
      <c r="O191" s="7" t="inlineStr"/>
      <c r="P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7" t="inlineStr">
        <is>
          <t>SEM COTAÇÃO</t>
        </is>
      </c>
      <c r="M192" s="8" t="n"/>
      <c r="N192" s="14" t="n"/>
      <c r="O192" s="7" t="inlineStr"/>
      <c r="P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7" t="inlineStr">
        <is>
          <t>SEM COTAÇÃO</t>
        </is>
      </c>
      <c r="M193" s="8" t="n"/>
      <c r="N193" s="14" t="n"/>
      <c r="O193" s="7" t="inlineStr"/>
      <c r="P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/>
      <c r="K194" s="8" t="n"/>
      <c r="L194" s="7" t="inlineStr">
        <is>
          <t>SEM COTAÇÃO</t>
        </is>
      </c>
      <c r="M194" s="8" t="n"/>
      <c r="N194" s="14" t="n"/>
      <c r="O194" s="7" t="inlineStr"/>
      <c r="P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7" t="inlineStr">
        <is>
          <t>SEM COTAÇÃO</t>
        </is>
      </c>
      <c r="M195" s="8" t="n"/>
      <c r="N195" s="14" t="n"/>
      <c r="O195" s="7" t="inlineStr"/>
      <c r="P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/>
      <c r="K196" s="8" t="n"/>
      <c r="L196" s="7" t="inlineStr">
        <is>
          <t>SEM COTAÇÃO</t>
        </is>
      </c>
      <c r="M196" s="8" t="n"/>
      <c r="N196" s="14" t="n"/>
      <c r="O196" s="7" t="inlineStr"/>
      <c r="P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/>
      <c r="K197" s="8" t="n"/>
      <c r="L197" s="7" t="inlineStr">
        <is>
          <t>SEM COTAÇÃO</t>
        </is>
      </c>
      <c r="M197" s="8" t="n"/>
      <c r="N197" s="14" t="n"/>
      <c r="O197" s="7" t="inlineStr"/>
      <c r="P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7" t="inlineStr">
        <is>
          <t>SEM COTAÇÃO</t>
        </is>
      </c>
      <c r="M198" s="8" t="n"/>
      <c r="N198" s="14" t="n"/>
      <c r="O198" s="7" t="inlineStr"/>
      <c r="P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/>
      <c r="K199" s="8" t="n"/>
      <c r="L199" s="7" t="inlineStr">
        <is>
          <t>SEM COTAÇÃO</t>
        </is>
      </c>
      <c r="M199" s="8" t="n"/>
      <c r="N199" s="14" t="n"/>
      <c r="O199" s="7" t="inlineStr"/>
      <c r="P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/>
      <c r="K200" s="8" t="n"/>
      <c r="L200" s="7" t="inlineStr">
        <is>
          <t>SEM COTAÇÃO</t>
        </is>
      </c>
      <c r="M200" s="8" t="n"/>
      <c r="N200" s="14" t="n"/>
      <c r="O200" s="7" t="inlineStr"/>
      <c r="P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/>
      <c r="K201" s="8" t="n"/>
      <c r="L201" s="7" t="inlineStr">
        <is>
          <t>SEM COTAÇÃO</t>
        </is>
      </c>
      <c r="M201" s="8" t="n"/>
      <c r="N201" s="14" t="n"/>
      <c r="O201" s="7" t="inlineStr"/>
      <c r="P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15" t="n">
        <v>4.24</v>
      </c>
      <c r="K202" s="8" t="n"/>
      <c r="L202" s="7" t="inlineStr">
        <is>
          <t>DIMEC</t>
        </is>
      </c>
      <c r="M202" s="8" t="n">
        <v>4.24</v>
      </c>
      <c r="N202" s="14">
        <f>M202/H202-1</f>
        <v/>
      </c>
      <c r="O202" s="16" t="inlineStr">
        <is>
          <t>ACIMA +5.7%</t>
        </is>
      </c>
      <c r="P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15" t="n">
        <v>2.43</v>
      </c>
      <c r="K203" s="8" t="n"/>
      <c r="L203" s="7" t="inlineStr">
        <is>
          <t>DIMEC</t>
        </is>
      </c>
      <c r="M203" s="8" t="n">
        <v>2.43</v>
      </c>
      <c r="N203" s="14">
        <f>M203/H203-1</f>
        <v/>
      </c>
      <c r="O203" s="16" t="inlineStr">
        <is>
          <t>ACIMA +15.2%</t>
        </is>
      </c>
      <c r="P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15" t="n">
        <v>5.17</v>
      </c>
      <c r="K204" s="8" t="n"/>
      <c r="L204" s="7" t="inlineStr">
        <is>
          <t>DIMEC</t>
        </is>
      </c>
      <c r="M204" s="8" t="n">
        <v>5.17</v>
      </c>
      <c r="N204" s="14">
        <f>M204/H204-1</f>
        <v/>
      </c>
      <c r="O204" s="16" t="inlineStr">
        <is>
          <t>ACIMA +14.6%</t>
        </is>
      </c>
      <c r="P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15" t="n">
        <v>5.6</v>
      </c>
      <c r="K205" s="8" t="n"/>
      <c r="L205" s="7" t="inlineStr">
        <is>
          <t>DIMEC</t>
        </is>
      </c>
      <c r="M205" s="8" t="n">
        <v>5.6</v>
      </c>
      <c r="N205" s="14">
        <f>M205/H205-1</f>
        <v/>
      </c>
      <c r="O205" s="16" t="inlineStr">
        <is>
          <t>ACIMA +0.2%</t>
        </is>
      </c>
      <c r="P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/>
      <c r="K206" s="8" t="n"/>
      <c r="L206" s="7" t="inlineStr">
        <is>
          <t>SEM COTAÇÃO</t>
        </is>
      </c>
      <c r="M206" s="8" t="n"/>
      <c r="N206" s="14" t="n"/>
      <c r="O206" s="7" t="inlineStr"/>
      <c r="P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15" t="n">
        <v>4.17</v>
      </c>
      <c r="K207" s="8" t="n"/>
      <c r="L207" s="7" t="inlineStr">
        <is>
          <t>DIMEC</t>
        </is>
      </c>
      <c r="M207" s="8" t="n">
        <v>4.17</v>
      </c>
      <c r="N207" s="14">
        <f>M207/H207-1</f>
        <v/>
      </c>
      <c r="O207" s="16" t="inlineStr">
        <is>
          <t>ACIMA +6.6%</t>
        </is>
      </c>
      <c r="P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/>
      <c r="K208" s="8" t="n"/>
      <c r="L208" s="7" t="inlineStr">
        <is>
          <t>SEM COTAÇÃO</t>
        </is>
      </c>
      <c r="M208" s="8" t="n"/>
      <c r="N208" s="14" t="n"/>
      <c r="O208" s="7" t="inlineStr"/>
      <c r="P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15" t="n">
        <v>6.55</v>
      </c>
      <c r="K209" s="8" t="n"/>
      <c r="L209" s="7" t="inlineStr">
        <is>
          <t>DIMEC</t>
        </is>
      </c>
      <c r="M209" s="8" t="n">
        <v>6.55</v>
      </c>
      <c r="N209" s="14">
        <f>M209/H209-1</f>
        <v/>
      </c>
      <c r="O209" s="17" t="inlineStr">
        <is>
          <t>OK (≤ menor hist.)</t>
        </is>
      </c>
      <c r="P209" s="7" t="inlineStr"/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/>
      <c r="K210" s="8" t="n"/>
      <c r="L210" s="7" t="inlineStr">
        <is>
          <t>SEM COTAÇÃO</t>
        </is>
      </c>
      <c r="M210" s="8" t="n"/>
      <c r="N210" s="14" t="n"/>
      <c r="O210" s="7" t="inlineStr"/>
      <c r="P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/>
      <c r="K211" s="8" t="n"/>
      <c r="L211" s="7" t="inlineStr">
        <is>
          <t>SEM COTAÇÃO</t>
        </is>
      </c>
      <c r="M211" s="8" t="n"/>
      <c r="N211" s="14" t="n"/>
      <c r="O211" s="7" t="inlineStr"/>
      <c r="P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/>
      <c r="K212" s="8" t="n"/>
      <c r="L212" s="7" t="inlineStr">
        <is>
          <t>SEM COTAÇÃO</t>
        </is>
      </c>
      <c r="M212" s="8" t="n"/>
      <c r="N212" s="14" t="n"/>
      <c r="O212" s="7" t="inlineStr"/>
      <c r="P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/>
      <c r="K213" s="8" t="n"/>
      <c r="L213" s="7" t="inlineStr">
        <is>
          <t>SEM COTAÇÃO</t>
        </is>
      </c>
      <c r="M213" s="8" t="n"/>
      <c r="N213" s="14" t="n"/>
      <c r="O213" s="7" t="inlineStr"/>
      <c r="P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/>
      <c r="K214" s="8" t="n"/>
      <c r="L214" s="7" t="inlineStr">
        <is>
          <t>SEM COTAÇÃO</t>
        </is>
      </c>
      <c r="M214" s="8" t="n"/>
      <c r="N214" s="14" t="n"/>
      <c r="O214" s="7" t="inlineStr"/>
      <c r="P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/>
      <c r="K215" s="8" t="n"/>
      <c r="L215" s="7" t="inlineStr">
        <is>
          <t>SEM COTAÇÃO</t>
        </is>
      </c>
      <c r="M215" s="8" t="n"/>
      <c r="N215" s="14" t="n"/>
      <c r="O215" s="7" t="inlineStr"/>
      <c r="P215" s="7" t="inlineStr"/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/>
      <c r="K216" s="8" t="n"/>
      <c r="L216" s="7" t="inlineStr">
        <is>
          <t>SEM COTAÇÃO</t>
        </is>
      </c>
      <c r="M216" s="8" t="n"/>
      <c r="N216" s="14" t="n"/>
      <c r="O216" s="7" t="inlineStr"/>
      <c r="P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/>
      <c r="K217" s="8" t="n"/>
      <c r="L217" s="7" t="inlineStr">
        <is>
          <t>SEM COTAÇÃO</t>
        </is>
      </c>
      <c r="M217" s="8" t="n"/>
      <c r="N217" s="14" t="n"/>
      <c r="O217" s="7" t="inlineStr"/>
      <c r="P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/>
      <c r="K218" s="8" t="n"/>
      <c r="L218" s="7" t="inlineStr">
        <is>
          <t>SEM COTAÇÃO</t>
        </is>
      </c>
      <c r="M218" s="8" t="n"/>
      <c r="N218" s="14" t="n"/>
      <c r="O218" s="7" t="inlineStr"/>
      <c r="P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/>
      <c r="K219" s="8" t="n"/>
      <c r="L219" s="7" t="inlineStr">
        <is>
          <t>SEM COTAÇÃO</t>
        </is>
      </c>
      <c r="M219" s="8" t="n"/>
      <c r="N219" s="14" t="n"/>
      <c r="O219" s="7" t="inlineStr"/>
      <c r="P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/>
      <c r="K220" s="8" t="n"/>
      <c r="L220" s="7" t="inlineStr">
        <is>
          <t>SEM COTAÇÃO</t>
        </is>
      </c>
      <c r="M220" s="8" t="n"/>
      <c r="N220" s="14" t="n"/>
      <c r="O220" s="7" t="inlineStr"/>
      <c r="P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15" t="n">
        <v>1.09</v>
      </c>
      <c r="K221" s="8" t="n"/>
      <c r="L221" s="7" t="inlineStr">
        <is>
          <t>DIMEC</t>
        </is>
      </c>
      <c r="M221" s="8" t="n">
        <v>1.09</v>
      </c>
      <c r="N221" s="14">
        <f>M221/H221-1</f>
        <v/>
      </c>
      <c r="O221" s="17" t="inlineStr">
        <is>
          <t>OK (≤ menor hist.)</t>
        </is>
      </c>
      <c r="P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/>
      <c r="K222" s="8" t="n"/>
      <c r="L222" s="7" t="inlineStr">
        <is>
          <t>SEM COTAÇÃO</t>
        </is>
      </c>
      <c r="M222" s="8" t="n"/>
      <c r="N222" s="14" t="n"/>
      <c r="O222" s="7" t="inlineStr"/>
      <c r="P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/>
      <c r="K223" s="8" t="n"/>
      <c r="L223" s="7" t="inlineStr">
        <is>
          <t>SEM COTAÇÃO</t>
        </is>
      </c>
      <c r="M223" s="8" t="n"/>
      <c r="N223" s="14" t="n"/>
      <c r="O223" s="7" t="inlineStr"/>
      <c r="P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/>
      <c r="K224" s="8" t="n"/>
      <c r="L224" s="7" t="inlineStr">
        <is>
          <t>SEM COTAÇÃO</t>
        </is>
      </c>
      <c r="M224" s="8" t="n"/>
      <c r="N224" s="14" t="n"/>
      <c r="O224" s="7" t="inlineStr"/>
      <c r="P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/>
      <c r="K225" s="8" t="n"/>
      <c r="L225" s="7" t="inlineStr">
        <is>
          <t>SEM COTAÇÃO</t>
        </is>
      </c>
      <c r="M225" s="8" t="n"/>
      <c r="N225" s="14" t="n"/>
      <c r="O225" s="7" t="inlineStr"/>
      <c r="P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/>
      <c r="K226" s="8" t="n"/>
      <c r="L226" s="7" t="inlineStr">
        <is>
          <t>SEM COTAÇÃO</t>
        </is>
      </c>
      <c r="M226" s="8" t="n"/>
      <c r="N226" s="14" t="n"/>
      <c r="O226" s="7" t="inlineStr"/>
      <c r="P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/>
      <c r="K227" s="8" t="n"/>
      <c r="L227" s="7" t="inlineStr">
        <is>
          <t>SEM COTAÇÃO</t>
        </is>
      </c>
      <c r="M227" s="8" t="n"/>
      <c r="N227" s="14" t="n"/>
      <c r="O227" s="7" t="inlineStr"/>
      <c r="P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/>
      <c r="K228" s="8" t="n"/>
      <c r="L228" s="7" t="inlineStr">
        <is>
          <t>SEM COTAÇÃO</t>
        </is>
      </c>
      <c r="M228" s="8" t="n"/>
      <c r="N228" s="14" t="n"/>
      <c r="O228" s="7" t="inlineStr"/>
      <c r="P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/>
      <c r="K229" s="8" t="n"/>
      <c r="L229" s="7" t="inlineStr">
        <is>
          <t>SEM COTAÇÃO</t>
        </is>
      </c>
      <c r="M229" s="8" t="n"/>
      <c r="N229" s="14" t="n"/>
      <c r="O229" s="7" t="inlineStr"/>
      <c r="P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/>
      <c r="K230" s="8" t="n"/>
      <c r="L230" s="7" t="inlineStr">
        <is>
          <t>SEM COTAÇÃO</t>
        </is>
      </c>
      <c r="M230" s="8" t="n"/>
      <c r="N230" s="14" t="n"/>
      <c r="O230" s="7" t="inlineStr"/>
      <c r="P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/>
      <c r="K231" s="8" t="n"/>
      <c r="L231" s="7" t="inlineStr">
        <is>
          <t>SEM COTAÇÃO</t>
        </is>
      </c>
      <c r="M231" s="8" t="n"/>
      <c r="N231" s="14" t="n"/>
      <c r="O231" s="7" t="inlineStr"/>
      <c r="P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/>
      <c r="K232" s="8" t="n"/>
      <c r="L232" s="7" t="inlineStr">
        <is>
          <t>SEM COTAÇÃO</t>
        </is>
      </c>
      <c r="M232" s="8" t="n"/>
      <c r="N232" s="14" t="n"/>
      <c r="O232" s="7" t="inlineStr"/>
      <c r="P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15" t="n">
        <v>8.02</v>
      </c>
      <c r="K233" s="8" t="n"/>
      <c r="L233" s="7" t="inlineStr">
        <is>
          <t>DIMEC</t>
        </is>
      </c>
      <c r="M233" s="8" t="n">
        <v>8.02</v>
      </c>
      <c r="N233" s="14">
        <f>M233/H233-1</f>
        <v/>
      </c>
      <c r="O233" s="16" t="inlineStr">
        <is>
          <t>ACIMA +23.0%</t>
        </is>
      </c>
      <c r="P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/>
      <c r="K234" s="8" t="n"/>
      <c r="L234" s="7" t="inlineStr">
        <is>
          <t>SEM COTAÇÃO</t>
        </is>
      </c>
      <c r="M234" s="8" t="n"/>
      <c r="N234" s="14" t="n"/>
      <c r="O234" s="7" t="inlineStr"/>
      <c r="P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/>
      <c r="K235" s="8" t="n"/>
      <c r="L235" s="7" t="inlineStr">
        <is>
          <t>SEM COTAÇÃO</t>
        </is>
      </c>
      <c r="M235" s="8" t="n"/>
      <c r="N235" s="14" t="n"/>
      <c r="O235" s="7" t="inlineStr"/>
      <c r="P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/>
      <c r="K236" s="8" t="n"/>
      <c r="L236" s="7" t="inlineStr">
        <is>
          <t>SEM COTAÇÃO</t>
        </is>
      </c>
      <c r="M236" s="8" t="n"/>
      <c r="N236" s="14" t="n"/>
      <c r="O236" s="7" t="inlineStr"/>
      <c r="P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15" t="n">
        <v>4.85</v>
      </c>
      <c r="K237" s="8" t="n"/>
      <c r="L237" s="7" t="inlineStr">
        <is>
          <t>DIMEC</t>
        </is>
      </c>
      <c r="M237" s="8" t="n">
        <v>4.85</v>
      </c>
      <c r="N237" s="14">
        <f>M237/H237-1</f>
        <v/>
      </c>
      <c r="O237" s="16" t="inlineStr">
        <is>
          <t>ACIMA +19.2%</t>
        </is>
      </c>
      <c r="P237" s="7" t="inlineStr"/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/>
      <c r="K238" s="8" t="n"/>
      <c r="L238" s="7" t="inlineStr">
        <is>
          <t>SEM COTAÇÃO</t>
        </is>
      </c>
      <c r="M238" s="8" t="n"/>
      <c r="N238" s="14" t="n"/>
      <c r="O238" s="7" t="inlineStr"/>
      <c r="P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/>
      <c r="K239" s="8" t="n"/>
      <c r="L239" s="7" t="inlineStr">
        <is>
          <t>SEM COTAÇÃO</t>
        </is>
      </c>
      <c r="M239" s="8" t="n"/>
      <c r="N239" s="14" t="n"/>
      <c r="O239" s="7" t="inlineStr"/>
      <c r="P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/>
      <c r="K240" s="8" t="n"/>
      <c r="L240" s="7" t="inlineStr">
        <is>
          <t>SEM COTAÇÃO</t>
        </is>
      </c>
      <c r="M240" s="8" t="n"/>
      <c r="N240" s="14" t="n"/>
      <c r="O240" s="7" t="inlineStr"/>
      <c r="P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/>
      <c r="K241" s="8" t="n"/>
      <c r="L241" s="7" t="inlineStr">
        <is>
          <t>SEM COTAÇÃO</t>
        </is>
      </c>
      <c r="M241" s="8" t="n"/>
      <c r="N241" s="14" t="n"/>
      <c r="O241" s="7" t="inlineStr"/>
      <c r="P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/>
      <c r="K242" s="8" t="n"/>
      <c r="L242" s="7" t="inlineStr">
        <is>
          <t>SEM COTAÇÃO</t>
        </is>
      </c>
      <c r="M242" s="8" t="n"/>
      <c r="N242" s="14" t="n"/>
      <c r="O242" s="7" t="inlineStr"/>
      <c r="P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/>
      <c r="K243" s="8" t="n"/>
      <c r="L243" s="7" t="inlineStr">
        <is>
          <t>SEM COTAÇÃO</t>
        </is>
      </c>
      <c r="M243" s="8" t="n"/>
      <c r="N243" s="14" t="n"/>
      <c r="O243" s="7" t="inlineStr"/>
      <c r="P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/>
      <c r="K244" s="8" t="n"/>
      <c r="L244" s="7" t="inlineStr">
        <is>
          <t>SEM COTAÇÃO</t>
        </is>
      </c>
      <c r="M244" s="8" t="n"/>
      <c r="N244" s="14" t="n"/>
      <c r="O244" s="7" t="inlineStr"/>
      <c r="P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/>
      <c r="K245" s="8" t="n"/>
      <c r="L245" s="7" t="inlineStr">
        <is>
          <t>SEM COTAÇÃO</t>
        </is>
      </c>
      <c r="M245" s="8" t="n"/>
      <c r="N245" s="14" t="n"/>
      <c r="O245" s="7" t="inlineStr"/>
      <c r="P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15" t="n">
        <v>4.69</v>
      </c>
      <c r="K246" s="8" t="n"/>
      <c r="L246" s="7" t="inlineStr">
        <is>
          <t>DIMEC</t>
        </is>
      </c>
      <c r="M246" s="8" t="n">
        <v>4.69</v>
      </c>
      <c r="N246" s="14">
        <f>M246/H246-1</f>
        <v/>
      </c>
      <c r="O246" s="16" t="inlineStr">
        <is>
          <t>ACIMA +27.1%</t>
        </is>
      </c>
      <c r="P246" s="7" t="inlineStr"/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15" t="n">
        <v>4.71</v>
      </c>
      <c r="K247" s="8" t="n"/>
      <c r="L247" s="7" t="inlineStr">
        <is>
          <t>DIMEC</t>
        </is>
      </c>
      <c r="M247" s="8" t="n">
        <v>4.71</v>
      </c>
      <c r="N247" s="14">
        <f>M247/H247-1</f>
        <v/>
      </c>
      <c r="O247" s="16" t="inlineStr">
        <is>
          <t>ACIMA +0.6%</t>
        </is>
      </c>
      <c r="P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/>
      <c r="K248" s="8" t="n"/>
      <c r="L248" s="7" t="inlineStr">
        <is>
          <t>SEM COTAÇÃO</t>
        </is>
      </c>
      <c r="M248" s="8" t="n"/>
      <c r="N248" s="14" t="n"/>
      <c r="O248" s="7" t="inlineStr"/>
      <c r="P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/>
      <c r="K249" s="8" t="n"/>
      <c r="L249" s="7" t="inlineStr">
        <is>
          <t>SEM COTAÇÃO</t>
        </is>
      </c>
      <c r="M249" s="8" t="n"/>
      <c r="N249" s="14" t="n"/>
      <c r="O249" s="7" t="inlineStr"/>
      <c r="P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/>
      <c r="K250" s="8" t="n"/>
      <c r="L250" s="7" t="inlineStr">
        <is>
          <t>SEM COTAÇÃO</t>
        </is>
      </c>
      <c r="M250" s="8" t="n"/>
      <c r="N250" s="14" t="n"/>
      <c r="O250" s="7" t="inlineStr"/>
      <c r="P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/>
      <c r="K251" s="8" t="n"/>
      <c r="L251" s="7" t="inlineStr">
        <is>
          <t>SEM COTAÇÃO</t>
        </is>
      </c>
      <c r="M251" s="8" t="n"/>
      <c r="N251" s="14" t="n"/>
      <c r="O251" s="7" t="inlineStr"/>
      <c r="P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/>
      <c r="K252" s="8" t="n"/>
      <c r="L252" s="7" t="inlineStr">
        <is>
          <t>SEM COTAÇÃO</t>
        </is>
      </c>
      <c r="M252" s="8" t="n"/>
      <c r="N252" s="14" t="n"/>
      <c r="O252" s="7" t="inlineStr"/>
      <c r="P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/>
      <c r="K253" s="8" t="n"/>
      <c r="L253" s="7" t="inlineStr">
        <is>
          <t>SEM COTAÇÃO</t>
        </is>
      </c>
      <c r="M253" s="8" t="n"/>
      <c r="N253" s="14" t="n"/>
      <c r="O253" s="7" t="inlineStr"/>
      <c r="P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/>
      <c r="K254" s="8" t="n"/>
      <c r="L254" s="7" t="inlineStr">
        <is>
          <t>SEM COTAÇÃO</t>
        </is>
      </c>
      <c r="M254" s="8" t="n"/>
      <c r="N254" s="14" t="n"/>
      <c r="O254" s="7" t="inlineStr"/>
      <c r="P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/>
      <c r="K255" s="8" t="n"/>
      <c r="L255" s="7" t="inlineStr">
        <is>
          <t>SEM COTAÇÃO</t>
        </is>
      </c>
      <c r="M255" s="8" t="n"/>
      <c r="N255" s="14" t="n"/>
      <c r="O255" s="7" t="inlineStr"/>
      <c r="P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/>
      <c r="K256" s="8" t="n"/>
      <c r="L256" s="7" t="inlineStr">
        <is>
          <t>SEM COTAÇÃO</t>
        </is>
      </c>
      <c r="M256" s="8" t="n"/>
      <c r="N256" s="14" t="n"/>
      <c r="O256" s="7" t="inlineStr"/>
      <c r="P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/>
      <c r="K257" s="8" t="n"/>
      <c r="L257" s="7" t="inlineStr">
        <is>
          <t>SEM COTAÇÃO</t>
        </is>
      </c>
      <c r="M257" s="8" t="n"/>
      <c r="N257" s="14" t="n"/>
      <c r="O257" s="7" t="inlineStr"/>
      <c r="P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/>
      <c r="K258" s="8" t="n"/>
      <c r="L258" s="7" t="inlineStr">
        <is>
          <t>SEM COTAÇÃO</t>
        </is>
      </c>
      <c r="M258" s="8" t="n"/>
      <c r="N258" s="14" t="n"/>
      <c r="O258" s="7" t="inlineStr"/>
      <c r="P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/>
      <c r="K259" s="8" t="n"/>
      <c r="L259" s="7" t="inlineStr">
        <is>
          <t>SEM COTAÇÃO</t>
        </is>
      </c>
      <c r="M259" s="8" t="n"/>
      <c r="N259" s="14" t="n"/>
      <c r="O259" s="7" t="inlineStr"/>
      <c r="P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/>
      <c r="K260" s="8" t="n"/>
      <c r="L260" s="7" t="inlineStr">
        <is>
          <t>SEM COTAÇÃO</t>
        </is>
      </c>
      <c r="M260" s="8" t="n"/>
      <c r="N260" s="14" t="n"/>
      <c r="O260" s="7" t="inlineStr"/>
      <c r="P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/>
      <c r="K261" s="8" t="n"/>
      <c r="L261" s="7" t="inlineStr">
        <is>
          <t>SEM COTAÇÃO</t>
        </is>
      </c>
      <c r="M261" s="8" t="n"/>
      <c r="N261" s="14" t="n"/>
      <c r="O261" s="7" t="inlineStr"/>
      <c r="P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/>
      <c r="K262" s="8" t="n"/>
      <c r="L262" s="7" t="inlineStr">
        <is>
          <t>SEM COTAÇÃO</t>
        </is>
      </c>
      <c r="M262" s="8" t="n"/>
      <c r="N262" s="14" t="n"/>
      <c r="O262" s="7" t="inlineStr"/>
      <c r="P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/>
      <c r="K263" s="8" t="n"/>
      <c r="L263" s="7" t="inlineStr">
        <is>
          <t>SEM COTAÇÃO</t>
        </is>
      </c>
      <c r="M263" s="8" t="n"/>
      <c r="N263" s="14" t="n"/>
      <c r="O263" s="7" t="inlineStr"/>
      <c r="P263" s="7" t="inlineStr"/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/>
      <c r="K264" s="8" t="n"/>
      <c r="L264" s="7" t="inlineStr">
        <is>
          <t>SEM COTAÇÃO</t>
        </is>
      </c>
      <c r="M264" s="8" t="n"/>
      <c r="N264" s="14" t="n"/>
      <c r="O264" s="7" t="inlineStr"/>
      <c r="P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/>
      <c r="K265" s="8" t="n"/>
      <c r="L265" s="7" t="inlineStr">
        <is>
          <t>SEM COTAÇÃO</t>
        </is>
      </c>
      <c r="M265" s="8" t="n"/>
      <c r="N265" s="14" t="n"/>
      <c r="O265" s="7" t="inlineStr"/>
      <c r="P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/>
      <c r="K266" s="8" t="n"/>
      <c r="L266" s="7" t="inlineStr">
        <is>
          <t>SEM COTAÇÃO</t>
        </is>
      </c>
      <c r="M266" s="8" t="n"/>
      <c r="N266" s="14" t="n"/>
      <c r="O266" s="7" t="inlineStr"/>
      <c r="P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/>
      <c r="K267" s="8" t="n"/>
      <c r="L267" s="7" t="inlineStr">
        <is>
          <t>SEM COTAÇÃO</t>
        </is>
      </c>
      <c r="M267" s="8" t="n"/>
      <c r="N267" s="14" t="n"/>
      <c r="O267" s="7" t="inlineStr"/>
      <c r="P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/>
      <c r="K268" s="8" t="n"/>
      <c r="L268" s="7" t="inlineStr">
        <is>
          <t>SEM COTAÇÃO</t>
        </is>
      </c>
      <c r="M268" s="8" t="n"/>
      <c r="N268" s="14" t="n"/>
      <c r="O268" s="7" t="inlineStr"/>
      <c r="P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/>
      <c r="K269" s="8" t="n"/>
      <c r="L269" s="7" t="inlineStr">
        <is>
          <t>SEM COTAÇÃO</t>
        </is>
      </c>
      <c r="M269" s="8" t="n"/>
      <c r="N269" s="14" t="n"/>
      <c r="O269" s="7" t="inlineStr"/>
      <c r="P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7" t="inlineStr">
        <is>
          <t>SEM COTAÇÃO</t>
        </is>
      </c>
      <c r="M270" s="8" t="n"/>
      <c r="N270" s="14" t="n"/>
      <c r="O270" s="7" t="inlineStr"/>
      <c r="P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7" t="inlineStr">
        <is>
          <t>SEM COTAÇÃO</t>
        </is>
      </c>
      <c r="M271" s="8" t="n"/>
      <c r="N271" s="14" t="n"/>
      <c r="O271" s="7" t="inlineStr"/>
      <c r="P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/>
      <c r="K272" s="8" t="n"/>
      <c r="L272" s="7" t="inlineStr">
        <is>
          <t>SEM COTAÇÃO</t>
        </is>
      </c>
      <c r="M272" s="8" t="n"/>
      <c r="N272" s="14" t="n"/>
      <c r="O272" s="7" t="inlineStr"/>
      <c r="P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/>
      <c r="K273" s="8" t="n"/>
      <c r="L273" s="7" t="inlineStr">
        <is>
          <t>SEM COTAÇÃO</t>
        </is>
      </c>
      <c r="M273" s="8" t="n"/>
      <c r="N273" s="14" t="n"/>
      <c r="O273" s="7" t="inlineStr"/>
      <c r="P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/>
      <c r="K274" s="8" t="n"/>
      <c r="L274" s="7" t="inlineStr">
        <is>
          <t>SEM COTAÇÃO</t>
        </is>
      </c>
      <c r="M274" s="8" t="n"/>
      <c r="N274" s="14" t="n"/>
      <c r="O274" s="7" t="inlineStr"/>
      <c r="P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/>
      <c r="K275" s="8" t="n"/>
      <c r="L275" s="7" t="inlineStr">
        <is>
          <t>SEM COTAÇÃO</t>
        </is>
      </c>
      <c r="M275" s="8" t="n"/>
      <c r="N275" s="14" t="n"/>
      <c r="O275" s="7" t="inlineStr"/>
      <c r="P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/>
      <c r="K276" s="8" t="n"/>
      <c r="L276" s="7" t="inlineStr">
        <is>
          <t>SEM COTAÇÃO</t>
        </is>
      </c>
      <c r="M276" s="8" t="n"/>
      <c r="N276" s="14" t="n"/>
      <c r="O276" s="7" t="inlineStr"/>
      <c r="P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/>
      <c r="K277" s="8" t="n"/>
      <c r="L277" s="7" t="inlineStr">
        <is>
          <t>SEM COTAÇÃO</t>
        </is>
      </c>
      <c r="M277" s="8" t="n"/>
      <c r="N277" s="14" t="n"/>
      <c r="O277" s="7" t="inlineStr"/>
      <c r="P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/>
      <c r="K278" s="8" t="n"/>
      <c r="L278" s="7" t="inlineStr">
        <is>
          <t>SEM COTAÇÃO</t>
        </is>
      </c>
      <c r="M278" s="8" t="n"/>
      <c r="N278" s="14" t="n"/>
      <c r="O278" s="7" t="inlineStr"/>
      <c r="P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/>
      <c r="K279" s="8" t="n"/>
      <c r="L279" s="7" t="inlineStr">
        <is>
          <t>SEM COTAÇÃO</t>
        </is>
      </c>
      <c r="M279" s="8" t="n"/>
      <c r="N279" s="14" t="n"/>
      <c r="O279" s="7" t="inlineStr"/>
      <c r="P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/>
      <c r="K280" s="8" t="n"/>
      <c r="L280" s="7" t="inlineStr">
        <is>
          <t>SEM COTAÇÃO</t>
        </is>
      </c>
      <c r="M280" s="8" t="n"/>
      <c r="N280" s="14" t="n"/>
      <c r="O280" s="7" t="inlineStr"/>
      <c r="P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/>
      <c r="K281" s="8" t="n"/>
      <c r="L281" s="7" t="inlineStr">
        <is>
          <t>SEM COTAÇÃO</t>
        </is>
      </c>
      <c r="M281" s="8" t="n"/>
      <c r="N281" s="14" t="n"/>
      <c r="O281" s="7" t="inlineStr"/>
      <c r="P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/>
      <c r="K282" s="8" t="n"/>
      <c r="L282" s="7" t="inlineStr">
        <is>
          <t>SEM COTAÇÃO</t>
        </is>
      </c>
      <c r="M282" s="8" t="n"/>
      <c r="N282" s="14" t="n"/>
      <c r="O282" s="7" t="inlineStr"/>
      <c r="P282" s="7" t="inlineStr"/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/>
      <c r="K283" s="8" t="n"/>
      <c r="L283" s="7" t="inlineStr">
        <is>
          <t>SEM COTAÇÃO</t>
        </is>
      </c>
      <c r="M283" s="8" t="n"/>
      <c r="N283" s="14" t="n"/>
      <c r="O283" s="7" t="inlineStr"/>
      <c r="P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/>
      <c r="K284" s="8" t="n"/>
      <c r="L284" s="7" t="inlineStr">
        <is>
          <t>SEM COTAÇÃO</t>
        </is>
      </c>
      <c r="M284" s="8" t="n"/>
      <c r="N284" s="14" t="n"/>
      <c r="O284" s="7" t="inlineStr"/>
      <c r="P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/>
      <c r="K285" s="8" t="n"/>
      <c r="L285" s="7" t="inlineStr">
        <is>
          <t>SEM COTAÇÃO</t>
        </is>
      </c>
      <c r="M285" s="8" t="n"/>
      <c r="N285" s="14" t="n"/>
      <c r="O285" s="7" t="inlineStr"/>
      <c r="P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/>
      <c r="K286" s="8" t="n"/>
      <c r="L286" s="7" t="inlineStr">
        <is>
          <t>SEM COTAÇÃO</t>
        </is>
      </c>
      <c r="M286" s="8" t="n"/>
      <c r="N286" s="14" t="n"/>
      <c r="O286" s="7" t="inlineStr"/>
      <c r="P286" s="7" t="inlineStr"/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/>
      <c r="K287" s="8" t="n"/>
      <c r="L287" s="7" t="inlineStr">
        <is>
          <t>SEM COTAÇÃO</t>
        </is>
      </c>
      <c r="M287" s="8" t="n"/>
      <c r="N287" s="14" t="n"/>
      <c r="O287" s="7" t="inlineStr"/>
      <c r="P287" s="7" t="inlineStr"/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/>
      <c r="K288" s="8" t="n"/>
      <c r="L288" s="7" t="inlineStr">
        <is>
          <t>SEM COTAÇÃO</t>
        </is>
      </c>
      <c r="M288" s="8" t="n"/>
      <c r="N288" s="14" t="n"/>
      <c r="O288" s="7" t="inlineStr"/>
      <c r="P288" s="7" t="inlineStr"/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/>
      <c r="K289" s="8" t="n"/>
      <c r="L289" s="7" t="inlineStr">
        <is>
          <t>SEM COTAÇÃO</t>
        </is>
      </c>
      <c r="M289" s="8" t="n"/>
      <c r="N289" s="14" t="n"/>
      <c r="O289" s="7" t="inlineStr"/>
      <c r="P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/>
      <c r="K290" s="8" t="n"/>
      <c r="L290" s="7" t="inlineStr">
        <is>
          <t>SEM COTAÇÃO</t>
        </is>
      </c>
      <c r="M290" s="8" t="n"/>
      <c r="N290" s="14" t="n"/>
      <c r="O290" s="7" t="inlineStr"/>
      <c r="P290" s="7" t="inlineStr"/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/>
      <c r="K291" s="8" t="n"/>
      <c r="L291" s="7" t="inlineStr">
        <is>
          <t>SEM COTAÇÃO</t>
        </is>
      </c>
      <c r="M291" s="8" t="n"/>
      <c r="N291" s="14" t="n"/>
      <c r="O291" s="7" t="inlineStr"/>
      <c r="P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/>
      <c r="K292" s="8" t="n"/>
      <c r="L292" s="7" t="inlineStr">
        <is>
          <t>SEM COTAÇÃO</t>
        </is>
      </c>
      <c r="M292" s="8" t="n"/>
      <c r="N292" s="14" t="n"/>
      <c r="O292" s="7" t="inlineStr"/>
      <c r="P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/>
      <c r="K293" s="8" t="n"/>
      <c r="L293" s="7" t="inlineStr">
        <is>
          <t>SEM COTAÇÃO</t>
        </is>
      </c>
      <c r="M293" s="8" t="n"/>
      <c r="N293" s="14" t="n"/>
      <c r="O293" s="7" t="inlineStr"/>
      <c r="P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/>
      <c r="K294" s="8" t="n"/>
      <c r="L294" s="7" t="inlineStr">
        <is>
          <t>SEM COTAÇÃO</t>
        </is>
      </c>
      <c r="M294" s="8" t="n"/>
      <c r="N294" s="14" t="n"/>
      <c r="O294" s="7" t="inlineStr"/>
      <c r="P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/>
      <c r="K295" s="8" t="n"/>
      <c r="L295" s="7" t="inlineStr">
        <is>
          <t>SEM COTAÇÃO</t>
        </is>
      </c>
      <c r="M295" s="8" t="n"/>
      <c r="N295" s="14" t="n"/>
      <c r="O295" s="7" t="inlineStr"/>
      <c r="P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/>
      <c r="K296" s="8" t="n"/>
      <c r="L296" s="7" t="inlineStr">
        <is>
          <t>SEM COTAÇÃO</t>
        </is>
      </c>
      <c r="M296" s="8" t="n"/>
      <c r="N296" s="14" t="n"/>
      <c r="O296" s="7" t="inlineStr"/>
      <c r="P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/>
      <c r="K297" s="8" t="n"/>
      <c r="L297" s="7" t="inlineStr">
        <is>
          <t>SEM COTAÇÃO</t>
        </is>
      </c>
      <c r="M297" s="8" t="n"/>
      <c r="N297" s="14" t="n"/>
      <c r="O297" s="7" t="inlineStr"/>
      <c r="P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/>
      <c r="K298" s="8" t="n"/>
      <c r="L298" s="7" t="inlineStr">
        <is>
          <t>SEM COTAÇÃO</t>
        </is>
      </c>
      <c r="M298" s="8" t="n"/>
      <c r="N298" s="14" t="n"/>
      <c r="O298" s="7" t="inlineStr"/>
      <c r="P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/>
      <c r="K299" s="8" t="n"/>
      <c r="L299" s="7" t="inlineStr">
        <is>
          <t>SEM COTAÇÃO</t>
        </is>
      </c>
      <c r="M299" s="8" t="n"/>
      <c r="N299" s="14" t="n"/>
      <c r="O299" s="7" t="inlineStr"/>
      <c r="P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/>
      <c r="K300" s="8" t="n"/>
      <c r="L300" s="7" t="inlineStr">
        <is>
          <t>SEM COTAÇÃO</t>
        </is>
      </c>
      <c r="M300" s="8" t="n"/>
      <c r="N300" s="14" t="n"/>
      <c r="O300" s="7" t="inlineStr"/>
      <c r="P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/>
      <c r="K301" s="8" t="n"/>
      <c r="L301" s="7" t="inlineStr">
        <is>
          <t>SEM COTAÇÃO</t>
        </is>
      </c>
      <c r="M301" s="8" t="n"/>
      <c r="N301" s="14" t="n"/>
      <c r="O301" s="7" t="inlineStr"/>
      <c r="P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/>
      <c r="K302" s="8" t="n"/>
      <c r="L302" s="7" t="inlineStr">
        <is>
          <t>SEM COTAÇÃO</t>
        </is>
      </c>
      <c r="M302" s="8" t="n"/>
      <c r="N302" s="14" t="n"/>
      <c r="O302" s="7" t="inlineStr"/>
      <c r="P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/>
      <c r="K303" s="8" t="n"/>
      <c r="L303" s="7" t="inlineStr">
        <is>
          <t>SEM COTAÇÃO</t>
        </is>
      </c>
      <c r="M303" s="8" t="n"/>
      <c r="N303" s="14" t="n"/>
      <c r="O303" s="7" t="inlineStr"/>
      <c r="P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/>
      <c r="K304" s="8" t="n"/>
      <c r="L304" s="7" t="inlineStr">
        <is>
          <t>SEM COTAÇÃO</t>
        </is>
      </c>
      <c r="M304" s="8" t="n"/>
      <c r="N304" s="14" t="n"/>
      <c r="O304" s="7" t="inlineStr"/>
      <c r="P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/>
      <c r="K305" s="8" t="n"/>
      <c r="L305" s="7" t="inlineStr">
        <is>
          <t>SEM COTAÇÃO</t>
        </is>
      </c>
      <c r="M305" s="8" t="n"/>
      <c r="N305" s="14" t="n"/>
      <c r="O305" s="7" t="inlineStr"/>
      <c r="P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/>
      <c r="K306" s="8" t="n"/>
      <c r="L306" s="7" t="inlineStr">
        <is>
          <t>SEM COTAÇÃO</t>
        </is>
      </c>
      <c r="M306" s="8" t="n"/>
      <c r="N306" s="14" t="n"/>
      <c r="O306" s="7" t="inlineStr"/>
      <c r="P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/>
      <c r="K307" s="8" t="n"/>
      <c r="L307" s="7" t="inlineStr">
        <is>
          <t>SEM COTAÇÃO</t>
        </is>
      </c>
      <c r="M307" s="8" t="n"/>
      <c r="N307" s="14" t="n"/>
      <c r="O307" s="7" t="inlineStr"/>
      <c r="P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/>
      <c r="K308" s="8" t="n"/>
      <c r="L308" s="7" t="inlineStr">
        <is>
          <t>SEM COTAÇÃO</t>
        </is>
      </c>
      <c r="M308" s="8" t="n"/>
      <c r="N308" s="14" t="n"/>
      <c r="O308" s="7" t="inlineStr"/>
      <c r="P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/>
      <c r="K309" s="8" t="n"/>
      <c r="L309" s="7" t="inlineStr">
        <is>
          <t>SEM COTAÇÃO</t>
        </is>
      </c>
      <c r="M309" s="8" t="n"/>
      <c r="N309" s="14" t="n"/>
      <c r="O309" s="7" t="inlineStr"/>
      <c r="P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/>
      <c r="K310" s="8" t="n"/>
      <c r="L310" s="7" t="inlineStr">
        <is>
          <t>SEM COTAÇÃO</t>
        </is>
      </c>
      <c r="M310" s="8" t="n"/>
      <c r="N310" s="14" t="n"/>
      <c r="O310" s="7" t="inlineStr"/>
      <c r="P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/>
      <c r="K311" s="8" t="n"/>
      <c r="L311" s="7" t="inlineStr">
        <is>
          <t>SEM COTAÇÃO</t>
        </is>
      </c>
      <c r="M311" s="8" t="n"/>
      <c r="N311" s="14" t="n"/>
      <c r="O311" s="7" t="inlineStr"/>
      <c r="P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/>
      <c r="K312" s="8" t="n"/>
      <c r="L312" s="7" t="inlineStr">
        <is>
          <t>SEM COTAÇÃO</t>
        </is>
      </c>
      <c r="M312" s="8" t="n"/>
      <c r="N312" s="14" t="n"/>
      <c r="O312" s="7" t="inlineStr"/>
      <c r="P312" s="7" t="inlineStr"/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/>
      <c r="K313" s="8" t="n"/>
      <c r="L313" s="7" t="inlineStr">
        <is>
          <t>SEM COTAÇÃO</t>
        </is>
      </c>
      <c r="M313" s="8" t="n"/>
      <c r="N313" s="14" t="n"/>
      <c r="O313" s="7" t="inlineStr"/>
      <c r="P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/>
      <c r="K314" s="8" t="n"/>
      <c r="L314" s="7" t="inlineStr">
        <is>
          <t>SEM COTAÇÃO</t>
        </is>
      </c>
      <c r="M314" s="8" t="n"/>
      <c r="N314" s="14" t="n"/>
      <c r="O314" s="7" t="inlineStr"/>
      <c r="P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/>
      <c r="K315" s="8" t="n"/>
      <c r="L315" s="7" t="inlineStr">
        <is>
          <t>SEM COTAÇÃO</t>
        </is>
      </c>
      <c r="M315" s="8" t="n"/>
      <c r="N315" s="14" t="n"/>
      <c r="O315" s="7" t="inlineStr"/>
      <c r="P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/>
      <c r="K316" s="8" t="n"/>
      <c r="L316" s="7" t="inlineStr">
        <is>
          <t>SEM COTAÇÃO</t>
        </is>
      </c>
      <c r="M316" s="8" t="n"/>
      <c r="N316" s="14" t="n"/>
      <c r="O316" s="7" t="inlineStr"/>
      <c r="P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15" t="n">
        <v>5.49</v>
      </c>
      <c r="K317" s="8" t="n"/>
      <c r="L317" s="7" t="inlineStr">
        <is>
          <t>DIMEC</t>
        </is>
      </c>
      <c r="M317" s="8" t="n">
        <v>5.49</v>
      </c>
      <c r="N317" s="14">
        <f>M317/H317-1</f>
        <v/>
      </c>
      <c r="O317" s="16" t="inlineStr">
        <is>
          <t>ACIMA +26.2%</t>
        </is>
      </c>
      <c r="P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15" t="n">
        <v>5.49</v>
      </c>
      <c r="K318" s="8" t="n"/>
      <c r="L318" s="7" t="inlineStr">
        <is>
          <t>DIMEC</t>
        </is>
      </c>
      <c r="M318" s="8" t="n">
        <v>5.49</v>
      </c>
      <c r="N318" s="14">
        <f>M318/H318-1</f>
        <v/>
      </c>
      <c r="O318" s="16" t="inlineStr">
        <is>
          <t>ACIMA +0.2%</t>
        </is>
      </c>
      <c r="P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/>
      <c r="K319" s="8" t="n"/>
      <c r="L319" s="7" t="inlineStr">
        <is>
          <t>SEM COTAÇÃO</t>
        </is>
      </c>
      <c r="M319" s="8" t="n"/>
      <c r="N319" s="14" t="n"/>
      <c r="O319" s="7" t="inlineStr"/>
      <c r="P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/>
      <c r="K320" s="8" t="n"/>
      <c r="L320" s="7" t="inlineStr">
        <is>
          <t>SEM COTAÇÃO</t>
        </is>
      </c>
      <c r="M320" s="8" t="n"/>
      <c r="N320" s="14" t="n"/>
      <c r="O320" s="7" t="inlineStr"/>
      <c r="P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/>
      <c r="K321" s="8" t="n"/>
      <c r="L321" s="7" t="inlineStr">
        <is>
          <t>SEM COTAÇÃO</t>
        </is>
      </c>
      <c r="M321" s="8" t="n"/>
      <c r="N321" s="14" t="n"/>
      <c r="O321" s="7" t="inlineStr"/>
      <c r="P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/>
      <c r="K322" s="8" t="n"/>
      <c r="L322" s="7" t="inlineStr">
        <is>
          <t>SEM COTAÇÃO</t>
        </is>
      </c>
      <c r="M322" s="8" t="n"/>
      <c r="N322" s="14" t="n"/>
      <c r="O322" s="7" t="inlineStr"/>
      <c r="P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/>
      <c r="K323" s="8" t="n"/>
      <c r="L323" s="7" t="inlineStr">
        <is>
          <t>SEM COTAÇÃO</t>
        </is>
      </c>
      <c r="M323" s="8" t="n"/>
      <c r="N323" s="14" t="n"/>
      <c r="O323" s="7" t="inlineStr"/>
      <c r="P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/>
      <c r="K324" s="8" t="n"/>
      <c r="L324" s="7" t="inlineStr">
        <is>
          <t>SEM COTAÇÃO</t>
        </is>
      </c>
      <c r="M324" s="8" t="n"/>
      <c r="N324" s="14" t="n"/>
      <c r="O324" s="7" t="inlineStr"/>
      <c r="P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/>
      <c r="K325" s="8" t="n"/>
      <c r="L325" s="7" t="inlineStr">
        <is>
          <t>SEM COTAÇÃO</t>
        </is>
      </c>
      <c r="M325" s="8" t="n"/>
      <c r="N325" s="14" t="n"/>
      <c r="O325" s="7" t="inlineStr"/>
      <c r="P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/>
      <c r="K326" s="8" t="n"/>
      <c r="L326" s="7" t="inlineStr">
        <is>
          <t>SEM COTAÇÃO</t>
        </is>
      </c>
      <c r="M326" s="8" t="n"/>
      <c r="N326" s="14" t="n"/>
      <c r="O326" s="7" t="inlineStr"/>
      <c r="P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/>
      <c r="K327" s="8" t="n"/>
      <c r="L327" s="7" t="inlineStr">
        <is>
          <t>SEM COTAÇÃO</t>
        </is>
      </c>
      <c r="M327" s="8" t="n"/>
      <c r="N327" s="14" t="n"/>
      <c r="O327" s="7" t="inlineStr"/>
      <c r="P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/>
      <c r="K328" s="8" t="n"/>
      <c r="L328" s="7" t="inlineStr">
        <is>
          <t>SEM COTAÇÃO</t>
        </is>
      </c>
      <c r="M328" s="8" t="n"/>
      <c r="N328" s="14" t="n"/>
      <c r="O328" s="7" t="inlineStr"/>
      <c r="P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/>
      <c r="K329" s="8" t="n"/>
      <c r="L329" s="7" t="inlineStr">
        <is>
          <t>SEM COTAÇÃO</t>
        </is>
      </c>
      <c r="M329" s="8" t="n"/>
      <c r="N329" s="14" t="n"/>
      <c r="O329" s="7" t="inlineStr"/>
      <c r="P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/>
      <c r="K330" s="8" t="n"/>
      <c r="L330" s="7" t="inlineStr">
        <is>
          <t>SEM COTAÇÃO</t>
        </is>
      </c>
      <c r="M330" s="8" t="n"/>
      <c r="N330" s="14" t="n"/>
      <c r="O330" s="7" t="inlineStr"/>
      <c r="P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15" t="n">
        <v>42.39</v>
      </c>
      <c r="K331" s="8" t="n"/>
      <c r="L331" s="7" t="inlineStr">
        <is>
          <t>DIMEC</t>
        </is>
      </c>
      <c r="M331" s="8" t="n">
        <v>42.39</v>
      </c>
      <c r="N331" s="14">
        <f>M331/H331-1</f>
        <v/>
      </c>
      <c r="O331" s="16" t="inlineStr">
        <is>
          <t>ACIMA +57.1%</t>
        </is>
      </c>
      <c r="P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15" t="n">
        <v>3.3</v>
      </c>
      <c r="K332" s="8" t="n"/>
      <c r="L332" s="7" t="inlineStr">
        <is>
          <t>DIMEC</t>
        </is>
      </c>
      <c r="M332" s="8" t="n">
        <v>3.3</v>
      </c>
      <c r="N332" s="14">
        <f>M332/H332-1</f>
        <v/>
      </c>
      <c r="O332" s="16" t="inlineStr">
        <is>
          <t>ACIMA +2.5%</t>
        </is>
      </c>
      <c r="P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/>
      <c r="K333" s="8" t="n"/>
      <c r="L333" s="7" t="inlineStr">
        <is>
          <t>SEM COTAÇÃO</t>
        </is>
      </c>
      <c r="M333" s="8" t="n"/>
      <c r="N333" s="14" t="n"/>
      <c r="O333" s="7" t="inlineStr"/>
      <c r="P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/>
      <c r="K334" s="8" t="n"/>
      <c r="L334" s="7" t="inlineStr">
        <is>
          <t>SEM COTAÇÃO</t>
        </is>
      </c>
      <c r="M334" s="8" t="n"/>
      <c r="N334" s="14" t="n"/>
      <c r="O334" s="7" t="inlineStr"/>
      <c r="P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/>
      <c r="K335" s="8" t="n"/>
      <c r="L335" s="7" t="inlineStr">
        <is>
          <t>SEM COTAÇÃO</t>
        </is>
      </c>
      <c r="M335" s="8" t="n"/>
      <c r="N335" s="14" t="n"/>
      <c r="O335" s="7" t="inlineStr"/>
      <c r="P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/>
      <c r="K336" s="8" t="n"/>
      <c r="L336" s="7" t="inlineStr">
        <is>
          <t>SEM COTAÇÃO</t>
        </is>
      </c>
      <c r="M336" s="8" t="n"/>
      <c r="N336" s="14" t="n"/>
      <c r="O336" s="7" t="inlineStr"/>
      <c r="P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/>
      <c r="K337" s="8" t="n"/>
      <c r="L337" s="7" t="inlineStr">
        <is>
          <t>SEM COTAÇÃO</t>
        </is>
      </c>
      <c r="M337" s="8" t="n"/>
      <c r="N337" s="14" t="n"/>
      <c r="O337" s="7" t="inlineStr"/>
      <c r="P337" s="7" t="inlineStr"/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/>
      <c r="K338" s="8" t="n"/>
      <c r="L338" s="7" t="inlineStr">
        <is>
          <t>SEM COTAÇÃO</t>
        </is>
      </c>
      <c r="M338" s="8" t="n"/>
      <c r="N338" s="14" t="n"/>
      <c r="O338" s="7" t="inlineStr"/>
      <c r="P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/>
      <c r="K339" s="8" t="n"/>
      <c r="L339" s="7" t="inlineStr">
        <is>
          <t>SEM COTAÇÃO</t>
        </is>
      </c>
      <c r="M339" s="8" t="n"/>
      <c r="N339" s="14" t="n"/>
      <c r="O339" s="7" t="inlineStr"/>
      <c r="P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/>
      <c r="K340" s="8" t="n"/>
      <c r="L340" s="7" t="inlineStr">
        <is>
          <t>SEM COTAÇÃO</t>
        </is>
      </c>
      <c r="M340" s="8" t="n"/>
      <c r="N340" s="14" t="n"/>
      <c r="O340" s="7" t="inlineStr"/>
      <c r="P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/>
      <c r="K341" s="8" t="n"/>
      <c r="L341" s="7" t="inlineStr">
        <is>
          <t>SEM COTAÇÃO</t>
        </is>
      </c>
      <c r="M341" s="8" t="n"/>
      <c r="N341" s="14" t="n"/>
      <c r="O341" s="7" t="inlineStr"/>
      <c r="P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15" t="n">
        <v>1.24</v>
      </c>
      <c r="K342" s="8" t="n"/>
      <c r="L342" s="7" t="inlineStr">
        <is>
          <t>DIMEC</t>
        </is>
      </c>
      <c r="M342" s="8" t="n">
        <v>1.24</v>
      </c>
      <c r="N342" s="14">
        <f>M342/H342-1</f>
        <v/>
      </c>
      <c r="O342" s="17" t="inlineStr">
        <is>
          <t>OK (≤ menor hist.)</t>
        </is>
      </c>
      <c r="P342" s="7" t="inlineStr">
        <is>
          <t>DIMEC: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15" t="n">
        <v>0.4375</v>
      </c>
      <c r="K343" s="8" t="n"/>
      <c r="L343" s="7" t="inlineStr">
        <is>
          <t>DIMEC</t>
        </is>
      </c>
      <c r="M343" s="8" t="n">
        <v>0.4375</v>
      </c>
      <c r="N343" s="14">
        <f>M343/H343-1</f>
        <v/>
      </c>
      <c r="O343" s="17" t="inlineStr">
        <is>
          <t>OK (≤ menor hist.)</t>
        </is>
      </c>
      <c r="P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/>
      <c r="K344" s="8" t="n"/>
      <c r="L344" s="7" t="inlineStr">
        <is>
          <t>SEM COTAÇÃO</t>
        </is>
      </c>
      <c r="M344" s="8" t="n"/>
      <c r="N344" s="14" t="n"/>
      <c r="O344" s="7" t="inlineStr"/>
      <c r="P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15" t="n">
        <v>0.5441666666666667</v>
      </c>
      <c r="K345" s="8" t="n"/>
      <c r="L345" s="7" t="inlineStr">
        <is>
          <t>DIMEC</t>
        </is>
      </c>
      <c r="M345" s="8" t="n">
        <v>0.5441666666666667</v>
      </c>
      <c r="N345" s="14">
        <f>M345/H345-1</f>
        <v/>
      </c>
      <c r="O345" s="17" t="inlineStr">
        <is>
          <t>OK (≤ menor hist.)</t>
        </is>
      </c>
      <c r="P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/>
      <c r="K346" s="8" t="n"/>
      <c r="L346" s="7" t="inlineStr">
        <is>
          <t>SEM COTAÇÃO</t>
        </is>
      </c>
      <c r="M346" s="8" t="n"/>
      <c r="N346" s="14" t="n"/>
      <c r="O346" s="7" t="inlineStr"/>
      <c r="P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15" t="n">
        <v>0.8183333333333334</v>
      </c>
      <c r="K347" s="8" t="n"/>
      <c r="L347" s="7" t="inlineStr">
        <is>
          <t>DIMEC</t>
        </is>
      </c>
      <c r="M347" s="8" t="n">
        <v>0.8183333333333334</v>
      </c>
      <c r="N347" s="14">
        <f>M347/H347-1</f>
        <v/>
      </c>
      <c r="O347" s="17" t="inlineStr">
        <is>
          <t>OK (≤ menor hist.)</t>
        </is>
      </c>
      <c r="P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15" t="n">
        <v>1.09</v>
      </c>
      <c r="K348" s="8" t="n"/>
      <c r="L348" s="7" t="inlineStr">
        <is>
          <t>DIMEC</t>
        </is>
      </c>
      <c r="M348" s="8" t="n">
        <v>1.09</v>
      </c>
      <c r="N348" s="14">
        <f>M348/H348-1</f>
        <v/>
      </c>
      <c r="O348" s="17" t="inlineStr">
        <is>
          <t>OK (≤ menor hist.)</t>
        </is>
      </c>
      <c r="P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7" t="inlineStr">
        <is>
          <t>SEM COTAÇÃO</t>
        </is>
      </c>
      <c r="M349" s="8" t="n"/>
      <c r="N349" s="14" t="n"/>
      <c r="O349" s="7" t="inlineStr"/>
      <c r="P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15" t="n">
        <v>1.639166666666667</v>
      </c>
      <c r="K350" s="8" t="n"/>
      <c r="L350" s="7" t="inlineStr">
        <is>
          <t>DIMEC</t>
        </is>
      </c>
      <c r="M350" s="8" t="n">
        <v>1.639166666666667</v>
      </c>
      <c r="N350" s="14">
        <f>M350/H350-1</f>
        <v/>
      </c>
      <c r="O350" s="17" t="inlineStr">
        <is>
          <t>OK (≤ menor hist.)</t>
        </is>
      </c>
      <c r="P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/>
      <c r="K351" s="8" t="n"/>
      <c r="L351" s="7" t="inlineStr">
        <is>
          <t>SEM COTAÇÃO</t>
        </is>
      </c>
      <c r="M351" s="8" t="n"/>
      <c r="N351" s="14" t="n"/>
      <c r="O351" s="7" t="inlineStr"/>
      <c r="P351" s="7" t="inlineStr"/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/>
      <c r="K352" s="8" t="n"/>
      <c r="L352" s="7" t="inlineStr">
        <is>
          <t>SEM COTAÇÃO</t>
        </is>
      </c>
      <c r="M352" s="8" t="n"/>
      <c r="N352" s="14" t="n"/>
      <c r="O352" s="7" t="inlineStr"/>
      <c r="P352" s="7" t="inlineStr"/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15" t="n">
        <v>2.66</v>
      </c>
      <c r="K353" s="8" t="n"/>
      <c r="L353" s="7" t="inlineStr">
        <is>
          <t>DIMEC</t>
        </is>
      </c>
      <c r="M353" s="8" t="n">
        <v>2.66</v>
      </c>
      <c r="N353" s="14">
        <f>M353/H353-1</f>
        <v/>
      </c>
      <c r="O353" s="16" t="inlineStr">
        <is>
          <t>ACIMA +5.1%</t>
        </is>
      </c>
      <c r="P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15" t="n">
        <v>2.33</v>
      </c>
      <c r="K354" s="8" t="n">
        <v>2.55</v>
      </c>
      <c r="L354" s="7" t="inlineStr">
        <is>
          <t>DIMEC</t>
        </is>
      </c>
      <c r="M354" s="8" t="n">
        <v>2.33</v>
      </c>
      <c r="N354" s="14">
        <f>M354/H354-1</f>
        <v/>
      </c>
      <c r="O354" s="16" t="inlineStr">
        <is>
          <t>ACIMA +4.5%</t>
        </is>
      </c>
      <c r="P354" s="7" t="inlineStr"/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15" t="n">
        <v>3.07</v>
      </c>
      <c r="K355" s="8" t="n">
        <v>3.35</v>
      </c>
      <c r="L355" s="7" t="inlineStr">
        <is>
          <t>DIMEC</t>
        </is>
      </c>
      <c r="M355" s="8" t="n">
        <v>3.07</v>
      </c>
      <c r="N355" s="14">
        <f>M355/H355-1</f>
        <v/>
      </c>
      <c r="O355" s="16" t="inlineStr">
        <is>
          <t>ACIMA +14.5%</t>
        </is>
      </c>
      <c r="P355" s="7" t="inlineStr"/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/>
      <c r="K356" s="8" t="n"/>
      <c r="L356" s="7" t="inlineStr">
        <is>
          <t>SEM COTAÇÃO</t>
        </is>
      </c>
      <c r="M356" s="8" t="n"/>
      <c r="N356" s="14" t="n"/>
      <c r="O356" s="7" t="inlineStr"/>
      <c r="P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/>
      <c r="K357" s="8" t="n"/>
      <c r="L357" s="7" t="inlineStr">
        <is>
          <t>SEM COTAÇÃO</t>
        </is>
      </c>
      <c r="M357" s="8" t="n"/>
      <c r="N357" s="14" t="n"/>
      <c r="O357" s="7" t="inlineStr"/>
      <c r="P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/>
      <c r="K358" s="8" t="n"/>
      <c r="L358" s="7" t="inlineStr">
        <is>
          <t>SEM COTAÇÃO</t>
        </is>
      </c>
      <c r="M358" s="8" t="n"/>
      <c r="N358" s="14" t="n"/>
      <c r="O358" s="7" t="inlineStr"/>
      <c r="P358" s="7" t="inlineStr"/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/>
      <c r="K359" s="8" t="n"/>
      <c r="L359" s="7" t="inlineStr">
        <is>
          <t>SEM COTAÇÃO</t>
        </is>
      </c>
      <c r="M359" s="8" t="n"/>
      <c r="N359" s="14" t="n"/>
      <c r="O359" s="7" t="inlineStr"/>
      <c r="P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/>
      <c r="K360" s="8" t="n"/>
      <c r="L360" s="7" t="inlineStr">
        <is>
          <t>SEM COTAÇÃO</t>
        </is>
      </c>
      <c r="M360" s="8" t="n"/>
      <c r="N360" s="14" t="n"/>
      <c r="O360" s="7" t="inlineStr"/>
      <c r="P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/>
      <c r="K361" s="8" t="n"/>
      <c r="L361" s="7" t="inlineStr">
        <is>
          <t>SEM COTAÇÃO</t>
        </is>
      </c>
      <c r="M361" s="8" t="n"/>
      <c r="N361" s="14" t="n"/>
      <c r="O361" s="7" t="inlineStr"/>
      <c r="P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/>
      <c r="K362" s="8" t="n"/>
      <c r="L362" s="7" t="inlineStr">
        <is>
          <t>SEM COTAÇÃO</t>
        </is>
      </c>
      <c r="M362" s="8" t="n"/>
      <c r="N362" s="14" t="n"/>
      <c r="O362" s="7" t="inlineStr"/>
      <c r="P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/>
      <c r="K363" s="8" t="n"/>
      <c r="L363" s="7" t="inlineStr">
        <is>
          <t>SEM COTAÇÃO</t>
        </is>
      </c>
      <c r="M363" s="8" t="n"/>
      <c r="N363" s="14" t="n"/>
      <c r="O363" s="7" t="inlineStr"/>
      <c r="P363" s="7" t="inlineStr"/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/>
      <c r="K364" s="8" t="n"/>
      <c r="L364" s="7" t="inlineStr">
        <is>
          <t>SEM COTAÇÃO</t>
        </is>
      </c>
      <c r="M364" s="8" t="n"/>
      <c r="N364" s="14" t="n"/>
      <c r="O364" s="7" t="inlineStr"/>
      <c r="P364" s="7" t="inlineStr"/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/>
      <c r="K365" s="8" t="n"/>
      <c r="L365" s="7" t="inlineStr">
        <is>
          <t>SEM COTAÇÃO</t>
        </is>
      </c>
      <c r="M365" s="8" t="n"/>
      <c r="N365" s="14" t="n"/>
      <c r="O365" s="7" t="inlineStr"/>
      <c r="P365" s="7" t="inlineStr"/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/>
      <c r="K366" s="8" t="n"/>
      <c r="L366" s="7" t="inlineStr">
        <is>
          <t>SEM COTAÇÃO</t>
        </is>
      </c>
      <c r="M366" s="8" t="n"/>
      <c r="N366" s="14" t="n"/>
      <c r="O366" s="7" t="inlineStr"/>
      <c r="P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/>
      <c r="K367" s="8" t="n"/>
      <c r="L367" s="7" t="inlineStr">
        <is>
          <t>SEM COTAÇÃO</t>
        </is>
      </c>
      <c r="M367" s="8" t="n"/>
      <c r="N367" s="14" t="n"/>
      <c r="O367" s="7" t="inlineStr"/>
      <c r="P367" s="7" t="inlineStr"/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/>
      <c r="K368" s="8" t="n"/>
      <c r="L368" s="7" t="inlineStr">
        <is>
          <t>SEM COTAÇÃO</t>
        </is>
      </c>
      <c r="M368" s="8" t="n"/>
      <c r="N368" s="14" t="n"/>
      <c r="O368" s="7" t="inlineStr"/>
      <c r="P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15" t="n">
        <v>8.289999999999999</v>
      </c>
      <c r="K369" s="8" t="n"/>
      <c r="L369" s="7" t="inlineStr">
        <is>
          <t>DIMEC</t>
        </is>
      </c>
      <c r="M369" s="8" t="n">
        <v>8.289999999999999</v>
      </c>
      <c r="N369" s="14">
        <f>M369/H369-1</f>
        <v/>
      </c>
      <c r="O369" s="17" t="inlineStr">
        <is>
          <t>OK (≤ menor hist.)</t>
        </is>
      </c>
      <c r="P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/>
      <c r="K370" s="8" t="n"/>
      <c r="L370" s="7" t="inlineStr">
        <is>
          <t>SEM COTAÇÃO</t>
        </is>
      </c>
      <c r="M370" s="8" t="n"/>
      <c r="N370" s="14" t="n"/>
      <c r="O370" s="7" t="inlineStr"/>
      <c r="P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/>
      <c r="K371" s="8" t="n"/>
      <c r="L371" s="7" t="inlineStr">
        <is>
          <t>SEM COTAÇÃO</t>
        </is>
      </c>
      <c r="M371" s="8" t="n"/>
      <c r="N371" s="14" t="n"/>
      <c r="O371" s="7" t="inlineStr"/>
      <c r="P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/>
      <c r="K372" s="8" t="n"/>
      <c r="L372" s="7" t="inlineStr">
        <is>
          <t>SEM COTAÇÃO</t>
        </is>
      </c>
      <c r="M372" s="8" t="n"/>
      <c r="N372" s="14" t="n"/>
      <c r="O372" s="7" t="inlineStr"/>
      <c r="P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15" t="n">
        <v>3.6</v>
      </c>
      <c r="K373" s="8" t="n"/>
      <c r="L373" s="7" t="inlineStr">
        <is>
          <t>DIMEC</t>
        </is>
      </c>
      <c r="M373" s="8" t="n">
        <v>3.6</v>
      </c>
      <c r="N373" s="14">
        <f>M373/H373-1</f>
        <v/>
      </c>
      <c r="O373" s="16" t="inlineStr">
        <is>
          <t>ACIMA +1.7%</t>
        </is>
      </c>
      <c r="P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/>
      <c r="K374" s="8" t="n"/>
      <c r="L374" s="7" t="inlineStr">
        <is>
          <t>SEM COTAÇÃO</t>
        </is>
      </c>
      <c r="M374" s="8" t="n"/>
      <c r="N374" s="14" t="n"/>
      <c r="O374" s="7" t="inlineStr"/>
      <c r="P374" s="7" t="inlineStr"/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/>
      <c r="K375" s="8" t="n"/>
      <c r="L375" s="7" t="inlineStr">
        <is>
          <t>SEM COTAÇÃO</t>
        </is>
      </c>
      <c r="M375" s="8" t="n"/>
      <c r="N375" s="14" t="n"/>
      <c r="O375" s="7" t="inlineStr"/>
      <c r="P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15" t="n">
        <v>6.44</v>
      </c>
      <c r="K376" s="8" t="n"/>
      <c r="L376" s="7" t="inlineStr">
        <is>
          <t>DIMEC</t>
        </is>
      </c>
      <c r="M376" s="8" t="n">
        <v>6.44</v>
      </c>
      <c r="N376" s="14">
        <f>M376/H376-1</f>
        <v/>
      </c>
      <c r="O376" s="16" t="inlineStr">
        <is>
          <t>ACIMA +9.9%</t>
        </is>
      </c>
      <c r="P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15" t="n">
        <v>6</v>
      </c>
      <c r="K377" s="8" t="n"/>
      <c r="L377" s="7" t="inlineStr">
        <is>
          <t>DIMEC</t>
        </is>
      </c>
      <c r="M377" s="8" t="n">
        <v>6</v>
      </c>
      <c r="N377" s="14">
        <f>M377/H377-1</f>
        <v/>
      </c>
      <c r="O377" s="16" t="inlineStr">
        <is>
          <t>ACIMA +3.8%</t>
        </is>
      </c>
      <c r="P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15" t="n">
        <v>3.91</v>
      </c>
      <c r="K378" s="8" t="n"/>
      <c r="L378" s="7" t="inlineStr">
        <is>
          <t>DIMEC</t>
        </is>
      </c>
      <c r="M378" s="8" t="n">
        <v>3.91</v>
      </c>
      <c r="N378" s="14">
        <f>M378/H378-1</f>
        <v/>
      </c>
      <c r="O378" s="16" t="inlineStr">
        <is>
          <t>ACIMA +7.7%</t>
        </is>
      </c>
      <c r="P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15" t="n">
        <v>14.499</v>
      </c>
      <c r="K379" s="8" t="n"/>
      <c r="L379" s="7" t="inlineStr">
        <is>
          <t>DIMEC</t>
        </is>
      </c>
      <c r="M379" s="8" t="n">
        <v>14.499</v>
      </c>
      <c r="N379" s="14">
        <f>M379/H379-1</f>
        <v/>
      </c>
      <c r="O379" s="16" t="inlineStr">
        <is>
          <t>ACIMA +3.9%</t>
        </is>
      </c>
      <c r="P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/>
      <c r="K380" s="8" t="n"/>
      <c r="L380" s="7" t="inlineStr">
        <is>
          <t>SEM COTAÇÃO</t>
        </is>
      </c>
      <c r="M380" s="8" t="n"/>
      <c r="N380" s="14" t="n"/>
      <c r="O380" s="7" t="inlineStr"/>
      <c r="P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/>
      <c r="K381" s="8" t="n"/>
      <c r="L381" s="7" t="inlineStr">
        <is>
          <t>SEM COTAÇÃO</t>
        </is>
      </c>
      <c r="M381" s="8" t="n"/>
      <c r="N381" s="14" t="n"/>
      <c r="O381" s="7" t="inlineStr"/>
      <c r="P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/>
      <c r="K382" s="8" t="n"/>
      <c r="L382" s="7" t="inlineStr">
        <is>
          <t>SEM COTAÇÃO</t>
        </is>
      </c>
      <c r="M382" s="8" t="n"/>
      <c r="N382" s="14" t="n"/>
      <c r="O382" s="7" t="inlineStr"/>
      <c r="P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/>
      <c r="K383" s="8" t="n"/>
      <c r="L383" s="7" t="inlineStr">
        <is>
          <t>SEM COTAÇÃO</t>
        </is>
      </c>
      <c r="M383" s="8" t="n"/>
      <c r="N383" s="14" t="n"/>
      <c r="O383" s="7" t="inlineStr"/>
      <c r="P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15" t="n">
        <v>6.74</v>
      </c>
      <c r="K384" s="8" t="n"/>
      <c r="L384" s="7" t="inlineStr">
        <is>
          <t>DIMEC</t>
        </is>
      </c>
      <c r="M384" s="8" t="n">
        <v>6.74</v>
      </c>
      <c r="N384" s="14">
        <f>M384/H384-1</f>
        <v/>
      </c>
      <c r="O384" s="16" t="inlineStr">
        <is>
          <t>ACIMA +35.1%</t>
        </is>
      </c>
      <c r="P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/>
      <c r="K385" s="8" t="n"/>
      <c r="L385" s="7" t="inlineStr">
        <is>
          <t>SEM COTAÇÃO</t>
        </is>
      </c>
      <c r="M385" s="8" t="n"/>
      <c r="N385" s="14" t="n"/>
      <c r="O385" s="7" t="inlineStr"/>
      <c r="P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/>
      <c r="K386" s="8" t="n"/>
      <c r="L386" s="7" t="inlineStr">
        <is>
          <t>SEM COTAÇÃO</t>
        </is>
      </c>
      <c r="M386" s="8" t="n"/>
      <c r="N386" s="14" t="n"/>
      <c r="O386" s="7" t="inlineStr"/>
      <c r="P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/>
      <c r="K387" s="8" t="n"/>
      <c r="L387" s="7" t="inlineStr">
        <is>
          <t>SEM COTAÇÃO</t>
        </is>
      </c>
      <c r="M387" s="8" t="n"/>
      <c r="N387" s="14" t="n"/>
      <c r="O387" s="7" t="inlineStr"/>
      <c r="P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/>
      <c r="K388" s="8" t="n"/>
      <c r="L388" s="7" t="inlineStr">
        <is>
          <t>SEM COTAÇÃO</t>
        </is>
      </c>
      <c r="M388" s="8" t="n"/>
      <c r="N388" s="14" t="n"/>
      <c r="O388" s="7" t="inlineStr"/>
      <c r="P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/>
      <c r="K389" s="8" t="n"/>
      <c r="L389" s="7" t="inlineStr">
        <is>
          <t>SEM COTAÇÃO</t>
        </is>
      </c>
      <c r="M389" s="8" t="n"/>
      <c r="N389" s="14" t="n"/>
      <c r="O389" s="7" t="inlineStr"/>
      <c r="P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/>
      <c r="K390" s="8" t="n"/>
      <c r="L390" s="7" t="inlineStr">
        <is>
          <t>SEM COTAÇÃO</t>
        </is>
      </c>
      <c r="M390" s="8" t="n"/>
      <c r="N390" s="14" t="n"/>
      <c r="O390" s="7" t="inlineStr"/>
      <c r="P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/>
      <c r="K391" s="8" t="n"/>
      <c r="L391" s="7" t="inlineStr">
        <is>
          <t>SEM COTAÇÃO</t>
        </is>
      </c>
      <c r="M391" s="8" t="n"/>
      <c r="N391" s="14" t="n"/>
      <c r="O391" s="7" t="inlineStr"/>
      <c r="P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/>
      <c r="K392" s="8" t="n"/>
      <c r="L392" s="7" t="inlineStr">
        <is>
          <t>SEM COTAÇÃO</t>
        </is>
      </c>
      <c r="M392" s="8" t="n"/>
      <c r="N392" s="14" t="n"/>
      <c r="O392" s="7" t="inlineStr"/>
      <c r="P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/>
      <c r="K393" s="8" t="n"/>
      <c r="L393" s="7" t="inlineStr">
        <is>
          <t>SEM COTAÇÃO</t>
        </is>
      </c>
      <c r="M393" s="8" t="n"/>
      <c r="N393" s="14" t="n"/>
      <c r="O393" s="7" t="inlineStr"/>
      <c r="P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/>
      <c r="K394" s="8" t="n"/>
      <c r="L394" s="7" t="inlineStr">
        <is>
          <t>SEM COTAÇÃO</t>
        </is>
      </c>
      <c r="M394" s="8" t="n"/>
      <c r="N394" s="14" t="n"/>
      <c r="O394" s="7" t="inlineStr"/>
      <c r="P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/>
      <c r="K395" s="8" t="n"/>
      <c r="L395" s="7" t="inlineStr">
        <is>
          <t>SEM COTAÇÃO</t>
        </is>
      </c>
      <c r="M395" s="8" t="n"/>
      <c r="N395" s="14" t="n"/>
      <c r="O395" s="7" t="inlineStr"/>
      <c r="P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/>
      <c r="K396" s="8" t="n"/>
      <c r="L396" s="7" t="inlineStr">
        <is>
          <t>SEM COTAÇÃO</t>
        </is>
      </c>
      <c r="M396" s="8" t="n"/>
      <c r="N396" s="14" t="n"/>
      <c r="O396" s="7" t="inlineStr"/>
      <c r="P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/>
      <c r="K397" s="8" t="n"/>
      <c r="L397" s="7" t="inlineStr">
        <is>
          <t>SEM COTAÇÃO</t>
        </is>
      </c>
      <c r="M397" s="8" t="n"/>
      <c r="N397" s="14" t="n"/>
      <c r="O397" s="7" t="inlineStr"/>
      <c r="P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/>
      <c r="K398" s="8" t="n"/>
      <c r="L398" s="7" t="inlineStr">
        <is>
          <t>SEM COTAÇÃO</t>
        </is>
      </c>
      <c r="M398" s="8" t="n"/>
      <c r="N398" s="14" t="n"/>
      <c r="O398" s="7" t="inlineStr"/>
      <c r="P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/>
      <c r="K399" s="8" t="n"/>
      <c r="L399" s="7" t="inlineStr">
        <is>
          <t>SEM COTAÇÃO</t>
        </is>
      </c>
      <c r="M399" s="8" t="n"/>
      <c r="N399" s="14" t="n"/>
      <c r="O399" s="7" t="inlineStr"/>
      <c r="P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/>
      <c r="K400" s="8" t="n"/>
      <c r="L400" s="7" t="inlineStr">
        <is>
          <t>SEM COTAÇÃO</t>
        </is>
      </c>
      <c r="M400" s="8" t="n"/>
      <c r="N400" s="14" t="n"/>
      <c r="O400" s="7" t="inlineStr"/>
      <c r="P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/>
      <c r="K401" s="8" t="n"/>
      <c r="L401" s="7" t="inlineStr">
        <is>
          <t>SEM COTAÇÃO</t>
        </is>
      </c>
      <c r="M401" s="8" t="n"/>
      <c r="N401" s="14" t="n"/>
      <c r="O401" s="7" t="inlineStr"/>
      <c r="P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/>
      <c r="K402" s="8" t="n"/>
      <c r="L402" s="7" t="inlineStr">
        <is>
          <t>SEM COTAÇÃO</t>
        </is>
      </c>
      <c r="M402" s="8" t="n"/>
      <c r="N402" s="14" t="n"/>
      <c r="O402" s="7" t="inlineStr"/>
      <c r="P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/>
      <c r="K403" s="8" t="n"/>
      <c r="L403" s="7" t="inlineStr">
        <is>
          <t>SEM COTAÇÃO</t>
        </is>
      </c>
      <c r="M403" s="8" t="n"/>
      <c r="N403" s="14" t="n"/>
      <c r="O403" s="7" t="inlineStr"/>
      <c r="P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/>
      <c r="K404" s="8" t="n"/>
      <c r="L404" s="7" t="inlineStr">
        <is>
          <t>SEM COTAÇÃO</t>
        </is>
      </c>
      <c r="M404" s="8" t="n"/>
      <c r="N404" s="14" t="n"/>
      <c r="O404" s="7" t="inlineStr"/>
      <c r="P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/>
      <c r="K405" s="8" t="n"/>
      <c r="L405" s="7" t="inlineStr">
        <is>
          <t>SEM COTAÇÃO</t>
        </is>
      </c>
      <c r="M405" s="8" t="n"/>
      <c r="N405" s="14" t="n"/>
      <c r="O405" s="7" t="inlineStr"/>
      <c r="P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/>
      <c r="K406" s="8" t="n"/>
      <c r="L406" s="7" t="inlineStr">
        <is>
          <t>SEM COTAÇÃO</t>
        </is>
      </c>
      <c r="M406" s="8" t="n"/>
      <c r="N406" s="14" t="n"/>
      <c r="O406" s="7" t="inlineStr"/>
      <c r="P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/>
      <c r="K407" s="8" t="n"/>
      <c r="L407" s="7" t="inlineStr">
        <is>
          <t>SEM COTAÇÃO</t>
        </is>
      </c>
      <c r="M407" s="8" t="n"/>
      <c r="N407" s="14" t="n"/>
      <c r="O407" s="7" t="inlineStr"/>
      <c r="P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/>
      <c r="K408" s="8" t="n"/>
      <c r="L408" s="7" t="inlineStr">
        <is>
          <t>SEM COTAÇÃO</t>
        </is>
      </c>
      <c r="M408" s="8" t="n"/>
      <c r="N408" s="14" t="n"/>
      <c r="O408" s="7" t="inlineStr"/>
      <c r="P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/>
      <c r="K409" s="8" t="n"/>
      <c r="L409" s="7" t="inlineStr">
        <is>
          <t>SEM COTAÇÃO</t>
        </is>
      </c>
      <c r="M409" s="8" t="n"/>
      <c r="N409" s="14" t="n"/>
      <c r="O409" s="7" t="inlineStr"/>
      <c r="P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/>
      <c r="K410" s="8" t="n"/>
      <c r="L410" s="7" t="inlineStr">
        <is>
          <t>SEM COTAÇÃO</t>
        </is>
      </c>
      <c r="M410" s="8" t="n"/>
      <c r="N410" s="14" t="n"/>
      <c r="O410" s="7" t="inlineStr"/>
      <c r="P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/>
      <c r="K411" s="8" t="n"/>
      <c r="L411" s="7" t="inlineStr">
        <is>
          <t>SEM COTAÇÃO</t>
        </is>
      </c>
      <c r="M411" s="8" t="n"/>
      <c r="N411" s="14" t="n"/>
      <c r="O411" s="7" t="inlineStr"/>
      <c r="P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/>
      <c r="K412" s="8" t="n"/>
      <c r="L412" s="7" t="inlineStr">
        <is>
          <t>SEM COTAÇÃO</t>
        </is>
      </c>
      <c r="M412" s="8" t="n"/>
      <c r="N412" s="14" t="n"/>
      <c r="O412" s="7" t="inlineStr"/>
      <c r="P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/>
      <c r="K413" s="8" t="n"/>
      <c r="L413" s="7" t="inlineStr">
        <is>
          <t>SEM COTAÇÃO</t>
        </is>
      </c>
      <c r="M413" s="8" t="n"/>
      <c r="N413" s="14" t="n"/>
      <c r="O413" s="7" t="inlineStr"/>
      <c r="P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/>
      <c r="K414" s="8" t="n"/>
      <c r="L414" s="7" t="inlineStr">
        <is>
          <t>SEM COTAÇÃO</t>
        </is>
      </c>
      <c r="M414" s="8" t="n"/>
      <c r="N414" s="14" t="n"/>
      <c r="O414" s="7" t="inlineStr"/>
      <c r="P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/>
      <c r="K415" s="8" t="n"/>
      <c r="L415" s="7" t="inlineStr">
        <is>
          <t>SEM COTAÇÃO</t>
        </is>
      </c>
      <c r="M415" s="8" t="n"/>
      <c r="N415" s="14" t="n"/>
      <c r="O415" s="7" t="inlineStr"/>
      <c r="P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/>
      <c r="K416" s="8" t="n"/>
      <c r="L416" s="7" t="inlineStr">
        <is>
          <t>SEM COTAÇÃO</t>
        </is>
      </c>
      <c r="M416" s="8" t="n"/>
      <c r="N416" s="14" t="n"/>
      <c r="O416" s="7" t="inlineStr"/>
      <c r="P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15" t="n">
        <v>4.47</v>
      </c>
      <c r="K417" s="8" t="n"/>
      <c r="L417" s="7" t="inlineStr">
        <is>
          <t>DIMEC</t>
        </is>
      </c>
      <c r="M417" s="8" t="n">
        <v>4.47</v>
      </c>
      <c r="N417" s="14">
        <f>M417/H417-1</f>
        <v/>
      </c>
      <c r="O417" s="16" t="inlineStr">
        <is>
          <t>ACIMA +21.5%</t>
        </is>
      </c>
      <c r="P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/>
      <c r="K418" s="8" t="n"/>
      <c r="L418" s="7" t="inlineStr">
        <is>
          <t>SEM COTAÇÃO</t>
        </is>
      </c>
      <c r="M418" s="8" t="n"/>
      <c r="N418" s="14" t="n"/>
      <c r="O418" s="7" t="inlineStr"/>
      <c r="P418" s="7" t="inlineStr"/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/>
      <c r="K419" s="8" t="n"/>
      <c r="L419" s="7" t="inlineStr">
        <is>
          <t>SEM COTAÇÃO</t>
        </is>
      </c>
      <c r="M419" s="8" t="n"/>
      <c r="N419" s="14" t="n"/>
      <c r="O419" s="7" t="inlineStr"/>
      <c r="P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/>
      <c r="K420" s="8" t="n"/>
      <c r="L420" s="7" t="inlineStr">
        <is>
          <t>SEM COTAÇÃO</t>
        </is>
      </c>
      <c r="M420" s="8" t="n"/>
      <c r="N420" s="14" t="n"/>
      <c r="O420" s="7" t="inlineStr"/>
      <c r="P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/>
      <c r="K421" s="8" t="n"/>
      <c r="L421" s="7" t="inlineStr">
        <is>
          <t>SEM COTAÇÃO</t>
        </is>
      </c>
      <c r="M421" s="8" t="n"/>
      <c r="N421" s="14" t="n"/>
      <c r="O421" s="7" t="inlineStr"/>
      <c r="P421" s="7" t="inlineStr"/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/>
      <c r="K422" s="8" t="n"/>
      <c r="L422" s="7" t="inlineStr">
        <is>
          <t>SEM COTAÇÃO</t>
        </is>
      </c>
      <c r="M422" s="8" t="n"/>
      <c r="N422" s="14" t="n"/>
      <c r="O422" s="7" t="inlineStr"/>
      <c r="P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/>
      <c r="K423" s="8" t="n"/>
      <c r="L423" s="7" t="inlineStr">
        <is>
          <t>SEM COTAÇÃO</t>
        </is>
      </c>
      <c r="M423" s="8" t="n"/>
      <c r="N423" s="14" t="n"/>
      <c r="O423" s="7" t="inlineStr"/>
      <c r="P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/>
      <c r="K424" s="8" t="n"/>
      <c r="L424" s="7" t="inlineStr">
        <is>
          <t>SEM COTAÇÃO</t>
        </is>
      </c>
      <c r="M424" s="8" t="n"/>
      <c r="N424" s="14" t="n"/>
      <c r="O424" s="7" t="inlineStr"/>
      <c r="P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/>
      <c r="K425" s="8" t="n"/>
      <c r="L425" s="7" t="inlineStr">
        <is>
          <t>SEM COTAÇÃO</t>
        </is>
      </c>
      <c r="M425" s="8" t="n"/>
      <c r="N425" s="14" t="n"/>
      <c r="O425" s="7" t="inlineStr"/>
      <c r="P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/>
      <c r="K426" s="8" t="n"/>
      <c r="L426" s="7" t="inlineStr">
        <is>
          <t>SEM COTAÇÃO</t>
        </is>
      </c>
      <c r="M426" s="8" t="n"/>
      <c r="N426" s="14" t="n"/>
      <c r="O426" s="7" t="inlineStr"/>
      <c r="P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7" t="inlineStr">
        <is>
          <t>SEM COTAÇÃO</t>
        </is>
      </c>
      <c r="M427" s="8" t="n"/>
      <c r="N427" s="14" t="n"/>
      <c r="O427" s="7" t="inlineStr"/>
      <c r="P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/>
      <c r="K428" s="8" t="n"/>
      <c r="L428" s="7" t="inlineStr">
        <is>
          <t>SEM COTAÇÃO</t>
        </is>
      </c>
      <c r="M428" s="8" t="n"/>
      <c r="N428" s="14" t="n"/>
      <c r="O428" s="7" t="inlineStr"/>
      <c r="P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/>
      <c r="K429" s="8" t="n"/>
      <c r="L429" s="7" t="inlineStr">
        <is>
          <t>SEM COTAÇÃO</t>
        </is>
      </c>
      <c r="M429" s="8" t="n"/>
      <c r="N429" s="14" t="n"/>
      <c r="O429" s="7" t="inlineStr"/>
      <c r="P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/>
      <c r="K430" s="8" t="n"/>
      <c r="L430" s="7" t="inlineStr">
        <is>
          <t>SEM COTAÇÃO</t>
        </is>
      </c>
      <c r="M430" s="8" t="n"/>
      <c r="N430" s="14" t="n"/>
      <c r="O430" s="7" t="inlineStr"/>
      <c r="P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/>
      <c r="K431" s="8" t="n"/>
      <c r="L431" s="7" t="inlineStr">
        <is>
          <t>SEM COTAÇÃO</t>
        </is>
      </c>
      <c r="M431" s="8" t="n"/>
      <c r="N431" s="14" t="n"/>
      <c r="O431" s="7" t="inlineStr"/>
      <c r="P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/>
      <c r="K432" s="8" t="n"/>
      <c r="L432" s="7" t="inlineStr">
        <is>
          <t>SEM COTAÇÃO</t>
        </is>
      </c>
      <c r="M432" s="8" t="n"/>
      <c r="N432" s="14" t="n"/>
      <c r="O432" s="7" t="inlineStr"/>
      <c r="P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/>
      <c r="K433" s="8" t="n"/>
      <c r="L433" s="7" t="inlineStr">
        <is>
          <t>SEM COTAÇÃO</t>
        </is>
      </c>
      <c r="M433" s="8" t="n"/>
      <c r="N433" s="14" t="n"/>
      <c r="O433" s="7" t="inlineStr"/>
      <c r="P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/>
      <c r="K434" s="8" t="n"/>
      <c r="L434" s="7" t="inlineStr">
        <is>
          <t>SEM COTAÇÃO</t>
        </is>
      </c>
      <c r="M434" s="8" t="n"/>
      <c r="N434" s="14" t="n"/>
      <c r="O434" s="7" t="inlineStr"/>
      <c r="P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/>
      <c r="K435" s="8" t="n"/>
      <c r="L435" s="7" t="inlineStr">
        <is>
          <t>SEM COTAÇÃO</t>
        </is>
      </c>
      <c r="M435" s="8" t="n"/>
      <c r="N435" s="14" t="n"/>
      <c r="O435" s="7" t="inlineStr"/>
      <c r="P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/>
      <c r="K436" s="8" t="n"/>
      <c r="L436" s="7" t="inlineStr">
        <is>
          <t>SEM COTAÇÃO</t>
        </is>
      </c>
      <c r="M436" s="8" t="n"/>
      <c r="N436" s="14" t="n"/>
      <c r="O436" s="7" t="inlineStr"/>
      <c r="P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/>
      <c r="K437" s="8" t="n"/>
      <c r="L437" s="7" t="inlineStr">
        <is>
          <t>SEM COTAÇÃO</t>
        </is>
      </c>
      <c r="M437" s="8" t="n"/>
      <c r="N437" s="14" t="n"/>
      <c r="O437" s="7" t="inlineStr"/>
      <c r="P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/>
      <c r="K438" s="8" t="n"/>
      <c r="L438" s="7" t="inlineStr">
        <is>
          <t>SEM COTAÇÃO</t>
        </is>
      </c>
      <c r="M438" s="8" t="n"/>
      <c r="N438" s="14" t="n"/>
      <c r="O438" s="7" t="inlineStr"/>
      <c r="P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/>
      <c r="K439" s="8" t="n"/>
      <c r="L439" s="7" t="inlineStr">
        <is>
          <t>SEM COTAÇÃO</t>
        </is>
      </c>
      <c r="M439" s="8" t="n"/>
      <c r="N439" s="14" t="n"/>
      <c r="O439" s="7" t="inlineStr"/>
      <c r="P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/>
      <c r="K440" s="8" t="n"/>
      <c r="L440" s="7" t="inlineStr">
        <is>
          <t>SEM COTAÇÃO</t>
        </is>
      </c>
      <c r="M440" s="8" t="n"/>
      <c r="N440" s="14" t="n"/>
      <c r="O440" s="7" t="inlineStr"/>
      <c r="P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/>
      <c r="K441" s="8" t="n"/>
      <c r="L441" s="7" t="inlineStr">
        <is>
          <t>SEM COTAÇÃO</t>
        </is>
      </c>
      <c r="M441" s="8" t="n"/>
      <c r="N441" s="14" t="n"/>
      <c r="O441" s="7" t="inlineStr"/>
      <c r="P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/>
      <c r="K442" s="8" t="n"/>
      <c r="L442" s="7" t="inlineStr">
        <is>
          <t>SEM COTAÇÃO</t>
        </is>
      </c>
      <c r="M442" s="8" t="n"/>
      <c r="N442" s="14" t="n"/>
      <c r="O442" s="7" t="inlineStr"/>
      <c r="P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/>
      <c r="K443" s="8" t="n"/>
      <c r="L443" s="7" t="inlineStr">
        <is>
          <t>SEM COTAÇÃO</t>
        </is>
      </c>
      <c r="M443" s="8" t="n"/>
      <c r="N443" s="14" t="n"/>
      <c r="O443" s="7" t="inlineStr"/>
      <c r="P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/>
      <c r="K444" s="8" t="n"/>
      <c r="L444" s="7" t="inlineStr">
        <is>
          <t>SEM COTAÇÃO</t>
        </is>
      </c>
      <c r="M444" s="8" t="n"/>
      <c r="N444" s="14" t="n"/>
      <c r="O444" s="7" t="inlineStr"/>
      <c r="P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/>
      <c r="K445" s="8" t="n"/>
      <c r="L445" s="7" t="inlineStr">
        <is>
          <t>SEM COTAÇÃO</t>
        </is>
      </c>
      <c r="M445" s="8" t="n"/>
      <c r="N445" s="14" t="n"/>
      <c r="O445" s="7" t="inlineStr"/>
      <c r="P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/>
      <c r="K446" s="8" t="n"/>
      <c r="L446" s="7" t="inlineStr">
        <is>
          <t>SEM COTAÇÃO</t>
        </is>
      </c>
      <c r="M446" s="8" t="n"/>
      <c r="N446" s="14" t="n"/>
      <c r="O446" s="7" t="inlineStr"/>
      <c r="P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/>
      <c r="K447" s="8" t="n"/>
      <c r="L447" s="7" t="inlineStr">
        <is>
          <t>SEM COTAÇÃO</t>
        </is>
      </c>
      <c r="M447" s="8" t="n"/>
      <c r="N447" s="14" t="n"/>
      <c r="O447" s="7" t="inlineStr"/>
      <c r="P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/>
      <c r="K448" s="8" t="n"/>
      <c r="L448" s="7" t="inlineStr">
        <is>
          <t>SEM COTAÇÃO</t>
        </is>
      </c>
      <c r="M448" s="8" t="n"/>
      <c r="N448" s="14" t="n"/>
      <c r="O448" s="7" t="inlineStr"/>
      <c r="P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/>
      <c r="K449" s="8" t="n"/>
      <c r="L449" s="7" t="inlineStr">
        <is>
          <t>SEM COTAÇÃO</t>
        </is>
      </c>
      <c r="M449" s="8" t="n"/>
      <c r="N449" s="14" t="n"/>
      <c r="O449" s="7" t="inlineStr"/>
      <c r="P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/>
      <c r="K450" s="8" t="n"/>
      <c r="L450" s="7" t="inlineStr">
        <is>
          <t>SEM COTAÇÃO</t>
        </is>
      </c>
      <c r="M450" s="8" t="n"/>
      <c r="N450" s="14" t="n"/>
      <c r="O450" s="7" t="inlineStr"/>
      <c r="P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/>
      <c r="K451" s="8" t="n"/>
      <c r="L451" s="7" t="inlineStr">
        <is>
          <t>SEM COTAÇÃO</t>
        </is>
      </c>
      <c r="M451" s="8" t="n"/>
      <c r="N451" s="14" t="n"/>
      <c r="O451" s="7" t="inlineStr"/>
      <c r="P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/>
      <c r="K452" s="8" t="n"/>
      <c r="L452" s="7" t="inlineStr">
        <is>
          <t>SEM COTAÇÃO</t>
        </is>
      </c>
      <c r="M452" s="8" t="n"/>
      <c r="N452" s="14" t="n"/>
      <c r="O452" s="7" t="inlineStr"/>
      <c r="P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/>
      <c r="K453" s="8" t="n"/>
      <c r="L453" s="7" t="inlineStr">
        <is>
          <t>SEM COTAÇÃO</t>
        </is>
      </c>
      <c r="M453" s="8" t="n"/>
      <c r="N453" s="14" t="n"/>
      <c r="O453" s="7" t="inlineStr"/>
      <c r="P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/>
      <c r="K454" s="8" t="n"/>
      <c r="L454" s="7" t="inlineStr">
        <is>
          <t>SEM COTAÇÃO</t>
        </is>
      </c>
      <c r="M454" s="8" t="n"/>
      <c r="N454" s="14" t="n"/>
      <c r="O454" s="7" t="inlineStr"/>
      <c r="P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/>
      <c r="K455" s="8" t="n"/>
      <c r="L455" s="7" t="inlineStr">
        <is>
          <t>SEM COTAÇÃO</t>
        </is>
      </c>
      <c r="M455" s="8" t="n"/>
      <c r="N455" s="14" t="n"/>
      <c r="O455" s="7" t="inlineStr"/>
      <c r="P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/>
      <c r="K456" s="8" t="n"/>
      <c r="L456" s="7" t="inlineStr">
        <is>
          <t>SEM COTAÇÃO</t>
        </is>
      </c>
      <c r="M456" s="8" t="n"/>
      <c r="N456" s="14" t="n"/>
      <c r="O456" s="7" t="inlineStr"/>
      <c r="P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/>
      <c r="K457" s="8" t="n"/>
      <c r="L457" s="7" t="inlineStr">
        <is>
          <t>SEM COTAÇÃO</t>
        </is>
      </c>
      <c r="M457" s="8" t="n"/>
      <c r="N457" s="14" t="n"/>
      <c r="O457" s="7" t="inlineStr"/>
      <c r="P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/>
      <c r="K458" s="8" t="n"/>
      <c r="L458" s="7" t="inlineStr">
        <is>
          <t>SEM COTAÇÃO</t>
        </is>
      </c>
      <c r="M458" s="8" t="n"/>
      <c r="N458" s="14" t="n"/>
      <c r="O458" s="7" t="inlineStr"/>
      <c r="P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15" t="n">
        <v>1.61</v>
      </c>
      <c r="K459" s="8" t="n"/>
      <c r="L459" s="7" t="inlineStr">
        <is>
          <t>DIMEC</t>
        </is>
      </c>
      <c r="M459" s="8" t="n">
        <v>1.61</v>
      </c>
      <c r="N459" s="14">
        <f>M459/H459-1</f>
        <v/>
      </c>
      <c r="O459" s="17" t="inlineStr">
        <is>
          <t>OK (≤ menor hist.)</t>
        </is>
      </c>
      <c r="P459" s="7" t="inlineStr"/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/>
      <c r="K460" s="8" t="n"/>
      <c r="L460" s="7" t="inlineStr">
        <is>
          <t>SEM COTAÇÃO</t>
        </is>
      </c>
      <c r="M460" s="8" t="n"/>
      <c r="N460" s="14" t="n"/>
      <c r="O460" s="7" t="inlineStr"/>
      <c r="P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/>
      <c r="K461" s="8" t="n"/>
      <c r="L461" s="7" t="inlineStr">
        <is>
          <t>SEM COTAÇÃO</t>
        </is>
      </c>
      <c r="M461" s="8" t="n"/>
      <c r="N461" s="14" t="n"/>
      <c r="O461" s="7" t="inlineStr"/>
      <c r="P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/>
      <c r="K462" s="8" t="n"/>
      <c r="L462" s="7" t="inlineStr">
        <is>
          <t>SEM COTAÇÃO</t>
        </is>
      </c>
      <c r="M462" s="8" t="n"/>
      <c r="N462" s="14" t="n"/>
      <c r="O462" s="7" t="inlineStr"/>
      <c r="P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/>
      <c r="K463" s="8" t="n"/>
      <c r="L463" s="7" t="inlineStr">
        <is>
          <t>SEM COTAÇÃO</t>
        </is>
      </c>
      <c r="M463" s="8" t="n"/>
      <c r="N463" s="14" t="n"/>
      <c r="O463" s="7" t="inlineStr"/>
      <c r="P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/>
      <c r="K464" s="8" t="n"/>
      <c r="L464" s="7" t="inlineStr">
        <is>
          <t>SEM COTAÇÃO</t>
        </is>
      </c>
      <c r="M464" s="8" t="n"/>
      <c r="N464" s="14" t="n"/>
      <c r="O464" s="7" t="inlineStr"/>
      <c r="P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15" t="n">
        <v>3.81</v>
      </c>
      <c r="K465" s="8" t="n"/>
      <c r="L465" s="7" t="inlineStr">
        <is>
          <t>DIMEC</t>
        </is>
      </c>
      <c r="M465" s="8" t="n">
        <v>3.81</v>
      </c>
      <c r="N465" s="14">
        <f>M465/H465-1</f>
        <v/>
      </c>
      <c r="O465" s="16" t="inlineStr">
        <is>
          <t>ACIMA +0.5%</t>
        </is>
      </c>
      <c r="P465" s="7" t="inlineStr"/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/>
      <c r="K466" s="8" t="n"/>
      <c r="L466" s="7" t="inlineStr">
        <is>
          <t>SEM COTAÇÃO</t>
        </is>
      </c>
      <c r="M466" s="8" t="n"/>
      <c r="N466" s="14" t="n"/>
      <c r="O466" s="7" t="inlineStr"/>
      <c r="P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/>
      <c r="K467" s="8" t="n"/>
      <c r="L467" s="7" t="inlineStr">
        <is>
          <t>SEM COTAÇÃO</t>
        </is>
      </c>
      <c r="M467" s="8" t="n"/>
      <c r="N467" s="14" t="n"/>
      <c r="O467" s="7" t="inlineStr"/>
      <c r="P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/>
      <c r="K468" s="8" t="n"/>
      <c r="L468" s="7" t="inlineStr">
        <is>
          <t>SEM COTAÇÃO</t>
        </is>
      </c>
      <c r="M468" s="8" t="n"/>
      <c r="N468" s="14" t="n"/>
      <c r="O468" s="7" t="inlineStr"/>
      <c r="P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/>
      <c r="K469" s="8" t="n"/>
      <c r="L469" s="7" t="inlineStr">
        <is>
          <t>SEM COTAÇÃO</t>
        </is>
      </c>
      <c r="M469" s="8" t="n"/>
      <c r="N469" s="14" t="n"/>
      <c r="O469" s="7" t="inlineStr"/>
      <c r="P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/>
      <c r="K470" s="8" t="n"/>
      <c r="L470" s="7" t="inlineStr">
        <is>
          <t>SEM COTAÇÃO</t>
        </is>
      </c>
      <c r="M470" s="8" t="n"/>
      <c r="N470" s="14" t="n"/>
      <c r="O470" s="7" t="inlineStr"/>
      <c r="P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/>
      <c r="K471" s="8" t="n"/>
      <c r="L471" s="7" t="inlineStr">
        <is>
          <t>SEM COTAÇÃO</t>
        </is>
      </c>
      <c r="M471" s="8" t="n"/>
      <c r="N471" s="14" t="n"/>
      <c r="O471" s="7" t="inlineStr"/>
      <c r="P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/>
      <c r="K472" s="8" t="n"/>
      <c r="L472" s="7" t="inlineStr">
        <is>
          <t>SEM COTAÇÃO</t>
        </is>
      </c>
      <c r="M472" s="8" t="n"/>
      <c r="N472" s="14" t="n"/>
      <c r="O472" s="7" t="inlineStr"/>
      <c r="P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/>
      <c r="K473" s="8" t="n"/>
      <c r="L473" s="7" t="inlineStr">
        <is>
          <t>SEM COTAÇÃO</t>
        </is>
      </c>
      <c r="M473" s="8" t="n"/>
      <c r="N473" s="14" t="n"/>
      <c r="O473" s="7" t="inlineStr"/>
      <c r="P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/>
      <c r="K474" s="8" t="n"/>
      <c r="L474" s="7" t="inlineStr">
        <is>
          <t>SEM COTAÇÃO</t>
        </is>
      </c>
      <c r="M474" s="8" t="n"/>
      <c r="N474" s="14" t="n"/>
      <c r="O474" s="7" t="inlineStr"/>
      <c r="P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/>
      <c r="K475" s="8" t="n"/>
      <c r="L475" s="7" t="inlineStr">
        <is>
          <t>SEM COTAÇÃO</t>
        </is>
      </c>
      <c r="M475" s="8" t="n"/>
      <c r="N475" s="14" t="n"/>
      <c r="O475" s="7" t="inlineStr"/>
      <c r="P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/>
      <c r="K476" s="8" t="n"/>
      <c r="L476" s="7" t="inlineStr">
        <is>
          <t>SEM COTAÇÃO</t>
        </is>
      </c>
      <c r="M476" s="8" t="n"/>
      <c r="N476" s="14" t="n"/>
      <c r="O476" s="7" t="inlineStr"/>
      <c r="P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/>
      <c r="K477" s="8" t="n"/>
      <c r="L477" s="7" t="inlineStr">
        <is>
          <t>SEM COTAÇÃO</t>
        </is>
      </c>
      <c r="M477" s="8" t="n"/>
      <c r="N477" s="14" t="n"/>
      <c r="O477" s="7" t="inlineStr"/>
      <c r="P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/>
      <c r="K478" s="8" t="n"/>
      <c r="L478" s="7" t="inlineStr">
        <is>
          <t>SEM COTAÇÃO</t>
        </is>
      </c>
      <c r="M478" s="8" t="n"/>
      <c r="N478" s="14" t="n"/>
      <c r="O478" s="7" t="inlineStr"/>
      <c r="P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/>
      <c r="K479" s="8" t="n"/>
      <c r="L479" s="7" t="inlineStr">
        <is>
          <t>SEM COTAÇÃO</t>
        </is>
      </c>
      <c r="M479" s="8" t="n"/>
      <c r="N479" s="14" t="n"/>
      <c r="O479" s="7" t="inlineStr"/>
      <c r="P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/>
      <c r="K480" s="8" t="n"/>
      <c r="L480" s="7" t="inlineStr">
        <is>
          <t>SEM COTAÇÃO</t>
        </is>
      </c>
      <c r="M480" s="8" t="n"/>
      <c r="N480" s="14" t="n"/>
      <c r="O480" s="7" t="inlineStr"/>
      <c r="P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/>
      <c r="K481" s="8" t="n"/>
      <c r="L481" s="7" t="inlineStr">
        <is>
          <t>SEM COTAÇÃO</t>
        </is>
      </c>
      <c r="M481" s="8" t="n"/>
      <c r="N481" s="14" t="n"/>
      <c r="O481" s="7" t="inlineStr"/>
      <c r="P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/>
      <c r="K482" s="8" t="n"/>
      <c r="L482" s="7" t="inlineStr">
        <is>
          <t>SEM COTAÇÃO</t>
        </is>
      </c>
      <c r="M482" s="8" t="n"/>
      <c r="N482" s="14" t="n"/>
      <c r="O482" s="7" t="inlineStr"/>
      <c r="P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/>
      <c r="K483" s="8" t="n"/>
      <c r="L483" s="7" t="inlineStr">
        <is>
          <t>SEM COTAÇÃO</t>
        </is>
      </c>
      <c r="M483" s="8" t="n"/>
      <c r="N483" s="14" t="n"/>
      <c r="O483" s="7" t="inlineStr"/>
      <c r="P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/>
      <c r="K484" s="8" t="n"/>
      <c r="L484" s="7" t="inlineStr">
        <is>
          <t>SEM COTAÇÃO</t>
        </is>
      </c>
      <c r="M484" s="8" t="n"/>
      <c r="N484" s="14" t="n"/>
      <c r="O484" s="7" t="inlineStr"/>
      <c r="P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/>
      <c r="K485" s="8" t="n"/>
      <c r="L485" s="7" t="inlineStr">
        <is>
          <t>SEM COTAÇÃO</t>
        </is>
      </c>
      <c r="M485" s="8" t="n"/>
      <c r="N485" s="14" t="n"/>
      <c r="O485" s="7" t="inlineStr"/>
      <c r="P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/>
      <c r="K486" s="8" t="n"/>
      <c r="L486" s="7" t="inlineStr">
        <is>
          <t>SEM COTAÇÃO</t>
        </is>
      </c>
      <c r="M486" s="8" t="n"/>
      <c r="N486" s="14" t="n"/>
      <c r="O486" s="7" t="inlineStr"/>
      <c r="P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/>
      <c r="K487" s="8" t="n"/>
      <c r="L487" s="7" t="inlineStr">
        <is>
          <t>SEM COTAÇÃO</t>
        </is>
      </c>
      <c r="M487" s="8" t="n"/>
      <c r="N487" s="14" t="n"/>
      <c r="O487" s="7" t="inlineStr"/>
      <c r="P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/>
      <c r="K488" s="8" t="n"/>
      <c r="L488" s="7" t="inlineStr">
        <is>
          <t>SEM COTAÇÃO</t>
        </is>
      </c>
      <c r="M488" s="8" t="n"/>
      <c r="N488" s="14" t="n"/>
      <c r="O488" s="7" t="inlineStr"/>
      <c r="P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/>
      <c r="K489" s="8" t="n"/>
      <c r="L489" s="7" t="inlineStr">
        <is>
          <t>SEM COTAÇÃO</t>
        </is>
      </c>
      <c r="M489" s="8" t="n"/>
      <c r="N489" s="14" t="n"/>
      <c r="O489" s="7" t="inlineStr"/>
      <c r="P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/>
      <c r="K490" s="8" t="n"/>
      <c r="L490" s="7" t="inlineStr">
        <is>
          <t>SEM COTAÇÃO</t>
        </is>
      </c>
      <c r="M490" s="8" t="n"/>
      <c r="N490" s="14" t="n"/>
      <c r="O490" s="7" t="inlineStr"/>
      <c r="P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/>
      <c r="K491" s="8" t="n"/>
      <c r="L491" s="7" t="inlineStr">
        <is>
          <t>SEM COTAÇÃO</t>
        </is>
      </c>
      <c r="M491" s="8" t="n"/>
      <c r="N491" s="14" t="n"/>
      <c r="O491" s="7" t="inlineStr"/>
      <c r="P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/>
      <c r="K492" s="8" t="n"/>
      <c r="L492" s="7" t="inlineStr">
        <is>
          <t>SEM COTAÇÃO</t>
        </is>
      </c>
      <c r="M492" s="8" t="n"/>
      <c r="N492" s="14" t="n"/>
      <c r="O492" s="7" t="inlineStr"/>
      <c r="P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/>
      <c r="K493" s="8" t="n"/>
      <c r="L493" s="7" t="inlineStr">
        <is>
          <t>SEM COTAÇÃO</t>
        </is>
      </c>
      <c r="M493" s="8" t="n"/>
      <c r="N493" s="14" t="n"/>
      <c r="O493" s="7" t="inlineStr"/>
      <c r="P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/>
      <c r="K494" s="8" t="n"/>
      <c r="L494" s="7" t="inlineStr">
        <is>
          <t>SEM COTAÇÃO</t>
        </is>
      </c>
      <c r="M494" s="8" t="n"/>
      <c r="N494" s="14" t="n"/>
      <c r="O494" s="7" t="inlineStr"/>
      <c r="P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/>
      <c r="K495" s="8" t="n"/>
      <c r="L495" s="7" t="inlineStr">
        <is>
          <t>SEM COTAÇÃO</t>
        </is>
      </c>
      <c r="M495" s="8" t="n"/>
      <c r="N495" s="14" t="n"/>
      <c r="O495" s="7" t="inlineStr"/>
      <c r="P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/>
      <c r="K496" s="8" t="n"/>
      <c r="L496" s="7" t="inlineStr">
        <is>
          <t>SEM COTAÇÃO</t>
        </is>
      </c>
      <c r="M496" s="8" t="n"/>
      <c r="N496" s="14" t="n"/>
      <c r="O496" s="7" t="inlineStr"/>
      <c r="P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/>
      <c r="K497" s="8" t="n"/>
      <c r="L497" s="7" t="inlineStr">
        <is>
          <t>SEM COTAÇÃO</t>
        </is>
      </c>
      <c r="M497" s="8" t="n"/>
      <c r="N497" s="14" t="n"/>
      <c r="O497" s="7" t="inlineStr"/>
      <c r="P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/>
      <c r="K498" s="8" t="n"/>
      <c r="L498" s="7" t="inlineStr">
        <is>
          <t>SEM COTAÇÃO</t>
        </is>
      </c>
      <c r="M498" s="8" t="n"/>
      <c r="N498" s="14" t="n"/>
      <c r="O498" s="7" t="inlineStr"/>
      <c r="P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/>
      <c r="K499" s="8" t="n"/>
      <c r="L499" s="7" t="inlineStr">
        <is>
          <t>SEM COTAÇÃO</t>
        </is>
      </c>
      <c r="M499" s="8" t="n"/>
      <c r="N499" s="14" t="n"/>
      <c r="O499" s="7" t="inlineStr"/>
      <c r="P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/>
      <c r="K500" s="8" t="n"/>
      <c r="L500" s="7" t="inlineStr">
        <is>
          <t>SEM COTAÇÃO</t>
        </is>
      </c>
      <c r="M500" s="8" t="n"/>
      <c r="N500" s="14" t="n"/>
      <c r="O500" s="7" t="inlineStr"/>
      <c r="P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/>
      <c r="K501" s="8" t="n"/>
      <c r="L501" s="7" t="inlineStr">
        <is>
          <t>SEM COTAÇÃO</t>
        </is>
      </c>
      <c r="M501" s="8" t="n"/>
      <c r="N501" s="14" t="n"/>
      <c r="O501" s="7" t="inlineStr"/>
      <c r="P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15" t="n">
        <v>6.3</v>
      </c>
      <c r="K502" s="8" t="n"/>
      <c r="L502" s="7" t="inlineStr">
        <is>
          <t>DIMEC</t>
        </is>
      </c>
      <c r="M502" s="8" t="n">
        <v>6.3</v>
      </c>
      <c r="N502" s="14">
        <f>M502/H502-1</f>
        <v/>
      </c>
      <c r="O502" s="16" t="inlineStr">
        <is>
          <t>ACIMA +16.2%</t>
        </is>
      </c>
      <c r="P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/>
      <c r="K503" s="8" t="n"/>
      <c r="L503" s="7" t="inlineStr">
        <is>
          <t>SEM COTAÇÃO</t>
        </is>
      </c>
      <c r="M503" s="8" t="n"/>
      <c r="N503" s="14" t="n"/>
      <c r="O503" s="7" t="inlineStr"/>
      <c r="P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/>
      <c r="K504" s="8" t="n"/>
      <c r="L504" s="7" t="inlineStr">
        <is>
          <t>SEM COTAÇÃO</t>
        </is>
      </c>
      <c r="M504" s="8" t="n"/>
      <c r="N504" s="14" t="n"/>
      <c r="O504" s="7" t="inlineStr"/>
      <c r="P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15" t="n">
        <v>1.78</v>
      </c>
      <c r="K505" s="8" t="n"/>
      <c r="L505" s="7" t="inlineStr">
        <is>
          <t>DIMEC</t>
        </is>
      </c>
      <c r="M505" s="8" t="n">
        <v>1.78</v>
      </c>
      <c r="N505" s="14">
        <f>M505/H505-1</f>
        <v/>
      </c>
      <c r="O505" s="16" t="inlineStr">
        <is>
          <t>ACIMA +9.9%</t>
        </is>
      </c>
      <c r="P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/>
      <c r="K506" s="8" t="n"/>
      <c r="L506" s="7" t="inlineStr">
        <is>
          <t>SEM COTAÇÃO</t>
        </is>
      </c>
      <c r="M506" s="8" t="n"/>
      <c r="N506" s="14" t="n"/>
      <c r="O506" s="7" t="inlineStr"/>
      <c r="P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/>
      <c r="K507" s="8" t="n"/>
      <c r="L507" s="7" t="inlineStr">
        <is>
          <t>SEM COTAÇÃO</t>
        </is>
      </c>
      <c r="M507" s="8" t="n"/>
      <c r="N507" s="14" t="n"/>
      <c r="O507" s="7" t="inlineStr"/>
      <c r="P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/>
      <c r="K508" s="8" t="n"/>
      <c r="L508" s="7" t="inlineStr">
        <is>
          <t>SEM COTAÇÃO</t>
        </is>
      </c>
      <c r="M508" s="8" t="n"/>
      <c r="N508" s="14" t="n"/>
      <c r="O508" s="7" t="inlineStr"/>
      <c r="P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/>
      <c r="K509" s="8" t="n"/>
      <c r="L509" s="7" t="inlineStr">
        <is>
          <t>SEM COTAÇÃO</t>
        </is>
      </c>
      <c r="M509" s="8" t="n"/>
      <c r="N509" s="14" t="n"/>
      <c r="O509" s="7" t="inlineStr"/>
      <c r="P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/>
      <c r="K510" s="8" t="n"/>
      <c r="L510" s="7" t="inlineStr">
        <is>
          <t>SEM COTAÇÃO</t>
        </is>
      </c>
      <c r="M510" s="8" t="n"/>
      <c r="N510" s="14" t="n"/>
      <c r="O510" s="7" t="inlineStr"/>
      <c r="P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/>
      <c r="K511" s="8" t="n"/>
      <c r="L511" s="7" t="inlineStr">
        <is>
          <t>SEM COTAÇÃO</t>
        </is>
      </c>
      <c r="M511" s="8" t="n"/>
      <c r="N511" s="14" t="n"/>
      <c r="O511" s="7" t="inlineStr"/>
      <c r="P511" s="7" t="inlineStr"/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/>
      <c r="K512" s="8" t="n"/>
      <c r="L512" s="7" t="inlineStr">
        <is>
          <t>SEM COTAÇÃO</t>
        </is>
      </c>
      <c r="M512" s="8" t="n"/>
      <c r="N512" s="14" t="n"/>
      <c r="O512" s="7" t="inlineStr"/>
      <c r="P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/>
      <c r="K513" s="8" t="n"/>
      <c r="L513" s="7" t="inlineStr">
        <is>
          <t>SEM COTAÇÃO</t>
        </is>
      </c>
      <c r="M513" s="8" t="n"/>
      <c r="N513" s="14" t="n"/>
      <c r="O513" s="7" t="inlineStr"/>
      <c r="P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/>
      <c r="K514" s="8" t="n"/>
      <c r="L514" s="7" t="inlineStr">
        <is>
          <t>SEM COTAÇÃO</t>
        </is>
      </c>
      <c r="M514" s="8" t="n"/>
      <c r="N514" s="14" t="n"/>
      <c r="O514" s="7" t="inlineStr"/>
      <c r="P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/>
      <c r="K515" s="8" t="n"/>
      <c r="L515" s="7" t="inlineStr">
        <is>
          <t>SEM COTAÇÃO</t>
        </is>
      </c>
      <c r="M515" s="8" t="n"/>
      <c r="N515" s="14" t="n"/>
      <c r="O515" s="7" t="inlineStr"/>
      <c r="P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15" t="n">
        <v>2.34</v>
      </c>
      <c r="K516" s="8" t="n"/>
      <c r="L516" s="7" t="inlineStr">
        <is>
          <t>DIMEC</t>
        </is>
      </c>
      <c r="M516" s="8" t="n">
        <v>2.34</v>
      </c>
      <c r="N516" s="14">
        <f>M516/H516-1</f>
        <v/>
      </c>
      <c r="O516" s="17" t="inlineStr">
        <is>
          <t>OK (≤ menor hist.)</t>
        </is>
      </c>
      <c r="P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/>
      <c r="K517" s="8" t="n"/>
      <c r="L517" s="7" t="inlineStr">
        <is>
          <t>SEM COTAÇÃO</t>
        </is>
      </c>
      <c r="M517" s="8" t="n"/>
      <c r="N517" s="14" t="n"/>
      <c r="O517" s="7" t="inlineStr"/>
      <c r="P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/>
      <c r="K518" s="8" t="n"/>
      <c r="L518" s="7" t="inlineStr">
        <is>
          <t>SEM COTAÇÃO</t>
        </is>
      </c>
      <c r="M518" s="8" t="n"/>
      <c r="N518" s="14" t="n"/>
      <c r="O518" s="7" t="inlineStr"/>
      <c r="P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/>
      <c r="K519" s="15" t="n">
        <v>6.68</v>
      </c>
      <c r="L519" s="7" t="inlineStr">
        <is>
          <t>PLUSFARMA</t>
        </is>
      </c>
      <c r="M519" s="8" t="n">
        <v>6.68</v>
      </c>
      <c r="N519" s="14">
        <f>M519/H519-1</f>
        <v/>
      </c>
      <c r="O519" s="16" t="inlineStr">
        <is>
          <t>ACIMA +5.7%</t>
        </is>
      </c>
      <c r="P519" s="7" t="inlineStr"/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/>
      <c r="K520" s="8" t="n"/>
      <c r="L520" s="7" t="inlineStr">
        <is>
          <t>SEM COTAÇÃO</t>
        </is>
      </c>
      <c r="M520" s="8" t="n"/>
      <c r="N520" s="14" t="n"/>
      <c r="O520" s="7" t="inlineStr"/>
      <c r="P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15" t="n">
        <v>6.59</v>
      </c>
      <c r="K521" s="8" t="n"/>
      <c r="L521" s="7" t="inlineStr">
        <is>
          <t>DIMEC</t>
        </is>
      </c>
      <c r="M521" s="8" t="n">
        <v>6.59</v>
      </c>
      <c r="N521" s="14">
        <f>M521/H521-1</f>
        <v/>
      </c>
      <c r="O521" s="17" t="inlineStr">
        <is>
          <t>OK (≤ menor hist.)</t>
        </is>
      </c>
      <c r="P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15" t="n">
        <v>9.83</v>
      </c>
      <c r="K522" s="8" t="n"/>
      <c r="L522" s="7" t="inlineStr">
        <is>
          <t>DIMEC</t>
        </is>
      </c>
      <c r="M522" s="8" t="n">
        <v>9.83</v>
      </c>
      <c r="N522" s="14">
        <f>M522/H522-1</f>
        <v/>
      </c>
      <c r="O522" s="16" t="inlineStr">
        <is>
          <t>ACIMA +11.2%</t>
        </is>
      </c>
      <c r="P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/>
      <c r="K523" s="8" t="n"/>
      <c r="L523" s="7" t="inlineStr">
        <is>
          <t>SEM COTAÇÃO</t>
        </is>
      </c>
      <c r="M523" s="8" t="n"/>
      <c r="N523" s="14" t="n"/>
      <c r="O523" s="7" t="inlineStr"/>
      <c r="P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/>
      <c r="K524" s="8" t="n"/>
      <c r="L524" s="7" t="inlineStr">
        <is>
          <t>SEM COTAÇÃO</t>
        </is>
      </c>
      <c r="M524" s="8" t="n"/>
      <c r="N524" s="14" t="n"/>
      <c r="O524" s="7" t="inlineStr"/>
      <c r="P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/>
      <c r="K525" s="8" t="n"/>
      <c r="L525" s="7" t="inlineStr">
        <is>
          <t>SEM COTAÇÃO</t>
        </is>
      </c>
      <c r="M525" s="8" t="n"/>
      <c r="N525" s="14" t="n"/>
      <c r="O525" s="7" t="inlineStr"/>
      <c r="P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/>
      <c r="K526" s="8" t="n"/>
      <c r="L526" s="7" t="inlineStr">
        <is>
          <t>SEM COTAÇÃO</t>
        </is>
      </c>
      <c r="M526" s="8" t="n"/>
      <c r="N526" s="14" t="n"/>
      <c r="O526" s="7" t="inlineStr"/>
      <c r="P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/>
      <c r="K527" s="8" t="n"/>
      <c r="L527" s="7" t="inlineStr">
        <is>
          <t>SEM COTAÇÃO</t>
        </is>
      </c>
      <c r="M527" s="8" t="n"/>
      <c r="N527" s="14" t="n"/>
      <c r="O527" s="7" t="inlineStr"/>
      <c r="P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/>
      <c r="K528" s="8" t="n"/>
      <c r="L528" s="7" t="inlineStr">
        <is>
          <t>SEM COTAÇÃO</t>
        </is>
      </c>
      <c r="M528" s="8" t="n"/>
      <c r="N528" s="14" t="n"/>
      <c r="O528" s="7" t="inlineStr"/>
      <c r="P528" s="7" t="inlineStr"/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15" t="n">
        <v>7.43</v>
      </c>
      <c r="K529" s="8" t="n"/>
      <c r="L529" s="7" t="inlineStr">
        <is>
          <t>DIMEC</t>
        </is>
      </c>
      <c r="M529" s="8" t="n">
        <v>7.43</v>
      </c>
      <c r="N529" s="14">
        <f>M529/H529-1</f>
        <v/>
      </c>
      <c r="O529" s="16" t="inlineStr">
        <is>
          <t>ACIMA +14.5%</t>
        </is>
      </c>
      <c r="P529" s="7" t="inlineStr"/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/>
      <c r="K530" s="8" t="n"/>
      <c r="L530" s="7" t="inlineStr">
        <is>
          <t>SEM COTAÇÃO</t>
        </is>
      </c>
      <c r="M530" s="8" t="n"/>
      <c r="N530" s="14" t="n"/>
      <c r="O530" s="7" t="inlineStr"/>
      <c r="P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/>
      <c r="K531" s="8" t="n"/>
      <c r="L531" s="7" t="inlineStr">
        <is>
          <t>SEM COTAÇÃO</t>
        </is>
      </c>
      <c r="M531" s="8" t="n"/>
      <c r="N531" s="14" t="n"/>
      <c r="O531" s="7" t="inlineStr"/>
      <c r="P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/>
      <c r="K532" s="8" t="n"/>
      <c r="L532" s="7" t="inlineStr">
        <is>
          <t>SEM COTAÇÃO</t>
        </is>
      </c>
      <c r="M532" s="8" t="n"/>
      <c r="N532" s="14" t="n"/>
      <c r="O532" s="7" t="inlineStr"/>
      <c r="P532" s="7" t="inlineStr"/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/>
      <c r="K533" s="8" t="n"/>
      <c r="L533" s="7" t="inlineStr">
        <is>
          <t>SEM COTAÇÃO</t>
        </is>
      </c>
      <c r="M533" s="8" t="n"/>
      <c r="N533" s="14" t="n"/>
      <c r="O533" s="7" t="inlineStr"/>
      <c r="P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/>
      <c r="K534" s="8" t="n"/>
      <c r="L534" s="7" t="inlineStr">
        <is>
          <t>SEM COTAÇÃO</t>
        </is>
      </c>
      <c r="M534" s="8" t="n"/>
      <c r="N534" s="14" t="n"/>
      <c r="O534" s="7" t="inlineStr"/>
      <c r="P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/>
      <c r="K535" s="8" t="n"/>
      <c r="L535" s="7" t="inlineStr">
        <is>
          <t>SEM COTAÇÃO</t>
        </is>
      </c>
      <c r="M535" s="8" t="n"/>
      <c r="N535" s="14" t="n"/>
      <c r="O535" s="7" t="inlineStr"/>
      <c r="P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/>
      <c r="K536" s="8" t="n"/>
      <c r="L536" s="7" t="inlineStr">
        <is>
          <t>SEM COTAÇÃO</t>
        </is>
      </c>
      <c r="M536" s="8" t="n"/>
      <c r="N536" s="14" t="n"/>
      <c r="O536" s="7" t="inlineStr"/>
      <c r="P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/>
      <c r="K537" s="8" t="n"/>
      <c r="L537" s="7" t="inlineStr">
        <is>
          <t>SEM COTAÇÃO</t>
        </is>
      </c>
      <c r="M537" s="8" t="n"/>
      <c r="N537" s="14" t="n"/>
      <c r="O537" s="7" t="inlineStr"/>
      <c r="P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/>
      <c r="K538" s="8" t="n"/>
      <c r="L538" s="7" t="inlineStr">
        <is>
          <t>SEM COTAÇÃO</t>
        </is>
      </c>
      <c r="M538" s="8" t="n"/>
      <c r="N538" s="14" t="n"/>
      <c r="O538" s="7" t="inlineStr"/>
      <c r="P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/>
      <c r="K539" s="8" t="n"/>
      <c r="L539" s="7" t="inlineStr">
        <is>
          <t>SEM COTAÇÃO</t>
        </is>
      </c>
      <c r="M539" s="8" t="n"/>
      <c r="N539" s="14" t="n"/>
      <c r="O539" s="7" t="inlineStr"/>
      <c r="P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/>
      <c r="K540" s="8" t="n"/>
      <c r="L540" s="7" t="inlineStr">
        <is>
          <t>SEM COTAÇÃO</t>
        </is>
      </c>
      <c r="M540" s="8" t="n"/>
      <c r="N540" s="14" t="n"/>
      <c r="O540" s="7" t="inlineStr"/>
      <c r="P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/>
      <c r="K541" s="8" t="n"/>
      <c r="L541" s="7" t="inlineStr">
        <is>
          <t>SEM COTAÇÃO</t>
        </is>
      </c>
      <c r="M541" s="8" t="n"/>
      <c r="N541" s="14" t="n"/>
      <c r="O541" s="7" t="inlineStr"/>
      <c r="P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15" t="n">
        <v>3.23</v>
      </c>
      <c r="K542" s="8" t="n"/>
      <c r="L542" s="7" t="inlineStr">
        <is>
          <t>DIMEC</t>
        </is>
      </c>
      <c r="M542" s="8" t="n">
        <v>3.23</v>
      </c>
      <c r="N542" s="14">
        <f>M542/H542-1</f>
        <v/>
      </c>
      <c r="O542" s="16" t="inlineStr">
        <is>
          <t>ACIMA +5.9%</t>
        </is>
      </c>
      <c r="P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/>
      <c r="K543" s="8" t="n"/>
      <c r="L543" s="7" t="inlineStr">
        <is>
          <t>SEM COTAÇÃO</t>
        </is>
      </c>
      <c r="M543" s="8" t="n"/>
      <c r="N543" s="14" t="n"/>
      <c r="O543" s="7" t="inlineStr"/>
      <c r="P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/>
      <c r="K544" s="8" t="n"/>
      <c r="L544" s="7" t="inlineStr">
        <is>
          <t>SEM COTAÇÃO</t>
        </is>
      </c>
      <c r="M544" s="8" t="n"/>
      <c r="N544" s="14" t="n"/>
      <c r="O544" s="7" t="inlineStr"/>
      <c r="P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/>
      <c r="K545" s="8" t="n"/>
      <c r="L545" s="7" t="inlineStr">
        <is>
          <t>SEM COTAÇÃO</t>
        </is>
      </c>
      <c r="M545" s="8" t="n"/>
      <c r="N545" s="14" t="n"/>
      <c r="O545" s="7" t="inlineStr"/>
      <c r="P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15" t="n">
        <v>4.3</v>
      </c>
      <c r="K546" s="8" t="n"/>
      <c r="L546" s="7" t="inlineStr">
        <is>
          <t>DIMEC</t>
        </is>
      </c>
      <c r="M546" s="8" t="n">
        <v>4.3</v>
      </c>
      <c r="N546" s="14">
        <f>M546/H546-1</f>
        <v/>
      </c>
      <c r="O546" s="17" t="inlineStr">
        <is>
          <t>OK (≤ menor hist.)</t>
        </is>
      </c>
      <c r="P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/>
      <c r="K547" s="8" t="n"/>
      <c r="L547" s="7" t="inlineStr">
        <is>
          <t>SEM COTAÇÃO</t>
        </is>
      </c>
      <c r="M547" s="8" t="n"/>
      <c r="N547" s="14" t="n"/>
      <c r="O547" s="7" t="inlineStr"/>
      <c r="P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/>
      <c r="K548" s="8" t="n"/>
      <c r="L548" s="7" t="inlineStr">
        <is>
          <t>SEM COTAÇÃO</t>
        </is>
      </c>
      <c r="M548" s="8" t="n"/>
      <c r="N548" s="14" t="n"/>
      <c r="O548" s="7" t="inlineStr"/>
      <c r="P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/>
      <c r="K549" s="8" t="n"/>
      <c r="L549" s="7" t="inlineStr">
        <is>
          <t>SEM COTAÇÃO</t>
        </is>
      </c>
      <c r="M549" s="8" t="n"/>
      <c r="N549" s="14" t="n"/>
      <c r="O549" s="7" t="inlineStr"/>
      <c r="P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7" t="inlineStr">
        <is>
          <t>SEM COTAÇÃO</t>
        </is>
      </c>
      <c r="M550" s="8" t="n"/>
      <c r="N550" s="14" t="n"/>
      <c r="O550" s="7" t="inlineStr"/>
      <c r="P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/>
      <c r="K551" s="8" t="n"/>
      <c r="L551" s="7" t="inlineStr">
        <is>
          <t>SEM COTAÇÃO</t>
        </is>
      </c>
      <c r="M551" s="8" t="n"/>
      <c r="N551" s="14" t="n"/>
      <c r="O551" s="7" t="inlineStr"/>
      <c r="P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/>
      <c r="K552" s="15" t="n">
        <v>16.29</v>
      </c>
      <c r="L552" s="7" t="inlineStr">
        <is>
          <t>PLUSFARMA</t>
        </is>
      </c>
      <c r="M552" s="8" t="n">
        <v>16.29</v>
      </c>
      <c r="N552" s="14">
        <f>M552/H552-1</f>
        <v/>
      </c>
      <c r="O552" s="16" t="inlineStr">
        <is>
          <t>ACIMA +4.0%</t>
        </is>
      </c>
      <c r="P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7" t="inlineStr">
        <is>
          <t>SEM COTAÇÃO</t>
        </is>
      </c>
      <c r="M553" s="8" t="n"/>
      <c r="N553" s="14" t="n"/>
      <c r="O553" s="7" t="inlineStr"/>
      <c r="P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/>
      <c r="K554" s="8" t="n"/>
      <c r="L554" s="7" t="inlineStr">
        <is>
          <t>SEM COTAÇÃO</t>
        </is>
      </c>
      <c r="M554" s="8" t="n"/>
      <c r="N554" s="14" t="n"/>
      <c r="O554" s="7" t="inlineStr"/>
      <c r="P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/>
      <c r="K555" s="8" t="n"/>
      <c r="L555" s="7" t="inlineStr">
        <is>
          <t>SEM COTAÇÃO</t>
        </is>
      </c>
      <c r="M555" s="8" t="n"/>
      <c r="N555" s="14" t="n"/>
      <c r="O555" s="7" t="inlineStr"/>
      <c r="P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/>
      <c r="K556" s="8" t="n"/>
      <c r="L556" s="7" t="inlineStr">
        <is>
          <t>SEM COTAÇÃO</t>
        </is>
      </c>
      <c r="M556" s="8" t="n"/>
      <c r="N556" s="14" t="n"/>
      <c r="O556" s="7" t="inlineStr"/>
      <c r="P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/>
      <c r="K557" s="8" t="n"/>
      <c r="L557" s="7" t="inlineStr">
        <is>
          <t>SEM COTAÇÃO</t>
        </is>
      </c>
      <c r="M557" s="8" t="n"/>
      <c r="N557" s="14" t="n"/>
      <c r="O557" s="7" t="inlineStr"/>
      <c r="P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/>
      <c r="K558" s="8" t="n"/>
      <c r="L558" s="7" t="inlineStr">
        <is>
          <t>SEM COTAÇÃO</t>
        </is>
      </c>
      <c r="M558" s="8" t="n"/>
      <c r="N558" s="14" t="n"/>
      <c r="O558" s="7" t="inlineStr"/>
      <c r="P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/>
      <c r="K559" s="8" t="n"/>
      <c r="L559" s="7" t="inlineStr">
        <is>
          <t>SEM COTAÇÃO</t>
        </is>
      </c>
      <c r="M559" s="8" t="n"/>
      <c r="N559" s="14" t="n"/>
      <c r="O559" s="7" t="inlineStr"/>
      <c r="P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/>
      <c r="K560" s="8" t="n"/>
      <c r="L560" s="7" t="inlineStr">
        <is>
          <t>SEM COTAÇÃO</t>
        </is>
      </c>
      <c r="M560" s="8" t="n"/>
      <c r="N560" s="14" t="n"/>
      <c r="O560" s="7" t="inlineStr"/>
      <c r="P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/>
      <c r="K561" s="8" t="n"/>
      <c r="L561" s="7" t="inlineStr">
        <is>
          <t>SEM COTAÇÃO</t>
        </is>
      </c>
      <c r="M561" s="8" t="n"/>
      <c r="N561" s="14" t="n"/>
      <c r="O561" s="7" t="inlineStr"/>
      <c r="P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/>
      <c r="K562" s="8" t="n"/>
      <c r="L562" s="7" t="inlineStr">
        <is>
          <t>SEM COTAÇÃO</t>
        </is>
      </c>
      <c r="M562" s="8" t="n"/>
      <c r="N562" s="14" t="n"/>
      <c r="O562" s="7" t="inlineStr"/>
      <c r="P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/>
      <c r="K563" s="8" t="n"/>
      <c r="L563" s="7" t="inlineStr">
        <is>
          <t>SEM COTAÇÃO</t>
        </is>
      </c>
      <c r="M563" s="8" t="n"/>
      <c r="N563" s="14" t="n"/>
      <c r="O563" s="7" t="inlineStr"/>
      <c r="P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/>
      <c r="K564" s="8" t="n"/>
      <c r="L564" s="7" t="inlineStr">
        <is>
          <t>SEM COTAÇÃO</t>
        </is>
      </c>
      <c r="M564" s="8" t="n"/>
      <c r="N564" s="14" t="n"/>
      <c r="O564" s="7" t="inlineStr"/>
      <c r="P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/>
      <c r="K565" s="8" t="n"/>
      <c r="L565" s="7" t="inlineStr">
        <is>
          <t>SEM COTAÇÃO</t>
        </is>
      </c>
      <c r="M565" s="8" t="n"/>
      <c r="N565" s="14" t="n"/>
      <c r="O565" s="7" t="inlineStr"/>
      <c r="P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/>
      <c r="K566" s="8" t="n"/>
      <c r="L566" s="7" t="inlineStr">
        <is>
          <t>SEM COTAÇÃO</t>
        </is>
      </c>
      <c r="M566" s="8" t="n"/>
      <c r="N566" s="14" t="n"/>
      <c r="O566" s="7" t="inlineStr"/>
      <c r="P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/>
      <c r="K567" s="8" t="n"/>
      <c r="L567" s="7" t="inlineStr">
        <is>
          <t>SEM COTAÇÃO</t>
        </is>
      </c>
      <c r="M567" s="8" t="n"/>
      <c r="N567" s="14" t="n"/>
      <c r="O567" s="7" t="inlineStr"/>
      <c r="P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/>
      <c r="K568" s="8" t="n"/>
      <c r="L568" s="7" t="inlineStr">
        <is>
          <t>SEM COTAÇÃO</t>
        </is>
      </c>
      <c r="M568" s="8" t="n"/>
      <c r="N568" s="14" t="n"/>
      <c r="O568" s="7" t="inlineStr"/>
      <c r="P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/>
      <c r="K569" s="8" t="n"/>
      <c r="L569" s="7" t="inlineStr">
        <is>
          <t>SEM COTAÇÃO</t>
        </is>
      </c>
      <c r="M569" s="8" t="n"/>
      <c r="N569" s="14" t="n"/>
      <c r="O569" s="7" t="inlineStr"/>
      <c r="P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/>
      <c r="K570" s="8" t="n"/>
      <c r="L570" s="7" t="inlineStr">
        <is>
          <t>SEM COTAÇÃO</t>
        </is>
      </c>
      <c r="M570" s="8" t="n"/>
      <c r="N570" s="14" t="n"/>
      <c r="O570" s="7" t="inlineStr"/>
      <c r="P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/>
      <c r="K571" s="8" t="n"/>
      <c r="L571" s="7" t="inlineStr">
        <is>
          <t>SEM COTAÇÃO</t>
        </is>
      </c>
      <c r="M571" s="8" t="n"/>
      <c r="N571" s="14" t="n"/>
      <c r="O571" s="7" t="inlineStr"/>
      <c r="P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/>
      <c r="K572" s="8" t="n"/>
      <c r="L572" s="7" t="inlineStr">
        <is>
          <t>SEM COTAÇÃO</t>
        </is>
      </c>
      <c r="M572" s="8" t="n"/>
      <c r="N572" s="14" t="n"/>
      <c r="O572" s="7" t="inlineStr"/>
      <c r="P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/>
      <c r="K573" s="8" t="n"/>
      <c r="L573" s="7" t="inlineStr">
        <is>
          <t>SEM COTAÇÃO</t>
        </is>
      </c>
      <c r="M573" s="8" t="n"/>
      <c r="N573" s="14" t="n"/>
      <c r="O573" s="7" t="inlineStr"/>
      <c r="P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/>
      <c r="K574" s="8" t="n"/>
      <c r="L574" s="7" t="inlineStr">
        <is>
          <t>SEM COTAÇÃO</t>
        </is>
      </c>
      <c r="M574" s="8" t="n"/>
      <c r="N574" s="14" t="n"/>
      <c r="O574" s="7" t="inlineStr"/>
      <c r="P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/>
      <c r="K575" s="8" t="n"/>
      <c r="L575" s="7" t="inlineStr">
        <is>
          <t>SEM COTAÇÃO</t>
        </is>
      </c>
      <c r="M575" s="8" t="n"/>
      <c r="N575" s="14" t="n"/>
      <c r="O575" s="7" t="inlineStr"/>
      <c r="P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/>
      <c r="K576" s="8" t="n"/>
      <c r="L576" s="7" t="inlineStr">
        <is>
          <t>SEM COTAÇÃO</t>
        </is>
      </c>
      <c r="M576" s="8" t="n"/>
      <c r="N576" s="14" t="n"/>
      <c r="O576" s="7" t="inlineStr"/>
      <c r="P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/>
      <c r="K577" s="8" t="n"/>
      <c r="L577" s="7" t="inlineStr">
        <is>
          <t>SEM COTAÇÃO</t>
        </is>
      </c>
      <c r="M577" s="8" t="n"/>
      <c r="N577" s="14" t="n"/>
      <c r="O577" s="7" t="inlineStr"/>
      <c r="P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/>
      <c r="K578" s="8" t="n"/>
      <c r="L578" s="7" t="inlineStr">
        <is>
          <t>SEM COTAÇÃO</t>
        </is>
      </c>
      <c r="M578" s="8" t="n"/>
      <c r="N578" s="14" t="n"/>
      <c r="O578" s="7" t="inlineStr"/>
      <c r="P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/>
      <c r="K579" s="8" t="n"/>
      <c r="L579" s="7" t="inlineStr">
        <is>
          <t>SEM COTAÇÃO</t>
        </is>
      </c>
      <c r="M579" s="8" t="n"/>
      <c r="N579" s="14" t="n"/>
      <c r="O579" s="7" t="inlineStr"/>
      <c r="P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/>
      <c r="K580" s="8" t="n"/>
      <c r="L580" s="7" t="inlineStr">
        <is>
          <t>SEM COTAÇÃO</t>
        </is>
      </c>
      <c r="M580" s="8" t="n"/>
      <c r="N580" s="14" t="n"/>
      <c r="O580" s="7" t="inlineStr"/>
      <c r="P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/>
      <c r="K581" s="8" t="n"/>
      <c r="L581" s="7" t="inlineStr">
        <is>
          <t>SEM COTAÇÃO</t>
        </is>
      </c>
      <c r="M581" s="8" t="n"/>
      <c r="N581" s="14" t="n"/>
      <c r="O581" s="7" t="inlineStr"/>
      <c r="P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/>
      <c r="K582" s="8" t="n"/>
      <c r="L582" s="7" t="inlineStr">
        <is>
          <t>SEM COTAÇÃO</t>
        </is>
      </c>
      <c r="M582" s="8" t="n"/>
      <c r="N582" s="14" t="n"/>
      <c r="O582" s="7" t="inlineStr"/>
      <c r="P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/>
      <c r="K583" s="8" t="n"/>
      <c r="L583" s="7" t="inlineStr">
        <is>
          <t>SEM COTAÇÃO</t>
        </is>
      </c>
      <c r="M583" s="8" t="n"/>
      <c r="N583" s="14" t="n"/>
      <c r="O583" s="7" t="inlineStr"/>
      <c r="P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/>
      <c r="K584" s="8" t="n"/>
      <c r="L584" s="7" t="inlineStr">
        <is>
          <t>SEM COTAÇÃO</t>
        </is>
      </c>
      <c r="M584" s="8" t="n"/>
      <c r="N584" s="14" t="n"/>
      <c r="O584" s="7" t="inlineStr"/>
      <c r="P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/>
      <c r="K585" s="8" t="n"/>
      <c r="L585" s="7" t="inlineStr">
        <is>
          <t>SEM COTAÇÃO</t>
        </is>
      </c>
      <c r="M585" s="8" t="n"/>
      <c r="N585" s="14" t="n"/>
      <c r="O585" s="7" t="inlineStr"/>
      <c r="P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/>
      <c r="K586" s="8" t="n"/>
      <c r="L586" s="7" t="inlineStr">
        <is>
          <t>SEM COTAÇÃO</t>
        </is>
      </c>
      <c r="M586" s="8" t="n"/>
      <c r="N586" s="14" t="n"/>
      <c r="O586" s="7" t="inlineStr"/>
      <c r="P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/>
      <c r="K587" s="8" t="n"/>
      <c r="L587" s="7" t="inlineStr">
        <is>
          <t>SEM COTAÇÃO</t>
        </is>
      </c>
      <c r="M587" s="8" t="n"/>
      <c r="N587" s="14" t="n"/>
      <c r="O587" s="7" t="inlineStr"/>
      <c r="P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/>
      <c r="K588" s="8" t="n"/>
      <c r="L588" s="7" t="inlineStr">
        <is>
          <t>SEM COTAÇÃO</t>
        </is>
      </c>
      <c r="M588" s="8" t="n"/>
      <c r="N588" s="14" t="n"/>
      <c r="O588" s="7" t="inlineStr"/>
      <c r="P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/>
      <c r="K589" s="8" t="n"/>
      <c r="L589" s="7" t="inlineStr">
        <is>
          <t>SEM COTAÇÃO</t>
        </is>
      </c>
      <c r="M589" s="8" t="n"/>
      <c r="N589" s="14" t="n"/>
      <c r="O589" s="7" t="inlineStr"/>
      <c r="P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/>
      <c r="K590" s="8" t="n"/>
      <c r="L590" s="7" t="inlineStr">
        <is>
          <t>SEM COTAÇÃO</t>
        </is>
      </c>
      <c r="M590" s="8" t="n"/>
      <c r="N590" s="14" t="n"/>
      <c r="O590" s="7" t="inlineStr"/>
      <c r="P590" s="7" t="inlineStr"/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/>
      <c r="K591" s="8" t="n"/>
      <c r="L591" s="7" t="inlineStr">
        <is>
          <t>SEM COTAÇÃO</t>
        </is>
      </c>
      <c r="M591" s="8" t="n"/>
      <c r="N591" s="14" t="n"/>
      <c r="O591" s="7" t="inlineStr"/>
      <c r="P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/>
      <c r="K592" s="8" t="n"/>
      <c r="L592" s="7" t="inlineStr">
        <is>
          <t>SEM COTAÇÃO</t>
        </is>
      </c>
      <c r="M592" s="8" t="n"/>
      <c r="N592" s="14" t="n"/>
      <c r="O592" s="7" t="inlineStr"/>
      <c r="P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/>
      <c r="K593" s="8" t="n"/>
      <c r="L593" s="7" t="inlineStr">
        <is>
          <t>SEM COTAÇÃO</t>
        </is>
      </c>
      <c r="M593" s="8" t="n"/>
      <c r="N593" s="14" t="n"/>
      <c r="O593" s="7" t="inlineStr"/>
      <c r="P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/>
      <c r="K594" s="8" t="n"/>
      <c r="L594" s="7" t="inlineStr">
        <is>
          <t>SEM COTAÇÃO</t>
        </is>
      </c>
      <c r="M594" s="8" t="n"/>
      <c r="N594" s="14" t="n"/>
      <c r="O594" s="7" t="inlineStr"/>
      <c r="P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/>
      <c r="K595" s="8" t="n"/>
      <c r="L595" s="7" t="inlineStr">
        <is>
          <t>SEM COTAÇÃO</t>
        </is>
      </c>
      <c r="M595" s="8" t="n"/>
      <c r="N595" s="14" t="n"/>
      <c r="O595" s="7" t="inlineStr"/>
      <c r="P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/>
      <c r="K596" s="8" t="n"/>
      <c r="L596" s="7" t="inlineStr">
        <is>
          <t>SEM COTAÇÃO</t>
        </is>
      </c>
      <c r="M596" s="8" t="n"/>
      <c r="N596" s="14" t="n"/>
      <c r="O596" s="7" t="inlineStr"/>
      <c r="P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7" t="inlineStr">
        <is>
          <t>SEM COTAÇÃO</t>
        </is>
      </c>
      <c r="M597" s="8" t="n"/>
      <c r="N597" s="14" t="n"/>
      <c r="O597" s="7" t="inlineStr"/>
      <c r="P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/>
      <c r="K598" s="8" t="n"/>
      <c r="L598" s="7" t="inlineStr">
        <is>
          <t>SEM COTAÇÃO</t>
        </is>
      </c>
      <c r="M598" s="8" t="n"/>
      <c r="N598" s="14" t="n"/>
      <c r="O598" s="7" t="inlineStr"/>
      <c r="P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/>
      <c r="K599" s="8" t="n"/>
      <c r="L599" s="7" t="inlineStr">
        <is>
          <t>SEM COTAÇÃO</t>
        </is>
      </c>
      <c r="M599" s="8" t="n"/>
      <c r="N599" s="14" t="n"/>
      <c r="O599" s="7" t="inlineStr"/>
      <c r="P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/>
      <c r="K600" s="8" t="n"/>
      <c r="L600" s="7" t="inlineStr">
        <is>
          <t>SEM COTAÇÃO</t>
        </is>
      </c>
      <c r="M600" s="8" t="n"/>
      <c r="N600" s="14" t="n"/>
      <c r="O600" s="7" t="inlineStr"/>
      <c r="P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/>
      <c r="K601" s="8" t="n"/>
      <c r="L601" s="7" t="inlineStr">
        <is>
          <t>SEM COTAÇÃO</t>
        </is>
      </c>
      <c r="M601" s="8" t="n"/>
      <c r="N601" s="14" t="n"/>
      <c r="O601" s="7" t="inlineStr"/>
      <c r="P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/>
      <c r="K602" s="8" t="n"/>
      <c r="L602" s="7" t="inlineStr">
        <is>
          <t>SEM COTAÇÃO</t>
        </is>
      </c>
      <c r="M602" s="8" t="n"/>
      <c r="N602" s="14" t="n"/>
      <c r="O602" s="7" t="inlineStr"/>
      <c r="P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/>
      <c r="K603" s="8" t="n"/>
      <c r="L603" s="7" t="inlineStr">
        <is>
          <t>SEM COTAÇÃO</t>
        </is>
      </c>
      <c r="M603" s="8" t="n"/>
      <c r="N603" s="14" t="n"/>
      <c r="O603" s="7" t="inlineStr"/>
      <c r="P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/>
      <c r="K604" s="8" t="n"/>
      <c r="L604" s="7" t="inlineStr">
        <is>
          <t>SEM COTAÇÃO</t>
        </is>
      </c>
      <c r="M604" s="8" t="n"/>
      <c r="N604" s="14" t="n"/>
      <c r="O604" s="7" t="inlineStr"/>
      <c r="P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15" t="n">
        <v>12.92</v>
      </c>
      <c r="K605" s="8" t="n"/>
      <c r="L605" s="7" t="inlineStr">
        <is>
          <t>DIMEC</t>
        </is>
      </c>
      <c r="M605" s="8" t="n">
        <v>12.92</v>
      </c>
      <c r="N605" s="14">
        <f>M605/H605-1</f>
        <v/>
      </c>
      <c r="O605" s="17" t="inlineStr">
        <is>
          <t>OK (≤ menor hist.)</t>
        </is>
      </c>
      <c r="P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/>
      <c r="K606" s="8" t="n"/>
      <c r="L606" s="7" t="inlineStr">
        <is>
          <t>SEM COTAÇÃO</t>
        </is>
      </c>
      <c r="M606" s="8" t="n"/>
      <c r="N606" s="14" t="n"/>
      <c r="O606" s="7" t="inlineStr"/>
      <c r="P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15" t="n">
        <v>10.63</v>
      </c>
      <c r="K607" s="8" t="n"/>
      <c r="L607" s="7" t="inlineStr">
        <is>
          <t>DIMEC</t>
        </is>
      </c>
      <c r="M607" s="8" t="n">
        <v>10.63</v>
      </c>
      <c r="N607" s="14">
        <f>M607/H607-1</f>
        <v/>
      </c>
      <c r="O607" s="17" t="inlineStr">
        <is>
          <t>OK (≤ menor hist.)</t>
        </is>
      </c>
      <c r="P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/>
      <c r="K608" s="8" t="n"/>
      <c r="L608" s="7" t="inlineStr">
        <is>
          <t>SEM COTAÇÃO</t>
        </is>
      </c>
      <c r="M608" s="8" t="n"/>
      <c r="N608" s="14" t="n"/>
      <c r="O608" s="7" t="inlineStr"/>
      <c r="P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7" t="inlineStr">
        <is>
          <t>SEM COTAÇÃO</t>
        </is>
      </c>
      <c r="M609" s="8" t="n"/>
      <c r="N609" s="14" t="n"/>
      <c r="O609" s="7" t="inlineStr"/>
      <c r="P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/>
      <c r="K610" s="8" t="n"/>
      <c r="L610" s="7" t="inlineStr">
        <is>
          <t>SEM COTAÇÃO</t>
        </is>
      </c>
      <c r="M610" s="8" t="n"/>
      <c r="N610" s="14" t="n"/>
      <c r="O610" s="7" t="inlineStr"/>
      <c r="P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/>
      <c r="K611" s="8" t="n"/>
      <c r="L611" s="7" t="inlineStr">
        <is>
          <t>SEM COTAÇÃO</t>
        </is>
      </c>
      <c r="M611" s="8" t="n"/>
      <c r="N611" s="14" t="n"/>
      <c r="O611" s="7" t="inlineStr"/>
      <c r="P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/>
      <c r="K612" s="8" t="n"/>
      <c r="L612" s="7" t="inlineStr">
        <is>
          <t>SEM COTAÇÃO</t>
        </is>
      </c>
      <c r="M612" s="8" t="n"/>
      <c r="N612" s="14" t="n"/>
      <c r="O612" s="7" t="inlineStr"/>
      <c r="P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7" t="inlineStr">
        <is>
          <t>SEM COTAÇÃO</t>
        </is>
      </c>
      <c r="M613" s="8" t="n"/>
      <c r="N613" s="14" t="n"/>
      <c r="O613" s="7" t="inlineStr"/>
      <c r="P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/>
      <c r="K614" s="8" t="n"/>
      <c r="L614" s="7" t="inlineStr">
        <is>
          <t>SEM COTAÇÃO</t>
        </is>
      </c>
      <c r="M614" s="8" t="n"/>
      <c r="N614" s="14" t="n"/>
      <c r="O614" s="7" t="inlineStr"/>
      <c r="P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7" t="inlineStr">
        <is>
          <t>SEM COTAÇÃO</t>
        </is>
      </c>
      <c r="M615" s="8" t="n"/>
      <c r="N615" s="14" t="n"/>
      <c r="O615" s="7" t="inlineStr"/>
      <c r="P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7" t="inlineStr">
        <is>
          <t>SEM COTAÇÃO</t>
        </is>
      </c>
      <c r="M616" s="8" t="n"/>
      <c r="N616" s="14" t="n"/>
      <c r="O616" s="7" t="inlineStr"/>
      <c r="P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/>
      <c r="K617" s="8" t="n"/>
      <c r="L617" s="7" t="inlineStr">
        <is>
          <t>SEM COTAÇÃO</t>
        </is>
      </c>
      <c r="M617" s="8" t="n"/>
      <c r="N617" s="14" t="n"/>
      <c r="O617" s="7" t="inlineStr"/>
      <c r="P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/>
      <c r="K618" s="8" t="n"/>
      <c r="L618" s="7" t="inlineStr">
        <is>
          <t>SEM COTAÇÃO</t>
        </is>
      </c>
      <c r="M618" s="8" t="n"/>
      <c r="N618" s="14" t="n"/>
      <c r="O618" s="7" t="inlineStr"/>
      <c r="P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/>
      <c r="K619" s="8" t="n"/>
      <c r="L619" s="7" t="inlineStr">
        <is>
          <t>SEM COTAÇÃO</t>
        </is>
      </c>
      <c r="M619" s="8" t="n"/>
      <c r="N619" s="14" t="n"/>
      <c r="O619" s="7" t="inlineStr"/>
      <c r="P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/>
      <c r="K620" s="8" t="n"/>
      <c r="L620" s="7" t="inlineStr">
        <is>
          <t>SEM COTAÇÃO</t>
        </is>
      </c>
      <c r="M620" s="8" t="n"/>
      <c r="N620" s="14" t="n"/>
      <c r="O620" s="7" t="inlineStr"/>
      <c r="P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/>
      <c r="K621" s="8" t="n"/>
      <c r="L621" s="7" t="inlineStr">
        <is>
          <t>SEM COTAÇÃO</t>
        </is>
      </c>
      <c r="M621" s="8" t="n"/>
      <c r="N621" s="14" t="n"/>
      <c r="O621" s="7" t="inlineStr"/>
      <c r="P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/>
      <c r="K622" s="8" t="n"/>
      <c r="L622" s="7" t="inlineStr">
        <is>
          <t>SEM COTAÇÃO</t>
        </is>
      </c>
      <c r="M622" s="8" t="n"/>
      <c r="N622" s="14" t="n"/>
      <c r="O622" s="7" t="inlineStr"/>
      <c r="P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15" t="n">
        <v>3.58</v>
      </c>
      <c r="K623" s="8" t="n"/>
      <c r="L623" s="7" t="inlineStr">
        <is>
          <t>DIMEC</t>
        </is>
      </c>
      <c r="M623" s="8" t="n">
        <v>3.58</v>
      </c>
      <c r="N623" s="14">
        <f>M623/H623-1</f>
        <v/>
      </c>
      <c r="O623" s="17" t="inlineStr">
        <is>
          <t>OK (≤ menor hist.)</t>
        </is>
      </c>
      <c r="P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/>
      <c r="K624" s="8" t="n"/>
      <c r="L624" s="7" t="inlineStr">
        <is>
          <t>SEM COTAÇÃO</t>
        </is>
      </c>
      <c r="M624" s="8" t="n"/>
      <c r="N624" s="14" t="n"/>
      <c r="O624" s="7" t="inlineStr"/>
      <c r="P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/>
      <c r="K625" s="8" t="n"/>
      <c r="L625" s="7" t="inlineStr">
        <is>
          <t>SEM COTAÇÃO</t>
        </is>
      </c>
      <c r="M625" s="8" t="n"/>
      <c r="N625" s="14" t="n"/>
      <c r="O625" s="7" t="inlineStr"/>
      <c r="P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15" t="n">
        <v>5.63</v>
      </c>
      <c r="K626" s="8" t="n"/>
      <c r="L626" s="7" t="inlineStr">
        <is>
          <t>DIMEC</t>
        </is>
      </c>
      <c r="M626" s="8" t="n">
        <v>5.63</v>
      </c>
      <c r="N626" s="14">
        <f>M626/H626-1</f>
        <v/>
      </c>
      <c r="O626" s="17" t="inlineStr">
        <is>
          <t>OK (≤ menor hist.)</t>
        </is>
      </c>
      <c r="P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/>
      <c r="K627" s="8" t="n"/>
      <c r="L627" s="7" t="inlineStr">
        <is>
          <t>SEM COTAÇÃO</t>
        </is>
      </c>
      <c r="M627" s="8" t="n"/>
      <c r="N627" s="14" t="n"/>
      <c r="O627" s="7" t="inlineStr"/>
      <c r="P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/>
      <c r="K628" s="8" t="n"/>
      <c r="L628" s="7" t="inlineStr">
        <is>
          <t>SEM COTAÇÃO</t>
        </is>
      </c>
      <c r="M628" s="8" t="n"/>
      <c r="N628" s="14" t="n"/>
      <c r="O628" s="7" t="inlineStr"/>
      <c r="P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/>
      <c r="K629" s="8" t="n"/>
      <c r="L629" s="7" t="inlineStr">
        <is>
          <t>SEM COTAÇÃO</t>
        </is>
      </c>
      <c r="M629" s="8" t="n"/>
      <c r="N629" s="14" t="n"/>
      <c r="O629" s="7" t="inlineStr"/>
      <c r="P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62.18</v>
      </c>
      <c r="K630" s="15" t="n">
        <v>61.3</v>
      </c>
      <c r="L630" s="7" t="inlineStr">
        <is>
          <t>PLUSFARMA</t>
        </is>
      </c>
      <c r="M630" s="8" t="n">
        <v>61.3</v>
      </c>
      <c r="N630" s="14">
        <f>M630/H630-1</f>
        <v/>
      </c>
      <c r="O630" s="16" t="inlineStr">
        <is>
          <t>ACIMA +21.2%</t>
        </is>
      </c>
      <c r="P630" s="7" t="inlineStr"/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7" t="inlineStr">
        <is>
          <t>SEM COTAÇÃO</t>
        </is>
      </c>
      <c r="M631" s="8" t="n"/>
      <c r="N631" s="14" t="n"/>
      <c r="O631" s="7" t="inlineStr"/>
      <c r="P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/>
      <c r="K632" s="8" t="n"/>
      <c r="L632" s="7" t="inlineStr">
        <is>
          <t>SEM COTAÇÃO</t>
        </is>
      </c>
      <c r="M632" s="8" t="n"/>
      <c r="N632" s="14" t="n"/>
      <c r="O632" s="7" t="inlineStr"/>
      <c r="P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/>
      <c r="K633" s="8" t="n"/>
      <c r="L633" s="7" t="inlineStr">
        <is>
          <t>SEM COTAÇÃO</t>
        </is>
      </c>
      <c r="M633" s="8" t="n"/>
      <c r="N633" s="14" t="n"/>
      <c r="O633" s="7" t="inlineStr"/>
      <c r="P633" s="7" t="inlineStr"/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/>
      <c r="K634" s="8" t="n"/>
      <c r="L634" s="7" t="inlineStr">
        <is>
          <t>SEM COTAÇÃO</t>
        </is>
      </c>
      <c r="M634" s="8" t="n"/>
      <c r="N634" s="14" t="n"/>
      <c r="O634" s="7" t="inlineStr"/>
      <c r="P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/>
      <c r="K635" s="8" t="n"/>
      <c r="L635" s="7" t="inlineStr">
        <is>
          <t>SEM COTAÇÃO</t>
        </is>
      </c>
      <c r="M635" s="8" t="n"/>
      <c r="N635" s="14" t="n"/>
      <c r="O635" s="7" t="inlineStr"/>
      <c r="P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/>
      <c r="K636" s="8" t="n"/>
      <c r="L636" s="7" t="inlineStr">
        <is>
          <t>SEM COTAÇÃO</t>
        </is>
      </c>
      <c r="M636" s="8" t="n"/>
      <c r="N636" s="14" t="n"/>
      <c r="O636" s="7" t="inlineStr"/>
      <c r="P636" s="7" t="inlineStr"/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/>
      <c r="K637" s="8" t="n"/>
      <c r="L637" s="7" t="inlineStr">
        <is>
          <t>SEM COTAÇÃO</t>
        </is>
      </c>
      <c r="M637" s="8" t="n"/>
      <c r="N637" s="14" t="n"/>
      <c r="O637" s="7" t="inlineStr"/>
      <c r="P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/>
      <c r="K638" s="8" t="n"/>
      <c r="L638" s="7" t="inlineStr">
        <is>
          <t>SEM COTAÇÃO</t>
        </is>
      </c>
      <c r="M638" s="8" t="n"/>
      <c r="N638" s="14" t="n"/>
      <c r="O638" s="7" t="inlineStr"/>
      <c r="P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/>
      <c r="K639" s="8" t="n"/>
      <c r="L639" s="7" t="inlineStr">
        <is>
          <t>SEM COTAÇÃO</t>
        </is>
      </c>
      <c r="M639" s="8" t="n"/>
      <c r="N639" s="14" t="n"/>
      <c r="O639" s="7" t="inlineStr"/>
      <c r="P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/>
      <c r="K640" s="8" t="n"/>
      <c r="L640" s="7" t="inlineStr">
        <is>
          <t>SEM COTAÇÃO</t>
        </is>
      </c>
      <c r="M640" s="8" t="n"/>
      <c r="N640" s="14" t="n"/>
      <c r="O640" s="7" t="inlineStr"/>
      <c r="P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/>
      <c r="K641" s="8" t="n"/>
      <c r="L641" s="7" t="inlineStr">
        <is>
          <t>SEM COTAÇÃO</t>
        </is>
      </c>
      <c r="M641" s="8" t="n"/>
      <c r="N641" s="14" t="n"/>
      <c r="O641" s="7" t="inlineStr"/>
      <c r="P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15" t="n">
        <v>8.9</v>
      </c>
      <c r="K642" s="8" t="n"/>
      <c r="L642" s="7" t="inlineStr">
        <is>
          <t>DIMEC</t>
        </is>
      </c>
      <c r="M642" s="8" t="n">
        <v>8.9</v>
      </c>
      <c r="N642" s="14">
        <f>M642/H642-1</f>
        <v/>
      </c>
      <c r="O642" s="16" t="inlineStr">
        <is>
          <t>ACIMA +4.0%</t>
        </is>
      </c>
      <c r="P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/>
      <c r="K643" s="8" t="n"/>
      <c r="L643" s="7" t="inlineStr">
        <is>
          <t>SEM COTAÇÃO</t>
        </is>
      </c>
      <c r="M643" s="8" t="n"/>
      <c r="N643" s="14" t="n"/>
      <c r="O643" s="7" t="inlineStr"/>
      <c r="P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/>
      <c r="K644" s="8" t="n"/>
      <c r="L644" s="7" t="inlineStr">
        <is>
          <t>SEM COTAÇÃO</t>
        </is>
      </c>
      <c r="M644" s="8" t="n"/>
      <c r="N644" s="14" t="n"/>
      <c r="O644" s="7" t="inlineStr"/>
      <c r="P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/>
      <c r="K645" s="8" t="n"/>
      <c r="L645" s="7" t="inlineStr">
        <is>
          <t>SEM COTAÇÃO</t>
        </is>
      </c>
      <c r="M645" s="8" t="n"/>
      <c r="N645" s="14" t="n"/>
      <c r="O645" s="7" t="inlineStr"/>
      <c r="P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/>
      <c r="K646" s="8" t="n"/>
      <c r="L646" s="7" t="inlineStr">
        <is>
          <t>SEM COTAÇÃO</t>
        </is>
      </c>
      <c r="M646" s="8" t="n"/>
      <c r="N646" s="14" t="n"/>
      <c r="O646" s="7" t="inlineStr"/>
      <c r="P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/>
      <c r="K647" s="8" t="n"/>
      <c r="L647" s="7" t="inlineStr">
        <is>
          <t>SEM COTAÇÃO</t>
        </is>
      </c>
      <c r="M647" s="8" t="n"/>
      <c r="N647" s="14" t="n"/>
      <c r="O647" s="7" t="inlineStr"/>
      <c r="P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/>
      <c r="K648" s="8" t="n"/>
      <c r="L648" s="7" t="inlineStr">
        <is>
          <t>SEM COTAÇÃO</t>
        </is>
      </c>
      <c r="M648" s="8" t="n"/>
      <c r="N648" s="14" t="n"/>
      <c r="O648" s="7" t="inlineStr"/>
      <c r="P648" s="7" t="inlineStr"/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/>
      <c r="K649" s="8" t="n"/>
      <c r="L649" s="7" t="inlineStr">
        <is>
          <t>SEM COTAÇÃO</t>
        </is>
      </c>
      <c r="M649" s="8" t="n"/>
      <c r="N649" s="14" t="n"/>
      <c r="O649" s="7" t="inlineStr"/>
      <c r="P649" s="7" t="inlineStr"/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15" t="n">
        <v>4.04</v>
      </c>
      <c r="K650" s="8" t="n"/>
      <c r="L650" s="7" t="inlineStr">
        <is>
          <t>DIMEC</t>
        </is>
      </c>
      <c r="M650" s="8" t="n">
        <v>4.04</v>
      </c>
      <c r="N650" s="14">
        <f>M650/H650-1</f>
        <v/>
      </c>
      <c r="O650" s="17" t="inlineStr">
        <is>
          <t>OK (≤ menor hist.)</t>
        </is>
      </c>
      <c r="P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/>
      <c r="K651" s="8" t="n"/>
      <c r="L651" s="7" t="inlineStr">
        <is>
          <t>SEM COTAÇÃO</t>
        </is>
      </c>
      <c r="M651" s="8" t="n"/>
      <c r="N651" s="14" t="n"/>
      <c r="O651" s="7" t="inlineStr"/>
      <c r="P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15" t="n">
        <v>3.62</v>
      </c>
      <c r="K652" s="8" t="n"/>
      <c r="L652" s="7" t="inlineStr">
        <is>
          <t>DIMEC</t>
        </is>
      </c>
      <c r="M652" s="8" t="n">
        <v>3.62</v>
      </c>
      <c r="N652" s="14">
        <f>M652/H652-1</f>
        <v/>
      </c>
      <c r="O652" s="16" t="inlineStr">
        <is>
          <t>ACIMA +20.7%</t>
        </is>
      </c>
      <c r="P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/>
      <c r="K653" s="8" t="n"/>
      <c r="L653" s="7" t="inlineStr">
        <is>
          <t>SEM COTAÇÃO</t>
        </is>
      </c>
      <c r="M653" s="8" t="n"/>
      <c r="N653" s="14" t="n"/>
      <c r="O653" s="7" t="inlineStr"/>
      <c r="P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/>
      <c r="K654" s="8" t="n"/>
      <c r="L654" s="7" t="inlineStr">
        <is>
          <t>SEM COTAÇÃO</t>
        </is>
      </c>
      <c r="M654" s="8" t="n"/>
      <c r="N654" s="14" t="n"/>
      <c r="O654" s="7" t="inlineStr"/>
      <c r="P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7" t="inlineStr">
        <is>
          <t>SEM COTAÇÃO</t>
        </is>
      </c>
      <c r="M655" s="8" t="n"/>
      <c r="N655" s="14" t="n"/>
      <c r="O655" s="7" t="inlineStr"/>
      <c r="P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7" t="inlineStr">
        <is>
          <t>SEM COTAÇÃO</t>
        </is>
      </c>
      <c r="M656" s="8" t="n"/>
      <c r="N656" s="14" t="n"/>
      <c r="O656" s="7" t="inlineStr"/>
      <c r="P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/>
      <c r="K657" s="8" t="n"/>
      <c r="L657" s="7" t="inlineStr">
        <is>
          <t>SEM COTAÇÃO</t>
        </is>
      </c>
      <c r="M657" s="8" t="n"/>
      <c r="N657" s="14" t="n"/>
      <c r="O657" s="7" t="inlineStr"/>
      <c r="P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/>
      <c r="K658" s="8" t="n"/>
      <c r="L658" s="7" t="inlineStr">
        <is>
          <t>SEM COTAÇÃO</t>
        </is>
      </c>
      <c r="M658" s="8" t="n"/>
      <c r="N658" s="14" t="n"/>
      <c r="O658" s="7" t="inlineStr"/>
      <c r="P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/>
      <c r="K659" s="8" t="n"/>
      <c r="L659" s="7" t="inlineStr">
        <is>
          <t>SEM COTAÇÃO</t>
        </is>
      </c>
      <c r="M659" s="8" t="n"/>
      <c r="N659" s="14" t="n"/>
      <c r="O659" s="7" t="inlineStr"/>
      <c r="P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7" t="inlineStr">
        <is>
          <t>SEM COTAÇÃO</t>
        </is>
      </c>
      <c r="M660" s="8" t="n"/>
      <c r="N660" s="14" t="n"/>
      <c r="O660" s="7" t="inlineStr"/>
      <c r="P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/>
      <c r="K661" s="8" t="n"/>
      <c r="L661" s="7" t="inlineStr">
        <is>
          <t>SEM COTAÇÃO</t>
        </is>
      </c>
      <c r="M661" s="8" t="n"/>
      <c r="N661" s="14" t="n"/>
      <c r="O661" s="7" t="inlineStr"/>
      <c r="P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7" t="inlineStr">
        <is>
          <t>SEM COTAÇÃO</t>
        </is>
      </c>
      <c r="M662" s="8" t="n"/>
      <c r="N662" s="14" t="n"/>
      <c r="O662" s="7" t="inlineStr"/>
      <c r="P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7" t="inlineStr">
        <is>
          <t>SEM COTAÇÃO</t>
        </is>
      </c>
      <c r="M663" s="8" t="n"/>
      <c r="N663" s="14" t="n"/>
      <c r="O663" s="7" t="inlineStr"/>
      <c r="P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/>
      <c r="K664" s="8" t="n"/>
      <c r="L664" s="7" t="inlineStr">
        <is>
          <t>SEM COTAÇÃO</t>
        </is>
      </c>
      <c r="M664" s="8" t="n"/>
      <c r="N664" s="14" t="n"/>
      <c r="O664" s="7" t="inlineStr"/>
      <c r="P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/>
      <c r="K665" s="8" t="n"/>
      <c r="L665" s="7" t="inlineStr">
        <is>
          <t>SEM COTAÇÃO</t>
        </is>
      </c>
      <c r="M665" s="8" t="n"/>
      <c r="N665" s="14" t="n"/>
      <c r="O665" s="7" t="inlineStr"/>
      <c r="P665" s="7" t="inlineStr"/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/>
      <c r="K666" s="8" t="n"/>
      <c r="L666" s="7" t="inlineStr">
        <is>
          <t>SEM COTAÇÃO</t>
        </is>
      </c>
      <c r="M666" s="8" t="n"/>
      <c r="N666" s="14" t="n"/>
      <c r="O666" s="7" t="inlineStr"/>
      <c r="P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/>
      <c r="K667" s="8" t="n"/>
      <c r="L667" s="7" t="inlineStr">
        <is>
          <t>SEM COTAÇÃO</t>
        </is>
      </c>
      <c r="M667" s="8" t="n"/>
      <c r="N667" s="14" t="n"/>
      <c r="O667" s="7" t="inlineStr"/>
      <c r="P667" s="7" t="inlineStr"/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/>
      <c r="K668" s="8" t="n"/>
      <c r="L668" s="7" t="inlineStr">
        <is>
          <t>SEM COTAÇÃO</t>
        </is>
      </c>
      <c r="M668" s="8" t="n"/>
      <c r="N668" s="14" t="n"/>
      <c r="O668" s="7" t="inlineStr"/>
      <c r="P668" s="7" t="inlineStr"/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/>
      <c r="K669" s="8" t="n"/>
      <c r="L669" s="7" t="inlineStr">
        <is>
          <t>SEM COTAÇÃO</t>
        </is>
      </c>
      <c r="M669" s="8" t="n"/>
      <c r="N669" s="14" t="n"/>
      <c r="O669" s="7" t="inlineStr"/>
      <c r="P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/>
      <c r="K670" s="8" t="n"/>
      <c r="L670" s="7" t="inlineStr">
        <is>
          <t>SEM COTAÇÃO</t>
        </is>
      </c>
      <c r="M670" s="8" t="n"/>
      <c r="N670" s="14" t="n"/>
      <c r="O670" s="7" t="inlineStr"/>
      <c r="P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/>
      <c r="K671" s="8" t="n"/>
      <c r="L671" s="7" t="inlineStr">
        <is>
          <t>SEM COTAÇÃO</t>
        </is>
      </c>
      <c r="M671" s="8" t="n"/>
      <c r="N671" s="14" t="n"/>
      <c r="O671" s="7" t="inlineStr"/>
      <c r="P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/>
      <c r="K672" s="8" t="n"/>
      <c r="L672" s="7" t="inlineStr">
        <is>
          <t>SEM COTAÇÃO</t>
        </is>
      </c>
      <c r="M672" s="8" t="n"/>
      <c r="N672" s="14" t="n"/>
      <c r="O672" s="7" t="inlineStr"/>
      <c r="P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/>
      <c r="K673" s="8" t="n"/>
      <c r="L673" s="7" t="inlineStr">
        <is>
          <t>SEM COTAÇÃO</t>
        </is>
      </c>
      <c r="M673" s="8" t="n"/>
      <c r="N673" s="14" t="n"/>
      <c r="O673" s="7" t="inlineStr"/>
      <c r="P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7" t="inlineStr">
        <is>
          <t>SEM COTAÇÃO</t>
        </is>
      </c>
      <c r="M674" s="8" t="n"/>
      <c r="N674" s="14" t="n"/>
      <c r="O674" s="7" t="inlineStr"/>
      <c r="P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/>
      <c r="K675" s="8" t="n"/>
      <c r="L675" s="7" t="inlineStr">
        <is>
          <t>SEM COTAÇÃO</t>
        </is>
      </c>
      <c r="M675" s="8" t="n"/>
      <c r="N675" s="14" t="n"/>
      <c r="O675" s="7" t="inlineStr"/>
      <c r="P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/>
      <c r="K676" s="8" t="n"/>
      <c r="L676" s="7" t="inlineStr">
        <is>
          <t>SEM COTAÇÃO</t>
        </is>
      </c>
      <c r="M676" s="8" t="n"/>
      <c r="N676" s="14" t="n"/>
      <c r="O676" s="7" t="inlineStr"/>
      <c r="P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/>
      <c r="K677" s="8" t="n"/>
      <c r="L677" s="7" t="inlineStr">
        <is>
          <t>SEM COTAÇÃO</t>
        </is>
      </c>
      <c r="M677" s="8" t="n"/>
      <c r="N677" s="14" t="n"/>
      <c r="O677" s="7" t="inlineStr"/>
      <c r="P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/>
      <c r="K678" s="8" t="n"/>
      <c r="L678" s="7" t="inlineStr">
        <is>
          <t>SEM COTAÇÃO</t>
        </is>
      </c>
      <c r="M678" s="8" t="n"/>
      <c r="N678" s="14" t="n"/>
      <c r="O678" s="7" t="inlineStr"/>
      <c r="P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/>
      <c r="K679" s="8" t="n"/>
      <c r="L679" s="7" t="inlineStr">
        <is>
          <t>SEM COTAÇÃO</t>
        </is>
      </c>
      <c r="M679" s="8" t="n"/>
      <c r="N679" s="14" t="n"/>
      <c r="O679" s="7" t="inlineStr"/>
      <c r="P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/>
      <c r="K680" s="8" t="n"/>
      <c r="L680" s="7" t="inlineStr">
        <is>
          <t>SEM COTAÇÃO</t>
        </is>
      </c>
      <c r="M680" s="8" t="n"/>
      <c r="N680" s="14" t="n"/>
      <c r="O680" s="7" t="inlineStr"/>
      <c r="P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/>
      <c r="K681" s="8" t="n"/>
      <c r="L681" s="7" t="inlineStr">
        <is>
          <t>SEM COTAÇÃO</t>
        </is>
      </c>
      <c r="M681" s="8" t="n"/>
      <c r="N681" s="14" t="n"/>
      <c r="O681" s="7" t="inlineStr"/>
      <c r="P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/>
      <c r="K682" s="8" t="n"/>
      <c r="L682" s="7" t="inlineStr">
        <is>
          <t>SEM COTAÇÃO</t>
        </is>
      </c>
      <c r="M682" s="8" t="n"/>
      <c r="N682" s="14" t="n"/>
      <c r="O682" s="7" t="inlineStr"/>
      <c r="P682" s="7" t="inlineStr"/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/>
      <c r="K683" s="8" t="n"/>
      <c r="L683" s="7" t="inlineStr">
        <is>
          <t>SEM COTAÇÃO</t>
        </is>
      </c>
      <c r="M683" s="8" t="n"/>
      <c r="N683" s="14" t="n"/>
      <c r="O683" s="7" t="inlineStr"/>
      <c r="P683" s="7" t="inlineStr"/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/>
      <c r="K684" s="8" t="n"/>
      <c r="L684" s="7" t="inlineStr">
        <is>
          <t>SEM COTAÇÃO</t>
        </is>
      </c>
      <c r="M684" s="8" t="n"/>
      <c r="N684" s="14" t="n"/>
      <c r="O684" s="7" t="inlineStr"/>
      <c r="P684" s="7" t="inlineStr"/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/>
      <c r="K685" s="8" t="n"/>
      <c r="L685" s="7" t="inlineStr">
        <is>
          <t>SEM COTAÇÃO</t>
        </is>
      </c>
      <c r="M685" s="8" t="n"/>
      <c r="N685" s="14" t="n"/>
      <c r="O685" s="7" t="inlineStr"/>
      <c r="P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/>
      <c r="K686" s="8" t="n"/>
      <c r="L686" s="7" t="inlineStr">
        <is>
          <t>SEM COTAÇÃO</t>
        </is>
      </c>
      <c r="M686" s="8" t="n"/>
      <c r="N686" s="14" t="n"/>
      <c r="O686" s="7" t="inlineStr"/>
      <c r="P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/>
      <c r="K687" s="8" t="n"/>
      <c r="L687" s="7" t="inlineStr">
        <is>
          <t>SEM COTAÇÃO</t>
        </is>
      </c>
      <c r="M687" s="8" t="n"/>
      <c r="N687" s="14" t="n"/>
      <c r="O687" s="7" t="inlineStr"/>
      <c r="P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/>
      <c r="K688" s="8" t="n"/>
      <c r="L688" s="7" t="inlineStr">
        <is>
          <t>SEM COTAÇÃO</t>
        </is>
      </c>
      <c r="M688" s="8" t="n"/>
      <c r="N688" s="14" t="n"/>
      <c r="O688" s="7" t="inlineStr"/>
      <c r="P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/>
      <c r="K689" s="8" t="n"/>
      <c r="L689" s="7" t="inlineStr">
        <is>
          <t>SEM COTAÇÃO</t>
        </is>
      </c>
      <c r="M689" s="8" t="n"/>
      <c r="N689" s="14" t="n"/>
      <c r="O689" s="7" t="inlineStr"/>
      <c r="P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/>
      <c r="K690" s="8" t="n"/>
      <c r="L690" s="7" t="inlineStr">
        <is>
          <t>SEM COTAÇÃO</t>
        </is>
      </c>
      <c r="M690" s="8" t="n"/>
      <c r="N690" s="14" t="n"/>
      <c r="O690" s="7" t="inlineStr"/>
      <c r="P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/>
      <c r="K691" s="8" t="n"/>
      <c r="L691" s="7" t="inlineStr">
        <is>
          <t>SEM COTAÇÃO</t>
        </is>
      </c>
      <c r="M691" s="8" t="n"/>
      <c r="N691" s="14" t="n"/>
      <c r="O691" s="7" t="inlineStr"/>
      <c r="P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/>
      <c r="K692" s="8" t="n"/>
      <c r="L692" s="7" t="inlineStr">
        <is>
          <t>SEM COTAÇÃO</t>
        </is>
      </c>
      <c r="M692" s="8" t="n"/>
      <c r="N692" s="14" t="n"/>
      <c r="O692" s="7" t="inlineStr"/>
      <c r="P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/>
      <c r="K693" s="8" t="n"/>
      <c r="L693" s="7" t="inlineStr">
        <is>
          <t>SEM COTAÇÃO</t>
        </is>
      </c>
      <c r="M693" s="8" t="n"/>
      <c r="N693" s="14" t="n"/>
      <c r="O693" s="7" t="inlineStr"/>
      <c r="P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/>
      <c r="K694" s="8" t="n"/>
      <c r="L694" s="7" t="inlineStr">
        <is>
          <t>SEM COTAÇÃO</t>
        </is>
      </c>
      <c r="M694" s="8" t="n"/>
      <c r="N694" s="14" t="n"/>
      <c r="O694" s="7" t="inlineStr"/>
      <c r="P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/>
      <c r="K695" s="8" t="n"/>
      <c r="L695" s="7" t="inlineStr">
        <is>
          <t>SEM COTAÇÃO</t>
        </is>
      </c>
      <c r="M695" s="8" t="n"/>
      <c r="N695" s="14" t="n"/>
      <c r="O695" s="7" t="inlineStr"/>
      <c r="P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/>
      <c r="K696" s="8" t="n"/>
      <c r="L696" s="7" t="inlineStr">
        <is>
          <t>SEM COTAÇÃO</t>
        </is>
      </c>
      <c r="M696" s="8" t="n"/>
      <c r="N696" s="14" t="n"/>
      <c r="O696" s="7" t="inlineStr"/>
      <c r="P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/>
      <c r="K697" s="8" t="n"/>
      <c r="L697" s="7" t="inlineStr">
        <is>
          <t>SEM COTAÇÃO</t>
        </is>
      </c>
      <c r="M697" s="8" t="n"/>
      <c r="N697" s="14" t="n"/>
      <c r="O697" s="7" t="inlineStr"/>
      <c r="P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15" t="n">
        <v>9.789999999999999</v>
      </c>
      <c r="K698" s="8" t="n"/>
      <c r="L698" s="7" t="inlineStr">
        <is>
          <t>DIMEC</t>
        </is>
      </c>
      <c r="M698" s="8" t="n">
        <v>9.789999999999999</v>
      </c>
      <c r="N698" s="14">
        <f>M698/H698-1</f>
        <v/>
      </c>
      <c r="O698" s="16" t="inlineStr">
        <is>
          <t>ACIMA +4.1%</t>
        </is>
      </c>
      <c r="P698" s="7" t="inlineStr"/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/>
      <c r="K699" s="8" t="n"/>
      <c r="L699" s="7" t="inlineStr">
        <is>
          <t>SEM COTAÇÃO</t>
        </is>
      </c>
      <c r="M699" s="8" t="n"/>
      <c r="N699" s="14" t="n"/>
      <c r="O699" s="7" t="inlineStr"/>
      <c r="P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/>
      <c r="K700" s="8" t="n"/>
      <c r="L700" s="7" t="inlineStr">
        <is>
          <t>SEM COTAÇÃO</t>
        </is>
      </c>
      <c r="M700" s="8" t="n"/>
      <c r="N700" s="14" t="n"/>
      <c r="O700" s="7" t="inlineStr"/>
      <c r="P700" s="7" t="inlineStr"/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/>
      <c r="K701" s="8" t="n"/>
      <c r="L701" s="7" t="inlineStr">
        <is>
          <t>SEM COTAÇÃO</t>
        </is>
      </c>
      <c r="M701" s="8" t="n"/>
      <c r="N701" s="14" t="n"/>
      <c r="O701" s="7" t="inlineStr"/>
      <c r="P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/>
      <c r="K702" s="8" t="n"/>
      <c r="L702" s="7" t="inlineStr">
        <is>
          <t>SEM COTAÇÃO</t>
        </is>
      </c>
      <c r="M702" s="8" t="n"/>
      <c r="N702" s="14" t="n"/>
      <c r="O702" s="7" t="inlineStr"/>
      <c r="P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/>
      <c r="K703" s="8" t="n"/>
      <c r="L703" s="7" t="inlineStr">
        <is>
          <t>SEM COTAÇÃO</t>
        </is>
      </c>
      <c r="M703" s="8" t="n"/>
      <c r="N703" s="14" t="n"/>
      <c r="O703" s="7" t="inlineStr"/>
      <c r="P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/>
      <c r="K704" s="8" t="n"/>
      <c r="L704" s="7" t="inlineStr">
        <is>
          <t>SEM COTAÇÃO</t>
        </is>
      </c>
      <c r="M704" s="8" t="n"/>
      <c r="N704" s="14" t="n"/>
      <c r="O704" s="7" t="inlineStr"/>
      <c r="P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15" t="n">
        <v>28.48981</v>
      </c>
      <c r="K705" s="8" t="n"/>
      <c r="L705" s="7" t="inlineStr">
        <is>
          <t>DIMEC</t>
        </is>
      </c>
      <c r="M705" s="8" t="n">
        <v>28.48981</v>
      </c>
      <c r="N705" s="14">
        <f>M705/H705-1</f>
        <v/>
      </c>
      <c r="O705" s="16" t="inlineStr">
        <is>
          <t>ACIMA +6.1%</t>
        </is>
      </c>
      <c r="P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7" t="inlineStr">
        <is>
          <t>SEM COTAÇÃO</t>
        </is>
      </c>
      <c r="M706" s="8" t="n"/>
      <c r="N706" s="14" t="n"/>
      <c r="O706" s="7" t="inlineStr"/>
      <c r="P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7" t="inlineStr">
        <is>
          <t>SEM COTAÇÃO</t>
        </is>
      </c>
      <c r="M707" s="8" t="n"/>
      <c r="N707" s="14" t="n"/>
      <c r="O707" s="7" t="inlineStr"/>
      <c r="P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7" t="inlineStr">
        <is>
          <t>SEM COTAÇÃO</t>
        </is>
      </c>
      <c r="M708" s="8" t="n"/>
      <c r="N708" s="14" t="n"/>
      <c r="O708" s="7" t="inlineStr"/>
      <c r="P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7" t="inlineStr">
        <is>
          <t>SEM COTAÇÃO</t>
        </is>
      </c>
      <c r="M709" s="8" t="n"/>
      <c r="N709" s="14" t="n"/>
      <c r="O709" s="7" t="inlineStr"/>
      <c r="P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7" t="inlineStr">
        <is>
          <t>SEM COTAÇÃO</t>
        </is>
      </c>
      <c r="M710" s="8" t="n"/>
      <c r="N710" s="14" t="n"/>
      <c r="O710" s="7" t="inlineStr"/>
      <c r="P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7" t="inlineStr">
        <is>
          <t>SEM COTAÇÃO</t>
        </is>
      </c>
      <c r="M711" s="8" t="n"/>
      <c r="N711" s="14" t="n"/>
      <c r="O711" s="7" t="inlineStr"/>
      <c r="P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/>
      <c r="K712" s="8" t="n"/>
      <c r="L712" s="7" t="inlineStr">
        <is>
          <t>SEM COTAÇÃO</t>
        </is>
      </c>
      <c r="M712" s="8" t="n"/>
      <c r="N712" s="14" t="n"/>
      <c r="O712" s="7" t="inlineStr"/>
      <c r="P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/>
      <c r="K713" s="8" t="n"/>
      <c r="L713" s="7" t="inlineStr">
        <is>
          <t>SEM COTAÇÃO</t>
        </is>
      </c>
      <c r="M713" s="8" t="n"/>
      <c r="N713" s="14" t="n"/>
      <c r="O713" s="7" t="inlineStr"/>
      <c r="P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/>
      <c r="K714" s="8" t="n"/>
      <c r="L714" s="7" t="inlineStr">
        <is>
          <t>SEM COTAÇÃO</t>
        </is>
      </c>
      <c r="M714" s="8" t="n"/>
      <c r="N714" s="14" t="n"/>
      <c r="O714" s="7" t="inlineStr"/>
      <c r="P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/>
      <c r="K715" s="8" t="n"/>
      <c r="L715" s="7" t="inlineStr">
        <is>
          <t>SEM COTAÇÃO</t>
        </is>
      </c>
      <c r="M715" s="8" t="n"/>
      <c r="N715" s="14" t="n"/>
      <c r="O715" s="7" t="inlineStr"/>
      <c r="P715" s="7" t="inlineStr"/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/>
      <c r="K716" s="8" t="n"/>
      <c r="L716" s="7" t="inlineStr">
        <is>
          <t>SEM COTAÇÃO</t>
        </is>
      </c>
      <c r="M716" s="8" t="n"/>
      <c r="N716" s="14" t="n"/>
      <c r="O716" s="7" t="inlineStr"/>
      <c r="P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/>
      <c r="K717" s="8" t="n"/>
      <c r="L717" s="7" t="inlineStr">
        <is>
          <t>SEM COTAÇÃO</t>
        </is>
      </c>
      <c r="M717" s="8" t="n"/>
      <c r="N717" s="14" t="n"/>
      <c r="O717" s="7" t="inlineStr"/>
      <c r="P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/>
      <c r="K718" s="8" t="n"/>
      <c r="L718" s="7" t="inlineStr">
        <is>
          <t>SEM COTAÇÃO</t>
        </is>
      </c>
      <c r="M718" s="8" t="n"/>
      <c r="N718" s="14" t="n"/>
      <c r="O718" s="7" t="inlineStr"/>
      <c r="P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/>
      <c r="K719" s="8" t="n"/>
      <c r="L719" s="7" t="inlineStr">
        <is>
          <t>SEM COTAÇÃO</t>
        </is>
      </c>
      <c r="M719" s="8" t="n"/>
      <c r="N719" s="14" t="n"/>
      <c r="O719" s="7" t="inlineStr"/>
      <c r="P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/>
      <c r="K720" s="8" t="n"/>
      <c r="L720" s="7" t="inlineStr">
        <is>
          <t>SEM COTAÇÃO</t>
        </is>
      </c>
      <c r="M720" s="8" t="n"/>
      <c r="N720" s="14" t="n"/>
      <c r="O720" s="7" t="inlineStr"/>
      <c r="P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/>
      <c r="K721" s="8" t="n"/>
      <c r="L721" s="7" t="inlineStr">
        <is>
          <t>SEM COTAÇÃO</t>
        </is>
      </c>
      <c r="M721" s="8" t="n"/>
      <c r="N721" s="14" t="n"/>
      <c r="O721" s="7" t="inlineStr"/>
      <c r="P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/>
      <c r="K722" s="8" t="n"/>
      <c r="L722" s="7" t="inlineStr">
        <is>
          <t>SEM COTAÇÃO</t>
        </is>
      </c>
      <c r="M722" s="8" t="n"/>
      <c r="N722" s="14" t="n"/>
      <c r="O722" s="7" t="inlineStr"/>
      <c r="P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/>
      <c r="K723" s="8" t="n"/>
      <c r="L723" s="7" t="inlineStr">
        <is>
          <t>SEM COTAÇÃO</t>
        </is>
      </c>
      <c r="M723" s="8" t="n"/>
      <c r="N723" s="14" t="n"/>
      <c r="O723" s="7" t="inlineStr"/>
      <c r="P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/>
      <c r="K724" s="8" t="n"/>
      <c r="L724" s="7" t="inlineStr">
        <is>
          <t>SEM COTAÇÃO</t>
        </is>
      </c>
      <c r="M724" s="8" t="n"/>
      <c r="N724" s="14" t="n"/>
      <c r="O724" s="7" t="inlineStr"/>
      <c r="P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/>
      <c r="K725" s="8" t="n"/>
      <c r="L725" s="7" t="inlineStr">
        <is>
          <t>SEM COTAÇÃO</t>
        </is>
      </c>
      <c r="M725" s="8" t="n"/>
      <c r="N725" s="14" t="n"/>
      <c r="O725" s="7" t="inlineStr"/>
      <c r="P725" s="7" t="inlineStr"/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/>
      <c r="K726" s="8" t="n"/>
      <c r="L726" s="7" t="inlineStr">
        <is>
          <t>SEM COTAÇÃO</t>
        </is>
      </c>
      <c r="M726" s="8" t="n"/>
      <c r="N726" s="14" t="n"/>
      <c r="O726" s="7" t="inlineStr"/>
      <c r="P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/>
      <c r="K727" s="8" t="n"/>
      <c r="L727" s="7" t="inlineStr">
        <is>
          <t>SEM COTAÇÃO</t>
        </is>
      </c>
      <c r="M727" s="8" t="n"/>
      <c r="N727" s="14" t="n"/>
      <c r="O727" s="7" t="inlineStr"/>
      <c r="P727" s="7" t="inlineStr"/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/>
      <c r="K728" s="8" t="n"/>
      <c r="L728" s="7" t="inlineStr">
        <is>
          <t>SEM COTAÇÃO</t>
        </is>
      </c>
      <c r="M728" s="8" t="n"/>
      <c r="N728" s="14" t="n"/>
      <c r="O728" s="7" t="inlineStr"/>
      <c r="P728" s="7" t="inlineStr"/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/>
      <c r="K729" s="8" t="n"/>
      <c r="L729" s="7" t="inlineStr">
        <is>
          <t>SEM COTAÇÃO</t>
        </is>
      </c>
      <c r="M729" s="8" t="n"/>
      <c r="N729" s="14" t="n"/>
      <c r="O729" s="7" t="inlineStr"/>
      <c r="P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/>
      <c r="K730" s="8" t="n"/>
      <c r="L730" s="7" t="inlineStr">
        <is>
          <t>SEM COTAÇÃO</t>
        </is>
      </c>
      <c r="M730" s="8" t="n"/>
      <c r="N730" s="14" t="n"/>
      <c r="O730" s="7" t="inlineStr"/>
      <c r="P730" s="7" t="inlineStr"/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/>
      <c r="K731" s="8" t="n"/>
      <c r="L731" s="7" t="inlineStr">
        <is>
          <t>SEM COTAÇÃO</t>
        </is>
      </c>
      <c r="M731" s="8" t="n"/>
      <c r="N731" s="14" t="n"/>
      <c r="O731" s="7" t="inlineStr"/>
      <c r="P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/>
      <c r="K732" s="8" t="n"/>
      <c r="L732" s="7" t="inlineStr">
        <is>
          <t>SEM COTAÇÃO</t>
        </is>
      </c>
      <c r="M732" s="8" t="n"/>
      <c r="N732" s="14" t="n"/>
      <c r="O732" s="7" t="inlineStr"/>
      <c r="P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/>
      <c r="K733" s="8" t="n"/>
      <c r="L733" s="7" t="inlineStr">
        <is>
          <t>SEM COTAÇÃO</t>
        </is>
      </c>
      <c r="M733" s="8" t="n"/>
      <c r="N733" s="14" t="n"/>
      <c r="O733" s="7" t="inlineStr"/>
      <c r="P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/>
      <c r="K734" s="8" t="n"/>
      <c r="L734" s="7" t="inlineStr">
        <is>
          <t>SEM COTAÇÃO</t>
        </is>
      </c>
      <c r="M734" s="8" t="n"/>
      <c r="N734" s="14" t="n"/>
      <c r="O734" s="7" t="inlineStr"/>
      <c r="P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/>
      <c r="K735" s="8" t="n"/>
      <c r="L735" s="7" t="inlineStr">
        <is>
          <t>SEM COTAÇÃO</t>
        </is>
      </c>
      <c r="M735" s="8" t="n"/>
      <c r="N735" s="14" t="n"/>
      <c r="O735" s="7" t="inlineStr"/>
      <c r="P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/>
      <c r="K736" s="8" t="n"/>
      <c r="L736" s="7" t="inlineStr">
        <is>
          <t>SEM COTAÇÃO</t>
        </is>
      </c>
      <c r="M736" s="8" t="n"/>
      <c r="N736" s="14" t="n"/>
      <c r="O736" s="7" t="inlineStr"/>
      <c r="P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15" t="n">
        <v>8.76</v>
      </c>
      <c r="K737" s="8" t="n"/>
      <c r="L737" s="7" t="inlineStr">
        <is>
          <t>DIMEC</t>
        </is>
      </c>
      <c r="M737" s="8" t="n">
        <v>8.76</v>
      </c>
      <c r="N737" s="14">
        <f>M737/H737-1</f>
        <v/>
      </c>
      <c r="O737" s="16" t="inlineStr">
        <is>
          <t>ACIMA +9.5%</t>
        </is>
      </c>
      <c r="P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/>
      <c r="K738" s="8" t="n"/>
      <c r="L738" s="7" t="inlineStr">
        <is>
          <t>SEM COTAÇÃO</t>
        </is>
      </c>
      <c r="M738" s="8" t="n"/>
      <c r="N738" s="14" t="n"/>
      <c r="O738" s="7" t="inlineStr"/>
      <c r="P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/>
      <c r="K739" s="8" t="n"/>
      <c r="L739" s="7" t="inlineStr">
        <is>
          <t>SEM COTAÇÃO</t>
        </is>
      </c>
      <c r="M739" s="8" t="n"/>
      <c r="N739" s="14" t="n"/>
      <c r="O739" s="7" t="inlineStr"/>
      <c r="P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15" t="n">
        <v>4.28</v>
      </c>
      <c r="K740" s="8" t="n"/>
      <c r="L740" s="7" t="inlineStr">
        <is>
          <t>DIMEC</t>
        </is>
      </c>
      <c r="M740" s="8" t="n">
        <v>4.28</v>
      </c>
      <c r="N740" s="14">
        <f>M740/H740-1</f>
        <v/>
      </c>
      <c r="O740" s="16" t="inlineStr">
        <is>
          <t>ACIMA +4.4%</t>
        </is>
      </c>
      <c r="P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15" t="n">
        <v>6.16</v>
      </c>
      <c r="K741" s="8" t="n"/>
      <c r="L741" s="7" t="inlineStr">
        <is>
          <t>DIMEC</t>
        </is>
      </c>
      <c r="M741" s="8" t="n">
        <v>6.16</v>
      </c>
      <c r="N741" s="14">
        <f>M741/H741-1</f>
        <v/>
      </c>
      <c r="O741" s="16" t="inlineStr">
        <is>
          <t>ACIMA +28.1%</t>
        </is>
      </c>
      <c r="P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/>
      <c r="K742" s="8" t="n"/>
      <c r="L742" s="7" t="inlineStr">
        <is>
          <t>SEM COTAÇÃO</t>
        </is>
      </c>
      <c r="M742" s="8" t="n"/>
      <c r="N742" s="14" t="n"/>
      <c r="O742" s="7" t="inlineStr"/>
      <c r="P742" s="7" t="inlineStr"/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15" t="n">
        <v>22.49</v>
      </c>
      <c r="K743" s="8" t="n"/>
      <c r="L743" s="7" t="inlineStr">
        <is>
          <t>DIMEC</t>
        </is>
      </c>
      <c r="M743" s="8" t="n">
        <v>22.49</v>
      </c>
      <c r="N743" s="14">
        <f>M743/H743-1</f>
        <v/>
      </c>
      <c r="O743" s="16" t="inlineStr">
        <is>
          <t>ACIMA +11.7%</t>
        </is>
      </c>
      <c r="P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15" t="n">
        <v>5.99</v>
      </c>
      <c r="K744" s="8" t="n"/>
      <c r="L744" s="7" t="inlineStr">
        <is>
          <t>DIMEC</t>
        </is>
      </c>
      <c r="M744" s="8" t="n">
        <v>5.99</v>
      </c>
      <c r="N744" s="14">
        <f>M744/H744-1</f>
        <v/>
      </c>
      <c r="O744" s="16" t="inlineStr">
        <is>
          <t>ACIMA +16.7%</t>
        </is>
      </c>
      <c r="P744" s="7" t="inlineStr"/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15" t="n">
        <v>10.49</v>
      </c>
      <c r="K745" s="8" t="n"/>
      <c r="L745" s="7" t="inlineStr">
        <is>
          <t>DIMEC</t>
        </is>
      </c>
      <c r="M745" s="8" t="n">
        <v>10.49</v>
      </c>
      <c r="N745" s="14">
        <f>M745/H745-1</f>
        <v/>
      </c>
      <c r="O745" s="16" t="inlineStr">
        <is>
          <t>ACIMA +22.4%</t>
        </is>
      </c>
      <c r="P745" s="7" t="inlineStr"/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/>
      <c r="K746" s="8" t="n"/>
      <c r="L746" s="7" t="inlineStr">
        <is>
          <t>SEM COTAÇÃO</t>
        </is>
      </c>
      <c r="M746" s="8" t="n"/>
      <c r="N746" s="14" t="n"/>
      <c r="O746" s="7" t="inlineStr"/>
      <c r="P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/>
      <c r="K747" s="8" t="n"/>
      <c r="L747" s="7" t="inlineStr">
        <is>
          <t>SEM COTAÇÃO</t>
        </is>
      </c>
      <c r="M747" s="8" t="n"/>
      <c r="N747" s="14" t="n"/>
      <c r="O747" s="7" t="inlineStr"/>
      <c r="P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/>
      <c r="K748" s="8" t="n"/>
      <c r="L748" s="7" t="inlineStr">
        <is>
          <t>SEM COTAÇÃO</t>
        </is>
      </c>
      <c r="M748" s="8" t="n"/>
      <c r="N748" s="14" t="n"/>
      <c r="O748" s="7" t="inlineStr"/>
      <c r="P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/>
      <c r="K749" s="8" t="n"/>
      <c r="L749" s="7" t="inlineStr">
        <is>
          <t>SEM COTAÇÃO</t>
        </is>
      </c>
      <c r="M749" s="8" t="n"/>
      <c r="N749" s="14" t="n"/>
      <c r="O749" s="7" t="inlineStr"/>
      <c r="P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/>
      <c r="K750" s="8" t="n"/>
      <c r="L750" s="7" t="inlineStr">
        <is>
          <t>SEM COTAÇÃO</t>
        </is>
      </c>
      <c r="M750" s="8" t="n"/>
      <c r="N750" s="14" t="n"/>
      <c r="O750" s="7" t="inlineStr"/>
      <c r="P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/>
      <c r="K751" s="8" t="n"/>
      <c r="L751" s="7" t="inlineStr">
        <is>
          <t>SEM COTAÇÃO</t>
        </is>
      </c>
      <c r="M751" s="8" t="n"/>
      <c r="N751" s="14" t="n"/>
      <c r="O751" s="7" t="inlineStr"/>
      <c r="P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/>
      <c r="K752" s="8" t="n"/>
      <c r="L752" s="7" t="inlineStr">
        <is>
          <t>SEM COTAÇÃO</t>
        </is>
      </c>
      <c r="M752" s="8" t="n"/>
      <c r="N752" s="14" t="n"/>
      <c r="O752" s="7" t="inlineStr"/>
      <c r="P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/>
      <c r="K753" s="8" t="n"/>
      <c r="L753" s="7" t="inlineStr">
        <is>
          <t>SEM COTAÇÃO</t>
        </is>
      </c>
      <c r="M753" s="8" t="n"/>
      <c r="N753" s="14" t="n"/>
      <c r="O753" s="7" t="inlineStr"/>
      <c r="P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/>
      <c r="K754" s="8" t="n"/>
      <c r="L754" s="7" t="inlineStr">
        <is>
          <t>SEM COTAÇÃO</t>
        </is>
      </c>
      <c r="M754" s="8" t="n"/>
      <c r="N754" s="14" t="n"/>
      <c r="O754" s="7" t="inlineStr"/>
      <c r="P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/>
      <c r="K755" s="8" t="n"/>
      <c r="L755" s="7" t="inlineStr">
        <is>
          <t>SEM COTAÇÃO</t>
        </is>
      </c>
      <c r="M755" s="8" t="n"/>
      <c r="N755" s="14" t="n"/>
      <c r="O755" s="7" t="inlineStr"/>
      <c r="P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/>
      <c r="K756" s="8" t="n"/>
      <c r="L756" s="7" t="inlineStr">
        <is>
          <t>SEM COTAÇÃO</t>
        </is>
      </c>
      <c r="M756" s="8" t="n"/>
      <c r="N756" s="14" t="n"/>
      <c r="O756" s="7" t="inlineStr"/>
      <c r="P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/>
      <c r="K757" s="8" t="n"/>
      <c r="L757" s="7" t="inlineStr">
        <is>
          <t>SEM COTAÇÃO</t>
        </is>
      </c>
      <c r="M757" s="8" t="n"/>
      <c r="N757" s="14" t="n"/>
      <c r="O757" s="7" t="inlineStr"/>
      <c r="P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/>
      <c r="K758" s="8" t="n"/>
      <c r="L758" s="7" t="inlineStr">
        <is>
          <t>SEM COTAÇÃO</t>
        </is>
      </c>
      <c r="M758" s="8" t="n"/>
      <c r="N758" s="14" t="n"/>
      <c r="O758" s="7" t="inlineStr"/>
      <c r="P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/>
      <c r="K759" s="8" t="n"/>
      <c r="L759" s="7" t="inlineStr">
        <is>
          <t>SEM COTAÇÃO</t>
        </is>
      </c>
      <c r="M759" s="8" t="n"/>
      <c r="N759" s="14" t="n"/>
      <c r="O759" s="7" t="inlineStr"/>
      <c r="P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/>
      <c r="K760" s="8" t="n"/>
      <c r="L760" s="7" t="inlineStr">
        <is>
          <t>SEM COTAÇÃO</t>
        </is>
      </c>
      <c r="M760" s="8" t="n"/>
      <c r="N760" s="14" t="n"/>
      <c r="O760" s="7" t="inlineStr"/>
      <c r="P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/>
      <c r="K761" s="8" t="n"/>
      <c r="L761" s="7" t="inlineStr">
        <is>
          <t>SEM COTAÇÃO</t>
        </is>
      </c>
      <c r="M761" s="8" t="n"/>
      <c r="N761" s="14" t="n"/>
      <c r="O761" s="7" t="inlineStr"/>
      <c r="P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/>
      <c r="K762" s="8" t="n"/>
      <c r="L762" s="7" t="inlineStr">
        <is>
          <t>SEM COTAÇÃO</t>
        </is>
      </c>
      <c r="M762" s="8" t="n"/>
      <c r="N762" s="14" t="n"/>
      <c r="O762" s="7" t="inlineStr"/>
      <c r="P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/>
      <c r="K763" s="8" t="n"/>
      <c r="L763" s="7" t="inlineStr">
        <is>
          <t>SEM COTAÇÃO</t>
        </is>
      </c>
      <c r="M763" s="8" t="n"/>
      <c r="N763" s="14" t="n"/>
      <c r="O763" s="7" t="inlineStr"/>
      <c r="P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/>
      <c r="K764" s="8" t="n"/>
      <c r="L764" s="7" t="inlineStr">
        <is>
          <t>SEM COTAÇÃO</t>
        </is>
      </c>
      <c r="M764" s="8" t="n"/>
      <c r="N764" s="14" t="n"/>
      <c r="O764" s="7" t="inlineStr"/>
      <c r="P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/>
      <c r="K765" s="8" t="n"/>
      <c r="L765" s="7" t="inlineStr">
        <is>
          <t>SEM COTAÇÃO</t>
        </is>
      </c>
      <c r="M765" s="8" t="n"/>
      <c r="N765" s="14" t="n"/>
      <c r="O765" s="7" t="inlineStr"/>
      <c r="P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/>
      <c r="K766" s="8" t="n"/>
      <c r="L766" s="7" t="inlineStr">
        <is>
          <t>SEM COTAÇÃO</t>
        </is>
      </c>
      <c r="M766" s="8" t="n"/>
      <c r="N766" s="14" t="n"/>
      <c r="O766" s="7" t="inlineStr"/>
      <c r="P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7" t="inlineStr">
        <is>
          <t>SEM COTAÇÃO</t>
        </is>
      </c>
      <c r="M767" s="8" t="n"/>
      <c r="N767" s="14" t="n"/>
      <c r="O767" s="7" t="inlineStr"/>
      <c r="P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/>
      <c r="K768" s="8" t="n"/>
      <c r="L768" s="7" t="inlineStr">
        <is>
          <t>SEM COTAÇÃO</t>
        </is>
      </c>
      <c r="M768" s="8" t="n"/>
      <c r="N768" s="14" t="n"/>
      <c r="O768" s="7" t="inlineStr"/>
      <c r="P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/>
      <c r="K769" s="8" t="n"/>
      <c r="L769" s="7" t="inlineStr">
        <is>
          <t>SEM COTAÇÃO</t>
        </is>
      </c>
      <c r="M769" s="8" t="n"/>
      <c r="N769" s="14" t="n"/>
      <c r="O769" s="7" t="inlineStr"/>
      <c r="P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/>
      <c r="K770" s="8" t="n"/>
      <c r="L770" s="7" t="inlineStr">
        <is>
          <t>SEM COTAÇÃO</t>
        </is>
      </c>
      <c r="M770" s="8" t="n"/>
      <c r="N770" s="14" t="n"/>
      <c r="O770" s="7" t="inlineStr"/>
      <c r="P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/>
      <c r="K771" s="8" t="n"/>
      <c r="L771" s="7" t="inlineStr">
        <is>
          <t>SEM COTAÇÃO</t>
        </is>
      </c>
      <c r="M771" s="8" t="n"/>
      <c r="N771" s="14" t="n"/>
      <c r="O771" s="7" t="inlineStr"/>
      <c r="P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/>
      <c r="K772" s="8" t="n"/>
      <c r="L772" s="7" t="inlineStr">
        <is>
          <t>SEM COTAÇÃO</t>
        </is>
      </c>
      <c r="M772" s="8" t="n"/>
      <c r="N772" s="14" t="n"/>
      <c r="O772" s="7" t="inlineStr"/>
      <c r="P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/>
      <c r="K773" s="8" t="n"/>
      <c r="L773" s="7" t="inlineStr">
        <is>
          <t>SEM COTAÇÃO</t>
        </is>
      </c>
      <c r="M773" s="8" t="n"/>
      <c r="N773" s="14" t="n"/>
      <c r="O773" s="7" t="inlineStr"/>
      <c r="P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/>
      <c r="K774" s="8" t="n"/>
      <c r="L774" s="7" t="inlineStr">
        <is>
          <t>SEM COTAÇÃO</t>
        </is>
      </c>
      <c r="M774" s="8" t="n"/>
      <c r="N774" s="14" t="n"/>
      <c r="O774" s="7" t="inlineStr"/>
      <c r="P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/>
      <c r="K775" s="8" t="n"/>
      <c r="L775" s="7" t="inlineStr">
        <is>
          <t>SEM COTAÇÃO</t>
        </is>
      </c>
      <c r="M775" s="8" t="n"/>
      <c r="N775" s="14" t="n"/>
      <c r="O775" s="7" t="inlineStr"/>
      <c r="P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/>
      <c r="K776" s="8" t="n"/>
      <c r="L776" s="7" t="inlineStr">
        <is>
          <t>SEM COTAÇÃO</t>
        </is>
      </c>
      <c r="M776" s="8" t="n"/>
      <c r="N776" s="14" t="n"/>
      <c r="O776" s="7" t="inlineStr"/>
      <c r="P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/>
      <c r="K777" s="8" t="n"/>
      <c r="L777" s="7" t="inlineStr">
        <is>
          <t>SEM COTAÇÃO</t>
        </is>
      </c>
      <c r="M777" s="8" t="n"/>
      <c r="N777" s="14" t="n"/>
      <c r="O777" s="7" t="inlineStr"/>
      <c r="P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/>
      <c r="K778" s="8" t="n"/>
      <c r="L778" s="7" t="inlineStr">
        <is>
          <t>SEM COTAÇÃO</t>
        </is>
      </c>
      <c r="M778" s="8" t="n"/>
      <c r="N778" s="14" t="n"/>
      <c r="O778" s="7" t="inlineStr"/>
      <c r="P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/>
      <c r="K779" s="8" t="n"/>
      <c r="L779" s="7" t="inlineStr">
        <is>
          <t>SEM COTAÇÃO</t>
        </is>
      </c>
      <c r="M779" s="8" t="n"/>
      <c r="N779" s="14" t="n"/>
      <c r="O779" s="7" t="inlineStr"/>
      <c r="P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/>
      <c r="K780" s="8" t="n"/>
      <c r="L780" s="7" t="inlineStr">
        <is>
          <t>SEM COTAÇÃO</t>
        </is>
      </c>
      <c r="M780" s="8" t="n"/>
      <c r="N780" s="14" t="n"/>
      <c r="O780" s="7" t="inlineStr"/>
      <c r="P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/>
      <c r="K781" s="8" t="n"/>
      <c r="L781" s="7" t="inlineStr">
        <is>
          <t>SEM COTAÇÃO</t>
        </is>
      </c>
      <c r="M781" s="8" t="n"/>
      <c r="N781" s="14" t="n"/>
      <c r="O781" s="7" t="inlineStr"/>
      <c r="P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/>
      <c r="K782" s="8" t="n"/>
      <c r="L782" s="7" t="inlineStr">
        <is>
          <t>SEM COTAÇÃO</t>
        </is>
      </c>
      <c r="M782" s="8" t="n"/>
      <c r="N782" s="14" t="n"/>
      <c r="O782" s="7" t="inlineStr"/>
      <c r="P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/>
      <c r="K783" s="8" t="n"/>
      <c r="L783" s="7" t="inlineStr">
        <is>
          <t>SEM COTAÇÃO</t>
        </is>
      </c>
      <c r="M783" s="8" t="n"/>
      <c r="N783" s="14" t="n"/>
      <c r="O783" s="7" t="inlineStr"/>
      <c r="P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/>
      <c r="K784" s="8" t="n"/>
      <c r="L784" s="7" t="inlineStr">
        <is>
          <t>SEM COTAÇÃO</t>
        </is>
      </c>
      <c r="M784" s="8" t="n"/>
      <c r="N784" s="14" t="n"/>
      <c r="O784" s="7" t="inlineStr"/>
      <c r="P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/>
      <c r="K785" s="8" t="n"/>
      <c r="L785" s="7" t="inlineStr">
        <is>
          <t>SEM COTAÇÃO</t>
        </is>
      </c>
      <c r="M785" s="8" t="n"/>
      <c r="N785" s="14" t="n"/>
      <c r="O785" s="7" t="inlineStr"/>
      <c r="P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/>
      <c r="K786" s="8" t="n"/>
      <c r="L786" s="7" t="inlineStr">
        <is>
          <t>SEM COTAÇÃO</t>
        </is>
      </c>
      <c r="M786" s="8" t="n"/>
      <c r="N786" s="14" t="n"/>
      <c r="O786" s="7" t="inlineStr"/>
      <c r="P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/>
      <c r="K787" s="8" t="n"/>
      <c r="L787" s="7" t="inlineStr">
        <is>
          <t>SEM COTAÇÃO</t>
        </is>
      </c>
      <c r="M787" s="8" t="n"/>
      <c r="N787" s="14" t="n"/>
      <c r="O787" s="7" t="inlineStr"/>
      <c r="P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/>
      <c r="K788" s="8" t="n"/>
      <c r="L788" s="7" t="inlineStr">
        <is>
          <t>SEM COTAÇÃO</t>
        </is>
      </c>
      <c r="M788" s="8" t="n"/>
      <c r="N788" s="14" t="n"/>
      <c r="O788" s="7" t="inlineStr"/>
      <c r="P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/>
      <c r="K789" s="8" t="n"/>
      <c r="L789" s="7" t="inlineStr">
        <is>
          <t>SEM COTAÇÃO</t>
        </is>
      </c>
      <c r="M789" s="8" t="n"/>
      <c r="N789" s="14" t="n"/>
      <c r="O789" s="7" t="inlineStr"/>
      <c r="P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/>
      <c r="K790" s="8" t="n"/>
      <c r="L790" s="7" t="inlineStr">
        <is>
          <t>SEM COTAÇÃO</t>
        </is>
      </c>
      <c r="M790" s="8" t="n"/>
      <c r="N790" s="14" t="n"/>
      <c r="O790" s="7" t="inlineStr"/>
      <c r="P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/>
      <c r="K791" s="8" t="n"/>
      <c r="L791" s="7" t="inlineStr">
        <is>
          <t>SEM COTAÇÃO</t>
        </is>
      </c>
      <c r="M791" s="8" t="n"/>
      <c r="N791" s="14" t="n"/>
      <c r="O791" s="7" t="inlineStr"/>
      <c r="P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7" t="inlineStr">
        <is>
          <t>SEM COTAÇÃO</t>
        </is>
      </c>
      <c r="M792" s="8" t="n"/>
      <c r="N792" s="14" t="n"/>
      <c r="O792" s="7" t="inlineStr"/>
      <c r="P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/>
      <c r="K793" s="8" t="n"/>
      <c r="L793" s="7" t="inlineStr">
        <is>
          <t>SEM COTAÇÃO</t>
        </is>
      </c>
      <c r="M793" s="8" t="n"/>
      <c r="N793" s="14" t="n"/>
      <c r="O793" s="7" t="inlineStr"/>
      <c r="P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/>
      <c r="K794" s="8" t="n"/>
      <c r="L794" s="7" t="inlineStr">
        <is>
          <t>SEM COTAÇÃO</t>
        </is>
      </c>
      <c r="M794" s="8" t="n"/>
      <c r="N794" s="14" t="n"/>
      <c r="O794" s="7" t="inlineStr"/>
      <c r="P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/>
      <c r="K795" s="8" t="n"/>
      <c r="L795" s="7" t="inlineStr">
        <is>
          <t>SEM COTAÇÃO</t>
        </is>
      </c>
      <c r="M795" s="8" t="n"/>
      <c r="N795" s="14" t="n"/>
      <c r="O795" s="7" t="inlineStr"/>
      <c r="P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/>
      <c r="K796" s="8" t="n"/>
      <c r="L796" s="7" t="inlineStr">
        <is>
          <t>SEM COTAÇÃO</t>
        </is>
      </c>
      <c r="M796" s="8" t="n"/>
      <c r="N796" s="14" t="n"/>
      <c r="O796" s="7" t="inlineStr"/>
      <c r="P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/>
      <c r="K797" s="8" t="n"/>
      <c r="L797" s="7" t="inlineStr">
        <is>
          <t>SEM COTAÇÃO</t>
        </is>
      </c>
      <c r="M797" s="8" t="n"/>
      <c r="N797" s="14" t="n"/>
      <c r="O797" s="7" t="inlineStr"/>
      <c r="P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/>
      <c r="K798" s="8" t="n"/>
      <c r="L798" s="7" t="inlineStr">
        <is>
          <t>SEM COTAÇÃO</t>
        </is>
      </c>
      <c r="M798" s="8" t="n"/>
      <c r="N798" s="14" t="n"/>
      <c r="O798" s="7" t="inlineStr"/>
      <c r="P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/>
      <c r="K799" s="8" t="n"/>
      <c r="L799" s="7" t="inlineStr">
        <is>
          <t>SEM COTAÇÃO</t>
        </is>
      </c>
      <c r="M799" s="8" t="n"/>
      <c r="N799" s="14" t="n"/>
      <c r="O799" s="7" t="inlineStr"/>
      <c r="P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/>
      <c r="K800" s="8" t="n"/>
      <c r="L800" s="7" t="inlineStr">
        <is>
          <t>SEM COTAÇÃO</t>
        </is>
      </c>
      <c r="M800" s="8" t="n"/>
      <c r="N800" s="14" t="n"/>
      <c r="O800" s="7" t="inlineStr"/>
      <c r="P800" s="7" t="inlineStr"/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/>
      <c r="K801" s="8" t="n"/>
      <c r="L801" s="7" t="inlineStr">
        <is>
          <t>SEM COTAÇÃO</t>
        </is>
      </c>
      <c r="M801" s="8" t="n"/>
      <c r="N801" s="14" t="n"/>
      <c r="O801" s="7" t="inlineStr"/>
      <c r="P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/>
      <c r="K802" s="8" t="n"/>
      <c r="L802" s="7" t="inlineStr">
        <is>
          <t>SEM COTAÇÃO</t>
        </is>
      </c>
      <c r="M802" s="8" t="n"/>
      <c r="N802" s="14" t="n"/>
      <c r="O802" s="7" t="inlineStr"/>
      <c r="P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15" t="n">
        <v>2.01</v>
      </c>
      <c r="K803" s="8" t="n"/>
      <c r="L803" s="7" t="inlineStr">
        <is>
          <t>DIMEC</t>
        </is>
      </c>
      <c r="M803" s="8" t="n">
        <v>2.01</v>
      </c>
      <c r="N803" s="14">
        <f>M803/H803-1</f>
        <v/>
      </c>
      <c r="O803" s="16" t="inlineStr">
        <is>
          <t>ACIMA +2.6%</t>
        </is>
      </c>
      <c r="P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/>
      <c r="K804" s="8" t="n"/>
      <c r="L804" s="7" t="inlineStr">
        <is>
          <t>SEM COTAÇÃO</t>
        </is>
      </c>
      <c r="M804" s="8" t="n"/>
      <c r="N804" s="14" t="n"/>
      <c r="O804" s="7" t="inlineStr"/>
      <c r="P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15" t="n">
        <v>12.91</v>
      </c>
      <c r="K805" s="8" t="n"/>
      <c r="L805" s="7" t="inlineStr">
        <is>
          <t>DIMEC</t>
        </is>
      </c>
      <c r="M805" s="8" t="n">
        <v>12.91</v>
      </c>
      <c r="N805" s="14">
        <f>M805/H805-1</f>
        <v/>
      </c>
      <c r="O805" s="16" t="inlineStr">
        <is>
          <t>ACIMA +35.0%</t>
        </is>
      </c>
      <c r="P805" s="7" t="inlineStr"/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/>
      <c r="K806" s="8" t="n"/>
      <c r="L806" s="7" t="inlineStr">
        <is>
          <t>SEM COTAÇÃO</t>
        </is>
      </c>
      <c r="M806" s="8" t="n"/>
      <c r="N806" s="14" t="n"/>
      <c r="O806" s="7" t="inlineStr"/>
      <c r="P806" s="7" t="inlineStr"/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/>
      <c r="K807" s="8" t="n"/>
      <c r="L807" s="7" t="inlineStr">
        <is>
          <t>SEM COTAÇÃO</t>
        </is>
      </c>
      <c r="M807" s="8" t="n"/>
      <c r="N807" s="14" t="n"/>
      <c r="O807" s="7" t="inlineStr"/>
      <c r="P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/>
      <c r="K808" s="8" t="n"/>
      <c r="L808" s="7" t="inlineStr">
        <is>
          <t>SEM COTAÇÃO</t>
        </is>
      </c>
      <c r="M808" s="8" t="n"/>
      <c r="N808" s="14" t="n"/>
      <c r="O808" s="7" t="inlineStr"/>
      <c r="P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15" t="n">
        <v>9.44</v>
      </c>
      <c r="K809" s="8" t="n"/>
      <c r="L809" s="7" t="inlineStr">
        <is>
          <t>DIMEC</t>
        </is>
      </c>
      <c r="M809" s="8" t="n">
        <v>9.44</v>
      </c>
      <c r="N809" s="14">
        <f>M809/H809-1</f>
        <v/>
      </c>
      <c r="O809" s="16" t="inlineStr">
        <is>
          <t>ACIMA +26.0%</t>
        </is>
      </c>
      <c r="P809" s="7" t="inlineStr"/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/>
      <c r="K810" s="8" t="n"/>
      <c r="L810" s="7" t="inlineStr">
        <is>
          <t>SEM COTAÇÃO</t>
        </is>
      </c>
      <c r="M810" s="8" t="n"/>
      <c r="N810" s="14" t="n"/>
      <c r="O810" s="7" t="inlineStr"/>
      <c r="P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/>
      <c r="K811" s="8" t="n"/>
      <c r="L811" s="7" t="inlineStr">
        <is>
          <t>SEM COTAÇÃO</t>
        </is>
      </c>
      <c r="M811" s="8" t="n"/>
      <c r="N811" s="14" t="n"/>
      <c r="O811" s="7" t="inlineStr"/>
      <c r="P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/>
      <c r="K812" s="8" t="n"/>
      <c r="L812" s="7" t="inlineStr">
        <is>
          <t>SEM COTAÇÃO</t>
        </is>
      </c>
      <c r="M812" s="8" t="n"/>
      <c r="N812" s="14" t="n"/>
      <c r="O812" s="7" t="inlineStr"/>
      <c r="P812" s="7" t="inlineStr"/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/>
      <c r="K813" s="8" t="n"/>
      <c r="L813" s="7" t="inlineStr">
        <is>
          <t>SEM COTAÇÃO</t>
        </is>
      </c>
      <c r="M813" s="8" t="n"/>
      <c r="N813" s="14" t="n"/>
      <c r="O813" s="7" t="inlineStr"/>
      <c r="P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/>
      <c r="K814" s="8" t="n"/>
      <c r="L814" s="7" t="inlineStr">
        <is>
          <t>SEM COTAÇÃO</t>
        </is>
      </c>
      <c r="M814" s="8" t="n"/>
      <c r="N814" s="14" t="n"/>
      <c r="O814" s="7" t="inlineStr"/>
      <c r="P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/>
      <c r="K815" s="8" t="n"/>
      <c r="L815" s="7" t="inlineStr">
        <is>
          <t>SEM COTAÇÃO</t>
        </is>
      </c>
      <c r="M815" s="8" t="n"/>
      <c r="N815" s="14" t="n"/>
      <c r="O815" s="7" t="inlineStr"/>
      <c r="P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/>
      <c r="K816" s="8" t="n"/>
      <c r="L816" s="7" t="inlineStr">
        <is>
          <t>SEM COTAÇÃO</t>
        </is>
      </c>
      <c r="M816" s="8" t="n"/>
      <c r="N816" s="14" t="n"/>
      <c r="O816" s="7" t="inlineStr"/>
      <c r="P816" s="7" t="inlineStr"/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7" t="inlineStr">
        <is>
          <t>SEM COTAÇÃO</t>
        </is>
      </c>
      <c r="M817" s="8" t="n"/>
      <c r="N817" s="14" t="n"/>
      <c r="O817" s="7" t="inlineStr"/>
      <c r="P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/>
      <c r="K818" s="8" t="n"/>
      <c r="L818" s="7" t="inlineStr">
        <is>
          <t>SEM COTAÇÃO</t>
        </is>
      </c>
      <c r="M818" s="8" t="n"/>
      <c r="N818" s="14" t="n"/>
      <c r="O818" s="7" t="inlineStr"/>
      <c r="P818" s="7" t="inlineStr"/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/>
      <c r="K819" s="8" t="n"/>
      <c r="L819" s="7" t="inlineStr">
        <is>
          <t>SEM COTAÇÃO</t>
        </is>
      </c>
      <c r="M819" s="8" t="n"/>
      <c r="N819" s="14" t="n"/>
      <c r="O819" s="7" t="inlineStr"/>
      <c r="P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/>
      <c r="K820" s="8" t="n"/>
      <c r="L820" s="7" t="inlineStr">
        <is>
          <t>SEM COTAÇÃO</t>
        </is>
      </c>
      <c r="M820" s="8" t="n"/>
      <c r="N820" s="14" t="n"/>
      <c r="O820" s="7" t="inlineStr"/>
      <c r="P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/>
      <c r="K821" s="8" t="n"/>
      <c r="L821" s="7" t="inlineStr">
        <is>
          <t>SEM COTAÇÃO</t>
        </is>
      </c>
      <c r="M821" s="8" t="n"/>
      <c r="N821" s="14" t="n"/>
      <c r="O821" s="7" t="inlineStr"/>
      <c r="P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/>
      <c r="K822" s="8" t="n"/>
      <c r="L822" s="7" t="inlineStr">
        <is>
          <t>SEM COTAÇÃO</t>
        </is>
      </c>
      <c r="M822" s="8" t="n"/>
      <c r="N822" s="14" t="n"/>
      <c r="O822" s="7" t="inlineStr"/>
      <c r="P822" s="7" t="inlineStr"/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/>
      <c r="K823" s="8" t="n"/>
      <c r="L823" s="7" t="inlineStr">
        <is>
          <t>SEM COTAÇÃO</t>
        </is>
      </c>
      <c r="M823" s="8" t="n"/>
      <c r="N823" s="14" t="n"/>
      <c r="O823" s="7" t="inlineStr"/>
      <c r="P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/>
      <c r="K824" s="8" t="n"/>
      <c r="L824" s="7" t="inlineStr">
        <is>
          <t>SEM COTAÇÃO</t>
        </is>
      </c>
      <c r="M824" s="8" t="n"/>
      <c r="N824" s="14" t="n"/>
      <c r="O824" s="7" t="inlineStr"/>
      <c r="P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/>
      <c r="K825" s="8" t="n"/>
      <c r="L825" s="7" t="inlineStr">
        <is>
          <t>SEM COTAÇÃO</t>
        </is>
      </c>
      <c r="M825" s="8" t="n"/>
      <c r="N825" s="14" t="n"/>
      <c r="O825" s="7" t="inlineStr"/>
      <c r="P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15" t="n">
        <v>45.8</v>
      </c>
      <c r="K826" s="8" t="n"/>
      <c r="L826" s="7" t="inlineStr">
        <is>
          <t>DIMEC</t>
        </is>
      </c>
      <c r="M826" s="8" t="n">
        <v>45.8</v>
      </c>
      <c r="N826" s="14">
        <f>M826/H826-1</f>
        <v/>
      </c>
      <c r="O826" s="17" t="inlineStr">
        <is>
          <t>OK (≤ últ. compra)</t>
        </is>
      </c>
      <c r="P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15" t="n">
        <v>25.38</v>
      </c>
      <c r="K827" s="8" t="n"/>
      <c r="L827" s="7" t="inlineStr">
        <is>
          <t>DIMEC</t>
        </is>
      </c>
      <c r="M827" s="8" t="n">
        <v>25.38</v>
      </c>
      <c r="N827" s="14">
        <f>M827/H827-1</f>
        <v/>
      </c>
      <c r="O827" s="17" t="inlineStr">
        <is>
          <t>OK (≤ últ. compra)</t>
        </is>
      </c>
      <c r="P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/>
      <c r="K828" s="8" t="n"/>
      <c r="L828" s="7" t="inlineStr">
        <is>
          <t>SEM COTAÇÃO</t>
        </is>
      </c>
      <c r="M828" s="8" t="n"/>
      <c r="N828" s="14" t="n"/>
      <c r="O828" s="7" t="inlineStr"/>
      <c r="P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/>
      <c r="K829" s="8" t="n"/>
      <c r="L829" s="7" t="inlineStr">
        <is>
          <t>SEM COTAÇÃO</t>
        </is>
      </c>
      <c r="M829" s="8" t="n"/>
      <c r="N829" s="14" t="n"/>
      <c r="O829" s="7" t="inlineStr"/>
      <c r="P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/>
      <c r="K830" s="8" t="n"/>
      <c r="L830" s="7" t="inlineStr">
        <is>
          <t>SEM COTAÇÃO</t>
        </is>
      </c>
      <c r="M830" s="8" t="n"/>
      <c r="N830" s="14" t="n"/>
      <c r="O830" s="7" t="inlineStr"/>
      <c r="P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/>
      <c r="K831" s="8" t="n"/>
      <c r="L831" s="7" t="inlineStr">
        <is>
          <t>SEM COTAÇÃO</t>
        </is>
      </c>
      <c r="M831" s="8" t="n"/>
      <c r="N831" s="14" t="n"/>
      <c r="O831" s="7" t="inlineStr"/>
      <c r="P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/>
      <c r="K832" s="8" t="n"/>
      <c r="L832" s="7" t="inlineStr">
        <is>
          <t>SEM COTAÇÃO</t>
        </is>
      </c>
      <c r="M832" s="8" t="n"/>
      <c r="N832" s="14" t="n"/>
      <c r="O832" s="7" t="inlineStr"/>
      <c r="P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/>
      <c r="K833" s="8" t="n"/>
      <c r="L833" s="7" t="inlineStr">
        <is>
          <t>SEM COTAÇÃO</t>
        </is>
      </c>
      <c r="M833" s="8" t="n"/>
      <c r="N833" s="14" t="n"/>
      <c r="O833" s="7" t="inlineStr"/>
      <c r="P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/>
      <c r="K834" s="8" t="n"/>
      <c r="L834" s="7" t="inlineStr">
        <is>
          <t>SEM COTAÇÃO</t>
        </is>
      </c>
      <c r="M834" s="8" t="n"/>
      <c r="N834" s="14" t="n"/>
      <c r="O834" s="7" t="inlineStr"/>
      <c r="P834" s="7" t="inlineStr"/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/>
      <c r="K835" s="8" t="n"/>
      <c r="L835" s="7" t="inlineStr">
        <is>
          <t>SEM COTAÇÃO</t>
        </is>
      </c>
      <c r="M835" s="8" t="n"/>
      <c r="N835" s="14" t="n"/>
      <c r="O835" s="7" t="inlineStr"/>
      <c r="P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7.78</v>
      </c>
      <c r="K836" s="15" t="n">
        <v>7.69</v>
      </c>
      <c r="L836" s="7" t="inlineStr">
        <is>
          <t>PLUSFARMA</t>
        </is>
      </c>
      <c r="M836" s="8" t="n">
        <v>7.69</v>
      </c>
      <c r="N836" s="14">
        <f>M836/H836-1</f>
        <v/>
      </c>
      <c r="O836" s="17" t="inlineStr">
        <is>
          <t>OK (≤ últ. compra)</t>
        </is>
      </c>
      <c r="P836" s="7" t="inlineStr"/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7.45</v>
      </c>
      <c r="K837" s="15" t="n">
        <v>7.35</v>
      </c>
      <c r="L837" s="7" t="inlineStr">
        <is>
          <t>PLUSFARMA</t>
        </is>
      </c>
      <c r="M837" s="8" t="n">
        <v>7.35</v>
      </c>
      <c r="N837" s="14">
        <f>M837/H837-1</f>
        <v/>
      </c>
      <c r="O837" s="16" t="inlineStr">
        <is>
          <t>ACIMA +31.2%</t>
        </is>
      </c>
      <c r="P837" s="7" t="inlineStr"/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15" t="n">
        <v>9.18</v>
      </c>
      <c r="K838" s="8" t="n"/>
      <c r="L838" s="7" t="inlineStr">
        <is>
          <t>DIMEC</t>
        </is>
      </c>
      <c r="M838" s="8" t="n">
        <v>9.18</v>
      </c>
      <c r="N838" s="14">
        <f>M838/H838-1</f>
        <v/>
      </c>
      <c r="O838" s="16" t="inlineStr">
        <is>
          <t>ACIMA +3.1%</t>
        </is>
      </c>
      <c r="P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15" t="n">
        <v>5.39</v>
      </c>
      <c r="K839" s="8" t="n"/>
      <c r="L839" s="7" t="inlineStr">
        <is>
          <t>DIMEC</t>
        </is>
      </c>
      <c r="M839" s="8" t="n">
        <v>5.39</v>
      </c>
      <c r="N839" s="14">
        <f>M839/H839-1</f>
        <v/>
      </c>
      <c r="O839" s="16" t="inlineStr">
        <is>
          <t>ACIMA +9.3%</t>
        </is>
      </c>
      <c r="P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15" t="n">
        <v>13.61</v>
      </c>
      <c r="K840" s="8" t="n"/>
      <c r="L840" s="7" t="inlineStr">
        <is>
          <t>DIMEC</t>
        </is>
      </c>
      <c r="M840" s="8" t="n">
        <v>13.61</v>
      </c>
      <c r="N840" s="14">
        <f>M840/H840-1</f>
        <v/>
      </c>
      <c r="O840" s="17" t="inlineStr">
        <is>
          <t>OK (≤ menor hist.)</t>
        </is>
      </c>
      <c r="P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/>
      <c r="K841" s="8" t="n"/>
      <c r="L841" s="7" t="inlineStr">
        <is>
          <t>SEM COTAÇÃO</t>
        </is>
      </c>
      <c r="M841" s="8" t="n"/>
      <c r="N841" s="14" t="n"/>
      <c r="O841" s="7" t="inlineStr"/>
      <c r="P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/>
      <c r="K842" s="8" t="n"/>
      <c r="L842" s="7" t="inlineStr">
        <is>
          <t>SEM COTAÇÃO</t>
        </is>
      </c>
      <c r="M842" s="8" t="n"/>
      <c r="N842" s="14" t="n"/>
      <c r="O842" s="7" t="inlineStr"/>
      <c r="P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/>
      <c r="K843" s="8" t="n"/>
      <c r="L843" s="7" t="inlineStr">
        <is>
          <t>SEM COTAÇÃO</t>
        </is>
      </c>
      <c r="M843" s="8" t="n"/>
      <c r="N843" s="14" t="n"/>
      <c r="O843" s="7" t="inlineStr"/>
      <c r="P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/>
      <c r="K844" s="8" t="n"/>
      <c r="L844" s="7" t="inlineStr">
        <is>
          <t>SEM COTAÇÃO</t>
        </is>
      </c>
      <c r="M844" s="8" t="n"/>
      <c r="N844" s="14" t="n"/>
      <c r="O844" s="7" t="inlineStr"/>
      <c r="P844" s="7" t="inlineStr"/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15" t="n">
        <v>20.44</v>
      </c>
      <c r="K845" s="8" t="n"/>
      <c r="L845" s="7" t="inlineStr">
        <is>
          <t>DIMEC</t>
        </is>
      </c>
      <c r="M845" s="8" t="n">
        <v>20.44</v>
      </c>
      <c r="N845" s="14">
        <f>M845/H845-1</f>
        <v/>
      </c>
      <c r="O845" s="16" t="inlineStr">
        <is>
          <t>ACIMA +24.5%</t>
        </is>
      </c>
      <c r="P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/>
      <c r="K846" s="8" t="n"/>
      <c r="L846" s="7" t="inlineStr">
        <is>
          <t>SEM COTAÇÃO</t>
        </is>
      </c>
      <c r="M846" s="8" t="n"/>
      <c r="N846" s="14" t="n"/>
      <c r="O846" s="7" t="inlineStr"/>
      <c r="P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15" t="n">
        <v>2.63</v>
      </c>
      <c r="K847" s="8" t="n"/>
      <c r="L847" s="7" t="inlineStr">
        <is>
          <t>DIMEC</t>
        </is>
      </c>
      <c r="M847" s="8" t="n">
        <v>2.63</v>
      </c>
      <c r="N847" s="14">
        <f>M847/H847-1</f>
        <v/>
      </c>
      <c r="O847" s="17" t="inlineStr">
        <is>
          <t>OK (≤ últ. compra)</t>
        </is>
      </c>
      <c r="P847" s="7" t="inlineStr"/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/>
      <c r="K848" s="8" t="n"/>
      <c r="L848" s="7" t="inlineStr">
        <is>
          <t>SEM COTAÇÃO</t>
        </is>
      </c>
      <c r="M848" s="8" t="n"/>
      <c r="N848" s="14" t="n"/>
      <c r="O848" s="7" t="inlineStr"/>
      <c r="P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15" t="n">
        <v>5.58</v>
      </c>
      <c r="K849" s="8" t="n"/>
      <c r="L849" s="7" t="inlineStr">
        <is>
          <t>DIMEC</t>
        </is>
      </c>
      <c r="M849" s="8" t="n">
        <v>5.58</v>
      </c>
      <c r="N849" s="14">
        <f>M849/H849-1</f>
        <v/>
      </c>
      <c r="O849" s="16" t="inlineStr">
        <is>
          <t>ACIMA +1.8%</t>
        </is>
      </c>
      <c r="P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15" t="n">
        <v>4.25</v>
      </c>
      <c r="K850" s="8" t="n"/>
      <c r="L850" s="7" t="inlineStr">
        <is>
          <t>DIMEC</t>
        </is>
      </c>
      <c r="M850" s="8" t="n">
        <v>4.25</v>
      </c>
      <c r="N850" s="14">
        <f>M850/H850-1</f>
        <v/>
      </c>
      <c r="O850" s="16" t="inlineStr">
        <is>
          <t>ACIMA +26.5%</t>
        </is>
      </c>
      <c r="P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15" t="n">
        <v>2.55</v>
      </c>
      <c r="K851" s="8" t="n"/>
      <c r="L851" s="7" t="inlineStr">
        <is>
          <t>DIMEC</t>
        </is>
      </c>
      <c r="M851" s="8" t="n">
        <v>2.55</v>
      </c>
      <c r="N851" s="14">
        <f>M851/H851-1</f>
        <v/>
      </c>
      <c r="O851" s="16" t="inlineStr">
        <is>
          <t>ACIMA +0.8%</t>
        </is>
      </c>
      <c r="P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/>
      <c r="K852" s="8" t="n"/>
      <c r="L852" s="7" t="inlineStr">
        <is>
          <t>SEM COTAÇÃO</t>
        </is>
      </c>
      <c r="M852" s="8" t="n"/>
      <c r="N852" s="14" t="n"/>
      <c r="O852" s="7" t="inlineStr"/>
      <c r="P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/>
      <c r="K853" s="8" t="n"/>
      <c r="L853" s="7" t="inlineStr">
        <is>
          <t>SEM COTAÇÃO</t>
        </is>
      </c>
      <c r="M853" s="8" t="n"/>
      <c r="N853" s="14" t="n"/>
      <c r="O853" s="7" t="inlineStr"/>
      <c r="P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15" t="n">
        <v>6.43</v>
      </c>
      <c r="K854" s="8" t="n"/>
      <c r="L854" s="7" t="inlineStr">
        <is>
          <t>DIMEC</t>
        </is>
      </c>
      <c r="M854" s="8" t="n">
        <v>6.43</v>
      </c>
      <c r="N854" s="14">
        <f>M854/H854-1</f>
        <v/>
      </c>
      <c r="O854" s="16" t="inlineStr">
        <is>
          <t>ACIMA +3.9%</t>
        </is>
      </c>
      <c r="P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/>
      <c r="K855" s="8" t="n"/>
      <c r="L855" s="7" t="inlineStr">
        <is>
          <t>SEM COTAÇÃO</t>
        </is>
      </c>
      <c r="M855" s="8" t="n"/>
      <c r="N855" s="14" t="n"/>
      <c r="O855" s="7" t="inlineStr"/>
      <c r="P855" s="7" t="inlineStr"/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15" t="n">
        <v>7.42</v>
      </c>
      <c r="K856" s="8" t="n"/>
      <c r="L856" s="7" t="inlineStr">
        <is>
          <t>DIMEC</t>
        </is>
      </c>
      <c r="M856" s="8" t="n">
        <v>7.42</v>
      </c>
      <c r="N856" s="14">
        <f>M856/H856-1</f>
        <v/>
      </c>
      <c r="O856" s="16" t="inlineStr">
        <is>
          <t>ACIMA +23.9%</t>
        </is>
      </c>
      <c r="P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15" t="n">
        <v>46.94</v>
      </c>
      <c r="K857" s="8" t="n">
        <v>47.49</v>
      </c>
      <c r="L857" s="7" t="inlineStr">
        <is>
          <t>DIMEC</t>
        </is>
      </c>
      <c r="M857" s="8" t="n">
        <v>46.94</v>
      </c>
      <c r="N857" s="14">
        <f>M857/H857-1</f>
        <v/>
      </c>
      <c r="O857" s="16" t="inlineStr">
        <is>
          <t>ACIMA +57.1%</t>
        </is>
      </c>
      <c r="P857" s="7" t="inlineStr"/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/>
      <c r="K858" s="8" t="n"/>
      <c r="L858" s="7" t="inlineStr">
        <is>
          <t>SEM COTAÇÃO</t>
        </is>
      </c>
      <c r="M858" s="8" t="n"/>
      <c r="N858" s="14" t="n"/>
      <c r="O858" s="7" t="inlineStr"/>
      <c r="P858" s="7" t="inlineStr"/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/>
      <c r="K859" s="8" t="n"/>
      <c r="L859" s="7" t="inlineStr">
        <is>
          <t>SEM COTAÇÃO</t>
        </is>
      </c>
      <c r="M859" s="8" t="n"/>
      <c r="N859" s="14" t="n"/>
      <c r="O859" s="7" t="inlineStr"/>
      <c r="P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15" t="n">
        <v>8.4</v>
      </c>
      <c r="K860" s="8" t="n"/>
      <c r="L860" s="7" t="inlineStr">
        <is>
          <t>DIMEC</t>
        </is>
      </c>
      <c r="M860" s="8" t="n">
        <v>8.4</v>
      </c>
      <c r="N860" s="14">
        <f>M860/H860-1</f>
        <v/>
      </c>
      <c r="O860" s="16" t="inlineStr">
        <is>
          <t>ACIMA +25.6%</t>
        </is>
      </c>
      <c r="P860" s="7" t="inlineStr"/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/>
      <c r="K861" s="15" t="n">
        <v>10.19</v>
      </c>
      <c r="L861" s="7" t="inlineStr">
        <is>
          <t>PLUSFARMA</t>
        </is>
      </c>
      <c r="M861" s="8" t="n">
        <v>10.19</v>
      </c>
      <c r="N861" s="14">
        <f>M861/H861-1</f>
        <v/>
      </c>
      <c r="O861" s="17" t="inlineStr">
        <is>
          <t>OK (≤ menor hist.)</t>
        </is>
      </c>
      <c r="P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/>
      <c r="K862" s="8" t="n"/>
      <c r="L862" s="7" t="inlineStr">
        <is>
          <t>SEM COTAÇÃO</t>
        </is>
      </c>
      <c r="M862" s="8" t="n"/>
      <c r="N862" s="14" t="n"/>
      <c r="O862" s="7" t="inlineStr"/>
      <c r="P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15" t="n">
        <v>8.949999999999999</v>
      </c>
      <c r="K863" s="8" t="n"/>
      <c r="L863" s="7" t="inlineStr">
        <is>
          <t>DIMEC</t>
        </is>
      </c>
      <c r="M863" s="8" t="n">
        <v>8.949999999999999</v>
      </c>
      <c r="N863" s="14">
        <f>M863/H863-1</f>
        <v/>
      </c>
      <c r="O863" s="16" t="inlineStr">
        <is>
          <t>ACIMA +0.2%</t>
        </is>
      </c>
      <c r="P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15" t="n">
        <v>2.08</v>
      </c>
      <c r="K864" s="8" t="n"/>
      <c r="L864" s="7" t="inlineStr">
        <is>
          <t>DIMEC</t>
        </is>
      </c>
      <c r="M864" s="8" t="n">
        <v>2.08</v>
      </c>
      <c r="N864" s="14">
        <f>M864/H864-1</f>
        <v/>
      </c>
      <c r="O864" s="16" t="inlineStr">
        <is>
          <t>ACIMA +3.0%</t>
        </is>
      </c>
      <c r="P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15" t="n">
        <v>3.2</v>
      </c>
      <c r="K865" s="8" t="n"/>
      <c r="L865" s="7" t="inlineStr">
        <is>
          <t>DIMEC</t>
        </is>
      </c>
      <c r="M865" s="8" t="n">
        <v>3.2</v>
      </c>
      <c r="N865" s="14">
        <f>M865/H865-1</f>
        <v/>
      </c>
      <c r="O865" s="17" t="inlineStr">
        <is>
          <t>OK (≤ menor hist.)</t>
        </is>
      </c>
      <c r="P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/>
      <c r="K866" s="8" t="n"/>
      <c r="L866" s="7" t="inlineStr">
        <is>
          <t>SEM COTAÇÃO</t>
        </is>
      </c>
      <c r="M866" s="8" t="n"/>
      <c r="N866" s="14" t="n"/>
      <c r="O866" s="7" t="inlineStr"/>
      <c r="P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/>
      <c r="K867" s="15" t="n">
        <v>18.09</v>
      </c>
      <c r="L867" s="7" t="inlineStr">
        <is>
          <t>PLUSFARMA</t>
        </is>
      </c>
      <c r="M867" s="8" t="n">
        <v>18.09</v>
      </c>
      <c r="N867" s="14">
        <f>M867/H867-1</f>
        <v/>
      </c>
      <c r="O867" s="16" t="inlineStr">
        <is>
          <t>ACIMA +21.0%</t>
        </is>
      </c>
      <c r="P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/>
      <c r="K868" s="8" t="n"/>
      <c r="L868" s="7" t="inlineStr">
        <is>
          <t>SEM COTAÇÃO</t>
        </is>
      </c>
      <c r="M868" s="8" t="n"/>
      <c r="N868" s="14" t="n"/>
      <c r="O868" s="7" t="inlineStr"/>
      <c r="P868" s="7" t="inlineStr"/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/>
      <c r="K869" s="8" t="n"/>
      <c r="L869" s="7" t="inlineStr">
        <is>
          <t>SEM COTAÇÃO</t>
        </is>
      </c>
      <c r="M869" s="8" t="n"/>
      <c r="N869" s="14" t="n"/>
      <c r="O869" s="7" t="inlineStr"/>
      <c r="P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/>
      <c r="K870" s="8" t="n"/>
      <c r="L870" s="7" t="inlineStr">
        <is>
          <t>SEM COTAÇÃO</t>
        </is>
      </c>
      <c r="M870" s="8" t="n"/>
      <c r="N870" s="14" t="n"/>
      <c r="O870" s="7" t="inlineStr"/>
      <c r="P870" s="7" t="inlineStr"/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/>
      <c r="K871" s="8" t="n"/>
      <c r="L871" s="7" t="inlineStr">
        <is>
          <t>SEM COTAÇÃO</t>
        </is>
      </c>
      <c r="M871" s="8" t="n"/>
      <c r="N871" s="14" t="n"/>
      <c r="O871" s="7" t="inlineStr"/>
      <c r="P871" s="7" t="inlineStr"/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/>
      <c r="K872" s="15" t="n">
        <v>8.15</v>
      </c>
      <c r="L872" s="7" t="inlineStr">
        <is>
          <t>PLUSFARMA</t>
        </is>
      </c>
      <c r="M872" s="8" t="n">
        <v>8.15</v>
      </c>
      <c r="N872" s="14">
        <f>M872/H872-1</f>
        <v/>
      </c>
      <c r="O872" s="16" t="inlineStr">
        <is>
          <t>ACIMA +21.5%</t>
        </is>
      </c>
      <c r="P872" s="7" t="inlineStr"/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/>
      <c r="K873" s="15" t="n">
        <v>16.8</v>
      </c>
      <c r="L873" s="7" t="inlineStr">
        <is>
          <t>PLUSFARMA</t>
        </is>
      </c>
      <c r="M873" s="8" t="n">
        <v>16.8</v>
      </c>
      <c r="N873" s="14">
        <f>M873/H873-1</f>
        <v/>
      </c>
      <c r="O873" s="16" t="inlineStr">
        <is>
          <t>ACIMA +15.3%</t>
        </is>
      </c>
      <c r="P873" s="7" t="inlineStr"/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15" t="n">
        <v>2.23</v>
      </c>
      <c r="K874" s="8" t="n"/>
      <c r="L874" s="7" t="inlineStr">
        <is>
          <t>DIMEC</t>
        </is>
      </c>
      <c r="M874" s="8" t="n">
        <v>2.23</v>
      </c>
      <c r="N874" s="14">
        <f>M874/H874-1</f>
        <v/>
      </c>
      <c r="O874" s="16" t="inlineStr">
        <is>
          <t>ACIMA +5.2%</t>
        </is>
      </c>
      <c r="P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/>
      <c r="K875" s="8" t="n"/>
      <c r="L875" s="7" t="inlineStr">
        <is>
          <t>SEM COTAÇÃO</t>
        </is>
      </c>
      <c r="M875" s="8" t="n"/>
      <c r="N875" s="14" t="n"/>
      <c r="O875" s="7" t="inlineStr"/>
      <c r="P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/>
      <c r="K876" s="8" t="n"/>
      <c r="L876" s="7" t="inlineStr">
        <is>
          <t>SEM COTAÇÃO</t>
        </is>
      </c>
      <c r="M876" s="8" t="n"/>
      <c r="N876" s="14" t="n"/>
      <c r="O876" s="7" t="inlineStr"/>
      <c r="P876" s="7" t="inlineStr"/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17.29</v>
      </c>
      <c r="K877" s="15" t="n">
        <v>16.95</v>
      </c>
      <c r="L877" s="7" t="inlineStr">
        <is>
          <t>PLUSFARMA</t>
        </is>
      </c>
      <c r="M877" s="8" t="n">
        <v>16.95</v>
      </c>
      <c r="N877" s="14">
        <f>M877/H877-1</f>
        <v/>
      </c>
      <c r="O877" s="16" t="inlineStr">
        <is>
          <t>ACIMA +20.4%</t>
        </is>
      </c>
      <c r="P877" s="7" t="inlineStr"/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/>
      <c r="K878" s="15" t="n">
        <v>4.75</v>
      </c>
      <c r="L878" s="7" t="inlineStr">
        <is>
          <t>PLUSFARMA</t>
        </is>
      </c>
      <c r="M878" s="8" t="n">
        <v>4.75</v>
      </c>
      <c r="N878" s="14">
        <f>M878/H878-1</f>
        <v/>
      </c>
      <c r="O878" s="17" t="inlineStr">
        <is>
          <t>OK (≤ menor hist.)</t>
        </is>
      </c>
      <c r="P878" s="7" t="inlineStr"/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15" t="n">
        <v>17.18</v>
      </c>
      <c r="K879" s="8" t="n"/>
      <c r="L879" s="7" t="inlineStr">
        <is>
          <t>DIMEC</t>
        </is>
      </c>
      <c r="M879" s="8" t="n">
        <v>17.18</v>
      </c>
      <c r="N879" s="14">
        <f>M879/H879-1</f>
        <v/>
      </c>
      <c r="O879" s="16" t="inlineStr">
        <is>
          <t>ACIMA +11.7%</t>
        </is>
      </c>
      <c r="P879" s="7" t="inlineStr"/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15" t="n">
        <v>17</v>
      </c>
      <c r="K880" s="8" t="n"/>
      <c r="L880" s="7" t="inlineStr">
        <is>
          <t>DIMEC</t>
        </is>
      </c>
      <c r="M880" s="8" t="n">
        <v>17</v>
      </c>
      <c r="N880" s="14">
        <f>M880/H880-1</f>
        <v/>
      </c>
      <c r="O880" s="16" t="inlineStr">
        <is>
          <t>ACIMA +30.3%</t>
        </is>
      </c>
      <c r="P880" s="7" t="inlineStr"/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15" t="n">
        <v>5.44</v>
      </c>
      <c r="K881" s="8" t="n"/>
      <c r="L881" s="7" t="inlineStr">
        <is>
          <t>DIMEC</t>
        </is>
      </c>
      <c r="M881" s="8" t="n">
        <v>5.44</v>
      </c>
      <c r="N881" s="14">
        <f>M881/H881-1</f>
        <v/>
      </c>
      <c r="O881" s="16" t="inlineStr">
        <is>
          <t>ACIMA +30.9%</t>
        </is>
      </c>
      <c r="P881" s="7" t="inlineStr"/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/>
      <c r="K882" s="8" t="n"/>
      <c r="L882" s="7" t="inlineStr">
        <is>
          <t>SEM COTAÇÃO</t>
        </is>
      </c>
      <c r="M882" s="8" t="n"/>
      <c r="N882" s="14" t="n"/>
      <c r="O882" s="7" t="inlineStr"/>
      <c r="P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/>
      <c r="K883" s="8" t="n"/>
      <c r="L883" s="7" t="inlineStr">
        <is>
          <t>SEM COTAÇÃO</t>
        </is>
      </c>
      <c r="M883" s="8" t="n"/>
      <c r="N883" s="14" t="n"/>
      <c r="O883" s="7" t="inlineStr"/>
      <c r="P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/>
      <c r="K884" s="8" t="n"/>
      <c r="L884" s="7" t="inlineStr">
        <is>
          <t>SEM COTAÇÃO</t>
        </is>
      </c>
      <c r="M884" s="8" t="n"/>
      <c r="N884" s="14" t="n"/>
      <c r="O884" s="7" t="inlineStr"/>
      <c r="P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/>
      <c r="K885" s="8" t="n"/>
      <c r="L885" s="7" t="inlineStr">
        <is>
          <t>SEM COTAÇÃO</t>
        </is>
      </c>
      <c r="M885" s="8" t="n"/>
      <c r="N885" s="14" t="n"/>
      <c r="O885" s="7" t="inlineStr"/>
      <c r="P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/>
      <c r="K886" s="8" t="n"/>
      <c r="L886" s="7" t="inlineStr">
        <is>
          <t>SEM COTAÇÃO</t>
        </is>
      </c>
      <c r="M886" s="8" t="n"/>
      <c r="N886" s="14" t="n"/>
      <c r="O886" s="7" t="inlineStr"/>
      <c r="P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/>
      <c r="K887" s="8" t="n"/>
      <c r="L887" s="7" t="inlineStr">
        <is>
          <t>SEM COTAÇÃO</t>
        </is>
      </c>
      <c r="M887" s="8" t="n"/>
      <c r="N887" s="14" t="n"/>
      <c r="O887" s="7" t="inlineStr"/>
      <c r="P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/>
      <c r="K888" s="8" t="n"/>
      <c r="L888" s="7" t="inlineStr">
        <is>
          <t>SEM COTAÇÃO</t>
        </is>
      </c>
      <c r="M888" s="8" t="n"/>
      <c r="N888" s="14" t="n"/>
      <c r="O888" s="7" t="inlineStr"/>
      <c r="P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7" t="inlineStr">
        <is>
          <t>SEM COTAÇÃO</t>
        </is>
      </c>
      <c r="M889" s="8" t="n"/>
      <c r="N889" s="14" t="n"/>
      <c r="O889" s="7" t="inlineStr"/>
      <c r="P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/>
      <c r="K890" s="8" t="n"/>
      <c r="L890" s="7" t="inlineStr">
        <is>
          <t>SEM COTAÇÃO</t>
        </is>
      </c>
      <c r="M890" s="8" t="n"/>
      <c r="N890" s="14" t="n"/>
      <c r="O890" s="7" t="inlineStr"/>
      <c r="P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/>
      <c r="K891" s="8" t="n"/>
      <c r="L891" s="7" t="inlineStr">
        <is>
          <t>SEM COTAÇÃO</t>
        </is>
      </c>
      <c r="M891" s="8" t="n"/>
      <c r="N891" s="14" t="n"/>
      <c r="O891" s="7" t="inlineStr"/>
      <c r="P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/>
      <c r="K892" s="8" t="n"/>
      <c r="L892" s="7" t="inlineStr">
        <is>
          <t>SEM COTAÇÃO</t>
        </is>
      </c>
      <c r="M892" s="8" t="n"/>
      <c r="N892" s="14" t="n"/>
      <c r="O892" s="7" t="inlineStr"/>
      <c r="P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/>
      <c r="K893" s="8" t="n"/>
      <c r="L893" s="7" t="inlineStr">
        <is>
          <t>SEM COTAÇÃO</t>
        </is>
      </c>
      <c r="M893" s="8" t="n"/>
      <c r="N893" s="14" t="n"/>
      <c r="O893" s="7" t="inlineStr"/>
      <c r="P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/>
      <c r="K894" s="8" t="n"/>
      <c r="L894" s="7" t="inlineStr">
        <is>
          <t>SEM COTAÇÃO</t>
        </is>
      </c>
      <c r="M894" s="8" t="n"/>
      <c r="N894" s="14" t="n"/>
      <c r="O894" s="7" t="inlineStr"/>
      <c r="P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/>
      <c r="K895" s="8" t="n"/>
      <c r="L895" s="7" t="inlineStr">
        <is>
          <t>SEM COTAÇÃO</t>
        </is>
      </c>
      <c r="M895" s="8" t="n"/>
      <c r="N895" s="14" t="n"/>
      <c r="O895" s="7" t="inlineStr"/>
      <c r="P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/>
      <c r="K896" s="8" t="n"/>
      <c r="L896" s="7" t="inlineStr">
        <is>
          <t>SEM COTAÇÃO</t>
        </is>
      </c>
      <c r="M896" s="8" t="n"/>
      <c r="N896" s="14" t="n"/>
      <c r="O896" s="7" t="inlineStr"/>
      <c r="P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/>
      <c r="K897" s="8" t="n"/>
      <c r="L897" s="7" t="inlineStr">
        <is>
          <t>SEM COTAÇÃO</t>
        </is>
      </c>
      <c r="M897" s="8" t="n"/>
      <c r="N897" s="14" t="n"/>
      <c r="O897" s="7" t="inlineStr"/>
      <c r="P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/>
      <c r="K898" s="8" t="n"/>
      <c r="L898" s="7" t="inlineStr">
        <is>
          <t>SEM COTAÇÃO</t>
        </is>
      </c>
      <c r="M898" s="8" t="n"/>
      <c r="N898" s="14" t="n"/>
      <c r="O898" s="7" t="inlineStr"/>
      <c r="P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/>
      <c r="K899" s="8" t="n"/>
      <c r="L899" s="7" t="inlineStr">
        <is>
          <t>SEM COTAÇÃO</t>
        </is>
      </c>
      <c r="M899" s="8" t="n"/>
      <c r="N899" s="14" t="n"/>
      <c r="O899" s="7" t="inlineStr"/>
      <c r="P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/>
      <c r="K900" s="8" t="n"/>
      <c r="L900" s="7" t="inlineStr">
        <is>
          <t>SEM COTAÇÃO</t>
        </is>
      </c>
      <c r="M900" s="8" t="n"/>
      <c r="N900" s="14" t="n"/>
      <c r="O900" s="7" t="inlineStr"/>
      <c r="P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/>
      <c r="K901" s="8" t="n"/>
      <c r="L901" s="7" t="inlineStr">
        <is>
          <t>SEM COTAÇÃO</t>
        </is>
      </c>
      <c r="M901" s="8" t="n"/>
      <c r="N901" s="14" t="n"/>
      <c r="O901" s="7" t="inlineStr"/>
      <c r="P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/>
      <c r="K902" s="8" t="n"/>
      <c r="L902" s="7" t="inlineStr">
        <is>
          <t>SEM COTAÇÃO</t>
        </is>
      </c>
      <c r="M902" s="8" t="n"/>
      <c r="N902" s="14" t="n"/>
      <c r="O902" s="7" t="inlineStr"/>
      <c r="P902" s="7" t="inlineStr"/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/>
      <c r="K903" s="8" t="n"/>
      <c r="L903" s="7" t="inlineStr">
        <is>
          <t>SEM COTAÇÃO</t>
        </is>
      </c>
      <c r="M903" s="8" t="n"/>
      <c r="N903" s="14" t="n"/>
      <c r="O903" s="7" t="inlineStr"/>
      <c r="P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/>
      <c r="K904" s="8" t="n"/>
      <c r="L904" s="7" t="inlineStr">
        <is>
          <t>SEM COTAÇÃO</t>
        </is>
      </c>
      <c r="M904" s="8" t="n"/>
      <c r="N904" s="14" t="n"/>
      <c r="O904" s="7" t="inlineStr"/>
      <c r="P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/>
      <c r="K905" s="8" t="n"/>
      <c r="L905" s="7" t="inlineStr">
        <is>
          <t>SEM COTAÇÃO</t>
        </is>
      </c>
      <c r="M905" s="8" t="n"/>
      <c r="N905" s="14" t="n"/>
      <c r="O905" s="7" t="inlineStr"/>
      <c r="P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/>
      <c r="K906" s="8" t="n"/>
      <c r="L906" s="7" t="inlineStr">
        <is>
          <t>SEM COTAÇÃO</t>
        </is>
      </c>
      <c r="M906" s="8" t="n"/>
      <c r="N906" s="14" t="n"/>
      <c r="O906" s="7" t="inlineStr"/>
      <c r="P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/>
      <c r="K907" s="8" t="n"/>
      <c r="L907" s="7" t="inlineStr">
        <is>
          <t>SEM COTAÇÃO</t>
        </is>
      </c>
      <c r="M907" s="8" t="n"/>
      <c r="N907" s="14" t="n"/>
      <c r="O907" s="7" t="inlineStr"/>
      <c r="P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/>
      <c r="K908" s="8" t="n"/>
      <c r="L908" s="7" t="inlineStr">
        <is>
          <t>SEM COTAÇÃO</t>
        </is>
      </c>
      <c r="M908" s="8" t="n"/>
      <c r="N908" s="14" t="n"/>
      <c r="O908" s="7" t="inlineStr"/>
      <c r="P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/>
      <c r="K909" s="8" t="n"/>
      <c r="L909" s="7" t="inlineStr">
        <is>
          <t>SEM COTAÇÃO</t>
        </is>
      </c>
      <c r="M909" s="8" t="n"/>
      <c r="N909" s="14" t="n"/>
      <c r="O909" s="7" t="inlineStr"/>
      <c r="P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/>
      <c r="K910" s="8" t="n"/>
      <c r="L910" s="7" t="inlineStr">
        <is>
          <t>SEM COTAÇÃO</t>
        </is>
      </c>
      <c r="M910" s="8" t="n"/>
      <c r="N910" s="14" t="n"/>
      <c r="O910" s="7" t="inlineStr"/>
      <c r="P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/>
      <c r="K911" s="8" t="n"/>
      <c r="L911" s="7" t="inlineStr">
        <is>
          <t>SEM COTAÇÃO</t>
        </is>
      </c>
      <c r="M911" s="8" t="n"/>
      <c r="N911" s="14" t="n"/>
      <c r="O911" s="7" t="inlineStr"/>
      <c r="P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/>
      <c r="K912" s="8" t="n"/>
      <c r="L912" s="7" t="inlineStr">
        <is>
          <t>SEM COTAÇÃO</t>
        </is>
      </c>
      <c r="M912" s="8" t="n"/>
      <c r="N912" s="14" t="n"/>
      <c r="O912" s="7" t="inlineStr"/>
      <c r="P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/>
      <c r="K913" s="8" t="n"/>
      <c r="L913" s="7" t="inlineStr">
        <is>
          <t>SEM COTAÇÃO</t>
        </is>
      </c>
      <c r="M913" s="8" t="n"/>
      <c r="N913" s="14" t="n"/>
      <c r="O913" s="7" t="inlineStr"/>
      <c r="P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/>
      <c r="K914" s="8" t="n"/>
      <c r="L914" s="7" t="inlineStr">
        <is>
          <t>SEM COTAÇÃO</t>
        </is>
      </c>
      <c r="M914" s="8" t="n"/>
      <c r="N914" s="14" t="n"/>
      <c r="O914" s="7" t="inlineStr"/>
      <c r="P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/>
      <c r="K915" s="8" t="n"/>
      <c r="L915" s="7" t="inlineStr">
        <is>
          <t>SEM COTAÇÃO</t>
        </is>
      </c>
      <c r="M915" s="8" t="n"/>
      <c r="N915" s="14" t="n"/>
      <c r="O915" s="7" t="inlineStr"/>
      <c r="P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/>
      <c r="K916" s="8" t="n"/>
      <c r="L916" s="7" t="inlineStr">
        <is>
          <t>SEM COTAÇÃO</t>
        </is>
      </c>
      <c r="M916" s="8" t="n"/>
      <c r="N916" s="14" t="n"/>
      <c r="O916" s="7" t="inlineStr"/>
      <c r="P916" s="7" t="inlineStr"/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/>
      <c r="K917" s="8" t="n"/>
      <c r="L917" s="7" t="inlineStr">
        <is>
          <t>SEM COTAÇÃO</t>
        </is>
      </c>
      <c r="M917" s="8" t="n"/>
      <c r="N917" s="14" t="n"/>
      <c r="O917" s="7" t="inlineStr"/>
      <c r="P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/>
      <c r="K918" s="8" t="n"/>
      <c r="L918" s="7" t="inlineStr">
        <is>
          <t>SEM COTAÇÃO</t>
        </is>
      </c>
      <c r="M918" s="8" t="n"/>
      <c r="N918" s="14" t="n"/>
      <c r="O918" s="7" t="inlineStr"/>
      <c r="P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/>
      <c r="K919" s="8" t="n"/>
      <c r="L919" s="7" t="inlineStr">
        <is>
          <t>SEM COTAÇÃO</t>
        </is>
      </c>
      <c r="M919" s="8" t="n"/>
      <c r="N919" s="14" t="n"/>
      <c r="O919" s="7" t="inlineStr"/>
      <c r="P919" s="7" t="inlineStr"/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7" t="inlineStr">
        <is>
          <t>SEM COTAÇÃO</t>
        </is>
      </c>
      <c r="M920" s="8" t="n"/>
      <c r="N920" s="14" t="n"/>
      <c r="O920" s="7" t="inlineStr"/>
      <c r="P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7" t="inlineStr">
        <is>
          <t>SEM COTAÇÃO</t>
        </is>
      </c>
      <c r="M921" s="8" t="n"/>
      <c r="N921" s="14" t="n"/>
      <c r="O921" s="7" t="inlineStr"/>
      <c r="P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/>
      <c r="K922" s="8" t="n"/>
      <c r="L922" s="7" t="inlineStr">
        <is>
          <t>SEM COTAÇÃO</t>
        </is>
      </c>
      <c r="M922" s="8" t="n"/>
      <c r="N922" s="14" t="n"/>
      <c r="O922" s="7" t="inlineStr"/>
      <c r="P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7" t="inlineStr">
        <is>
          <t>SEM COTAÇÃO</t>
        </is>
      </c>
      <c r="M923" s="8" t="n"/>
      <c r="N923" s="14" t="n"/>
      <c r="O923" s="7" t="inlineStr"/>
      <c r="P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/>
      <c r="K924" s="8" t="n"/>
      <c r="L924" s="7" t="inlineStr">
        <is>
          <t>SEM COTAÇÃO</t>
        </is>
      </c>
      <c r="M924" s="8" t="n"/>
      <c r="N924" s="14" t="n"/>
      <c r="O924" s="7" t="inlineStr"/>
      <c r="P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/>
      <c r="K925" s="8" t="n"/>
      <c r="L925" s="7" t="inlineStr">
        <is>
          <t>SEM COTAÇÃO</t>
        </is>
      </c>
      <c r="M925" s="8" t="n"/>
      <c r="N925" s="14" t="n"/>
      <c r="O925" s="7" t="inlineStr"/>
      <c r="P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/>
      <c r="K926" s="8" t="n"/>
      <c r="L926" s="7" t="inlineStr">
        <is>
          <t>SEM COTAÇÃO</t>
        </is>
      </c>
      <c r="M926" s="8" t="n"/>
      <c r="N926" s="14" t="n"/>
      <c r="O926" s="7" t="inlineStr"/>
      <c r="P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15" t="n">
        <v>0.6</v>
      </c>
      <c r="K927" s="8" t="n"/>
      <c r="L927" s="7" t="inlineStr">
        <is>
          <t>DIMEC</t>
        </is>
      </c>
      <c r="M927" s="8" t="n">
        <v>0.6</v>
      </c>
      <c r="N927" s="14">
        <f>M927/H927-1</f>
        <v/>
      </c>
      <c r="O927" s="16" t="inlineStr">
        <is>
          <t>ACIMA +11.1%</t>
        </is>
      </c>
      <c r="P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/>
      <c r="K928" s="8" t="n"/>
      <c r="L928" s="7" t="inlineStr">
        <is>
          <t>SEM COTAÇÃO</t>
        </is>
      </c>
      <c r="M928" s="8" t="n"/>
      <c r="N928" s="14" t="n"/>
      <c r="O928" s="7" t="inlineStr"/>
      <c r="P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/>
      <c r="K929" s="8" t="n"/>
      <c r="L929" s="7" t="inlineStr">
        <is>
          <t>SEM COTAÇÃO</t>
        </is>
      </c>
      <c r="M929" s="8" t="n"/>
      <c r="N929" s="14" t="n"/>
      <c r="O929" s="7" t="inlineStr"/>
      <c r="P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/>
      <c r="K930" s="8" t="n"/>
      <c r="L930" s="7" t="inlineStr">
        <is>
          <t>SEM COTAÇÃO</t>
        </is>
      </c>
      <c r="M930" s="8" t="n"/>
      <c r="N930" s="14" t="n"/>
      <c r="O930" s="7" t="inlineStr"/>
      <c r="P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/>
      <c r="K931" s="8" t="n"/>
      <c r="L931" s="7" t="inlineStr">
        <is>
          <t>SEM COTAÇÃO</t>
        </is>
      </c>
      <c r="M931" s="8" t="n"/>
      <c r="N931" s="14" t="n"/>
      <c r="O931" s="7" t="inlineStr"/>
      <c r="P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/>
      <c r="K932" s="8" t="n"/>
      <c r="L932" s="7" t="inlineStr">
        <is>
          <t>SEM COTAÇÃO</t>
        </is>
      </c>
      <c r="M932" s="8" t="n"/>
      <c r="N932" s="14" t="n"/>
      <c r="O932" s="7" t="inlineStr"/>
      <c r="P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/>
      <c r="K933" s="8" t="n"/>
      <c r="L933" s="7" t="inlineStr">
        <is>
          <t>SEM COTAÇÃO</t>
        </is>
      </c>
      <c r="M933" s="8" t="n"/>
      <c r="N933" s="14" t="n"/>
      <c r="O933" s="7" t="inlineStr"/>
      <c r="P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/>
      <c r="K934" s="8" t="n"/>
      <c r="L934" s="7" t="inlineStr">
        <is>
          <t>SEM COTAÇÃO</t>
        </is>
      </c>
      <c r="M934" s="8" t="n"/>
      <c r="N934" s="14" t="n"/>
      <c r="O934" s="7" t="inlineStr"/>
      <c r="P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/>
      <c r="K935" s="8" t="n"/>
      <c r="L935" s="7" t="inlineStr">
        <is>
          <t>SEM COTAÇÃO</t>
        </is>
      </c>
      <c r="M935" s="8" t="n"/>
      <c r="N935" s="14" t="n"/>
      <c r="O935" s="7" t="inlineStr"/>
      <c r="P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/>
      <c r="K936" s="8" t="n"/>
      <c r="L936" s="7" t="inlineStr">
        <is>
          <t>SEM COTAÇÃO</t>
        </is>
      </c>
      <c r="M936" s="8" t="n"/>
      <c r="N936" s="14" t="n"/>
      <c r="O936" s="7" t="inlineStr"/>
      <c r="P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/>
      <c r="K937" s="8" t="n"/>
      <c r="L937" s="7" t="inlineStr">
        <is>
          <t>SEM COTAÇÃO</t>
        </is>
      </c>
      <c r="M937" s="8" t="n"/>
      <c r="N937" s="14" t="n"/>
      <c r="O937" s="7" t="inlineStr"/>
      <c r="P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/>
      <c r="K938" s="8" t="n"/>
      <c r="L938" s="7" t="inlineStr">
        <is>
          <t>SEM COTAÇÃO</t>
        </is>
      </c>
      <c r="M938" s="8" t="n"/>
      <c r="N938" s="14" t="n"/>
      <c r="O938" s="7" t="inlineStr"/>
      <c r="P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/>
      <c r="K939" s="8" t="n"/>
      <c r="L939" s="7" t="inlineStr">
        <is>
          <t>SEM COTAÇÃO</t>
        </is>
      </c>
      <c r="M939" s="8" t="n"/>
      <c r="N939" s="14" t="n"/>
      <c r="O939" s="7" t="inlineStr"/>
      <c r="P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/>
      <c r="K940" s="8" t="n"/>
      <c r="L940" s="7" t="inlineStr">
        <is>
          <t>SEM COTAÇÃO</t>
        </is>
      </c>
      <c r="M940" s="8" t="n"/>
      <c r="N940" s="14" t="n"/>
      <c r="O940" s="7" t="inlineStr"/>
      <c r="P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/>
      <c r="K941" s="8" t="n"/>
      <c r="L941" s="7" t="inlineStr">
        <is>
          <t>SEM COTAÇÃO</t>
        </is>
      </c>
      <c r="M941" s="8" t="n"/>
      <c r="N941" s="14" t="n"/>
      <c r="O941" s="7" t="inlineStr"/>
      <c r="P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/>
      <c r="K942" s="8" t="n"/>
      <c r="L942" s="7" t="inlineStr">
        <is>
          <t>SEM COTAÇÃO</t>
        </is>
      </c>
      <c r="M942" s="8" t="n"/>
      <c r="N942" s="14" t="n"/>
      <c r="O942" s="7" t="inlineStr"/>
      <c r="P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/>
      <c r="K943" s="8" t="n"/>
      <c r="L943" s="7" t="inlineStr">
        <is>
          <t>SEM COTAÇÃO</t>
        </is>
      </c>
      <c r="M943" s="8" t="n"/>
      <c r="N943" s="14" t="n"/>
      <c r="O943" s="7" t="inlineStr"/>
      <c r="P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/>
      <c r="K944" s="8" t="n"/>
      <c r="L944" s="7" t="inlineStr">
        <is>
          <t>SEM COTAÇÃO</t>
        </is>
      </c>
      <c r="M944" s="8" t="n"/>
      <c r="N944" s="14" t="n"/>
      <c r="O944" s="7" t="inlineStr"/>
      <c r="P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/>
      <c r="K945" s="8" t="n"/>
      <c r="L945" s="7" t="inlineStr">
        <is>
          <t>SEM COTAÇÃO</t>
        </is>
      </c>
      <c r="M945" s="8" t="n"/>
      <c r="N945" s="14" t="n"/>
      <c r="O945" s="7" t="inlineStr"/>
      <c r="P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/>
      <c r="K946" s="8" t="n"/>
      <c r="L946" s="7" t="inlineStr">
        <is>
          <t>SEM COTAÇÃO</t>
        </is>
      </c>
      <c r="M946" s="8" t="n"/>
      <c r="N946" s="14" t="n"/>
      <c r="O946" s="7" t="inlineStr"/>
      <c r="P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/>
      <c r="K947" s="8" t="n"/>
      <c r="L947" s="7" t="inlineStr">
        <is>
          <t>SEM COTAÇÃO</t>
        </is>
      </c>
      <c r="M947" s="8" t="n"/>
      <c r="N947" s="14" t="n"/>
      <c r="O947" s="7" t="inlineStr"/>
      <c r="P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/>
      <c r="K948" s="8" t="n"/>
      <c r="L948" s="7" t="inlineStr">
        <is>
          <t>SEM COTAÇÃO</t>
        </is>
      </c>
      <c r="M948" s="8" t="n"/>
      <c r="N948" s="14" t="n"/>
      <c r="O948" s="7" t="inlineStr"/>
      <c r="P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/>
      <c r="K949" s="8" t="n"/>
      <c r="L949" s="7" t="inlineStr">
        <is>
          <t>SEM COTAÇÃO</t>
        </is>
      </c>
      <c r="M949" s="8" t="n"/>
      <c r="N949" s="14" t="n"/>
      <c r="O949" s="7" t="inlineStr"/>
      <c r="P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/>
      <c r="K950" s="8" t="n"/>
      <c r="L950" s="7" t="inlineStr">
        <is>
          <t>SEM COTAÇÃO</t>
        </is>
      </c>
      <c r="M950" s="8" t="n"/>
      <c r="N950" s="14" t="n"/>
      <c r="O950" s="7" t="inlineStr"/>
      <c r="P950" s="7" t="inlineStr"/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/>
      <c r="K951" s="8" t="n"/>
      <c r="L951" s="7" t="inlineStr">
        <is>
          <t>SEM COTAÇÃO</t>
        </is>
      </c>
      <c r="M951" s="8" t="n"/>
      <c r="N951" s="14" t="n"/>
      <c r="O951" s="7" t="inlineStr"/>
      <c r="P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/>
      <c r="K952" s="8" t="n"/>
      <c r="L952" s="7" t="inlineStr">
        <is>
          <t>SEM COTAÇÃO</t>
        </is>
      </c>
      <c r="M952" s="8" t="n"/>
      <c r="N952" s="14" t="n"/>
      <c r="O952" s="7" t="inlineStr"/>
      <c r="P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/>
      <c r="K953" s="8" t="n"/>
      <c r="L953" s="7" t="inlineStr">
        <is>
          <t>SEM COTAÇÃO</t>
        </is>
      </c>
      <c r="M953" s="8" t="n"/>
      <c r="N953" s="14" t="n"/>
      <c r="O953" s="7" t="inlineStr"/>
      <c r="P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/>
      <c r="K954" s="8" t="n"/>
      <c r="L954" s="7" t="inlineStr">
        <is>
          <t>SEM COTAÇÃO</t>
        </is>
      </c>
      <c r="M954" s="8" t="n"/>
      <c r="N954" s="14" t="n"/>
      <c r="O954" s="7" t="inlineStr"/>
      <c r="P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/>
      <c r="K955" s="8" t="n"/>
      <c r="L955" s="7" t="inlineStr">
        <is>
          <t>SEM COTAÇÃO</t>
        </is>
      </c>
      <c r="M955" s="8" t="n"/>
      <c r="N955" s="14" t="n"/>
      <c r="O955" s="7" t="inlineStr"/>
      <c r="P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/>
      <c r="K956" s="8" t="n"/>
      <c r="L956" s="7" t="inlineStr">
        <is>
          <t>SEM COTAÇÃO</t>
        </is>
      </c>
      <c r="M956" s="8" t="n"/>
      <c r="N956" s="14" t="n"/>
      <c r="O956" s="7" t="inlineStr"/>
      <c r="P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15" t="n">
        <v>7.97</v>
      </c>
      <c r="K957" s="8" t="n"/>
      <c r="L957" s="7" t="inlineStr">
        <is>
          <t>DIMEC</t>
        </is>
      </c>
      <c r="M957" s="8" t="n">
        <v>7.97</v>
      </c>
      <c r="N957" s="14">
        <f>M957/H957-1</f>
        <v/>
      </c>
      <c r="O957" s="17" t="inlineStr">
        <is>
          <t>OK (≤ menor hist.)</t>
        </is>
      </c>
      <c r="P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15" t="n">
        <v>3.38</v>
      </c>
      <c r="K958" s="8" t="n"/>
      <c r="L958" s="7" t="inlineStr">
        <is>
          <t>DIMEC</t>
        </is>
      </c>
      <c r="M958" s="8" t="n">
        <v>3.38</v>
      </c>
      <c r="N958" s="14">
        <f>M958/H958-1</f>
        <v/>
      </c>
      <c r="O958" s="17" t="inlineStr">
        <is>
          <t>OK (≤ menor hist.)</t>
        </is>
      </c>
      <c r="P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15" t="n">
        <v>5.82</v>
      </c>
      <c r="K959" s="8" t="n"/>
      <c r="L959" s="7" t="inlineStr">
        <is>
          <t>DIMEC</t>
        </is>
      </c>
      <c r="M959" s="8" t="n">
        <v>5.82</v>
      </c>
      <c r="N959" s="14">
        <f>M959/H959-1</f>
        <v/>
      </c>
      <c r="O959" s="16" t="inlineStr">
        <is>
          <t>ACIMA +1.2%</t>
        </is>
      </c>
      <c r="P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15" t="n">
        <v>5</v>
      </c>
      <c r="K960" s="8" t="n"/>
      <c r="L960" s="7" t="inlineStr">
        <is>
          <t>DIMEC</t>
        </is>
      </c>
      <c r="M960" s="8" t="n">
        <v>5</v>
      </c>
      <c r="N960" s="14">
        <f>M960/H960-1</f>
        <v/>
      </c>
      <c r="O960" s="17" t="inlineStr">
        <is>
          <t>OK (≤ menor hist.)</t>
        </is>
      </c>
      <c r="P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15" t="n">
        <v>5.24</v>
      </c>
      <c r="K961" s="8" t="n"/>
      <c r="L961" s="7" t="inlineStr">
        <is>
          <t>DIMEC</t>
        </is>
      </c>
      <c r="M961" s="8" t="n">
        <v>5.24</v>
      </c>
      <c r="N961" s="14">
        <f>M961/H961-1</f>
        <v/>
      </c>
      <c r="O961" s="17" t="inlineStr">
        <is>
          <t>OK (≤ últ. compra)</t>
        </is>
      </c>
      <c r="P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15" t="n">
        <v>3.9</v>
      </c>
      <c r="K962" s="8" t="n"/>
      <c r="L962" s="7" t="inlineStr">
        <is>
          <t>DIMEC</t>
        </is>
      </c>
      <c r="M962" s="8" t="n">
        <v>3.9</v>
      </c>
      <c r="N962" s="14">
        <f>M962/H962-1</f>
        <v/>
      </c>
      <c r="O962" s="17" t="inlineStr">
        <is>
          <t>OK (≤ menor hist.)</t>
        </is>
      </c>
      <c r="P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/>
      <c r="K963" s="8" t="n"/>
      <c r="L963" s="7" t="inlineStr">
        <is>
          <t>SEM COTAÇÃO</t>
        </is>
      </c>
      <c r="M963" s="8" t="n"/>
      <c r="N963" s="14" t="n"/>
      <c r="O963" s="7" t="inlineStr"/>
      <c r="P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7" t="inlineStr">
        <is>
          <t>SEM COTAÇÃO</t>
        </is>
      </c>
      <c r="M964" s="8" t="n"/>
      <c r="N964" s="14" t="n"/>
      <c r="O964" s="7" t="inlineStr"/>
      <c r="P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/>
      <c r="K965" s="8" t="n"/>
      <c r="L965" s="7" t="inlineStr">
        <is>
          <t>SEM COTAÇÃO</t>
        </is>
      </c>
      <c r="M965" s="8" t="n"/>
      <c r="N965" s="14" t="n"/>
      <c r="O965" s="7" t="inlineStr"/>
      <c r="P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/>
      <c r="K966" s="8" t="n"/>
      <c r="L966" s="7" t="inlineStr">
        <is>
          <t>SEM COTAÇÃO</t>
        </is>
      </c>
      <c r="M966" s="8" t="n"/>
      <c r="N966" s="14" t="n"/>
      <c r="O966" s="7" t="inlineStr"/>
      <c r="P966" s="7" t="inlineStr"/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15" t="n">
        <v>0.55</v>
      </c>
      <c r="K967" s="8" t="n"/>
      <c r="L967" s="7" t="inlineStr">
        <is>
          <t>DIMEC</t>
        </is>
      </c>
      <c r="M967" s="8" t="n">
        <v>0.55</v>
      </c>
      <c r="N967" s="14">
        <f>M967/H967-1</f>
        <v/>
      </c>
      <c r="O967" s="17" t="inlineStr">
        <is>
          <t>OK (≤ últ. compra)</t>
        </is>
      </c>
      <c r="P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/>
      <c r="K968" s="8" t="n"/>
      <c r="L968" s="7" t="inlineStr">
        <is>
          <t>SEM COTAÇÃO</t>
        </is>
      </c>
      <c r="M968" s="8" t="n"/>
      <c r="N968" s="14" t="n"/>
      <c r="O968" s="7" t="inlineStr"/>
      <c r="P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15" t="n">
        <v>0.59</v>
      </c>
      <c r="K969" s="8" t="n"/>
      <c r="L969" s="7" t="inlineStr">
        <is>
          <t>DIMEC</t>
        </is>
      </c>
      <c r="M969" s="8" t="n">
        <v>0.59</v>
      </c>
      <c r="N969" s="14">
        <f>M969/H969-1</f>
        <v/>
      </c>
      <c r="O969" s="16" t="inlineStr">
        <is>
          <t>ACIMA +490.0%</t>
        </is>
      </c>
      <c r="P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15" t="n">
        <v>0.58</v>
      </c>
      <c r="K970" s="8" t="n"/>
      <c r="L970" s="7" t="inlineStr">
        <is>
          <t>DIMEC</t>
        </is>
      </c>
      <c r="M970" s="8" t="n">
        <v>0.58</v>
      </c>
      <c r="N970" s="14">
        <f>M970/H970-1</f>
        <v/>
      </c>
      <c r="O970" s="17" t="inlineStr">
        <is>
          <t>OK (≤ últ. compra)</t>
        </is>
      </c>
      <c r="P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/>
      <c r="K971" s="15" t="n">
        <v>1.35</v>
      </c>
      <c r="L971" s="7" t="inlineStr">
        <is>
          <t>PLUSFARMA</t>
        </is>
      </c>
      <c r="M971" s="8" t="n">
        <v>1.35</v>
      </c>
      <c r="N971" s="14">
        <f>M971/H971-1</f>
        <v/>
      </c>
      <c r="O971" s="16" t="inlineStr">
        <is>
          <t>ACIMA +16.2%</t>
        </is>
      </c>
      <c r="P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15" t="n">
        <v>4.3</v>
      </c>
      <c r="K972" s="8" t="n"/>
      <c r="L972" s="7" t="inlineStr">
        <is>
          <t>DIMEC</t>
        </is>
      </c>
      <c r="M972" s="8" t="n">
        <v>4.3</v>
      </c>
      <c r="N972" s="14">
        <f>M972/H972-1</f>
        <v/>
      </c>
      <c r="O972" s="16" t="inlineStr">
        <is>
          <t>ACIMA +16.5%</t>
        </is>
      </c>
      <c r="P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/>
      <c r="K973" s="8" t="n"/>
      <c r="L973" s="7" t="inlineStr">
        <is>
          <t>SEM COTAÇÃO</t>
        </is>
      </c>
      <c r="M973" s="8" t="n"/>
      <c r="N973" s="14" t="n"/>
      <c r="O973" s="7" t="inlineStr"/>
      <c r="P973" s="7" t="inlineStr"/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/>
      <c r="K974" s="8" t="n"/>
      <c r="L974" s="7" t="inlineStr">
        <is>
          <t>SEM COTAÇÃO</t>
        </is>
      </c>
      <c r="M974" s="8" t="n"/>
      <c r="N974" s="14" t="n"/>
      <c r="O974" s="7" t="inlineStr"/>
      <c r="P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/>
      <c r="K975" s="8" t="n"/>
      <c r="L975" s="7" t="inlineStr">
        <is>
          <t>SEM COTAÇÃO</t>
        </is>
      </c>
      <c r="M975" s="8" t="n"/>
      <c r="N975" s="14" t="n"/>
      <c r="O975" s="7" t="inlineStr"/>
      <c r="P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/>
      <c r="K976" s="8" t="n"/>
      <c r="L976" s="7" t="inlineStr">
        <is>
          <t>SEM COTAÇÃO</t>
        </is>
      </c>
      <c r="M976" s="8" t="n"/>
      <c r="N976" s="14" t="n"/>
      <c r="O976" s="7" t="inlineStr"/>
      <c r="P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/>
      <c r="K977" s="8" t="n"/>
      <c r="L977" s="7" t="inlineStr">
        <is>
          <t>SEM COTAÇÃO</t>
        </is>
      </c>
      <c r="M977" s="8" t="n"/>
      <c r="N977" s="14" t="n"/>
      <c r="O977" s="7" t="inlineStr"/>
      <c r="P977" s="7" t="inlineStr"/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/>
      <c r="K978" s="8" t="n"/>
      <c r="L978" s="7" t="inlineStr">
        <is>
          <t>SEM COTAÇÃO</t>
        </is>
      </c>
      <c r="M978" s="8" t="n"/>
      <c r="N978" s="14" t="n"/>
      <c r="O978" s="7" t="inlineStr"/>
      <c r="P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/>
      <c r="K979" s="8" t="n"/>
      <c r="L979" s="7" t="inlineStr">
        <is>
          <t>SEM COTAÇÃO</t>
        </is>
      </c>
      <c r="M979" s="8" t="n"/>
      <c r="N979" s="14" t="n"/>
      <c r="O979" s="7" t="inlineStr"/>
      <c r="P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/>
      <c r="K980" s="8" t="n"/>
      <c r="L980" s="7" t="inlineStr">
        <is>
          <t>SEM COTAÇÃO</t>
        </is>
      </c>
      <c r="M980" s="8" t="n"/>
      <c r="N980" s="14" t="n"/>
      <c r="O980" s="7" t="inlineStr"/>
      <c r="P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/>
      <c r="K981" s="8" t="n"/>
      <c r="L981" s="7" t="inlineStr">
        <is>
          <t>SEM COTAÇÃO</t>
        </is>
      </c>
      <c r="M981" s="8" t="n"/>
      <c r="N981" s="14" t="n"/>
      <c r="O981" s="7" t="inlineStr"/>
      <c r="P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/>
      <c r="K982" s="8" t="n"/>
      <c r="L982" s="7" t="inlineStr">
        <is>
          <t>SEM COTAÇÃO</t>
        </is>
      </c>
      <c r="M982" s="8" t="n"/>
      <c r="N982" s="14" t="n"/>
      <c r="O982" s="7" t="inlineStr"/>
      <c r="P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/>
      <c r="K983" s="8" t="n"/>
      <c r="L983" s="7" t="inlineStr">
        <is>
          <t>SEM COTAÇÃO</t>
        </is>
      </c>
      <c r="M983" s="8" t="n"/>
      <c r="N983" s="14" t="n"/>
      <c r="O983" s="7" t="inlineStr"/>
      <c r="P983" s="7" t="inlineStr"/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/>
      <c r="K984" s="8" t="n"/>
      <c r="L984" s="7" t="inlineStr">
        <is>
          <t>SEM COTAÇÃO</t>
        </is>
      </c>
      <c r="M984" s="8" t="n"/>
      <c r="N984" s="14" t="n"/>
      <c r="O984" s="7" t="inlineStr"/>
      <c r="P984" s="7" t="inlineStr"/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/>
      <c r="K985" s="8" t="n"/>
      <c r="L985" s="7" t="inlineStr">
        <is>
          <t>SEM COTAÇÃO</t>
        </is>
      </c>
      <c r="M985" s="8" t="n"/>
      <c r="N985" s="14" t="n"/>
      <c r="O985" s="7" t="inlineStr"/>
      <c r="P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/>
      <c r="K986" s="8" t="n"/>
      <c r="L986" s="7" t="inlineStr">
        <is>
          <t>SEM COTAÇÃO</t>
        </is>
      </c>
      <c r="M986" s="8" t="n"/>
      <c r="N986" s="14" t="n"/>
      <c r="O986" s="7" t="inlineStr"/>
      <c r="P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/>
      <c r="K987" s="8" t="n"/>
      <c r="L987" s="7" t="inlineStr">
        <is>
          <t>SEM COTAÇÃO</t>
        </is>
      </c>
      <c r="M987" s="8" t="n"/>
      <c r="N987" s="14" t="n"/>
      <c r="O987" s="7" t="inlineStr"/>
      <c r="P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/>
      <c r="K988" s="8" t="n"/>
      <c r="L988" s="7" t="inlineStr">
        <is>
          <t>SEM COTAÇÃO</t>
        </is>
      </c>
      <c r="M988" s="8" t="n"/>
      <c r="N988" s="14" t="n"/>
      <c r="O988" s="7" t="inlineStr"/>
      <c r="P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/>
      <c r="K989" s="8" t="n"/>
      <c r="L989" s="7" t="inlineStr">
        <is>
          <t>SEM COTAÇÃO</t>
        </is>
      </c>
      <c r="M989" s="8" t="n"/>
      <c r="N989" s="14" t="n"/>
      <c r="O989" s="7" t="inlineStr"/>
      <c r="P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/>
      <c r="K990" s="8" t="n"/>
      <c r="L990" s="7" t="inlineStr">
        <is>
          <t>SEM COTAÇÃO</t>
        </is>
      </c>
      <c r="M990" s="8" t="n"/>
      <c r="N990" s="14" t="n"/>
      <c r="O990" s="7" t="inlineStr"/>
      <c r="P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/>
      <c r="K991" s="8" t="n"/>
      <c r="L991" s="7" t="inlineStr">
        <is>
          <t>SEM COTAÇÃO</t>
        </is>
      </c>
      <c r="M991" s="8" t="n"/>
      <c r="N991" s="14" t="n"/>
      <c r="O991" s="7" t="inlineStr"/>
      <c r="P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/>
      <c r="K992" s="8" t="n"/>
      <c r="L992" s="7" t="inlineStr">
        <is>
          <t>SEM COTAÇÃO</t>
        </is>
      </c>
      <c r="M992" s="8" t="n"/>
      <c r="N992" s="14" t="n"/>
      <c r="O992" s="7" t="inlineStr"/>
      <c r="P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/>
      <c r="K993" s="8" t="n"/>
      <c r="L993" s="7" t="inlineStr">
        <is>
          <t>SEM COTAÇÃO</t>
        </is>
      </c>
      <c r="M993" s="8" t="n"/>
      <c r="N993" s="14" t="n"/>
      <c r="O993" s="7" t="inlineStr"/>
      <c r="P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/>
      <c r="K994" s="8" t="n"/>
      <c r="L994" s="7" t="inlineStr">
        <is>
          <t>SEM COTAÇÃO</t>
        </is>
      </c>
      <c r="M994" s="8" t="n"/>
      <c r="N994" s="14" t="n"/>
      <c r="O994" s="7" t="inlineStr"/>
      <c r="P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/>
      <c r="K995" s="8" t="n"/>
      <c r="L995" s="7" t="inlineStr">
        <is>
          <t>SEM COTAÇÃO</t>
        </is>
      </c>
      <c r="M995" s="8" t="n"/>
      <c r="N995" s="14" t="n"/>
      <c r="O995" s="7" t="inlineStr"/>
      <c r="P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/>
      <c r="K996" s="8" t="n"/>
      <c r="L996" s="7" t="inlineStr">
        <is>
          <t>SEM COTAÇÃO</t>
        </is>
      </c>
      <c r="M996" s="8" t="n"/>
      <c r="N996" s="14" t="n"/>
      <c r="O996" s="7" t="inlineStr"/>
      <c r="P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/>
      <c r="K997" s="8" t="n"/>
      <c r="L997" s="7" t="inlineStr">
        <is>
          <t>SEM COTAÇÃO</t>
        </is>
      </c>
      <c r="M997" s="8" t="n"/>
      <c r="N997" s="14" t="n"/>
      <c r="O997" s="7" t="inlineStr"/>
      <c r="P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/>
      <c r="K998" s="8" t="n"/>
      <c r="L998" s="7" t="inlineStr">
        <is>
          <t>SEM COTAÇÃO</t>
        </is>
      </c>
      <c r="M998" s="8" t="n"/>
      <c r="N998" s="14" t="n"/>
      <c r="O998" s="7" t="inlineStr"/>
      <c r="P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/>
      <c r="K999" s="8" t="n"/>
      <c r="L999" s="7" t="inlineStr">
        <is>
          <t>SEM COTAÇÃO</t>
        </is>
      </c>
      <c r="M999" s="8" t="n"/>
      <c r="N999" s="14" t="n"/>
      <c r="O999" s="7" t="inlineStr"/>
      <c r="P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/>
      <c r="K1000" s="8" t="n"/>
      <c r="L1000" s="7" t="inlineStr">
        <is>
          <t>SEM COTAÇÃO</t>
        </is>
      </c>
      <c r="M1000" s="8" t="n"/>
      <c r="N1000" s="14" t="n"/>
      <c r="O1000" s="7" t="inlineStr"/>
      <c r="P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/>
      <c r="K1001" s="8" t="n"/>
      <c r="L1001" s="7" t="inlineStr">
        <is>
          <t>SEM COTAÇÃO</t>
        </is>
      </c>
      <c r="M1001" s="8" t="n"/>
      <c r="N1001" s="14" t="n"/>
      <c r="O1001" s="7" t="inlineStr"/>
      <c r="P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/>
      <c r="K1002" s="8" t="n"/>
      <c r="L1002" s="7" t="inlineStr">
        <is>
          <t>SEM COTAÇÃO</t>
        </is>
      </c>
      <c r="M1002" s="8" t="n"/>
      <c r="N1002" s="14" t="n"/>
      <c r="O1002" s="7" t="inlineStr"/>
      <c r="P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/>
      <c r="K1003" s="8" t="n"/>
      <c r="L1003" s="7" t="inlineStr">
        <is>
          <t>SEM COTAÇÃO</t>
        </is>
      </c>
      <c r="M1003" s="8" t="n"/>
      <c r="N1003" s="14" t="n"/>
      <c r="O1003" s="7" t="inlineStr"/>
      <c r="P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/>
      <c r="K1004" s="8" t="n"/>
      <c r="L1004" s="7" t="inlineStr">
        <is>
          <t>SEM COTAÇÃO</t>
        </is>
      </c>
      <c r="M1004" s="8" t="n"/>
      <c r="N1004" s="14" t="n"/>
      <c r="O1004" s="7" t="inlineStr"/>
      <c r="P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/>
      <c r="K1005" s="8" t="n"/>
      <c r="L1005" s="7" t="inlineStr">
        <is>
          <t>SEM COTAÇÃO</t>
        </is>
      </c>
      <c r="M1005" s="8" t="n"/>
      <c r="N1005" s="14" t="n"/>
      <c r="O1005" s="7" t="inlineStr"/>
      <c r="P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/>
      <c r="K1006" s="8" t="n"/>
      <c r="L1006" s="7" t="inlineStr">
        <is>
          <t>SEM COTAÇÃO</t>
        </is>
      </c>
      <c r="M1006" s="8" t="n"/>
      <c r="N1006" s="14" t="n"/>
      <c r="O1006" s="7" t="inlineStr"/>
      <c r="P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/>
      <c r="K1007" s="8" t="n"/>
      <c r="L1007" s="7" t="inlineStr">
        <is>
          <t>SEM COTAÇÃO</t>
        </is>
      </c>
      <c r="M1007" s="8" t="n"/>
      <c r="N1007" s="14" t="n"/>
      <c r="O1007" s="7" t="inlineStr"/>
      <c r="P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/>
      <c r="K1008" s="8" t="n"/>
      <c r="L1008" s="7" t="inlineStr">
        <is>
          <t>SEM COTAÇÃO</t>
        </is>
      </c>
      <c r="M1008" s="8" t="n"/>
      <c r="N1008" s="14" t="n"/>
      <c r="O1008" s="7" t="inlineStr"/>
      <c r="P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/>
      <c r="K1009" s="8" t="n"/>
      <c r="L1009" s="7" t="inlineStr">
        <is>
          <t>SEM COTAÇÃO</t>
        </is>
      </c>
      <c r="M1009" s="8" t="n"/>
      <c r="N1009" s="14" t="n"/>
      <c r="O1009" s="7" t="inlineStr"/>
      <c r="P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/>
      <c r="K1010" s="8" t="n"/>
      <c r="L1010" s="7" t="inlineStr">
        <is>
          <t>SEM COTAÇÃO</t>
        </is>
      </c>
      <c r="M1010" s="8" t="n"/>
      <c r="N1010" s="14" t="n"/>
      <c r="O1010" s="7" t="inlineStr"/>
      <c r="P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/>
      <c r="K1011" s="8" t="n"/>
      <c r="L1011" s="7" t="inlineStr">
        <is>
          <t>SEM COTAÇÃO</t>
        </is>
      </c>
      <c r="M1011" s="8" t="n"/>
      <c r="N1011" s="14" t="n"/>
      <c r="O1011" s="7" t="inlineStr"/>
      <c r="P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/>
      <c r="K1012" s="8" t="n"/>
      <c r="L1012" s="7" t="inlineStr">
        <is>
          <t>SEM COTAÇÃO</t>
        </is>
      </c>
      <c r="M1012" s="8" t="n"/>
      <c r="N1012" s="14" t="n"/>
      <c r="O1012" s="7" t="inlineStr"/>
      <c r="P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/>
      <c r="K1013" s="8" t="n"/>
      <c r="L1013" s="7" t="inlineStr">
        <is>
          <t>SEM COTAÇÃO</t>
        </is>
      </c>
      <c r="M1013" s="8" t="n"/>
      <c r="N1013" s="14" t="n"/>
      <c r="O1013" s="7" t="inlineStr"/>
      <c r="P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/>
      <c r="K1014" s="8" t="n"/>
      <c r="L1014" s="7" t="inlineStr">
        <is>
          <t>SEM COTAÇÃO</t>
        </is>
      </c>
      <c r="M1014" s="8" t="n"/>
      <c r="N1014" s="14" t="n"/>
      <c r="O1014" s="7" t="inlineStr"/>
      <c r="P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/>
      <c r="K1015" s="8" t="n"/>
      <c r="L1015" s="7" t="inlineStr">
        <is>
          <t>SEM COTAÇÃO</t>
        </is>
      </c>
      <c r="M1015" s="8" t="n"/>
      <c r="N1015" s="14" t="n"/>
      <c r="O1015" s="7" t="inlineStr"/>
      <c r="P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/>
      <c r="K1016" s="8" t="n"/>
      <c r="L1016" s="7" t="inlineStr">
        <is>
          <t>SEM COTAÇÃO</t>
        </is>
      </c>
      <c r="M1016" s="8" t="n"/>
      <c r="N1016" s="14" t="n"/>
      <c r="O1016" s="7" t="inlineStr"/>
      <c r="P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/>
      <c r="K1017" s="8" t="n"/>
      <c r="L1017" s="7" t="inlineStr">
        <is>
          <t>SEM COTAÇÃO</t>
        </is>
      </c>
      <c r="M1017" s="8" t="n"/>
      <c r="N1017" s="14" t="n"/>
      <c r="O1017" s="7" t="inlineStr"/>
      <c r="P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/>
      <c r="K1018" s="8" t="n"/>
      <c r="L1018" s="7" t="inlineStr">
        <is>
          <t>SEM COTAÇÃO</t>
        </is>
      </c>
      <c r="M1018" s="8" t="n"/>
      <c r="N1018" s="14" t="n"/>
      <c r="O1018" s="7" t="inlineStr"/>
      <c r="P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/>
      <c r="K1019" s="8" t="n"/>
      <c r="L1019" s="7" t="inlineStr">
        <is>
          <t>SEM COTAÇÃO</t>
        </is>
      </c>
      <c r="M1019" s="8" t="n"/>
      <c r="N1019" s="14" t="n"/>
      <c r="O1019" s="7" t="inlineStr"/>
      <c r="P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/>
      <c r="K1020" s="8" t="n"/>
      <c r="L1020" s="7" t="inlineStr">
        <is>
          <t>SEM COTAÇÃO</t>
        </is>
      </c>
      <c r="M1020" s="8" t="n"/>
      <c r="N1020" s="14" t="n"/>
      <c r="O1020" s="7" t="inlineStr"/>
      <c r="P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/>
      <c r="K1021" s="8" t="n"/>
      <c r="L1021" s="7" t="inlineStr">
        <is>
          <t>SEM COTAÇÃO</t>
        </is>
      </c>
      <c r="M1021" s="8" t="n"/>
      <c r="N1021" s="14" t="n"/>
      <c r="O1021" s="7" t="inlineStr"/>
      <c r="P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/>
      <c r="K1022" s="8" t="n"/>
      <c r="L1022" s="7" t="inlineStr">
        <is>
          <t>SEM COTAÇÃO</t>
        </is>
      </c>
      <c r="M1022" s="8" t="n"/>
      <c r="N1022" s="14" t="n"/>
      <c r="O1022" s="7" t="inlineStr"/>
      <c r="P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/>
      <c r="K1023" s="8" t="n"/>
      <c r="L1023" s="7" t="inlineStr">
        <is>
          <t>SEM COTAÇÃO</t>
        </is>
      </c>
      <c r="M1023" s="8" t="n"/>
      <c r="N1023" s="14" t="n"/>
      <c r="O1023" s="7" t="inlineStr"/>
      <c r="P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/>
      <c r="K1024" s="8" t="n"/>
      <c r="L1024" s="7" t="inlineStr">
        <is>
          <t>SEM COTAÇÃO</t>
        </is>
      </c>
      <c r="M1024" s="8" t="n"/>
      <c r="N1024" s="14" t="n"/>
      <c r="O1024" s="7" t="inlineStr"/>
      <c r="P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/>
      <c r="K1025" s="8" t="n"/>
      <c r="L1025" s="7" t="inlineStr">
        <is>
          <t>SEM COTAÇÃO</t>
        </is>
      </c>
      <c r="M1025" s="8" t="n"/>
      <c r="N1025" s="14" t="n"/>
      <c r="O1025" s="7" t="inlineStr"/>
      <c r="P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/>
      <c r="K1026" s="8" t="n"/>
      <c r="L1026" s="7" t="inlineStr">
        <is>
          <t>SEM COTAÇÃO</t>
        </is>
      </c>
      <c r="M1026" s="8" t="n"/>
      <c r="N1026" s="14" t="n"/>
      <c r="O1026" s="7" t="inlineStr"/>
      <c r="P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/>
      <c r="K1027" s="8" t="n"/>
      <c r="L1027" s="7" t="inlineStr">
        <is>
          <t>SEM COTAÇÃO</t>
        </is>
      </c>
      <c r="M1027" s="8" t="n"/>
      <c r="N1027" s="14" t="n"/>
      <c r="O1027" s="7" t="inlineStr"/>
      <c r="P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/>
      <c r="K1028" s="8" t="n"/>
      <c r="L1028" s="7" t="inlineStr">
        <is>
          <t>SEM COTAÇÃO</t>
        </is>
      </c>
      <c r="M1028" s="8" t="n"/>
      <c r="N1028" s="14" t="n"/>
      <c r="O1028" s="7" t="inlineStr"/>
      <c r="P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/>
      <c r="K1029" s="8" t="n"/>
      <c r="L1029" s="7" t="inlineStr">
        <is>
          <t>SEM COTAÇÃO</t>
        </is>
      </c>
      <c r="M1029" s="8" t="n"/>
      <c r="N1029" s="14" t="n"/>
      <c r="O1029" s="7" t="inlineStr"/>
      <c r="P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/>
      <c r="K1030" s="8" t="n"/>
      <c r="L1030" s="7" t="inlineStr">
        <is>
          <t>SEM COTAÇÃO</t>
        </is>
      </c>
      <c r="M1030" s="8" t="n"/>
      <c r="N1030" s="14" t="n"/>
      <c r="O1030" s="7" t="inlineStr"/>
      <c r="P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/>
      <c r="K1031" s="8" t="n"/>
      <c r="L1031" s="7" t="inlineStr">
        <is>
          <t>SEM COTAÇÃO</t>
        </is>
      </c>
      <c r="M1031" s="8" t="n"/>
      <c r="N1031" s="14" t="n"/>
      <c r="O1031" s="7" t="inlineStr"/>
      <c r="P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/>
      <c r="K1032" s="8" t="n"/>
      <c r="L1032" s="7" t="inlineStr">
        <is>
          <t>SEM COTAÇÃO</t>
        </is>
      </c>
      <c r="M1032" s="8" t="n"/>
      <c r="N1032" s="14" t="n"/>
      <c r="O1032" s="7" t="inlineStr"/>
      <c r="P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/>
      <c r="K1033" s="8" t="n"/>
      <c r="L1033" s="7" t="inlineStr">
        <is>
          <t>SEM COTAÇÃO</t>
        </is>
      </c>
      <c r="M1033" s="8" t="n"/>
      <c r="N1033" s="14" t="n"/>
      <c r="O1033" s="7" t="inlineStr"/>
      <c r="P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/>
      <c r="K1034" s="8" t="n"/>
      <c r="L1034" s="7" t="inlineStr">
        <is>
          <t>SEM COTAÇÃO</t>
        </is>
      </c>
      <c r="M1034" s="8" t="n"/>
      <c r="N1034" s="14" t="n"/>
      <c r="O1034" s="7" t="inlineStr"/>
      <c r="P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/>
      <c r="K1035" s="8" t="n"/>
      <c r="L1035" s="7" t="inlineStr">
        <is>
          <t>SEM COTAÇÃO</t>
        </is>
      </c>
      <c r="M1035" s="8" t="n"/>
      <c r="N1035" s="14" t="n"/>
      <c r="O1035" s="7" t="inlineStr"/>
      <c r="P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/>
      <c r="K1036" s="8" t="n"/>
      <c r="L1036" s="7" t="inlineStr">
        <is>
          <t>SEM COTAÇÃO</t>
        </is>
      </c>
      <c r="M1036" s="8" t="n"/>
      <c r="N1036" s="14" t="n"/>
      <c r="O1036" s="7" t="inlineStr"/>
      <c r="P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/>
      <c r="K1037" s="8" t="n"/>
      <c r="L1037" s="7" t="inlineStr">
        <is>
          <t>SEM COTAÇÃO</t>
        </is>
      </c>
      <c r="M1037" s="8" t="n"/>
      <c r="N1037" s="14" t="n"/>
      <c r="O1037" s="7" t="inlineStr"/>
      <c r="P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/>
      <c r="K1038" s="8" t="n"/>
      <c r="L1038" s="7" t="inlineStr">
        <is>
          <t>SEM COTAÇÃO</t>
        </is>
      </c>
      <c r="M1038" s="8" t="n"/>
      <c r="N1038" s="14" t="n"/>
      <c r="O1038" s="7" t="inlineStr"/>
      <c r="P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/>
      <c r="K1039" s="8" t="n"/>
      <c r="L1039" s="7" t="inlineStr">
        <is>
          <t>SEM COTAÇÃO</t>
        </is>
      </c>
      <c r="M1039" s="8" t="n"/>
      <c r="N1039" s="14" t="n"/>
      <c r="O1039" s="7" t="inlineStr"/>
      <c r="P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/>
      <c r="K1040" s="8" t="n"/>
      <c r="L1040" s="7" t="inlineStr">
        <is>
          <t>SEM COTAÇÃO</t>
        </is>
      </c>
      <c r="M1040" s="8" t="n"/>
      <c r="N1040" s="14" t="n"/>
      <c r="O1040" s="7" t="inlineStr"/>
      <c r="P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/>
      <c r="K1041" s="8" t="n"/>
      <c r="L1041" s="7" t="inlineStr">
        <is>
          <t>SEM COTAÇÃO</t>
        </is>
      </c>
      <c r="M1041" s="8" t="n"/>
      <c r="N1041" s="14" t="n"/>
      <c r="O1041" s="7" t="inlineStr"/>
      <c r="P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/>
      <c r="K1042" s="8" t="n"/>
      <c r="L1042" s="7" t="inlineStr">
        <is>
          <t>SEM COTAÇÃO</t>
        </is>
      </c>
      <c r="M1042" s="8" t="n"/>
      <c r="N1042" s="14" t="n"/>
      <c r="O1042" s="7" t="inlineStr"/>
      <c r="P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/>
      <c r="K1043" s="8" t="n"/>
      <c r="L1043" s="7" t="inlineStr">
        <is>
          <t>SEM COTAÇÃO</t>
        </is>
      </c>
      <c r="M1043" s="8" t="n"/>
      <c r="N1043" s="14" t="n"/>
      <c r="O1043" s="7" t="inlineStr"/>
      <c r="P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/>
      <c r="K1044" s="8" t="n"/>
      <c r="L1044" s="7" t="inlineStr">
        <is>
          <t>SEM COTAÇÃO</t>
        </is>
      </c>
      <c r="M1044" s="8" t="n"/>
      <c r="N1044" s="14" t="n"/>
      <c r="O1044" s="7" t="inlineStr"/>
      <c r="P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/>
      <c r="K1045" s="8" t="n"/>
      <c r="L1045" s="7" t="inlineStr">
        <is>
          <t>SEM COTAÇÃO</t>
        </is>
      </c>
      <c r="M1045" s="8" t="n"/>
      <c r="N1045" s="14" t="n"/>
      <c r="O1045" s="7" t="inlineStr"/>
      <c r="P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/>
      <c r="K1046" s="8" t="n"/>
      <c r="L1046" s="7" t="inlineStr">
        <is>
          <t>SEM COTAÇÃO</t>
        </is>
      </c>
      <c r="M1046" s="8" t="n"/>
      <c r="N1046" s="14" t="n"/>
      <c r="O1046" s="7" t="inlineStr"/>
      <c r="P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/>
      <c r="K1047" s="8" t="n"/>
      <c r="L1047" s="7" t="inlineStr">
        <is>
          <t>SEM COTAÇÃO</t>
        </is>
      </c>
      <c r="M1047" s="8" t="n"/>
      <c r="N1047" s="14" t="n"/>
      <c r="O1047" s="7" t="inlineStr"/>
      <c r="P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/>
      <c r="K1048" s="8" t="n"/>
      <c r="L1048" s="7" t="inlineStr">
        <is>
          <t>SEM COTAÇÃO</t>
        </is>
      </c>
      <c r="M1048" s="8" t="n"/>
      <c r="N1048" s="14" t="n"/>
      <c r="O1048" s="7" t="inlineStr"/>
      <c r="P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/>
      <c r="K1049" s="8" t="n"/>
      <c r="L1049" s="7" t="inlineStr">
        <is>
          <t>SEM COTAÇÃO</t>
        </is>
      </c>
      <c r="M1049" s="8" t="n"/>
      <c r="N1049" s="14" t="n"/>
      <c r="O1049" s="7" t="inlineStr"/>
      <c r="P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/>
      <c r="K1050" s="8" t="n"/>
      <c r="L1050" s="7" t="inlineStr">
        <is>
          <t>SEM COTAÇÃO</t>
        </is>
      </c>
      <c r="M1050" s="8" t="n"/>
      <c r="N1050" s="14" t="n"/>
      <c r="O1050" s="7" t="inlineStr"/>
      <c r="P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/>
      <c r="K1051" s="8" t="n"/>
      <c r="L1051" s="7" t="inlineStr">
        <is>
          <t>SEM COTAÇÃO</t>
        </is>
      </c>
      <c r="M1051" s="8" t="n"/>
      <c r="N1051" s="14" t="n"/>
      <c r="O1051" s="7" t="inlineStr"/>
      <c r="P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/>
      <c r="K1052" s="8" t="n"/>
      <c r="L1052" s="7" t="inlineStr">
        <is>
          <t>SEM COTAÇÃO</t>
        </is>
      </c>
      <c r="M1052" s="8" t="n"/>
      <c r="N1052" s="14" t="n"/>
      <c r="O1052" s="7" t="inlineStr"/>
      <c r="P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/>
      <c r="K1053" s="8" t="n"/>
      <c r="L1053" s="7" t="inlineStr">
        <is>
          <t>SEM COTAÇÃO</t>
        </is>
      </c>
      <c r="M1053" s="8" t="n"/>
      <c r="N1053" s="14" t="n"/>
      <c r="O1053" s="7" t="inlineStr"/>
      <c r="P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/>
      <c r="K1054" s="8" t="n"/>
      <c r="L1054" s="7" t="inlineStr">
        <is>
          <t>SEM COTAÇÃO</t>
        </is>
      </c>
      <c r="M1054" s="8" t="n"/>
      <c r="N1054" s="14" t="n"/>
      <c r="O1054" s="7" t="inlineStr"/>
      <c r="P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/>
      <c r="K1055" s="8" t="n"/>
      <c r="L1055" s="7" t="inlineStr">
        <is>
          <t>SEM COTAÇÃO</t>
        </is>
      </c>
      <c r="M1055" s="8" t="n"/>
      <c r="N1055" s="14" t="n"/>
      <c r="O1055" s="7" t="inlineStr"/>
      <c r="P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/>
      <c r="K1056" s="8" t="n"/>
      <c r="L1056" s="7" t="inlineStr">
        <is>
          <t>SEM COTAÇÃO</t>
        </is>
      </c>
      <c r="M1056" s="8" t="n"/>
      <c r="N1056" s="14" t="n"/>
      <c r="O1056" s="7" t="inlineStr"/>
      <c r="P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/>
      <c r="K1057" s="8" t="n"/>
      <c r="L1057" s="7" t="inlineStr">
        <is>
          <t>SEM COTAÇÃO</t>
        </is>
      </c>
      <c r="M1057" s="8" t="n"/>
      <c r="N1057" s="14" t="n"/>
      <c r="O1057" s="7" t="inlineStr"/>
      <c r="P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/>
      <c r="K1058" s="8" t="n"/>
      <c r="L1058" s="7" t="inlineStr">
        <is>
          <t>SEM COTAÇÃO</t>
        </is>
      </c>
      <c r="M1058" s="8" t="n"/>
      <c r="N1058" s="14" t="n"/>
      <c r="O1058" s="7" t="inlineStr"/>
      <c r="P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/>
      <c r="K1059" s="8" t="n"/>
      <c r="L1059" s="7" t="inlineStr">
        <is>
          <t>SEM COTAÇÃO</t>
        </is>
      </c>
      <c r="M1059" s="8" t="n"/>
      <c r="N1059" s="14" t="n"/>
      <c r="O1059" s="7" t="inlineStr"/>
      <c r="P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/>
      <c r="K1060" s="8" t="n"/>
      <c r="L1060" s="7" t="inlineStr">
        <is>
          <t>SEM COTAÇÃO</t>
        </is>
      </c>
      <c r="M1060" s="8" t="n"/>
      <c r="N1060" s="14" t="n"/>
      <c r="O1060" s="7" t="inlineStr"/>
      <c r="P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/>
      <c r="K1061" s="8" t="n"/>
      <c r="L1061" s="7" t="inlineStr">
        <is>
          <t>SEM COTAÇÃO</t>
        </is>
      </c>
      <c r="M1061" s="8" t="n"/>
      <c r="N1061" s="14" t="n"/>
      <c r="O1061" s="7" t="inlineStr"/>
      <c r="P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/>
      <c r="K1062" s="8" t="n"/>
      <c r="L1062" s="7" t="inlineStr">
        <is>
          <t>SEM COTAÇÃO</t>
        </is>
      </c>
      <c r="M1062" s="8" t="n"/>
      <c r="N1062" s="14" t="n"/>
      <c r="O1062" s="7" t="inlineStr"/>
      <c r="P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/>
      <c r="K1063" s="8" t="n"/>
      <c r="L1063" s="7" t="inlineStr">
        <is>
          <t>SEM COTAÇÃO</t>
        </is>
      </c>
      <c r="M1063" s="8" t="n"/>
      <c r="N1063" s="14" t="n"/>
      <c r="O1063" s="7" t="inlineStr"/>
      <c r="P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/>
      <c r="K1064" s="8" t="n"/>
      <c r="L1064" s="7" t="inlineStr">
        <is>
          <t>SEM COTAÇÃO</t>
        </is>
      </c>
      <c r="M1064" s="8" t="n"/>
      <c r="N1064" s="14" t="n"/>
      <c r="O1064" s="7" t="inlineStr"/>
      <c r="P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/>
      <c r="K1065" s="8" t="n"/>
      <c r="L1065" s="7" t="inlineStr">
        <is>
          <t>SEM COTAÇÃO</t>
        </is>
      </c>
      <c r="M1065" s="8" t="n"/>
      <c r="N1065" s="14" t="n"/>
      <c r="O1065" s="7" t="inlineStr"/>
      <c r="P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/>
      <c r="K1066" s="8" t="n"/>
      <c r="L1066" s="7" t="inlineStr">
        <is>
          <t>SEM COTAÇÃO</t>
        </is>
      </c>
      <c r="M1066" s="8" t="n"/>
      <c r="N1066" s="14" t="n"/>
      <c r="O1066" s="7" t="inlineStr"/>
      <c r="P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/>
      <c r="K1067" s="8" t="n"/>
      <c r="L1067" s="7" t="inlineStr">
        <is>
          <t>SEM COTAÇÃO</t>
        </is>
      </c>
      <c r="M1067" s="8" t="n"/>
      <c r="N1067" s="14" t="n"/>
      <c r="O1067" s="7" t="inlineStr"/>
      <c r="P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/>
      <c r="K1068" s="8" t="n"/>
      <c r="L1068" s="7" t="inlineStr">
        <is>
          <t>SEM COTAÇÃO</t>
        </is>
      </c>
      <c r="M1068" s="8" t="n"/>
      <c r="N1068" s="14" t="n"/>
      <c r="O1068" s="7" t="inlineStr"/>
      <c r="P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/>
      <c r="K1069" s="8" t="n"/>
      <c r="L1069" s="7" t="inlineStr">
        <is>
          <t>SEM COTAÇÃO</t>
        </is>
      </c>
      <c r="M1069" s="8" t="n"/>
      <c r="N1069" s="14" t="n"/>
      <c r="O1069" s="7" t="inlineStr"/>
      <c r="P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/>
      <c r="K1070" s="8" t="n"/>
      <c r="L1070" s="7" t="inlineStr">
        <is>
          <t>SEM COTAÇÃO</t>
        </is>
      </c>
      <c r="M1070" s="8" t="n"/>
      <c r="N1070" s="14" t="n"/>
      <c r="O1070" s="7" t="inlineStr"/>
      <c r="P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/>
      <c r="K1071" s="8" t="n"/>
      <c r="L1071" s="7" t="inlineStr">
        <is>
          <t>SEM COTAÇÃO</t>
        </is>
      </c>
      <c r="M1071" s="8" t="n"/>
      <c r="N1071" s="14" t="n"/>
      <c r="O1071" s="7" t="inlineStr"/>
      <c r="P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/>
      <c r="K1072" s="8" t="n"/>
      <c r="L1072" s="7" t="inlineStr">
        <is>
          <t>SEM COTAÇÃO</t>
        </is>
      </c>
      <c r="M1072" s="8" t="n"/>
      <c r="N1072" s="14" t="n"/>
      <c r="O1072" s="7" t="inlineStr"/>
      <c r="P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/>
      <c r="K1073" s="8" t="n"/>
      <c r="L1073" s="7" t="inlineStr">
        <is>
          <t>SEM COTAÇÃO</t>
        </is>
      </c>
      <c r="M1073" s="8" t="n"/>
      <c r="N1073" s="14" t="n"/>
      <c r="O1073" s="7" t="inlineStr"/>
      <c r="P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/>
      <c r="K1074" s="8" t="n"/>
      <c r="L1074" s="7" t="inlineStr">
        <is>
          <t>SEM COTAÇÃO</t>
        </is>
      </c>
      <c r="M1074" s="8" t="n"/>
      <c r="N1074" s="14" t="n"/>
      <c r="O1074" s="7" t="inlineStr"/>
      <c r="P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/>
      <c r="K1075" s="8" t="n"/>
      <c r="L1075" s="7" t="inlineStr">
        <is>
          <t>SEM COTAÇÃO</t>
        </is>
      </c>
      <c r="M1075" s="8" t="n"/>
      <c r="N1075" s="14" t="n"/>
      <c r="O1075" s="7" t="inlineStr"/>
      <c r="P1075" s="7" t="inlineStr"/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/>
      <c r="K1076" s="8" t="n"/>
      <c r="L1076" s="7" t="inlineStr">
        <is>
          <t>SEM COTAÇÃO</t>
        </is>
      </c>
      <c r="M1076" s="8" t="n"/>
      <c r="N1076" s="14" t="n"/>
      <c r="O1076" s="7" t="inlineStr"/>
      <c r="P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/>
      <c r="K1077" s="8" t="n"/>
      <c r="L1077" s="7" t="inlineStr">
        <is>
          <t>SEM COTAÇÃO</t>
        </is>
      </c>
      <c r="M1077" s="8" t="n"/>
      <c r="N1077" s="14" t="n"/>
      <c r="O1077" s="7" t="inlineStr"/>
      <c r="P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/>
      <c r="K1078" s="8" t="n"/>
      <c r="L1078" s="7" t="inlineStr">
        <is>
          <t>SEM COTAÇÃO</t>
        </is>
      </c>
      <c r="M1078" s="8" t="n"/>
      <c r="N1078" s="14" t="n"/>
      <c r="O1078" s="7" t="inlineStr"/>
      <c r="P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/>
      <c r="K1079" s="8" t="n"/>
      <c r="L1079" s="7" t="inlineStr">
        <is>
          <t>SEM COTAÇÃO</t>
        </is>
      </c>
      <c r="M1079" s="8" t="n"/>
      <c r="N1079" s="14" t="n"/>
      <c r="O1079" s="7" t="inlineStr"/>
      <c r="P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/>
      <c r="K1080" s="8" t="n"/>
      <c r="L1080" s="7" t="inlineStr">
        <is>
          <t>SEM COTAÇÃO</t>
        </is>
      </c>
      <c r="M1080" s="8" t="n"/>
      <c r="N1080" s="14" t="n"/>
      <c r="O1080" s="7" t="inlineStr"/>
      <c r="P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/>
      <c r="K1081" s="8" t="n"/>
      <c r="L1081" s="7" t="inlineStr">
        <is>
          <t>SEM COTAÇÃO</t>
        </is>
      </c>
      <c r="M1081" s="8" t="n"/>
      <c r="N1081" s="14" t="n"/>
      <c r="O1081" s="7" t="inlineStr"/>
      <c r="P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/>
      <c r="K1082" s="8" t="n"/>
      <c r="L1082" s="7" t="inlineStr">
        <is>
          <t>SEM COTAÇÃO</t>
        </is>
      </c>
      <c r="M1082" s="8" t="n"/>
      <c r="N1082" s="14" t="n"/>
      <c r="O1082" s="7" t="inlineStr"/>
      <c r="P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/>
      <c r="K1083" s="8" t="n"/>
      <c r="L1083" s="7" t="inlineStr">
        <is>
          <t>SEM COTAÇÃO</t>
        </is>
      </c>
      <c r="M1083" s="8" t="n"/>
      <c r="N1083" s="14" t="n"/>
      <c r="O1083" s="7" t="inlineStr"/>
      <c r="P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/>
      <c r="K1084" s="8" t="n"/>
      <c r="L1084" s="7" t="inlineStr">
        <is>
          <t>SEM COTAÇÃO</t>
        </is>
      </c>
      <c r="M1084" s="8" t="n"/>
      <c r="N1084" s="14" t="n"/>
      <c r="O1084" s="7" t="inlineStr"/>
      <c r="P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/>
      <c r="K1085" s="8" t="n"/>
      <c r="L1085" s="7" t="inlineStr">
        <is>
          <t>SEM COTAÇÃO</t>
        </is>
      </c>
      <c r="M1085" s="8" t="n"/>
      <c r="N1085" s="14" t="n"/>
      <c r="O1085" s="7" t="inlineStr"/>
      <c r="P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/>
      <c r="K1086" s="8" t="n"/>
      <c r="L1086" s="7" t="inlineStr">
        <is>
          <t>SEM COTAÇÃO</t>
        </is>
      </c>
      <c r="M1086" s="8" t="n"/>
      <c r="N1086" s="14" t="n"/>
      <c r="O1086" s="7" t="inlineStr"/>
      <c r="P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/>
      <c r="K1087" s="8" t="n"/>
      <c r="L1087" s="7" t="inlineStr">
        <is>
          <t>SEM COTAÇÃO</t>
        </is>
      </c>
      <c r="M1087" s="8" t="n"/>
      <c r="N1087" s="14" t="n"/>
      <c r="O1087" s="7" t="inlineStr"/>
      <c r="P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/>
      <c r="K1088" s="8" t="n"/>
      <c r="L1088" s="7" t="inlineStr">
        <is>
          <t>SEM COTAÇÃO</t>
        </is>
      </c>
      <c r="M1088" s="8" t="n"/>
      <c r="N1088" s="14" t="n"/>
      <c r="O1088" s="7" t="inlineStr"/>
      <c r="P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/>
      <c r="K1089" s="8" t="n"/>
      <c r="L1089" s="7" t="inlineStr">
        <is>
          <t>SEM COTAÇÃO</t>
        </is>
      </c>
      <c r="M1089" s="8" t="n"/>
      <c r="N1089" s="14" t="n"/>
      <c r="O1089" s="7" t="inlineStr"/>
      <c r="P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/>
      <c r="K1090" s="8" t="n"/>
      <c r="L1090" s="7" t="inlineStr">
        <is>
          <t>SEM COTAÇÃO</t>
        </is>
      </c>
      <c r="M1090" s="8" t="n"/>
      <c r="N1090" s="14" t="n"/>
      <c r="O1090" s="7" t="inlineStr"/>
      <c r="P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/>
      <c r="K1091" s="8" t="n"/>
      <c r="L1091" s="7" t="inlineStr">
        <is>
          <t>SEM COTAÇÃO</t>
        </is>
      </c>
      <c r="M1091" s="8" t="n"/>
      <c r="N1091" s="14" t="n"/>
      <c r="O1091" s="7" t="inlineStr"/>
      <c r="P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/>
      <c r="K1092" s="8" t="n"/>
      <c r="L1092" s="7" t="inlineStr">
        <is>
          <t>SEM COTAÇÃO</t>
        </is>
      </c>
      <c r="M1092" s="8" t="n"/>
      <c r="N1092" s="14" t="n"/>
      <c r="O1092" s="7" t="inlineStr"/>
      <c r="P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/>
      <c r="K1093" s="8" t="n"/>
      <c r="L1093" s="7" t="inlineStr">
        <is>
          <t>SEM COTAÇÃO</t>
        </is>
      </c>
      <c r="M1093" s="8" t="n"/>
      <c r="N1093" s="14" t="n"/>
      <c r="O1093" s="7" t="inlineStr"/>
      <c r="P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/>
      <c r="K1094" s="8" t="n"/>
      <c r="L1094" s="7" t="inlineStr">
        <is>
          <t>SEM COTAÇÃO</t>
        </is>
      </c>
      <c r="M1094" s="8" t="n"/>
      <c r="N1094" s="14" t="n"/>
      <c r="O1094" s="7" t="inlineStr"/>
      <c r="P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/>
      <c r="K1095" s="8" t="n"/>
      <c r="L1095" s="7" t="inlineStr">
        <is>
          <t>SEM COTAÇÃO</t>
        </is>
      </c>
      <c r="M1095" s="8" t="n"/>
      <c r="N1095" s="14" t="n"/>
      <c r="O1095" s="7" t="inlineStr"/>
      <c r="P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/>
      <c r="K1096" s="8" t="n"/>
      <c r="L1096" s="7" t="inlineStr">
        <is>
          <t>SEM COTAÇÃO</t>
        </is>
      </c>
      <c r="M1096" s="8" t="n"/>
      <c r="N1096" s="14" t="n"/>
      <c r="O1096" s="7" t="inlineStr"/>
      <c r="P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/>
      <c r="K1097" s="8" t="n"/>
      <c r="L1097" s="7" t="inlineStr">
        <is>
          <t>SEM COTAÇÃO</t>
        </is>
      </c>
      <c r="M1097" s="8" t="n"/>
      <c r="N1097" s="14" t="n"/>
      <c r="O1097" s="7" t="inlineStr"/>
      <c r="P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/>
      <c r="K1098" s="8" t="n"/>
      <c r="L1098" s="7" t="inlineStr">
        <is>
          <t>SEM COTAÇÃO</t>
        </is>
      </c>
      <c r="M1098" s="8" t="n"/>
      <c r="N1098" s="14" t="n"/>
      <c r="O1098" s="7" t="inlineStr"/>
      <c r="P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/>
      <c r="K1099" s="8" t="n"/>
      <c r="L1099" s="7" t="inlineStr">
        <is>
          <t>SEM COTAÇÃO</t>
        </is>
      </c>
      <c r="M1099" s="8" t="n"/>
      <c r="N1099" s="14" t="n"/>
      <c r="O1099" s="7" t="inlineStr"/>
      <c r="P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/>
      <c r="K1100" s="8" t="n"/>
      <c r="L1100" s="7" t="inlineStr">
        <is>
          <t>SEM COTAÇÃO</t>
        </is>
      </c>
      <c r="M1100" s="8" t="n"/>
      <c r="N1100" s="14" t="n"/>
      <c r="O1100" s="7" t="inlineStr"/>
      <c r="P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/>
      <c r="K1101" s="8" t="n"/>
      <c r="L1101" s="7" t="inlineStr">
        <is>
          <t>SEM COTAÇÃO</t>
        </is>
      </c>
      <c r="M1101" s="8" t="n"/>
      <c r="N1101" s="14" t="n"/>
      <c r="O1101" s="7" t="inlineStr"/>
      <c r="P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/>
      <c r="K1102" s="8" t="n"/>
      <c r="L1102" s="7" t="inlineStr">
        <is>
          <t>SEM COTAÇÃO</t>
        </is>
      </c>
      <c r="M1102" s="8" t="n"/>
      <c r="N1102" s="14" t="n"/>
      <c r="O1102" s="7" t="inlineStr"/>
      <c r="P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/>
      <c r="K1103" s="8" t="n"/>
      <c r="L1103" s="7" t="inlineStr">
        <is>
          <t>SEM COTAÇÃO</t>
        </is>
      </c>
      <c r="M1103" s="8" t="n"/>
      <c r="N1103" s="14" t="n"/>
      <c r="O1103" s="7" t="inlineStr"/>
      <c r="P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/>
      <c r="K1104" s="8" t="n"/>
      <c r="L1104" s="7" t="inlineStr">
        <is>
          <t>SEM COTAÇÃO</t>
        </is>
      </c>
      <c r="M1104" s="8" t="n"/>
      <c r="N1104" s="14" t="n"/>
      <c r="O1104" s="7" t="inlineStr"/>
      <c r="P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/>
      <c r="K1105" s="8" t="n"/>
      <c r="L1105" s="7" t="inlineStr">
        <is>
          <t>SEM COTAÇÃO</t>
        </is>
      </c>
      <c r="M1105" s="8" t="n"/>
      <c r="N1105" s="14" t="n"/>
      <c r="O1105" s="7" t="inlineStr"/>
      <c r="P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/>
      <c r="K1106" s="8" t="n"/>
      <c r="L1106" s="7" t="inlineStr">
        <is>
          <t>SEM COTAÇÃO</t>
        </is>
      </c>
      <c r="M1106" s="8" t="n"/>
      <c r="N1106" s="14" t="n"/>
      <c r="O1106" s="7" t="inlineStr"/>
      <c r="P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/>
      <c r="K1107" s="8" t="n"/>
      <c r="L1107" s="7" t="inlineStr">
        <is>
          <t>SEM COTAÇÃO</t>
        </is>
      </c>
      <c r="M1107" s="8" t="n"/>
      <c r="N1107" s="14" t="n"/>
      <c r="O1107" s="7" t="inlineStr"/>
      <c r="P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/>
      <c r="K1108" s="8" t="n"/>
      <c r="L1108" s="7" t="inlineStr">
        <is>
          <t>SEM COTAÇÃO</t>
        </is>
      </c>
      <c r="M1108" s="8" t="n"/>
      <c r="N1108" s="14" t="n"/>
      <c r="O1108" s="7" t="inlineStr"/>
      <c r="P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/>
      <c r="K1109" s="8" t="n"/>
      <c r="L1109" s="7" t="inlineStr">
        <is>
          <t>SEM COTAÇÃO</t>
        </is>
      </c>
      <c r="M1109" s="8" t="n"/>
      <c r="N1109" s="14" t="n"/>
      <c r="O1109" s="7" t="inlineStr"/>
      <c r="P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/>
      <c r="K1110" s="8" t="n"/>
      <c r="L1110" s="7" t="inlineStr">
        <is>
          <t>SEM COTAÇÃO</t>
        </is>
      </c>
      <c r="M1110" s="8" t="n"/>
      <c r="N1110" s="14" t="n"/>
      <c r="O1110" s="7" t="inlineStr"/>
      <c r="P1110" s="7" t="inlineStr"/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/>
      <c r="K1111" s="8" t="n"/>
      <c r="L1111" s="7" t="inlineStr">
        <is>
          <t>SEM COTAÇÃO</t>
        </is>
      </c>
      <c r="M1111" s="8" t="n"/>
      <c r="N1111" s="14" t="n"/>
      <c r="O1111" s="7" t="inlineStr"/>
      <c r="P1111" s="7" t="inlineStr"/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/>
      <c r="K1112" s="8" t="n"/>
      <c r="L1112" s="7" t="inlineStr">
        <is>
          <t>SEM COTAÇÃO</t>
        </is>
      </c>
      <c r="M1112" s="8" t="n"/>
      <c r="N1112" s="14" t="n"/>
      <c r="O1112" s="7" t="inlineStr"/>
      <c r="P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/>
      <c r="K1113" s="8" t="n"/>
      <c r="L1113" s="7" t="inlineStr">
        <is>
          <t>SEM COTAÇÃO</t>
        </is>
      </c>
      <c r="M1113" s="8" t="n"/>
      <c r="N1113" s="14" t="n"/>
      <c r="O1113" s="7" t="inlineStr"/>
      <c r="P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/>
      <c r="K1114" s="8" t="n"/>
      <c r="L1114" s="7" t="inlineStr">
        <is>
          <t>SEM COTAÇÃO</t>
        </is>
      </c>
      <c r="M1114" s="8" t="n"/>
      <c r="N1114" s="14" t="n"/>
      <c r="O1114" s="7" t="inlineStr"/>
      <c r="P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/>
      <c r="K1115" s="8" t="n"/>
      <c r="L1115" s="7" t="inlineStr">
        <is>
          <t>SEM COTAÇÃO</t>
        </is>
      </c>
      <c r="M1115" s="8" t="n"/>
      <c r="N1115" s="14" t="n"/>
      <c r="O1115" s="7" t="inlineStr"/>
      <c r="P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/>
      <c r="K1116" s="8" t="n"/>
      <c r="L1116" s="7" t="inlineStr">
        <is>
          <t>SEM COTAÇÃO</t>
        </is>
      </c>
      <c r="M1116" s="8" t="n"/>
      <c r="N1116" s="14" t="n"/>
      <c r="O1116" s="7" t="inlineStr"/>
      <c r="P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/>
      <c r="K1117" s="8" t="n"/>
      <c r="L1117" s="7" t="inlineStr">
        <is>
          <t>SEM COTAÇÃO</t>
        </is>
      </c>
      <c r="M1117" s="8" t="n"/>
      <c r="N1117" s="14" t="n"/>
      <c r="O1117" s="7" t="inlineStr"/>
      <c r="P1117" s="7" t="inlineStr"/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7" t="inlineStr">
        <is>
          <t>SEM COTAÇÃO</t>
        </is>
      </c>
      <c r="M1118" s="8" t="n"/>
      <c r="N1118" s="14" t="n"/>
      <c r="O1118" s="7" t="inlineStr"/>
      <c r="P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/>
      <c r="K1119" s="8" t="n"/>
      <c r="L1119" s="7" t="inlineStr">
        <is>
          <t>SEM COTAÇÃO</t>
        </is>
      </c>
      <c r="M1119" s="8" t="n"/>
      <c r="N1119" s="14" t="n"/>
      <c r="O1119" s="7" t="inlineStr"/>
      <c r="P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/>
      <c r="K1120" s="8" t="n"/>
      <c r="L1120" s="7" t="inlineStr">
        <is>
          <t>SEM COTAÇÃO</t>
        </is>
      </c>
      <c r="M1120" s="8" t="n"/>
      <c r="N1120" s="14" t="n"/>
      <c r="O1120" s="7" t="inlineStr"/>
      <c r="P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/>
      <c r="K1121" s="8" t="n"/>
      <c r="L1121" s="7" t="inlineStr">
        <is>
          <t>SEM COTAÇÃO</t>
        </is>
      </c>
      <c r="M1121" s="8" t="n"/>
      <c r="N1121" s="14" t="n"/>
      <c r="O1121" s="7" t="inlineStr"/>
      <c r="P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/>
      <c r="K1122" s="8" t="n"/>
      <c r="L1122" s="7" t="inlineStr">
        <is>
          <t>SEM COTAÇÃO</t>
        </is>
      </c>
      <c r="M1122" s="8" t="n"/>
      <c r="N1122" s="14" t="n"/>
      <c r="O1122" s="7" t="inlineStr"/>
      <c r="P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/>
      <c r="K1123" s="8" t="n"/>
      <c r="L1123" s="7" t="inlineStr">
        <is>
          <t>SEM COTAÇÃO</t>
        </is>
      </c>
      <c r="M1123" s="8" t="n"/>
      <c r="N1123" s="14" t="n"/>
      <c r="O1123" s="7" t="inlineStr"/>
      <c r="P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/>
      <c r="K1124" s="8" t="n"/>
      <c r="L1124" s="7" t="inlineStr">
        <is>
          <t>SEM COTAÇÃO</t>
        </is>
      </c>
      <c r="M1124" s="8" t="n"/>
      <c r="N1124" s="14" t="n"/>
      <c r="O1124" s="7" t="inlineStr"/>
      <c r="P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/>
      <c r="K1125" s="8" t="n"/>
      <c r="L1125" s="7" t="inlineStr">
        <is>
          <t>SEM COTAÇÃO</t>
        </is>
      </c>
      <c r="M1125" s="8" t="n"/>
      <c r="N1125" s="14" t="n"/>
      <c r="O1125" s="7" t="inlineStr"/>
      <c r="P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/>
      <c r="K1126" s="8" t="n"/>
      <c r="L1126" s="7" t="inlineStr">
        <is>
          <t>SEM COTAÇÃO</t>
        </is>
      </c>
      <c r="M1126" s="8" t="n"/>
      <c r="N1126" s="14" t="n"/>
      <c r="O1126" s="7" t="inlineStr"/>
      <c r="P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/>
      <c r="K1127" s="8" t="n"/>
      <c r="L1127" s="7" t="inlineStr">
        <is>
          <t>SEM COTAÇÃO</t>
        </is>
      </c>
      <c r="M1127" s="8" t="n"/>
      <c r="N1127" s="14" t="n"/>
      <c r="O1127" s="7" t="inlineStr"/>
      <c r="P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/>
      <c r="K1128" s="8" t="n"/>
      <c r="L1128" s="7" t="inlineStr">
        <is>
          <t>SEM COTAÇÃO</t>
        </is>
      </c>
      <c r="M1128" s="8" t="n"/>
      <c r="N1128" s="14" t="n"/>
      <c r="O1128" s="7" t="inlineStr"/>
      <c r="P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/>
      <c r="K1129" s="8" t="n"/>
      <c r="L1129" s="7" t="inlineStr">
        <is>
          <t>SEM COTAÇÃO</t>
        </is>
      </c>
      <c r="M1129" s="8" t="n"/>
      <c r="N1129" s="14" t="n"/>
      <c r="O1129" s="7" t="inlineStr"/>
      <c r="P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/>
      <c r="K1130" s="8" t="n"/>
      <c r="L1130" s="7" t="inlineStr">
        <is>
          <t>SEM COTAÇÃO</t>
        </is>
      </c>
      <c r="M1130" s="8" t="n"/>
      <c r="N1130" s="14" t="n"/>
      <c r="O1130" s="7" t="inlineStr"/>
      <c r="P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/>
      <c r="K1131" s="8" t="n"/>
      <c r="L1131" s="7" t="inlineStr">
        <is>
          <t>SEM COTAÇÃO</t>
        </is>
      </c>
      <c r="M1131" s="8" t="n"/>
      <c r="N1131" s="14" t="n"/>
      <c r="O1131" s="7" t="inlineStr"/>
      <c r="P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/>
      <c r="K1132" s="8" t="n"/>
      <c r="L1132" s="7" t="inlineStr">
        <is>
          <t>SEM COTAÇÃO</t>
        </is>
      </c>
      <c r="M1132" s="8" t="n"/>
      <c r="N1132" s="14" t="n"/>
      <c r="O1132" s="7" t="inlineStr"/>
      <c r="P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/>
      <c r="K1133" s="8" t="n"/>
      <c r="L1133" s="7" t="inlineStr">
        <is>
          <t>SEM COTAÇÃO</t>
        </is>
      </c>
      <c r="M1133" s="8" t="n"/>
      <c r="N1133" s="14" t="n"/>
      <c r="O1133" s="7" t="inlineStr"/>
      <c r="P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/>
      <c r="K1134" s="8" t="n"/>
      <c r="L1134" s="7" t="inlineStr">
        <is>
          <t>SEM COTAÇÃO</t>
        </is>
      </c>
      <c r="M1134" s="8" t="n"/>
      <c r="N1134" s="14" t="n"/>
      <c r="O1134" s="7" t="inlineStr"/>
      <c r="P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/>
      <c r="K1135" s="8" t="n"/>
      <c r="L1135" s="7" t="inlineStr">
        <is>
          <t>SEM COTAÇÃO</t>
        </is>
      </c>
      <c r="M1135" s="8" t="n"/>
      <c r="N1135" s="14" t="n"/>
      <c r="O1135" s="7" t="inlineStr"/>
      <c r="P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/>
      <c r="K1136" s="8" t="n"/>
      <c r="L1136" s="7" t="inlineStr">
        <is>
          <t>SEM COTAÇÃO</t>
        </is>
      </c>
      <c r="M1136" s="8" t="n"/>
      <c r="N1136" s="14" t="n"/>
      <c r="O1136" s="7" t="inlineStr"/>
      <c r="P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/>
      <c r="K1137" s="8" t="n"/>
      <c r="L1137" s="7" t="inlineStr">
        <is>
          <t>SEM COTAÇÃO</t>
        </is>
      </c>
      <c r="M1137" s="8" t="n"/>
      <c r="N1137" s="14" t="n"/>
      <c r="O1137" s="7" t="inlineStr"/>
      <c r="P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/>
      <c r="K1138" s="8" t="n"/>
      <c r="L1138" s="7" t="inlineStr">
        <is>
          <t>SEM COTAÇÃO</t>
        </is>
      </c>
      <c r="M1138" s="8" t="n"/>
      <c r="N1138" s="14" t="n"/>
      <c r="O1138" s="7" t="inlineStr"/>
      <c r="P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/>
      <c r="K1139" s="8" t="n"/>
      <c r="L1139" s="7" t="inlineStr">
        <is>
          <t>SEM COTAÇÃO</t>
        </is>
      </c>
      <c r="M1139" s="8" t="n"/>
      <c r="N1139" s="14" t="n"/>
      <c r="O1139" s="7" t="inlineStr"/>
      <c r="P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/>
      <c r="K1140" s="8" t="n"/>
      <c r="L1140" s="7" t="inlineStr">
        <is>
          <t>SEM COTAÇÃO</t>
        </is>
      </c>
      <c r="M1140" s="8" t="n"/>
      <c r="N1140" s="14" t="n"/>
      <c r="O1140" s="7" t="inlineStr"/>
      <c r="P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/>
      <c r="K1141" s="8" t="n"/>
      <c r="L1141" s="7" t="inlineStr">
        <is>
          <t>SEM COTAÇÃO</t>
        </is>
      </c>
      <c r="M1141" s="8" t="n"/>
      <c r="N1141" s="14" t="n"/>
      <c r="O1141" s="7" t="inlineStr"/>
      <c r="P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/>
      <c r="K1142" s="8" t="n"/>
      <c r="L1142" s="7" t="inlineStr">
        <is>
          <t>SEM COTAÇÃO</t>
        </is>
      </c>
      <c r="M1142" s="8" t="n"/>
      <c r="N1142" s="14" t="n"/>
      <c r="O1142" s="7" t="inlineStr"/>
      <c r="P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/>
      <c r="K1143" s="8" t="n"/>
      <c r="L1143" s="7" t="inlineStr">
        <is>
          <t>SEM COTAÇÃO</t>
        </is>
      </c>
      <c r="M1143" s="8" t="n"/>
      <c r="N1143" s="14" t="n"/>
      <c r="O1143" s="7" t="inlineStr"/>
      <c r="P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/>
      <c r="K1144" s="8" t="n"/>
      <c r="L1144" s="7" t="inlineStr">
        <is>
          <t>SEM COTAÇÃO</t>
        </is>
      </c>
      <c r="M1144" s="8" t="n"/>
      <c r="N1144" s="14" t="n"/>
      <c r="O1144" s="7" t="inlineStr"/>
      <c r="P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/>
      <c r="K1145" s="8" t="n"/>
      <c r="L1145" s="7" t="inlineStr">
        <is>
          <t>SEM COTAÇÃO</t>
        </is>
      </c>
      <c r="M1145" s="8" t="n"/>
      <c r="N1145" s="14" t="n"/>
      <c r="O1145" s="7" t="inlineStr"/>
      <c r="P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/>
      <c r="K1146" s="8" t="n"/>
      <c r="L1146" s="7" t="inlineStr">
        <is>
          <t>SEM COTAÇÃO</t>
        </is>
      </c>
      <c r="M1146" s="8" t="n"/>
      <c r="N1146" s="14" t="n"/>
      <c r="O1146" s="7" t="inlineStr"/>
      <c r="P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/>
      <c r="K1147" s="8" t="n"/>
      <c r="L1147" s="7" t="inlineStr">
        <is>
          <t>SEM COTAÇÃO</t>
        </is>
      </c>
      <c r="M1147" s="8" t="n"/>
      <c r="N1147" s="14" t="n"/>
      <c r="O1147" s="7" t="inlineStr"/>
      <c r="P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/>
      <c r="K1148" s="8" t="n"/>
      <c r="L1148" s="7" t="inlineStr">
        <is>
          <t>SEM COTAÇÃO</t>
        </is>
      </c>
      <c r="M1148" s="8" t="n"/>
      <c r="N1148" s="14" t="n"/>
      <c r="O1148" s="7" t="inlineStr"/>
      <c r="P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/>
      <c r="K1149" s="8" t="n"/>
      <c r="L1149" s="7" t="inlineStr">
        <is>
          <t>SEM COTAÇÃO</t>
        </is>
      </c>
      <c r="M1149" s="8" t="n"/>
      <c r="N1149" s="14" t="n"/>
      <c r="O1149" s="7" t="inlineStr"/>
      <c r="P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/>
      <c r="K1150" s="8" t="n"/>
      <c r="L1150" s="7" t="inlineStr">
        <is>
          <t>SEM COTAÇÃO</t>
        </is>
      </c>
      <c r="M1150" s="8" t="n"/>
      <c r="N1150" s="14" t="n"/>
      <c r="O1150" s="7" t="inlineStr"/>
      <c r="P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/>
      <c r="K1151" s="8" t="n"/>
      <c r="L1151" s="7" t="inlineStr">
        <is>
          <t>SEM COTAÇÃO</t>
        </is>
      </c>
      <c r="M1151" s="8" t="n"/>
      <c r="N1151" s="14" t="n"/>
      <c r="O1151" s="7" t="inlineStr"/>
      <c r="P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/>
      <c r="K1152" s="8" t="n"/>
      <c r="L1152" s="7" t="inlineStr">
        <is>
          <t>SEM COTAÇÃO</t>
        </is>
      </c>
      <c r="M1152" s="8" t="n"/>
      <c r="N1152" s="14" t="n"/>
      <c r="O1152" s="7" t="inlineStr"/>
      <c r="P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/>
      <c r="K1153" s="8" t="n"/>
      <c r="L1153" s="7" t="inlineStr">
        <is>
          <t>SEM COTAÇÃO</t>
        </is>
      </c>
      <c r="M1153" s="8" t="n"/>
      <c r="N1153" s="14" t="n"/>
      <c r="O1153" s="7" t="inlineStr"/>
      <c r="P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/>
      <c r="K1154" s="8" t="n"/>
      <c r="L1154" s="7" t="inlineStr">
        <is>
          <t>SEM COTAÇÃO</t>
        </is>
      </c>
      <c r="M1154" s="8" t="n"/>
      <c r="N1154" s="14" t="n"/>
      <c r="O1154" s="7" t="inlineStr"/>
      <c r="P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/>
      <c r="K1155" s="8" t="n"/>
      <c r="L1155" s="7" t="inlineStr">
        <is>
          <t>SEM COTAÇÃO</t>
        </is>
      </c>
      <c r="M1155" s="8" t="n"/>
      <c r="N1155" s="14" t="n"/>
      <c r="O1155" s="7" t="inlineStr"/>
      <c r="P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/>
      <c r="K1156" s="8" t="n"/>
      <c r="L1156" s="7" t="inlineStr">
        <is>
          <t>SEM COTAÇÃO</t>
        </is>
      </c>
      <c r="M1156" s="8" t="n"/>
      <c r="N1156" s="14" t="n"/>
      <c r="O1156" s="7" t="inlineStr"/>
      <c r="P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/>
      <c r="K1157" s="8" t="n"/>
      <c r="L1157" s="7" t="inlineStr">
        <is>
          <t>SEM COTAÇÃO</t>
        </is>
      </c>
      <c r="M1157" s="8" t="n"/>
      <c r="N1157" s="14" t="n"/>
      <c r="O1157" s="7" t="inlineStr"/>
      <c r="P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/>
      <c r="K1158" s="8" t="n"/>
      <c r="L1158" s="7" t="inlineStr">
        <is>
          <t>SEM COTAÇÃO</t>
        </is>
      </c>
      <c r="M1158" s="8" t="n"/>
      <c r="N1158" s="14" t="n"/>
      <c r="O1158" s="7" t="inlineStr"/>
      <c r="P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/>
      <c r="K1159" s="8" t="n"/>
      <c r="L1159" s="7" t="inlineStr">
        <is>
          <t>SEM COTAÇÃO</t>
        </is>
      </c>
      <c r="M1159" s="8" t="n"/>
      <c r="N1159" s="14" t="n"/>
      <c r="O1159" s="7" t="inlineStr"/>
      <c r="P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/>
      <c r="K1160" s="8" t="n"/>
      <c r="L1160" s="7" t="inlineStr">
        <is>
          <t>SEM COTAÇÃO</t>
        </is>
      </c>
      <c r="M1160" s="8" t="n"/>
      <c r="N1160" s="14" t="n"/>
      <c r="O1160" s="7" t="inlineStr"/>
      <c r="P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/>
      <c r="K1161" s="8" t="n"/>
      <c r="L1161" s="7" t="inlineStr">
        <is>
          <t>SEM COTAÇÃO</t>
        </is>
      </c>
      <c r="M1161" s="8" t="n"/>
      <c r="N1161" s="14" t="n"/>
      <c r="O1161" s="7" t="inlineStr"/>
      <c r="P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/>
      <c r="K1162" s="8" t="n"/>
      <c r="L1162" s="7" t="inlineStr">
        <is>
          <t>SEM COTAÇÃO</t>
        </is>
      </c>
      <c r="M1162" s="8" t="n"/>
      <c r="N1162" s="14" t="n"/>
      <c r="O1162" s="7" t="inlineStr"/>
      <c r="P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/>
      <c r="K1163" s="8" t="n"/>
      <c r="L1163" s="7" t="inlineStr">
        <is>
          <t>SEM COTAÇÃO</t>
        </is>
      </c>
      <c r="M1163" s="8" t="n"/>
      <c r="N1163" s="14" t="n"/>
      <c r="O1163" s="7" t="inlineStr"/>
      <c r="P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/>
      <c r="K1164" s="8" t="n"/>
      <c r="L1164" s="7" t="inlineStr">
        <is>
          <t>SEM COTAÇÃO</t>
        </is>
      </c>
      <c r="M1164" s="8" t="n"/>
      <c r="N1164" s="14" t="n"/>
      <c r="O1164" s="7" t="inlineStr"/>
      <c r="P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/>
      <c r="K1165" s="8" t="n"/>
      <c r="L1165" s="7" t="inlineStr">
        <is>
          <t>SEM COTAÇÃO</t>
        </is>
      </c>
      <c r="M1165" s="8" t="n"/>
      <c r="N1165" s="14" t="n"/>
      <c r="O1165" s="7" t="inlineStr"/>
      <c r="P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/>
      <c r="K1166" s="8" t="n"/>
      <c r="L1166" s="7" t="inlineStr">
        <is>
          <t>SEM COTAÇÃO</t>
        </is>
      </c>
      <c r="M1166" s="8" t="n"/>
      <c r="N1166" s="14" t="n"/>
      <c r="O1166" s="7" t="inlineStr"/>
      <c r="P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/>
      <c r="K1167" s="8" t="n"/>
      <c r="L1167" s="7" t="inlineStr">
        <is>
          <t>SEM COTAÇÃO</t>
        </is>
      </c>
      <c r="M1167" s="8" t="n"/>
      <c r="N1167" s="14" t="n"/>
      <c r="O1167" s="7" t="inlineStr"/>
      <c r="P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/>
      <c r="K1168" s="8" t="n"/>
      <c r="L1168" s="7" t="inlineStr">
        <is>
          <t>SEM COTAÇÃO</t>
        </is>
      </c>
      <c r="M1168" s="8" t="n"/>
      <c r="N1168" s="14" t="n"/>
      <c r="O1168" s="7" t="inlineStr"/>
      <c r="P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/>
      <c r="K1169" s="8" t="n"/>
      <c r="L1169" s="7" t="inlineStr">
        <is>
          <t>SEM COTAÇÃO</t>
        </is>
      </c>
      <c r="M1169" s="8" t="n"/>
      <c r="N1169" s="14" t="n"/>
      <c r="O1169" s="7" t="inlineStr"/>
      <c r="P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/>
      <c r="K1170" s="8" t="n"/>
      <c r="L1170" s="7" t="inlineStr">
        <is>
          <t>SEM COTAÇÃO</t>
        </is>
      </c>
      <c r="M1170" s="8" t="n"/>
      <c r="N1170" s="14" t="n"/>
      <c r="O1170" s="7" t="inlineStr"/>
      <c r="P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/>
      <c r="K1171" s="8" t="n"/>
      <c r="L1171" s="7" t="inlineStr">
        <is>
          <t>SEM COTAÇÃO</t>
        </is>
      </c>
      <c r="M1171" s="8" t="n"/>
      <c r="N1171" s="14" t="n"/>
      <c r="O1171" s="7" t="inlineStr"/>
      <c r="P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7" t="inlineStr">
        <is>
          <t>SEM COTAÇÃO</t>
        </is>
      </c>
      <c r="M1172" s="8" t="n"/>
      <c r="N1172" s="14" t="n"/>
      <c r="O1172" s="7" t="inlineStr"/>
      <c r="P1172" s="7" t="inlineStr"/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/>
      <c r="K1173" s="8" t="n"/>
      <c r="L1173" s="7" t="inlineStr">
        <is>
          <t>SEM COTAÇÃO</t>
        </is>
      </c>
      <c r="M1173" s="8" t="n"/>
      <c r="N1173" s="14" t="n"/>
      <c r="O1173" s="7" t="inlineStr"/>
      <c r="P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/>
      <c r="K1174" s="8" t="n"/>
      <c r="L1174" s="7" t="inlineStr">
        <is>
          <t>SEM COTAÇÃO</t>
        </is>
      </c>
      <c r="M1174" s="8" t="n"/>
      <c r="N1174" s="14" t="n"/>
      <c r="O1174" s="7" t="inlineStr"/>
      <c r="P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/>
      <c r="K1175" s="8" t="n"/>
      <c r="L1175" s="7" t="inlineStr">
        <is>
          <t>SEM COTAÇÃO</t>
        </is>
      </c>
      <c r="M1175" s="8" t="n"/>
      <c r="N1175" s="14" t="n"/>
      <c r="O1175" s="7" t="inlineStr"/>
      <c r="P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/>
      <c r="K1176" s="8" t="n"/>
      <c r="L1176" s="7" t="inlineStr">
        <is>
          <t>SEM COTAÇÃO</t>
        </is>
      </c>
      <c r="M1176" s="8" t="n"/>
      <c r="N1176" s="14" t="n"/>
      <c r="O1176" s="7" t="inlineStr"/>
      <c r="P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/>
      <c r="K1177" s="8" t="n"/>
      <c r="L1177" s="7" t="inlineStr">
        <is>
          <t>SEM COTAÇÃO</t>
        </is>
      </c>
      <c r="M1177" s="8" t="n"/>
      <c r="N1177" s="14" t="n"/>
      <c r="O1177" s="7" t="inlineStr"/>
      <c r="P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/>
      <c r="K1178" s="8" t="n"/>
      <c r="L1178" s="7" t="inlineStr">
        <is>
          <t>SEM COTAÇÃO</t>
        </is>
      </c>
      <c r="M1178" s="8" t="n"/>
      <c r="N1178" s="14" t="n"/>
      <c r="O1178" s="7" t="inlineStr"/>
      <c r="P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/>
      <c r="K1179" s="8" t="n"/>
      <c r="L1179" s="7" t="inlineStr">
        <is>
          <t>SEM COTAÇÃO</t>
        </is>
      </c>
      <c r="M1179" s="8" t="n"/>
      <c r="N1179" s="14" t="n"/>
      <c r="O1179" s="7" t="inlineStr"/>
      <c r="P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/>
      <c r="K1180" s="8" t="n"/>
      <c r="L1180" s="7" t="inlineStr">
        <is>
          <t>SEM COTAÇÃO</t>
        </is>
      </c>
      <c r="M1180" s="8" t="n"/>
      <c r="N1180" s="14" t="n"/>
      <c r="O1180" s="7" t="inlineStr"/>
      <c r="P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/>
      <c r="K1181" s="8" t="n"/>
      <c r="L1181" s="7" t="inlineStr">
        <is>
          <t>SEM COTAÇÃO</t>
        </is>
      </c>
      <c r="M1181" s="8" t="n"/>
      <c r="N1181" s="14" t="n"/>
      <c r="O1181" s="7" t="inlineStr"/>
      <c r="P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/>
      <c r="K1182" s="8" t="n"/>
      <c r="L1182" s="7" t="inlineStr">
        <is>
          <t>SEM COTAÇÃO</t>
        </is>
      </c>
      <c r="M1182" s="8" t="n"/>
      <c r="N1182" s="14" t="n"/>
      <c r="O1182" s="7" t="inlineStr"/>
      <c r="P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7" t="inlineStr">
        <is>
          <t>SEM COTAÇÃO</t>
        </is>
      </c>
      <c r="M1183" s="8" t="n"/>
      <c r="N1183" s="14" t="n"/>
      <c r="O1183" s="7" t="inlineStr"/>
      <c r="P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/>
      <c r="K1184" s="8" t="n"/>
      <c r="L1184" s="7" t="inlineStr">
        <is>
          <t>SEM COTAÇÃO</t>
        </is>
      </c>
      <c r="M1184" s="8" t="n"/>
      <c r="N1184" s="14" t="n"/>
      <c r="O1184" s="7" t="inlineStr"/>
      <c r="P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/>
      <c r="K1185" s="8" t="n"/>
      <c r="L1185" s="7" t="inlineStr">
        <is>
          <t>SEM COTAÇÃO</t>
        </is>
      </c>
      <c r="M1185" s="8" t="n"/>
      <c r="N1185" s="14" t="n"/>
      <c r="O1185" s="7" t="inlineStr"/>
      <c r="P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/>
      <c r="K1186" s="8" t="n"/>
      <c r="L1186" s="7" t="inlineStr">
        <is>
          <t>SEM COTAÇÃO</t>
        </is>
      </c>
      <c r="M1186" s="8" t="n"/>
      <c r="N1186" s="14" t="n"/>
      <c r="O1186" s="7" t="inlineStr"/>
      <c r="P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/>
      <c r="K1187" s="8" t="n"/>
      <c r="L1187" s="7" t="inlineStr">
        <is>
          <t>SEM COTAÇÃO</t>
        </is>
      </c>
      <c r="M1187" s="8" t="n"/>
      <c r="N1187" s="14" t="n"/>
      <c r="O1187" s="7" t="inlineStr"/>
      <c r="P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7" t="inlineStr">
        <is>
          <t>SEM COTAÇÃO</t>
        </is>
      </c>
      <c r="M1188" s="8" t="n"/>
      <c r="N1188" s="14" t="n"/>
      <c r="O1188" s="7" t="inlineStr"/>
      <c r="P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/>
      <c r="K1189" s="8" t="n"/>
      <c r="L1189" s="7" t="inlineStr">
        <is>
          <t>SEM COTAÇÃO</t>
        </is>
      </c>
      <c r="M1189" s="8" t="n"/>
      <c r="N1189" s="14" t="n"/>
      <c r="O1189" s="7" t="inlineStr"/>
      <c r="P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/>
      <c r="K1190" s="8" t="n"/>
      <c r="L1190" s="7" t="inlineStr">
        <is>
          <t>SEM COTAÇÃO</t>
        </is>
      </c>
      <c r="M1190" s="8" t="n"/>
      <c r="N1190" s="14" t="n"/>
      <c r="O1190" s="7" t="inlineStr"/>
      <c r="P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/>
      <c r="K1191" s="8" t="n"/>
      <c r="L1191" s="7" t="inlineStr">
        <is>
          <t>SEM COTAÇÃO</t>
        </is>
      </c>
      <c r="M1191" s="8" t="n"/>
      <c r="N1191" s="14" t="n"/>
      <c r="O1191" s="7" t="inlineStr"/>
      <c r="P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/>
      <c r="K1192" s="8" t="n"/>
      <c r="L1192" s="7" t="inlineStr">
        <is>
          <t>SEM COTAÇÃO</t>
        </is>
      </c>
      <c r="M1192" s="8" t="n"/>
      <c r="N1192" s="14" t="n"/>
      <c r="O1192" s="7" t="inlineStr"/>
      <c r="P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/>
      <c r="K1193" s="8" t="n"/>
      <c r="L1193" s="7" t="inlineStr">
        <is>
          <t>SEM COTAÇÃO</t>
        </is>
      </c>
      <c r="M1193" s="8" t="n"/>
      <c r="N1193" s="14" t="n"/>
      <c r="O1193" s="7" t="inlineStr"/>
      <c r="P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/>
      <c r="K1194" s="8" t="n"/>
      <c r="L1194" s="7" t="inlineStr">
        <is>
          <t>SEM COTAÇÃO</t>
        </is>
      </c>
      <c r="M1194" s="8" t="n"/>
      <c r="N1194" s="14" t="n"/>
      <c r="O1194" s="7" t="inlineStr"/>
      <c r="P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/>
      <c r="K1195" s="8" t="n"/>
      <c r="L1195" s="7" t="inlineStr">
        <is>
          <t>SEM COTAÇÃO</t>
        </is>
      </c>
      <c r="M1195" s="8" t="n"/>
      <c r="N1195" s="14" t="n"/>
      <c r="O1195" s="7" t="inlineStr"/>
      <c r="P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/>
      <c r="K1196" s="8" t="n"/>
      <c r="L1196" s="7" t="inlineStr">
        <is>
          <t>SEM COTAÇÃO</t>
        </is>
      </c>
      <c r="M1196" s="8" t="n"/>
      <c r="N1196" s="14" t="n"/>
      <c r="O1196" s="7" t="inlineStr"/>
      <c r="P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15" t="n">
        <v>1.42</v>
      </c>
      <c r="K1197" s="8" t="n"/>
      <c r="L1197" s="7" t="inlineStr">
        <is>
          <t>DIMEC</t>
        </is>
      </c>
      <c r="M1197" s="8" t="n">
        <v>1.42</v>
      </c>
      <c r="N1197" s="14">
        <f>M1197/H1197-1</f>
        <v/>
      </c>
      <c r="O1197" s="17" t="inlineStr">
        <is>
          <t>OK (≤ menor hist.)</t>
        </is>
      </c>
      <c r="P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/>
      <c r="K1198" s="8" t="n"/>
      <c r="L1198" s="7" t="inlineStr">
        <is>
          <t>SEM COTAÇÃO</t>
        </is>
      </c>
      <c r="M1198" s="8" t="n"/>
      <c r="N1198" s="14" t="n"/>
      <c r="O1198" s="7" t="inlineStr"/>
      <c r="P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/>
      <c r="K1199" s="8" t="n"/>
      <c r="L1199" s="7" t="inlineStr">
        <is>
          <t>SEM COTAÇÃO</t>
        </is>
      </c>
      <c r="M1199" s="8" t="n"/>
      <c r="N1199" s="14" t="n"/>
      <c r="O1199" s="7" t="inlineStr"/>
      <c r="P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15" t="n">
        <v>5.42</v>
      </c>
      <c r="K1200" s="8" t="n">
        <v>5.95</v>
      </c>
      <c r="L1200" s="7" t="inlineStr">
        <is>
          <t>DIMEC</t>
        </is>
      </c>
      <c r="M1200" s="8" t="n">
        <v>5.42</v>
      </c>
      <c r="N1200" s="14">
        <f>M1200/H1200-1</f>
        <v/>
      </c>
      <c r="O1200" s="17" t="inlineStr">
        <is>
          <t>OK (≤ menor hist.)</t>
        </is>
      </c>
      <c r="P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/>
      <c r="K1201" s="8" t="n"/>
      <c r="L1201" s="7" t="inlineStr">
        <is>
          <t>SEM COTAÇÃO</t>
        </is>
      </c>
      <c r="M1201" s="8" t="n"/>
      <c r="N1201" s="14" t="n"/>
      <c r="O1201" s="7" t="inlineStr"/>
      <c r="P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/>
      <c r="K1202" s="8" t="n"/>
      <c r="L1202" s="7" t="inlineStr">
        <is>
          <t>SEM COTAÇÃO</t>
        </is>
      </c>
      <c r="M1202" s="8" t="n"/>
      <c r="N1202" s="14" t="n"/>
      <c r="O1202" s="7" t="inlineStr"/>
      <c r="P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/>
      <c r="K1203" s="8" t="n"/>
      <c r="L1203" s="7" t="inlineStr">
        <is>
          <t>SEM COTAÇÃO</t>
        </is>
      </c>
      <c r="M1203" s="8" t="n"/>
      <c r="N1203" s="14" t="n"/>
      <c r="O1203" s="7" t="inlineStr"/>
      <c r="P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/>
      <c r="K1204" s="8" t="n"/>
      <c r="L1204" s="7" t="inlineStr">
        <is>
          <t>SEM COTAÇÃO</t>
        </is>
      </c>
      <c r="M1204" s="8" t="n"/>
      <c r="N1204" s="14" t="n"/>
      <c r="O1204" s="7" t="inlineStr"/>
      <c r="P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/>
      <c r="K1205" s="8" t="n"/>
      <c r="L1205" s="7" t="inlineStr">
        <is>
          <t>SEM COTAÇÃO</t>
        </is>
      </c>
      <c r="M1205" s="8" t="n"/>
      <c r="N1205" s="14" t="n"/>
      <c r="O1205" s="7" t="inlineStr"/>
      <c r="P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/>
      <c r="K1206" s="8" t="n"/>
      <c r="L1206" s="7" t="inlineStr">
        <is>
          <t>SEM COTAÇÃO</t>
        </is>
      </c>
      <c r="M1206" s="8" t="n"/>
      <c r="N1206" s="14" t="n"/>
      <c r="O1206" s="7" t="inlineStr"/>
      <c r="P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/>
      <c r="K1207" s="8" t="n"/>
      <c r="L1207" s="7" t="inlineStr">
        <is>
          <t>SEM COTAÇÃO</t>
        </is>
      </c>
      <c r="M1207" s="8" t="n"/>
      <c r="N1207" s="14" t="n"/>
      <c r="O1207" s="7" t="inlineStr"/>
      <c r="P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/>
      <c r="K1208" s="8" t="n"/>
      <c r="L1208" s="7" t="inlineStr">
        <is>
          <t>SEM COTAÇÃO</t>
        </is>
      </c>
      <c r="M1208" s="8" t="n"/>
      <c r="N1208" s="14" t="n"/>
      <c r="O1208" s="7" t="inlineStr"/>
      <c r="P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/>
      <c r="K1209" s="8" t="n"/>
      <c r="L1209" s="7" t="inlineStr">
        <is>
          <t>SEM COTAÇÃO</t>
        </is>
      </c>
      <c r="M1209" s="8" t="n"/>
      <c r="N1209" s="14" t="n"/>
      <c r="O1209" s="7" t="inlineStr"/>
      <c r="P1209" s="7" t="inlineStr"/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/>
      <c r="K1210" s="8" t="n"/>
      <c r="L1210" s="7" t="inlineStr">
        <is>
          <t>SEM COTAÇÃO</t>
        </is>
      </c>
      <c r="M1210" s="8" t="n"/>
      <c r="N1210" s="14" t="n"/>
      <c r="O1210" s="7" t="inlineStr"/>
      <c r="P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15" t="n">
        <v>17.17</v>
      </c>
      <c r="K1211" s="8" t="n"/>
      <c r="L1211" s="7" t="inlineStr">
        <is>
          <t>DIMEC</t>
        </is>
      </c>
      <c r="M1211" s="8" t="n">
        <v>17.17</v>
      </c>
      <c r="N1211" s="14">
        <f>M1211/H1211-1</f>
        <v/>
      </c>
      <c r="O1211" s="16" t="inlineStr">
        <is>
          <t>ACIMA +15.0%</t>
        </is>
      </c>
      <c r="P1211" s="7" t="inlineStr"/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/>
      <c r="K1212" s="8" t="n"/>
      <c r="L1212" s="7" t="inlineStr">
        <is>
          <t>SEM COTAÇÃO</t>
        </is>
      </c>
      <c r="M1212" s="8" t="n"/>
      <c r="N1212" s="14" t="n"/>
      <c r="O1212" s="7" t="inlineStr"/>
      <c r="P1212" s="7" t="inlineStr"/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15" t="n">
        <v>3.25</v>
      </c>
      <c r="K1213" s="8" t="n"/>
      <c r="L1213" s="7" t="inlineStr">
        <is>
          <t>DIMEC</t>
        </is>
      </c>
      <c r="M1213" s="8" t="n">
        <v>3.25</v>
      </c>
      <c r="N1213" s="14">
        <f>M1213/H1213-1</f>
        <v/>
      </c>
      <c r="O1213" s="17" t="inlineStr">
        <is>
          <t>OK (≤ menor hist.)</t>
        </is>
      </c>
      <c r="P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/>
      <c r="K1214" s="8" t="n"/>
      <c r="L1214" s="7" t="inlineStr">
        <is>
          <t>SEM COTAÇÃO</t>
        </is>
      </c>
      <c r="M1214" s="8" t="n"/>
      <c r="N1214" s="14" t="n"/>
      <c r="O1214" s="7" t="inlineStr"/>
      <c r="P1214" s="7" t="inlineStr"/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/>
      <c r="K1215" s="15" t="n">
        <v>5.95</v>
      </c>
      <c r="L1215" s="7" t="inlineStr">
        <is>
          <t>PLUSFARMA</t>
        </is>
      </c>
      <c r="M1215" s="8" t="n">
        <v>5.95</v>
      </c>
      <c r="N1215" s="14">
        <f>M1215/H1215-1</f>
        <v/>
      </c>
      <c r="O1215" s="16" t="inlineStr">
        <is>
          <t>ACIMA +2.3%</t>
        </is>
      </c>
      <c r="P1215" s="7" t="inlineStr"/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/>
      <c r="K1216" s="8" t="n"/>
      <c r="L1216" s="7" t="inlineStr">
        <is>
          <t>SEM COTAÇÃO</t>
        </is>
      </c>
      <c r="M1216" s="8" t="n"/>
      <c r="N1216" s="14" t="n"/>
      <c r="O1216" s="7" t="inlineStr"/>
      <c r="P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/>
      <c r="K1217" s="8" t="n"/>
      <c r="L1217" s="7" t="inlineStr">
        <is>
          <t>SEM COTAÇÃO</t>
        </is>
      </c>
      <c r="M1217" s="8" t="n"/>
      <c r="N1217" s="14" t="n"/>
      <c r="O1217" s="7" t="inlineStr"/>
      <c r="P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/>
      <c r="K1218" s="8" t="n"/>
      <c r="L1218" s="7" t="inlineStr">
        <is>
          <t>SEM COTAÇÃO</t>
        </is>
      </c>
      <c r="M1218" s="8" t="n"/>
      <c r="N1218" s="14" t="n"/>
      <c r="O1218" s="7" t="inlineStr"/>
      <c r="P1218" s="7" t="inlineStr"/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/>
      <c r="K1219" s="8" t="n"/>
      <c r="L1219" s="7" t="inlineStr">
        <is>
          <t>SEM COTAÇÃO</t>
        </is>
      </c>
      <c r="M1219" s="8" t="n"/>
      <c r="N1219" s="14" t="n"/>
      <c r="O1219" s="7" t="inlineStr"/>
      <c r="P1219" s="7" t="inlineStr"/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/>
      <c r="K1220" s="8" t="n"/>
      <c r="L1220" s="7" t="inlineStr">
        <is>
          <t>SEM COTAÇÃO</t>
        </is>
      </c>
      <c r="M1220" s="8" t="n"/>
      <c r="N1220" s="14" t="n"/>
      <c r="O1220" s="7" t="inlineStr"/>
      <c r="P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/>
      <c r="K1221" s="8" t="n"/>
      <c r="L1221" s="7" t="inlineStr">
        <is>
          <t>SEM COTAÇÃO</t>
        </is>
      </c>
      <c r="M1221" s="8" t="n"/>
      <c r="N1221" s="14" t="n"/>
      <c r="O1221" s="7" t="inlineStr"/>
      <c r="P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/>
      <c r="K1222" s="8" t="n"/>
      <c r="L1222" s="7" t="inlineStr">
        <is>
          <t>SEM COTAÇÃO</t>
        </is>
      </c>
      <c r="M1222" s="8" t="n"/>
      <c r="N1222" s="14" t="n"/>
      <c r="O1222" s="7" t="inlineStr"/>
      <c r="P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/>
      <c r="K1223" s="8" t="n"/>
      <c r="L1223" s="7" t="inlineStr">
        <is>
          <t>SEM COTAÇÃO</t>
        </is>
      </c>
      <c r="M1223" s="8" t="n"/>
      <c r="N1223" s="14" t="n"/>
      <c r="O1223" s="7" t="inlineStr"/>
      <c r="P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/>
      <c r="K1224" s="8" t="n"/>
      <c r="L1224" s="7" t="inlineStr">
        <is>
          <t>SEM COTAÇÃO</t>
        </is>
      </c>
      <c r="M1224" s="8" t="n"/>
      <c r="N1224" s="14" t="n"/>
      <c r="O1224" s="7" t="inlineStr"/>
      <c r="P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/>
      <c r="K1225" s="8" t="n"/>
      <c r="L1225" s="7" t="inlineStr">
        <is>
          <t>SEM COTAÇÃO</t>
        </is>
      </c>
      <c r="M1225" s="8" t="n"/>
      <c r="N1225" s="14" t="n"/>
      <c r="O1225" s="7" t="inlineStr"/>
      <c r="P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/>
      <c r="K1226" s="8" t="n"/>
      <c r="L1226" s="7" t="inlineStr">
        <is>
          <t>SEM COTAÇÃO</t>
        </is>
      </c>
      <c r="M1226" s="8" t="n"/>
      <c r="N1226" s="14" t="n"/>
      <c r="O1226" s="7" t="inlineStr"/>
      <c r="P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/>
      <c r="K1227" s="8" t="n"/>
      <c r="L1227" s="7" t="inlineStr">
        <is>
          <t>SEM COTAÇÃO</t>
        </is>
      </c>
      <c r="M1227" s="8" t="n"/>
      <c r="N1227" s="14" t="n"/>
      <c r="O1227" s="7" t="inlineStr"/>
      <c r="P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/>
      <c r="K1228" s="8" t="n"/>
      <c r="L1228" s="7" t="inlineStr">
        <is>
          <t>SEM COTAÇÃO</t>
        </is>
      </c>
      <c r="M1228" s="8" t="n"/>
      <c r="N1228" s="14" t="n"/>
      <c r="O1228" s="7" t="inlineStr"/>
      <c r="P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/>
      <c r="K1229" s="8" t="n"/>
      <c r="L1229" s="7" t="inlineStr">
        <is>
          <t>SEM COTAÇÃO</t>
        </is>
      </c>
      <c r="M1229" s="8" t="n"/>
      <c r="N1229" s="14" t="n"/>
      <c r="O1229" s="7" t="inlineStr"/>
      <c r="P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/>
      <c r="K1230" s="8" t="n"/>
      <c r="L1230" s="7" t="inlineStr">
        <is>
          <t>SEM COTAÇÃO</t>
        </is>
      </c>
      <c r="M1230" s="8" t="n"/>
      <c r="N1230" s="14" t="n"/>
      <c r="O1230" s="7" t="inlineStr"/>
      <c r="P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/>
      <c r="K1231" s="8" t="n"/>
      <c r="L1231" s="7" t="inlineStr">
        <is>
          <t>SEM COTAÇÃO</t>
        </is>
      </c>
      <c r="M1231" s="8" t="n"/>
      <c r="N1231" s="14" t="n"/>
      <c r="O1231" s="7" t="inlineStr"/>
      <c r="P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/>
      <c r="K1232" s="8" t="n"/>
      <c r="L1232" s="7" t="inlineStr">
        <is>
          <t>SEM COTAÇÃO</t>
        </is>
      </c>
      <c r="M1232" s="8" t="n"/>
      <c r="N1232" s="14" t="n"/>
      <c r="O1232" s="7" t="inlineStr"/>
      <c r="P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/>
      <c r="K1233" s="8" t="n"/>
      <c r="L1233" s="7" t="inlineStr">
        <is>
          <t>SEM COTAÇÃO</t>
        </is>
      </c>
      <c r="M1233" s="8" t="n"/>
      <c r="N1233" s="14" t="n"/>
      <c r="O1233" s="7" t="inlineStr"/>
      <c r="P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/>
      <c r="K1234" s="8" t="n"/>
      <c r="L1234" s="7" t="inlineStr">
        <is>
          <t>SEM COTAÇÃO</t>
        </is>
      </c>
      <c r="M1234" s="8" t="n"/>
      <c r="N1234" s="14" t="n"/>
      <c r="O1234" s="7" t="inlineStr"/>
      <c r="P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/>
      <c r="K1235" s="8" t="n"/>
      <c r="L1235" s="7" t="inlineStr">
        <is>
          <t>SEM COTAÇÃO</t>
        </is>
      </c>
      <c r="M1235" s="8" t="n"/>
      <c r="N1235" s="14" t="n"/>
      <c r="O1235" s="7" t="inlineStr"/>
      <c r="P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/>
      <c r="K1236" s="8" t="n"/>
      <c r="L1236" s="7" t="inlineStr">
        <is>
          <t>SEM COTAÇÃO</t>
        </is>
      </c>
      <c r="M1236" s="8" t="n"/>
      <c r="N1236" s="14" t="n"/>
      <c r="O1236" s="7" t="inlineStr"/>
      <c r="P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/>
      <c r="K1237" s="8" t="n"/>
      <c r="L1237" s="7" t="inlineStr">
        <is>
          <t>SEM COTAÇÃO</t>
        </is>
      </c>
      <c r="M1237" s="8" t="n"/>
      <c r="N1237" s="14" t="n"/>
      <c r="O1237" s="7" t="inlineStr"/>
      <c r="P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/>
      <c r="K1238" s="8" t="n"/>
      <c r="L1238" s="7" t="inlineStr">
        <is>
          <t>SEM COTAÇÃO</t>
        </is>
      </c>
      <c r="M1238" s="8" t="n"/>
      <c r="N1238" s="14" t="n"/>
      <c r="O1238" s="7" t="inlineStr"/>
      <c r="P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/>
      <c r="K1239" s="8" t="n"/>
      <c r="L1239" s="7" t="inlineStr">
        <is>
          <t>SEM COTAÇÃO</t>
        </is>
      </c>
      <c r="M1239" s="8" t="n"/>
      <c r="N1239" s="14" t="n"/>
      <c r="O1239" s="7" t="inlineStr"/>
      <c r="P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/>
      <c r="K1240" s="8" t="n"/>
      <c r="L1240" s="7" t="inlineStr">
        <is>
          <t>SEM COTAÇÃO</t>
        </is>
      </c>
      <c r="M1240" s="8" t="n"/>
      <c r="N1240" s="14" t="n"/>
      <c r="O1240" s="7" t="inlineStr"/>
      <c r="P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/>
      <c r="K1241" s="8" t="n"/>
      <c r="L1241" s="7" t="inlineStr">
        <is>
          <t>SEM COTAÇÃO</t>
        </is>
      </c>
      <c r="M1241" s="8" t="n"/>
      <c r="N1241" s="14" t="n"/>
      <c r="O1241" s="7" t="inlineStr"/>
      <c r="P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/>
      <c r="K1242" s="8" t="n"/>
      <c r="L1242" s="7" t="inlineStr">
        <is>
          <t>SEM COTAÇÃO</t>
        </is>
      </c>
      <c r="M1242" s="8" t="n"/>
      <c r="N1242" s="14" t="n"/>
      <c r="O1242" s="7" t="inlineStr"/>
      <c r="P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/>
      <c r="K1243" s="8" t="n"/>
      <c r="L1243" s="7" t="inlineStr">
        <is>
          <t>SEM COTAÇÃO</t>
        </is>
      </c>
      <c r="M1243" s="8" t="n"/>
      <c r="N1243" s="14" t="n"/>
      <c r="O1243" s="7" t="inlineStr"/>
      <c r="P1243" s="7" t="inlineStr"/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/>
      <c r="K1244" s="8" t="n"/>
      <c r="L1244" s="7" t="inlineStr">
        <is>
          <t>SEM COTAÇÃO</t>
        </is>
      </c>
      <c r="M1244" s="8" t="n"/>
      <c r="N1244" s="14" t="n"/>
      <c r="O1244" s="7" t="inlineStr"/>
      <c r="P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/>
      <c r="K1245" s="8" t="n"/>
      <c r="L1245" s="7" t="inlineStr">
        <is>
          <t>SEM COTAÇÃO</t>
        </is>
      </c>
      <c r="M1245" s="8" t="n"/>
      <c r="N1245" s="14" t="n"/>
      <c r="O1245" s="7" t="inlineStr"/>
      <c r="P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/>
      <c r="K1246" s="8" t="n"/>
      <c r="L1246" s="7" t="inlineStr">
        <is>
          <t>SEM COTAÇÃO</t>
        </is>
      </c>
      <c r="M1246" s="8" t="n"/>
      <c r="N1246" s="14" t="n"/>
      <c r="O1246" s="7" t="inlineStr"/>
      <c r="P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/>
      <c r="K1247" s="8" t="n"/>
      <c r="L1247" s="7" t="inlineStr">
        <is>
          <t>SEM COTAÇÃO</t>
        </is>
      </c>
      <c r="M1247" s="8" t="n"/>
      <c r="N1247" s="14" t="n"/>
      <c r="O1247" s="7" t="inlineStr"/>
      <c r="P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/>
      <c r="K1248" s="8" t="n"/>
      <c r="L1248" s="7" t="inlineStr">
        <is>
          <t>SEM COTAÇÃO</t>
        </is>
      </c>
      <c r="M1248" s="8" t="n"/>
      <c r="N1248" s="14" t="n"/>
      <c r="O1248" s="7" t="inlineStr"/>
      <c r="P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/>
      <c r="K1249" s="8" t="n"/>
      <c r="L1249" s="7" t="inlineStr">
        <is>
          <t>SEM COTAÇÃO</t>
        </is>
      </c>
      <c r="M1249" s="8" t="n"/>
      <c r="N1249" s="14" t="n"/>
      <c r="O1249" s="7" t="inlineStr"/>
      <c r="P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/>
      <c r="K1250" s="8" t="n"/>
      <c r="L1250" s="7" t="inlineStr">
        <is>
          <t>SEM COTAÇÃO</t>
        </is>
      </c>
      <c r="M1250" s="8" t="n"/>
      <c r="N1250" s="14" t="n"/>
      <c r="O1250" s="7" t="inlineStr"/>
      <c r="P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15" t="n">
        <v>44.99</v>
      </c>
      <c r="K1251" s="8" t="n">
        <v>63.49</v>
      </c>
      <c r="L1251" s="7" t="inlineStr">
        <is>
          <t>DIMEC</t>
        </is>
      </c>
      <c r="M1251" s="8" t="n">
        <v>44.99</v>
      </c>
      <c r="N1251" s="14">
        <f>M1251/H1251-1</f>
        <v/>
      </c>
      <c r="O1251" s="17" t="inlineStr">
        <is>
          <t>OK (≤ menor hist.)</t>
        </is>
      </c>
      <c r="P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/>
      <c r="K1252" s="8" t="n"/>
      <c r="L1252" s="7" t="inlineStr">
        <is>
          <t>SEM COTAÇÃO</t>
        </is>
      </c>
      <c r="M1252" s="8" t="n"/>
      <c r="N1252" s="14" t="n"/>
      <c r="O1252" s="7" t="inlineStr"/>
      <c r="P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/>
      <c r="K1253" s="8" t="n"/>
      <c r="L1253" s="7" t="inlineStr">
        <is>
          <t>SEM COTAÇÃO</t>
        </is>
      </c>
      <c r="M1253" s="8" t="n"/>
      <c r="N1253" s="14" t="n"/>
      <c r="O1253" s="7" t="inlineStr"/>
      <c r="P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/>
      <c r="K1254" s="8" t="n"/>
      <c r="L1254" s="7" t="inlineStr">
        <is>
          <t>SEM COTAÇÃO</t>
        </is>
      </c>
      <c r="M1254" s="8" t="n"/>
      <c r="N1254" s="14" t="n"/>
      <c r="O1254" s="7" t="inlineStr"/>
      <c r="P1254" s="7" t="inlineStr"/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/>
      <c r="K1255" s="8" t="n"/>
      <c r="L1255" s="7" t="inlineStr">
        <is>
          <t>SEM COTAÇÃO</t>
        </is>
      </c>
      <c r="M1255" s="8" t="n"/>
      <c r="N1255" s="14" t="n"/>
      <c r="O1255" s="7" t="inlineStr"/>
      <c r="P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/>
      <c r="K1256" s="8" t="n"/>
      <c r="L1256" s="7" t="inlineStr">
        <is>
          <t>SEM COTAÇÃO</t>
        </is>
      </c>
      <c r="M1256" s="8" t="n"/>
      <c r="N1256" s="14" t="n"/>
      <c r="O1256" s="7" t="inlineStr"/>
      <c r="P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/>
      <c r="K1257" s="8" t="n"/>
      <c r="L1257" s="7" t="inlineStr">
        <is>
          <t>SEM COTAÇÃO</t>
        </is>
      </c>
      <c r="M1257" s="8" t="n"/>
      <c r="N1257" s="14" t="n"/>
      <c r="O1257" s="7" t="inlineStr"/>
      <c r="P1257" s="7" t="inlineStr"/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/>
      <c r="K1258" s="8" t="n"/>
      <c r="L1258" s="7" t="inlineStr">
        <is>
          <t>SEM COTAÇÃO</t>
        </is>
      </c>
      <c r="M1258" s="8" t="n"/>
      <c r="N1258" s="14" t="n"/>
      <c r="O1258" s="7" t="inlineStr"/>
      <c r="P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/>
      <c r="K1259" s="8" t="n"/>
      <c r="L1259" s="7" t="inlineStr">
        <is>
          <t>SEM COTAÇÃO</t>
        </is>
      </c>
      <c r="M1259" s="8" t="n"/>
      <c r="N1259" s="14" t="n"/>
      <c r="O1259" s="7" t="inlineStr"/>
      <c r="P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/>
      <c r="K1260" s="8" t="n"/>
      <c r="L1260" s="7" t="inlineStr">
        <is>
          <t>SEM COTAÇÃO</t>
        </is>
      </c>
      <c r="M1260" s="8" t="n"/>
      <c r="N1260" s="14" t="n"/>
      <c r="O1260" s="7" t="inlineStr"/>
      <c r="P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/>
      <c r="K1261" s="8" t="n"/>
      <c r="L1261" s="7" t="inlineStr">
        <is>
          <t>SEM COTAÇÃO</t>
        </is>
      </c>
      <c r="M1261" s="8" t="n"/>
      <c r="N1261" s="14" t="n"/>
      <c r="O1261" s="7" t="inlineStr"/>
      <c r="P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/>
      <c r="K1262" s="8" t="n"/>
      <c r="L1262" s="7" t="inlineStr">
        <is>
          <t>SEM COTAÇÃO</t>
        </is>
      </c>
      <c r="M1262" s="8" t="n"/>
      <c r="N1262" s="14" t="n"/>
      <c r="O1262" s="7" t="inlineStr"/>
      <c r="P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/>
      <c r="K1263" s="8" t="n"/>
      <c r="L1263" s="7" t="inlineStr">
        <is>
          <t>SEM COTAÇÃO</t>
        </is>
      </c>
      <c r="M1263" s="8" t="n"/>
      <c r="N1263" s="14" t="n"/>
      <c r="O1263" s="7" t="inlineStr"/>
      <c r="P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/>
      <c r="K1264" s="8" t="n"/>
      <c r="L1264" s="7" t="inlineStr">
        <is>
          <t>SEM COTAÇÃO</t>
        </is>
      </c>
      <c r="M1264" s="8" t="n"/>
      <c r="N1264" s="14" t="n"/>
      <c r="O1264" s="7" t="inlineStr"/>
      <c r="P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/>
      <c r="K1265" s="8" t="n"/>
      <c r="L1265" s="7" t="inlineStr">
        <is>
          <t>SEM COTAÇÃO</t>
        </is>
      </c>
      <c r="M1265" s="8" t="n"/>
      <c r="N1265" s="14" t="n"/>
      <c r="O1265" s="7" t="inlineStr"/>
      <c r="P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36.78</v>
      </c>
      <c r="K1266" s="15" t="n">
        <v>36.45</v>
      </c>
      <c r="L1266" s="7" t="inlineStr">
        <is>
          <t>PLUSFARMA</t>
        </is>
      </c>
      <c r="M1266" s="8" t="n">
        <v>36.45</v>
      </c>
      <c r="N1266" s="14">
        <f>M1266/H1266-1</f>
        <v/>
      </c>
      <c r="O1266" s="16" t="inlineStr">
        <is>
          <t>ACIMA +6.0%</t>
        </is>
      </c>
      <c r="P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/>
      <c r="K1267" s="8" t="n"/>
      <c r="L1267" s="7" t="inlineStr">
        <is>
          <t>SEM COTAÇÃO</t>
        </is>
      </c>
      <c r="M1267" s="8" t="n"/>
      <c r="N1267" s="14" t="n"/>
      <c r="O1267" s="7" t="inlineStr"/>
      <c r="P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/>
      <c r="K1268" s="8" t="n"/>
      <c r="L1268" s="7" t="inlineStr">
        <is>
          <t>SEM COTAÇÃO</t>
        </is>
      </c>
      <c r="M1268" s="8" t="n"/>
      <c r="N1268" s="14" t="n"/>
      <c r="O1268" s="7" t="inlineStr"/>
      <c r="P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/>
      <c r="K1269" s="8" t="n"/>
      <c r="L1269" s="7" t="inlineStr">
        <is>
          <t>SEM COTAÇÃO</t>
        </is>
      </c>
      <c r="M1269" s="8" t="n"/>
      <c r="N1269" s="14" t="n"/>
      <c r="O1269" s="7" t="inlineStr"/>
      <c r="P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/>
      <c r="K1270" s="8" t="n"/>
      <c r="L1270" s="7" t="inlineStr">
        <is>
          <t>SEM COTAÇÃO</t>
        </is>
      </c>
      <c r="M1270" s="8" t="n"/>
      <c r="N1270" s="14" t="n"/>
      <c r="O1270" s="7" t="inlineStr"/>
      <c r="P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/>
      <c r="K1271" s="8" t="n"/>
      <c r="L1271" s="7" t="inlineStr">
        <is>
          <t>SEM COTAÇÃO</t>
        </is>
      </c>
      <c r="M1271" s="8" t="n"/>
      <c r="N1271" s="14" t="n"/>
      <c r="O1271" s="7" t="inlineStr"/>
      <c r="P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/>
      <c r="K1272" s="8" t="n"/>
      <c r="L1272" s="7" t="inlineStr">
        <is>
          <t>SEM COTAÇÃO</t>
        </is>
      </c>
      <c r="M1272" s="8" t="n"/>
      <c r="N1272" s="14" t="n"/>
      <c r="O1272" s="7" t="inlineStr"/>
      <c r="P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/>
      <c r="K1273" s="8" t="n"/>
      <c r="L1273" s="7" t="inlineStr">
        <is>
          <t>SEM COTAÇÃO</t>
        </is>
      </c>
      <c r="M1273" s="8" t="n"/>
      <c r="N1273" s="14" t="n"/>
      <c r="O1273" s="7" t="inlineStr"/>
      <c r="P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/>
      <c r="K1274" s="8" t="n"/>
      <c r="L1274" s="7" t="inlineStr">
        <is>
          <t>SEM COTAÇÃO</t>
        </is>
      </c>
      <c r="M1274" s="8" t="n"/>
      <c r="N1274" s="14" t="n"/>
      <c r="O1274" s="7" t="inlineStr"/>
      <c r="P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/>
      <c r="K1275" s="8" t="n"/>
      <c r="L1275" s="7" t="inlineStr">
        <is>
          <t>SEM COTAÇÃO</t>
        </is>
      </c>
      <c r="M1275" s="8" t="n"/>
      <c r="N1275" s="14" t="n"/>
      <c r="O1275" s="7" t="inlineStr"/>
      <c r="P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/>
      <c r="K1276" s="8" t="n"/>
      <c r="L1276" s="7" t="inlineStr">
        <is>
          <t>SEM COTAÇÃO</t>
        </is>
      </c>
      <c r="M1276" s="8" t="n"/>
      <c r="N1276" s="14" t="n"/>
      <c r="O1276" s="7" t="inlineStr"/>
      <c r="P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/>
      <c r="K1277" s="8" t="n"/>
      <c r="L1277" s="7" t="inlineStr">
        <is>
          <t>SEM COTAÇÃO</t>
        </is>
      </c>
      <c r="M1277" s="8" t="n"/>
      <c r="N1277" s="14" t="n"/>
      <c r="O1277" s="7" t="inlineStr"/>
      <c r="P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/>
      <c r="K1278" s="8" t="n"/>
      <c r="L1278" s="7" t="inlineStr">
        <is>
          <t>SEM COTAÇÃO</t>
        </is>
      </c>
      <c r="M1278" s="8" t="n"/>
      <c r="N1278" s="14" t="n"/>
      <c r="O1278" s="7" t="inlineStr"/>
      <c r="P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/>
      <c r="K1279" s="8" t="n"/>
      <c r="L1279" s="7" t="inlineStr">
        <is>
          <t>SEM COTAÇÃO</t>
        </is>
      </c>
      <c r="M1279" s="8" t="n"/>
      <c r="N1279" s="14" t="n"/>
      <c r="O1279" s="7" t="inlineStr"/>
      <c r="P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/>
      <c r="K1280" s="8" t="n"/>
      <c r="L1280" s="7" t="inlineStr">
        <is>
          <t>SEM COTAÇÃO</t>
        </is>
      </c>
      <c r="M1280" s="8" t="n"/>
      <c r="N1280" s="14" t="n"/>
      <c r="O1280" s="7" t="inlineStr"/>
      <c r="P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/>
      <c r="K1281" s="8" t="n"/>
      <c r="L1281" s="7" t="inlineStr">
        <is>
          <t>SEM COTAÇÃO</t>
        </is>
      </c>
      <c r="M1281" s="8" t="n"/>
      <c r="N1281" s="14" t="n"/>
      <c r="O1281" s="7" t="inlineStr"/>
      <c r="P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/>
      <c r="K1282" s="8" t="n"/>
      <c r="L1282" s="7" t="inlineStr">
        <is>
          <t>SEM COTAÇÃO</t>
        </is>
      </c>
      <c r="M1282" s="8" t="n"/>
      <c r="N1282" s="14" t="n"/>
      <c r="O1282" s="7" t="inlineStr"/>
      <c r="P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/>
      <c r="K1283" s="8" t="n"/>
      <c r="L1283" s="7" t="inlineStr">
        <is>
          <t>SEM COTAÇÃO</t>
        </is>
      </c>
      <c r="M1283" s="8" t="n"/>
      <c r="N1283" s="14" t="n"/>
      <c r="O1283" s="7" t="inlineStr"/>
      <c r="P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/>
      <c r="K1284" s="8" t="n"/>
      <c r="L1284" s="7" t="inlineStr">
        <is>
          <t>SEM COTAÇÃO</t>
        </is>
      </c>
      <c r="M1284" s="8" t="n"/>
      <c r="N1284" s="14" t="n"/>
      <c r="O1284" s="7" t="inlineStr"/>
      <c r="P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/>
      <c r="K1285" s="8" t="n"/>
      <c r="L1285" s="7" t="inlineStr">
        <is>
          <t>SEM COTAÇÃO</t>
        </is>
      </c>
      <c r="M1285" s="8" t="n"/>
      <c r="N1285" s="14" t="n"/>
      <c r="O1285" s="7" t="inlineStr"/>
      <c r="P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/>
      <c r="K1286" s="8" t="n"/>
      <c r="L1286" s="7" t="inlineStr">
        <is>
          <t>SEM COTAÇÃO</t>
        </is>
      </c>
      <c r="M1286" s="8" t="n"/>
      <c r="N1286" s="14" t="n"/>
      <c r="O1286" s="7" t="inlineStr"/>
      <c r="P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/>
      <c r="K1287" s="8" t="n"/>
      <c r="L1287" s="7" t="inlineStr">
        <is>
          <t>SEM COTAÇÃO</t>
        </is>
      </c>
      <c r="M1287" s="8" t="n"/>
      <c r="N1287" s="14" t="n"/>
      <c r="O1287" s="7" t="inlineStr"/>
      <c r="P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/>
      <c r="K1288" s="8" t="n"/>
      <c r="L1288" s="7" t="inlineStr">
        <is>
          <t>SEM COTAÇÃO</t>
        </is>
      </c>
      <c r="M1288" s="8" t="n"/>
      <c r="N1288" s="14" t="n"/>
      <c r="O1288" s="7" t="inlineStr"/>
      <c r="P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/>
      <c r="K1289" s="8" t="n"/>
      <c r="L1289" s="7" t="inlineStr">
        <is>
          <t>SEM COTAÇÃO</t>
        </is>
      </c>
      <c r="M1289" s="8" t="n"/>
      <c r="N1289" s="14" t="n"/>
      <c r="O1289" s="7" t="inlineStr"/>
      <c r="P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/>
      <c r="K1290" s="8" t="n"/>
      <c r="L1290" s="7" t="inlineStr">
        <is>
          <t>SEM COTAÇÃO</t>
        </is>
      </c>
      <c r="M1290" s="8" t="n"/>
      <c r="N1290" s="14" t="n"/>
      <c r="O1290" s="7" t="inlineStr"/>
      <c r="P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/>
      <c r="K1291" s="8" t="n"/>
      <c r="L1291" s="7" t="inlineStr">
        <is>
          <t>SEM COTAÇÃO</t>
        </is>
      </c>
      <c r="M1291" s="8" t="n"/>
      <c r="N1291" s="14" t="n"/>
      <c r="O1291" s="7" t="inlineStr"/>
      <c r="P1291" s="7" t="inlineStr"/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/>
      <c r="K1292" s="8" t="n"/>
      <c r="L1292" s="7" t="inlineStr">
        <is>
          <t>SEM COTAÇÃO</t>
        </is>
      </c>
      <c r="M1292" s="8" t="n"/>
      <c r="N1292" s="14" t="n"/>
      <c r="O1292" s="7" t="inlineStr"/>
      <c r="P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/>
      <c r="K1293" s="8" t="n"/>
      <c r="L1293" s="7" t="inlineStr">
        <is>
          <t>SEM COTAÇÃO</t>
        </is>
      </c>
      <c r="M1293" s="8" t="n"/>
      <c r="N1293" s="14" t="n"/>
      <c r="O1293" s="7" t="inlineStr"/>
      <c r="P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/>
      <c r="K1294" s="8" t="n"/>
      <c r="L1294" s="7" t="inlineStr">
        <is>
          <t>SEM COTAÇÃO</t>
        </is>
      </c>
      <c r="M1294" s="8" t="n"/>
      <c r="N1294" s="14" t="n"/>
      <c r="O1294" s="7" t="inlineStr"/>
      <c r="P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/>
      <c r="K1295" s="8" t="n"/>
      <c r="L1295" s="7" t="inlineStr">
        <is>
          <t>SEM COTAÇÃO</t>
        </is>
      </c>
      <c r="M1295" s="8" t="n"/>
      <c r="N1295" s="14" t="n"/>
      <c r="O1295" s="7" t="inlineStr"/>
      <c r="P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/>
      <c r="K1296" s="8" t="n"/>
      <c r="L1296" s="7" t="inlineStr">
        <is>
          <t>SEM COTAÇÃO</t>
        </is>
      </c>
      <c r="M1296" s="8" t="n"/>
      <c r="N1296" s="14" t="n"/>
      <c r="O1296" s="7" t="inlineStr"/>
      <c r="P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/>
      <c r="K1297" s="8" t="n"/>
      <c r="L1297" s="7" t="inlineStr">
        <is>
          <t>SEM COTAÇÃO</t>
        </is>
      </c>
      <c r="M1297" s="8" t="n"/>
      <c r="N1297" s="14" t="n"/>
      <c r="O1297" s="7" t="inlineStr"/>
      <c r="P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/>
      <c r="K1298" s="8" t="n"/>
      <c r="L1298" s="7" t="inlineStr">
        <is>
          <t>SEM COTAÇÃO</t>
        </is>
      </c>
      <c r="M1298" s="8" t="n"/>
      <c r="N1298" s="14" t="n"/>
      <c r="O1298" s="7" t="inlineStr"/>
      <c r="P1298" s="7" t="inlineStr"/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/>
      <c r="K1299" s="8" t="n"/>
      <c r="L1299" s="7" t="inlineStr">
        <is>
          <t>SEM COTAÇÃO</t>
        </is>
      </c>
      <c r="M1299" s="8" t="n"/>
      <c r="N1299" s="14" t="n"/>
      <c r="O1299" s="7" t="inlineStr"/>
      <c r="P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/>
      <c r="K1300" s="8" t="n"/>
      <c r="L1300" s="7" t="inlineStr">
        <is>
          <t>SEM COTAÇÃO</t>
        </is>
      </c>
      <c r="M1300" s="8" t="n"/>
      <c r="N1300" s="14" t="n"/>
      <c r="O1300" s="7" t="inlineStr"/>
      <c r="P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/>
      <c r="K1301" s="8" t="n"/>
      <c r="L1301" s="7" t="inlineStr">
        <is>
          <t>SEM COTAÇÃO</t>
        </is>
      </c>
      <c r="M1301" s="8" t="n"/>
      <c r="N1301" s="14" t="n"/>
      <c r="O1301" s="7" t="inlineStr"/>
      <c r="P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/>
      <c r="K1302" s="8" t="n"/>
      <c r="L1302" s="7" t="inlineStr">
        <is>
          <t>SEM COTAÇÃO</t>
        </is>
      </c>
      <c r="M1302" s="8" t="n"/>
      <c r="N1302" s="14" t="n"/>
      <c r="O1302" s="7" t="inlineStr"/>
      <c r="P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/>
      <c r="K1303" s="8" t="n"/>
      <c r="L1303" s="7" t="inlineStr">
        <is>
          <t>SEM COTAÇÃO</t>
        </is>
      </c>
      <c r="M1303" s="8" t="n"/>
      <c r="N1303" s="14" t="n"/>
      <c r="O1303" s="7" t="inlineStr"/>
      <c r="P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/>
      <c r="K1304" s="8" t="n"/>
      <c r="L1304" s="7" t="inlineStr">
        <is>
          <t>SEM COTAÇÃO</t>
        </is>
      </c>
      <c r="M1304" s="8" t="n"/>
      <c r="N1304" s="14" t="n"/>
      <c r="O1304" s="7" t="inlineStr"/>
      <c r="P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/>
      <c r="K1305" s="8" t="n"/>
      <c r="L1305" s="7" t="inlineStr">
        <is>
          <t>SEM COTAÇÃO</t>
        </is>
      </c>
      <c r="M1305" s="8" t="n"/>
      <c r="N1305" s="14" t="n"/>
      <c r="O1305" s="7" t="inlineStr"/>
      <c r="P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/>
      <c r="K1306" s="8" t="n"/>
      <c r="L1306" s="7" t="inlineStr">
        <is>
          <t>SEM COTAÇÃO</t>
        </is>
      </c>
      <c r="M1306" s="8" t="n"/>
      <c r="N1306" s="14" t="n"/>
      <c r="O1306" s="7" t="inlineStr"/>
      <c r="P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/>
      <c r="K1307" s="8" t="n"/>
      <c r="L1307" s="7" t="inlineStr">
        <is>
          <t>SEM COTAÇÃO</t>
        </is>
      </c>
      <c r="M1307" s="8" t="n"/>
      <c r="N1307" s="14" t="n"/>
      <c r="O1307" s="7" t="inlineStr"/>
      <c r="P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/>
      <c r="K1308" s="8" t="n"/>
      <c r="L1308" s="7" t="inlineStr">
        <is>
          <t>SEM COTAÇÃO</t>
        </is>
      </c>
      <c r="M1308" s="8" t="n"/>
      <c r="N1308" s="14" t="n"/>
      <c r="O1308" s="7" t="inlineStr"/>
      <c r="P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/>
      <c r="K1309" s="8" t="n"/>
      <c r="L1309" s="7" t="inlineStr">
        <is>
          <t>SEM COTAÇÃO</t>
        </is>
      </c>
      <c r="M1309" s="8" t="n"/>
      <c r="N1309" s="14" t="n"/>
      <c r="O1309" s="7" t="inlineStr"/>
      <c r="P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/>
      <c r="K1310" s="8" t="n"/>
      <c r="L1310" s="7" t="inlineStr">
        <is>
          <t>SEM COTAÇÃO</t>
        </is>
      </c>
      <c r="M1310" s="8" t="n"/>
      <c r="N1310" s="14" t="n"/>
      <c r="O1310" s="7" t="inlineStr"/>
      <c r="P1310" s="7" t="inlineStr"/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/>
      <c r="K1311" s="8" t="n"/>
      <c r="L1311" s="7" t="inlineStr">
        <is>
          <t>SEM COTAÇÃO</t>
        </is>
      </c>
      <c r="M1311" s="8" t="n"/>
      <c r="N1311" s="14" t="n"/>
      <c r="O1311" s="7" t="inlineStr"/>
      <c r="P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/>
      <c r="K1312" s="8" t="n"/>
      <c r="L1312" s="7" t="inlineStr">
        <is>
          <t>SEM COTAÇÃO</t>
        </is>
      </c>
      <c r="M1312" s="8" t="n"/>
      <c r="N1312" s="14" t="n"/>
      <c r="O1312" s="7" t="inlineStr"/>
      <c r="P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/>
      <c r="K1313" s="8" t="n"/>
      <c r="L1313" s="7" t="inlineStr">
        <is>
          <t>SEM COTAÇÃO</t>
        </is>
      </c>
      <c r="M1313" s="8" t="n"/>
      <c r="N1313" s="14" t="n"/>
      <c r="O1313" s="7" t="inlineStr"/>
      <c r="P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/>
      <c r="K1314" s="8" t="n"/>
      <c r="L1314" s="7" t="inlineStr">
        <is>
          <t>SEM COTAÇÃO</t>
        </is>
      </c>
      <c r="M1314" s="8" t="n"/>
      <c r="N1314" s="14" t="n"/>
      <c r="O1314" s="7" t="inlineStr"/>
      <c r="P1314" s="7" t="inlineStr"/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/>
      <c r="K1315" s="8" t="n"/>
      <c r="L1315" s="7" t="inlineStr">
        <is>
          <t>SEM COTAÇÃO</t>
        </is>
      </c>
      <c r="M1315" s="8" t="n"/>
      <c r="N1315" s="14" t="n"/>
      <c r="O1315" s="7" t="inlineStr"/>
      <c r="P1315" s="7" t="inlineStr"/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/>
      <c r="K1316" s="8" t="n"/>
      <c r="L1316" s="7" t="inlineStr">
        <is>
          <t>SEM COTAÇÃO</t>
        </is>
      </c>
      <c r="M1316" s="8" t="n"/>
      <c r="N1316" s="14" t="n"/>
      <c r="O1316" s="7" t="inlineStr"/>
      <c r="P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7" t="inlineStr">
        <is>
          <t>SEM COTAÇÃO</t>
        </is>
      </c>
      <c r="M1317" s="8" t="n"/>
      <c r="N1317" s="14" t="n"/>
      <c r="O1317" s="7" t="inlineStr"/>
      <c r="P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/>
      <c r="K1318" s="8" t="n"/>
      <c r="L1318" s="7" t="inlineStr">
        <is>
          <t>SEM COTAÇÃO</t>
        </is>
      </c>
      <c r="M1318" s="8" t="n"/>
      <c r="N1318" s="14" t="n"/>
      <c r="O1318" s="7" t="inlineStr"/>
      <c r="P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7" t="inlineStr">
        <is>
          <t>SEM COTAÇÃO</t>
        </is>
      </c>
      <c r="M1319" s="8" t="n"/>
      <c r="N1319" s="14" t="n"/>
      <c r="O1319" s="7" t="inlineStr"/>
      <c r="P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15" t="n">
        <v>25.99</v>
      </c>
      <c r="K1320" s="8" t="n"/>
      <c r="L1320" s="7" t="inlineStr">
        <is>
          <t>DIMEC</t>
        </is>
      </c>
      <c r="M1320" s="8" t="n">
        <v>25.99</v>
      </c>
      <c r="N1320" s="14">
        <f>M1320/H1320-1</f>
        <v/>
      </c>
      <c r="O1320" s="17" t="inlineStr">
        <is>
          <t>OK (≤ últ. compra)</t>
        </is>
      </c>
      <c r="P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15" t="n">
        <v>10.76</v>
      </c>
      <c r="K1321" s="8" t="n"/>
      <c r="L1321" s="7" t="inlineStr">
        <is>
          <t>DIMEC</t>
        </is>
      </c>
      <c r="M1321" s="8" t="n">
        <v>10.76</v>
      </c>
      <c r="N1321" s="14">
        <f>M1321/H1321-1</f>
        <v/>
      </c>
      <c r="O1321" s="16" t="inlineStr">
        <is>
          <t>ACIMA +3.9%</t>
        </is>
      </c>
      <c r="P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/>
      <c r="K1322" s="8" t="n"/>
      <c r="L1322" s="7" t="inlineStr">
        <is>
          <t>SEM COTAÇÃO</t>
        </is>
      </c>
      <c r="M1322" s="8" t="n"/>
      <c r="N1322" s="14" t="n"/>
      <c r="O1322" s="7" t="inlineStr"/>
      <c r="P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/>
      <c r="K1323" s="8" t="n"/>
      <c r="L1323" s="7" t="inlineStr">
        <is>
          <t>SEM COTAÇÃO</t>
        </is>
      </c>
      <c r="M1323" s="8" t="n"/>
      <c r="N1323" s="14" t="n"/>
      <c r="O1323" s="7" t="inlineStr"/>
      <c r="P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15" t="n">
        <v>42.53</v>
      </c>
      <c r="K1324" s="8" t="n"/>
      <c r="L1324" s="7" t="inlineStr">
        <is>
          <t>DIMEC</t>
        </is>
      </c>
      <c r="M1324" s="8" t="n">
        <v>42.53</v>
      </c>
      <c r="N1324" s="14">
        <f>M1324/H1324-1</f>
        <v/>
      </c>
      <c r="O1324" s="16" t="inlineStr">
        <is>
          <t>ACIMA +1.6%</t>
        </is>
      </c>
      <c r="P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/>
      <c r="K1325" s="8" t="n"/>
      <c r="L1325" s="7" t="inlineStr">
        <is>
          <t>SEM COTAÇÃO</t>
        </is>
      </c>
      <c r="M1325" s="8" t="n"/>
      <c r="N1325" s="14" t="n"/>
      <c r="O1325" s="7" t="inlineStr"/>
      <c r="P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15" t="n">
        <v>11.41</v>
      </c>
      <c r="K1326" s="8" t="n"/>
      <c r="L1326" s="7" t="inlineStr">
        <is>
          <t>DIMEC</t>
        </is>
      </c>
      <c r="M1326" s="8" t="n">
        <v>11.41</v>
      </c>
      <c r="N1326" s="14">
        <f>M1326/H1326-1</f>
        <v/>
      </c>
      <c r="O1326" s="16" t="inlineStr">
        <is>
          <t>ACIMA +3.8%</t>
        </is>
      </c>
      <c r="P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/>
      <c r="K1327" s="8" t="n"/>
      <c r="L1327" s="7" t="inlineStr">
        <is>
          <t>SEM COTAÇÃO</t>
        </is>
      </c>
      <c r="M1327" s="8" t="n"/>
      <c r="N1327" s="14" t="n"/>
      <c r="O1327" s="7" t="inlineStr"/>
      <c r="P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/>
      <c r="K1328" s="8" t="n"/>
      <c r="L1328" s="7" t="inlineStr">
        <is>
          <t>SEM COTAÇÃO</t>
        </is>
      </c>
      <c r="M1328" s="8" t="n"/>
      <c r="N1328" s="14" t="n"/>
      <c r="O1328" s="7" t="inlineStr"/>
      <c r="P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/>
      <c r="K1329" s="8" t="n"/>
      <c r="L1329" s="7" t="inlineStr">
        <is>
          <t>SEM COTAÇÃO</t>
        </is>
      </c>
      <c r="M1329" s="8" t="n"/>
      <c r="N1329" s="14" t="n"/>
      <c r="O1329" s="7" t="inlineStr"/>
      <c r="P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/>
      <c r="K1330" s="8" t="n"/>
      <c r="L1330" s="7" t="inlineStr">
        <is>
          <t>SEM COTAÇÃO</t>
        </is>
      </c>
      <c r="M1330" s="8" t="n"/>
      <c r="N1330" s="14" t="n"/>
      <c r="O1330" s="7" t="inlineStr"/>
      <c r="P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/>
      <c r="K1331" s="8" t="n"/>
      <c r="L1331" s="7" t="inlineStr">
        <is>
          <t>SEM COTAÇÃO</t>
        </is>
      </c>
      <c r="M1331" s="8" t="n"/>
      <c r="N1331" s="14" t="n"/>
      <c r="O1331" s="7" t="inlineStr"/>
      <c r="P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/>
      <c r="K1332" s="8" t="n"/>
      <c r="L1332" s="7" t="inlineStr">
        <is>
          <t>SEM COTAÇÃO</t>
        </is>
      </c>
      <c r="M1332" s="8" t="n"/>
      <c r="N1332" s="14" t="n"/>
      <c r="O1332" s="7" t="inlineStr"/>
      <c r="P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/>
      <c r="K1333" s="8" t="n"/>
      <c r="L1333" s="7" t="inlineStr">
        <is>
          <t>SEM COTAÇÃO</t>
        </is>
      </c>
      <c r="M1333" s="8" t="n"/>
      <c r="N1333" s="14" t="n"/>
      <c r="O1333" s="7" t="inlineStr"/>
      <c r="P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/>
      <c r="K1334" s="8" t="n"/>
      <c r="L1334" s="7" t="inlineStr">
        <is>
          <t>SEM COTAÇÃO</t>
        </is>
      </c>
      <c r="M1334" s="8" t="n"/>
      <c r="N1334" s="14" t="n"/>
      <c r="O1334" s="7" t="inlineStr"/>
      <c r="P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/>
      <c r="K1335" s="8" t="n"/>
      <c r="L1335" s="7" t="inlineStr">
        <is>
          <t>SEM COTAÇÃO</t>
        </is>
      </c>
      <c r="M1335" s="8" t="n"/>
      <c r="N1335" s="14" t="n"/>
      <c r="O1335" s="7" t="inlineStr"/>
      <c r="P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/>
      <c r="K1336" s="8" t="n"/>
      <c r="L1336" s="7" t="inlineStr">
        <is>
          <t>SEM COTAÇÃO</t>
        </is>
      </c>
      <c r="M1336" s="8" t="n"/>
      <c r="N1336" s="14" t="n"/>
      <c r="O1336" s="7" t="inlineStr"/>
      <c r="P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/>
      <c r="K1337" s="8" t="n"/>
      <c r="L1337" s="7" t="inlineStr">
        <is>
          <t>SEM COTAÇÃO</t>
        </is>
      </c>
      <c r="M1337" s="8" t="n"/>
      <c r="N1337" s="14" t="n"/>
      <c r="O1337" s="7" t="inlineStr"/>
      <c r="P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/>
      <c r="K1338" s="8" t="n"/>
      <c r="L1338" s="7" t="inlineStr">
        <is>
          <t>SEM COTAÇÃO</t>
        </is>
      </c>
      <c r="M1338" s="8" t="n"/>
      <c r="N1338" s="14" t="n"/>
      <c r="O1338" s="7" t="inlineStr"/>
      <c r="P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/>
      <c r="K1339" s="8" t="n"/>
      <c r="L1339" s="7" t="inlineStr">
        <is>
          <t>SEM COTAÇÃO</t>
        </is>
      </c>
      <c r="M1339" s="8" t="n"/>
      <c r="N1339" s="14" t="n"/>
      <c r="O1339" s="7" t="inlineStr"/>
      <c r="P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/>
      <c r="K1340" s="8" t="n"/>
      <c r="L1340" s="7" t="inlineStr">
        <is>
          <t>SEM COTAÇÃO</t>
        </is>
      </c>
      <c r="M1340" s="8" t="n"/>
      <c r="N1340" s="14" t="n"/>
      <c r="O1340" s="7" t="inlineStr"/>
      <c r="P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/>
      <c r="K1341" s="8" t="n"/>
      <c r="L1341" s="7" t="inlineStr">
        <is>
          <t>SEM COTAÇÃO</t>
        </is>
      </c>
      <c r="M1341" s="8" t="n"/>
      <c r="N1341" s="14" t="n"/>
      <c r="O1341" s="7" t="inlineStr"/>
      <c r="P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/>
      <c r="K1342" s="8" t="n"/>
      <c r="L1342" s="7" t="inlineStr">
        <is>
          <t>SEM COTAÇÃO</t>
        </is>
      </c>
      <c r="M1342" s="8" t="n"/>
      <c r="N1342" s="14" t="n"/>
      <c r="O1342" s="7" t="inlineStr"/>
      <c r="P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/>
      <c r="K1343" s="8" t="n"/>
      <c r="L1343" s="7" t="inlineStr">
        <is>
          <t>SEM COTAÇÃO</t>
        </is>
      </c>
      <c r="M1343" s="8" t="n"/>
      <c r="N1343" s="14" t="n"/>
      <c r="O1343" s="7" t="inlineStr"/>
      <c r="P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/>
      <c r="K1344" s="8" t="n"/>
      <c r="L1344" s="7" t="inlineStr">
        <is>
          <t>SEM COTAÇÃO</t>
        </is>
      </c>
      <c r="M1344" s="8" t="n"/>
      <c r="N1344" s="14" t="n"/>
      <c r="O1344" s="7" t="inlineStr"/>
      <c r="P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/>
      <c r="K1345" s="8" t="n"/>
      <c r="L1345" s="7" t="inlineStr">
        <is>
          <t>SEM COTAÇÃO</t>
        </is>
      </c>
      <c r="M1345" s="8" t="n"/>
      <c r="N1345" s="14" t="n"/>
      <c r="O1345" s="7" t="inlineStr"/>
      <c r="P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/>
      <c r="K1346" s="8" t="n"/>
      <c r="L1346" s="7" t="inlineStr">
        <is>
          <t>SEM COTAÇÃO</t>
        </is>
      </c>
      <c r="M1346" s="8" t="n"/>
      <c r="N1346" s="14" t="n"/>
      <c r="O1346" s="7" t="inlineStr"/>
      <c r="P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/>
      <c r="K1347" s="8" t="n"/>
      <c r="L1347" s="7" t="inlineStr">
        <is>
          <t>SEM COTAÇÃO</t>
        </is>
      </c>
      <c r="M1347" s="8" t="n"/>
      <c r="N1347" s="14" t="n"/>
      <c r="O1347" s="7" t="inlineStr"/>
      <c r="P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7" t="inlineStr">
        <is>
          <t>SEM COTAÇÃO</t>
        </is>
      </c>
      <c r="M1348" s="8" t="n"/>
      <c r="N1348" s="14" t="n"/>
      <c r="O1348" s="7" t="inlineStr"/>
      <c r="P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/>
      <c r="K1349" s="8" t="n"/>
      <c r="L1349" s="7" t="inlineStr">
        <is>
          <t>SEM COTAÇÃO</t>
        </is>
      </c>
      <c r="M1349" s="8" t="n"/>
      <c r="N1349" s="14" t="n"/>
      <c r="O1349" s="7" t="inlineStr"/>
      <c r="P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/>
      <c r="K1350" s="8" t="n"/>
      <c r="L1350" s="7" t="inlineStr">
        <is>
          <t>SEM COTAÇÃO</t>
        </is>
      </c>
      <c r="M1350" s="8" t="n"/>
      <c r="N1350" s="14" t="n"/>
      <c r="O1350" s="7" t="inlineStr"/>
      <c r="P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/>
      <c r="K1351" s="8" t="n"/>
      <c r="L1351" s="7" t="inlineStr">
        <is>
          <t>SEM COTAÇÃO</t>
        </is>
      </c>
      <c r="M1351" s="8" t="n"/>
      <c r="N1351" s="14" t="n"/>
      <c r="O1351" s="7" t="inlineStr"/>
      <c r="P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/>
      <c r="K1352" s="8" t="n"/>
      <c r="L1352" s="7" t="inlineStr">
        <is>
          <t>SEM COTAÇÃO</t>
        </is>
      </c>
      <c r="M1352" s="8" t="n"/>
      <c r="N1352" s="14" t="n"/>
      <c r="O1352" s="7" t="inlineStr"/>
      <c r="P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/>
      <c r="K1353" s="8" t="n"/>
      <c r="L1353" s="7" t="inlineStr">
        <is>
          <t>SEM COTAÇÃO</t>
        </is>
      </c>
      <c r="M1353" s="8" t="n"/>
      <c r="N1353" s="14" t="n"/>
      <c r="O1353" s="7" t="inlineStr"/>
      <c r="P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/>
      <c r="K1354" s="8" t="n"/>
      <c r="L1354" s="7" t="inlineStr">
        <is>
          <t>SEM COTAÇÃO</t>
        </is>
      </c>
      <c r="M1354" s="8" t="n"/>
      <c r="N1354" s="14" t="n"/>
      <c r="O1354" s="7" t="inlineStr"/>
      <c r="P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/>
      <c r="K1355" s="8" t="n"/>
      <c r="L1355" s="7" t="inlineStr">
        <is>
          <t>SEM COTAÇÃO</t>
        </is>
      </c>
      <c r="M1355" s="8" t="n"/>
      <c r="N1355" s="14" t="n"/>
      <c r="O1355" s="7" t="inlineStr"/>
      <c r="P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/>
      <c r="K1356" s="8" t="n"/>
      <c r="L1356" s="7" t="inlineStr">
        <is>
          <t>SEM COTAÇÃO</t>
        </is>
      </c>
      <c r="M1356" s="8" t="n"/>
      <c r="N1356" s="14" t="n"/>
      <c r="O1356" s="7" t="inlineStr"/>
      <c r="P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/>
      <c r="K1357" s="8" t="n"/>
      <c r="L1357" s="7" t="inlineStr">
        <is>
          <t>SEM COTAÇÃO</t>
        </is>
      </c>
      <c r="M1357" s="8" t="n"/>
      <c r="N1357" s="14" t="n"/>
      <c r="O1357" s="7" t="inlineStr"/>
      <c r="P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/>
      <c r="K1358" s="8" t="n"/>
      <c r="L1358" s="7" t="inlineStr">
        <is>
          <t>SEM COTAÇÃO</t>
        </is>
      </c>
      <c r="M1358" s="8" t="n"/>
      <c r="N1358" s="14" t="n"/>
      <c r="O1358" s="7" t="inlineStr"/>
      <c r="P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/>
      <c r="K1359" s="8" t="n"/>
      <c r="L1359" s="7" t="inlineStr">
        <is>
          <t>SEM COTAÇÃO</t>
        </is>
      </c>
      <c r="M1359" s="8" t="n"/>
      <c r="N1359" s="14" t="n"/>
      <c r="O1359" s="7" t="inlineStr"/>
      <c r="P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/>
      <c r="K1360" s="8" t="n"/>
      <c r="L1360" s="7" t="inlineStr">
        <is>
          <t>SEM COTAÇÃO</t>
        </is>
      </c>
      <c r="M1360" s="8" t="n"/>
      <c r="N1360" s="14" t="n"/>
      <c r="O1360" s="7" t="inlineStr"/>
      <c r="P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/>
      <c r="K1361" s="8" t="n"/>
      <c r="L1361" s="7" t="inlineStr">
        <is>
          <t>SEM COTAÇÃO</t>
        </is>
      </c>
      <c r="M1361" s="8" t="n"/>
      <c r="N1361" s="14" t="n"/>
      <c r="O1361" s="7" t="inlineStr"/>
      <c r="P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/>
      <c r="K1362" s="8" t="n"/>
      <c r="L1362" s="7" t="inlineStr">
        <is>
          <t>SEM COTAÇÃO</t>
        </is>
      </c>
      <c r="M1362" s="8" t="n"/>
      <c r="N1362" s="14" t="n"/>
      <c r="O1362" s="7" t="inlineStr"/>
      <c r="P1362" s="7" t="inlineStr"/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/>
      <c r="K1363" s="8" t="n"/>
      <c r="L1363" s="7" t="inlineStr">
        <is>
          <t>SEM COTAÇÃO</t>
        </is>
      </c>
      <c r="M1363" s="8" t="n"/>
      <c r="N1363" s="14" t="n"/>
      <c r="O1363" s="7" t="inlineStr"/>
      <c r="P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/>
      <c r="K1364" s="8" t="n"/>
      <c r="L1364" s="7" t="inlineStr">
        <is>
          <t>SEM COTAÇÃO</t>
        </is>
      </c>
      <c r="M1364" s="8" t="n"/>
      <c r="N1364" s="14" t="n"/>
      <c r="O1364" s="7" t="inlineStr"/>
      <c r="P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/>
      <c r="K1365" s="8" t="n"/>
      <c r="L1365" s="7" t="inlineStr">
        <is>
          <t>SEM COTAÇÃO</t>
        </is>
      </c>
      <c r="M1365" s="8" t="n"/>
      <c r="N1365" s="14" t="n"/>
      <c r="O1365" s="7" t="inlineStr"/>
      <c r="P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/>
      <c r="K1366" s="8" t="n"/>
      <c r="L1366" s="7" t="inlineStr">
        <is>
          <t>SEM COTAÇÃO</t>
        </is>
      </c>
      <c r="M1366" s="8" t="n"/>
      <c r="N1366" s="14" t="n"/>
      <c r="O1366" s="7" t="inlineStr"/>
      <c r="P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/>
      <c r="K1367" s="8" t="n"/>
      <c r="L1367" s="7" t="inlineStr">
        <is>
          <t>SEM COTAÇÃO</t>
        </is>
      </c>
      <c r="M1367" s="8" t="n"/>
      <c r="N1367" s="14" t="n"/>
      <c r="O1367" s="7" t="inlineStr"/>
      <c r="P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/>
      <c r="K1368" s="8" t="n"/>
      <c r="L1368" s="7" t="inlineStr">
        <is>
          <t>SEM COTAÇÃO</t>
        </is>
      </c>
      <c r="M1368" s="8" t="n"/>
      <c r="N1368" s="14" t="n"/>
      <c r="O1368" s="7" t="inlineStr"/>
      <c r="P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/>
      <c r="K1369" s="8" t="n"/>
      <c r="L1369" s="7" t="inlineStr">
        <is>
          <t>SEM COTAÇÃO</t>
        </is>
      </c>
      <c r="M1369" s="8" t="n"/>
      <c r="N1369" s="14" t="n"/>
      <c r="O1369" s="7" t="inlineStr"/>
      <c r="P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/>
      <c r="K1370" s="8" t="n"/>
      <c r="L1370" s="7" t="inlineStr">
        <is>
          <t>SEM COTAÇÃO</t>
        </is>
      </c>
      <c r="M1370" s="8" t="n"/>
      <c r="N1370" s="14" t="n"/>
      <c r="O1370" s="7" t="inlineStr"/>
      <c r="P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/>
      <c r="K1371" s="8" t="n"/>
      <c r="L1371" s="7" t="inlineStr">
        <is>
          <t>SEM COTAÇÃO</t>
        </is>
      </c>
      <c r="M1371" s="8" t="n"/>
      <c r="N1371" s="14" t="n"/>
      <c r="O1371" s="7" t="inlineStr"/>
      <c r="P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/>
      <c r="K1372" s="8" t="n"/>
      <c r="L1372" s="7" t="inlineStr">
        <is>
          <t>SEM COTAÇÃO</t>
        </is>
      </c>
      <c r="M1372" s="8" t="n"/>
      <c r="N1372" s="14" t="n"/>
      <c r="O1372" s="7" t="inlineStr"/>
      <c r="P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/>
      <c r="K1373" s="8" t="n"/>
      <c r="L1373" s="7" t="inlineStr">
        <is>
          <t>SEM COTAÇÃO</t>
        </is>
      </c>
      <c r="M1373" s="8" t="n"/>
      <c r="N1373" s="14" t="n"/>
      <c r="O1373" s="7" t="inlineStr"/>
      <c r="P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/>
      <c r="K1374" s="8" t="n"/>
      <c r="L1374" s="7" t="inlineStr">
        <is>
          <t>SEM COTAÇÃO</t>
        </is>
      </c>
      <c r="M1374" s="8" t="n"/>
      <c r="N1374" s="14" t="n"/>
      <c r="O1374" s="7" t="inlineStr"/>
      <c r="P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/>
      <c r="K1375" s="8" t="n"/>
      <c r="L1375" s="7" t="inlineStr">
        <is>
          <t>SEM COTAÇÃO</t>
        </is>
      </c>
      <c r="M1375" s="8" t="n"/>
      <c r="N1375" s="14" t="n"/>
      <c r="O1375" s="7" t="inlineStr"/>
      <c r="P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/>
      <c r="K1376" s="8" t="n"/>
      <c r="L1376" s="7" t="inlineStr">
        <is>
          <t>SEM COTAÇÃO</t>
        </is>
      </c>
      <c r="M1376" s="8" t="n"/>
      <c r="N1376" s="14" t="n"/>
      <c r="O1376" s="7" t="inlineStr"/>
      <c r="P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/>
      <c r="K1377" s="8" t="n"/>
      <c r="L1377" s="7" t="inlineStr">
        <is>
          <t>SEM COTAÇÃO</t>
        </is>
      </c>
      <c r="M1377" s="8" t="n"/>
      <c r="N1377" s="14" t="n"/>
      <c r="O1377" s="7" t="inlineStr"/>
      <c r="P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/>
      <c r="K1378" s="8" t="n"/>
      <c r="L1378" s="7" t="inlineStr">
        <is>
          <t>SEM COTAÇÃO</t>
        </is>
      </c>
      <c r="M1378" s="8" t="n"/>
      <c r="N1378" s="14" t="n"/>
      <c r="O1378" s="7" t="inlineStr"/>
      <c r="P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/>
      <c r="K1379" s="8" t="n"/>
      <c r="L1379" s="7" t="inlineStr">
        <is>
          <t>SEM COTAÇÃO</t>
        </is>
      </c>
      <c r="M1379" s="8" t="n"/>
      <c r="N1379" s="14" t="n"/>
      <c r="O1379" s="7" t="inlineStr"/>
      <c r="P1379" s="7" t="inlineStr"/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/>
      <c r="K1380" s="8" t="n"/>
      <c r="L1380" s="7" t="inlineStr">
        <is>
          <t>SEM COTAÇÃO</t>
        </is>
      </c>
      <c r="M1380" s="8" t="n"/>
      <c r="N1380" s="14" t="n"/>
      <c r="O1380" s="7" t="inlineStr"/>
      <c r="P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/>
      <c r="K1381" s="8" t="n"/>
      <c r="L1381" s="7" t="inlineStr">
        <is>
          <t>SEM COTAÇÃO</t>
        </is>
      </c>
      <c r="M1381" s="8" t="n"/>
      <c r="N1381" s="14" t="n"/>
      <c r="O1381" s="7" t="inlineStr"/>
      <c r="P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/>
      <c r="K1382" s="8" t="n"/>
      <c r="L1382" s="7" t="inlineStr">
        <is>
          <t>SEM COTAÇÃO</t>
        </is>
      </c>
      <c r="M1382" s="8" t="n"/>
      <c r="N1382" s="14" t="n"/>
      <c r="O1382" s="7" t="inlineStr"/>
      <c r="P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/>
      <c r="K1383" s="8" t="n"/>
      <c r="L1383" s="7" t="inlineStr">
        <is>
          <t>SEM COTAÇÃO</t>
        </is>
      </c>
      <c r="M1383" s="8" t="n"/>
      <c r="N1383" s="14" t="n"/>
      <c r="O1383" s="7" t="inlineStr"/>
      <c r="P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/>
      <c r="K1384" s="8" t="n"/>
      <c r="L1384" s="7" t="inlineStr">
        <is>
          <t>SEM COTAÇÃO</t>
        </is>
      </c>
      <c r="M1384" s="8" t="n"/>
      <c r="N1384" s="14" t="n"/>
      <c r="O1384" s="7" t="inlineStr"/>
      <c r="P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/>
      <c r="K1385" s="8" t="n"/>
      <c r="L1385" s="7" t="inlineStr">
        <is>
          <t>SEM COTAÇÃO</t>
        </is>
      </c>
      <c r="M1385" s="8" t="n"/>
      <c r="N1385" s="14" t="n"/>
      <c r="O1385" s="7" t="inlineStr"/>
      <c r="P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/>
      <c r="K1386" s="8" t="n"/>
      <c r="L1386" s="7" t="inlineStr">
        <is>
          <t>SEM COTAÇÃO</t>
        </is>
      </c>
      <c r="M1386" s="8" t="n"/>
      <c r="N1386" s="14" t="n"/>
      <c r="O1386" s="7" t="inlineStr"/>
      <c r="P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/>
      <c r="K1387" s="8" t="n"/>
      <c r="L1387" s="7" t="inlineStr">
        <is>
          <t>SEM COTAÇÃO</t>
        </is>
      </c>
      <c r="M1387" s="8" t="n"/>
      <c r="N1387" s="14" t="n"/>
      <c r="O1387" s="7" t="inlineStr"/>
      <c r="P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/>
      <c r="K1388" s="8" t="n"/>
      <c r="L1388" s="7" t="inlineStr">
        <is>
          <t>SEM COTAÇÃO</t>
        </is>
      </c>
      <c r="M1388" s="8" t="n"/>
      <c r="N1388" s="14" t="n"/>
      <c r="O1388" s="7" t="inlineStr"/>
      <c r="P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/>
      <c r="K1389" s="8" t="n"/>
      <c r="L1389" s="7" t="inlineStr">
        <is>
          <t>SEM COTAÇÃO</t>
        </is>
      </c>
      <c r="M1389" s="8" t="n"/>
      <c r="N1389" s="14" t="n"/>
      <c r="O1389" s="7" t="inlineStr"/>
      <c r="P1389" s="7" t="inlineStr"/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/>
      <c r="K1390" s="8" t="n"/>
      <c r="L1390" s="7" t="inlineStr">
        <is>
          <t>SEM COTAÇÃO</t>
        </is>
      </c>
      <c r="M1390" s="8" t="n"/>
      <c r="N1390" s="14" t="n"/>
      <c r="O1390" s="7" t="inlineStr"/>
      <c r="P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/>
      <c r="K1391" s="8" t="n"/>
      <c r="L1391" s="7" t="inlineStr">
        <is>
          <t>SEM COTAÇÃO</t>
        </is>
      </c>
      <c r="M1391" s="8" t="n"/>
      <c r="N1391" s="14" t="n"/>
      <c r="O1391" s="7" t="inlineStr"/>
      <c r="P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/>
      <c r="K1392" s="8" t="n"/>
      <c r="L1392" s="7" t="inlineStr">
        <is>
          <t>SEM COTAÇÃO</t>
        </is>
      </c>
      <c r="M1392" s="8" t="n"/>
      <c r="N1392" s="14" t="n"/>
      <c r="O1392" s="7" t="inlineStr"/>
      <c r="P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/>
      <c r="K1393" s="8" t="n"/>
      <c r="L1393" s="7" t="inlineStr">
        <is>
          <t>SEM COTAÇÃO</t>
        </is>
      </c>
      <c r="M1393" s="8" t="n"/>
      <c r="N1393" s="14" t="n"/>
      <c r="O1393" s="7" t="inlineStr"/>
      <c r="P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7" t="inlineStr">
        <is>
          <t>SEM COTAÇÃO</t>
        </is>
      </c>
      <c r="M1394" s="8" t="n"/>
      <c r="N1394" s="14" t="n"/>
      <c r="O1394" s="7" t="inlineStr"/>
      <c r="P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/>
      <c r="K1395" s="8" t="n"/>
      <c r="L1395" s="7" t="inlineStr">
        <is>
          <t>SEM COTAÇÃO</t>
        </is>
      </c>
      <c r="M1395" s="8" t="n"/>
      <c r="N1395" s="14" t="n"/>
      <c r="O1395" s="7" t="inlineStr"/>
      <c r="P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/>
      <c r="K1396" s="8" t="n"/>
      <c r="L1396" s="7" t="inlineStr">
        <is>
          <t>SEM COTAÇÃO</t>
        </is>
      </c>
      <c r="M1396" s="8" t="n"/>
      <c r="N1396" s="14" t="n"/>
      <c r="O1396" s="7" t="inlineStr"/>
      <c r="P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/>
      <c r="K1397" s="8" t="n"/>
      <c r="L1397" s="7" t="inlineStr">
        <is>
          <t>SEM COTAÇÃO</t>
        </is>
      </c>
      <c r="M1397" s="8" t="n"/>
      <c r="N1397" s="14" t="n"/>
      <c r="O1397" s="7" t="inlineStr"/>
      <c r="P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/>
      <c r="K1398" s="8" t="n"/>
      <c r="L1398" s="7" t="inlineStr">
        <is>
          <t>SEM COTAÇÃO</t>
        </is>
      </c>
      <c r="M1398" s="8" t="n"/>
      <c r="N1398" s="14" t="n"/>
      <c r="O1398" s="7" t="inlineStr"/>
      <c r="P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/>
      <c r="K1399" s="8" t="n"/>
      <c r="L1399" s="7" t="inlineStr">
        <is>
          <t>SEM COTAÇÃO</t>
        </is>
      </c>
      <c r="M1399" s="8" t="n"/>
      <c r="N1399" s="14" t="n"/>
      <c r="O1399" s="7" t="inlineStr"/>
      <c r="P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/>
      <c r="K1400" s="8" t="n"/>
      <c r="L1400" s="7" t="inlineStr">
        <is>
          <t>SEM COTAÇÃO</t>
        </is>
      </c>
      <c r="M1400" s="8" t="n"/>
      <c r="N1400" s="14" t="n"/>
      <c r="O1400" s="7" t="inlineStr"/>
      <c r="P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/>
      <c r="K1401" s="8" t="n"/>
      <c r="L1401" s="7" t="inlineStr">
        <is>
          <t>SEM COTAÇÃO</t>
        </is>
      </c>
      <c r="M1401" s="8" t="n"/>
      <c r="N1401" s="14" t="n"/>
      <c r="O1401" s="7" t="inlineStr"/>
      <c r="P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/>
      <c r="K1402" s="8" t="n"/>
      <c r="L1402" s="7" t="inlineStr">
        <is>
          <t>SEM COTAÇÃO</t>
        </is>
      </c>
      <c r="M1402" s="8" t="n"/>
      <c r="N1402" s="14" t="n"/>
      <c r="O1402" s="7" t="inlineStr"/>
      <c r="P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/>
      <c r="K1403" s="8" t="n"/>
      <c r="L1403" s="7" t="inlineStr">
        <is>
          <t>SEM COTAÇÃO</t>
        </is>
      </c>
      <c r="M1403" s="8" t="n"/>
      <c r="N1403" s="14" t="n"/>
      <c r="O1403" s="7" t="inlineStr"/>
      <c r="P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/>
      <c r="K1404" s="8" t="n"/>
      <c r="L1404" s="7" t="inlineStr">
        <is>
          <t>SEM COTAÇÃO</t>
        </is>
      </c>
      <c r="M1404" s="8" t="n"/>
      <c r="N1404" s="14" t="n"/>
      <c r="O1404" s="7" t="inlineStr"/>
      <c r="P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/>
      <c r="K1405" s="8" t="n"/>
      <c r="L1405" s="7" t="inlineStr">
        <is>
          <t>SEM COTAÇÃO</t>
        </is>
      </c>
      <c r="M1405" s="8" t="n"/>
      <c r="N1405" s="14" t="n"/>
      <c r="O1405" s="7" t="inlineStr"/>
      <c r="P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/>
      <c r="K1406" s="8" t="n"/>
      <c r="L1406" s="7" t="inlineStr">
        <is>
          <t>SEM COTAÇÃO</t>
        </is>
      </c>
      <c r="M1406" s="8" t="n"/>
      <c r="N1406" s="14" t="n"/>
      <c r="O1406" s="7" t="inlineStr"/>
      <c r="P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/>
      <c r="K1407" s="8" t="n"/>
      <c r="L1407" s="7" t="inlineStr">
        <is>
          <t>SEM COTAÇÃO</t>
        </is>
      </c>
      <c r="M1407" s="8" t="n"/>
      <c r="N1407" s="14" t="n"/>
      <c r="O1407" s="7" t="inlineStr"/>
      <c r="P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/>
      <c r="K1408" s="8" t="n"/>
      <c r="L1408" s="7" t="inlineStr">
        <is>
          <t>SEM COTAÇÃO</t>
        </is>
      </c>
      <c r="M1408" s="8" t="n"/>
      <c r="N1408" s="14" t="n"/>
      <c r="O1408" s="7" t="inlineStr"/>
      <c r="P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/>
      <c r="K1409" s="8" t="n"/>
      <c r="L1409" s="7" t="inlineStr">
        <is>
          <t>SEM COTAÇÃO</t>
        </is>
      </c>
      <c r="M1409" s="8" t="n"/>
      <c r="N1409" s="14" t="n"/>
      <c r="O1409" s="7" t="inlineStr"/>
      <c r="P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/>
      <c r="K1410" s="8" t="n"/>
      <c r="L1410" s="7" t="inlineStr">
        <is>
          <t>SEM COTAÇÃO</t>
        </is>
      </c>
      <c r="M1410" s="8" t="n"/>
      <c r="N1410" s="14" t="n"/>
      <c r="O1410" s="7" t="inlineStr"/>
      <c r="P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/>
      <c r="K1411" s="8" t="n"/>
      <c r="L1411" s="7" t="inlineStr">
        <is>
          <t>SEM COTAÇÃO</t>
        </is>
      </c>
      <c r="M1411" s="8" t="n"/>
      <c r="N1411" s="14" t="n"/>
      <c r="O1411" s="7" t="inlineStr"/>
      <c r="P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/>
      <c r="K1412" s="8" t="n"/>
      <c r="L1412" s="7" t="inlineStr">
        <is>
          <t>SEM COTAÇÃO</t>
        </is>
      </c>
      <c r="M1412" s="8" t="n"/>
      <c r="N1412" s="14" t="n"/>
      <c r="O1412" s="7" t="inlineStr"/>
      <c r="P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/>
      <c r="K1413" s="8" t="n"/>
      <c r="L1413" s="7" t="inlineStr">
        <is>
          <t>SEM COTAÇÃO</t>
        </is>
      </c>
      <c r="M1413" s="8" t="n"/>
      <c r="N1413" s="14" t="n"/>
      <c r="O1413" s="7" t="inlineStr"/>
      <c r="P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/>
      <c r="K1414" s="8" t="n"/>
      <c r="L1414" s="7" t="inlineStr">
        <is>
          <t>SEM COTAÇÃO</t>
        </is>
      </c>
      <c r="M1414" s="8" t="n"/>
      <c r="N1414" s="14" t="n"/>
      <c r="O1414" s="7" t="inlineStr"/>
      <c r="P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/>
      <c r="K1415" s="8" t="n"/>
      <c r="L1415" s="7" t="inlineStr">
        <is>
          <t>SEM COTAÇÃO</t>
        </is>
      </c>
      <c r="M1415" s="8" t="n"/>
      <c r="N1415" s="14" t="n"/>
      <c r="O1415" s="7" t="inlineStr"/>
      <c r="P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/>
      <c r="K1416" s="8" t="n"/>
      <c r="L1416" s="7" t="inlineStr">
        <is>
          <t>SEM COTAÇÃO</t>
        </is>
      </c>
      <c r="M1416" s="8" t="n"/>
      <c r="N1416" s="14" t="n"/>
      <c r="O1416" s="7" t="inlineStr"/>
      <c r="P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/>
      <c r="K1417" s="8" t="n"/>
      <c r="L1417" s="7" t="inlineStr">
        <is>
          <t>SEM COTAÇÃO</t>
        </is>
      </c>
      <c r="M1417" s="8" t="n"/>
      <c r="N1417" s="14" t="n"/>
      <c r="O1417" s="7" t="inlineStr"/>
      <c r="P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/>
      <c r="K1418" s="8" t="n"/>
      <c r="L1418" s="7" t="inlineStr">
        <is>
          <t>SEM COTAÇÃO</t>
        </is>
      </c>
      <c r="M1418" s="8" t="n"/>
      <c r="N1418" s="14" t="n"/>
      <c r="O1418" s="7" t="inlineStr"/>
      <c r="P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/>
      <c r="K1419" s="8" t="n"/>
      <c r="L1419" s="7" t="inlineStr">
        <is>
          <t>SEM COTAÇÃO</t>
        </is>
      </c>
      <c r="M1419" s="8" t="n"/>
      <c r="N1419" s="14" t="n"/>
      <c r="O1419" s="7" t="inlineStr"/>
      <c r="P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15" t="n">
        <v>4.83</v>
      </c>
      <c r="K1420" s="8" t="n"/>
      <c r="L1420" s="7" t="inlineStr">
        <is>
          <t>DIMEC</t>
        </is>
      </c>
      <c r="M1420" s="8" t="n">
        <v>4.83</v>
      </c>
      <c r="N1420" s="14">
        <f>M1420/H1420-1</f>
        <v/>
      </c>
      <c r="O1420" s="17" t="inlineStr">
        <is>
          <t>OK (≤ menor hist.)</t>
        </is>
      </c>
      <c r="P1420" s="7" t="inlineStr"/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/>
      <c r="K1421" s="8" t="n"/>
      <c r="L1421" s="7" t="inlineStr">
        <is>
          <t>SEM COTAÇÃO</t>
        </is>
      </c>
      <c r="M1421" s="8" t="n"/>
      <c r="N1421" s="14" t="n"/>
      <c r="O1421" s="7" t="inlineStr"/>
      <c r="P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/>
      <c r="K1422" s="8" t="n"/>
      <c r="L1422" s="7" t="inlineStr">
        <is>
          <t>SEM COTAÇÃO</t>
        </is>
      </c>
      <c r="M1422" s="8" t="n"/>
      <c r="N1422" s="14" t="n"/>
      <c r="O1422" s="7" t="inlineStr"/>
      <c r="P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/>
      <c r="K1423" s="8" t="n"/>
      <c r="L1423" s="7" t="inlineStr">
        <is>
          <t>SEM COTAÇÃO</t>
        </is>
      </c>
      <c r="M1423" s="8" t="n"/>
      <c r="N1423" s="14" t="n"/>
      <c r="O1423" s="7" t="inlineStr"/>
      <c r="P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/>
      <c r="K1424" s="8" t="n"/>
      <c r="L1424" s="7" t="inlineStr">
        <is>
          <t>SEM COTAÇÃO</t>
        </is>
      </c>
      <c r="M1424" s="8" t="n"/>
      <c r="N1424" s="14" t="n"/>
      <c r="O1424" s="7" t="inlineStr"/>
      <c r="P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7" t="inlineStr">
        <is>
          <t>SEM COTAÇÃO</t>
        </is>
      </c>
      <c r="M1425" s="8" t="n"/>
      <c r="N1425" s="14" t="n"/>
      <c r="O1425" s="7" t="inlineStr"/>
      <c r="P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7" t="inlineStr">
        <is>
          <t>SEM COTAÇÃO</t>
        </is>
      </c>
      <c r="M1426" s="8" t="n"/>
      <c r="N1426" s="14" t="n"/>
      <c r="O1426" s="7" t="inlineStr"/>
      <c r="P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/>
      <c r="K1427" s="8" t="n"/>
      <c r="L1427" s="7" t="inlineStr">
        <is>
          <t>SEM COTAÇÃO</t>
        </is>
      </c>
      <c r="M1427" s="8" t="n"/>
      <c r="N1427" s="14" t="n"/>
      <c r="O1427" s="7" t="inlineStr"/>
      <c r="P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/>
      <c r="K1428" s="8" t="n"/>
      <c r="L1428" s="7" t="inlineStr">
        <is>
          <t>SEM COTAÇÃO</t>
        </is>
      </c>
      <c r="M1428" s="8" t="n"/>
      <c r="N1428" s="14" t="n"/>
      <c r="O1428" s="7" t="inlineStr"/>
      <c r="P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/>
      <c r="K1429" s="8" t="n"/>
      <c r="L1429" s="7" t="inlineStr">
        <is>
          <t>SEM COTAÇÃO</t>
        </is>
      </c>
      <c r="M1429" s="8" t="n"/>
      <c r="N1429" s="14" t="n"/>
      <c r="O1429" s="7" t="inlineStr"/>
      <c r="P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/>
      <c r="K1430" s="8" t="n"/>
      <c r="L1430" s="7" t="inlineStr">
        <is>
          <t>SEM COTAÇÃO</t>
        </is>
      </c>
      <c r="M1430" s="8" t="n"/>
      <c r="N1430" s="14" t="n"/>
      <c r="O1430" s="7" t="inlineStr"/>
      <c r="P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/>
      <c r="K1431" s="8" t="n"/>
      <c r="L1431" s="7" t="inlineStr">
        <is>
          <t>SEM COTAÇÃO</t>
        </is>
      </c>
      <c r="M1431" s="8" t="n"/>
      <c r="N1431" s="14" t="n"/>
      <c r="O1431" s="7" t="inlineStr"/>
      <c r="P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/>
      <c r="K1432" s="8" t="n"/>
      <c r="L1432" s="7" t="inlineStr">
        <is>
          <t>SEM COTAÇÃO</t>
        </is>
      </c>
      <c r="M1432" s="8" t="n"/>
      <c r="N1432" s="14" t="n"/>
      <c r="O1432" s="7" t="inlineStr"/>
      <c r="P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/>
      <c r="K1433" s="8" t="n"/>
      <c r="L1433" s="7" t="inlineStr">
        <is>
          <t>SEM COTAÇÃO</t>
        </is>
      </c>
      <c r="M1433" s="8" t="n"/>
      <c r="N1433" s="14" t="n"/>
      <c r="O1433" s="7" t="inlineStr"/>
      <c r="P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/>
      <c r="K1434" s="8" t="n"/>
      <c r="L1434" s="7" t="inlineStr">
        <is>
          <t>SEM COTAÇÃO</t>
        </is>
      </c>
      <c r="M1434" s="8" t="n"/>
      <c r="N1434" s="14" t="n"/>
      <c r="O1434" s="7" t="inlineStr"/>
      <c r="P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/>
      <c r="K1435" s="8" t="n"/>
      <c r="L1435" s="7" t="inlineStr">
        <is>
          <t>SEM COTAÇÃO</t>
        </is>
      </c>
      <c r="M1435" s="8" t="n"/>
      <c r="N1435" s="14" t="n"/>
      <c r="O1435" s="7" t="inlineStr"/>
      <c r="P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/>
      <c r="K1436" s="8" t="n"/>
      <c r="L1436" s="7" t="inlineStr">
        <is>
          <t>SEM COTAÇÃO</t>
        </is>
      </c>
      <c r="M1436" s="8" t="n"/>
      <c r="N1436" s="14" t="n"/>
      <c r="O1436" s="7" t="inlineStr"/>
      <c r="P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/>
      <c r="K1437" s="8" t="n"/>
      <c r="L1437" s="7" t="inlineStr">
        <is>
          <t>SEM COTAÇÃO</t>
        </is>
      </c>
      <c r="M1437" s="8" t="n"/>
      <c r="N1437" s="14" t="n"/>
      <c r="O1437" s="7" t="inlineStr"/>
      <c r="P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/>
      <c r="K1438" s="8" t="n"/>
      <c r="L1438" s="7" t="inlineStr">
        <is>
          <t>SEM COTAÇÃO</t>
        </is>
      </c>
      <c r="M1438" s="8" t="n"/>
      <c r="N1438" s="14" t="n"/>
      <c r="O1438" s="7" t="inlineStr"/>
      <c r="P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/>
      <c r="K1439" s="8" t="n"/>
      <c r="L1439" s="7" t="inlineStr">
        <is>
          <t>SEM COTAÇÃO</t>
        </is>
      </c>
      <c r="M1439" s="8" t="n"/>
      <c r="N1439" s="14" t="n"/>
      <c r="O1439" s="7" t="inlineStr"/>
      <c r="P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/>
      <c r="K1440" s="8" t="n"/>
      <c r="L1440" s="7" t="inlineStr">
        <is>
          <t>SEM COTAÇÃO</t>
        </is>
      </c>
      <c r="M1440" s="8" t="n"/>
      <c r="N1440" s="14" t="n"/>
      <c r="O1440" s="7" t="inlineStr"/>
      <c r="P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7" t="inlineStr">
        <is>
          <t>SEM COTAÇÃO</t>
        </is>
      </c>
      <c r="M1441" s="8" t="n"/>
      <c r="N1441" s="14" t="n"/>
      <c r="O1441" s="7" t="inlineStr"/>
      <c r="P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/>
      <c r="K1442" s="8" t="n"/>
      <c r="L1442" s="7" t="inlineStr">
        <is>
          <t>SEM COTAÇÃO</t>
        </is>
      </c>
      <c r="M1442" s="8" t="n"/>
      <c r="N1442" s="14" t="n"/>
      <c r="O1442" s="7" t="inlineStr"/>
      <c r="P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/>
      <c r="K1443" s="8" t="n"/>
      <c r="L1443" s="7" t="inlineStr">
        <is>
          <t>SEM COTAÇÃO</t>
        </is>
      </c>
      <c r="M1443" s="8" t="n"/>
      <c r="N1443" s="14" t="n"/>
      <c r="O1443" s="7" t="inlineStr"/>
      <c r="P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/>
      <c r="K1444" s="15" t="n">
        <v>29.27</v>
      </c>
      <c r="L1444" s="7" t="inlineStr">
        <is>
          <t>PLUSFARMA</t>
        </is>
      </c>
      <c r="M1444" s="8" t="n">
        <v>29.27</v>
      </c>
      <c r="N1444" s="14">
        <f>M1444/H1444-1</f>
        <v/>
      </c>
      <c r="O1444" s="16" t="inlineStr">
        <is>
          <t>ACIMA +19.2%</t>
        </is>
      </c>
      <c r="P1444" s="7" t="inlineStr"/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/>
      <c r="K1445" s="8" t="n"/>
      <c r="L1445" s="7" t="inlineStr">
        <is>
          <t>SEM COTAÇÃO</t>
        </is>
      </c>
      <c r="M1445" s="8" t="n"/>
      <c r="N1445" s="14" t="n"/>
      <c r="O1445" s="7" t="inlineStr"/>
      <c r="P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/>
      <c r="K1446" s="8" t="n"/>
      <c r="L1446" s="7" t="inlineStr">
        <is>
          <t>SEM COTAÇÃO</t>
        </is>
      </c>
      <c r="M1446" s="8" t="n"/>
      <c r="N1446" s="14" t="n"/>
      <c r="O1446" s="7" t="inlineStr"/>
      <c r="P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/>
      <c r="K1447" s="8" t="n"/>
      <c r="L1447" s="7" t="inlineStr">
        <is>
          <t>SEM COTAÇÃO</t>
        </is>
      </c>
      <c r="M1447" s="8" t="n"/>
      <c r="N1447" s="14" t="n"/>
      <c r="O1447" s="7" t="inlineStr"/>
      <c r="P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/>
      <c r="K1448" s="8" t="n"/>
      <c r="L1448" s="7" t="inlineStr">
        <is>
          <t>SEM COTAÇÃO</t>
        </is>
      </c>
      <c r="M1448" s="8" t="n"/>
      <c r="N1448" s="14" t="n"/>
      <c r="O1448" s="7" t="inlineStr"/>
      <c r="P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/>
      <c r="K1449" s="8" t="n"/>
      <c r="L1449" s="7" t="inlineStr">
        <is>
          <t>SEM COTAÇÃO</t>
        </is>
      </c>
      <c r="M1449" s="8" t="n"/>
      <c r="N1449" s="14" t="n"/>
      <c r="O1449" s="7" t="inlineStr"/>
      <c r="P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/>
      <c r="K1450" s="8" t="n"/>
      <c r="L1450" s="7" t="inlineStr">
        <is>
          <t>SEM COTAÇÃO</t>
        </is>
      </c>
      <c r="M1450" s="8" t="n"/>
      <c r="N1450" s="14" t="n"/>
      <c r="O1450" s="7" t="inlineStr"/>
      <c r="P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/>
      <c r="K1451" s="8" t="n"/>
      <c r="L1451" s="7" t="inlineStr">
        <is>
          <t>SEM COTAÇÃO</t>
        </is>
      </c>
      <c r="M1451" s="8" t="n"/>
      <c r="N1451" s="14" t="n"/>
      <c r="O1451" s="7" t="inlineStr"/>
      <c r="P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/>
      <c r="K1452" s="8" t="n"/>
      <c r="L1452" s="7" t="inlineStr">
        <is>
          <t>SEM COTAÇÃO</t>
        </is>
      </c>
      <c r="M1452" s="8" t="n"/>
      <c r="N1452" s="14" t="n"/>
      <c r="O1452" s="7" t="inlineStr"/>
      <c r="P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/>
      <c r="K1453" s="8" t="n"/>
      <c r="L1453" s="7" t="inlineStr">
        <is>
          <t>SEM COTAÇÃO</t>
        </is>
      </c>
      <c r="M1453" s="8" t="n"/>
      <c r="N1453" s="14" t="n"/>
      <c r="O1453" s="7" t="inlineStr"/>
      <c r="P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/>
      <c r="K1454" s="8" t="n"/>
      <c r="L1454" s="7" t="inlineStr">
        <is>
          <t>SEM COTAÇÃO</t>
        </is>
      </c>
      <c r="M1454" s="8" t="n"/>
      <c r="N1454" s="14" t="n"/>
      <c r="O1454" s="7" t="inlineStr"/>
      <c r="P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/>
      <c r="K1455" s="8" t="n"/>
      <c r="L1455" s="7" t="inlineStr">
        <is>
          <t>SEM COTAÇÃO</t>
        </is>
      </c>
      <c r="M1455" s="8" t="n"/>
      <c r="N1455" s="14" t="n"/>
      <c r="O1455" s="7" t="inlineStr"/>
      <c r="P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/>
      <c r="K1456" s="8" t="n"/>
      <c r="L1456" s="7" t="inlineStr">
        <is>
          <t>SEM COTAÇÃO</t>
        </is>
      </c>
      <c r="M1456" s="8" t="n"/>
      <c r="N1456" s="14" t="n"/>
      <c r="O1456" s="7" t="inlineStr"/>
      <c r="P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15" t="n">
        <v>1.65</v>
      </c>
      <c r="K1457" s="8" t="n"/>
      <c r="L1457" s="7" t="inlineStr">
        <is>
          <t>DIMEC</t>
        </is>
      </c>
      <c r="M1457" s="8" t="n">
        <v>1.65</v>
      </c>
      <c r="N1457" s="14">
        <f>M1457/H1457-1</f>
        <v/>
      </c>
      <c r="O1457" s="17" t="inlineStr">
        <is>
          <t>OK (≤ menor hist.)</t>
        </is>
      </c>
      <c r="P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28.96</v>
      </c>
      <c r="K1458" s="15" t="n">
        <v>28.55</v>
      </c>
      <c r="L1458" s="7" t="inlineStr">
        <is>
          <t>PLUSFARMA</t>
        </is>
      </c>
      <c r="M1458" s="8" t="n">
        <v>28.55</v>
      </c>
      <c r="N1458" s="14">
        <f>M1458/H1458-1</f>
        <v/>
      </c>
      <c r="O1458" s="16" t="inlineStr">
        <is>
          <t>ACIMA +7.5%</t>
        </is>
      </c>
      <c r="P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15" t="n">
        <v>9.17</v>
      </c>
      <c r="K1459" s="8" t="n"/>
      <c r="L1459" s="7" t="inlineStr">
        <is>
          <t>DIMEC</t>
        </is>
      </c>
      <c r="M1459" s="8" t="n">
        <v>9.17</v>
      </c>
      <c r="N1459" s="14">
        <f>M1459/H1459-1</f>
        <v/>
      </c>
      <c r="O1459" s="16" t="inlineStr">
        <is>
          <t>ACIMA +8.1%</t>
        </is>
      </c>
      <c r="P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/>
      <c r="K1460" s="8" t="n"/>
      <c r="L1460" s="7" t="inlineStr">
        <is>
          <t>SEM COTAÇÃO</t>
        </is>
      </c>
      <c r="M1460" s="8" t="n"/>
      <c r="N1460" s="14" t="n"/>
      <c r="O1460" s="7" t="inlineStr"/>
      <c r="P1460" s="7" t="inlineStr"/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/>
      <c r="K1461" s="8" t="n"/>
      <c r="L1461" s="7" t="inlineStr">
        <is>
          <t>SEM COTAÇÃO</t>
        </is>
      </c>
      <c r="M1461" s="8" t="n"/>
      <c r="N1461" s="14" t="n"/>
      <c r="O1461" s="7" t="inlineStr"/>
      <c r="P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/>
      <c r="K1462" s="8" t="n"/>
      <c r="L1462" s="7" t="inlineStr">
        <is>
          <t>SEM COTAÇÃO</t>
        </is>
      </c>
      <c r="M1462" s="8" t="n"/>
      <c r="N1462" s="14" t="n"/>
      <c r="O1462" s="7" t="inlineStr"/>
      <c r="P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15" t="n">
        <v>81</v>
      </c>
      <c r="K1463" s="8" t="n"/>
      <c r="L1463" s="7" t="inlineStr">
        <is>
          <t>DIMEC</t>
        </is>
      </c>
      <c r="M1463" s="8" t="n">
        <v>81</v>
      </c>
      <c r="N1463" s="14">
        <f>M1463/H1463-1</f>
        <v/>
      </c>
      <c r="O1463" s="16" t="inlineStr">
        <is>
          <t>ACIMA +3064.1%</t>
        </is>
      </c>
      <c r="P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/>
      <c r="K1464" s="8" t="n"/>
      <c r="L1464" s="7" t="inlineStr">
        <is>
          <t>SEM COTAÇÃO</t>
        </is>
      </c>
      <c r="M1464" s="8" t="n"/>
      <c r="N1464" s="14" t="n"/>
      <c r="O1464" s="7" t="inlineStr"/>
      <c r="P1464" s="7" t="inlineStr"/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15" t="n">
        <v>17.91</v>
      </c>
      <c r="K1465" s="8" t="n"/>
      <c r="L1465" s="7" t="inlineStr">
        <is>
          <t>DIMEC</t>
        </is>
      </c>
      <c r="M1465" s="8" t="n">
        <v>17.91</v>
      </c>
      <c r="N1465" s="14" t="n"/>
      <c r="O1465" s="7" t="inlineStr">
        <is>
          <t>SEM HISTÓRICO</t>
        </is>
      </c>
      <c r="P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/>
      <c r="K1466" s="8" t="n"/>
      <c r="L1466" s="7" t="inlineStr">
        <is>
          <t>SEM COTAÇÃO</t>
        </is>
      </c>
      <c r="M1466" s="8" t="n"/>
      <c r="N1466" s="14" t="n"/>
      <c r="O1466" s="7" t="inlineStr"/>
      <c r="P1466" s="7" t="inlineStr"/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/>
      <c r="K1467" s="8" t="n"/>
      <c r="L1467" s="7" t="inlineStr">
        <is>
          <t>SEM COTAÇÃO</t>
        </is>
      </c>
      <c r="M1467" s="8" t="n"/>
      <c r="N1467" s="14" t="n"/>
      <c r="O1467" s="7" t="inlineStr"/>
      <c r="P1467" s="7" t="inlineStr"/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/>
      <c r="K1468" s="8" t="n"/>
      <c r="L1468" s="7" t="inlineStr">
        <is>
          <t>SEM COTAÇÃO</t>
        </is>
      </c>
      <c r="M1468" s="8" t="n"/>
      <c r="N1468" s="14" t="n"/>
      <c r="O1468" s="7" t="inlineStr"/>
      <c r="P1468" s="7" t="inlineStr"/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/>
      <c r="K1469" s="8" t="n"/>
      <c r="L1469" s="7" t="inlineStr">
        <is>
          <t>SEM COTAÇÃO</t>
        </is>
      </c>
      <c r="M1469" s="8" t="n"/>
      <c r="N1469" s="14" t="n"/>
      <c r="O1469" s="7" t="inlineStr"/>
      <c r="P1469" s="7" t="inlineStr"/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/>
      <c r="K1470" s="8" t="n"/>
      <c r="L1470" s="7" t="inlineStr">
        <is>
          <t>SEM COTAÇÃO</t>
        </is>
      </c>
      <c r="M1470" s="8" t="n"/>
      <c r="N1470" s="14" t="n"/>
      <c r="O1470" s="7" t="inlineStr"/>
      <c r="P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/>
      <c r="K1471" s="8" t="n"/>
      <c r="L1471" s="7" t="inlineStr">
        <is>
          <t>SEM COTAÇÃO</t>
        </is>
      </c>
      <c r="M1471" s="8" t="n"/>
      <c r="N1471" s="14" t="n"/>
      <c r="O1471" s="7" t="inlineStr"/>
      <c r="P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/>
      <c r="K1472" s="8" t="n"/>
      <c r="L1472" s="7" t="inlineStr">
        <is>
          <t>SEM COTAÇÃO</t>
        </is>
      </c>
      <c r="M1472" s="8" t="n"/>
      <c r="N1472" s="14" t="n"/>
      <c r="O1472" s="7" t="inlineStr"/>
      <c r="P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/>
      <c r="K1473" s="8" t="n"/>
      <c r="L1473" s="7" t="inlineStr">
        <is>
          <t>SEM COTAÇÃO</t>
        </is>
      </c>
      <c r="M1473" s="8" t="n"/>
      <c r="N1473" s="14" t="n"/>
      <c r="O1473" s="7" t="inlineStr"/>
      <c r="P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/>
      <c r="K1474" s="8" t="n"/>
      <c r="L1474" s="7" t="inlineStr">
        <is>
          <t>SEM COTAÇÃO</t>
        </is>
      </c>
      <c r="M1474" s="8" t="n"/>
      <c r="N1474" s="14" t="n"/>
      <c r="O1474" s="7" t="inlineStr"/>
      <c r="P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/>
      <c r="K1475" s="8" t="n"/>
      <c r="L1475" s="7" t="inlineStr">
        <is>
          <t>SEM COTAÇÃO</t>
        </is>
      </c>
      <c r="M1475" s="8" t="n"/>
      <c r="N1475" s="14" t="n"/>
      <c r="O1475" s="7" t="inlineStr"/>
      <c r="P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/>
      <c r="K1476" s="8" t="n"/>
      <c r="L1476" s="7" t="inlineStr">
        <is>
          <t>SEM COTAÇÃO</t>
        </is>
      </c>
      <c r="M1476" s="8" t="n"/>
      <c r="N1476" s="14" t="n"/>
      <c r="O1476" s="7" t="inlineStr"/>
      <c r="P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/>
      <c r="K1477" s="8" t="n"/>
      <c r="L1477" s="7" t="inlineStr">
        <is>
          <t>SEM COTAÇÃO</t>
        </is>
      </c>
      <c r="M1477" s="8" t="n"/>
      <c r="N1477" s="14" t="n"/>
      <c r="O1477" s="7" t="inlineStr"/>
      <c r="P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/>
      <c r="K1478" s="8" t="n"/>
      <c r="L1478" s="7" t="inlineStr">
        <is>
          <t>SEM COTAÇÃO</t>
        </is>
      </c>
      <c r="M1478" s="8" t="n"/>
      <c r="N1478" s="14" t="n"/>
      <c r="O1478" s="7" t="inlineStr"/>
      <c r="P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/>
      <c r="K1479" s="8" t="n"/>
      <c r="L1479" s="7" t="inlineStr">
        <is>
          <t>SEM COTAÇÃO</t>
        </is>
      </c>
      <c r="M1479" s="8" t="n"/>
      <c r="N1479" s="14" t="n"/>
      <c r="O1479" s="7" t="inlineStr"/>
      <c r="P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/>
      <c r="K1480" s="8" t="n"/>
      <c r="L1480" s="7" t="inlineStr">
        <is>
          <t>SEM COTAÇÃO</t>
        </is>
      </c>
      <c r="M1480" s="8" t="n"/>
      <c r="N1480" s="14" t="n"/>
      <c r="O1480" s="7" t="inlineStr"/>
      <c r="P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/>
      <c r="K1481" s="8" t="n"/>
      <c r="L1481" s="7" t="inlineStr">
        <is>
          <t>SEM COTAÇÃO</t>
        </is>
      </c>
      <c r="M1481" s="8" t="n"/>
      <c r="N1481" s="14" t="n"/>
      <c r="O1481" s="7" t="inlineStr"/>
      <c r="P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/>
      <c r="K1482" s="8" t="n"/>
      <c r="L1482" s="7" t="inlineStr">
        <is>
          <t>SEM COTAÇÃO</t>
        </is>
      </c>
      <c r="M1482" s="8" t="n"/>
      <c r="N1482" s="14" t="n"/>
      <c r="O1482" s="7" t="inlineStr"/>
      <c r="P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15" t="n">
        <v>3.23</v>
      </c>
      <c r="K1483" s="8" t="n"/>
      <c r="L1483" s="7" t="inlineStr">
        <is>
          <t>DIMEC</t>
        </is>
      </c>
      <c r="M1483" s="8" t="n">
        <v>3.23</v>
      </c>
      <c r="N1483" s="14">
        <f>M1483/H1483-1</f>
        <v/>
      </c>
      <c r="O1483" s="16" t="inlineStr">
        <is>
          <t>ACIMA +41.7%</t>
        </is>
      </c>
      <c r="P1483" s="7" t="inlineStr"/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/>
      <c r="K1484" s="8" t="n"/>
      <c r="L1484" s="7" t="inlineStr">
        <is>
          <t>SEM COTAÇÃO</t>
        </is>
      </c>
      <c r="M1484" s="8" t="n"/>
      <c r="N1484" s="14" t="n"/>
      <c r="O1484" s="7" t="inlineStr"/>
      <c r="P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/>
      <c r="K1485" s="8" t="n"/>
      <c r="L1485" s="7" t="inlineStr">
        <is>
          <t>SEM COTAÇÃO</t>
        </is>
      </c>
      <c r="M1485" s="8" t="n"/>
      <c r="N1485" s="14" t="n"/>
      <c r="O1485" s="7" t="inlineStr"/>
      <c r="P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/>
      <c r="K1486" s="8" t="n"/>
      <c r="L1486" s="7" t="inlineStr">
        <is>
          <t>SEM COTAÇÃO</t>
        </is>
      </c>
      <c r="M1486" s="8" t="n"/>
      <c r="N1486" s="14" t="n"/>
      <c r="O1486" s="7" t="inlineStr"/>
      <c r="P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/>
      <c r="K1487" s="8" t="n"/>
      <c r="L1487" s="7" t="inlineStr">
        <is>
          <t>SEM COTAÇÃO</t>
        </is>
      </c>
      <c r="M1487" s="8" t="n"/>
      <c r="N1487" s="14" t="n"/>
      <c r="O1487" s="7" t="inlineStr"/>
      <c r="P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/>
      <c r="K1488" s="8" t="n"/>
      <c r="L1488" s="7" t="inlineStr">
        <is>
          <t>SEM COTAÇÃO</t>
        </is>
      </c>
      <c r="M1488" s="8" t="n"/>
      <c r="N1488" s="14" t="n"/>
      <c r="O1488" s="7" t="inlineStr"/>
      <c r="P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/>
      <c r="K1489" s="8" t="n"/>
      <c r="L1489" s="7" t="inlineStr">
        <is>
          <t>SEM COTAÇÃO</t>
        </is>
      </c>
      <c r="M1489" s="8" t="n"/>
      <c r="N1489" s="14" t="n"/>
      <c r="O1489" s="7" t="inlineStr"/>
      <c r="P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/>
      <c r="K1490" s="8" t="n"/>
      <c r="L1490" s="7" t="inlineStr">
        <is>
          <t>SEM COTAÇÃO</t>
        </is>
      </c>
      <c r="M1490" s="8" t="n"/>
      <c r="N1490" s="14" t="n"/>
      <c r="O1490" s="7" t="inlineStr"/>
      <c r="P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/>
      <c r="K1491" s="8" t="n"/>
      <c r="L1491" s="7" t="inlineStr">
        <is>
          <t>SEM COTAÇÃO</t>
        </is>
      </c>
      <c r="M1491" s="8" t="n"/>
      <c r="N1491" s="14" t="n"/>
      <c r="O1491" s="7" t="inlineStr"/>
      <c r="P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/>
      <c r="K1492" s="8" t="n"/>
      <c r="L1492" s="7" t="inlineStr">
        <is>
          <t>SEM COTAÇÃO</t>
        </is>
      </c>
      <c r="M1492" s="8" t="n"/>
      <c r="N1492" s="14" t="n"/>
      <c r="O1492" s="7" t="inlineStr"/>
      <c r="P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/>
      <c r="K1493" s="8" t="n"/>
      <c r="L1493" s="7" t="inlineStr">
        <is>
          <t>SEM COTAÇÃO</t>
        </is>
      </c>
      <c r="M1493" s="8" t="n"/>
      <c r="N1493" s="14" t="n"/>
      <c r="O1493" s="7" t="inlineStr"/>
      <c r="P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/>
      <c r="K1494" s="8" t="n"/>
      <c r="L1494" s="7" t="inlineStr">
        <is>
          <t>SEM COTAÇÃO</t>
        </is>
      </c>
      <c r="M1494" s="8" t="n"/>
      <c r="N1494" s="14" t="n"/>
      <c r="O1494" s="7" t="inlineStr"/>
      <c r="P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/>
      <c r="K1495" s="8" t="n"/>
      <c r="L1495" s="7" t="inlineStr">
        <is>
          <t>SEM COTAÇÃO</t>
        </is>
      </c>
      <c r="M1495" s="8" t="n"/>
      <c r="N1495" s="14" t="n"/>
      <c r="O1495" s="7" t="inlineStr"/>
      <c r="P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15" t="n">
        <v>0.606</v>
      </c>
      <c r="K1496" s="8" t="n"/>
      <c r="L1496" s="7" t="inlineStr">
        <is>
          <t>DIMEC</t>
        </is>
      </c>
      <c r="M1496" s="8" t="n">
        <v>0.606</v>
      </c>
      <c r="N1496" s="14">
        <f>M1496/H1496-1</f>
        <v/>
      </c>
      <c r="O1496" s="16" t="inlineStr">
        <is>
          <t>ACIMA +3.0%</t>
        </is>
      </c>
      <c r="P1496" s="7" t="inlineStr">
        <is>
          <t>DIMEC: 1 emb = 20 un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/>
      <c r="K1497" s="8" t="n"/>
      <c r="L1497" s="7" t="inlineStr">
        <is>
          <t>SEM COTAÇÃO</t>
        </is>
      </c>
      <c r="M1497" s="8" t="n"/>
      <c r="N1497" s="14" t="n"/>
      <c r="O1497" s="7" t="inlineStr"/>
      <c r="P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/>
      <c r="K1498" s="8" t="n"/>
      <c r="L1498" s="7" t="inlineStr">
        <is>
          <t>SEM COTAÇÃO</t>
        </is>
      </c>
      <c r="M1498" s="8" t="n"/>
      <c r="N1498" s="14" t="n"/>
      <c r="O1498" s="7" t="inlineStr"/>
      <c r="P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/>
      <c r="K1499" s="8" t="n"/>
      <c r="L1499" s="7" t="inlineStr">
        <is>
          <t>SEM COTAÇÃO</t>
        </is>
      </c>
      <c r="M1499" s="8" t="n"/>
      <c r="N1499" s="14" t="n"/>
      <c r="O1499" s="7" t="inlineStr"/>
      <c r="P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/>
      <c r="K1500" s="8" t="n"/>
      <c r="L1500" s="7" t="inlineStr">
        <is>
          <t>SEM COTAÇÃO</t>
        </is>
      </c>
      <c r="M1500" s="8" t="n"/>
      <c r="N1500" s="14" t="n"/>
      <c r="O1500" s="7" t="inlineStr"/>
      <c r="P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/>
      <c r="K1501" s="8" t="n"/>
      <c r="L1501" s="7" t="inlineStr">
        <is>
          <t>SEM COTAÇÃO</t>
        </is>
      </c>
      <c r="M1501" s="8" t="n"/>
      <c r="N1501" s="14" t="n"/>
      <c r="O1501" s="7" t="inlineStr"/>
      <c r="P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/>
      <c r="K1502" s="8" t="n"/>
      <c r="L1502" s="7" t="inlineStr">
        <is>
          <t>SEM COTAÇÃO</t>
        </is>
      </c>
      <c r="M1502" s="8" t="n"/>
      <c r="N1502" s="14" t="n"/>
      <c r="O1502" s="7" t="inlineStr"/>
      <c r="P1502" s="7" t="inlineStr"/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/>
      <c r="K1503" s="8" t="n"/>
      <c r="L1503" s="7" t="inlineStr">
        <is>
          <t>SEM COTAÇÃO</t>
        </is>
      </c>
      <c r="M1503" s="8" t="n"/>
      <c r="N1503" s="14" t="n"/>
      <c r="O1503" s="7" t="inlineStr"/>
      <c r="P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/>
      <c r="K1504" s="8" t="n"/>
      <c r="L1504" s="7" t="inlineStr">
        <is>
          <t>SEM COTAÇÃO</t>
        </is>
      </c>
      <c r="M1504" s="8" t="n"/>
      <c r="N1504" s="14" t="n"/>
      <c r="O1504" s="7" t="inlineStr"/>
      <c r="P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/>
      <c r="K1505" s="8" t="n"/>
      <c r="L1505" s="7" t="inlineStr">
        <is>
          <t>SEM COTAÇÃO</t>
        </is>
      </c>
      <c r="M1505" s="8" t="n"/>
      <c r="N1505" s="14" t="n"/>
      <c r="O1505" s="7" t="inlineStr"/>
      <c r="P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/>
      <c r="K1506" s="8" t="n"/>
      <c r="L1506" s="7" t="inlineStr">
        <is>
          <t>SEM COTAÇÃO</t>
        </is>
      </c>
      <c r="M1506" s="8" t="n"/>
      <c r="N1506" s="14" t="n"/>
      <c r="O1506" s="7" t="inlineStr"/>
      <c r="P1506" s="7" t="inlineStr"/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/>
      <c r="K1507" s="8" t="n"/>
      <c r="L1507" s="7" t="inlineStr">
        <is>
          <t>SEM COTAÇÃO</t>
        </is>
      </c>
      <c r="M1507" s="8" t="n"/>
      <c r="N1507" s="14" t="n"/>
      <c r="O1507" s="7" t="inlineStr"/>
      <c r="P1507" s="7" t="inlineStr"/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/>
      <c r="K1508" s="8" t="n"/>
      <c r="L1508" s="7" t="inlineStr">
        <is>
          <t>SEM COTAÇÃO</t>
        </is>
      </c>
      <c r="M1508" s="8" t="n"/>
      <c r="N1508" s="14" t="n"/>
      <c r="O1508" s="7" t="inlineStr"/>
      <c r="P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/>
      <c r="K1509" s="8" t="n"/>
      <c r="L1509" s="7" t="inlineStr">
        <is>
          <t>SEM COTAÇÃO</t>
        </is>
      </c>
      <c r="M1509" s="8" t="n"/>
      <c r="N1509" s="14" t="n"/>
      <c r="O1509" s="7" t="inlineStr"/>
      <c r="P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/>
      <c r="K1510" s="8" t="n"/>
      <c r="L1510" s="7" t="inlineStr">
        <is>
          <t>SEM COTAÇÃO</t>
        </is>
      </c>
      <c r="M1510" s="8" t="n"/>
      <c r="N1510" s="14" t="n"/>
      <c r="O1510" s="7" t="inlineStr"/>
      <c r="P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/>
      <c r="K1511" s="8" t="n"/>
      <c r="L1511" s="7" t="inlineStr">
        <is>
          <t>SEM COTAÇÃO</t>
        </is>
      </c>
      <c r="M1511" s="8" t="n"/>
      <c r="N1511" s="14" t="n"/>
      <c r="O1511" s="7" t="inlineStr"/>
      <c r="P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/>
      <c r="K1512" s="8" t="n"/>
      <c r="L1512" s="7" t="inlineStr">
        <is>
          <t>SEM COTAÇÃO</t>
        </is>
      </c>
      <c r="M1512" s="8" t="n"/>
      <c r="N1512" s="14" t="n"/>
      <c r="O1512" s="7" t="inlineStr"/>
      <c r="P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/>
      <c r="K1513" s="8" t="n"/>
      <c r="L1513" s="7" t="inlineStr">
        <is>
          <t>SEM COTAÇÃO</t>
        </is>
      </c>
      <c r="M1513" s="8" t="n"/>
      <c r="N1513" s="14" t="n"/>
      <c r="O1513" s="7" t="inlineStr"/>
      <c r="P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/>
      <c r="K1514" s="8" t="n"/>
      <c r="L1514" s="7" t="inlineStr">
        <is>
          <t>SEM COTAÇÃO</t>
        </is>
      </c>
      <c r="M1514" s="8" t="n"/>
      <c r="N1514" s="14" t="n"/>
      <c r="O1514" s="7" t="inlineStr"/>
      <c r="P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/>
      <c r="K1515" s="8" t="n"/>
      <c r="L1515" s="7" t="inlineStr">
        <is>
          <t>SEM COTAÇÃO</t>
        </is>
      </c>
      <c r="M1515" s="8" t="n"/>
      <c r="N1515" s="14" t="n"/>
      <c r="O1515" s="7" t="inlineStr"/>
      <c r="P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/>
      <c r="K1516" s="8" t="n"/>
      <c r="L1516" s="7" t="inlineStr">
        <is>
          <t>SEM COTAÇÃO</t>
        </is>
      </c>
      <c r="M1516" s="8" t="n"/>
      <c r="N1516" s="14" t="n"/>
      <c r="O1516" s="7" t="inlineStr"/>
      <c r="P1516" s="7" t="inlineStr"/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/>
      <c r="K1517" s="8" t="n"/>
      <c r="L1517" s="7" t="inlineStr">
        <is>
          <t>SEM COTAÇÃO</t>
        </is>
      </c>
      <c r="M1517" s="8" t="n"/>
      <c r="N1517" s="14" t="n"/>
      <c r="O1517" s="7" t="inlineStr"/>
      <c r="P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/>
      <c r="K1518" s="8" t="n"/>
      <c r="L1518" s="7" t="inlineStr">
        <is>
          <t>SEM COTAÇÃO</t>
        </is>
      </c>
      <c r="M1518" s="8" t="n"/>
      <c r="N1518" s="14" t="n"/>
      <c r="O1518" s="7" t="inlineStr"/>
      <c r="P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/>
      <c r="K1519" s="8" t="n"/>
      <c r="L1519" s="7" t="inlineStr">
        <is>
          <t>SEM COTAÇÃO</t>
        </is>
      </c>
      <c r="M1519" s="8" t="n"/>
      <c r="N1519" s="14" t="n"/>
      <c r="O1519" s="7" t="inlineStr"/>
      <c r="P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/>
      <c r="K1520" s="8" t="n"/>
      <c r="L1520" s="7" t="inlineStr">
        <is>
          <t>SEM COTAÇÃO</t>
        </is>
      </c>
      <c r="M1520" s="8" t="n"/>
      <c r="N1520" s="14" t="n"/>
      <c r="O1520" s="7" t="inlineStr"/>
      <c r="P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/>
      <c r="K1521" s="8" t="n"/>
      <c r="L1521" s="7" t="inlineStr">
        <is>
          <t>SEM COTAÇÃO</t>
        </is>
      </c>
      <c r="M1521" s="8" t="n"/>
      <c r="N1521" s="14" t="n"/>
      <c r="O1521" s="7" t="inlineStr"/>
      <c r="P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/>
      <c r="K1522" s="8" t="n"/>
      <c r="L1522" s="7" t="inlineStr">
        <is>
          <t>SEM COTAÇÃO</t>
        </is>
      </c>
      <c r="M1522" s="8" t="n"/>
      <c r="N1522" s="14" t="n"/>
      <c r="O1522" s="7" t="inlineStr"/>
      <c r="P1522" s="7" t="inlineStr"/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7" t="inlineStr">
        <is>
          <t>SEM COTAÇÃO</t>
        </is>
      </c>
      <c r="M1523" s="8" t="n"/>
      <c r="N1523" s="14" t="n"/>
      <c r="O1523" s="7" t="inlineStr"/>
      <c r="P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/>
      <c r="K1524" s="8" t="n"/>
      <c r="L1524" s="7" t="inlineStr">
        <is>
          <t>SEM COTAÇÃO</t>
        </is>
      </c>
      <c r="M1524" s="8" t="n"/>
      <c r="N1524" s="14" t="n"/>
      <c r="O1524" s="7" t="inlineStr"/>
      <c r="P1524" s="7" t="inlineStr"/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/>
      <c r="K1525" s="8" t="n"/>
      <c r="L1525" s="7" t="inlineStr">
        <is>
          <t>SEM COTAÇÃO</t>
        </is>
      </c>
      <c r="M1525" s="8" t="n"/>
      <c r="N1525" s="14" t="n"/>
      <c r="O1525" s="7" t="inlineStr"/>
      <c r="P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/>
      <c r="K1526" s="8" t="n"/>
      <c r="L1526" s="7" t="inlineStr">
        <is>
          <t>SEM COTAÇÃO</t>
        </is>
      </c>
      <c r="M1526" s="8" t="n"/>
      <c r="N1526" s="14" t="n"/>
      <c r="O1526" s="7" t="inlineStr"/>
      <c r="P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/>
      <c r="K1527" s="8" t="n"/>
      <c r="L1527" s="7" t="inlineStr">
        <is>
          <t>SEM COTAÇÃO</t>
        </is>
      </c>
      <c r="M1527" s="8" t="n"/>
      <c r="N1527" s="14" t="n"/>
      <c r="O1527" s="7" t="inlineStr"/>
      <c r="P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/>
      <c r="K1528" s="8" t="n"/>
      <c r="L1528" s="7" t="inlineStr">
        <is>
          <t>SEM COTAÇÃO</t>
        </is>
      </c>
      <c r="M1528" s="8" t="n"/>
      <c r="N1528" s="14" t="n"/>
      <c r="O1528" s="7" t="inlineStr"/>
      <c r="P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/>
      <c r="K1529" s="8" t="n"/>
      <c r="L1529" s="7" t="inlineStr">
        <is>
          <t>SEM COTAÇÃO</t>
        </is>
      </c>
      <c r="M1529" s="8" t="n"/>
      <c r="N1529" s="14" t="n"/>
      <c r="O1529" s="7" t="inlineStr"/>
      <c r="P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/>
      <c r="K1530" s="8" t="n"/>
      <c r="L1530" s="7" t="inlineStr">
        <is>
          <t>SEM COTAÇÃO</t>
        </is>
      </c>
      <c r="M1530" s="8" t="n"/>
      <c r="N1530" s="14" t="n"/>
      <c r="O1530" s="7" t="inlineStr"/>
      <c r="P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/>
      <c r="K1531" s="8" t="n"/>
      <c r="L1531" s="7" t="inlineStr">
        <is>
          <t>SEM COTAÇÃO</t>
        </is>
      </c>
      <c r="M1531" s="8" t="n"/>
      <c r="N1531" s="14" t="n"/>
      <c r="O1531" s="7" t="inlineStr"/>
      <c r="P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/>
      <c r="K1532" s="8" t="n"/>
      <c r="L1532" s="7" t="inlineStr">
        <is>
          <t>SEM COTAÇÃO</t>
        </is>
      </c>
      <c r="M1532" s="8" t="n"/>
      <c r="N1532" s="14" t="n"/>
      <c r="O1532" s="7" t="inlineStr"/>
      <c r="P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/>
      <c r="K1533" s="8" t="n"/>
      <c r="L1533" s="7" t="inlineStr">
        <is>
          <t>SEM COTAÇÃO</t>
        </is>
      </c>
      <c r="M1533" s="8" t="n"/>
      <c r="N1533" s="14" t="n"/>
      <c r="O1533" s="7" t="inlineStr"/>
      <c r="P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/>
      <c r="K1534" s="8" t="n"/>
      <c r="L1534" s="7" t="inlineStr">
        <is>
          <t>SEM COTAÇÃO</t>
        </is>
      </c>
      <c r="M1534" s="8" t="n"/>
      <c r="N1534" s="14" t="n"/>
      <c r="O1534" s="7" t="inlineStr"/>
      <c r="P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/>
      <c r="K1535" s="8" t="n"/>
      <c r="L1535" s="7" t="inlineStr">
        <is>
          <t>SEM COTAÇÃO</t>
        </is>
      </c>
      <c r="M1535" s="8" t="n"/>
      <c r="N1535" s="14" t="n"/>
      <c r="O1535" s="7" t="inlineStr"/>
      <c r="P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/>
      <c r="K1536" s="8" t="n"/>
      <c r="L1536" s="7" t="inlineStr">
        <is>
          <t>SEM COTAÇÃO</t>
        </is>
      </c>
      <c r="M1536" s="8" t="n"/>
      <c r="N1536" s="14" t="n"/>
      <c r="O1536" s="7" t="inlineStr"/>
      <c r="P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/>
      <c r="K1537" s="8" t="n"/>
      <c r="L1537" s="7" t="inlineStr">
        <is>
          <t>SEM COTAÇÃO</t>
        </is>
      </c>
      <c r="M1537" s="8" t="n"/>
      <c r="N1537" s="14" t="n"/>
      <c r="O1537" s="7" t="inlineStr"/>
      <c r="P1537" s="7" t="inlineStr"/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10.44</v>
      </c>
      <c r="K1538" s="15" t="n">
        <v>10.39</v>
      </c>
      <c r="L1538" s="7" t="inlineStr">
        <is>
          <t>PLUSFARMA</t>
        </is>
      </c>
      <c r="M1538" s="8" t="n">
        <v>10.39</v>
      </c>
      <c r="N1538" s="14">
        <f>M1538/H1538-1</f>
        <v/>
      </c>
      <c r="O1538" s="17" t="inlineStr">
        <is>
          <t>OK (≤ últ. compra)</t>
        </is>
      </c>
      <c r="P1538" s="7" t="inlineStr"/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/>
      <c r="K1539" s="8" t="n"/>
      <c r="L1539" s="7" t="inlineStr">
        <is>
          <t>SEM COTAÇÃO</t>
        </is>
      </c>
      <c r="M1539" s="8" t="n"/>
      <c r="N1539" s="14" t="n"/>
      <c r="O1539" s="7" t="inlineStr"/>
      <c r="P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/>
      <c r="K1540" s="8" t="n"/>
      <c r="L1540" s="7" t="inlineStr">
        <is>
          <t>SEM COTAÇÃO</t>
        </is>
      </c>
      <c r="M1540" s="8" t="n"/>
      <c r="N1540" s="14" t="n"/>
      <c r="O1540" s="7" t="inlineStr"/>
      <c r="P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/>
      <c r="K1541" s="8" t="n"/>
      <c r="L1541" s="7" t="inlineStr">
        <is>
          <t>SEM COTAÇÃO</t>
        </is>
      </c>
      <c r="M1541" s="8" t="n"/>
      <c r="N1541" s="14" t="n"/>
      <c r="O1541" s="7" t="inlineStr"/>
      <c r="P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/>
      <c r="K1542" s="8" t="n"/>
      <c r="L1542" s="7" t="inlineStr">
        <is>
          <t>SEM COTAÇÃO</t>
        </is>
      </c>
      <c r="M1542" s="8" t="n"/>
      <c r="N1542" s="14" t="n"/>
      <c r="O1542" s="7" t="inlineStr"/>
      <c r="P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/>
      <c r="K1543" s="8" t="n"/>
      <c r="L1543" s="7" t="inlineStr">
        <is>
          <t>SEM COTAÇÃO</t>
        </is>
      </c>
      <c r="M1543" s="8" t="n"/>
      <c r="N1543" s="14" t="n"/>
      <c r="O1543" s="7" t="inlineStr"/>
      <c r="P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/>
      <c r="K1544" s="8" t="n"/>
      <c r="L1544" s="7" t="inlineStr">
        <is>
          <t>SEM COTAÇÃO</t>
        </is>
      </c>
      <c r="M1544" s="8" t="n"/>
      <c r="N1544" s="14" t="n"/>
      <c r="O1544" s="7" t="inlineStr"/>
      <c r="P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/>
      <c r="K1545" s="8" t="n"/>
      <c r="L1545" s="7" t="inlineStr">
        <is>
          <t>SEM COTAÇÃO</t>
        </is>
      </c>
      <c r="M1545" s="8" t="n"/>
      <c r="N1545" s="14" t="n"/>
      <c r="O1545" s="7" t="inlineStr"/>
      <c r="P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/>
      <c r="K1546" s="8" t="n"/>
      <c r="L1546" s="7" t="inlineStr">
        <is>
          <t>SEM COTAÇÃO</t>
        </is>
      </c>
      <c r="M1546" s="8" t="n"/>
      <c r="N1546" s="14" t="n"/>
      <c r="O1546" s="7" t="inlineStr"/>
      <c r="P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/>
      <c r="K1547" s="8" t="n"/>
      <c r="L1547" s="7" t="inlineStr">
        <is>
          <t>SEM COTAÇÃO</t>
        </is>
      </c>
      <c r="M1547" s="8" t="n"/>
      <c r="N1547" s="14" t="n"/>
      <c r="O1547" s="7" t="inlineStr"/>
      <c r="P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7" t="inlineStr">
        <is>
          <t>SEM COTAÇÃO</t>
        </is>
      </c>
      <c r="M1548" s="8" t="n"/>
      <c r="N1548" s="14" t="n"/>
      <c r="O1548" s="7" t="inlineStr"/>
      <c r="P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7" t="inlineStr">
        <is>
          <t>SEM COTAÇÃO</t>
        </is>
      </c>
      <c r="M1549" s="8" t="n"/>
      <c r="N1549" s="14" t="n"/>
      <c r="O1549" s="7" t="inlineStr"/>
      <c r="P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/>
      <c r="K1550" s="8" t="n"/>
      <c r="L1550" s="7" t="inlineStr">
        <is>
          <t>SEM COTAÇÃO</t>
        </is>
      </c>
      <c r="M1550" s="8" t="n"/>
      <c r="N1550" s="14" t="n"/>
      <c r="O1550" s="7" t="inlineStr"/>
      <c r="P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/>
      <c r="K1551" s="8" t="n"/>
      <c r="L1551" s="7" t="inlineStr">
        <is>
          <t>SEM COTAÇÃO</t>
        </is>
      </c>
      <c r="M1551" s="8" t="n"/>
      <c r="N1551" s="14" t="n"/>
      <c r="O1551" s="7" t="inlineStr"/>
      <c r="P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/>
      <c r="K1552" s="8" t="n"/>
      <c r="L1552" s="7" t="inlineStr">
        <is>
          <t>SEM COTAÇÃO</t>
        </is>
      </c>
      <c r="M1552" s="8" t="n"/>
      <c r="N1552" s="14" t="n"/>
      <c r="O1552" s="7" t="inlineStr"/>
      <c r="P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/>
      <c r="K1553" s="8" t="n"/>
      <c r="L1553" s="7" t="inlineStr">
        <is>
          <t>SEM COTAÇÃO</t>
        </is>
      </c>
      <c r="M1553" s="8" t="n"/>
      <c r="N1553" s="14" t="n"/>
      <c r="O1553" s="7" t="inlineStr"/>
      <c r="P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/>
      <c r="K1554" s="8" t="n"/>
      <c r="L1554" s="7" t="inlineStr">
        <is>
          <t>SEM COTAÇÃO</t>
        </is>
      </c>
      <c r="M1554" s="8" t="n"/>
      <c r="N1554" s="14" t="n"/>
      <c r="O1554" s="7" t="inlineStr"/>
      <c r="P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/>
      <c r="K1555" s="8" t="n"/>
      <c r="L1555" s="7" t="inlineStr">
        <is>
          <t>SEM COTAÇÃO</t>
        </is>
      </c>
      <c r="M1555" s="8" t="n"/>
      <c r="N1555" s="14" t="n"/>
      <c r="O1555" s="7" t="inlineStr"/>
      <c r="P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/>
      <c r="K1556" s="8" t="n"/>
      <c r="L1556" s="7" t="inlineStr">
        <is>
          <t>SEM COTAÇÃO</t>
        </is>
      </c>
      <c r="M1556" s="8" t="n"/>
      <c r="N1556" s="14" t="n"/>
      <c r="O1556" s="7" t="inlineStr"/>
      <c r="P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/>
      <c r="K1557" s="8" t="n"/>
      <c r="L1557" s="7" t="inlineStr">
        <is>
          <t>SEM COTAÇÃO</t>
        </is>
      </c>
      <c r="M1557" s="8" t="n"/>
      <c r="N1557" s="14" t="n"/>
      <c r="O1557" s="7" t="inlineStr"/>
      <c r="P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/>
      <c r="K1558" s="8" t="n"/>
      <c r="L1558" s="7" t="inlineStr">
        <is>
          <t>SEM COTAÇÃO</t>
        </is>
      </c>
      <c r="M1558" s="8" t="n"/>
      <c r="N1558" s="14" t="n"/>
      <c r="O1558" s="7" t="inlineStr"/>
      <c r="P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/>
      <c r="K1559" s="8" t="n"/>
      <c r="L1559" s="7" t="inlineStr">
        <is>
          <t>SEM COTAÇÃO</t>
        </is>
      </c>
      <c r="M1559" s="8" t="n"/>
      <c r="N1559" s="14" t="n"/>
      <c r="O1559" s="7" t="inlineStr"/>
      <c r="P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/>
      <c r="K1560" s="8" t="n"/>
      <c r="L1560" s="7" t="inlineStr">
        <is>
          <t>SEM COTAÇÃO</t>
        </is>
      </c>
      <c r="M1560" s="8" t="n"/>
      <c r="N1560" s="14" t="n"/>
      <c r="O1560" s="7" t="inlineStr"/>
      <c r="P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/>
      <c r="K1561" s="8" t="n"/>
      <c r="L1561" s="7" t="inlineStr">
        <is>
          <t>SEM COTAÇÃO</t>
        </is>
      </c>
      <c r="M1561" s="8" t="n"/>
      <c r="N1561" s="14" t="n"/>
      <c r="O1561" s="7" t="inlineStr"/>
      <c r="P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/>
      <c r="K1562" s="8" t="n"/>
      <c r="L1562" s="7" t="inlineStr">
        <is>
          <t>SEM COTAÇÃO</t>
        </is>
      </c>
      <c r="M1562" s="8" t="n"/>
      <c r="N1562" s="14" t="n"/>
      <c r="O1562" s="7" t="inlineStr"/>
      <c r="P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/>
      <c r="K1563" s="8" t="n"/>
      <c r="L1563" s="7" t="inlineStr">
        <is>
          <t>SEM COTAÇÃO</t>
        </is>
      </c>
      <c r="M1563" s="8" t="n"/>
      <c r="N1563" s="14" t="n"/>
      <c r="O1563" s="7" t="inlineStr"/>
      <c r="P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/>
      <c r="K1564" s="8" t="n"/>
      <c r="L1564" s="7" t="inlineStr">
        <is>
          <t>SEM COTAÇÃO</t>
        </is>
      </c>
      <c r="M1564" s="8" t="n"/>
      <c r="N1564" s="14" t="n"/>
      <c r="O1564" s="7" t="inlineStr"/>
      <c r="P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/>
      <c r="K1565" s="8" t="n"/>
      <c r="L1565" s="7" t="inlineStr">
        <is>
          <t>SEM COTAÇÃO</t>
        </is>
      </c>
      <c r="M1565" s="8" t="n"/>
      <c r="N1565" s="14" t="n"/>
      <c r="O1565" s="7" t="inlineStr"/>
      <c r="P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/>
      <c r="K1566" s="8" t="n"/>
      <c r="L1566" s="7" t="inlineStr">
        <is>
          <t>SEM COTAÇÃO</t>
        </is>
      </c>
      <c r="M1566" s="8" t="n"/>
      <c r="N1566" s="14" t="n"/>
      <c r="O1566" s="7" t="inlineStr"/>
      <c r="P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/>
      <c r="K1567" s="8" t="n"/>
      <c r="L1567" s="7" t="inlineStr">
        <is>
          <t>SEM COTAÇÃO</t>
        </is>
      </c>
      <c r="M1567" s="8" t="n"/>
      <c r="N1567" s="14" t="n"/>
      <c r="O1567" s="7" t="inlineStr"/>
      <c r="P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/>
      <c r="K1568" s="8" t="n"/>
      <c r="L1568" s="7" t="inlineStr">
        <is>
          <t>SEM COTAÇÃO</t>
        </is>
      </c>
      <c r="M1568" s="8" t="n"/>
      <c r="N1568" s="14" t="n"/>
      <c r="O1568" s="7" t="inlineStr"/>
      <c r="P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/>
      <c r="K1569" s="8" t="n"/>
      <c r="L1569" s="7" t="inlineStr">
        <is>
          <t>SEM COTAÇÃO</t>
        </is>
      </c>
      <c r="M1569" s="8" t="n"/>
      <c r="N1569" s="14" t="n"/>
      <c r="O1569" s="7" t="inlineStr"/>
      <c r="P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/>
      <c r="K1570" s="8" t="n"/>
      <c r="L1570" s="7" t="inlineStr">
        <is>
          <t>SEM COTAÇÃO</t>
        </is>
      </c>
      <c r="M1570" s="8" t="n"/>
      <c r="N1570" s="14" t="n"/>
      <c r="O1570" s="7" t="inlineStr"/>
      <c r="P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/>
      <c r="K1571" s="8" t="n"/>
      <c r="L1571" s="7" t="inlineStr">
        <is>
          <t>SEM COTAÇÃO</t>
        </is>
      </c>
      <c r="M1571" s="8" t="n"/>
      <c r="N1571" s="14" t="n"/>
      <c r="O1571" s="7" t="inlineStr"/>
      <c r="P1571" s="7" t="inlineStr"/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/>
      <c r="K1572" s="8" t="n"/>
      <c r="L1572" s="7" t="inlineStr">
        <is>
          <t>SEM COTAÇÃO</t>
        </is>
      </c>
      <c r="M1572" s="8" t="n"/>
      <c r="N1572" s="14" t="n"/>
      <c r="O1572" s="7" t="inlineStr"/>
      <c r="P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/>
      <c r="K1573" s="8" t="n"/>
      <c r="L1573" s="7" t="inlineStr">
        <is>
          <t>SEM COTAÇÃO</t>
        </is>
      </c>
      <c r="M1573" s="8" t="n"/>
      <c r="N1573" s="14" t="n"/>
      <c r="O1573" s="7" t="inlineStr"/>
      <c r="P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/>
      <c r="K1574" s="8" t="n"/>
      <c r="L1574" s="7" t="inlineStr">
        <is>
          <t>SEM COTAÇÃO</t>
        </is>
      </c>
      <c r="M1574" s="8" t="n"/>
      <c r="N1574" s="14" t="n"/>
      <c r="O1574" s="7" t="inlineStr"/>
      <c r="P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/>
      <c r="K1575" s="8" t="n"/>
      <c r="L1575" s="7" t="inlineStr">
        <is>
          <t>SEM COTAÇÃO</t>
        </is>
      </c>
      <c r="M1575" s="8" t="n"/>
      <c r="N1575" s="14" t="n"/>
      <c r="O1575" s="7" t="inlineStr"/>
      <c r="P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/>
      <c r="K1576" s="8" t="n"/>
      <c r="L1576" s="7" t="inlineStr">
        <is>
          <t>SEM COTAÇÃO</t>
        </is>
      </c>
      <c r="M1576" s="8" t="n"/>
      <c r="N1576" s="14" t="n"/>
      <c r="O1576" s="7" t="inlineStr"/>
      <c r="P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/>
      <c r="K1577" s="8" t="n"/>
      <c r="L1577" s="7" t="inlineStr">
        <is>
          <t>SEM COTAÇÃO</t>
        </is>
      </c>
      <c r="M1577" s="8" t="n"/>
      <c r="N1577" s="14" t="n"/>
      <c r="O1577" s="7" t="inlineStr"/>
      <c r="P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7" t="inlineStr">
        <is>
          <t>SEM COTAÇÃO</t>
        </is>
      </c>
      <c r="M1578" s="8" t="n"/>
      <c r="N1578" s="14" t="n"/>
      <c r="O1578" s="7" t="inlineStr"/>
      <c r="P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/>
      <c r="K1579" s="8" t="n"/>
      <c r="L1579" s="7" t="inlineStr">
        <is>
          <t>SEM COTAÇÃO</t>
        </is>
      </c>
      <c r="M1579" s="8" t="n"/>
      <c r="N1579" s="14" t="n"/>
      <c r="O1579" s="7" t="inlineStr"/>
      <c r="P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/>
      <c r="K1580" s="8" t="n"/>
      <c r="L1580" s="7" t="inlineStr">
        <is>
          <t>SEM COTAÇÃO</t>
        </is>
      </c>
      <c r="M1580" s="8" t="n"/>
      <c r="N1580" s="14" t="n"/>
      <c r="O1580" s="7" t="inlineStr"/>
      <c r="P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7" t="inlineStr">
        <is>
          <t>SEM COTAÇÃO</t>
        </is>
      </c>
      <c r="M1581" s="8" t="n"/>
      <c r="N1581" s="14" t="n"/>
      <c r="O1581" s="7" t="inlineStr"/>
      <c r="P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7" t="inlineStr">
        <is>
          <t>SEM COTAÇÃO</t>
        </is>
      </c>
      <c r="M1582" s="8" t="n"/>
      <c r="N1582" s="14" t="n"/>
      <c r="O1582" s="7" t="inlineStr"/>
      <c r="P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7" t="inlineStr">
        <is>
          <t>SEM COTAÇÃO</t>
        </is>
      </c>
      <c r="M1583" s="8" t="n"/>
      <c r="N1583" s="14" t="n"/>
      <c r="O1583" s="7" t="inlineStr"/>
      <c r="P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7" t="inlineStr">
        <is>
          <t>SEM COTAÇÃO</t>
        </is>
      </c>
      <c r="M1584" s="8" t="n"/>
      <c r="N1584" s="14" t="n"/>
      <c r="O1584" s="7" t="inlineStr"/>
      <c r="P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7" t="inlineStr">
        <is>
          <t>SEM COTAÇÃO</t>
        </is>
      </c>
      <c r="M1585" s="8" t="n"/>
      <c r="N1585" s="14" t="n"/>
      <c r="O1585" s="7" t="inlineStr"/>
      <c r="P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7" t="inlineStr">
        <is>
          <t>SEM COTAÇÃO</t>
        </is>
      </c>
      <c r="M1586" s="8" t="n"/>
      <c r="N1586" s="14" t="n"/>
      <c r="O1586" s="7" t="inlineStr"/>
      <c r="P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/>
      <c r="K1587" s="8" t="n"/>
      <c r="L1587" s="7" t="inlineStr">
        <is>
          <t>SEM COTAÇÃO</t>
        </is>
      </c>
      <c r="M1587" s="8" t="n"/>
      <c r="N1587" s="14" t="n"/>
      <c r="O1587" s="7" t="inlineStr"/>
      <c r="P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15" t="n">
        <v>10.65</v>
      </c>
      <c r="K1588" s="8" t="n"/>
      <c r="L1588" s="7" t="inlineStr">
        <is>
          <t>DIMEC</t>
        </is>
      </c>
      <c r="M1588" s="8" t="n">
        <v>10.65</v>
      </c>
      <c r="N1588" s="14">
        <f>M1588/H1588-1</f>
        <v/>
      </c>
      <c r="O1588" s="17" t="inlineStr">
        <is>
          <t>OK (≤ menor hist.)</t>
        </is>
      </c>
      <c r="P1588" s="7" t="inlineStr"/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/>
      <c r="K1589" s="8" t="n"/>
      <c r="L1589" s="7" t="inlineStr">
        <is>
          <t>SEM COTAÇÃO</t>
        </is>
      </c>
      <c r="M1589" s="8" t="n"/>
      <c r="N1589" s="14" t="n"/>
      <c r="O1589" s="7" t="inlineStr"/>
      <c r="P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/>
      <c r="K1590" s="8" t="n"/>
      <c r="L1590" s="7" t="inlineStr">
        <is>
          <t>SEM COTAÇÃO</t>
        </is>
      </c>
      <c r="M1590" s="8" t="n"/>
      <c r="N1590" s="14" t="n"/>
      <c r="O1590" s="7" t="inlineStr"/>
      <c r="P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/>
      <c r="K1591" s="8" t="n"/>
      <c r="L1591" s="7" t="inlineStr">
        <is>
          <t>SEM COTAÇÃO</t>
        </is>
      </c>
      <c r="M1591" s="8" t="n"/>
      <c r="N1591" s="14" t="n"/>
      <c r="O1591" s="7" t="inlineStr"/>
      <c r="P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/>
      <c r="K1592" s="8" t="n"/>
      <c r="L1592" s="7" t="inlineStr">
        <is>
          <t>SEM COTAÇÃO</t>
        </is>
      </c>
      <c r="M1592" s="8" t="n"/>
      <c r="N1592" s="14" t="n"/>
      <c r="O1592" s="7" t="inlineStr"/>
      <c r="P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/>
      <c r="K1593" s="8" t="n"/>
      <c r="L1593" s="7" t="inlineStr">
        <is>
          <t>SEM COTAÇÃO</t>
        </is>
      </c>
      <c r="M1593" s="8" t="n"/>
      <c r="N1593" s="14" t="n"/>
      <c r="O1593" s="7" t="inlineStr"/>
      <c r="P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7" t="inlineStr">
        <is>
          <t>SEM COTAÇÃO</t>
        </is>
      </c>
      <c r="M1594" s="8" t="n"/>
      <c r="N1594" s="14" t="n"/>
      <c r="O1594" s="7" t="inlineStr"/>
      <c r="P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7" t="inlineStr">
        <is>
          <t>SEM COTAÇÃO</t>
        </is>
      </c>
      <c r="M1595" s="8" t="n"/>
      <c r="N1595" s="14" t="n"/>
      <c r="O1595" s="7" t="inlineStr"/>
      <c r="P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/>
      <c r="K1596" s="8" t="n"/>
      <c r="L1596" s="7" t="inlineStr">
        <is>
          <t>SEM COTAÇÃO</t>
        </is>
      </c>
      <c r="M1596" s="8" t="n"/>
      <c r="N1596" s="14" t="n"/>
      <c r="O1596" s="7" t="inlineStr"/>
      <c r="P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/>
      <c r="K1597" s="8" t="n"/>
      <c r="L1597" s="7" t="inlineStr">
        <is>
          <t>SEM COTAÇÃO</t>
        </is>
      </c>
      <c r="M1597" s="8" t="n"/>
      <c r="N1597" s="14" t="n"/>
      <c r="O1597" s="7" t="inlineStr"/>
      <c r="P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/>
      <c r="K1598" s="8" t="n"/>
      <c r="L1598" s="7" t="inlineStr">
        <is>
          <t>SEM COTAÇÃO</t>
        </is>
      </c>
      <c r="M1598" s="8" t="n"/>
      <c r="N1598" s="14" t="n"/>
      <c r="O1598" s="7" t="inlineStr"/>
      <c r="P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/>
      <c r="K1599" s="8" t="n"/>
      <c r="L1599" s="7" t="inlineStr">
        <is>
          <t>SEM COTAÇÃO</t>
        </is>
      </c>
      <c r="M1599" s="8" t="n"/>
      <c r="N1599" s="14" t="n"/>
      <c r="O1599" s="7" t="inlineStr"/>
      <c r="P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/>
      <c r="K1600" s="8" t="n"/>
      <c r="L1600" s="7" t="inlineStr">
        <is>
          <t>SEM COTAÇÃO</t>
        </is>
      </c>
      <c r="M1600" s="8" t="n"/>
      <c r="N1600" s="14" t="n"/>
      <c r="O1600" s="7" t="inlineStr"/>
      <c r="P1600" s="7" t="inlineStr"/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/>
      <c r="K1601" s="8" t="n"/>
      <c r="L1601" s="7" t="inlineStr">
        <is>
          <t>SEM COTAÇÃO</t>
        </is>
      </c>
      <c r="M1601" s="8" t="n"/>
      <c r="N1601" s="14" t="n"/>
      <c r="O1601" s="7" t="inlineStr"/>
      <c r="P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/>
      <c r="K1602" s="8" t="n"/>
      <c r="L1602" s="7" t="inlineStr">
        <is>
          <t>SEM COTAÇÃO</t>
        </is>
      </c>
      <c r="M1602" s="8" t="n"/>
      <c r="N1602" s="14" t="n"/>
      <c r="O1602" s="7" t="inlineStr"/>
      <c r="P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/>
      <c r="K1603" s="8" t="n"/>
      <c r="L1603" s="7" t="inlineStr">
        <is>
          <t>SEM COTAÇÃO</t>
        </is>
      </c>
      <c r="M1603" s="8" t="n"/>
      <c r="N1603" s="14" t="n"/>
      <c r="O1603" s="7" t="inlineStr"/>
      <c r="P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/>
      <c r="K1604" s="8" t="n"/>
      <c r="L1604" s="7" t="inlineStr">
        <is>
          <t>SEM COTAÇÃO</t>
        </is>
      </c>
      <c r="M1604" s="8" t="n"/>
      <c r="N1604" s="14" t="n"/>
      <c r="O1604" s="7" t="inlineStr"/>
      <c r="P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/>
      <c r="K1605" s="8" t="n"/>
      <c r="L1605" s="7" t="inlineStr">
        <is>
          <t>SEM COTAÇÃO</t>
        </is>
      </c>
      <c r="M1605" s="8" t="n"/>
      <c r="N1605" s="14" t="n"/>
      <c r="O1605" s="7" t="inlineStr"/>
      <c r="P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/>
      <c r="K1606" s="8" t="n"/>
      <c r="L1606" s="7" t="inlineStr">
        <is>
          <t>SEM COTAÇÃO</t>
        </is>
      </c>
      <c r="M1606" s="8" t="n"/>
      <c r="N1606" s="14" t="n"/>
      <c r="O1606" s="7" t="inlineStr"/>
      <c r="P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/>
      <c r="K1607" s="8" t="n"/>
      <c r="L1607" s="7" t="inlineStr">
        <is>
          <t>SEM COTAÇÃO</t>
        </is>
      </c>
      <c r="M1607" s="8" t="n"/>
      <c r="N1607" s="14" t="n"/>
      <c r="O1607" s="7" t="inlineStr"/>
      <c r="P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/>
      <c r="K1608" s="8" t="n"/>
      <c r="L1608" s="7" t="inlineStr">
        <is>
          <t>SEM COTAÇÃO</t>
        </is>
      </c>
      <c r="M1608" s="8" t="n"/>
      <c r="N1608" s="14" t="n"/>
      <c r="O1608" s="7" t="inlineStr"/>
      <c r="P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/>
      <c r="K1609" s="8" t="n"/>
      <c r="L1609" s="7" t="inlineStr">
        <is>
          <t>SEM COTAÇÃO</t>
        </is>
      </c>
      <c r="M1609" s="8" t="n"/>
      <c r="N1609" s="14" t="n"/>
      <c r="O1609" s="7" t="inlineStr"/>
      <c r="P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/>
      <c r="K1610" s="8" t="n"/>
      <c r="L1610" s="7" t="inlineStr">
        <is>
          <t>SEM COTAÇÃO</t>
        </is>
      </c>
      <c r="M1610" s="8" t="n"/>
      <c r="N1610" s="14" t="n"/>
      <c r="O1610" s="7" t="inlineStr"/>
      <c r="P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/>
      <c r="K1611" s="8" t="n"/>
      <c r="L1611" s="7" t="inlineStr">
        <is>
          <t>SEM COTAÇÃO</t>
        </is>
      </c>
      <c r="M1611" s="8" t="n"/>
      <c r="N1611" s="14" t="n"/>
      <c r="O1611" s="7" t="inlineStr"/>
      <c r="P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/>
      <c r="K1612" s="8" t="n"/>
      <c r="L1612" s="7" t="inlineStr">
        <is>
          <t>SEM COTAÇÃO</t>
        </is>
      </c>
      <c r="M1612" s="8" t="n"/>
      <c r="N1612" s="14" t="n"/>
      <c r="O1612" s="7" t="inlineStr"/>
      <c r="P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/>
      <c r="K1613" s="8" t="n"/>
      <c r="L1613" s="7" t="inlineStr">
        <is>
          <t>SEM COTAÇÃO</t>
        </is>
      </c>
      <c r="M1613" s="8" t="n"/>
      <c r="N1613" s="14" t="n"/>
      <c r="O1613" s="7" t="inlineStr"/>
      <c r="P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7" t="inlineStr">
        <is>
          <t>SEM COTAÇÃO</t>
        </is>
      </c>
      <c r="M1614" s="8" t="n"/>
      <c r="N1614" s="14" t="n"/>
      <c r="O1614" s="7" t="inlineStr"/>
      <c r="P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/>
      <c r="K1615" s="8" t="n"/>
      <c r="L1615" s="7" t="inlineStr">
        <is>
          <t>SEM COTAÇÃO</t>
        </is>
      </c>
      <c r="M1615" s="8" t="n"/>
      <c r="N1615" s="14" t="n"/>
      <c r="O1615" s="7" t="inlineStr"/>
      <c r="P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/>
      <c r="K1616" s="8" t="n"/>
      <c r="L1616" s="7" t="inlineStr">
        <is>
          <t>SEM COTAÇÃO</t>
        </is>
      </c>
      <c r="M1616" s="8" t="n"/>
      <c r="N1616" s="14" t="n"/>
      <c r="O1616" s="7" t="inlineStr"/>
      <c r="P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/>
      <c r="K1617" s="8" t="n"/>
      <c r="L1617" s="7" t="inlineStr">
        <is>
          <t>SEM COTAÇÃO</t>
        </is>
      </c>
      <c r="M1617" s="8" t="n"/>
      <c r="N1617" s="14" t="n"/>
      <c r="O1617" s="7" t="inlineStr"/>
      <c r="P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/>
      <c r="K1618" s="8" t="n"/>
      <c r="L1618" s="7" t="inlineStr">
        <is>
          <t>SEM COTAÇÃO</t>
        </is>
      </c>
      <c r="M1618" s="8" t="n"/>
      <c r="N1618" s="14" t="n"/>
      <c r="O1618" s="7" t="inlineStr"/>
      <c r="P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/>
      <c r="K1619" s="8" t="n"/>
      <c r="L1619" s="7" t="inlineStr">
        <is>
          <t>SEM COTAÇÃO</t>
        </is>
      </c>
      <c r="M1619" s="8" t="n"/>
      <c r="N1619" s="14" t="n"/>
      <c r="O1619" s="7" t="inlineStr"/>
      <c r="P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/>
      <c r="K1620" s="8" t="n"/>
      <c r="L1620" s="7" t="inlineStr">
        <is>
          <t>SEM COTAÇÃO</t>
        </is>
      </c>
      <c r="M1620" s="8" t="n"/>
      <c r="N1620" s="14" t="n"/>
      <c r="O1620" s="7" t="inlineStr"/>
      <c r="P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/>
      <c r="K1621" s="8" t="n"/>
      <c r="L1621" s="7" t="inlineStr">
        <is>
          <t>SEM COTAÇÃO</t>
        </is>
      </c>
      <c r="M1621" s="8" t="n"/>
      <c r="N1621" s="14" t="n"/>
      <c r="O1621" s="7" t="inlineStr"/>
      <c r="P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/>
      <c r="K1622" s="8" t="n"/>
      <c r="L1622" s="7" t="inlineStr">
        <is>
          <t>SEM COTAÇÃO</t>
        </is>
      </c>
      <c r="M1622" s="8" t="n"/>
      <c r="N1622" s="14" t="n"/>
      <c r="O1622" s="7" t="inlineStr"/>
      <c r="P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/>
      <c r="K1623" s="8" t="n"/>
      <c r="L1623" s="7" t="inlineStr">
        <is>
          <t>SEM COTAÇÃO</t>
        </is>
      </c>
      <c r="M1623" s="8" t="n"/>
      <c r="N1623" s="14" t="n"/>
      <c r="O1623" s="7" t="inlineStr"/>
      <c r="P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/>
      <c r="K1624" s="8" t="n"/>
      <c r="L1624" s="7" t="inlineStr">
        <is>
          <t>SEM COTAÇÃO</t>
        </is>
      </c>
      <c r="M1624" s="8" t="n"/>
      <c r="N1624" s="14" t="n"/>
      <c r="O1624" s="7" t="inlineStr"/>
      <c r="P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/>
      <c r="K1625" s="8" t="n"/>
      <c r="L1625" s="7" t="inlineStr">
        <is>
          <t>SEM COTAÇÃO</t>
        </is>
      </c>
      <c r="M1625" s="8" t="n"/>
      <c r="N1625" s="14" t="n"/>
      <c r="O1625" s="7" t="inlineStr"/>
      <c r="P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/>
      <c r="K1626" s="8" t="n"/>
      <c r="L1626" s="7" t="inlineStr">
        <is>
          <t>SEM COTAÇÃO</t>
        </is>
      </c>
      <c r="M1626" s="8" t="n"/>
      <c r="N1626" s="14" t="n"/>
      <c r="O1626" s="7" t="inlineStr"/>
      <c r="P1626" s="7" t="inlineStr"/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7" t="inlineStr">
        <is>
          <t>SEM COTAÇÃO</t>
        </is>
      </c>
      <c r="M1627" s="8" t="n"/>
      <c r="N1627" s="14" t="n"/>
      <c r="O1627" s="7" t="inlineStr"/>
      <c r="P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/>
      <c r="K1628" s="8" t="n"/>
      <c r="L1628" s="7" t="inlineStr">
        <is>
          <t>SEM COTAÇÃO</t>
        </is>
      </c>
      <c r="M1628" s="8" t="n"/>
      <c r="N1628" s="14" t="n"/>
      <c r="O1628" s="7" t="inlineStr"/>
      <c r="P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15" t="n">
        <v>23.73</v>
      </c>
      <c r="K1629" s="8" t="n"/>
      <c r="L1629" s="7" t="inlineStr">
        <is>
          <t>DIMEC</t>
        </is>
      </c>
      <c r="M1629" s="8" t="n">
        <v>23.73</v>
      </c>
      <c r="N1629" s="14">
        <f>M1629/H1629-1</f>
        <v/>
      </c>
      <c r="O1629" s="16" t="inlineStr">
        <is>
          <t>ACIMA +24.9%</t>
        </is>
      </c>
      <c r="P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/>
      <c r="K1630" s="8" t="n"/>
      <c r="L1630" s="7" t="inlineStr">
        <is>
          <t>SEM COTAÇÃO</t>
        </is>
      </c>
      <c r="M1630" s="8" t="n"/>
      <c r="N1630" s="14" t="n"/>
      <c r="O1630" s="7" t="inlineStr"/>
      <c r="P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/>
      <c r="K1631" s="8" t="n"/>
      <c r="L1631" s="7" t="inlineStr">
        <is>
          <t>SEM COTAÇÃO</t>
        </is>
      </c>
      <c r="M1631" s="8" t="n"/>
      <c r="N1631" s="14" t="n"/>
      <c r="O1631" s="7" t="inlineStr"/>
      <c r="P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/>
      <c r="K1632" s="8" t="n"/>
      <c r="L1632" s="7" t="inlineStr">
        <is>
          <t>SEM COTAÇÃO</t>
        </is>
      </c>
      <c r="M1632" s="8" t="n"/>
      <c r="N1632" s="14" t="n"/>
      <c r="O1632" s="7" t="inlineStr"/>
      <c r="P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/>
      <c r="K1633" s="8" t="n"/>
      <c r="L1633" s="7" t="inlineStr">
        <is>
          <t>SEM COTAÇÃO</t>
        </is>
      </c>
      <c r="M1633" s="8" t="n"/>
      <c r="N1633" s="14" t="n"/>
      <c r="O1633" s="7" t="inlineStr"/>
      <c r="P1633" s="7" t="inlineStr"/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/>
      <c r="K1634" s="8" t="n"/>
      <c r="L1634" s="7" t="inlineStr">
        <is>
          <t>SEM COTAÇÃO</t>
        </is>
      </c>
      <c r="M1634" s="8" t="n"/>
      <c r="N1634" s="14" t="n"/>
      <c r="O1634" s="7" t="inlineStr"/>
      <c r="P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/>
      <c r="K1635" s="8" t="n"/>
      <c r="L1635" s="7" t="inlineStr">
        <is>
          <t>SEM COTAÇÃO</t>
        </is>
      </c>
      <c r="M1635" s="8" t="n"/>
      <c r="N1635" s="14" t="n"/>
      <c r="O1635" s="7" t="inlineStr"/>
      <c r="P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/>
      <c r="K1636" s="8" t="n"/>
      <c r="L1636" s="7" t="inlineStr">
        <is>
          <t>SEM COTAÇÃO</t>
        </is>
      </c>
      <c r="M1636" s="8" t="n"/>
      <c r="N1636" s="14" t="n"/>
      <c r="O1636" s="7" t="inlineStr"/>
      <c r="P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/>
      <c r="K1637" s="8" t="n"/>
      <c r="L1637" s="7" t="inlineStr">
        <is>
          <t>SEM COTAÇÃO</t>
        </is>
      </c>
      <c r="M1637" s="8" t="n"/>
      <c r="N1637" s="14" t="n"/>
      <c r="O1637" s="7" t="inlineStr"/>
      <c r="P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/>
      <c r="K1638" s="8" t="n"/>
      <c r="L1638" s="7" t="inlineStr">
        <is>
          <t>SEM COTAÇÃO</t>
        </is>
      </c>
      <c r="M1638" s="8" t="n"/>
      <c r="N1638" s="14" t="n"/>
      <c r="O1638" s="7" t="inlineStr"/>
      <c r="P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/>
      <c r="K1639" s="8" t="n"/>
      <c r="L1639" s="7" t="inlineStr">
        <is>
          <t>SEM COTAÇÃO</t>
        </is>
      </c>
      <c r="M1639" s="8" t="n"/>
      <c r="N1639" s="14" t="n"/>
      <c r="O1639" s="7" t="inlineStr"/>
      <c r="P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/>
      <c r="K1640" s="8" t="n"/>
      <c r="L1640" s="7" t="inlineStr">
        <is>
          <t>SEM COTAÇÃO</t>
        </is>
      </c>
      <c r="M1640" s="8" t="n"/>
      <c r="N1640" s="14" t="n"/>
      <c r="O1640" s="7" t="inlineStr"/>
      <c r="P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/>
      <c r="K1641" s="8" t="n"/>
      <c r="L1641" s="7" t="inlineStr">
        <is>
          <t>SEM COTAÇÃO</t>
        </is>
      </c>
      <c r="M1641" s="8" t="n"/>
      <c r="N1641" s="14" t="n"/>
      <c r="O1641" s="7" t="inlineStr"/>
      <c r="P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15" t="n">
        <v>0.9</v>
      </c>
      <c r="K1642" s="8" t="n"/>
      <c r="L1642" s="7" t="inlineStr">
        <is>
          <t>DIMEC</t>
        </is>
      </c>
      <c r="M1642" s="8" t="n">
        <v>0.9</v>
      </c>
      <c r="N1642" s="14">
        <f>M1642/H1642-1</f>
        <v/>
      </c>
      <c r="O1642" s="17" t="inlineStr">
        <is>
          <t>OK (≤ menor hist.)</t>
        </is>
      </c>
      <c r="P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/>
      <c r="K1643" s="8" t="n"/>
      <c r="L1643" s="7" t="inlineStr">
        <is>
          <t>SEM COTAÇÃO</t>
        </is>
      </c>
      <c r="M1643" s="8" t="n"/>
      <c r="N1643" s="14" t="n"/>
      <c r="O1643" s="7" t="inlineStr"/>
      <c r="P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/>
      <c r="K1644" s="8" t="n"/>
      <c r="L1644" s="7" t="inlineStr">
        <is>
          <t>SEM COTAÇÃO</t>
        </is>
      </c>
      <c r="M1644" s="8" t="n"/>
      <c r="N1644" s="14" t="n"/>
      <c r="O1644" s="7" t="inlineStr"/>
      <c r="P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/>
      <c r="K1645" s="8" t="n"/>
      <c r="L1645" s="7" t="inlineStr">
        <is>
          <t>SEM COTAÇÃO</t>
        </is>
      </c>
      <c r="M1645" s="8" t="n"/>
      <c r="N1645" s="14" t="n"/>
      <c r="O1645" s="7" t="inlineStr"/>
      <c r="P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/>
      <c r="K1646" s="8" t="n"/>
      <c r="L1646" s="7" t="inlineStr">
        <is>
          <t>SEM COTAÇÃO</t>
        </is>
      </c>
      <c r="M1646" s="8" t="n"/>
      <c r="N1646" s="14" t="n"/>
      <c r="O1646" s="7" t="inlineStr"/>
      <c r="P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/>
      <c r="K1647" s="8" t="n"/>
      <c r="L1647" s="7" t="inlineStr">
        <is>
          <t>SEM COTAÇÃO</t>
        </is>
      </c>
      <c r="M1647" s="8" t="n"/>
      <c r="N1647" s="14" t="n"/>
      <c r="O1647" s="7" t="inlineStr"/>
      <c r="P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/>
      <c r="K1648" s="8" t="n"/>
      <c r="L1648" s="7" t="inlineStr">
        <is>
          <t>SEM COTAÇÃO</t>
        </is>
      </c>
      <c r="M1648" s="8" t="n"/>
      <c r="N1648" s="14" t="n"/>
      <c r="O1648" s="7" t="inlineStr"/>
      <c r="P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/>
      <c r="K1649" s="8" t="n"/>
      <c r="L1649" s="7" t="inlineStr">
        <is>
          <t>SEM COTAÇÃO</t>
        </is>
      </c>
      <c r="M1649" s="8" t="n"/>
      <c r="N1649" s="14" t="n"/>
      <c r="O1649" s="7" t="inlineStr"/>
      <c r="P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/>
      <c r="K1650" s="8" t="n"/>
      <c r="L1650" s="7" t="inlineStr">
        <is>
          <t>SEM COTAÇÃO</t>
        </is>
      </c>
      <c r="M1650" s="8" t="n"/>
      <c r="N1650" s="14" t="n"/>
      <c r="O1650" s="7" t="inlineStr"/>
      <c r="P1650" s="7" t="inlineStr"/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/>
      <c r="K1651" s="8" t="n"/>
      <c r="L1651" s="7" t="inlineStr">
        <is>
          <t>SEM COTAÇÃO</t>
        </is>
      </c>
      <c r="M1651" s="8" t="n"/>
      <c r="N1651" s="14" t="n"/>
      <c r="O1651" s="7" t="inlineStr"/>
      <c r="P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/>
      <c r="K1652" s="8" t="n"/>
      <c r="L1652" s="7" t="inlineStr">
        <is>
          <t>SEM COTAÇÃO</t>
        </is>
      </c>
      <c r="M1652" s="8" t="n"/>
      <c r="N1652" s="14" t="n"/>
      <c r="O1652" s="7" t="inlineStr"/>
      <c r="P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/>
      <c r="K1653" s="8" t="n"/>
      <c r="L1653" s="7" t="inlineStr">
        <is>
          <t>SEM COTAÇÃO</t>
        </is>
      </c>
      <c r="M1653" s="8" t="n"/>
      <c r="N1653" s="14" t="n"/>
      <c r="O1653" s="7" t="inlineStr"/>
      <c r="P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/>
      <c r="K1654" s="8" t="n"/>
      <c r="L1654" s="7" t="inlineStr">
        <is>
          <t>SEM COTAÇÃO</t>
        </is>
      </c>
      <c r="M1654" s="8" t="n"/>
      <c r="N1654" s="14" t="n"/>
      <c r="O1654" s="7" t="inlineStr"/>
      <c r="P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/>
      <c r="K1655" s="8" t="n"/>
      <c r="L1655" s="7" t="inlineStr">
        <is>
          <t>SEM COTAÇÃO</t>
        </is>
      </c>
      <c r="M1655" s="8" t="n"/>
      <c r="N1655" s="14" t="n"/>
      <c r="O1655" s="7" t="inlineStr"/>
      <c r="P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/>
      <c r="K1656" s="8" t="n"/>
      <c r="L1656" s="7" t="inlineStr">
        <is>
          <t>SEM COTAÇÃO</t>
        </is>
      </c>
      <c r="M1656" s="8" t="n"/>
      <c r="N1656" s="14" t="n"/>
      <c r="O1656" s="7" t="inlineStr"/>
      <c r="P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/>
      <c r="K1657" s="8" t="n"/>
      <c r="L1657" s="7" t="inlineStr">
        <is>
          <t>SEM COTAÇÃO</t>
        </is>
      </c>
      <c r="M1657" s="8" t="n"/>
      <c r="N1657" s="14" t="n"/>
      <c r="O1657" s="7" t="inlineStr"/>
      <c r="P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/>
      <c r="K1658" s="8" t="n"/>
      <c r="L1658" s="7" t="inlineStr">
        <is>
          <t>SEM COTAÇÃO</t>
        </is>
      </c>
      <c r="M1658" s="8" t="n"/>
      <c r="N1658" s="14" t="n"/>
      <c r="O1658" s="7" t="inlineStr"/>
      <c r="P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/>
      <c r="K1659" s="8" t="n"/>
      <c r="L1659" s="7" t="inlineStr">
        <is>
          <t>SEM COTAÇÃO</t>
        </is>
      </c>
      <c r="M1659" s="8" t="n"/>
      <c r="N1659" s="14" t="n"/>
      <c r="O1659" s="7" t="inlineStr"/>
      <c r="P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/>
      <c r="K1660" s="8" t="n"/>
      <c r="L1660" s="7" t="inlineStr">
        <is>
          <t>SEM COTAÇÃO</t>
        </is>
      </c>
      <c r="M1660" s="8" t="n"/>
      <c r="N1660" s="14" t="n"/>
      <c r="O1660" s="7" t="inlineStr"/>
      <c r="P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/>
      <c r="K1661" s="8" t="n"/>
      <c r="L1661" s="7" t="inlineStr">
        <is>
          <t>SEM COTAÇÃO</t>
        </is>
      </c>
      <c r="M1661" s="8" t="n"/>
      <c r="N1661" s="14" t="n"/>
      <c r="O1661" s="7" t="inlineStr"/>
      <c r="P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/>
      <c r="K1662" s="8" t="n"/>
      <c r="L1662" s="7" t="inlineStr">
        <is>
          <t>SEM COTAÇÃO</t>
        </is>
      </c>
      <c r="M1662" s="8" t="n"/>
      <c r="N1662" s="14" t="n"/>
      <c r="O1662" s="7" t="inlineStr"/>
      <c r="P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/>
      <c r="K1663" s="8" t="n"/>
      <c r="L1663" s="7" t="inlineStr">
        <is>
          <t>SEM COTAÇÃO</t>
        </is>
      </c>
      <c r="M1663" s="8" t="n"/>
      <c r="N1663" s="14" t="n"/>
      <c r="O1663" s="7" t="inlineStr"/>
      <c r="P1663" s="7" t="inlineStr"/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7" t="inlineStr">
        <is>
          <t>SEM COTAÇÃO</t>
        </is>
      </c>
      <c r="M1664" s="8" t="n"/>
      <c r="N1664" s="14" t="n"/>
      <c r="O1664" s="7" t="inlineStr"/>
      <c r="P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/>
      <c r="K1665" s="8" t="n"/>
      <c r="L1665" s="7" t="inlineStr">
        <is>
          <t>SEM COTAÇÃO</t>
        </is>
      </c>
      <c r="M1665" s="8" t="n"/>
      <c r="N1665" s="14" t="n"/>
      <c r="O1665" s="7" t="inlineStr"/>
      <c r="P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/>
      <c r="K1666" s="8" t="n"/>
      <c r="L1666" s="7" t="inlineStr">
        <is>
          <t>SEM COTAÇÃO</t>
        </is>
      </c>
      <c r="M1666" s="8" t="n"/>
      <c r="N1666" s="14" t="n"/>
      <c r="O1666" s="7" t="inlineStr"/>
      <c r="P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/>
      <c r="K1667" s="8" t="n"/>
      <c r="L1667" s="7" t="inlineStr">
        <is>
          <t>SEM COTAÇÃO</t>
        </is>
      </c>
      <c r="M1667" s="8" t="n"/>
      <c r="N1667" s="14" t="n"/>
      <c r="O1667" s="7" t="inlineStr"/>
      <c r="P1667" s="7" t="inlineStr"/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/>
      <c r="K1668" s="8" t="n"/>
      <c r="L1668" s="7" t="inlineStr">
        <is>
          <t>SEM COTAÇÃO</t>
        </is>
      </c>
      <c r="M1668" s="8" t="n"/>
      <c r="N1668" s="14" t="n"/>
      <c r="O1668" s="7" t="inlineStr"/>
      <c r="P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/>
      <c r="K1669" s="8" t="n"/>
      <c r="L1669" s="7" t="inlineStr">
        <is>
          <t>SEM COTAÇÃO</t>
        </is>
      </c>
      <c r="M1669" s="8" t="n"/>
      <c r="N1669" s="14" t="n"/>
      <c r="O1669" s="7" t="inlineStr"/>
      <c r="P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/>
      <c r="K1670" s="8" t="n"/>
      <c r="L1670" s="7" t="inlineStr">
        <is>
          <t>SEM COTAÇÃO</t>
        </is>
      </c>
      <c r="M1670" s="8" t="n"/>
      <c r="N1670" s="14" t="n"/>
      <c r="O1670" s="7" t="inlineStr"/>
      <c r="P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/>
      <c r="K1671" s="8" t="n"/>
      <c r="L1671" s="7" t="inlineStr">
        <is>
          <t>SEM COTAÇÃO</t>
        </is>
      </c>
      <c r="M1671" s="8" t="n"/>
      <c r="N1671" s="14" t="n"/>
      <c r="O1671" s="7" t="inlineStr"/>
      <c r="P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/>
      <c r="K1672" s="8" t="n"/>
      <c r="L1672" s="7" t="inlineStr">
        <is>
          <t>SEM COTAÇÃO</t>
        </is>
      </c>
      <c r="M1672" s="8" t="n"/>
      <c r="N1672" s="14" t="n"/>
      <c r="O1672" s="7" t="inlineStr"/>
      <c r="P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/>
      <c r="K1673" s="8" t="n"/>
      <c r="L1673" s="7" t="inlineStr">
        <is>
          <t>SEM COTAÇÃO</t>
        </is>
      </c>
      <c r="M1673" s="8" t="n"/>
      <c r="N1673" s="14" t="n"/>
      <c r="O1673" s="7" t="inlineStr"/>
      <c r="P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/>
      <c r="K1674" s="8" t="n"/>
      <c r="L1674" s="7" t="inlineStr">
        <is>
          <t>SEM COTAÇÃO</t>
        </is>
      </c>
      <c r="M1674" s="8" t="n"/>
      <c r="N1674" s="14" t="n"/>
      <c r="O1674" s="7" t="inlineStr"/>
      <c r="P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/>
      <c r="K1675" s="8" t="n"/>
      <c r="L1675" s="7" t="inlineStr">
        <is>
          <t>SEM COTAÇÃO</t>
        </is>
      </c>
      <c r="M1675" s="8" t="n"/>
      <c r="N1675" s="14" t="n"/>
      <c r="O1675" s="7" t="inlineStr"/>
      <c r="P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/>
      <c r="K1676" s="8" t="n"/>
      <c r="L1676" s="7" t="inlineStr">
        <is>
          <t>SEM COTAÇÃO</t>
        </is>
      </c>
      <c r="M1676" s="8" t="n"/>
      <c r="N1676" s="14" t="n"/>
      <c r="O1676" s="7" t="inlineStr"/>
      <c r="P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/>
      <c r="K1677" s="8" t="n"/>
      <c r="L1677" s="7" t="inlineStr">
        <is>
          <t>SEM COTAÇÃO</t>
        </is>
      </c>
      <c r="M1677" s="8" t="n"/>
      <c r="N1677" s="14" t="n"/>
      <c r="O1677" s="7" t="inlineStr"/>
      <c r="P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/>
      <c r="K1678" s="8" t="n"/>
      <c r="L1678" s="7" t="inlineStr">
        <is>
          <t>SEM COTAÇÃO</t>
        </is>
      </c>
      <c r="M1678" s="8" t="n"/>
      <c r="N1678" s="14" t="n"/>
      <c r="O1678" s="7" t="inlineStr"/>
      <c r="P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/>
      <c r="K1679" s="8" t="n"/>
      <c r="L1679" s="7" t="inlineStr">
        <is>
          <t>SEM COTAÇÃO</t>
        </is>
      </c>
      <c r="M1679" s="8" t="n"/>
      <c r="N1679" s="14" t="n"/>
      <c r="O1679" s="7" t="inlineStr"/>
      <c r="P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/>
      <c r="K1680" s="8" t="n"/>
      <c r="L1680" s="7" t="inlineStr">
        <is>
          <t>SEM COTAÇÃO</t>
        </is>
      </c>
      <c r="M1680" s="8" t="n"/>
      <c r="N1680" s="14" t="n"/>
      <c r="O1680" s="7" t="inlineStr"/>
      <c r="P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/>
      <c r="K1681" s="8" t="n"/>
      <c r="L1681" s="7" t="inlineStr">
        <is>
          <t>SEM COTAÇÃO</t>
        </is>
      </c>
      <c r="M1681" s="8" t="n"/>
      <c r="N1681" s="14" t="n"/>
      <c r="O1681" s="7" t="inlineStr"/>
      <c r="P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/>
      <c r="K1682" s="8" t="n"/>
      <c r="L1682" s="7" t="inlineStr">
        <is>
          <t>SEM COTAÇÃO</t>
        </is>
      </c>
      <c r="M1682" s="8" t="n"/>
      <c r="N1682" s="14" t="n"/>
      <c r="O1682" s="7" t="inlineStr"/>
      <c r="P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/>
      <c r="K1683" s="8" t="n"/>
      <c r="L1683" s="7" t="inlineStr">
        <is>
          <t>SEM COTAÇÃO</t>
        </is>
      </c>
      <c r="M1683" s="8" t="n"/>
      <c r="N1683" s="14" t="n"/>
      <c r="O1683" s="7" t="inlineStr"/>
      <c r="P1683" s="7" t="inlineStr"/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/>
      <c r="K1684" s="8" t="n"/>
      <c r="L1684" s="7" t="inlineStr">
        <is>
          <t>SEM COTAÇÃO</t>
        </is>
      </c>
      <c r="M1684" s="8" t="n"/>
      <c r="N1684" s="14" t="n"/>
      <c r="O1684" s="7" t="inlineStr"/>
      <c r="P1684" s="7" t="inlineStr"/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/>
      <c r="K1685" s="8" t="n"/>
      <c r="L1685" s="7" t="inlineStr">
        <is>
          <t>SEM COTAÇÃO</t>
        </is>
      </c>
      <c r="M1685" s="8" t="n"/>
      <c r="N1685" s="14" t="n"/>
      <c r="O1685" s="7" t="inlineStr"/>
      <c r="P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/>
      <c r="K1686" s="8" t="n"/>
      <c r="L1686" s="7" t="inlineStr">
        <is>
          <t>SEM COTAÇÃO</t>
        </is>
      </c>
      <c r="M1686" s="8" t="n"/>
      <c r="N1686" s="14" t="n"/>
      <c r="O1686" s="7" t="inlineStr"/>
      <c r="P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/>
      <c r="K1687" s="8" t="n"/>
      <c r="L1687" s="7" t="inlineStr">
        <is>
          <t>SEM COTAÇÃO</t>
        </is>
      </c>
      <c r="M1687" s="8" t="n"/>
      <c r="N1687" s="14" t="n"/>
      <c r="O1687" s="7" t="inlineStr"/>
      <c r="P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/>
      <c r="K1688" s="8" t="n"/>
      <c r="L1688" s="7" t="inlineStr">
        <is>
          <t>SEM COTAÇÃO</t>
        </is>
      </c>
      <c r="M1688" s="8" t="n"/>
      <c r="N1688" s="14" t="n"/>
      <c r="O1688" s="7" t="inlineStr"/>
      <c r="P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/>
      <c r="K1689" s="8" t="n"/>
      <c r="L1689" s="7" t="inlineStr">
        <is>
          <t>SEM COTAÇÃO</t>
        </is>
      </c>
      <c r="M1689" s="8" t="n"/>
      <c r="N1689" s="14" t="n"/>
      <c r="O1689" s="7" t="inlineStr"/>
      <c r="P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/>
      <c r="K1690" s="8" t="n"/>
      <c r="L1690" s="7" t="inlineStr">
        <is>
          <t>SEM COTAÇÃO</t>
        </is>
      </c>
      <c r="M1690" s="8" t="n"/>
      <c r="N1690" s="14" t="n"/>
      <c r="O1690" s="7" t="inlineStr"/>
      <c r="P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/>
      <c r="K1691" s="8" t="n"/>
      <c r="L1691" s="7" t="inlineStr">
        <is>
          <t>SEM COTAÇÃO</t>
        </is>
      </c>
      <c r="M1691" s="8" t="n"/>
      <c r="N1691" s="14" t="n"/>
      <c r="O1691" s="7" t="inlineStr"/>
      <c r="P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/>
      <c r="K1692" s="8" t="n"/>
      <c r="L1692" s="7" t="inlineStr">
        <is>
          <t>SEM COTAÇÃO</t>
        </is>
      </c>
      <c r="M1692" s="8" t="n"/>
      <c r="N1692" s="14" t="n"/>
      <c r="O1692" s="7" t="inlineStr"/>
      <c r="P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/>
      <c r="K1693" s="8" t="n"/>
      <c r="L1693" s="7" t="inlineStr">
        <is>
          <t>SEM COTAÇÃO</t>
        </is>
      </c>
      <c r="M1693" s="8" t="n"/>
      <c r="N1693" s="14" t="n"/>
      <c r="O1693" s="7" t="inlineStr"/>
      <c r="P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/>
      <c r="K1694" s="8" t="n"/>
      <c r="L1694" s="7" t="inlineStr">
        <is>
          <t>SEM COTAÇÃO</t>
        </is>
      </c>
      <c r="M1694" s="8" t="n"/>
      <c r="N1694" s="14" t="n"/>
      <c r="O1694" s="7" t="inlineStr"/>
      <c r="P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/>
      <c r="K1695" s="8" t="n"/>
      <c r="L1695" s="7" t="inlineStr">
        <is>
          <t>SEM COTAÇÃO</t>
        </is>
      </c>
      <c r="M1695" s="8" t="n"/>
      <c r="N1695" s="14" t="n"/>
      <c r="O1695" s="7" t="inlineStr"/>
      <c r="P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/>
      <c r="K1696" s="8" t="n"/>
      <c r="L1696" s="7" t="inlineStr">
        <is>
          <t>SEM COTAÇÃO</t>
        </is>
      </c>
      <c r="M1696" s="8" t="n"/>
      <c r="N1696" s="14" t="n"/>
      <c r="O1696" s="7" t="inlineStr"/>
      <c r="P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/>
      <c r="K1697" s="8" t="n"/>
      <c r="L1697" s="7" t="inlineStr">
        <is>
          <t>SEM COTAÇÃO</t>
        </is>
      </c>
      <c r="M1697" s="8" t="n"/>
      <c r="N1697" s="14" t="n"/>
      <c r="O1697" s="7" t="inlineStr"/>
      <c r="P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/>
      <c r="K1698" s="8" t="n"/>
      <c r="L1698" s="7" t="inlineStr">
        <is>
          <t>SEM COTAÇÃO</t>
        </is>
      </c>
      <c r="M1698" s="8" t="n"/>
      <c r="N1698" s="14" t="n"/>
      <c r="O1698" s="7" t="inlineStr"/>
      <c r="P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/>
      <c r="K1699" s="8" t="n"/>
      <c r="L1699" s="7" t="inlineStr">
        <is>
          <t>SEM COTAÇÃO</t>
        </is>
      </c>
      <c r="M1699" s="8" t="n"/>
      <c r="N1699" s="14" t="n"/>
      <c r="O1699" s="7" t="inlineStr"/>
      <c r="P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/>
      <c r="K1700" s="8" t="n"/>
      <c r="L1700" s="7" t="inlineStr">
        <is>
          <t>SEM COTAÇÃO</t>
        </is>
      </c>
      <c r="M1700" s="8" t="n"/>
      <c r="N1700" s="14" t="n"/>
      <c r="O1700" s="7" t="inlineStr"/>
      <c r="P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/>
      <c r="K1701" s="8" t="n"/>
      <c r="L1701" s="7" t="inlineStr">
        <is>
          <t>SEM COTAÇÃO</t>
        </is>
      </c>
      <c r="M1701" s="8" t="n"/>
      <c r="N1701" s="14" t="n"/>
      <c r="O1701" s="7" t="inlineStr"/>
      <c r="P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/>
      <c r="K1702" s="8" t="n"/>
      <c r="L1702" s="7" t="inlineStr">
        <is>
          <t>SEM COTAÇÃO</t>
        </is>
      </c>
      <c r="M1702" s="8" t="n"/>
      <c r="N1702" s="14" t="n"/>
      <c r="O1702" s="7" t="inlineStr"/>
      <c r="P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/>
      <c r="K1703" s="8" t="n"/>
      <c r="L1703" s="7" t="inlineStr">
        <is>
          <t>SEM COTAÇÃO</t>
        </is>
      </c>
      <c r="M1703" s="8" t="n"/>
      <c r="N1703" s="14" t="n"/>
      <c r="O1703" s="7" t="inlineStr"/>
      <c r="P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/>
      <c r="K1704" s="8" t="n"/>
      <c r="L1704" s="7" t="inlineStr">
        <is>
          <t>SEM COTAÇÃO</t>
        </is>
      </c>
      <c r="M1704" s="8" t="n"/>
      <c r="N1704" s="14" t="n"/>
      <c r="O1704" s="7" t="inlineStr"/>
      <c r="P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/>
      <c r="K1705" s="8" t="n"/>
      <c r="L1705" s="7" t="inlineStr">
        <is>
          <t>SEM COTAÇÃO</t>
        </is>
      </c>
      <c r="M1705" s="8" t="n"/>
      <c r="N1705" s="14" t="n"/>
      <c r="O1705" s="7" t="inlineStr"/>
      <c r="P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/>
      <c r="K1706" s="8" t="n"/>
      <c r="L1706" s="7" t="inlineStr">
        <is>
          <t>SEM COTAÇÃO</t>
        </is>
      </c>
      <c r="M1706" s="8" t="n"/>
      <c r="N1706" s="14" t="n"/>
      <c r="O1706" s="7" t="inlineStr"/>
      <c r="P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/>
      <c r="K1707" s="8" t="n"/>
      <c r="L1707" s="7" t="inlineStr">
        <is>
          <t>SEM COTAÇÃO</t>
        </is>
      </c>
      <c r="M1707" s="8" t="n"/>
      <c r="N1707" s="14" t="n"/>
      <c r="O1707" s="7" t="inlineStr"/>
      <c r="P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/>
      <c r="K1708" s="8" t="n"/>
      <c r="L1708" s="7" t="inlineStr">
        <is>
          <t>SEM COTAÇÃO</t>
        </is>
      </c>
      <c r="M1708" s="8" t="n"/>
      <c r="N1708" s="14" t="n"/>
      <c r="O1708" s="7" t="inlineStr"/>
      <c r="P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/>
      <c r="K1709" s="8" t="n"/>
      <c r="L1709" s="7" t="inlineStr">
        <is>
          <t>SEM COTAÇÃO</t>
        </is>
      </c>
      <c r="M1709" s="8" t="n"/>
      <c r="N1709" s="14" t="n"/>
      <c r="O1709" s="7" t="inlineStr"/>
      <c r="P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/>
      <c r="K1710" s="8" t="n"/>
      <c r="L1710" s="7" t="inlineStr">
        <is>
          <t>SEM COTAÇÃO</t>
        </is>
      </c>
      <c r="M1710" s="8" t="n"/>
      <c r="N1710" s="14" t="n"/>
      <c r="O1710" s="7" t="inlineStr"/>
      <c r="P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/>
      <c r="K1711" s="8" t="n"/>
      <c r="L1711" s="7" t="inlineStr">
        <is>
          <t>SEM COTAÇÃO</t>
        </is>
      </c>
      <c r="M1711" s="8" t="n"/>
      <c r="N1711" s="14" t="n"/>
      <c r="O1711" s="7" t="inlineStr"/>
      <c r="P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/>
      <c r="K1712" s="8" t="n"/>
      <c r="L1712" s="7" t="inlineStr">
        <is>
          <t>SEM COTAÇÃO</t>
        </is>
      </c>
      <c r="M1712" s="8" t="n"/>
      <c r="N1712" s="14" t="n"/>
      <c r="O1712" s="7" t="inlineStr"/>
      <c r="P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/>
      <c r="K1713" s="8" t="n"/>
      <c r="L1713" s="7" t="inlineStr">
        <is>
          <t>SEM COTAÇÃO</t>
        </is>
      </c>
      <c r="M1713" s="8" t="n"/>
      <c r="N1713" s="14" t="n"/>
      <c r="O1713" s="7" t="inlineStr"/>
      <c r="P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/>
      <c r="K1714" s="8" t="n"/>
      <c r="L1714" s="7" t="inlineStr">
        <is>
          <t>SEM COTAÇÃO</t>
        </is>
      </c>
      <c r="M1714" s="8" t="n"/>
      <c r="N1714" s="14" t="n"/>
      <c r="O1714" s="7" t="inlineStr"/>
      <c r="P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/>
      <c r="K1715" s="8" t="n"/>
      <c r="L1715" s="7" t="inlineStr">
        <is>
          <t>SEM COTAÇÃO</t>
        </is>
      </c>
      <c r="M1715" s="8" t="n"/>
      <c r="N1715" s="14" t="n"/>
      <c r="O1715" s="7" t="inlineStr"/>
      <c r="P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/>
      <c r="K1716" s="8" t="n"/>
      <c r="L1716" s="7" t="inlineStr">
        <is>
          <t>SEM COTAÇÃO</t>
        </is>
      </c>
      <c r="M1716" s="8" t="n"/>
      <c r="N1716" s="14" t="n"/>
      <c r="O1716" s="7" t="inlineStr"/>
      <c r="P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/>
      <c r="K1717" s="8" t="n"/>
      <c r="L1717" s="7" t="inlineStr">
        <is>
          <t>SEM COTAÇÃO</t>
        </is>
      </c>
      <c r="M1717" s="8" t="n"/>
      <c r="N1717" s="14" t="n"/>
      <c r="O1717" s="7" t="inlineStr"/>
      <c r="P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/>
      <c r="K1718" s="8" t="n"/>
      <c r="L1718" s="7" t="inlineStr">
        <is>
          <t>SEM COTAÇÃO</t>
        </is>
      </c>
      <c r="M1718" s="8" t="n"/>
      <c r="N1718" s="14" t="n"/>
      <c r="O1718" s="7" t="inlineStr"/>
      <c r="P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/>
      <c r="K1719" s="8" t="n"/>
      <c r="L1719" s="7" t="inlineStr">
        <is>
          <t>SEM COTAÇÃO</t>
        </is>
      </c>
      <c r="M1719" s="8" t="n"/>
      <c r="N1719" s="14" t="n"/>
      <c r="O1719" s="7" t="inlineStr"/>
      <c r="P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/>
      <c r="K1720" s="8" t="n"/>
      <c r="L1720" s="7" t="inlineStr">
        <is>
          <t>SEM COTAÇÃO</t>
        </is>
      </c>
      <c r="M1720" s="8" t="n"/>
      <c r="N1720" s="14" t="n"/>
      <c r="O1720" s="7" t="inlineStr"/>
      <c r="P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/>
      <c r="K1721" s="8" t="n"/>
      <c r="L1721" s="7" t="inlineStr">
        <is>
          <t>SEM COTAÇÃO</t>
        </is>
      </c>
      <c r="M1721" s="8" t="n"/>
      <c r="N1721" s="14" t="n"/>
      <c r="O1721" s="7" t="inlineStr"/>
      <c r="P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/>
      <c r="K1722" s="8" t="n"/>
      <c r="L1722" s="7" t="inlineStr">
        <is>
          <t>SEM COTAÇÃO</t>
        </is>
      </c>
      <c r="M1722" s="8" t="n"/>
      <c r="N1722" s="14" t="n"/>
      <c r="O1722" s="7" t="inlineStr"/>
      <c r="P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/>
      <c r="K1723" s="8" t="n"/>
      <c r="L1723" s="7" t="inlineStr">
        <is>
          <t>SEM COTAÇÃO</t>
        </is>
      </c>
      <c r="M1723" s="8" t="n"/>
      <c r="N1723" s="14" t="n"/>
      <c r="O1723" s="7" t="inlineStr"/>
      <c r="P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/>
      <c r="K1724" s="8" t="n"/>
      <c r="L1724" s="7" t="inlineStr">
        <is>
          <t>SEM COTAÇÃO</t>
        </is>
      </c>
      <c r="M1724" s="8" t="n"/>
      <c r="N1724" s="14" t="n"/>
      <c r="O1724" s="7" t="inlineStr"/>
      <c r="P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/>
      <c r="K1725" s="8" t="n"/>
      <c r="L1725" s="7" t="inlineStr">
        <is>
          <t>SEM COTAÇÃO</t>
        </is>
      </c>
      <c r="M1725" s="8" t="n"/>
      <c r="N1725" s="14" t="n"/>
      <c r="O1725" s="7" t="inlineStr"/>
      <c r="P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7" t="inlineStr">
        <is>
          <t>SEM COTAÇÃO</t>
        </is>
      </c>
      <c r="M1726" s="8" t="n"/>
      <c r="N1726" s="14" t="n"/>
      <c r="O1726" s="7" t="inlineStr"/>
      <c r="P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7" t="inlineStr">
        <is>
          <t>SEM COTAÇÃO</t>
        </is>
      </c>
      <c r="M1727" s="8" t="n"/>
      <c r="N1727" s="14" t="n"/>
      <c r="O1727" s="7" t="inlineStr"/>
      <c r="P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/>
      <c r="K1728" s="8" t="n"/>
      <c r="L1728" s="7" t="inlineStr">
        <is>
          <t>SEM COTAÇÃO</t>
        </is>
      </c>
      <c r="M1728" s="8" t="n"/>
      <c r="N1728" s="14" t="n"/>
      <c r="O1728" s="7" t="inlineStr"/>
      <c r="P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/>
      <c r="K1729" s="8" t="n"/>
      <c r="L1729" s="7" t="inlineStr">
        <is>
          <t>SEM COTAÇÃO</t>
        </is>
      </c>
      <c r="M1729" s="8" t="n"/>
      <c r="N1729" s="14" t="n"/>
      <c r="O1729" s="7" t="inlineStr"/>
      <c r="P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/>
      <c r="K1730" s="8" t="n"/>
      <c r="L1730" s="7" t="inlineStr">
        <is>
          <t>SEM COTAÇÃO</t>
        </is>
      </c>
      <c r="M1730" s="8" t="n"/>
      <c r="N1730" s="14" t="n"/>
      <c r="O1730" s="7" t="inlineStr"/>
      <c r="P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/>
      <c r="K1731" s="8" t="n"/>
      <c r="L1731" s="7" t="inlineStr">
        <is>
          <t>SEM COTAÇÃO</t>
        </is>
      </c>
      <c r="M1731" s="8" t="n"/>
      <c r="N1731" s="14" t="n"/>
      <c r="O1731" s="7" t="inlineStr"/>
      <c r="P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/>
      <c r="K1732" s="8" t="n"/>
      <c r="L1732" s="7" t="inlineStr">
        <is>
          <t>SEM COTAÇÃO</t>
        </is>
      </c>
      <c r="M1732" s="8" t="n"/>
      <c r="N1732" s="14" t="n"/>
      <c r="O1732" s="7" t="inlineStr"/>
      <c r="P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/>
      <c r="K1733" s="8" t="n"/>
      <c r="L1733" s="7" t="inlineStr">
        <is>
          <t>SEM COTAÇÃO</t>
        </is>
      </c>
      <c r="M1733" s="8" t="n"/>
      <c r="N1733" s="14" t="n"/>
      <c r="O1733" s="7" t="inlineStr"/>
      <c r="P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/>
      <c r="K1734" s="8" t="n"/>
      <c r="L1734" s="7" t="inlineStr">
        <is>
          <t>SEM COTAÇÃO</t>
        </is>
      </c>
      <c r="M1734" s="8" t="n"/>
      <c r="N1734" s="14" t="n"/>
      <c r="O1734" s="7" t="inlineStr"/>
      <c r="P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/>
      <c r="K1735" s="8" t="n"/>
      <c r="L1735" s="7" t="inlineStr">
        <is>
          <t>SEM COTAÇÃO</t>
        </is>
      </c>
      <c r="M1735" s="8" t="n"/>
      <c r="N1735" s="14" t="n"/>
      <c r="O1735" s="7" t="inlineStr"/>
      <c r="P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/>
      <c r="K1736" s="8" t="n"/>
      <c r="L1736" s="7" t="inlineStr">
        <is>
          <t>SEM COTAÇÃO</t>
        </is>
      </c>
      <c r="M1736" s="8" t="n"/>
      <c r="N1736" s="14" t="n"/>
      <c r="O1736" s="7" t="inlineStr"/>
      <c r="P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/>
      <c r="K1737" s="8" t="n"/>
      <c r="L1737" s="7" t="inlineStr">
        <is>
          <t>SEM COTAÇÃO</t>
        </is>
      </c>
      <c r="M1737" s="8" t="n"/>
      <c r="N1737" s="14" t="n"/>
      <c r="O1737" s="7" t="inlineStr"/>
      <c r="P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/>
      <c r="K1738" s="8" t="n"/>
      <c r="L1738" s="7" t="inlineStr">
        <is>
          <t>SEM COTAÇÃO</t>
        </is>
      </c>
      <c r="M1738" s="8" t="n"/>
      <c r="N1738" s="14" t="n"/>
      <c r="O1738" s="7" t="inlineStr"/>
      <c r="P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/>
      <c r="K1739" s="8" t="n"/>
      <c r="L1739" s="7" t="inlineStr">
        <is>
          <t>SEM COTAÇÃO</t>
        </is>
      </c>
      <c r="M1739" s="8" t="n"/>
      <c r="N1739" s="14" t="n"/>
      <c r="O1739" s="7" t="inlineStr"/>
      <c r="P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/>
      <c r="K1740" s="8" t="n"/>
      <c r="L1740" s="7" t="inlineStr">
        <is>
          <t>SEM COTAÇÃO</t>
        </is>
      </c>
      <c r="M1740" s="8" t="n"/>
      <c r="N1740" s="14" t="n"/>
      <c r="O1740" s="7" t="inlineStr"/>
      <c r="P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/>
      <c r="K1741" s="8" t="n"/>
      <c r="L1741" s="7" t="inlineStr">
        <is>
          <t>SEM COTAÇÃO</t>
        </is>
      </c>
      <c r="M1741" s="8" t="n"/>
      <c r="N1741" s="14" t="n"/>
      <c r="O1741" s="7" t="inlineStr"/>
      <c r="P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7" t="inlineStr">
        <is>
          <t>SEM COTAÇÃO</t>
        </is>
      </c>
      <c r="M1742" s="8" t="n"/>
      <c r="N1742" s="14" t="n"/>
      <c r="O1742" s="7" t="inlineStr"/>
      <c r="P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/>
      <c r="K1743" s="8" t="n"/>
      <c r="L1743" s="7" t="inlineStr">
        <is>
          <t>SEM COTAÇÃO</t>
        </is>
      </c>
      <c r="M1743" s="8" t="n"/>
      <c r="N1743" s="14" t="n"/>
      <c r="O1743" s="7" t="inlineStr"/>
      <c r="P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/>
      <c r="K1744" s="8" t="n"/>
      <c r="L1744" s="7" t="inlineStr">
        <is>
          <t>SEM COTAÇÃO</t>
        </is>
      </c>
      <c r="M1744" s="8" t="n"/>
      <c r="N1744" s="14" t="n"/>
      <c r="O1744" s="7" t="inlineStr"/>
      <c r="P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/>
      <c r="K1745" s="8" t="n"/>
      <c r="L1745" s="7" t="inlineStr">
        <is>
          <t>SEM COTAÇÃO</t>
        </is>
      </c>
      <c r="M1745" s="8" t="n"/>
      <c r="N1745" s="14" t="n"/>
      <c r="O1745" s="7" t="inlineStr"/>
      <c r="P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/>
      <c r="K1746" s="8" t="n"/>
      <c r="L1746" s="7" t="inlineStr">
        <is>
          <t>SEM COTAÇÃO</t>
        </is>
      </c>
      <c r="M1746" s="8" t="n"/>
      <c r="N1746" s="14" t="n"/>
      <c r="O1746" s="7" t="inlineStr"/>
      <c r="P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/>
      <c r="K1747" s="8" t="n"/>
      <c r="L1747" s="7" t="inlineStr">
        <is>
          <t>SEM COTAÇÃO</t>
        </is>
      </c>
      <c r="M1747" s="8" t="n"/>
      <c r="N1747" s="14" t="n"/>
      <c r="O1747" s="7" t="inlineStr"/>
      <c r="P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/>
      <c r="K1748" s="8" t="n"/>
      <c r="L1748" s="7" t="inlineStr">
        <is>
          <t>SEM COTAÇÃO</t>
        </is>
      </c>
      <c r="M1748" s="8" t="n"/>
      <c r="N1748" s="14" t="n"/>
      <c r="O1748" s="7" t="inlineStr"/>
      <c r="P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/>
      <c r="K1749" s="8" t="n"/>
      <c r="L1749" s="7" t="inlineStr">
        <is>
          <t>SEM COTAÇÃO</t>
        </is>
      </c>
      <c r="M1749" s="8" t="n"/>
      <c r="N1749" s="14" t="n"/>
      <c r="O1749" s="7" t="inlineStr"/>
      <c r="P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/>
      <c r="K1750" s="8" t="n"/>
      <c r="L1750" s="7" t="inlineStr">
        <is>
          <t>SEM COTAÇÃO</t>
        </is>
      </c>
      <c r="M1750" s="8" t="n"/>
      <c r="N1750" s="14" t="n"/>
      <c r="O1750" s="7" t="inlineStr"/>
      <c r="P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/>
      <c r="K1751" s="8" t="n"/>
      <c r="L1751" s="7" t="inlineStr">
        <is>
          <t>SEM COTAÇÃO</t>
        </is>
      </c>
      <c r="M1751" s="8" t="n"/>
      <c r="N1751" s="14" t="n"/>
      <c r="O1751" s="7" t="inlineStr"/>
      <c r="P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/>
      <c r="K1752" s="8" t="n"/>
      <c r="L1752" s="7" t="inlineStr">
        <is>
          <t>SEM COTAÇÃO</t>
        </is>
      </c>
      <c r="M1752" s="8" t="n"/>
      <c r="N1752" s="14" t="n"/>
      <c r="O1752" s="7" t="inlineStr"/>
      <c r="P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/>
      <c r="K1753" s="8" t="n"/>
      <c r="L1753" s="7" t="inlineStr">
        <is>
          <t>SEM COTAÇÃO</t>
        </is>
      </c>
      <c r="M1753" s="8" t="n"/>
      <c r="N1753" s="14" t="n"/>
      <c r="O1753" s="7" t="inlineStr"/>
      <c r="P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/>
      <c r="K1754" s="8" t="n"/>
      <c r="L1754" s="7" t="inlineStr">
        <is>
          <t>SEM COTAÇÃO</t>
        </is>
      </c>
      <c r="M1754" s="8" t="n"/>
      <c r="N1754" s="14" t="n"/>
      <c r="O1754" s="7" t="inlineStr"/>
      <c r="P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/>
      <c r="K1755" s="8" t="n"/>
      <c r="L1755" s="7" t="inlineStr">
        <is>
          <t>SEM COTAÇÃO</t>
        </is>
      </c>
      <c r="M1755" s="8" t="n"/>
      <c r="N1755" s="14" t="n"/>
      <c r="O1755" s="7" t="inlineStr"/>
      <c r="P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/>
      <c r="K1756" s="8" t="n"/>
      <c r="L1756" s="7" t="inlineStr">
        <is>
          <t>SEM COTAÇÃO</t>
        </is>
      </c>
      <c r="M1756" s="8" t="n"/>
      <c r="N1756" s="14" t="n"/>
      <c r="O1756" s="7" t="inlineStr"/>
      <c r="P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7" t="inlineStr">
        <is>
          <t>SEM COTAÇÃO</t>
        </is>
      </c>
      <c r="M1757" s="8" t="n"/>
      <c r="N1757" s="14" t="n"/>
      <c r="O1757" s="7" t="inlineStr"/>
      <c r="P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/>
      <c r="K1758" s="8" t="n"/>
      <c r="L1758" s="7" t="inlineStr">
        <is>
          <t>SEM COTAÇÃO</t>
        </is>
      </c>
      <c r="M1758" s="8" t="n"/>
      <c r="N1758" s="14" t="n"/>
      <c r="O1758" s="7" t="inlineStr"/>
      <c r="P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/>
      <c r="K1759" s="8" t="n"/>
      <c r="L1759" s="7" t="inlineStr">
        <is>
          <t>SEM COTAÇÃO</t>
        </is>
      </c>
      <c r="M1759" s="8" t="n"/>
      <c r="N1759" s="14" t="n"/>
      <c r="O1759" s="7" t="inlineStr"/>
      <c r="P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/>
      <c r="K1760" s="8" t="n"/>
      <c r="L1760" s="7" t="inlineStr">
        <is>
          <t>SEM COTAÇÃO</t>
        </is>
      </c>
      <c r="M1760" s="8" t="n"/>
      <c r="N1760" s="14" t="n"/>
      <c r="O1760" s="7" t="inlineStr"/>
      <c r="P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/>
      <c r="K1761" s="8" t="n"/>
      <c r="L1761" s="7" t="inlineStr">
        <is>
          <t>SEM COTAÇÃO</t>
        </is>
      </c>
      <c r="M1761" s="8" t="n"/>
      <c r="N1761" s="14" t="n"/>
      <c r="O1761" s="7" t="inlineStr"/>
      <c r="P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/>
      <c r="K1762" s="8" t="n"/>
      <c r="L1762" s="7" t="inlineStr">
        <is>
          <t>SEM COTAÇÃO</t>
        </is>
      </c>
      <c r="M1762" s="8" t="n"/>
      <c r="N1762" s="14" t="n"/>
      <c r="O1762" s="7" t="inlineStr"/>
      <c r="P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/>
      <c r="K1763" s="8" t="n"/>
      <c r="L1763" s="7" t="inlineStr">
        <is>
          <t>SEM COTAÇÃO</t>
        </is>
      </c>
      <c r="M1763" s="8" t="n"/>
      <c r="N1763" s="14" t="n"/>
      <c r="O1763" s="7" t="inlineStr"/>
      <c r="P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/>
      <c r="K1764" s="8" t="n"/>
      <c r="L1764" s="7" t="inlineStr">
        <is>
          <t>SEM COTAÇÃO</t>
        </is>
      </c>
      <c r="M1764" s="8" t="n"/>
      <c r="N1764" s="14" t="n"/>
      <c r="O1764" s="7" t="inlineStr"/>
      <c r="P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/>
      <c r="K1765" s="8" t="n"/>
      <c r="L1765" s="7" t="inlineStr">
        <is>
          <t>SEM COTAÇÃO</t>
        </is>
      </c>
      <c r="M1765" s="8" t="n"/>
      <c r="N1765" s="14" t="n"/>
      <c r="O1765" s="7" t="inlineStr"/>
      <c r="P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/>
      <c r="K1766" s="8" t="n"/>
      <c r="L1766" s="7" t="inlineStr">
        <is>
          <t>SEM COTAÇÃO</t>
        </is>
      </c>
      <c r="M1766" s="8" t="n"/>
      <c r="N1766" s="14" t="n"/>
      <c r="O1766" s="7" t="inlineStr"/>
      <c r="P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/>
      <c r="K1767" s="8" t="n"/>
      <c r="L1767" s="7" t="inlineStr">
        <is>
          <t>SEM COTAÇÃO</t>
        </is>
      </c>
      <c r="M1767" s="8" t="n"/>
      <c r="N1767" s="14" t="n"/>
      <c r="O1767" s="7" t="inlineStr"/>
      <c r="P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/>
      <c r="K1768" s="8" t="n"/>
      <c r="L1768" s="7" t="inlineStr">
        <is>
          <t>SEM COTAÇÃO</t>
        </is>
      </c>
      <c r="M1768" s="8" t="n"/>
      <c r="N1768" s="14" t="n"/>
      <c r="O1768" s="7" t="inlineStr"/>
      <c r="P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/>
      <c r="K1769" s="8" t="n"/>
      <c r="L1769" s="7" t="inlineStr">
        <is>
          <t>SEM COTAÇÃO</t>
        </is>
      </c>
      <c r="M1769" s="8" t="n"/>
      <c r="N1769" s="14" t="n"/>
      <c r="O1769" s="7" t="inlineStr"/>
      <c r="P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/>
      <c r="K1770" s="8" t="n"/>
      <c r="L1770" s="7" t="inlineStr">
        <is>
          <t>SEM COTAÇÃO</t>
        </is>
      </c>
      <c r="M1770" s="8" t="n"/>
      <c r="N1770" s="14" t="n"/>
      <c r="O1770" s="7" t="inlineStr"/>
      <c r="P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/>
      <c r="K1771" s="8" t="n"/>
      <c r="L1771" s="7" t="inlineStr">
        <is>
          <t>SEM COTAÇÃO</t>
        </is>
      </c>
      <c r="M1771" s="8" t="n"/>
      <c r="N1771" s="14" t="n"/>
      <c r="O1771" s="7" t="inlineStr"/>
      <c r="P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/>
      <c r="K1772" s="8" t="n"/>
      <c r="L1772" s="7" t="inlineStr">
        <is>
          <t>SEM COTAÇÃO</t>
        </is>
      </c>
      <c r="M1772" s="8" t="n"/>
      <c r="N1772" s="14" t="n"/>
      <c r="O1772" s="7" t="inlineStr"/>
      <c r="P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/>
      <c r="K1773" s="8" t="n"/>
      <c r="L1773" s="7" t="inlineStr">
        <is>
          <t>SEM COTAÇÃO</t>
        </is>
      </c>
      <c r="M1773" s="8" t="n"/>
      <c r="N1773" s="14" t="n"/>
      <c r="O1773" s="7" t="inlineStr"/>
      <c r="P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/>
      <c r="K1774" s="8" t="n"/>
      <c r="L1774" s="7" t="inlineStr">
        <is>
          <t>SEM COTAÇÃO</t>
        </is>
      </c>
      <c r="M1774" s="8" t="n"/>
      <c r="N1774" s="14" t="n"/>
      <c r="O1774" s="7" t="inlineStr"/>
      <c r="P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/>
      <c r="K1775" s="8" t="n"/>
      <c r="L1775" s="7" t="inlineStr">
        <is>
          <t>SEM COTAÇÃO</t>
        </is>
      </c>
      <c r="M1775" s="8" t="n"/>
      <c r="N1775" s="14" t="n"/>
      <c r="O1775" s="7" t="inlineStr"/>
      <c r="P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/>
      <c r="K1776" s="8" t="n"/>
      <c r="L1776" s="7" t="inlineStr">
        <is>
          <t>SEM COTAÇÃO</t>
        </is>
      </c>
      <c r="M1776" s="8" t="n"/>
      <c r="N1776" s="14" t="n"/>
      <c r="O1776" s="7" t="inlineStr"/>
      <c r="P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/>
      <c r="K1777" s="8" t="n"/>
      <c r="L1777" s="7" t="inlineStr">
        <is>
          <t>SEM COTAÇÃO</t>
        </is>
      </c>
      <c r="M1777" s="8" t="n"/>
      <c r="N1777" s="14" t="n"/>
      <c r="O1777" s="7" t="inlineStr"/>
      <c r="P1777" s="7" t="inlineStr"/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15" t="n">
        <v>24.96</v>
      </c>
      <c r="K1778" s="8" t="n"/>
      <c r="L1778" s="7" t="inlineStr">
        <is>
          <t>DIMEC</t>
        </is>
      </c>
      <c r="M1778" s="8" t="n">
        <v>24.96</v>
      </c>
      <c r="N1778" s="14">
        <f>M1778/H1778-1</f>
        <v/>
      </c>
      <c r="O1778" s="16" t="inlineStr">
        <is>
          <t>ACIMA +15.0%</t>
        </is>
      </c>
      <c r="P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15" t="n">
        <v>43.2</v>
      </c>
      <c r="K1779" s="8" t="n"/>
      <c r="L1779" s="7" t="inlineStr">
        <is>
          <t>DIMEC</t>
        </is>
      </c>
      <c r="M1779" s="8" t="n">
        <v>43.2</v>
      </c>
      <c r="N1779" s="14">
        <f>M1779/H1779-1</f>
        <v/>
      </c>
      <c r="O1779" s="16" t="inlineStr">
        <is>
          <t>ACIMA +3.5%</t>
        </is>
      </c>
      <c r="P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/>
      <c r="K1780" s="8" t="n"/>
      <c r="L1780" s="7" t="inlineStr">
        <is>
          <t>SEM COTAÇÃO</t>
        </is>
      </c>
      <c r="M1780" s="8" t="n"/>
      <c r="N1780" s="14" t="n"/>
      <c r="O1780" s="7" t="inlineStr"/>
      <c r="P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/>
      <c r="K1781" s="8" t="n"/>
      <c r="L1781" s="7" t="inlineStr">
        <is>
          <t>SEM COTAÇÃO</t>
        </is>
      </c>
      <c r="M1781" s="8" t="n"/>
      <c r="N1781" s="14" t="n"/>
      <c r="O1781" s="7" t="inlineStr"/>
      <c r="P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15" t="n">
        <v>2.83</v>
      </c>
      <c r="K1782" s="8" t="n"/>
      <c r="L1782" s="7" t="inlineStr">
        <is>
          <t>DIMEC</t>
        </is>
      </c>
      <c r="M1782" s="8" t="n">
        <v>2.83</v>
      </c>
      <c r="N1782" s="14">
        <f>M1782/H1782-1</f>
        <v/>
      </c>
      <c r="O1782" s="17" t="inlineStr">
        <is>
          <t>OK (≤ menor hist.)</t>
        </is>
      </c>
      <c r="P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/>
      <c r="K1783" s="15" t="n">
        <v>13.85</v>
      </c>
      <c r="L1783" s="7" t="inlineStr">
        <is>
          <t>PLUSFARMA</t>
        </is>
      </c>
      <c r="M1783" s="8" t="n">
        <v>13.85</v>
      </c>
      <c r="N1783" s="14">
        <f>M1783/H1783-1</f>
        <v/>
      </c>
      <c r="O1783" s="16" t="inlineStr">
        <is>
          <t>ACIMA +21.5%</t>
        </is>
      </c>
      <c r="P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/>
      <c r="K1784" s="8" t="n"/>
      <c r="L1784" s="7" t="inlineStr">
        <is>
          <t>SEM COTAÇÃO</t>
        </is>
      </c>
      <c r="M1784" s="8" t="n"/>
      <c r="N1784" s="14" t="n"/>
      <c r="O1784" s="7" t="inlineStr"/>
      <c r="P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15" t="n">
        <v>12.33</v>
      </c>
      <c r="K1785" s="8" t="n"/>
      <c r="L1785" s="7" t="inlineStr">
        <is>
          <t>DIMEC</t>
        </is>
      </c>
      <c r="M1785" s="8" t="n">
        <v>12.33</v>
      </c>
      <c r="N1785" s="14">
        <f>M1785/H1785-1</f>
        <v/>
      </c>
      <c r="O1785" s="16" t="inlineStr">
        <is>
          <t>ACIMA +0.1%</t>
        </is>
      </c>
      <c r="P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/>
      <c r="K1786" s="8" t="n"/>
      <c r="L1786" s="7" t="inlineStr">
        <is>
          <t>SEM COTAÇÃO</t>
        </is>
      </c>
      <c r="M1786" s="8" t="n"/>
      <c r="N1786" s="14" t="n"/>
      <c r="O1786" s="7" t="inlineStr"/>
      <c r="P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15" t="n">
        <v>2.15</v>
      </c>
      <c r="K1787" s="8" t="n"/>
      <c r="L1787" s="7" t="inlineStr">
        <is>
          <t>DIMEC</t>
        </is>
      </c>
      <c r="M1787" s="8" t="n">
        <v>2.15</v>
      </c>
      <c r="N1787" s="14">
        <f>M1787/H1787-1</f>
        <v/>
      </c>
      <c r="O1787" s="17" t="inlineStr">
        <is>
          <t>OK (≤ menor hist.)</t>
        </is>
      </c>
      <c r="P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15" t="n">
        <v>3.71</v>
      </c>
      <c r="K1788" s="8" t="n"/>
      <c r="L1788" s="7" t="inlineStr">
        <is>
          <t>DIMEC</t>
        </is>
      </c>
      <c r="M1788" s="8" t="n">
        <v>3.71</v>
      </c>
      <c r="N1788" s="14">
        <f>M1788/H1788-1</f>
        <v/>
      </c>
      <c r="O1788" s="17" t="inlineStr">
        <is>
          <t>OK (≤ menor hist.)</t>
        </is>
      </c>
      <c r="P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15" t="n">
        <v>5.98</v>
      </c>
      <c r="K1789" s="8" t="n"/>
      <c r="L1789" s="7" t="inlineStr">
        <is>
          <t>DIMEC</t>
        </is>
      </c>
      <c r="M1789" s="8" t="n">
        <v>5.98</v>
      </c>
      <c r="N1789" s="14">
        <f>M1789/H1789-1</f>
        <v/>
      </c>
      <c r="O1789" s="17" t="inlineStr">
        <is>
          <t>OK (≤ últ. compra)</t>
        </is>
      </c>
      <c r="P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/>
      <c r="K1790" s="8" t="n"/>
      <c r="L1790" s="7" t="inlineStr">
        <is>
          <t>SEM COTAÇÃO</t>
        </is>
      </c>
      <c r="M1790" s="8" t="n"/>
      <c r="N1790" s="14" t="n"/>
      <c r="O1790" s="7" t="inlineStr"/>
      <c r="P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/>
      <c r="K1791" s="8" t="n"/>
      <c r="L1791" s="7" t="inlineStr">
        <is>
          <t>SEM COTAÇÃO</t>
        </is>
      </c>
      <c r="M1791" s="8" t="n"/>
      <c r="N1791" s="14" t="n"/>
      <c r="O1791" s="7" t="inlineStr"/>
      <c r="P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/>
      <c r="K1792" s="8" t="n"/>
      <c r="L1792" s="7" t="inlineStr">
        <is>
          <t>SEM COTAÇÃO</t>
        </is>
      </c>
      <c r="M1792" s="8" t="n"/>
      <c r="N1792" s="14" t="n"/>
      <c r="O1792" s="7" t="inlineStr"/>
      <c r="P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/>
      <c r="K1793" s="8" t="n"/>
      <c r="L1793" s="7" t="inlineStr">
        <is>
          <t>SEM COTAÇÃO</t>
        </is>
      </c>
      <c r="M1793" s="8" t="n"/>
      <c r="N1793" s="14" t="n"/>
      <c r="O1793" s="7" t="inlineStr"/>
      <c r="P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/>
      <c r="K1794" s="8" t="n"/>
      <c r="L1794" s="7" t="inlineStr">
        <is>
          <t>SEM COTAÇÃO</t>
        </is>
      </c>
      <c r="M1794" s="8" t="n"/>
      <c r="N1794" s="14" t="n"/>
      <c r="O1794" s="7" t="inlineStr"/>
      <c r="P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/>
      <c r="K1795" s="8" t="n"/>
      <c r="L1795" s="7" t="inlineStr">
        <is>
          <t>SEM COTAÇÃO</t>
        </is>
      </c>
      <c r="M1795" s="8" t="n"/>
      <c r="N1795" s="14" t="n"/>
      <c r="O1795" s="7" t="inlineStr"/>
      <c r="P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/>
      <c r="K1796" s="8" t="n"/>
      <c r="L1796" s="7" t="inlineStr">
        <is>
          <t>SEM COTAÇÃO</t>
        </is>
      </c>
      <c r="M1796" s="8" t="n"/>
      <c r="N1796" s="14" t="n"/>
      <c r="O1796" s="7" t="inlineStr"/>
      <c r="P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/>
      <c r="K1797" s="8" t="n"/>
      <c r="L1797" s="7" t="inlineStr">
        <is>
          <t>SEM COTAÇÃO</t>
        </is>
      </c>
      <c r="M1797" s="8" t="n"/>
      <c r="N1797" s="14" t="n"/>
      <c r="O1797" s="7" t="inlineStr"/>
      <c r="P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/>
      <c r="K1798" s="8" t="n"/>
      <c r="L1798" s="7" t="inlineStr">
        <is>
          <t>SEM COTAÇÃO</t>
        </is>
      </c>
      <c r="M1798" s="8" t="n"/>
      <c r="N1798" s="14" t="n"/>
      <c r="O1798" s="7" t="inlineStr"/>
      <c r="P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/>
      <c r="K1799" s="8" t="n"/>
      <c r="L1799" s="7" t="inlineStr">
        <is>
          <t>SEM COTAÇÃO</t>
        </is>
      </c>
      <c r="M1799" s="8" t="n"/>
      <c r="N1799" s="14" t="n"/>
      <c r="O1799" s="7" t="inlineStr"/>
      <c r="P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/>
      <c r="K1800" s="8" t="n"/>
      <c r="L1800" s="7" t="inlineStr">
        <is>
          <t>SEM COTAÇÃO</t>
        </is>
      </c>
      <c r="M1800" s="8" t="n"/>
      <c r="N1800" s="14" t="n"/>
      <c r="O1800" s="7" t="inlineStr"/>
      <c r="P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/>
      <c r="K1801" s="8" t="n"/>
      <c r="L1801" s="7" t="inlineStr">
        <is>
          <t>SEM COTAÇÃO</t>
        </is>
      </c>
      <c r="M1801" s="8" t="n"/>
      <c r="N1801" s="14" t="n"/>
      <c r="O1801" s="7" t="inlineStr"/>
      <c r="P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15" t="n">
        <v>19.83</v>
      </c>
      <c r="K1802" s="8" t="n"/>
      <c r="L1802" s="7" t="inlineStr">
        <is>
          <t>DIMEC</t>
        </is>
      </c>
      <c r="M1802" s="8" t="n">
        <v>19.83</v>
      </c>
      <c r="N1802" s="14">
        <f>M1802/H1802-1</f>
        <v/>
      </c>
      <c r="O1802" s="16" t="inlineStr">
        <is>
          <t>ACIMA +21.3%</t>
        </is>
      </c>
      <c r="P1802" s="7" t="inlineStr"/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/>
      <c r="K1803" s="8" t="n"/>
      <c r="L1803" s="7" t="inlineStr">
        <is>
          <t>SEM COTAÇÃO</t>
        </is>
      </c>
      <c r="M1803" s="8" t="n"/>
      <c r="N1803" s="14" t="n"/>
      <c r="O1803" s="7" t="inlineStr"/>
      <c r="P1803" s="7" t="inlineStr"/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/>
      <c r="K1804" s="8" t="n"/>
      <c r="L1804" s="7" t="inlineStr">
        <is>
          <t>SEM COTAÇÃO</t>
        </is>
      </c>
      <c r="M1804" s="8" t="n"/>
      <c r="N1804" s="14" t="n"/>
      <c r="O1804" s="7" t="inlineStr"/>
      <c r="P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/>
      <c r="K1805" s="8" t="n"/>
      <c r="L1805" s="7" t="inlineStr">
        <is>
          <t>SEM COTAÇÃO</t>
        </is>
      </c>
      <c r="M1805" s="8" t="n"/>
      <c r="N1805" s="14" t="n"/>
      <c r="O1805" s="7" t="inlineStr"/>
      <c r="P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/>
      <c r="K1806" s="8" t="n"/>
      <c r="L1806" s="7" t="inlineStr">
        <is>
          <t>SEM COTAÇÃO</t>
        </is>
      </c>
      <c r="M1806" s="8" t="n"/>
      <c r="N1806" s="14" t="n"/>
      <c r="O1806" s="7" t="inlineStr"/>
      <c r="P1806" s="7" t="inlineStr"/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/>
      <c r="K1807" s="8" t="n"/>
      <c r="L1807" s="7" t="inlineStr">
        <is>
          <t>SEM COTAÇÃO</t>
        </is>
      </c>
      <c r="M1807" s="8" t="n"/>
      <c r="N1807" s="14" t="n"/>
      <c r="O1807" s="7" t="inlineStr"/>
      <c r="P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/>
      <c r="K1808" s="8" t="n"/>
      <c r="L1808" s="7" t="inlineStr">
        <is>
          <t>SEM COTAÇÃO</t>
        </is>
      </c>
      <c r="M1808" s="8" t="n"/>
      <c r="N1808" s="14" t="n"/>
      <c r="O1808" s="7" t="inlineStr"/>
      <c r="P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/>
      <c r="K1809" s="8" t="n"/>
      <c r="L1809" s="7" t="inlineStr">
        <is>
          <t>SEM COTAÇÃO</t>
        </is>
      </c>
      <c r="M1809" s="8" t="n"/>
      <c r="N1809" s="14" t="n"/>
      <c r="O1809" s="7" t="inlineStr"/>
      <c r="P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15" t="n">
        <v>9.76</v>
      </c>
      <c r="K1810" s="8" t="n"/>
      <c r="L1810" s="7" t="inlineStr">
        <is>
          <t>DIMEC</t>
        </is>
      </c>
      <c r="M1810" s="8" t="n">
        <v>9.76</v>
      </c>
      <c r="N1810" s="14">
        <f>M1810/H1810-1</f>
        <v/>
      </c>
      <c r="O1810" s="16" t="inlineStr">
        <is>
          <t>ACIMA +2.6%</t>
        </is>
      </c>
      <c r="P1810" s="7" t="inlineStr"/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16.73</v>
      </c>
      <c r="K1811" s="15" t="n">
        <v>16.49</v>
      </c>
      <c r="L1811" s="7" t="inlineStr">
        <is>
          <t>PLUSFARMA</t>
        </is>
      </c>
      <c r="M1811" s="8" t="n">
        <v>16.49</v>
      </c>
      <c r="N1811" s="14">
        <f>M1811/H1811-1</f>
        <v/>
      </c>
      <c r="O1811" s="16" t="inlineStr">
        <is>
          <t>ACIMA +3.1%</t>
        </is>
      </c>
      <c r="P1811" s="7" t="inlineStr"/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15" t="n">
        <v>16.45</v>
      </c>
      <c r="K1812" s="8" t="n">
        <v>17.1</v>
      </c>
      <c r="L1812" s="7" t="inlineStr">
        <is>
          <t>DIMEC</t>
        </is>
      </c>
      <c r="M1812" s="8" t="n">
        <v>16.45</v>
      </c>
      <c r="N1812" s="14">
        <f>M1812/H1812-1</f>
        <v/>
      </c>
      <c r="O1812" s="16" t="inlineStr">
        <is>
          <t>ACIMA +5.6%</t>
        </is>
      </c>
      <c r="P1812" s="7" t="inlineStr"/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/>
      <c r="K1813" s="8" t="n"/>
      <c r="L1813" s="7" t="inlineStr">
        <is>
          <t>SEM COTAÇÃO</t>
        </is>
      </c>
      <c r="M1813" s="8" t="n"/>
      <c r="N1813" s="14" t="n"/>
      <c r="O1813" s="7" t="inlineStr"/>
      <c r="P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/>
      <c r="K1814" s="8" t="n"/>
      <c r="L1814" s="7" t="inlineStr">
        <is>
          <t>SEM COTAÇÃO</t>
        </is>
      </c>
      <c r="M1814" s="8" t="n"/>
      <c r="N1814" s="14" t="n"/>
      <c r="O1814" s="7" t="inlineStr"/>
      <c r="P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7" t="inlineStr">
        <is>
          <t>SEM COTAÇÃO</t>
        </is>
      </c>
      <c r="M1815" s="8" t="n"/>
      <c r="N1815" s="14" t="n"/>
      <c r="O1815" s="7" t="inlineStr"/>
      <c r="P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/>
      <c r="K1816" s="8" t="n"/>
      <c r="L1816" s="7" t="inlineStr">
        <is>
          <t>SEM COTAÇÃO</t>
        </is>
      </c>
      <c r="M1816" s="8" t="n"/>
      <c r="N1816" s="14" t="n"/>
      <c r="O1816" s="7" t="inlineStr"/>
      <c r="P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/>
      <c r="K1817" s="8" t="n"/>
      <c r="L1817" s="7" t="inlineStr">
        <is>
          <t>SEM COTAÇÃO</t>
        </is>
      </c>
      <c r="M1817" s="8" t="n"/>
      <c r="N1817" s="14" t="n"/>
      <c r="O1817" s="7" t="inlineStr"/>
      <c r="P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/>
      <c r="K1818" s="8" t="n"/>
      <c r="L1818" s="7" t="inlineStr">
        <is>
          <t>SEM COTAÇÃO</t>
        </is>
      </c>
      <c r="M1818" s="8" t="n"/>
      <c r="N1818" s="14" t="n"/>
      <c r="O1818" s="7" t="inlineStr"/>
      <c r="P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15" t="n">
        <v>0.32</v>
      </c>
      <c r="K1819" s="8" t="n"/>
      <c r="L1819" s="7" t="inlineStr">
        <is>
          <t>DIMEC</t>
        </is>
      </c>
      <c r="M1819" s="8" t="n">
        <v>0.32</v>
      </c>
      <c r="N1819" s="14">
        <f>M1819/H1819-1</f>
        <v/>
      </c>
      <c r="O1819" s="17" t="inlineStr">
        <is>
          <t>OK (≤ menor hist.)</t>
        </is>
      </c>
      <c r="P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15" t="n">
        <v>7.42</v>
      </c>
      <c r="K1820" s="8" t="n">
        <v>99999999</v>
      </c>
      <c r="L1820" s="7" t="inlineStr">
        <is>
          <t>DIMEC</t>
        </is>
      </c>
      <c r="M1820" s="8" t="n">
        <v>7.42</v>
      </c>
      <c r="N1820" s="14">
        <f>M1820/H1820-1</f>
        <v/>
      </c>
      <c r="O1820" s="16" t="inlineStr">
        <is>
          <t>ACIMA +4.7%</t>
        </is>
      </c>
      <c r="P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/>
      <c r="K1821" s="8" t="n"/>
      <c r="L1821" s="7" t="inlineStr">
        <is>
          <t>SEM COTAÇÃO</t>
        </is>
      </c>
      <c r="M1821" s="8" t="n"/>
      <c r="N1821" s="14" t="n"/>
      <c r="O1821" s="7" t="inlineStr"/>
      <c r="P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/>
      <c r="K1822" s="8" t="n"/>
      <c r="L1822" s="7" t="inlineStr">
        <is>
          <t>SEM COTAÇÃO</t>
        </is>
      </c>
      <c r="M1822" s="8" t="n"/>
      <c r="N1822" s="14" t="n"/>
      <c r="O1822" s="7" t="inlineStr"/>
      <c r="P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15" t="n">
        <v>4.4</v>
      </c>
      <c r="K1823" s="8" t="n"/>
      <c r="L1823" s="7" t="inlineStr">
        <is>
          <t>DIMEC</t>
        </is>
      </c>
      <c r="M1823" s="8" t="n">
        <v>4.4</v>
      </c>
      <c r="N1823" s="14">
        <f>M1823/H1823-1</f>
        <v/>
      </c>
      <c r="O1823" s="16" t="inlineStr">
        <is>
          <t>ACIMA +25.0%</t>
        </is>
      </c>
      <c r="P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/>
      <c r="K1824" s="8" t="n"/>
      <c r="L1824" s="7" t="inlineStr">
        <is>
          <t>SEM COTAÇÃO</t>
        </is>
      </c>
      <c r="M1824" s="8" t="n"/>
      <c r="N1824" s="14" t="n"/>
      <c r="O1824" s="7" t="inlineStr"/>
      <c r="P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/>
      <c r="K1825" s="8" t="n"/>
      <c r="L1825" s="7" t="inlineStr">
        <is>
          <t>SEM COTAÇÃO</t>
        </is>
      </c>
      <c r="M1825" s="8" t="n"/>
      <c r="N1825" s="14" t="n"/>
      <c r="O1825" s="7" t="inlineStr"/>
      <c r="P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/>
      <c r="K1826" s="8" t="n"/>
      <c r="L1826" s="7" t="inlineStr">
        <is>
          <t>SEM COTAÇÃO</t>
        </is>
      </c>
      <c r="M1826" s="8" t="n"/>
      <c r="N1826" s="14" t="n"/>
      <c r="O1826" s="7" t="inlineStr"/>
      <c r="P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/>
      <c r="K1827" s="8" t="n"/>
      <c r="L1827" s="7" t="inlineStr">
        <is>
          <t>SEM COTAÇÃO</t>
        </is>
      </c>
      <c r="M1827" s="8" t="n"/>
      <c r="N1827" s="14" t="n"/>
      <c r="O1827" s="7" t="inlineStr"/>
      <c r="P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/>
      <c r="K1828" s="8" t="n"/>
      <c r="L1828" s="7" t="inlineStr">
        <is>
          <t>SEM COTAÇÃO</t>
        </is>
      </c>
      <c r="M1828" s="8" t="n"/>
      <c r="N1828" s="14" t="n"/>
      <c r="O1828" s="7" t="inlineStr"/>
      <c r="P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/>
      <c r="K1829" s="8" t="n"/>
      <c r="L1829" s="7" t="inlineStr">
        <is>
          <t>SEM COTAÇÃO</t>
        </is>
      </c>
      <c r="M1829" s="8" t="n"/>
      <c r="N1829" s="14" t="n"/>
      <c r="O1829" s="7" t="inlineStr"/>
      <c r="P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/>
      <c r="K1830" s="8" t="n"/>
      <c r="L1830" s="7" t="inlineStr">
        <is>
          <t>SEM COTAÇÃO</t>
        </is>
      </c>
      <c r="M1830" s="8" t="n"/>
      <c r="N1830" s="14" t="n"/>
      <c r="O1830" s="7" t="inlineStr"/>
      <c r="P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/>
      <c r="K1831" s="8" t="n"/>
      <c r="L1831" s="7" t="inlineStr">
        <is>
          <t>SEM COTAÇÃO</t>
        </is>
      </c>
      <c r="M1831" s="8" t="n"/>
      <c r="N1831" s="14" t="n"/>
      <c r="O1831" s="7" t="inlineStr"/>
      <c r="P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15" t="n">
        <v>2.256458333333333</v>
      </c>
      <c r="K1832" s="8" t="n"/>
      <c r="L1832" s="7" t="inlineStr">
        <is>
          <t>DIMEC</t>
        </is>
      </c>
      <c r="M1832" s="8" t="n">
        <v>2.256458333333333</v>
      </c>
      <c r="N1832" s="14">
        <f>M1832/H1832-1</f>
        <v/>
      </c>
      <c r="O1832" s="17" t="inlineStr">
        <is>
          <t>OK (≤ últ. compra)</t>
        </is>
      </c>
      <c r="P1832" s="7" t="inlineStr">
        <is>
          <t>DIMEC: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7" t="inlineStr">
        <is>
          <t>SEM COTAÇÃO</t>
        </is>
      </c>
      <c r="M1833" s="8" t="n"/>
      <c r="N1833" s="14" t="n"/>
      <c r="O1833" s="7" t="inlineStr"/>
      <c r="P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/>
      <c r="K1834" s="8" t="n"/>
      <c r="L1834" s="7" t="inlineStr">
        <is>
          <t>SEM COTAÇÃO</t>
        </is>
      </c>
      <c r="M1834" s="8" t="n"/>
      <c r="N1834" s="14" t="n"/>
      <c r="O1834" s="7" t="inlineStr"/>
      <c r="P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/>
      <c r="K1835" s="8" t="n"/>
      <c r="L1835" s="7" t="inlineStr">
        <is>
          <t>SEM COTAÇÃO</t>
        </is>
      </c>
      <c r="M1835" s="8" t="n"/>
      <c r="N1835" s="14" t="n"/>
      <c r="O1835" s="7" t="inlineStr"/>
      <c r="P1835" s="7" t="inlineStr"/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/>
      <c r="K1836" s="8" t="n"/>
      <c r="L1836" s="7" t="inlineStr">
        <is>
          <t>SEM COTAÇÃO</t>
        </is>
      </c>
      <c r="M1836" s="8" t="n"/>
      <c r="N1836" s="14" t="n"/>
      <c r="O1836" s="7" t="inlineStr"/>
      <c r="P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/>
      <c r="K1837" s="8" t="n"/>
      <c r="L1837" s="7" t="inlineStr">
        <is>
          <t>SEM COTAÇÃO</t>
        </is>
      </c>
      <c r="M1837" s="8" t="n"/>
      <c r="N1837" s="14" t="n"/>
      <c r="O1837" s="7" t="inlineStr"/>
      <c r="P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/>
      <c r="K1838" s="8" t="n"/>
      <c r="L1838" s="7" t="inlineStr">
        <is>
          <t>SEM COTAÇÃO</t>
        </is>
      </c>
      <c r="M1838" s="8" t="n"/>
      <c r="N1838" s="14" t="n"/>
      <c r="O1838" s="7" t="inlineStr"/>
      <c r="P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/>
      <c r="K1839" s="8" t="n"/>
      <c r="L1839" s="7" t="inlineStr">
        <is>
          <t>SEM COTAÇÃO</t>
        </is>
      </c>
      <c r="M1839" s="8" t="n"/>
      <c r="N1839" s="14" t="n"/>
      <c r="O1839" s="7" t="inlineStr"/>
      <c r="P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/>
      <c r="K1840" s="8" t="n"/>
      <c r="L1840" s="7" t="inlineStr">
        <is>
          <t>SEM COTAÇÃO</t>
        </is>
      </c>
      <c r="M1840" s="8" t="n"/>
      <c r="N1840" s="14" t="n"/>
      <c r="O1840" s="7" t="inlineStr"/>
      <c r="P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/>
      <c r="K1841" s="8" t="n"/>
      <c r="L1841" s="7" t="inlineStr">
        <is>
          <t>SEM COTAÇÃO</t>
        </is>
      </c>
      <c r="M1841" s="8" t="n"/>
      <c r="N1841" s="14" t="n"/>
      <c r="O1841" s="7" t="inlineStr"/>
      <c r="P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/>
      <c r="K1842" s="8" t="n"/>
      <c r="L1842" s="7" t="inlineStr">
        <is>
          <t>SEM COTAÇÃO</t>
        </is>
      </c>
      <c r="M1842" s="8" t="n"/>
      <c r="N1842" s="14" t="n"/>
      <c r="O1842" s="7" t="inlineStr"/>
      <c r="P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/>
      <c r="K1843" s="8" t="n"/>
      <c r="L1843" s="7" t="inlineStr">
        <is>
          <t>SEM COTAÇÃO</t>
        </is>
      </c>
      <c r="M1843" s="8" t="n"/>
      <c r="N1843" s="14" t="n"/>
      <c r="O1843" s="7" t="inlineStr"/>
      <c r="P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7" t="inlineStr">
        <is>
          <t>SEM COTAÇÃO</t>
        </is>
      </c>
      <c r="M1844" s="8" t="n"/>
      <c r="N1844" s="14" t="n"/>
      <c r="O1844" s="7" t="inlineStr"/>
      <c r="P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/>
      <c r="K1845" s="8" t="n"/>
      <c r="L1845" s="7" t="inlineStr">
        <is>
          <t>SEM COTAÇÃO</t>
        </is>
      </c>
      <c r="M1845" s="8" t="n"/>
      <c r="N1845" s="14" t="n"/>
      <c r="O1845" s="7" t="inlineStr"/>
      <c r="P1845" s="7" t="inlineStr"/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/>
      <c r="K1846" s="8" t="n"/>
      <c r="L1846" s="7" t="inlineStr">
        <is>
          <t>SEM COTAÇÃO</t>
        </is>
      </c>
      <c r="M1846" s="8" t="n"/>
      <c r="N1846" s="14" t="n"/>
      <c r="O1846" s="7" t="inlineStr"/>
      <c r="P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/>
      <c r="K1847" s="15" t="n">
        <v>19.99</v>
      </c>
      <c r="L1847" s="7" t="inlineStr">
        <is>
          <t>PLUSFARMA</t>
        </is>
      </c>
      <c r="M1847" s="8" t="n">
        <v>19.99</v>
      </c>
      <c r="N1847" s="14">
        <f>M1847/H1847-1</f>
        <v/>
      </c>
      <c r="O1847" s="16" t="inlineStr">
        <is>
          <t>ACIMA +6.4%</t>
        </is>
      </c>
      <c r="P1847" s="7" t="inlineStr"/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/>
      <c r="K1848" s="8" t="n"/>
      <c r="L1848" s="7" t="inlineStr">
        <is>
          <t>SEM COTAÇÃO</t>
        </is>
      </c>
      <c r="M1848" s="8" t="n"/>
      <c r="N1848" s="14" t="n"/>
      <c r="O1848" s="7" t="inlineStr"/>
      <c r="P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/>
      <c r="K1849" s="8" t="n"/>
      <c r="L1849" s="7" t="inlineStr">
        <is>
          <t>SEM COTAÇÃO</t>
        </is>
      </c>
      <c r="M1849" s="8" t="n"/>
      <c r="N1849" s="14" t="n"/>
      <c r="O1849" s="7" t="inlineStr"/>
      <c r="P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/>
      <c r="K1850" s="8" t="n"/>
      <c r="L1850" s="7" t="inlineStr">
        <is>
          <t>SEM COTAÇÃO</t>
        </is>
      </c>
      <c r="M1850" s="8" t="n"/>
      <c r="N1850" s="14" t="n"/>
      <c r="O1850" s="7" t="inlineStr"/>
      <c r="P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/>
      <c r="K1851" s="8" t="n"/>
      <c r="L1851" s="7" t="inlineStr">
        <is>
          <t>SEM COTAÇÃO</t>
        </is>
      </c>
      <c r="M1851" s="8" t="n"/>
      <c r="N1851" s="14" t="n"/>
      <c r="O1851" s="7" t="inlineStr"/>
      <c r="P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/>
      <c r="K1852" s="8" t="n"/>
      <c r="L1852" s="7" t="inlineStr">
        <is>
          <t>SEM COTAÇÃO</t>
        </is>
      </c>
      <c r="M1852" s="8" t="n"/>
      <c r="N1852" s="14" t="n"/>
      <c r="O1852" s="7" t="inlineStr"/>
      <c r="P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/>
      <c r="K1853" s="8" t="n"/>
      <c r="L1853" s="7" t="inlineStr">
        <is>
          <t>SEM COTAÇÃO</t>
        </is>
      </c>
      <c r="M1853" s="8" t="n"/>
      <c r="N1853" s="14" t="n"/>
      <c r="O1853" s="7" t="inlineStr"/>
      <c r="P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/>
      <c r="K1854" s="8" t="n"/>
      <c r="L1854" s="7" t="inlineStr">
        <is>
          <t>SEM COTAÇÃO</t>
        </is>
      </c>
      <c r="M1854" s="8" t="n"/>
      <c r="N1854" s="14" t="n"/>
      <c r="O1854" s="7" t="inlineStr"/>
      <c r="P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/>
      <c r="K1855" s="8" t="n"/>
      <c r="L1855" s="7" t="inlineStr">
        <is>
          <t>SEM COTAÇÃO</t>
        </is>
      </c>
      <c r="M1855" s="8" t="n"/>
      <c r="N1855" s="14" t="n"/>
      <c r="O1855" s="7" t="inlineStr"/>
      <c r="P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/>
      <c r="K1856" s="8" t="n"/>
      <c r="L1856" s="7" t="inlineStr">
        <is>
          <t>SEM COTAÇÃO</t>
        </is>
      </c>
      <c r="M1856" s="8" t="n"/>
      <c r="N1856" s="14" t="n"/>
      <c r="O1856" s="7" t="inlineStr"/>
      <c r="P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/>
      <c r="K1857" s="8" t="n"/>
      <c r="L1857" s="7" t="inlineStr">
        <is>
          <t>SEM COTAÇÃO</t>
        </is>
      </c>
      <c r="M1857" s="8" t="n"/>
      <c r="N1857" s="14" t="n"/>
      <c r="O1857" s="7" t="inlineStr"/>
      <c r="P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/>
      <c r="K1858" s="8" t="n"/>
      <c r="L1858" s="7" t="inlineStr">
        <is>
          <t>SEM COTAÇÃO</t>
        </is>
      </c>
      <c r="M1858" s="8" t="n"/>
      <c r="N1858" s="14" t="n"/>
      <c r="O1858" s="7" t="inlineStr"/>
      <c r="P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/>
      <c r="K1859" s="8" t="n"/>
      <c r="L1859" s="7" t="inlineStr">
        <is>
          <t>SEM COTAÇÃO</t>
        </is>
      </c>
      <c r="M1859" s="8" t="n"/>
      <c r="N1859" s="14" t="n"/>
      <c r="O1859" s="7" t="inlineStr"/>
      <c r="P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/>
      <c r="K1860" s="8" t="n"/>
      <c r="L1860" s="7" t="inlineStr">
        <is>
          <t>SEM COTAÇÃO</t>
        </is>
      </c>
      <c r="M1860" s="8" t="n"/>
      <c r="N1860" s="14" t="n"/>
      <c r="O1860" s="7" t="inlineStr"/>
      <c r="P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/>
      <c r="K1861" s="8" t="n"/>
      <c r="L1861" s="7" t="inlineStr">
        <is>
          <t>SEM COTAÇÃO</t>
        </is>
      </c>
      <c r="M1861" s="8" t="n"/>
      <c r="N1861" s="14" t="n"/>
      <c r="O1861" s="7" t="inlineStr"/>
      <c r="P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/>
      <c r="K1862" s="8" t="n"/>
      <c r="L1862" s="7" t="inlineStr">
        <is>
          <t>SEM COTAÇÃO</t>
        </is>
      </c>
      <c r="M1862" s="8" t="n"/>
      <c r="N1862" s="14" t="n"/>
      <c r="O1862" s="7" t="inlineStr"/>
      <c r="P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/>
      <c r="K1863" s="8" t="n"/>
      <c r="L1863" s="7" t="inlineStr">
        <is>
          <t>SEM COTAÇÃO</t>
        </is>
      </c>
      <c r="M1863" s="8" t="n"/>
      <c r="N1863" s="14" t="n"/>
      <c r="O1863" s="7" t="inlineStr"/>
      <c r="P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/>
      <c r="K1864" s="8" t="n"/>
      <c r="L1864" s="7" t="inlineStr">
        <is>
          <t>SEM COTAÇÃO</t>
        </is>
      </c>
      <c r="M1864" s="8" t="n"/>
      <c r="N1864" s="14" t="n"/>
      <c r="O1864" s="7" t="inlineStr"/>
      <c r="P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/>
      <c r="K1865" s="8" t="n"/>
      <c r="L1865" s="7" t="inlineStr">
        <is>
          <t>SEM COTAÇÃO</t>
        </is>
      </c>
      <c r="M1865" s="8" t="n"/>
      <c r="N1865" s="14" t="n"/>
      <c r="O1865" s="7" t="inlineStr"/>
      <c r="P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/>
      <c r="K1866" s="8" t="n"/>
      <c r="L1866" s="7" t="inlineStr">
        <is>
          <t>SEM COTAÇÃO</t>
        </is>
      </c>
      <c r="M1866" s="8" t="n"/>
      <c r="N1866" s="14" t="n"/>
      <c r="O1866" s="7" t="inlineStr"/>
      <c r="P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/>
      <c r="K1867" s="8" t="n"/>
      <c r="L1867" s="7" t="inlineStr">
        <is>
          <t>SEM COTAÇÃO</t>
        </is>
      </c>
      <c r="M1867" s="8" t="n"/>
      <c r="N1867" s="14" t="n"/>
      <c r="O1867" s="7" t="inlineStr"/>
      <c r="P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/>
      <c r="K1868" s="8" t="n"/>
      <c r="L1868" s="7" t="inlineStr">
        <is>
          <t>SEM COTAÇÃO</t>
        </is>
      </c>
      <c r="M1868" s="8" t="n"/>
      <c r="N1868" s="14" t="n"/>
      <c r="O1868" s="7" t="inlineStr"/>
      <c r="P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/>
      <c r="K1869" s="8" t="n"/>
      <c r="L1869" s="7" t="inlineStr">
        <is>
          <t>SEM COTAÇÃO</t>
        </is>
      </c>
      <c r="M1869" s="8" t="n"/>
      <c r="N1869" s="14" t="n"/>
      <c r="O1869" s="7" t="inlineStr"/>
      <c r="P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/>
      <c r="K1870" s="8" t="n"/>
      <c r="L1870" s="7" t="inlineStr">
        <is>
          <t>SEM COTAÇÃO</t>
        </is>
      </c>
      <c r="M1870" s="8" t="n"/>
      <c r="N1870" s="14" t="n"/>
      <c r="O1870" s="7" t="inlineStr"/>
      <c r="P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/>
      <c r="K1871" s="8" t="n"/>
      <c r="L1871" s="7" t="inlineStr">
        <is>
          <t>SEM COTAÇÃO</t>
        </is>
      </c>
      <c r="M1871" s="8" t="n"/>
      <c r="N1871" s="14" t="n"/>
      <c r="O1871" s="7" t="inlineStr"/>
      <c r="P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/>
      <c r="K1872" s="8" t="n"/>
      <c r="L1872" s="7" t="inlineStr">
        <is>
          <t>SEM COTAÇÃO</t>
        </is>
      </c>
      <c r="M1872" s="8" t="n"/>
      <c r="N1872" s="14" t="n"/>
      <c r="O1872" s="7" t="inlineStr"/>
      <c r="P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/>
      <c r="K1873" s="8" t="n"/>
      <c r="L1873" s="7" t="inlineStr">
        <is>
          <t>SEM COTAÇÃO</t>
        </is>
      </c>
      <c r="M1873" s="8" t="n"/>
      <c r="N1873" s="14" t="n"/>
      <c r="O1873" s="7" t="inlineStr"/>
      <c r="P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/>
      <c r="K1874" s="8" t="n"/>
      <c r="L1874" s="7" t="inlineStr">
        <is>
          <t>SEM COTAÇÃO</t>
        </is>
      </c>
      <c r="M1874" s="8" t="n"/>
      <c r="N1874" s="14" t="n"/>
      <c r="O1874" s="7" t="inlineStr"/>
      <c r="P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/>
      <c r="K1875" s="8" t="n"/>
      <c r="L1875" s="7" t="inlineStr">
        <is>
          <t>SEM COTAÇÃO</t>
        </is>
      </c>
      <c r="M1875" s="8" t="n"/>
      <c r="N1875" s="14" t="n"/>
      <c r="O1875" s="7" t="inlineStr"/>
      <c r="P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/>
      <c r="K1876" s="8" t="n"/>
      <c r="L1876" s="7" t="inlineStr">
        <is>
          <t>SEM COTAÇÃO</t>
        </is>
      </c>
      <c r="M1876" s="8" t="n"/>
      <c r="N1876" s="14" t="n"/>
      <c r="O1876" s="7" t="inlineStr"/>
      <c r="P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/>
      <c r="K1877" s="8" t="n"/>
      <c r="L1877" s="7" t="inlineStr">
        <is>
          <t>SEM COTAÇÃO</t>
        </is>
      </c>
      <c r="M1877" s="8" t="n"/>
      <c r="N1877" s="14" t="n"/>
      <c r="O1877" s="7" t="inlineStr"/>
      <c r="P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/>
      <c r="K1878" s="8" t="n"/>
      <c r="L1878" s="7" t="inlineStr">
        <is>
          <t>SEM COTAÇÃO</t>
        </is>
      </c>
      <c r="M1878" s="8" t="n"/>
      <c r="N1878" s="14" t="n"/>
      <c r="O1878" s="7" t="inlineStr"/>
      <c r="P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/>
      <c r="K1879" s="8" t="n"/>
      <c r="L1879" s="7" t="inlineStr">
        <is>
          <t>SEM COTAÇÃO</t>
        </is>
      </c>
      <c r="M1879" s="8" t="n"/>
      <c r="N1879" s="14" t="n"/>
      <c r="O1879" s="7" t="inlineStr"/>
      <c r="P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/>
      <c r="K1880" s="8" t="n"/>
      <c r="L1880" s="7" t="inlineStr">
        <is>
          <t>SEM COTAÇÃO</t>
        </is>
      </c>
      <c r="M1880" s="8" t="n"/>
      <c r="N1880" s="14" t="n"/>
      <c r="O1880" s="7" t="inlineStr"/>
      <c r="P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/>
      <c r="K1881" s="8" t="n"/>
      <c r="L1881" s="7" t="inlineStr">
        <is>
          <t>SEM COTAÇÃO</t>
        </is>
      </c>
      <c r="M1881" s="8" t="n"/>
      <c r="N1881" s="14" t="n"/>
      <c r="O1881" s="7" t="inlineStr"/>
      <c r="P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/>
      <c r="K1882" s="8" t="n"/>
      <c r="L1882" s="7" t="inlineStr">
        <is>
          <t>SEM COTAÇÃO</t>
        </is>
      </c>
      <c r="M1882" s="8" t="n"/>
      <c r="N1882" s="14" t="n"/>
      <c r="O1882" s="7" t="inlineStr"/>
      <c r="P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/>
      <c r="K1883" s="8" t="n"/>
      <c r="L1883" s="7" t="inlineStr">
        <is>
          <t>SEM COTAÇÃO</t>
        </is>
      </c>
      <c r="M1883" s="8" t="n"/>
      <c r="N1883" s="14" t="n"/>
      <c r="O1883" s="7" t="inlineStr"/>
      <c r="P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/>
      <c r="K1884" s="8" t="n"/>
      <c r="L1884" s="7" t="inlineStr">
        <is>
          <t>SEM COTAÇÃO</t>
        </is>
      </c>
      <c r="M1884" s="8" t="n"/>
      <c r="N1884" s="14" t="n"/>
      <c r="O1884" s="7" t="inlineStr"/>
      <c r="P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/>
      <c r="K1885" s="8" t="n"/>
      <c r="L1885" s="7" t="inlineStr">
        <is>
          <t>SEM COTAÇÃO</t>
        </is>
      </c>
      <c r="M1885" s="8" t="n"/>
      <c r="N1885" s="14" t="n"/>
      <c r="O1885" s="7" t="inlineStr"/>
      <c r="P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7" t="inlineStr">
        <is>
          <t>SEM COTAÇÃO</t>
        </is>
      </c>
      <c r="M1886" s="8" t="n"/>
      <c r="N1886" s="14" t="n"/>
      <c r="O1886" s="7" t="inlineStr"/>
      <c r="P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/>
      <c r="K1887" s="8" t="n"/>
      <c r="L1887" s="7" t="inlineStr">
        <is>
          <t>SEM COTAÇÃO</t>
        </is>
      </c>
      <c r="M1887" s="8" t="n"/>
      <c r="N1887" s="14" t="n"/>
      <c r="O1887" s="7" t="inlineStr"/>
      <c r="P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15" t="n">
        <v>2.23</v>
      </c>
      <c r="K1888" s="8" t="n"/>
      <c r="L1888" s="7" t="inlineStr">
        <is>
          <t>DIMEC</t>
        </is>
      </c>
      <c r="M1888" s="8" t="n">
        <v>2.23</v>
      </c>
      <c r="N1888" s="14">
        <f>M1888/H1888-1</f>
        <v/>
      </c>
      <c r="O1888" s="17" t="inlineStr">
        <is>
          <t>OK (≤ menor hist.)</t>
        </is>
      </c>
      <c r="P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15" t="n">
        <v>3.14</v>
      </c>
      <c r="K1889" s="8" t="n"/>
      <c r="L1889" s="7" t="inlineStr">
        <is>
          <t>DIMEC</t>
        </is>
      </c>
      <c r="M1889" s="8" t="n">
        <v>3.14</v>
      </c>
      <c r="N1889" s="14">
        <f>M1889/H1889-1</f>
        <v/>
      </c>
      <c r="O1889" s="17" t="inlineStr">
        <is>
          <t>OK (≤ menor hist.)</t>
        </is>
      </c>
      <c r="P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/>
      <c r="K1890" s="8" t="n"/>
      <c r="L1890" s="7" t="inlineStr">
        <is>
          <t>SEM COTAÇÃO</t>
        </is>
      </c>
      <c r="M1890" s="8" t="n"/>
      <c r="N1890" s="14" t="n"/>
      <c r="O1890" s="7" t="inlineStr"/>
      <c r="P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15" t="n">
        <v>20.48</v>
      </c>
      <c r="K1891" s="8" t="n"/>
      <c r="L1891" s="7" t="inlineStr">
        <is>
          <t>DIMEC</t>
        </is>
      </c>
      <c r="M1891" s="8" t="n">
        <v>20.48</v>
      </c>
      <c r="N1891" s="14">
        <f>M1891/H1891-1</f>
        <v/>
      </c>
      <c r="O1891" s="17" t="inlineStr">
        <is>
          <t>OK (≤ menor hist.)</t>
        </is>
      </c>
      <c r="P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/>
      <c r="K1892" s="8" t="n"/>
      <c r="L1892" s="7" t="inlineStr">
        <is>
          <t>SEM COTAÇÃO</t>
        </is>
      </c>
      <c r="M1892" s="8" t="n"/>
      <c r="N1892" s="14" t="n"/>
      <c r="O1892" s="7" t="inlineStr"/>
      <c r="P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/>
      <c r="K1893" s="8" t="n"/>
      <c r="L1893" s="7" t="inlineStr">
        <is>
          <t>SEM COTAÇÃO</t>
        </is>
      </c>
      <c r="M1893" s="8" t="n"/>
      <c r="N1893" s="14" t="n"/>
      <c r="O1893" s="7" t="inlineStr"/>
      <c r="P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/>
      <c r="K1894" s="8" t="n"/>
      <c r="L1894" s="7" t="inlineStr">
        <is>
          <t>SEM COTAÇÃO</t>
        </is>
      </c>
      <c r="M1894" s="8" t="n"/>
      <c r="N1894" s="14" t="n"/>
      <c r="O1894" s="7" t="inlineStr"/>
      <c r="P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/>
      <c r="K1895" s="8" t="n"/>
      <c r="L1895" s="7" t="inlineStr">
        <is>
          <t>SEM COTAÇÃO</t>
        </is>
      </c>
      <c r="M1895" s="8" t="n"/>
      <c r="N1895" s="14" t="n"/>
      <c r="O1895" s="7" t="inlineStr"/>
      <c r="P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15" t="n">
        <v>19.89</v>
      </c>
      <c r="K1896" s="8" t="n"/>
      <c r="L1896" s="7" t="inlineStr">
        <is>
          <t>DIMEC</t>
        </is>
      </c>
      <c r="M1896" s="8" t="n">
        <v>19.89</v>
      </c>
      <c r="N1896" s="14">
        <f>M1896/H1896-1</f>
        <v/>
      </c>
      <c r="O1896" s="16" t="inlineStr">
        <is>
          <t>ACIMA +6.4%</t>
        </is>
      </c>
      <c r="P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/>
      <c r="K1897" s="8" t="n"/>
      <c r="L1897" s="7" t="inlineStr">
        <is>
          <t>SEM COTAÇÃO</t>
        </is>
      </c>
      <c r="M1897" s="8" t="n"/>
      <c r="N1897" s="14" t="n"/>
      <c r="O1897" s="7" t="inlineStr"/>
      <c r="P1897" s="7" t="inlineStr"/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15" t="n">
        <v>20.43</v>
      </c>
      <c r="K1898" s="8" t="n"/>
      <c r="L1898" s="7" t="inlineStr">
        <is>
          <t>DIMEC</t>
        </is>
      </c>
      <c r="M1898" s="8" t="n">
        <v>20.43</v>
      </c>
      <c r="N1898" s="14">
        <f>M1898/H1898-1</f>
        <v/>
      </c>
      <c r="O1898" s="17" t="inlineStr">
        <is>
          <t>OK (≤ últ. compra)</t>
        </is>
      </c>
      <c r="P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15" t="n">
        <v>20.48</v>
      </c>
      <c r="K1899" s="8" t="n"/>
      <c r="L1899" s="7" t="inlineStr">
        <is>
          <t>DIMEC</t>
        </is>
      </c>
      <c r="M1899" s="8" t="n">
        <v>20.48</v>
      </c>
      <c r="N1899" s="14">
        <f>M1899/H1899-1</f>
        <v/>
      </c>
      <c r="O1899" s="17" t="inlineStr">
        <is>
          <t>OK (≤ menor hist.)</t>
        </is>
      </c>
      <c r="P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/>
      <c r="K1900" s="8" t="n"/>
      <c r="L1900" s="7" t="inlineStr">
        <is>
          <t>SEM COTAÇÃO</t>
        </is>
      </c>
      <c r="M1900" s="8" t="n"/>
      <c r="N1900" s="14" t="n"/>
      <c r="O1900" s="7" t="inlineStr"/>
      <c r="P1900" s="7" t="inlineStr"/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/>
      <c r="K1901" s="8" t="n"/>
      <c r="L1901" s="7" t="inlineStr">
        <is>
          <t>SEM COTAÇÃO</t>
        </is>
      </c>
      <c r="M1901" s="8" t="n"/>
      <c r="N1901" s="14" t="n"/>
      <c r="O1901" s="7" t="inlineStr"/>
      <c r="P1901" s="7" t="inlineStr"/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15" t="n">
        <v>1.86</v>
      </c>
      <c r="K1902" s="8" t="n"/>
      <c r="L1902" s="7" t="inlineStr">
        <is>
          <t>DIMEC</t>
        </is>
      </c>
      <c r="M1902" s="8" t="n">
        <v>1.86</v>
      </c>
      <c r="N1902" s="14">
        <f>M1902/H1902-1</f>
        <v/>
      </c>
      <c r="O1902" s="17" t="inlineStr">
        <is>
          <t>OK (≤ menor hist.)</t>
        </is>
      </c>
      <c r="P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15" t="n">
        <v>8.1</v>
      </c>
      <c r="K1903" s="8" t="n"/>
      <c r="L1903" s="7" t="inlineStr">
        <is>
          <t>DIMEC</t>
        </is>
      </c>
      <c r="M1903" s="8" t="n">
        <v>8.1</v>
      </c>
      <c r="N1903" s="14">
        <f>M1903/H1903-1</f>
        <v/>
      </c>
      <c r="O1903" s="17" t="inlineStr">
        <is>
          <t>OK (≤ menor hist.)</t>
        </is>
      </c>
      <c r="P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15" t="n">
        <v>5.02</v>
      </c>
      <c r="K1904" s="8" t="n"/>
      <c r="L1904" s="7" t="inlineStr">
        <is>
          <t>DIMEC</t>
        </is>
      </c>
      <c r="M1904" s="8" t="n">
        <v>5.02</v>
      </c>
      <c r="N1904" s="14">
        <f>M1904/H1904-1</f>
        <v/>
      </c>
      <c r="O1904" s="17" t="inlineStr">
        <is>
          <t>OK (≤ menor hist.)</t>
        </is>
      </c>
      <c r="P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/>
      <c r="K1905" s="8" t="n"/>
      <c r="L1905" s="7" t="inlineStr">
        <is>
          <t>SEM COTAÇÃO</t>
        </is>
      </c>
      <c r="M1905" s="8" t="n"/>
      <c r="N1905" s="14" t="n"/>
      <c r="O1905" s="7" t="inlineStr"/>
      <c r="P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/>
      <c r="K1906" s="8" t="n"/>
      <c r="L1906" s="7" t="inlineStr">
        <is>
          <t>SEM COTAÇÃO</t>
        </is>
      </c>
      <c r="M1906" s="8" t="n"/>
      <c r="N1906" s="14" t="n"/>
      <c r="O1906" s="7" t="inlineStr"/>
      <c r="P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/>
      <c r="K1907" s="8" t="n"/>
      <c r="L1907" s="7" t="inlineStr">
        <is>
          <t>SEM COTAÇÃO</t>
        </is>
      </c>
      <c r="M1907" s="8" t="n"/>
      <c r="N1907" s="14" t="n"/>
      <c r="O1907" s="7" t="inlineStr"/>
      <c r="P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/>
      <c r="K1908" s="8" t="n"/>
      <c r="L1908" s="7" t="inlineStr">
        <is>
          <t>SEM COTAÇÃO</t>
        </is>
      </c>
      <c r="M1908" s="8" t="n"/>
      <c r="N1908" s="14" t="n"/>
      <c r="O1908" s="7" t="inlineStr"/>
      <c r="P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/>
      <c r="K1909" s="8" t="n"/>
      <c r="L1909" s="7" t="inlineStr">
        <is>
          <t>SEM COTAÇÃO</t>
        </is>
      </c>
      <c r="M1909" s="8" t="n"/>
      <c r="N1909" s="14" t="n"/>
      <c r="O1909" s="7" t="inlineStr"/>
      <c r="P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/>
      <c r="K1910" s="15" t="n">
        <v>4.65</v>
      </c>
      <c r="L1910" s="7" t="inlineStr">
        <is>
          <t>PLUSFARMA</t>
        </is>
      </c>
      <c r="M1910" s="8" t="n">
        <v>4.65</v>
      </c>
      <c r="N1910" s="14">
        <f>M1910/H1910-1</f>
        <v/>
      </c>
      <c r="O1910" s="16" t="inlineStr">
        <is>
          <t>ACIMA +13.7%</t>
        </is>
      </c>
      <c r="P1910" s="7" t="inlineStr"/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/>
      <c r="K1911" s="8" t="n"/>
      <c r="L1911" s="7" t="inlineStr">
        <is>
          <t>SEM COTAÇÃO</t>
        </is>
      </c>
      <c r="M1911" s="8" t="n"/>
      <c r="N1911" s="14" t="n"/>
      <c r="O1911" s="7" t="inlineStr"/>
      <c r="P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/>
      <c r="K1912" s="8" t="n"/>
      <c r="L1912" s="7" t="inlineStr">
        <is>
          <t>SEM COTAÇÃO</t>
        </is>
      </c>
      <c r="M1912" s="8" t="n"/>
      <c r="N1912" s="14" t="n"/>
      <c r="O1912" s="7" t="inlineStr"/>
      <c r="P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/>
      <c r="K1913" s="8" t="n"/>
      <c r="L1913" s="7" t="inlineStr">
        <is>
          <t>SEM COTAÇÃO</t>
        </is>
      </c>
      <c r="M1913" s="8" t="n"/>
      <c r="N1913" s="14" t="n"/>
      <c r="O1913" s="7" t="inlineStr"/>
      <c r="P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/>
      <c r="K1914" s="8" t="n"/>
      <c r="L1914" s="7" t="inlineStr">
        <is>
          <t>SEM COTAÇÃO</t>
        </is>
      </c>
      <c r="M1914" s="8" t="n"/>
      <c r="N1914" s="14" t="n"/>
      <c r="O1914" s="7" t="inlineStr"/>
      <c r="P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/>
      <c r="K1915" s="8" t="n"/>
      <c r="L1915" s="7" t="inlineStr">
        <is>
          <t>SEM COTAÇÃO</t>
        </is>
      </c>
      <c r="M1915" s="8" t="n"/>
      <c r="N1915" s="14" t="n"/>
      <c r="O1915" s="7" t="inlineStr"/>
      <c r="P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/>
      <c r="K1916" s="8" t="n"/>
      <c r="L1916" s="7" t="inlineStr">
        <is>
          <t>SEM COTAÇÃO</t>
        </is>
      </c>
      <c r="M1916" s="8" t="n"/>
      <c r="N1916" s="14" t="n"/>
      <c r="O1916" s="7" t="inlineStr"/>
      <c r="P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/>
      <c r="K1917" s="8" t="n"/>
      <c r="L1917" s="7" t="inlineStr">
        <is>
          <t>SEM COTAÇÃO</t>
        </is>
      </c>
      <c r="M1917" s="8" t="n"/>
      <c r="N1917" s="14" t="n"/>
      <c r="O1917" s="7" t="inlineStr"/>
      <c r="P1917" s="7" t="inlineStr"/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/>
      <c r="K1918" s="8" t="n"/>
      <c r="L1918" s="7" t="inlineStr">
        <is>
          <t>SEM COTAÇÃO</t>
        </is>
      </c>
      <c r="M1918" s="8" t="n"/>
      <c r="N1918" s="14" t="n"/>
      <c r="O1918" s="7" t="inlineStr"/>
      <c r="P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/>
      <c r="K1919" s="8" t="n"/>
      <c r="L1919" s="7" t="inlineStr">
        <is>
          <t>SEM COTAÇÃO</t>
        </is>
      </c>
      <c r="M1919" s="8" t="n"/>
      <c r="N1919" s="14" t="n"/>
      <c r="O1919" s="7" t="inlineStr"/>
      <c r="P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/>
      <c r="K1920" s="8" t="n"/>
      <c r="L1920" s="7" t="inlineStr">
        <is>
          <t>SEM COTAÇÃO</t>
        </is>
      </c>
      <c r="M1920" s="8" t="n"/>
      <c r="N1920" s="14" t="n"/>
      <c r="O1920" s="7" t="inlineStr"/>
      <c r="P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/>
      <c r="K1921" s="8" t="n"/>
      <c r="L1921" s="7" t="inlineStr">
        <is>
          <t>SEM COTAÇÃO</t>
        </is>
      </c>
      <c r="M1921" s="8" t="n"/>
      <c r="N1921" s="14" t="n"/>
      <c r="O1921" s="7" t="inlineStr"/>
      <c r="P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/>
      <c r="K1922" s="8" t="n"/>
      <c r="L1922" s="7" t="inlineStr">
        <is>
          <t>SEM COTAÇÃO</t>
        </is>
      </c>
      <c r="M1922" s="8" t="n"/>
      <c r="N1922" s="14" t="n"/>
      <c r="O1922" s="7" t="inlineStr"/>
      <c r="P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15" t="n">
        <v>14.17</v>
      </c>
      <c r="K1923" s="8" t="n"/>
      <c r="L1923" s="7" t="inlineStr">
        <is>
          <t>DIMEC</t>
        </is>
      </c>
      <c r="M1923" s="8" t="n">
        <v>14.17</v>
      </c>
      <c r="N1923" s="14">
        <f>M1923/H1923-1</f>
        <v/>
      </c>
      <c r="O1923" s="16" t="inlineStr">
        <is>
          <t>ACIMA +5.0%</t>
        </is>
      </c>
      <c r="P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/>
      <c r="K1924" s="8" t="n"/>
      <c r="L1924" s="7" t="inlineStr">
        <is>
          <t>SEM COTAÇÃO</t>
        </is>
      </c>
      <c r="M1924" s="8" t="n"/>
      <c r="N1924" s="14" t="n"/>
      <c r="O1924" s="7" t="inlineStr"/>
      <c r="P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/>
      <c r="K1925" s="8" t="n"/>
      <c r="L1925" s="7" t="inlineStr">
        <is>
          <t>SEM COTAÇÃO</t>
        </is>
      </c>
      <c r="M1925" s="8" t="n"/>
      <c r="N1925" s="14" t="n"/>
      <c r="O1925" s="7" t="inlineStr"/>
      <c r="P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15" t="n">
        <v>1.35</v>
      </c>
      <c r="K1926" s="8" t="n"/>
      <c r="L1926" s="7" t="inlineStr">
        <is>
          <t>DIMEC</t>
        </is>
      </c>
      <c r="M1926" s="8" t="n">
        <v>1.35</v>
      </c>
      <c r="N1926" s="14">
        <f>M1926/H1926-1</f>
        <v/>
      </c>
      <c r="O1926" s="17" t="inlineStr">
        <is>
          <t>OK (≤ menor hist.)</t>
        </is>
      </c>
      <c r="P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7" t="inlineStr">
        <is>
          <t>SEM COTAÇÃO</t>
        </is>
      </c>
      <c r="M1927" s="8" t="n"/>
      <c r="N1927" s="14" t="n"/>
      <c r="O1927" s="7" t="inlineStr"/>
      <c r="P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/>
      <c r="K1928" s="8" t="n"/>
      <c r="L1928" s="7" t="inlineStr">
        <is>
          <t>SEM COTAÇÃO</t>
        </is>
      </c>
      <c r="M1928" s="8" t="n"/>
      <c r="N1928" s="14" t="n"/>
      <c r="O1928" s="7" t="inlineStr"/>
      <c r="P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/>
      <c r="K1929" s="8" t="n"/>
      <c r="L1929" s="7" t="inlineStr">
        <is>
          <t>SEM COTAÇÃO</t>
        </is>
      </c>
      <c r="M1929" s="8" t="n"/>
      <c r="N1929" s="14" t="n"/>
      <c r="O1929" s="7" t="inlineStr"/>
      <c r="P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/>
      <c r="K1930" s="8" t="n"/>
      <c r="L1930" s="7" t="inlineStr">
        <is>
          <t>SEM COTAÇÃO</t>
        </is>
      </c>
      <c r="M1930" s="8" t="n"/>
      <c r="N1930" s="14" t="n"/>
      <c r="O1930" s="7" t="inlineStr"/>
      <c r="P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/>
      <c r="K1931" s="8" t="n"/>
      <c r="L1931" s="7" t="inlineStr">
        <is>
          <t>SEM COTAÇÃO</t>
        </is>
      </c>
      <c r="M1931" s="8" t="n"/>
      <c r="N1931" s="14" t="n"/>
      <c r="O1931" s="7" t="inlineStr"/>
      <c r="P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/>
      <c r="K1932" s="8" t="n"/>
      <c r="L1932" s="7" t="inlineStr">
        <is>
          <t>SEM COTAÇÃO</t>
        </is>
      </c>
      <c r="M1932" s="8" t="n"/>
      <c r="N1932" s="14" t="n"/>
      <c r="O1932" s="7" t="inlineStr"/>
      <c r="P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/>
      <c r="K1933" s="8" t="n"/>
      <c r="L1933" s="7" t="inlineStr">
        <is>
          <t>SEM COTAÇÃO</t>
        </is>
      </c>
      <c r="M1933" s="8" t="n"/>
      <c r="N1933" s="14" t="n"/>
      <c r="O1933" s="7" t="inlineStr"/>
      <c r="P1933" s="7" t="inlineStr"/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/>
      <c r="K1934" s="8" t="n"/>
      <c r="L1934" s="7" t="inlineStr">
        <is>
          <t>SEM COTAÇÃO</t>
        </is>
      </c>
      <c r="M1934" s="8" t="n"/>
      <c r="N1934" s="14" t="n"/>
      <c r="O1934" s="7" t="inlineStr"/>
      <c r="P1934" s="7" t="inlineStr"/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/>
      <c r="K1935" s="8" t="n"/>
      <c r="L1935" s="7" t="inlineStr">
        <is>
          <t>SEM COTAÇÃO</t>
        </is>
      </c>
      <c r="M1935" s="8" t="n"/>
      <c r="N1935" s="14" t="n"/>
      <c r="O1935" s="7" t="inlineStr"/>
      <c r="P1935" s="7" t="inlineStr"/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/>
      <c r="K1936" s="8" t="n"/>
      <c r="L1936" s="7" t="inlineStr">
        <is>
          <t>SEM COTAÇÃO</t>
        </is>
      </c>
      <c r="M1936" s="8" t="n"/>
      <c r="N1936" s="14" t="n"/>
      <c r="O1936" s="7" t="inlineStr"/>
      <c r="P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/>
      <c r="K1937" s="8" t="n"/>
      <c r="L1937" s="7" t="inlineStr">
        <is>
          <t>SEM COTAÇÃO</t>
        </is>
      </c>
      <c r="M1937" s="8" t="n"/>
      <c r="N1937" s="14" t="n"/>
      <c r="O1937" s="7" t="inlineStr"/>
      <c r="P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/>
      <c r="K1938" s="8" t="n"/>
      <c r="L1938" s="7" t="inlineStr">
        <is>
          <t>SEM COTAÇÃO</t>
        </is>
      </c>
      <c r="M1938" s="8" t="n"/>
      <c r="N1938" s="14" t="n"/>
      <c r="O1938" s="7" t="inlineStr"/>
      <c r="P1938" s="7" t="inlineStr"/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/>
      <c r="K1939" s="8" t="n"/>
      <c r="L1939" s="7" t="inlineStr">
        <is>
          <t>SEM COTAÇÃO</t>
        </is>
      </c>
      <c r="M1939" s="8" t="n"/>
      <c r="N1939" s="14" t="n"/>
      <c r="O1939" s="7" t="inlineStr"/>
      <c r="P1939" s="7" t="inlineStr"/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/>
      <c r="K1940" s="8" t="n"/>
      <c r="L1940" s="7" t="inlineStr">
        <is>
          <t>SEM COTAÇÃO</t>
        </is>
      </c>
      <c r="M1940" s="8" t="n"/>
      <c r="N1940" s="14" t="n"/>
      <c r="O1940" s="7" t="inlineStr"/>
      <c r="P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/>
      <c r="K1941" s="8" t="n"/>
      <c r="L1941" s="7" t="inlineStr">
        <is>
          <t>SEM COTAÇÃO</t>
        </is>
      </c>
      <c r="M1941" s="8" t="n"/>
      <c r="N1941" s="14" t="n"/>
      <c r="O1941" s="7" t="inlineStr"/>
      <c r="P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/>
      <c r="K1942" s="8" t="n"/>
      <c r="L1942" s="7" t="inlineStr">
        <is>
          <t>SEM COTAÇÃO</t>
        </is>
      </c>
      <c r="M1942" s="8" t="n"/>
      <c r="N1942" s="14" t="n"/>
      <c r="O1942" s="7" t="inlineStr"/>
      <c r="P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/>
      <c r="K1943" s="8" t="n"/>
      <c r="L1943" s="7" t="inlineStr">
        <is>
          <t>SEM COTAÇÃO</t>
        </is>
      </c>
      <c r="M1943" s="8" t="n"/>
      <c r="N1943" s="14" t="n"/>
      <c r="O1943" s="7" t="inlineStr"/>
      <c r="P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/>
      <c r="K1944" s="8" t="n"/>
      <c r="L1944" s="7" t="inlineStr">
        <is>
          <t>SEM COTAÇÃO</t>
        </is>
      </c>
      <c r="M1944" s="8" t="n"/>
      <c r="N1944" s="14" t="n"/>
      <c r="O1944" s="7" t="inlineStr"/>
      <c r="P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/>
      <c r="K1945" s="8" t="n"/>
      <c r="L1945" s="7" t="inlineStr">
        <is>
          <t>SEM COTAÇÃO</t>
        </is>
      </c>
      <c r="M1945" s="8" t="n"/>
      <c r="N1945" s="14" t="n"/>
      <c r="O1945" s="7" t="inlineStr"/>
      <c r="P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/>
      <c r="K1946" s="8" t="n"/>
      <c r="L1946" s="7" t="inlineStr">
        <is>
          <t>SEM COTAÇÃO</t>
        </is>
      </c>
      <c r="M1946" s="8" t="n"/>
      <c r="N1946" s="14" t="n"/>
      <c r="O1946" s="7" t="inlineStr"/>
      <c r="P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/>
      <c r="K1947" s="8" t="n"/>
      <c r="L1947" s="7" t="inlineStr">
        <is>
          <t>SEM COTAÇÃO</t>
        </is>
      </c>
      <c r="M1947" s="8" t="n"/>
      <c r="N1947" s="14" t="n"/>
      <c r="O1947" s="7" t="inlineStr"/>
      <c r="P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/>
      <c r="K1948" s="8" t="n"/>
      <c r="L1948" s="7" t="inlineStr">
        <is>
          <t>SEM COTAÇÃO</t>
        </is>
      </c>
      <c r="M1948" s="8" t="n"/>
      <c r="N1948" s="14" t="n"/>
      <c r="O1948" s="7" t="inlineStr"/>
      <c r="P1948" s="7" t="inlineStr"/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/>
      <c r="K1949" s="8" t="n"/>
      <c r="L1949" s="7" t="inlineStr">
        <is>
          <t>SEM COTAÇÃO</t>
        </is>
      </c>
      <c r="M1949" s="8" t="n"/>
      <c r="N1949" s="14" t="n"/>
      <c r="O1949" s="7" t="inlineStr"/>
      <c r="P1949" s="7" t="inlineStr"/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/>
      <c r="K1950" s="8" t="n"/>
      <c r="L1950" s="7" t="inlineStr">
        <is>
          <t>SEM COTAÇÃO</t>
        </is>
      </c>
      <c r="M1950" s="8" t="n"/>
      <c r="N1950" s="14" t="n"/>
      <c r="O1950" s="7" t="inlineStr"/>
      <c r="P1950" s="7" t="inlineStr"/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/>
      <c r="K1951" s="8" t="n"/>
      <c r="L1951" s="7" t="inlineStr">
        <is>
          <t>SEM COTAÇÃO</t>
        </is>
      </c>
      <c r="M1951" s="8" t="n"/>
      <c r="N1951" s="14" t="n"/>
      <c r="O1951" s="7" t="inlineStr"/>
      <c r="P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/>
      <c r="K1952" s="8" t="n"/>
      <c r="L1952" s="7" t="inlineStr">
        <is>
          <t>SEM COTAÇÃO</t>
        </is>
      </c>
      <c r="M1952" s="8" t="n"/>
      <c r="N1952" s="14" t="n"/>
      <c r="O1952" s="7" t="inlineStr"/>
      <c r="P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/>
      <c r="K1953" s="8" t="n"/>
      <c r="L1953" s="7" t="inlineStr">
        <is>
          <t>SEM COTAÇÃO</t>
        </is>
      </c>
      <c r="M1953" s="8" t="n"/>
      <c r="N1953" s="14" t="n"/>
      <c r="O1953" s="7" t="inlineStr"/>
      <c r="P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/>
      <c r="K1954" s="8" t="n"/>
      <c r="L1954" s="7" t="inlineStr">
        <is>
          <t>SEM COTAÇÃO</t>
        </is>
      </c>
      <c r="M1954" s="8" t="n"/>
      <c r="N1954" s="14" t="n"/>
      <c r="O1954" s="7" t="inlineStr"/>
      <c r="P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/>
      <c r="K1955" s="8" t="n"/>
      <c r="L1955" s="7" t="inlineStr">
        <is>
          <t>SEM COTAÇÃO</t>
        </is>
      </c>
      <c r="M1955" s="8" t="n"/>
      <c r="N1955" s="14" t="n"/>
      <c r="O1955" s="7" t="inlineStr"/>
      <c r="P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/>
      <c r="K1956" s="8" t="n"/>
      <c r="L1956" s="7" t="inlineStr">
        <is>
          <t>SEM COTAÇÃO</t>
        </is>
      </c>
      <c r="M1956" s="8" t="n"/>
      <c r="N1956" s="14" t="n"/>
      <c r="O1956" s="7" t="inlineStr"/>
      <c r="P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/>
      <c r="K1957" s="8" t="n"/>
      <c r="L1957" s="7" t="inlineStr">
        <is>
          <t>SEM COTAÇÃO</t>
        </is>
      </c>
      <c r="M1957" s="8" t="n"/>
      <c r="N1957" s="14" t="n"/>
      <c r="O1957" s="7" t="inlineStr"/>
      <c r="P1957" s="7" t="inlineStr"/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/>
      <c r="K1958" s="8" t="n"/>
      <c r="L1958" s="7" t="inlineStr">
        <is>
          <t>SEM COTAÇÃO</t>
        </is>
      </c>
      <c r="M1958" s="8" t="n"/>
      <c r="N1958" s="14" t="n"/>
      <c r="O1958" s="7" t="inlineStr"/>
      <c r="P1958" s="7" t="inlineStr"/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/>
      <c r="K1959" s="8" t="n"/>
      <c r="L1959" s="7" t="inlineStr">
        <is>
          <t>SEM COTAÇÃO</t>
        </is>
      </c>
      <c r="M1959" s="8" t="n"/>
      <c r="N1959" s="14" t="n"/>
      <c r="O1959" s="7" t="inlineStr"/>
      <c r="P1959" s="7" t="inlineStr"/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/>
      <c r="K1960" s="8" t="n"/>
      <c r="L1960" s="7" t="inlineStr">
        <is>
          <t>SEM COTAÇÃO</t>
        </is>
      </c>
      <c r="M1960" s="8" t="n"/>
      <c r="N1960" s="14" t="n"/>
      <c r="O1960" s="7" t="inlineStr"/>
      <c r="P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/>
      <c r="K1961" s="8" t="n"/>
      <c r="L1961" s="7" t="inlineStr">
        <is>
          <t>SEM COTAÇÃO</t>
        </is>
      </c>
      <c r="M1961" s="8" t="n"/>
      <c r="N1961" s="14" t="n"/>
      <c r="O1961" s="7" t="inlineStr"/>
      <c r="P1961" s="7" t="inlineStr"/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/>
      <c r="K1962" s="8" t="n"/>
      <c r="L1962" s="7" t="inlineStr">
        <is>
          <t>SEM COTAÇÃO</t>
        </is>
      </c>
      <c r="M1962" s="8" t="n"/>
      <c r="N1962" s="14" t="n"/>
      <c r="O1962" s="7" t="inlineStr"/>
      <c r="P1962" s="7" t="inlineStr"/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/>
      <c r="K1963" s="8" t="n"/>
      <c r="L1963" s="7" t="inlineStr">
        <is>
          <t>SEM COTAÇÃO</t>
        </is>
      </c>
      <c r="M1963" s="8" t="n"/>
      <c r="N1963" s="14" t="n"/>
      <c r="O1963" s="7" t="inlineStr"/>
      <c r="P1963" s="7" t="inlineStr"/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/>
      <c r="K1964" s="8" t="n"/>
      <c r="L1964" s="7" t="inlineStr">
        <is>
          <t>SEM COTAÇÃO</t>
        </is>
      </c>
      <c r="M1964" s="8" t="n"/>
      <c r="N1964" s="14" t="n"/>
      <c r="O1964" s="7" t="inlineStr"/>
      <c r="P1964" s="7" t="inlineStr"/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/>
      <c r="K1965" s="8" t="n"/>
      <c r="L1965" s="7" t="inlineStr">
        <is>
          <t>SEM COTAÇÃO</t>
        </is>
      </c>
      <c r="M1965" s="8" t="n"/>
      <c r="N1965" s="14" t="n"/>
      <c r="O1965" s="7" t="inlineStr"/>
      <c r="P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/>
      <c r="K1966" s="8" t="n"/>
      <c r="L1966" s="7" t="inlineStr">
        <is>
          <t>SEM COTAÇÃO</t>
        </is>
      </c>
      <c r="M1966" s="8" t="n"/>
      <c r="N1966" s="14" t="n"/>
      <c r="O1966" s="7" t="inlineStr"/>
      <c r="P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/>
      <c r="K1967" s="8" t="n"/>
      <c r="L1967" s="7" t="inlineStr">
        <is>
          <t>SEM COTAÇÃO</t>
        </is>
      </c>
      <c r="M1967" s="8" t="n"/>
      <c r="N1967" s="14" t="n"/>
      <c r="O1967" s="7" t="inlineStr"/>
      <c r="P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/>
      <c r="K1968" s="8" t="n"/>
      <c r="L1968" s="7" t="inlineStr">
        <is>
          <t>SEM COTAÇÃO</t>
        </is>
      </c>
      <c r="M1968" s="8" t="n"/>
      <c r="N1968" s="14" t="n"/>
      <c r="O1968" s="7" t="inlineStr"/>
      <c r="P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/>
      <c r="K1969" s="8" t="n"/>
      <c r="L1969" s="7" t="inlineStr">
        <is>
          <t>SEM COTAÇÃO</t>
        </is>
      </c>
      <c r="M1969" s="8" t="n"/>
      <c r="N1969" s="14" t="n"/>
      <c r="O1969" s="7" t="inlineStr"/>
      <c r="P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/>
      <c r="K1970" s="8" t="n"/>
      <c r="L1970" s="7" t="inlineStr">
        <is>
          <t>SEM COTAÇÃO</t>
        </is>
      </c>
      <c r="M1970" s="8" t="n"/>
      <c r="N1970" s="14" t="n"/>
      <c r="O1970" s="7" t="inlineStr"/>
      <c r="P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/>
      <c r="K1971" s="8" t="n"/>
      <c r="L1971" s="7" t="inlineStr">
        <is>
          <t>SEM COTAÇÃO</t>
        </is>
      </c>
      <c r="M1971" s="8" t="n"/>
      <c r="N1971" s="14" t="n"/>
      <c r="O1971" s="7" t="inlineStr"/>
      <c r="P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/>
      <c r="K1972" s="8" t="n"/>
      <c r="L1972" s="7" t="inlineStr">
        <is>
          <t>SEM COTAÇÃO</t>
        </is>
      </c>
      <c r="M1972" s="8" t="n"/>
      <c r="N1972" s="14" t="n"/>
      <c r="O1972" s="7" t="inlineStr"/>
      <c r="P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/>
      <c r="K1973" s="8" t="n"/>
      <c r="L1973" s="7" t="inlineStr">
        <is>
          <t>SEM COTAÇÃO</t>
        </is>
      </c>
      <c r="M1973" s="8" t="n"/>
      <c r="N1973" s="14" t="n"/>
      <c r="O1973" s="7" t="inlineStr"/>
      <c r="P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/>
      <c r="K1974" s="8" t="n"/>
      <c r="L1974" s="7" t="inlineStr">
        <is>
          <t>SEM COTAÇÃO</t>
        </is>
      </c>
      <c r="M1974" s="8" t="n"/>
      <c r="N1974" s="14" t="n"/>
      <c r="O1974" s="7" t="inlineStr"/>
      <c r="P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/>
      <c r="K1975" s="8" t="n"/>
      <c r="L1975" s="7" t="inlineStr">
        <is>
          <t>SEM COTAÇÃO</t>
        </is>
      </c>
      <c r="M1975" s="8" t="n"/>
      <c r="N1975" s="14" t="n"/>
      <c r="O1975" s="7" t="inlineStr"/>
      <c r="P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/>
      <c r="K1976" s="8" t="n"/>
      <c r="L1976" s="7" t="inlineStr">
        <is>
          <t>SEM COTAÇÃO</t>
        </is>
      </c>
      <c r="M1976" s="8" t="n"/>
      <c r="N1976" s="14" t="n"/>
      <c r="O1976" s="7" t="inlineStr"/>
      <c r="P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/>
      <c r="K1977" s="8" t="n"/>
      <c r="L1977" s="7" t="inlineStr">
        <is>
          <t>SEM COTAÇÃO</t>
        </is>
      </c>
      <c r="M1977" s="8" t="n"/>
      <c r="N1977" s="14" t="n"/>
      <c r="O1977" s="7" t="inlineStr"/>
      <c r="P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/>
      <c r="K1978" s="8" t="n"/>
      <c r="L1978" s="7" t="inlineStr">
        <is>
          <t>SEM COTAÇÃO</t>
        </is>
      </c>
      <c r="M1978" s="8" t="n"/>
      <c r="N1978" s="14" t="n"/>
      <c r="O1978" s="7" t="inlineStr"/>
      <c r="P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/>
      <c r="K1979" s="8" t="n"/>
      <c r="L1979" s="7" t="inlineStr">
        <is>
          <t>SEM COTAÇÃO</t>
        </is>
      </c>
      <c r="M1979" s="8" t="n"/>
      <c r="N1979" s="14" t="n"/>
      <c r="O1979" s="7" t="inlineStr"/>
      <c r="P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/>
      <c r="K1980" s="8" t="n"/>
      <c r="L1980" s="7" t="inlineStr">
        <is>
          <t>SEM COTAÇÃO</t>
        </is>
      </c>
      <c r="M1980" s="8" t="n"/>
      <c r="N1980" s="14" t="n"/>
      <c r="O1980" s="7" t="inlineStr"/>
      <c r="P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/>
      <c r="K1981" s="8" t="n"/>
      <c r="L1981" s="7" t="inlineStr">
        <is>
          <t>SEM COTAÇÃO</t>
        </is>
      </c>
      <c r="M1981" s="8" t="n"/>
      <c r="N1981" s="14" t="n"/>
      <c r="O1981" s="7" t="inlineStr"/>
      <c r="P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/>
      <c r="K1982" s="8" t="n"/>
      <c r="L1982" s="7" t="inlineStr">
        <is>
          <t>SEM COTAÇÃO</t>
        </is>
      </c>
      <c r="M1982" s="8" t="n"/>
      <c r="N1982" s="14" t="n"/>
      <c r="O1982" s="7" t="inlineStr"/>
      <c r="P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/>
      <c r="K1983" s="8" t="n"/>
      <c r="L1983" s="7" t="inlineStr">
        <is>
          <t>SEM COTAÇÃO</t>
        </is>
      </c>
      <c r="M1983" s="8" t="n"/>
      <c r="N1983" s="14" t="n"/>
      <c r="O1983" s="7" t="inlineStr"/>
      <c r="P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/>
      <c r="K1984" s="8" t="n"/>
      <c r="L1984" s="7" t="inlineStr">
        <is>
          <t>SEM COTAÇÃO</t>
        </is>
      </c>
      <c r="M1984" s="8" t="n"/>
      <c r="N1984" s="14" t="n"/>
      <c r="O1984" s="7" t="inlineStr"/>
      <c r="P1984" s="7" t="inlineStr"/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/>
      <c r="K1985" s="8" t="n"/>
      <c r="L1985" s="7" t="inlineStr">
        <is>
          <t>SEM COTAÇÃO</t>
        </is>
      </c>
      <c r="M1985" s="8" t="n"/>
      <c r="N1985" s="14" t="n"/>
      <c r="O1985" s="7" t="inlineStr"/>
      <c r="P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/>
      <c r="K1986" s="8" t="n"/>
      <c r="L1986" s="7" t="inlineStr">
        <is>
          <t>SEM COTAÇÃO</t>
        </is>
      </c>
      <c r="M1986" s="8" t="n"/>
      <c r="N1986" s="14" t="n"/>
      <c r="O1986" s="7" t="inlineStr"/>
      <c r="P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/>
      <c r="K1987" s="8" t="n"/>
      <c r="L1987" s="7" t="inlineStr">
        <is>
          <t>SEM COTAÇÃO</t>
        </is>
      </c>
      <c r="M1987" s="8" t="n"/>
      <c r="N1987" s="14" t="n"/>
      <c r="O1987" s="7" t="inlineStr"/>
      <c r="P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/>
      <c r="K1988" s="8" t="n"/>
      <c r="L1988" s="7" t="inlineStr">
        <is>
          <t>SEM COTAÇÃO</t>
        </is>
      </c>
      <c r="M1988" s="8" t="n"/>
      <c r="N1988" s="14" t="n"/>
      <c r="O1988" s="7" t="inlineStr"/>
      <c r="P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/>
      <c r="K1989" s="8" t="n"/>
      <c r="L1989" s="7" t="inlineStr">
        <is>
          <t>SEM COTAÇÃO</t>
        </is>
      </c>
      <c r="M1989" s="8" t="n"/>
      <c r="N1989" s="14" t="n"/>
      <c r="O1989" s="7" t="inlineStr"/>
      <c r="P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/>
      <c r="K1990" s="8" t="n"/>
      <c r="L1990" s="7" t="inlineStr">
        <is>
          <t>SEM COTAÇÃO</t>
        </is>
      </c>
      <c r="M1990" s="8" t="n"/>
      <c r="N1990" s="14" t="n"/>
      <c r="O1990" s="7" t="inlineStr"/>
      <c r="P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/>
      <c r="K1991" s="8" t="n"/>
      <c r="L1991" s="7" t="inlineStr">
        <is>
          <t>SEM COTAÇÃO</t>
        </is>
      </c>
      <c r="M1991" s="8" t="n"/>
      <c r="N1991" s="14" t="n"/>
      <c r="O1991" s="7" t="inlineStr"/>
      <c r="P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/>
      <c r="K1992" s="8" t="n"/>
      <c r="L1992" s="7" t="inlineStr">
        <is>
          <t>SEM COTAÇÃO</t>
        </is>
      </c>
      <c r="M1992" s="8" t="n"/>
      <c r="N1992" s="14" t="n"/>
      <c r="O1992" s="7" t="inlineStr"/>
      <c r="P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/>
      <c r="K1993" s="8" t="n"/>
      <c r="L1993" s="7" t="inlineStr">
        <is>
          <t>SEM COTAÇÃO</t>
        </is>
      </c>
      <c r="M1993" s="8" t="n"/>
      <c r="N1993" s="14" t="n"/>
      <c r="O1993" s="7" t="inlineStr"/>
      <c r="P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/>
      <c r="K1994" s="8" t="n"/>
      <c r="L1994" s="7" t="inlineStr">
        <is>
          <t>SEM COTAÇÃO</t>
        </is>
      </c>
      <c r="M1994" s="8" t="n"/>
      <c r="N1994" s="14" t="n"/>
      <c r="O1994" s="7" t="inlineStr"/>
      <c r="P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/>
      <c r="K1995" s="8" t="n"/>
      <c r="L1995" s="7" t="inlineStr">
        <is>
          <t>SEM COTAÇÃO</t>
        </is>
      </c>
      <c r="M1995" s="8" t="n"/>
      <c r="N1995" s="14" t="n"/>
      <c r="O1995" s="7" t="inlineStr"/>
      <c r="P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/>
      <c r="K1996" s="8" t="n"/>
      <c r="L1996" s="7" t="inlineStr">
        <is>
          <t>SEM COTAÇÃO</t>
        </is>
      </c>
      <c r="M1996" s="8" t="n"/>
      <c r="N1996" s="14" t="n"/>
      <c r="O1996" s="7" t="inlineStr"/>
      <c r="P1996" s="7" t="inlineStr"/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/>
      <c r="K1997" s="8" t="n"/>
      <c r="L1997" s="7" t="inlineStr">
        <is>
          <t>SEM COTAÇÃO</t>
        </is>
      </c>
      <c r="M1997" s="8" t="n"/>
      <c r="N1997" s="14" t="n"/>
      <c r="O1997" s="7" t="inlineStr"/>
      <c r="P1997" s="7" t="inlineStr"/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/>
      <c r="K1998" s="8" t="n"/>
      <c r="L1998" s="7" t="inlineStr">
        <is>
          <t>SEM COTAÇÃO</t>
        </is>
      </c>
      <c r="M1998" s="8" t="n"/>
      <c r="N1998" s="14" t="n"/>
      <c r="O1998" s="7" t="inlineStr"/>
      <c r="P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/>
      <c r="K1999" s="8" t="n"/>
      <c r="L1999" s="7" t="inlineStr">
        <is>
          <t>SEM COTAÇÃO</t>
        </is>
      </c>
      <c r="M1999" s="8" t="n"/>
      <c r="N1999" s="14" t="n"/>
      <c r="O1999" s="7" t="inlineStr"/>
      <c r="P1999" s="7" t="inlineStr"/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/>
      <c r="K2000" s="8" t="n"/>
      <c r="L2000" s="7" t="inlineStr">
        <is>
          <t>SEM COTAÇÃO</t>
        </is>
      </c>
      <c r="M2000" s="8" t="n"/>
      <c r="N2000" s="14" t="n"/>
      <c r="O2000" s="7" t="inlineStr"/>
      <c r="P2000" s="7" t="inlineStr"/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/>
      <c r="K2001" s="8" t="n"/>
      <c r="L2001" s="7" t="inlineStr">
        <is>
          <t>SEM COTAÇÃO</t>
        </is>
      </c>
      <c r="M2001" s="8" t="n"/>
      <c r="N2001" s="14" t="n"/>
      <c r="O2001" s="7" t="inlineStr"/>
      <c r="P2001" s="7" t="inlineStr"/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/>
      <c r="K2002" s="8" t="n"/>
      <c r="L2002" s="7" t="inlineStr">
        <is>
          <t>SEM COTAÇÃO</t>
        </is>
      </c>
      <c r="M2002" s="8" t="n"/>
      <c r="N2002" s="14" t="n"/>
      <c r="O2002" s="7" t="inlineStr"/>
      <c r="P2002" s="7" t="inlineStr"/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/>
      <c r="K2003" s="8" t="n"/>
      <c r="L2003" s="7" t="inlineStr">
        <is>
          <t>SEM COTAÇÃO</t>
        </is>
      </c>
      <c r="M2003" s="8" t="n"/>
      <c r="N2003" s="14" t="n"/>
      <c r="O2003" s="7" t="inlineStr"/>
      <c r="P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/>
      <c r="K2004" s="8" t="n"/>
      <c r="L2004" s="7" t="inlineStr">
        <is>
          <t>SEM COTAÇÃO</t>
        </is>
      </c>
      <c r="M2004" s="8" t="n"/>
      <c r="N2004" s="14" t="n"/>
      <c r="O2004" s="7" t="inlineStr"/>
      <c r="P2004" s="7" t="inlineStr"/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/>
      <c r="K2005" s="8" t="n"/>
      <c r="L2005" s="7" t="inlineStr">
        <is>
          <t>SEM COTAÇÃO</t>
        </is>
      </c>
      <c r="M2005" s="8" t="n"/>
      <c r="N2005" s="14" t="n"/>
      <c r="O2005" s="7" t="inlineStr"/>
      <c r="P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/>
      <c r="K2006" s="8" t="n"/>
      <c r="L2006" s="7" t="inlineStr">
        <is>
          <t>SEM COTAÇÃO</t>
        </is>
      </c>
      <c r="M2006" s="8" t="n"/>
      <c r="N2006" s="14" t="n"/>
      <c r="O2006" s="7" t="inlineStr"/>
      <c r="P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/>
      <c r="K2007" s="8" t="n"/>
      <c r="L2007" s="7" t="inlineStr">
        <is>
          <t>SEM COTAÇÃO</t>
        </is>
      </c>
      <c r="M2007" s="8" t="n"/>
      <c r="N2007" s="14" t="n"/>
      <c r="O2007" s="7" t="inlineStr"/>
      <c r="P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/>
      <c r="K2008" s="8" t="n"/>
      <c r="L2008" s="7" t="inlineStr">
        <is>
          <t>SEM COTAÇÃO</t>
        </is>
      </c>
      <c r="M2008" s="8" t="n"/>
      <c r="N2008" s="14" t="n"/>
      <c r="O2008" s="7" t="inlineStr"/>
      <c r="P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/>
      <c r="K2009" s="8" t="n"/>
      <c r="L2009" s="7" t="inlineStr">
        <is>
          <t>SEM COTAÇÃO</t>
        </is>
      </c>
      <c r="M2009" s="8" t="n"/>
      <c r="N2009" s="14" t="n"/>
      <c r="O2009" s="7" t="inlineStr"/>
      <c r="P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/>
      <c r="K2010" s="8" t="n"/>
      <c r="L2010" s="7" t="inlineStr">
        <is>
          <t>SEM COTAÇÃO</t>
        </is>
      </c>
      <c r="M2010" s="8" t="n"/>
      <c r="N2010" s="14" t="n"/>
      <c r="O2010" s="7" t="inlineStr"/>
      <c r="P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/>
      <c r="K2011" s="8" t="n"/>
      <c r="L2011" s="7" t="inlineStr">
        <is>
          <t>SEM COTAÇÃO</t>
        </is>
      </c>
      <c r="M2011" s="8" t="n"/>
      <c r="N2011" s="14" t="n"/>
      <c r="O2011" s="7" t="inlineStr"/>
      <c r="P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/>
      <c r="K2012" s="8" t="n"/>
      <c r="L2012" s="7" t="inlineStr">
        <is>
          <t>SEM COTAÇÃO</t>
        </is>
      </c>
      <c r="M2012" s="8" t="n"/>
      <c r="N2012" s="14" t="n"/>
      <c r="O2012" s="7" t="inlineStr"/>
      <c r="P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7" t="inlineStr">
        <is>
          <t>SEM COTAÇÃO</t>
        </is>
      </c>
      <c r="M2013" s="8" t="n"/>
      <c r="N2013" s="14" t="n"/>
      <c r="O2013" s="7" t="inlineStr"/>
      <c r="P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/>
      <c r="K2014" s="8" t="n"/>
      <c r="L2014" s="7" t="inlineStr">
        <is>
          <t>SEM COTAÇÃO</t>
        </is>
      </c>
      <c r="M2014" s="8" t="n"/>
      <c r="N2014" s="14" t="n"/>
      <c r="O2014" s="7" t="inlineStr"/>
      <c r="P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/>
      <c r="K2015" s="8" t="n"/>
      <c r="L2015" s="7" t="inlineStr">
        <is>
          <t>SEM COTAÇÃO</t>
        </is>
      </c>
      <c r="M2015" s="8" t="n"/>
      <c r="N2015" s="14" t="n"/>
      <c r="O2015" s="7" t="inlineStr"/>
      <c r="P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/>
      <c r="K2016" s="8" t="n"/>
      <c r="L2016" s="7" t="inlineStr">
        <is>
          <t>SEM COTAÇÃO</t>
        </is>
      </c>
      <c r="M2016" s="8" t="n"/>
      <c r="N2016" s="14" t="n"/>
      <c r="O2016" s="7" t="inlineStr"/>
      <c r="P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/>
      <c r="K2017" s="8" t="n"/>
      <c r="L2017" s="7" t="inlineStr">
        <is>
          <t>SEM COTAÇÃO</t>
        </is>
      </c>
      <c r="M2017" s="8" t="n"/>
      <c r="N2017" s="14" t="n"/>
      <c r="O2017" s="7" t="inlineStr"/>
      <c r="P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/>
      <c r="K2018" s="8" t="n"/>
      <c r="L2018" s="7" t="inlineStr">
        <is>
          <t>SEM COTAÇÃO</t>
        </is>
      </c>
      <c r="M2018" s="8" t="n"/>
      <c r="N2018" s="14" t="n"/>
      <c r="O2018" s="7" t="inlineStr"/>
      <c r="P2018" s="7" t="inlineStr"/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/>
      <c r="K2019" s="8" t="n"/>
      <c r="L2019" s="7" t="inlineStr">
        <is>
          <t>SEM COTAÇÃO</t>
        </is>
      </c>
      <c r="M2019" s="8" t="n"/>
      <c r="N2019" s="14" t="n"/>
      <c r="O2019" s="7" t="inlineStr"/>
      <c r="P2019" s="7" t="inlineStr"/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/>
      <c r="K2020" s="8" t="n"/>
      <c r="L2020" s="7" t="inlineStr">
        <is>
          <t>SEM COTAÇÃO</t>
        </is>
      </c>
      <c r="M2020" s="8" t="n"/>
      <c r="N2020" s="14" t="n"/>
      <c r="O2020" s="7" t="inlineStr"/>
      <c r="P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/>
      <c r="K2021" s="8" t="n"/>
      <c r="L2021" s="7" t="inlineStr">
        <is>
          <t>SEM COTAÇÃO</t>
        </is>
      </c>
      <c r="M2021" s="8" t="n"/>
      <c r="N2021" s="14" t="n"/>
      <c r="O2021" s="7" t="inlineStr"/>
      <c r="P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/>
      <c r="K2022" s="8" t="n"/>
      <c r="L2022" s="7" t="inlineStr">
        <is>
          <t>SEM COTAÇÃO</t>
        </is>
      </c>
      <c r="M2022" s="8" t="n"/>
      <c r="N2022" s="14" t="n"/>
      <c r="O2022" s="7" t="inlineStr"/>
      <c r="P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/>
      <c r="K2023" s="8" t="n"/>
      <c r="L2023" s="7" t="inlineStr">
        <is>
          <t>SEM COTAÇÃO</t>
        </is>
      </c>
      <c r="M2023" s="8" t="n"/>
      <c r="N2023" s="14" t="n"/>
      <c r="O2023" s="7" t="inlineStr"/>
      <c r="P2023" s="7" t="inlineStr"/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7" t="inlineStr">
        <is>
          <t>SEM COTAÇÃO</t>
        </is>
      </c>
      <c r="M2024" s="8" t="n"/>
      <c r="N2024" s="14" t="n"/>
      <c r="O2024" s="7" t="inlineStr"/>
      <c r="P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/>
      <c r="K2025" s="8" t="n"/>
      <c r="L2025" s="7" t="inlineStr">
        <is>
          <t>SEM COTAÇÃO</t>
        </is>
      </c>
      <c r="M2025" s="8" t="n"/>
      <c r="N2025" s="14" t="n"/>
      <c r="O2025" s="7" t="inlineStr"/>
      <c r="P2025" s="7" t="inlineStr"/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/>
      <c r="K2026" s="8" t="n"/>
      <c r="L2026" s="7" t="inlineStr">
        <is>
          <t>SEM COTAÇÃO</t>
        </is>
      </c>
      <c r="M2026" s="8" t="n"/>
      <c r="N2026" s="14" t="n"/>
      <c r="O2026" s="7" t="inlineStr"/>
      <c r="P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/>
      <c r="K2027" s="8" t="n"/>
      <c r="L2027" s="7" t="inlineStr">
        <is>
          <t>SEM COTAÇÃO</t>
        </is>
      </c>
      <c r="M2027" s="8" t="n"/>
      <c r="N2027" s="14" t="n"/>
      <c r="O2027" s="7" t="inlineStr"/>
      <c r="P2027" s="7" t="inlineStr"/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/>
      <c r="K2028" s="8" t="n"/>
      <c r="L2028" s="7" t="inlineStr">
        <is>
          <t>SEM COTAÇÃO</t>
        </is>
      </c>
      <c r="M2028" s="8" t="n"/>
      <c r="N2028" s="14" t="n"/>
      <c r="O2028" s="7" t="inlineStr"/>
      <c r="P2028" s="7" t="inlineStr"/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/>
      <c r="K2029" s="8" t="n"/>
      <c r="L2029" s="7" t="inlineStr">
        <is>
          <t>SEM COTAÇÃO</t>
        </is>
      </c>
      <c r="M2029" s="8" t="n"/>
      <c r="N2029" s="14" t="n"/>
      <c r="O2029" s="7" t="inlineStr"/>
      <c r="P2029" s="7" t="inlineStr"/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/>
      <c r="K2030" s="8" t="n"/>
      <c r="L2030" s="7" t="inlineStr">
        <is>
          <t>SEM COTAÇÃO</t>
        </is>
      </c>
      <c r="M2030" s="8" t="n"/>
      <c r="N2030" s="14" t="n"/>
      <c r="O2030" s="7" t="inlineStr"/>
      <c r="P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/>
      <c r="K2031" s="8" t="n"/>
      <c r="L2031" s="7" t="inlineStr">
        <is>
          <t>SEM COTAÇÃO</t>
        </is>
      </c>
      <c r="M2031" s="8" t="n"/>
      <c r="N2031" s="14" t="n"/>
      <c r="O2031" s="7" t="inlineStr"/>
      <c r="P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/>
      <c r="K2032" s="8" t="n"/>
      <c r="L2032" s="7" t="inlineStr">
        <is>
          <t>SEM COTAÇÃO</t>
        </is>
      </c>
      <c r="M2032" s="8" t="n"/>
      <c r="N2032" s="14" t="n"/>
      <c r="O2032" s="7" t="inlineStr"/>
      <c r="P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/>
      <c r="K2033" s="8" t="n"/>
      <c r="L2033" s="7" t="inlineStr">
        <is>
          <t>SEM COTAÇÃO</t>
        </is>
      </c>
      <c r="M2033" s="8" t="n"/>
      <c r="N2033" s="14" t="n"/>
      <c r="O2033" s="7" t="inlineStr"/>
      <c r="P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/>
      <c r="K2034" s="8" t="n"/>
      <c r="L2034" s="7" t="inlineStr">
        <is>
          <t>SEM COTAÇÃO</t>
        </is>
      </c>
      <c r="M2034" s="8" t="n"/>
      <c r="N2034" s="14" t="n"/>
      <c r="O2034" s="7" t="inlineStr"/>
      <c r="P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/>
      <c r="K2035" s="8" t="n"/>
      <c r="L2035" s="7" t="inlineStr">
        <is>
          <t>SEM COTAÇÃO</t>
        </is>
      </c>
      <c r="M2035" s="8" t="n"/>
      <c r="N2035" s="14" t="n"/>
      <c r="O2035" s="7" t="inlineStr"/>
      <c r="P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/>
      <c r="K2036" s="8" t="n"/>
      <c r="L2036" s="7" t="inlineStr">
        <is>
          <t>SEM COTAÇÃO</t>
        </is>
      </c>
      <c r="M2036" s="8" t="n"/>
      <c r="N2036" s="14" t="n"/>
      <c r="O2036" s="7" t="inlineStr"/>
      <c r="P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/>
      <c r="K2037" s="8" t="n"/>
      <c r="L2037" s="7" t="inlineStr">
        <is>
          <t>SEM COTAÇÃO</t>
        </is>
      </c>
      <c r="M2037" s="8" t="n"/>
      <c r="N2037" s="14" t="n"/>
      <c r="O2037" s="7" t="inlineStr"/>
      <c r="P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/>
      <c r="K2038" s="8" t="n"/>
      <c r="L2038" s="7" t="inlineStr">
        <is>
          <t>SEM COTAÇÃO</t>
        </is>
      </c>
      <c r="M2038" s="8" t="n"/>
      <c r="N2038" s="14" t="n"/>
      <c r="O2038" s="7" t="inlineStr"/>
      <c r="P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/>
      <c r="K2039" s="8" t="n"/>
      <c r="L2039" s="7" t="inlineStr">
        <is>
          <t>SEM COTAÇÃO</t>
        </is>
      </c>
      <c r="M2039" s="8" t="n"/>
      <c r="N2039" s="14" t="n"/>
      <c r="O2039" s="7" t="inlineStr"/>
      <c r="P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/>
      <c r="K2040" s="8" t="n"/>
      <c r="L2040" s="7" t="inlineStr">
        <is>
          <t>SEM COTAÇÃO</t>
        </is>
      </c>
      <c r="M2040" s="8" t="n"/>
      <c r="N2040" s="14" t="n"/>
      <c r="O2040" s="7" t="inlineStr"/>
      <c r="P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/>
      <c r="K2041" s="8" t="n"/>
      <c r="L2041" s="7" t="inlineStr">
        <is>
          <t>SEM COTAÇÃO</t>
        </is>
      </c>
      <c r="M2041" s="8" t="n"/>
      <c r="N2041" s="14" t="n"/>
      <c r="O2041" s="7" t="inlineStr"/>
      <c r="P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/>
      <c r="K2042" s="8" t="n"/>
      <c r="L2042" s="7" t="inlineStr">
        <is>
          <t>SEM COTAÇÃO</t>
        </is>
      </c>
      <c r="M2042" s="8" t="n"/>
      <c r="N2042" s="14" t="n"/>
      <c r="O2042" s="7" t="inlineStr"/>
      <c r="P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/>
      <c r="K2043" s="8" t="n"/>
      <c r="L2043" s="7" t="inlineStr">
        <is>
          <t>SEM COTAÇÃO</t>
        </is>
      </c>
      <c r="M2043" s="8" t="n"/>
      <c r="N2043" s="14" t="n"/>
      <c r="O2043" s="7" t="inlineStr"/>
      <c r="P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/>
      <c r="K2044" s="8" t="n"/>
      <c r="L2044" s="7" t="inlineStr">
        <is>
          <t>SEM COTAÇÃO</t>
        </is>
      </c>
      <c r="M2044" s="8" t="n"/>
      <c r="N2044" s="14" t="n"/>
      <c r="O2044" s="7" t="inlineStr"/>
      <c r="P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/>
      <c r="K2045" s="8" t="n"/>
      <c r="L2045" s="7" t="inlineStr">
        <is>
          <t>SEM COTAÇÃO</t>
        </is>
      </c>
      <c r="M2045" s="8" t="n"/>
      <c r="N2045" s="14" t="n"/>
      <c r="O2045" s="7" t="inlineStr"/>
      <c r="P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/>
      <c r="K2046" s="8" t="n"/>
      <c r="L2046" s="7" t="inlineStr">
        <is>
          <t>SEM COTAÇÃO</t>
        </is>
      </c>
      <c r="M2046" s="8" t="n"/>
      <c r="N2046" s="14" t="n"/>
      <c r="O2046" s="7" t="inlineStr"/>
      <c r="P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/>
      <c r="K2047" s="8" t="n"/>
      <c r="L2047" s="7" t="inlineStr">
        <is>
          <t>SEM COTAÇÃO</t>
        </is>
      </c>
      <c r="M2047" s="8" t="n"/>
      <c r="N2047" s="14" t="n"/>
      <c r="O2047" s="7" t="inlineStr"/>
      <c r="P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/>
      <c r="K2048" s="8" t="n"/>
      <c r="L2048" s="7" t="inlineStr">
        <is>
          <t>SEM COTAÇÃO</t>
        </is>
      </c>
      <c r="M2048" s="8" t="n"/>
      <c r="N2048" s="14" t="n"/>
      <c r="O2048" s="7" t="inlineStr"/>
      <c r="P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/>
      <c r="K2049" s="8" t="n"/>
      <c r="L2049" s="7" t="inlineStr">
        <is>
          <t>SEM COTAÇÃO</t>
        </is>
      </c>
      <c r="M2049" s="8" t="n"/>
      <c r="N2049" s="14" t="n"/>
      <c r="O2049" s="7" t="inlineStr"/>
      <c r="P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/>
      <c r="K2050" s="8" t="n"/>
      <c r="L2050" s="7" t="inlineStr">
        <is>
          <t>SEM COTAÇÃO</t>
        </is>
      </c>
      <c r="M2050" s="8" t="n"/>
      <c r="N2050" s="14" t="n"/>
      <c r="O2050" s="7" t="inlineStr"/>
      <c r="P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/>
      <c r="K2051" s="8" t="n"/>
      <c r="L2051" s="7" t="inlineStr">
        <is>
          <t>SEM COTAÇÃO</t>
        </is>
      </c>
      <c r="M2051" s="8" t="n"/>
      <c r="N2051" s="14" t="n"/>
      <c r="O2051" s="7" t="inlineStr"/>
      <c r="P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/>
      <c r="K2052" s="8" t="n"/>
      <c r="L2052" s="7" t="inlineStr">
        <is>
          <t>SEM COTAÇÃO</t>
        </is>
      </c>
      <c r="M2052" s="8" t="n"/>
      <c r="N2052" s="14" t="n"/>
      <c r="O2052" s="7" t="inlineStr"/>
      <c r="P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/>
      <c r="K2053" s="8" t="n"/>
      <c r="L2053" s="7" t="inlineStr">
        <is>
          <t>SEM COTAÇÃO</t>
        </is>
      </c>
      <c r="M2053" s="8" t="n"/>
      <c r="N2053" s="14" t="n"/>
      <c r="O2053" s="7" t="inlineStr"/>
      <c r="P2053" s="7" t="inlineStr"/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/>
      <c r="K2054" s="8" t="n"/>
      <c r="L2054" s="7" t="inlineStr">
        <is>
          <t>SEM COTAÇÃO</t>
        </is>
      </c>
      <c r="M2054" s="8" t="n"/>
      <c r="N2054" s="14" t="n"/>
      <c r="O2054" s="7" t="inlineStr"/>
      <c r="P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/>
      <c r="K2055" s="8" t="n"/>
      <c r="L2055" s="7" t="inlineStr">
        <is>
          <t>SEM COTAÇÃO</t>
        </is>
      </c>
      <c r="M2055" s="8" t="n"/>
      <c r="N2055" s="14" t="n"/>
      <c r="O2055" s="7" t="inlineStr"/>
      <c r="P2055" s="7" t="inlineStr"/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/>
      <c r="K2056" s="8" t="n"/>
      <c r="L2056" s="7" t="inlineStr">
        <is>
          <t>SEM COTAÇÃO</t>
        </is>
      </c>
      <c r="M2056" s="8" t="n"/>
      <c r="N2056" s="14" t="n"/>
      <c r="O2056" s="7" t="inlineStr"/>
      <c r="P2056" s="7" t="inlineStr"/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/>
      <c r="K2057" s="8" t="n"/>
      <c r="L2057" s="7" t="inlineStr">
        <is>
          <t>SEM COTAÇÃO</t>
        </is>
      </c>
      <c r="M2057" s="8" t="n"/>
      <c r="N2057" s="14" t="n"/>
      <c r="O2057" s="7" t="inlineStr"/>
      <c r="P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/>
      <c r="K2058" s="8" t="n"/>
      <c r="L2058" s="7" t="inlineStr">
        <is>
          <t>SEM COTAÇÃO</t>
        </is>
      </c>
      <c r="M2058" s="8" t="n"/>
      <c r="N2058" s="14" t="n"/>
      <c r="O2058" s="7" t="inlineStr"/>
      <c r="P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7" t="inlineStr">
        <is>
          <t>SEM COTAÇÃO</t>
        </is>
      </c>
      <c r="M2059" s="8" t="n"/>
      <c r="N2059" s="14" t="n"/>
      <c r="O2059" s="7" t="inlineStr"/>
      <c r="P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/>
      <c r="K2060" s="8" t="n"/>
      <c r="L2060" s="7" t="inlineStr">
        <is>
          <t>SEM COTAÇÃO</t>
        </is>
      </c>
      <c r="M2060" s="8" t="n"/>
      <c r="N2060" s="14" t="n"/>
      <c r="O2060" s="7" t="inlineStr"/>
      <c r="P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/>
      <c r="K2061" s="8" t="n"/>
      <c r="L2061" s="7" t="inlineStr">
        <is>
          <t>SEM COTAÇÃO</t>
        </is>
      </c>
      <c r="M2061" s="8" t="n"/>
      <c r="N2061" s="14" t="n"/>
      <c r="O2061" s="7" t="inlineStr"/>
      <c r="P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/>
      <c r="K2062" s="8" t="n"/>
      <c r="L2062" s="7" t="inlineStr">
        <is>
          <t>SEM COTAÇÃO</t>
        </is>
      </c>
      <c r="M2062" s="8" t="n"/>
      <c r="N2062" s="14" t="n"/>
      <c r="O2062" s="7" t="inlineStr"/>
      <c r="P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/>
      <c r="K2063" s="8" t="n"/>
      <c r="L2063" s="7" t="inlineStr">
        <is>
          <t>SEM COTAÇÃO</t>
        </is>
      </c>
      <c r="M2063" s="8" t="n"/>
      <c r="N2063" s="14" t="n"/>
      <c r="O2063" s="7" t="inlineStr"/>
      <c r="P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/>
      <c r="K2064" s="8" t="n"/>
      <c r="L2064" s="7" t="inlineStr">
        <is>
          <t>SEM COTAÇÃO</t>
        </is>
      </c>
      <c r="M2064" s="8" t="n"/>
      <c r="N2064" s="14" t="n"/>
      <c r="O2064" s="7" t="inlineStr"/>
      <c r="P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/>
      <c r="K2065" s="8" t="n"/>
      <c r="L2065" s="7" t="inlineStr">
        <is>
          <t>SEM COTAÇÃO</t>
        </is>
      </c>
      <c r="M2065" s="8" t="n"/>
      <c r="N2065" s="14" t="n"/>
      <c r="O2065" s="7" t="inlineStr"/>
      <c r="P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/>
      <c r="K2066" s="8" t="n"/>
      <c r="L2066" s="7" t="inlineStr">
        <is>
          <t>SEM COTAÇÃO</t>
        </is>
      </c>
      <c r="M2066" s="8" t="n"/>
      <c r="N2066" s="14" t="n"/>
      <c r="O2066" s="7" t="inlineStr"/>
      <c r="P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/>
      <c r="K2067" s="8" t="n"/>
      <c r="L2067" s="7" t="inlineStr">
        <is>
          <t>SEM COTAÇÃO</t>
        </is>
      </c>
      <c r="M2067" s="8" t="n"/>
      <c r="N2067" s="14" t="n"/>
      <c r="O2067" s="7" t="inlineStr"/>
      <c r="P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/>
      <c r="K2068" s="8" t="n"/>
      <c r="L2068" s="7" t="inlineStr">
        <is>
          <t>SEM COTAÇÃO</t>
        </is>
      </c>
      <c r="M2068" s="8" t="n"/>
      <c r="N2068" s="14" t="n"/>
      <c r="O2068" s="7" t="inlineStr"/>
      <c r="P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/>
      <c r="K2069" s="8" t="n"/>
      <c r="L2069" s="7" t="inlineStr">
        <is>
          <t>SEM COTAÇÃO</t>
        </is>
      </c>
      <c r="M2069" s="8" t="n"/>
      <c r="N2069" s="14" t="n"/>
      <c r="O2069" s="7" t="inlineStr"/>
      <c r="P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/>
      <c r="K2070" s="8" t="n"/>
      <c r="L2070" s="7" t="inlineStr">
        <is>
          <t>SEM COTAÇÃO</t>
        </is>
      </c>
      <c r="M2070" s="8" t="n"/>
      <c r="N2070" s="14" t="n"/>
      <c r="O2070" s="7" t="inlineStr"/>
      <c r="P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/>
      <c r="K2071" s="8" t="n"/>
      <c r="L2071" s="7" t="inlineStr">
        <is>
          <t>SEM COTAÇÃO</t>
        </is>
      </c>
      <c r="M2071" s="8" t="n"/>
      <c r="N2071" s="14" t="n"/>
      <c r="O2071" s="7" t="inlineStr"/>
      <c r="P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/>
      <c r="K2072" s="8" t="n"/>
      <c r="L2072" s="7" t="inlineStr">
        <is>
          <t>SEM COTAÇÃO</t>
        </is>
      </c>
      <c r="M2072" s="8" t="n"/>
      <c r="N2072" s="14" t="n"/>
      <c r="O2072" s="7" t="inlineStr"/>
      <c r="P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/>
      <c r="K2073" s="8" t="n"/>
      <c r="L2073" s="7" t="inlineStr">
        <is>
          <t>SEM COTAÇÃO</t>
        </is>
      </c>
      <c r="M2073" s="8" t="n"/>
      <c r="N2073" s="14" t="n"/>
      <c r="O2073" s="7" t="inlineStr"/>
      <c r="P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/>
      <c r="K2074" s="8" t="n"/>
      <c r="L2074" s="7" t="inlineStr">
        <is>
          <t>SEM COTAÇÃO</t>
        </is>
      </c>
      <c r="M2074" s="8" t="n"/>
      <c r="N2074" s="14" t="n"/>
      <c r="O2074" s="7" t="inlineStr"/>
      <c r="P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/>
      <c r="K2075" s="8" t="n"/>
      <c r="L2075" s="7" t="inlineStr">
        <is>
          <t>SEM COTAÇÃO</t>
        </is>
      </c>
      <c r="M2075" s="8" t="n"/>
      <c r="N2075" s="14" t="n"/>
      <c r="O2075" s="7" t="inlineStr"/>
      <c r="P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/>
      <c r="K2076" s="8" t="n"/>
      <c r="L2076" s="7" t="inlineStr">
        <is>
          <t>SEM COTAÇÃO</t>
        </is>
      </c>
      <c r="M2076" s="8" t="n"/>
      <c r="N2076" s="14" t="n"/>
      <c r="O2076" s="7" t="inlineStr"/>
      <c r="P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/>
      <c r="K2077" s="8" t="n"/>
      <c r="L2077" s="7" t="inlineStr">
        <is>
          <t>SEM COTAÇÃO</t>
        </is>
      </c>
      <c r="M2077" s="8" t="n"/>
      <c r="N2077" s="14" t="n"/>
      <c r="O2077" s="7" t="inlineStr"/>
      <c r="P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/>
      <c r="K2078" s="8" t="n"/>
      <c r="L2078" s="7" t="inlineStr">
        <is>
          <t>SEM COTAÇÃO</t>
        </is>
      </c>
      <c r="M2078" s="8" t="n"/>
      <c r="N2078" s="14" t="n"/>
      <c r="O2078" s="7" t="inlineStr"/>
      <c r="P2078" s="7" t="inlineStr"/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/>
      <c r="K2079" s="8" t="n"/>
      <c r="L2079" s="7" t="inlineStr">
        <is>
          <t>SEM COTAÇÃO</t>
        </is>
      </c>
      <c r="M2079" s="8" t="n"/>
      <c r="N2079" s="14" t="n"/>
      <c r="O2079" s="7" t="inlineStr"/>
      <c r="P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/>
      <c r="K2080" s="8" t="n"/>
      <c r="L2080" s="7" t="inlineStr">
        <is>
          <t>SEM COTAÇÃO</t>
        </is>
      </c>
      <c r="M2080" s="8" t="n"/>
      <c r="N2080" s="14" t="n"/>
      <c r="O2080" s="7" t="inlineStr"/>
      <c r="P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/>
      <c r="K2081" s="8" t="n"/>
      <c r="L2081" s="7" t="inlineStr">
        <is>
          <t>SEM COTAÇÃO</t>
        </is>
      </c>
      <c r="M2081" s="8" t="n"/>
      <c r="N2081" s="14" t="n"/>
      <c r="O2081" s="7" t="inlineStr"/>
      <c r="P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/>
      <c r="K2082" s="8" t="n"/>
      <c r="L2082" s="7" t="inlineStr">
        <is>
          <t>SEM COTAÇÃO</t>
        </is>
      </c>
      <c r="M2082" s="8" t="n"/>
      <c r="N2082" s="14" t="n"/>
      <c r="O2082" s="7" t="inlineStr"/>
      <c r="P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/>
      <c r="K2083" s="8" t="n"/>
      <c r="L2083" s="7" t="inlineStr">
        <is>
          <t>SEM COTAÇÃO</t>
        </is>
      </c>
      <c r="M2083" s="8" t="n"/>
      <c r="N2083" s="14" t="n"/>
      <c r="O2083" s="7" t="inlineStr"/>
      <c r="P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/>
      <c r="K2084" s="8" t="n"/>
      <c r="L2084" s="7" t="inlineStr">
        <is>
          <t>SEM COTAÇÃO</t>
        </is>
      </c>
      <c r="M2084" s="8" t="n"/>
      <c r="N2084" s="14" t="n"/>
      <c r="O2084" s="7" t="inlineStr"/>
      <c r="P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/>
      <c r="K2085" s="8" t="n"/>
      <c r="L2085" s="7" t="inlineStr">
        <is>
          <t>SEM COTAÇÃO</t>
        </is>
      </c>
      <c r="M2085" s="8" t="n"/>
      <c r="N2085" s="14" t="n"/>
      <c r="O2085" s="7" t="inlineStr"/>
      <c r="P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/>
      <c r="K2086" s="8" t="n"/>
      <c r="L2086" s="7" t="inlineStr">
        <is>
          <t>SEM COTAÇÃO</t>
        </is>
      </c>
      <c r="M2086" s="8" t="n"/>
      <c r="N2086" s="14" t="n"/>
      <c r="O2086" s="7" t="inlineStr"/>
      <c r="P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/>
      <c r="K2087" s="8" t="n"/>
      <c r="L2087" s="7" t="inlineStr">
        <is>
          <t>SEM COTAÇÃO</t>
        </is>
      </c>
      <c r="M2087" s="8" t="n"/>
      <c r="N2087" s="14" t="n"/>
      <c r="O2087" s="7" t="inlineStr"/>
      <c r="P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/>
      <c r="K2088" s="8" t="n"/>
      <c r="L2088" s="7" t="inlineStr">
        <is>
          <t>SEM COTAÇÃO</t>
        </is>
      </c>
      <c r="M2088" s="8" t="n"/>
      <c r="N2088" s="14" t="n"/>
      <c r="O2088" s="7" t="inlineStr"/>
      <c r="P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/>
      <c r="K2089" s="8" t="n"/>
      <c r="L2089" s="7" t="inlineStr">
        <is>
          <t>SEM COTAÇÃO</t>
        </is>
      </c>
      <c r="M2089" s="8" t="n"/>
      <c r="N2089" s="14" t="n"/>
      <c r="O2089" s="7" t="inlineStr"/>
      <c r="P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/>
      <c r="K2090" s="8" t="n"/>
      <c r="L2090" s="7" t="inlineStr">
        <is>
          <t>SEM COTAÇÃO</t>
        </is>
      </c>
      <c r="M2090" s="8" t="n"/>
      <c r="N2090" s="14" t="n"/>
      <c r="O2090" s="7" t="inlineStr"/>
      <c r="P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/>
      <c r="K2091" s="8" t="n"/>
      <c r="L2091" s="7" t="inlineStr">
        <is>
          <t>SEM COTAÇÃO</t>
        </is>
      </c>
      <c r="M2091" s="8" t="n"/>
      <c r="N2091" s="14" t="n"/>
      <c r="O2091" s="7" t="inlineStr"/>
      <c r="P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/>
      <c r="K2092" s="8" t="n"/>
      <c r="L2092" s="7" t="inlineStr">
        <is>
          <t>SEM COTAÇÃO</t>
        </is>
      </c>
      <c r="M2092" s="8" t="n"/>
      <c r="N2092" s="14" t="n"/>
      <c r="O2092" s="7" t="inlineStr"/>
      <c r="P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/>
      <c r="K2093" s="8" t="n"/>
      <c r="L2093" s="7" t="inlineStr">
        <is>
          <t>SEM COTAÇÃO</t>
        </is>
      </c>
      <c r="M2093" s="8" t="n"/>
      <c r="N2093" s="14" t="n"/>
      <c r="O2093" s="7" t="inlineStr"/>
      <c r="P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/>
      <c r="K2094" s="8" t="n"/>
      <c r="L2094" s="7" t="inlineStr">
        <is>
          <t>SEM COTAÇÃO</t>
        </is>
      </c>
      <c r="M2094" s="8" t="n"/>
      <c r="N2094" s="14" t="n"/>
      <c r="O2094" s="7" t="inlineStr"/>
      <c r="P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/>
      <c r="K2095" s="8" t="n"/>
      <c r="L2095" s="7" t="inlineStr">
        <is>
          <t>SEM COTAÇÃO</t>
        </is>
      </c>
      <c r="M2095" s="8" t="n"/>
      <c r="N2095" s="14" t="n"/>
      <c r="O2095" s="7" t="inlineStr"/>
      <c r="P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/>
      <c r="K2096" s="8" t="n"/>
      <c r="L2096" s="7" t="inlineStr">
        <is>
          <t>SEM COTAÇÃO</t>
        </is>
      </c>
      <c r="M2096" s="8" t="n"/>
      <c r="N2096" s="14" t="n"/>
      <c r="O2096" s="7" t="inlineStr"/>
      <c r="P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/>
      <c r="K2097" s="8" t="n"/>
      <c r="L2097" s="7" t="inlineStr">
        <is>
          <t>SEM COTAÇÃO</t>
        </is>
      </c>
      <c r="M2097" s="8" t="n"/>
      <c r="N2097" s="14" t="n"/>
      <c r="O2097" s="7" t="inlineStr"/>
      <c r="P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/>
      <c r="K2098" s="8" t="n"/>
      <c r="L2098" s="7" t="inlineStr">
        <is>
          <t>SEM COTAÇÃO</t>
        </is>
      </c>
      <c r="M2098" s="8" t="n"/>
      <c r="N2098" s="14" t="n"/>
      <c r="O2098" s="7" t="inlineStr"/>
      <c r="P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/>
      <c r="K2099" s="8" t="n"/>
      <c r="L2099" s="7" t="inlineStr">
        <is>
          <t>SEM COTAÇÃO</t>
        </is>
      </c>
      <c r="M2099" s="8" t="n"/>
      <c r="N2099" s="14" t="n"/>
      <c r="O2099" s="7" t="inlineStr"/>
      <c r="P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/>
      <c r="K2100" s="8" t="n"/>
      <c r="L2100" s="7" t="inlineStr">
        <is>
          <t>SEM COTAÇÃO</t>
        </is>
      </c>
      <c r="M2100" s="8" t="n"/>
      <c r="N2100" s="14" t="n"/>
      <c r="O2100" s="7" t="inlineStr"/>
      <c r="P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/>
      <c r="K2101" s="8" t="n"/>
      <c r="L2101" s="7" t="inlineStr">
        <is>
          <t>SEM COTAÇÃO</t>
        </is>
      </c>
      <c r="M2101" s="8" t="n"/>
      <c r="N2101" s="14" t="n"/>
      <c r="O2101" s="7" t="inlineStr"/>
      <c r="P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/>
      <c r="K2102" s="8" t="n"/>
      <c r="L2102" s="7" t="inlineStr">
        <is>
          <t>SEM COTAÇÃO</t>
        </is>
      </c>
      <c r="M2102" s="8" t="n"/>
      <c r="N2102" s="14" t="n"/>
      <c r="O2102" s="7" t="inlineStr"/>
      <c r="P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/>
      <c r="K2103" s="8" t="n"/>
      <c r="L2103" s="7" t="inlineStr">
        <is>
          <t>SEM COTAÇÃO</t>
        </is>
      </c>
      <c r="M2103" s="8" t="n"/>
      <c r="N2103" s="14" t="n"/>
      <c r="O2103" s="7" t="inlineStr"/>
      <c r="P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/>
      <c r="K2104" s="8" t="n"/>
      <c r="L2104" s="7" t="inlineStr">
        <is>
          <t>SEM COTAÇÃO</t>
        </is>
      </c>
      <c r="M2104" s="8" t="n"/>
      <c r="N2104" s="14" t="n"/>
      <c r="O2104" s="7" t="inlineStr"/>
      <c r="P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/>
      <c r="K2105" s="8" t="n"/>
      <c r="L2105" s="7" t="inlineStr">
        <is>
          <t>SEM COTAÇÃO</t>
        </is>
      </c>
      <c r="M2105" s="8" t="n"/>
      <c r="N2105" s="14" t="n"/>
      <c r="O2105" s="7" t="inlineStr"/>
      <c r="P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/>
      <c r="K2106" s="8" t="n"/>
      <c r="L2106" s="7" t="inlineStr">
        <is>
          <t>SEM COTAÇÃO</t>
        </is>
      </c>
      <c r="M2106" s="8" t="n"/>
      <c r="N2106" s="14" t="n"/>
      <c r="O2106" s="7" t="inlineStr"/>
      <c r="P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/>
      <c r="K2107" s="8" t="n"/>
      <c r="L2107" s="7" t="inlineStr">
        <is>
          <t>SEM COTAÇÃO</t>
        </is>
      </c>
      <c r="M2107" s="8" t="n"/>
      <c r="N2107" s="14" t="n"/>
      <c r="O2107" s="7" t="inlineStr"/>
      <c r="P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/>
      <c r="K2108" s="8" t="n"/>
      <c r="L2108" s="7" t="inlineStr">
        <is>
          <t>SEM COTAÇÃO</t>
        </is>
      </c>
      <c r="M2108" s="8" t="n"/>
      <c r="N2108" s="14" t="n"/>
      <c r="O2108" s="7" t="inlineStr"/>
      <c r="P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/>
      <c r="K2109" s="8" t="n"/>
      <c r="L2109" s="7" t="inlineStr">
        <is>
          <t>SEM COTAÇÃO</t>
        </is>
      </c>
      <c r="M2109" s="8" t="n"/>
      <c r="N2109" s="14" t="n"/>
      <c r="O2109" s="7" t="inlineStr"/>
      <c r="P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/>
      <c r="K2110" s="8" t="n"/>
      <c r="L2110" s="7" t="inlineStr">
        <is>
          <t>SEM COTAÇÃO</t>
        </is>
      </c>
      <c r="M2110" s="8" t="n"/>
      <c r="N2110" s="14" t="n"/>
      <c r="O2110" s="7" t="inlineStr"/>
      <c r="P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/>
      <c r="K2111" s="8" t="n"/>
      <c r="L2111" s="7" t="inlineStr">
        <is>
          <t>SEM COTAÇÃO</t>
        </is>
      </c>
      <c r="M2111" s="8" t="n"/>
      <c r="N2111" s="14" t="n"/>
      <c r="O2111" s="7" t="inlineStr"/>
      <c r="P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/>
      <c r="K2112" s="8" t="n"/>
      <c r="L2112" s="7" t="inlineStr">
        <is>
          <t>SEM COTAÇÃO</t>
        </is>
      </c>
      <c r="M2112" s="8" t="n"/>
      <c r="N2112" s="14" t="n"/>
      <c r="O2112" s="7" t="inlineStr"/>
      <c r="P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/>
      <c r="K2113" s="8" t="n"/>
      <c r="L2113" s="7" t="inlineStr">
        <is>
          <t>SEM COTAÇÃO</t>
        </is>
      </c>
      <c r="M2113" s="8" t="n"/>
      <c r="N2113" s="14" t="n"/>
      <c r="O2113" s="7" t="inlineStr"/>
      <c r="P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/>
      <c r="K2114" s="8" t="n"/>
      <c r="L2114" s="7" t="inlineStr">
        <is>
          <t>SEM COTAÇÃO</t>
        </is>
      </c>
      <c r="M2114" s="8" t="n"/>
      <c r="N2114" s="14" t="n"/>
      <c r="O2114" s="7" t="inlineStr"/>
      <c r="P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/>
      <c r="K2115" s="8" t="n"/>
      <c r="L2115" s="7" t="inlineStr">
        <is>
          <t>SEM COTAÇÃO</t>
        </is>
      </c>
      <c r="M2115" s="8" t="n"/>
      <c r="N2115" s="14" t="n"/>
      <c r="O2115" s="7" t="inlineStr"/>
      <c r="P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/>
      <c r="K2116" s="8" t="n"/>
      <c r="L2116" s="7" t="inlineStr">
        <is>
          <t>SEM COTAÇÃO</t>
        </is>
      </c>
      <c r="M2116" s="8" t="n"/>
      <c r="N2116" s="14" t="n"/>
      <c r="O2116" s="7" t="inlineStr"/>
      <c r="P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/>
      <c r="K2117" s="8" t="n"/>
      <c r="L2117" s="7" t="inlineStr">
        <is>
          <t>SEM COTAÇÃO</t>
        </is>
      </c>
      <c r="M2117" s="8" t="n"/>
      <c r="N2117" s="14" t="n"/>
      <c r="O2117" s="7" t="inlineStr"/>
      <c r="P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/>
      <c r="K2118" s="8" t="n"/>
      <c r="L2118" s="7" t="inlineStr">
        <is>
          <t>SEM COTAÇÃO</t>
        </is>
      </c>
      <c r="M2118" s="8" t="n"/>
      <c r="N2118" s="14" t="n"/>
      <c r="O2118" s="7" t="inlineStr"/>
      <c r="P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/>
      <c r="K2119" s="8" t="n"/>
      <c r="L2119" s="7" t="inlineStr">
        <is>
          <t>SEM COTAÇÃO</t>
        </is>
      </c>
      <c r="M2119" s="8" t="n"/>
      <c r="N2119" s="14" t="n"/>
      <c r="O2119" s="7" t="inlineStr"/>
      <c r="P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/>
      <c r="K2120" s="8" t="n"/>
      <c r="L2120" s="7" t="inlineStr">
        <is>
          <t>SEM COTAÇÃO</t>
        </is>
      </c>
      <c r="M2120" s="8" t="n"/>
      <c r="N2120" s="14" t="n"/>
      <c r="O2120" s="7" t="inlineStr"/>
      <c r="P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/>
      <c r="K2121" s="8" t="n"/>
      <c r="L2121" s="7" t="inlineStr">
        <is>
          <t>SEM COTAÇÃO</t>
        </is>
      </c>
      <c r="M2121" s="8" t="n"/>
      <c r="N2121" s="14" t="n"/>
      <c r="O2121" s="7" t="inlineStr"/>
      <c r="P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/>
      <c r="K2122" s="8" t="n"/>
      <c r="L2122" s="7" t="inlineStr">
        <is>
          <t>SEM COTAÇÃO</t>
        </is>
      </c>
      <c r="M2122" s="8" t="n"/>
      <c r="N2122" s="14" t="n"/>
      <c r="O2122" s="7" t="inlineStr"/>
      <c r="P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/>
      <c r="K2123" s="8" t="n"/>
      <c r="L2123" s="7" t="inlineStr">
        <is>
          <t>SEM COTAÇÃO</t>
        </is>
      </c>
      <c r="M2123" s="8" t="n"/>
      <c r="N2123" s="14" t="n"/>
      <c r="O2123" s="7" t="inlineStr"/>
      <c r="P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/>
      <c r="K2124" s="8" t="n"/>
      <c r="L2124" s="7" t="inlineStr">
        <is>
          <t>SEM COTAÇÃO</t>
        </is>
      </c>
      <c r="M2124" s="8" t="n"/>
      <c r="N2124" s="14" t="n"/>
      <c r="O2124" s="7" t="inlineStr"/>
      <c r="P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/>
      <c r="K2125" s="8" t="n"/>
      <c r="L2125" s="7" t="inlineStr">
        <is>
          <t>SEM COTAÇÃO</t>
        </is>
      </c>
      <c r="M2125" s="8" t="n"/>
      <c r="N2125" s="14" t="n"/>
      <c r="O2125" s="7" t="inlineStr"/>
      <c r="P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/>
      <c r="K2126" s="8" t="n"/>
      <c r="L2126" s="7" t="inlineStr">
        <is>
          <t>SEM COTAÇÃO</t>
        </is>
      </c>
      <c r="M2126" s="8" t="n"/>
      <c r="N2126" s="14" t="n"/>
      <c r="O2126" s="7" t="inlineStr"/>
      <c r="P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/>
      <c r="K2127" s="8" t="n"/>
      <c r="L2127" s="7" t="inlineStr">
        <is>
          <t>SEM COTAÇÃO</t>
        </is>
      </c>
      <c r="M2127" s="8" t="n"/>
      <c r="N2127" s="14" t="n"/>
      <c r="O2127" s="7" t="inlineStr"/>
      <c r="P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/>
      <c r="K2128" s="8" t="n"/>
      <c r="L2128" s="7" t="inlineStr">
        <is>
          <t>SEM COTAÇÃO</t>
        </is>
      </c>
      <c r="M2128" s="8" t="n"/>
      <c r="N2128" s="14" t="n"/>
      <c r="O2128" s="7" t="inlineStr"/>
      <c r="P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/>
      <c r="K2129" s="8" t="n"/>
      <c r="L2129" s="7" t="inlineStr">
        <is>
          <t>SEM COTAÇÃO</t>
        </is>
      </c>
      <c r="M2129" s="8" t="n"/>
      <c r="N2129" s="14" t="n"/>
      <c r="O2129" s="7" t="inlineStr"/>
      <c r="P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/>
      <c r="K2130" s="8" t="n"/>
      <c r="L2130" s="7" t="inlineStr">
        <is>
          <t>SEM COTAÇÃO</t>
        </is>
      </c>
      <c r="M2130" s="8" t="n"/>
      <c r="N2130" s="14" t="n"/>
      <c r="O2130" s="7" t="inlineStr"/>
      <c r="P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/>
      <c r="K2131" s="8" t="n"/>
      <c r="L2131" s="7" t="inlineStr">
        <is>
          <t>SEM COTAÇÃO</t>
        </is>
      </c>
      <c r="M2131" s="8" t="n"/>
      <c r="N2131" s="14" t="n"/>
      <c r="O2131" s="7" t="inlineStr"/>
      <c r="P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/>
      <c r="K2132" s="8" t="n"/>
      <c r="L2132" s="7" t="inlineStr">
        <is>
          <t>SEM COTAÇÃO</t>
        </is>
      </c>
      <c r="M2132" s="8" t="n"/>
      <c r="N2132" s="14" t="n"/>
      <c r="O2132" s="7" t="inlineStr"/>
      <c r="P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/>
      <c r="K2133" s="8" t="n"/>
      <c r="L2133" s="7" t="inlineStr">
        <is>
          <t>SEM COTAÇÃO</t>
        </is>
      </c>
      <c r="M2133" s="8" t="n"/>
      <c r="N2133" s="14" t="n"/>
      <c r="O2133" s="7" t="inlineStr"/>
      <c r="P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/>
      <c r="K2134" s="8" t="n"/>
      <c r="L2134" s="7" t="inlineStr">
        <is>
          <t>SEM COTAÇÃO</t>
        </is>
      </c>
      <c r="M2134" s="8" t="n"/>
      <c r="N2134" s="14" t="n"/>
      <c r="O2134" s="7" t="inlineStr"/>
      <c r="P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/>
      <c r="K2135" s="8" t="n"/>
      <c r="L2135" s="7" t="inlineStr">
        <is>
          <t>SEM COTAÇÃO</t>
        </is>
      </c>
      <c r="M2135" s="8" t="n"/>
      <c r="N2135" s="14" t="n"/>
      <c r="O2135" s="7" t="inlineStr"/>
      <c r="P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/>
      <c r="K2136" s="8" t="n"/>
      <c r="L2136" s="7" t="inlineStr">
        <is>
          <t>SEM COTAÇÃO</t>
        </is>
      </c>
      <c r="M2136" s="8" t="n"/>
      <c r="N2136" s="14" t="n"/>
      <c r="O2136" s="7" t="inlineStr"/>
      <c r="P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/>
      <c r="K2137" s="8" t="n"/>
      <c r="L2137" s="7" t="inlineStr">
        <is>
          <t>SEM COTAÇÃO</t>
        </is>
      </c>
      <c r="M2137" s="8" t="n"/>
      <c r="N2137" s="14" t="n"/>
      <c r="O2137" s="7" t="inlineStr"/>
      <c r="P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/>
      <c r="K2138" s="8" t="n"/>
      <c r="L2138" s="7" t="inlineStr">
        <is>
          <t>SEM COTAÇÃO</t>
        </is>
      </c>
      <c r="M2138" s="8" t="n"/>
      <c r="N2138" s="14" t="n"/>
      <c r="O2138" s="7" t="inlineStr"/>
      <c r="P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7" t="inlineStr">
        <is>
          <t>SEM COTAÇÃO</t>
        </is>
      </c>
      <c r="M2139" s="8" t="n"/>
      <c r="N2139" s="14" t="n"/>
      <c r="O2139" s="7" t="inlineStr"/>
      <c r="P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/>
      <c r="K2140" s="8" t="n"/>
      <c r="L2140" s="7" t="inlineStr">
        <is>
          <t>SEM COTAÇÃO</t>
        </is>
      </c>
      <c r="M2140" s="8" t="n"/>
      <c r="N2140" s="14" t="n"/>
      <c r="O2140" s="7" t="inlineStr"/>
      <c r="P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/>
      <c r="K2141" s="8" t="n"/>
      <c r="L2141" s="7" t="inlineStr">
        <is>
          <t>SEM COTAÇÃO</t>
        </is>
      </c>
      <c r="M2141" s="8" t="n"/>
      <c r="N2141" s="14" t="n"/>
      <c r="O2141" s="7" t="inlineStr"/>
      <c r="P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/>
      <c r="K2142" s="8" t="n"/>
      <c r="L2142" s="7" t="inlineStr">
        <is>
          <t>SEM COTAÇÃO</t>
        </is>
      </c>
      <c r="M2142" s="8" t="n"/>
      <c r="N2142" s="14" t="n"/>
      <c r="O2142" s="7" t="inlineStr"/>
      <c r="P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/>
      <c r="K2143" s="8" t="n"/>
      <c r="L2143" s="7" t="inlineStr">
        <is>
          <t>SEM COTAÇÃO</t>
        </is>
      </c>
      <c r="M2143" s="8" t="n"/>
      <c r="N2143" s="14" t="n"/>
      <c r="O2143" s="7" t="inlineStr"/>
      <c r="P2143" s="7" t="inlineStr"/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/>
      <c r="K2144" s="8" t="n"/>
      <c r="L2144" s="7" t="inlineStr">
        <is>
          <t>SEM COTAÇÃO</t>
        </is>
      </c>
      <c r="M2144" s="8" t="n"/>
      <c r="N2144" s="14" t="n"/>
      <c r="O2144" s="7" t="inlineStr"/>
      <c r="P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/>
      <c r="K2145" s="8" t="n"/>
      <c r="L2145" s="7" t="inlineStr">
        <is>
          <t>SEM COTAÇÃO</t>
        </is>
      </c>
      <c r="M2145" s="8" t="n"/>
      <c r="N2145" s="14" t="n"/>
      <c r="O2145" s="7" t="inlineStr"/>
      <c r="P2145" s="7" t="inlineStr"/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/>
      <c r="K2146" s="8" t="n"/>
      <c r="L2146" s="7" t="inlineStr">
        <is>
          <t>SEM COTAÇÃO</t>
        </is>
      </c>
      <c r="M2146" s="8" t="n"/>
      <c r="N2146" s="14" t="n"/>
      <c r="O2146" s="7" t="inlineStr"/>
      <c r="P2146" s="7" t="inlineStr"/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/>
      <c r="K2147" s="8" t="n"/>
      <c r="L2147" s="7" t="inlineStr">
        <is>
          <t>SEM COTAÇÃO</t>
        </is>
      </c>
      <c r="M2147" s="8" t="n"/>
      <c r="N2147" s="14" t="n"/>
      <c r="O2147" s="7" t="inlineStr"/>
      <c r="P2147" s="7" t="inlineStr"/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/>
      <c r="K2148" s="8" t="n"/>
      <c r="L2148" s="7" t="inlineStr">
        <is>
          <t>SEM COTAÇÃO</t>
        </is>
      </c>
      <c r="M2148" s="8" t="n"/>
      <c r="N2148" s="14" t="n"/>
      <c r="O2148" s="7" t="inlineStr"/>
      <c r="P2148" s="7" t="inlineStr"/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/>
      <c r="K2149" s="8" t="n"/>
      <c r="L2149" s="7" t="inlineStr">
        <is>
          <t>SEM COTAÇÃO</t>
        </is>
      </c>
      <c r="M2149" s="8" t="n"/>
      <c r="N2149" s="14" t="n"/>
      <c r="O2149" s="7" t="inlineStr"/>
      <c r="P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/>
      <c r="K2150" s="8" t="n"/>
      <c r="L2150" s="7" t="inlineStr">
        <is>
          <t>SEM COTAÇÃO</t>
        </is>
      </c>
      <c r="M2150" s="8" t="n"/>
      <c r="N2150" s="14" t="n"/>
      <c r="O2150" s="7" t="inlineStr"/>
      <c r="P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/>
      <c r="K2151" s="8" t="n"/>
      <c r="L2151" s="7" t="inlineStr">
        <is>
          <t>SEM COTAÇÃO</t>
        </is>
      </c>
      <c r="M2151" s="8" t="n"/>
      <c r="N2151" s="14" t="n"/>
      <c r="O2151" s="7" t="inlineStr"/>
      <c r="P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/>
      <c r="K2152" s="8" t="n"/>
      <c r="L2152" s="7" t="inlineStr">
        <is>
          <t>SEM COTAÇÃO</t>
        </is>
      </c>
      <c r="M2152" s="8" t="n"/>
      <c r="N2152" s="14" t="n"/>
      <c r="O2152" s="7" t="inlineStr"/>
      <c r="P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/>
      <c r="K2153" s="8" t="n"/>
      <c r="L2153" s="7" t="inlineStr">
        <is>
          <t>SEM COTAÇÃO</t>
        </is>
      </c>
      <c r="M2153" s="8" t="n"/>
      <c r="N2153" s="14" t="n"/>
      <c r="O2153" s="7" t="inlineStr"/>
      <c r="P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/>
      <c r="K2154" s="8" t="n"/>
      <c r="L2154" s="7" t="inlineStr">
        <is>
          <t>SEM COTAÇÃO</t>
        </is>
      </c>
      <c r="M2154" s="8" t="n"/>
      <c r="N2154" s="14" t="n"/>
      <c r="O2154" s="7" t="inlineStr"/>
      <c r="P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/>
      <c r="K2155" s="8" t="n"/>
      <c r="L2155" s="7" t="inlineStr">
        <is>
          <t>SEM COTAÇÃO</t>
        </is>
      </c>
      <c r="M2155" s="8" t="n"/>
      <c r="N2155" s="14" t="n"/>
      <c r="O2155" s="7" t="inlineStr"/>
      <c r="P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/>
      <c r="K2156" s="8" t="n"/>
      <c r="L2156" s="7" t="inlineStr">
        <is>
          <t>SEM COTAÇÃO</t>
        </is>
      </c>
      <c r="M2156" s="8" t="n"/>
      <c r="N2156" s="14" t="n"/>
      <c r="O2156" s="7" t="inlineStr"/>
      <c r="P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/>
      <c r="K2157" s="8" t="n"/>
      <c r="L2157" s="7" t="inlineStr">
        <is>
          <t>SEM COTAÇÃO</t>
        </is>
      </c>
      <c r="M2157" s="8" t="n"/>
      <c r="N2157" s="14" t="n"/>
      <c r="O2157" s="7" t="inlineStr"/>
      <c r="P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/>
      <c r="K2158" s="8" t="n"/>
      <c r="L2158" s="7" t="inlineStr">
        <is>
          <t>SEM COTAÇÃO</t>
        </is>
      </c>
      <c r="M2158" s="8" t="n"/>
      <c r="N2158" s="14" t="n"/>
      <c r="O2158" s="7" t="inlineStr"/>
      <c r="P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/>
      <c r="K2159" s="8" t="n"/>
      <c r="L2159" s="7" t="inlineStr">
        <is>
          <t>SEM COTAÇÃO</t>
        </is>
      </c>
      <c r="M2159" s="8" t="n"/>
      <c r="N2159" s="14" t="n"/>
      <c r="O2159" s="7" t="inlineStr"/>
      <c r="P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/>
      <c r="K2160" s="8" t="n"/>
      <c r="L2160" s="7" t="inlineStr">
        <is>
          <t>SEM COTAÇÃO</t>
        </is>
      </c>
      <c r="M2160" s="8" t="n"/>
      <c r="N2160" s="14" t="n"/>
      <c r="O2160" s="7" t="inlineStr"/>
      <c r="P2160" s="7" t="inlineStr"/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/>
      <c r="K2161" s="8" t="n"/>
      <c r="L2161" s="7" t="inlineStr">
        <is>
          <t>SEM COTAÇÃO</t>
        </is>
      </c>
      <c r="M2161" s="8" t="n"/>
      <c r="N2161" s="14" t="n"/>
      <c r="O2161" s="7" t="inlineStr"/>
      <c r="P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/>
      <c r="K2162" s="8" t="n"/>
      <c r="L2162" s="7" t="inlineStr">
        <is>
          <t>SEM COTAÇÃO</t>
        </is>
      </c>
      <c r="M2162" s="8" t="n"/>
      <c r="N2162" s="14" t="n"/>
      <c r="O2162" s="7" t="inlineStr"/>
      <c r="P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/>
      <c r="K2163" s="8" t="n"/>
      <c r="L2163" s="7" t="inlineStr">
        <is>
          <t>SEM COTAÇÃO</t>
        </is>
      </c>
      <c r="M2163" s="8" t="n"/>
      <c r="N2163" s="14" t="n"/>
      <c r="O2163" s="7" t="inlineStr"/>
      <c r="P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/>
      <c r="K2164" s="8" t="n"/>
      <c r="L2164" s="7" t="inlineStr">
        <is>
          <t>SEM COTAÇÃO</t>
        </is>
      </c>
      <c r="M2164" s="8" t="n"/>
      <c r="N2164" s="14" t="n"/>
      <c r="O2164" s="7" t="inlineStr"/>
      <c r="P2164" s="7" t="inlineStr"/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/>
      <c r="K2165" s="8" t="n"/>
      <c r="L2165" s="7" t="inlineStr">
        <is>
          <t>SEM COTAÇÃO</t>
        </is>
      </c>
      <c r="M2165" s="8" t="n"/>
      <c r="N2165" s="14" t="n"/>
      <c r="O2165" s="7" t="inlineStr"/>
      <c r="P2165" s="7" t="inlineStr"/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/>
      <c r="K2166" s="8" t="n"/>
      <c r="L2166" s="7" t="inlineStr">
        <is>
          <t>SEM COTAÇÃO</t>
        </is>
      </c>
      <c r="M2166" s="8" t="n"/>
      <c r="N2166" s="14" t="n"/>
      <c r="O2166" s="7" t="inlineStr"/>
      <c r="P2166" s="7" t="inlineStr"/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/>
      <c r="K2167" s="8" t="n"/>
      <c r="L2167" s="7" t="inlineStr">
        <is>
          <t>SEM COTAÇÃO</t>
        </is>
      </c>
      <c r="M2167" s="8" t="n"/>
      <c r="N2167" s="14" t="n"/>
      <c r="O2167" s="7" t="inlineStr"/>
      <c r="P2167" s="7" t="inlineStr"/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/>
      <c r="K2168" s="8" t="n"/>
      <c r="L2168" s="7" t="inlineStr">
        <is>
          <t>SEM COTAÇÃO</t>
        </is>
      </c>
      <c r="M2168" s="8" t="n"/>
      <c r="N2168" s="14" t="n"/>
      <c r="O2168" s="7" t="inlineStr"/>
      <c r="P2168" s="7" t="inlineStr"/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/>
      <c r="K2169" s="8" t="n"/>
      <c r="L2169" s="7" t="inlineStr">
        <is>
          <t>SEM COTAÇÃO</t>
        </is>
      </c>
      <c r="M2169" s="8" t="n"/>
      <c r="N2169" s="14" t="n"/>
      <c r="O2169" s="7" t="inlineStr"/>
      <c r="P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/>
      <c r="K2170" s="8" t="n"/>
      <c r="L2170" s="7" t="inlineStr">
        <is>
          <t>SEM COTAÇÃO</t>
        </is>
      </c>
      <c r="M2170" s="8" t="n"/>
      <c r="N2170" s="14" t="n"/>
      <c r="O2170" s="7" t="inlineStr"/>
      <c r="P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/>
      <c r="K2171" s="8" t="n"/>
      <c r="L2171" s="7" t="inlineStr">
        <is>
          <t>SEM COTAÇÃO</t>
        </is>
      </c>
      <c r="M2171" s="8" t="n"/>
      <c r="N2171" s="14" t="n"/>
      <c r="O2171" s="7" t="inlineStr"/>
      <c r="P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/>
      <c r="K2172" s="8" t="n"/>
      <c r="L2172" s="7" t="inlineStr">
        <is>
          <t>SEM COTAÇÃO</t>
        </is>
      </c>
      <c r="M2172" s="8" t="n"/>
      <c r="N2172" s="14" t="n"/>
      <c r="O2172" s="7" t="inlineStr"/>
      <c r="P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/>
      <c r="K2173" s="8" t="n"/>
      <c r="L2173" s="7" t="inlineStr">
        <is>
          <t>SEM COTAÇÃO</t>
        </is>
      </c>
      <c r="M2173" s="8" t="n"/>
      <c r="N2173" s="14" t="n"/>
      <c r="O2173" s="7" t="inlineStr"/>
      <c r="P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/>
      <c r="K2174" s="8" t="n"/>
      <c r="L2174" s="7" t="inlineStr">
        <is>
          <t>SEM COTAÇÃO</t>
        </is>
      </c>
      <c r="M2174" s="8" t="n"/>
      <c r="N2174" s="14" t="n"/>
      <c r="O2174" s="7" t="inlineStr"/>
      <c r="P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/>
      <c r="K2175" s="8" t="n"/>
      <c r="L2175" s="7" t="inlineStr">
        <is>
          <t>SEM COTAÇÃO</t>
        </is>
      </c>
      <c r="M2175" s="8" t="n"/>
      <c r="N2175" s="14" t="n"/>
      <c r="O2175" s="7" t="inlineStr"/>
      <c r="P2175" s="7" t="inlineStr"/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/>
      <c r="K2176" s="8" t="n"/>
      <c r="L2176" s="7" t="inlineStr">
        <is>
          <t>SEM COTAÇÃO</t>
        </is>
      </c>
      <c r="M2176" s="8" t="n"/>
      <c r="N2176" s="14" t="n"/>
      <c r="O2176" s="7" t="inlineStr"/>
      <c r="P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/>
      <c r="K2177" s="8" t="n"/>
      <c r="L2177" s="7" t="inlineStr">
        <is>
          <t>SEM COTAÇÃO</t>
        </is>
      </c>
      <c r="M2177" s="8" t="n"/>
      <c r="N2177" s="14" t="n"/>
      <c r="O2177" s="7" t="inlineStr"/>
      <c r="P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/>
      <c r="K2178" s="8" t="n"/>
      <c r="L2178" s="7" t="inlineStr">
        <is>
          <t>SEM COTAÇÃO</t>
        </is>
      </c>
      <c r="M2178" s="8" t="n"/>
      <c r="N2178" s="14" t="n"/>
      <c r="O2178" s="7" t="inlineStr"/>
      <c r="P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/>
      <c r="K2179" s="8" t="n"/>
      <c r="L2179" s="7" t="inlineStr">
        <is>
          <t>SEM COTAÇÃO</t>
        </is>
      </c>
      <c r="M2179" s="8" t="n"/>
      <c r="N2179" s="14" t="n"/>
      <c r="O2179" s="7" t="inlineStr"/>
      <c r="P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/>
      <c r="K2180" s="8" t="n"/>
      <c r="L2180" s="7" t="inlineStr">
        <is>
          <t>SEM COTAÇÃO</t>
        </is>
      </c>
      <c r="M2180" s="8" t="n"/>
      <c r="N2180" s="14" t="n"/>
      <c r="O2180" s="7" t="inlineStr"/>
      <c r="P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/>
      <c r="K2181" s="8" t="n"/>
      <c r="L2181" s="7" t="inlineStr">
        <is>
          <t>SEM COTAÇÃO</t>
        </is>
      </c>
      <c r="M2181" s="8" t="n"/>
      <c r="N2181" s="14" t="n"/>
      <c r="O2181" s="7" t="inlineStr"/>
      <c r="P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/>
      <c r="K2182" s="8" t="n"/>
      <c r="L2182" s="7" t="inlineStr">
        <is>
          <t>SEM COTAÇÃO</t>
        </is>
      </c>
      <c r="M2182" s="8" t="n"/>
      <c r="N2182" s="14" t="n"/>
      <c r="O2182" s="7" t="inlineStr"/>
      <c r="P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/>
      <c r="K2183" s="8" t="n"/>
      <c r="L2183" s="7" t="inlineStr">
        <is>
          <t>SEM COTAÇÃO</t>
        </is>
      </c>
      <c r="M2183" s="8" t="n"/>
      <c r="N2183" s="14" t="n"/>
      <c r="O2183" s="7" t="inlineStr"/>
      <c r="P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/>
      <c r="K2184" s="8" t="n"/>
      <c r="L2184" s="7" t="inlineStr">
        <is>
          <t>SEM COTAÇÃO</t>
        </is>
      </c>
      <c r="M2184" s="8" t="n"/>
      <c r="N2184" s="14" t="n"/>
      <c r="O2184" s="7" t="inlineStr"/>
      <c r="P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/>
      <c r="K2185" s="8" t="n"/>
      <c r="L2185" s="7" t="inlineStr">
        <is>
          <t>SEM COTAÇÃO</t>
        </is>
      </c>
      <c r="M2185" s="8" t="n"/>
      <c r="N2185" s="14" t="n"/>
      <c r="O2185" s="7" t="inlineStr"/>
      <c r="P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/>
      <c r="K2186" s="8" t="n"/>
      <c r="L2186" s="7" t="inlineStr">
        <is>
          <t>SEM COTAÇÃO</t>
        </is>
      </c>
      <c r="M2186" s="8" t="n"/>
      <c r="N2186" s="14" t="n"/>
      <c r="O2186" s="7" t="inlineStr"/>
      <c r="P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/>
      <c r="K2187" s="8" t="n"/>
      <c r="L2187" s="7" t="inlineStr">
        <is>
          <t>SEM COTAÇÃO</t>
        </is>
      </c>
      <c r="M2187" s="8" t="n"/>
      <c r="N2187" s="14" t="n"/>
      <c r="O2187" s="7" t="inlineStr"/>
      <c r="P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/>
      <c r="K2188" s="8" t="n"/>
      <c r="L2188" s="7" t="inlineStr">
        <is>
          <t>SEM COTAÇÃO</t>
        </is>
      </c>
      <c r="M2188" s="8" t="n"/>
      <c r="N2188" s="14" t="n"/>
      <c r="O2188" s="7" t="inlineStr"/>
      <c r="P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/>
      <c r="K2189" s="8" t="n"/>
      <c r="L2189" s="7" t="inlineStr">
        <is>
          <t>SEM COTAÇÃO</t>
        </is>
      </c>
      <c r="M2189" s="8" t="n"/>
      <c r="N2189" s="14" t="n"/>
      <c r="O2189" s="7" t="inlineStr"/>
      <c r="P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/>
      <c r="K2190" s="8" t="n"/>
      <c r="L2190" s="7" t="inlineStr">
        <is>
          <t>SEM COTAÇÃO</t>
        </is>
      </c>
      <c r="M2190" s="8" t="n"/>
      <c r="N2190" s="14" t="n"/>
      <c r="O2190" s="7" t="inlineStr"/>
      <c r="P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/>
      <c r="K2191" s="8" t="n"/>
      <c r="L2191" s="7" t="inlineStr">
        <is>
          <t>SEM COTAÇÃO</t>
        </is>
      </c>
      <c r="M2191" s="8" t="n"/>
      <c r="N2191" s="14" t="n"/>
      <c r="O2191" s="7" t="inlineStr"/>
      <c r="P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/>
      <c r="K2192" s="8" t="n"/>
      <c r="L2192" s="7" t="inlineStr">
        <is>
          <t>SEM COTAÇÃO</t>
        </is>
      </c>
      <c r="M2192" s="8" t="n"/>
      <c r="N2192" s="14" t="n"/>
      <c r="O2192" s="7" t="inlineStr"/>
      <c r="P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/>
      <c r="K2193" s="8" t="n"/>
      <c r="L2193" s="7" t="inlineStr">
        <is>
          <t>SEM COTAÇÃO</t>
        </is>
      </c>
      <c r="M2193" s="8" t="n"/>
      <c r="N2193" s="14" t="n"/>
      <c r="O2193" s="7" t="inlineStr"/>
      <c r="P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/>
      <c r="K2194" s="8" t="n"/>
      <c r="L2194" s="7" t="inlineStr">
        <is>
          <t>SEM COTAÇÃO</t>
        </is>
      </c>
      <c r="M2194" s="8" t="n"/>
      <c r="N2194" s="14" t="n"/>
      <c r="O2194" s="7" t="inlineStr"/>
      <c r="P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/>
      <c r="K2195" s="8" t="n"/>
      <c r="L2195" s="7" t="inlineStr">
        <is>
          <t>SEM COTAÇÃO</t>
        </is>
      </c>
      <c r="M2195" s="8" t="n"/>
      <c r="N2195" s="14" t="n"/>
      <c r="O2195" s="7" t="inlineStr"/>
      <c r="P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/>
      <c r="K2196" s="8" t="n"/>
      <c r="L2196" s="7" t="inlineStr">
        <is>
          <t>SEM COTAÇÃO</t>
        </is>
      </c>
      <c r="M2196" s="8" t="n"/>
      <c r="N2196" s="14" t="n"/>
      <c r="O2196" s="7" t="inlineStr"/>
      <c r="P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/>
      <c r="K2197" s="8" t="n"/>
      <c r="L2197" s="7" t="inlineStr">
        <is>
          <t>SEM COTAÇÃO</t>
        </is>
      </c>
      <c r="M2197" s="8" t="n"/>
      <c r="N2197" s="14" t="n"/>
      <c r="O2197" s="7" t="inlineStr"/>
      <c r="P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/>
      <c r="K2198" s="8" t="n"/>
      <c r="L2198" s="7" t="inlineStr">
        <is>
          <t>SEM COTAÇÃO</t>
        </is>
      </c>
      <c r="M2198" s="8" t="n"/>
      <c r="N2198" s="14" t="n"/>
      <c r="O2198" s="7" t="inlineStr"/>
      <c r="P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/>
      <c r="K2199" s="8" t="n"/>
      <c r="L2199" s="7" t="inlineStr">
        <is>
          <t>SEM COTAÇÃO</t>
        </is>
      </c>
      <c r="M2199" s="8" t="n"/>
      <c r="N2199" s="14" t="n"/>
      <c r="O2199" s="7" t="inlineStr"/>
      <c r="P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/>
      <c r="K2200" s="8" t="n"/>
      <c r="L2200" s="7" t="inlineStr">
        <is>
          <t>SEM COTAÇÃO</t>
        </is>
      </c>
      <c r="M2200" s="8" t="n"/>
      <c r="N2200" s="14" t="n"/>
      <c r="O2200" s="7" t="inlineStr"/>
      <c r="P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/>
      <c r="K2201" s="8" t="n"/>
      <c r="L2201" s="7" t="inlineStr">
        <is>
          <t>SEM COTAÇÃO</t>
        </is>
      </c>
      <c r="M2201" s="8" t="n"/>
      <c r="N2201" s="14" t="n"/>
      <c r="O2201" s="7" t="inlineStr"/>
      <c r="P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/>
      <c r="K2202" s="8" t="n"/>
      <c r="L2202" s="7" t="inlineStr">
        <is>
          <t>SEM COTAÇÃO</t>
        </is>
      </c>
      <c r="M2202" s="8" t="n"/>
      <c r="N2202" s="14" t="n"/>
      <c r="O2202" s="7" t="inlineStr"/>
      <c r="P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/>
      <c r="K2203" s="8" t="n"/>
      <c r="L2203" s="7" t="inlineStr">
        <is>
          <t>SEM COTAÇÃO</t>
        </is>
      </c>
      <c r="M2203" s="8" t="n"/>
      <c r="N2203" s="14" t="n"/>
      <c r="O2203" s="7" t="inlineStr"/>
      <c r="P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/>
      <c r="K2204" s="8" t="n"/>
      <c r="L2204" s="7" t="inlineStr">
        <is>
          <t>SEM COTAÇÃO</t>
        </is>
      </c>
      <c r="M2204" s="8" t="n"/>
      <c r="N2204" s="14" t="n"/>
      <c r="O2204" s="7" t="inlineStr"/>
      <c r="P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/>
      <c r="K2205" s="8" t="n"/>
      <c r="L2205" s="7" t="inlineStr">
        <is>
          <t>SEM COTAÇÃO</t>
        </is>
      </c>
      <c r="M2205" s="8" t="n"/>
      <c r="N2205" s="14" t="n"/>
      <c r="O2205" s="7" t="inlineStr"/>
      <c r="P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/>
      <c r="K2206" s="8" t="n"/>
      <c r="L2206" s="7" t="inlineStr">
        <is>
          <t>SEM COTAÇÃO</t>
        </is>
      </c>
      <c r="M2206" s="8" t="n"/>
      <c r="N2206" s="14" t="n"/>
      <c r="O2206" s="7" t="inlineStr"/>
      <c r="P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/>
      <c r="K2207" s="8" t="n"/>
      <c r="L2207" s="7" t="inlineStr">
        <is>
          <t>SEM COTAÇÃO</t>
        </is>
      </c>
      <c r="M2207" s="8" t="n"/>
      <c r="N2207" s="14" t="n"/>
      <c r="O2207" s="7" t="inlineStr"/>
      <c r="P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/>
      <c r="K2208" s="8" t="n"/>
      <c r="L2208" s="7" t="inlineStr">
        <is>
          <t>SEM COTAÇÃO</t>
        </is>
      </c>
      <c r="M2208" s="8" t="n"/>
      <c r="N2208" s="14" t="n"/>
      <c r="O2208" s="7" t="inlineStr"/>
      <c r="P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/>
      <c r="K2209" s="8" t="n"/>
      <c r="L2209" s="7" t="inlineStr">
        <is>
          <t>SEM COTAÇÃO</t>
        </is>
      </c>
      <c r="M2209" s="8" t="n"/>
      <c r="N2209" s="14" t="n"/>
      <c r="O2209" s="7" t="inlineStr"/>
      <c r="P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/>
      <c r="K2210" s="8" t="n"/>
      <c r="L2210" s="7" t="inlineStr">
        <is>
          <t>SEM COTAÇÃO</t>
        </is>
      </c>
      <c r="M2210" s="8" t="n"/>
      <c r="N2210" s="14" t="n"/>
      <c r="O2210" s="7" t="inlineStr"/>
      <c r="P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/>
      <c r="K2211" s="8" t="n"/>
      <c r="L2211" s="7" t="inlineStr">
        <is>
          <t>SEM COTAÇÃO</t>
        </is>
      </c>
      <c r="M2211" s="8" t="n"/>
      <c r="N2211" s="14" t="n"/>
      <c r="O2211" s="7" t="inlineStr"/>
      <c r="P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/>
      <c r="K2212" s="8" t="n"/>
      <c r="L2212" s="7" t="inlineStr">
        <is>
          <t>SEM COTAÇÃO</t>
        </is>
      </c>
      <c r="M2212" s="8" t="n"/>
      <c r="N2212" s="14" t="n"/>
      <c r="O2212" s="7" t="inlineStr"/>
      <c r="P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/>
      <c r="K2213" s="8" t="n"/>
      <c r="L2213" s="7" t="inlineStr">
        <is>
          <t>SEM COTAÇÃO</t>
        </is>
      </c>
      <c r="M2213" s="8" t="n"/>
      <c r="N2213" s="14" t="n"/>
      <c r="O2213" s="7" t="inlineStr"/>
      <c r="P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/>
      <c r="K2214" s="8" t="n"/>
      <c r="L2214" s="7" t="inlineStr">
        <is>
          <t>SEM COTAÇÃO</t>
        </is>
      </c>
      <c r="M2214" s="8" t="n"/>
      <c r="N2214" s="14" t="n"/>
      <c r="O2214" s="7" t="inlineStr"/>
      <c r="P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/>
      <c r="K2215" s="8" t="n"/>
      <c r="L2215" s="7" t="inlineStr">
        <is>
          <t>SEM COTAÇÃO</t>
        </is>
      </c>
      <c r="M2215" s="8" t="n"/>
      <c r="N2215" s="14" t="n"/>
      <c r="O2215" s="7" t="inlineStr"/>
      <c r="P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/>
      <c r="K2216" s="8" t="n"/>
      <c r="L2216" s="7" t="inlineStr">
        <is>
          <t>SEM COTAÇÃO</t>
        </is>
      </c>
      <c r="M2216" s="8" t="n"/>
      <c r="N2216" s="14" t="n"/>
      <c r="O2216" s="7" t="inlineStr"/>
      <c r="P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/>
      <c r="K2217" s="8" t="n"/>
      <c r="L2217" s="7" t="inlineStr">
        <is>
          <t>SEM COTAÇÃO</t>
        </is>
      </c>
      <c r="M2217" s="8" t="n"/>
      <c r="N2217" s="14" t="n"/>
      <c r="O2217" s="7" t="inlineStr"/>
      <c r="P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/>
      <c r="K2218" s="8" t="n"/>
      <c r="L2218" s="7" t="inlineStr">
        <is>
          <t>SEM COTAÇÃO</t>
        </is>
      </c>
      <c r="M2218" s="8" t="n"/>
      <c r="N2218" s="14" t="n"/>
      <c r="O2218" s="7" t="inlineStr"/>
      <c r="P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/>
      <c r="K2219" s="8" t="n"/>
      <c r="L2219" s="7" t="inlineStr">
        <is>
          <t>SEM COTAÇÃO</t>
        </is>
      </c>
      <c r="M2219" s="8" t="n"/>
      <c r="N2219" s="14" t="n"/>
      <c r="O2219" s="7" t="inlineStr"/>
      <c r="P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/>
      <c r="K2220" s="8" t="n"/>
      <c r="L2220" s="7" t="inlineStr">
        <is>
          <t>SEM COTAÇÃO</t>
        </is>
      </c>
      <c r="M2220" s="8" t="n"/>
      <c r="N2220" s="14" t="n"/>
      <c r="O2220" s="7" t="inlineStr"/>
      <c r="P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/>
      <c r="K2221" s="8" t="n"/>
      <c r="L2221" s="7" t="inlineStr">
        <is>
          <t>SEM COTAÇÃO</t>
        </is>
      </c>
      <c r="M2221" s="8" t="n"/>
      <c r="N2221" s="14" t="n"/>
      <c r="O2221" s="7" t="inlineStr"/>
      <c r="P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/>
      <c r="K2222" s="8" t="n"/>
      <c r="L2222" s="7" t="inlineStr">
        <is>
          <t>SEM COTAÇÃO</t>
        </is>
      </c>
      <c r="M2222" s="8" t="n"/>
      <c r="N2222" s="14" t="n"/>
      <c r="O2222" s="7" t="inlineStr"/>
      <c r="P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15" t="n">
        <v>8.529999999999999</v>
      </c>
      <c r="K2223" s="8" t="n">
        <v>8.99</v>
      </c>
      <c r="L2223" s="7" t="inlineStr">
        <is>
          <t>DIMEC</t>
        </is>
      </c>
      <c r="M2223" s="8" t="n">
        <v>8.529999999999999</v>
      </c>
      <c r="N2223" s="14">
        <f>M2223/H2223-1</f>
        <v/>
      </c>
      <c r="O2223" s="16" t="inlineStr">
        <is>
          <t>ACIMA +6.8%</t>
        </is>
      </c>
      <c r="P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/>
      <c r="K2224" s="8" t="n"/>
      <c r="L2224" s="7" t="inlineStr">
        <is>
          <t>SEM COTAÇÃO</t>
        </is>
      </c>
      <c r="M2224" s="8" t="n"/>
      <c r="N2224" s="14" t="n"/>
      <c r="O2224" s="7" t="inlineStr"/>
      <c r="P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/>
      <c r="K2225" s="8" t="n"/>
      <c r="L2225" s="7" t="inlineStr">
        <is>
          <t>SEM COTAÇÃO</t>
        </is>
      </c>
      <c r="M2225" s="8" t="n"/>
      <c r="N2225" s="14" t="n"/>
      <c r="O2225" s="7" t="inlineStr"/>
      <c r="P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/>
      <c r="K2226" s="8" t="n"/>
      <c r="L2226" s="7" t="inlineStr">
        <is>
          <t>SEM COTAÇÃO</t>
        </is>
      </c>
      <c r="M2226" s="8" t="n"/>
      <c r="N2226" s="14" t="n"/>
      <c r="O2226" s="7" t="inlineStr"/>
      <c r="P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7" t="inlineStr">
        <is>
          <t>SEM COTAÇÃO</t>
        </is>
      </c>
      <c r="M2227" s="8" t="n"/>
      <c r="N2227" s="14" t="n"/>
      <c r="O2227" s="7" t="inlineStr"/>
      <c r="P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/>
      <c r="K2228" s="8" t="n"/>
      <c r="L2228" s="7" t="inlineStr">
        <is>
          <t>SEM COTAÇÃO</t>
        </is>
      </c>
      <c r="M2228" s="8" t="n"/>
      <c r="N2228" s="14" t="n"/>
      <c r="O2228" s="7" t="inlineStr"/>
      <c r="P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/>
      <c r="K2229" s="8" t="n"/>
      <c r="L2229" s="7" t="inlineStr">
        <is>
          <t>SEM COTAÇÃO</t>
        </is>
      </c>
      <c r="M2229" s="8" t="n"/>
      <c r="N2229" s="14" t="n"/>
      <c r="O2229" s="7" t="inlineStr"/>
      <c r="P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/>
      <c r="K2230" s="8" t="n"/>
      <c r="L2230" s="7" t="inlineStr">
        <is>
          <t>SEM COTAÇÃO</t>
        </is>
      </c>
      <c r="M2230" s="8" t="n"/>
      <c r="N2230" s="14" t="n"/>
      <c r="O2230" s="7" t="inlineStr"/>
      <c r="P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/>
      <c r="K2231" s="8" t="n"/>
      <c r="L2231" s="7" t="inlineStr">
        <is>
          <t>SEM COTAÇÃO</t>
        </is>
      </c>
      <c r="M2231" s="8" t="n"/>
      <c r="N2231" s="14" t="n"/>
      <c r="O2231" s="7" t="inlineStr"/>
      <c r="P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7" t="inlineStr">
        <is>
          <t>SEM COTAÇÃO</t>
        </is>
      </c>
      <c r="M2232" s="8" t="n"/>
      <c r="N2232" s="14" t="n"/>
      <c r="O2232" s="7" t="inlineStr"/>
      <c r="P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/>
      <c r="K2233" s="8" t="n"/>
      <c r="L2233" s="7" t="inlineStr">
        <is>
          <t>SEM COTAÇÃO</t>
        </is>
      </c>
      <c r="M2233" s="8" t="n"/>
      <c r="N2233" s="14" t="n"/>
      <c r="O2233" s="7" t="inlineStr"/>
      <c r="P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/>
      <c r="K2234" s="8" t="n"/>
      <c r="L2234" s="7" t="inlineStr">
        <is>
          <t>SEM COTAÇÃO</t>
        </is>
      </c>
      <c r="M2234" s="8" t="n"/>
      <c r="N2234" s="14" t="n"/>
      <c r="O2234" s="7" t="inlineStr"/>
      <c r="P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7" t="inlineStr">
        <is>
          <t>SEM COTAÇÃO</t>
        </is>
      </c>
      <c r="M2235" s="8" t="n"/>
      <c r="N2235" s="14" t="n"/>
      <c r="O2235" s="7" t="inlineStr"/>
      <c r="P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/>
      <c r="K2236" s="8" t="n"/>
      <c r="L2236" s="7" t="inlineStr">
        <is>
          <t>SEM COTAÇÃO</t>
        </is>
      </c>
      <c r="M2236" s="8" t="n"/>
      <c r="N2236" s="14" t="n"/>
      <c r="O2236" s="7" t="inlineStr"/>
      <c r="P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/>
      <c r="K2237" s="8" t="n"/>
      <c r="L2237" s="7" t="inlineStr">
        <is>
          <t>SEM COTAÇÃO</t>
        </is>
      </c>
      <c r="M2237" s="8" t="n"/>
      <c r="N2237" s="14" t="n"/>
      <c r="O2237" s="7" t="inlineStr"/>
      <c r="P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/>
      <c r="K2238" s="8" t="n"/>
      <c r="L2238" s="7" t="inlineStr">
        <is>
          <t>SEM COTAÇÃO</t>
        </is>
      </c>
      <c r="M2238" s="8" t="n"/>
      <c r="N2238" s="14" t="n"/>
      <c r="O2238" s="7" t="inlineStr"/>
      <c r="P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/>
      <c r="K2239" s="8" t="n"/>
      <c r="L2239" s="7" t="inlineStr">
        <is>
          <t>SEM COTAÇÃO</t>
        </is>
      </c>
      <c r="M2239" s="8" t="n"/>
      <c r="N2239" s="14" t="n"/>
      <c r="O2239" s="7" t="inlineStr"/>
      <c r="P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/>
      <c r="K2240" s="8" t="n"/>
      <c r="L2240" s="7" t="inlineStr">
        <is>
          <t>SEM COTAÇÃO</t>
        </is>
      </c>
      <c r="M2240" s="8" t="n"/>
      <c r="N2240" s="14" t="n"/>
      <c r="O2240" s="7" t="inlineStr"/>
      <c r="P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/>
      <c r="K2241" s="8" t="n"/>
      <c r="L2241" s="7" t="inlineStr">
        <is>
          <t>SEM COTAÇÃO</t>
        </is>
      </c>
      <c r="M2241" s="8" t="n"/>
      <c r="N2241" s="14" t="n"/>
      <c r="O2241" s="7" t="inlineStr"/>
      <c r="P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/>
      <c r="K2242" s="8" t="n"/>
      <c r="L2242" s="7" t="inlineStr">
        <is>
          <t>SEM COTAÇÃO</t>
        </is>
      </c>
      <c r="M2242" s="8" t="n"/>
      <c r="N2242" s="14" t="n"/>
      <c r="O2242" s="7" t="inlineStr"/>
      <c r="P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/>
      <c r="K2243" s="8" t="n"/>
      <c r="L2243" s="7" t="inlineStr">
        <is>
          <t>SEM COTAÇÃO</t>
        </is>
      </c>
      <c r="M2243" s="8" t="n"/>
      <c r="N2243" s="14" t="n"/>
      <c r="O2243" s="7" t="inlineStr"/>
      <c r="P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/>
      <c r="K2244" s="8" t="n"/>
      <c r="L2244" s="7" t="inlineStr">
        <is>
          <t>SEM COTAÇÃO</t>
        </is>
      </c>
      <c r="M2244" s="8" t="n"/>
      <c r="N2244" s="14" t="n"/>
      <c r="O2244" s="7" t="inlineStr"/>
      <c r="P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/>
      <c r="K2245" s="8" t="n"/>
      <c r="L2245" s="7" t="inlineStr">
        <is>
          <t>SEM COTAÇÃO</t>
        </is>
      </c>
      <c r="M2245" s="8" t="n"/>
      <c r="N2245" s="14" t="n"/>
      <c r="O2245" s="7" t="inlineStr"/>
      <c r="P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/>
      <c r="K2246" s="8" t="n"/>
      <c r="L2246" s="7" t="inlineStr">
        <is>
          <t>SEM COTAÇÃO</t>
        </is>
      </c>
      <c r="M2246" s="8" t="n"/>
      <c r="N2246" s="14" t="n"/>
      <c r="O2246" s="7" t="inlineStr"/>
      <c r="P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15" t="n">
        <v>7.05</v>
      </c>
      <c r="K2247" s="8" t="n"/>
      <c r="L2247" s="7" t="inlineStr">
        <is>
          <t>DIMEC</t>
        </is>
      </c>
      <c r="M2247" s="8" t="n">
        <v>7.05</v>
      </c>
      <c r="N2247" s="14">
        <f>M2247/H2247-1</f>
        <v/>
      </c>
      <c r="O2247" s="16" t="inlineStr">
        <is>
          <t>ACIMA +12.8%</t>
        </is>
      </c>
      <c r="P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15" t="n">
        <v>15.36</v>
      </c>
      <c r="K2248" s="8" t="n"/>
      <c r="L2248" s="7" t="inlineStr">
        <is>
          <t>DIMEC</t>
        </is>
      </c>
      <c r="M2248" s="8" t="n">
        <v>15.36</v>
      </c>
      <c r="N2248" s="14">
        <f>M2248/H2248-1</f>
        <v/>
      </c>
      <c r="O2248" s="16" t="inlineStr">
        <is>
          <t>ACIMA +13.4%</t>
        </is>
      </c>
      <c r="P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15" t="n">
        <v>23.26</v>
      </c>
      <c r="K2249" s="8" t="n"/>
      <c r="L2249" s="7" t="inlineStr">
        <is>
          <t>DIMEC</t>
        </is>
      </c>
      <c r="M2249" s="8" t="n">
        <v>23.26</v>
      </c>
      <c r="N2249" s="14">
        <f>M2249/H2249-1</f>
        <v/>
      </c>
      <c r="O2249" s="17" t="inlineStr">
        <is>
          <t>OK (≤ menor hist.)</t>
        </is>
      </c>
      <c r="P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/>
      <c r="K2250" s="8" t="n"/>
      <c r="L2250" s="7" t="inlineStr">
        <is>
          <t>SEM COTAÇÃO</t>
        </is>
      </c>
      <c r="M2250" s="8" t="n"/>
      <c r="N2250" s="14" t="n"/>
      <c r="O2250" s="7" t="inlineStr"/>
      <c r="P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15" t="n">
        <v>7.07</v>
      </c>
      <c r="K2251" s="8" t="n"/>
      <c r="L2251" s="7" t="inlineStr">
        <is>
          <t>DIMEC</t>
        </is>
      </c>
      <c r="M2251" s="8" t="n">
        <v>7.07</v>
      </c>
      <c r="N2251" s="14">
        <f>M2251/H2251-1</f>
        <v/>
      </c>
      <c r="O2251" s="16" t="inlineStr">
        <is>
          <t>ACIMA +13.1%</t>
        </is>
      </c>
      <c r="P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15" t="n">
        <v>6.64</v>
      </c>
      <c r="K2252" s="8" t="n"/>
      <c r="L2252" s="7" t="inlineStr">
        <is>
          <t>DIMEC</t>
        </is>
      </c>
      <c r="M2252" s="8" t="n">
        <v>6.64</v>
      </c>
      <c r="N2252" s="14">
        <f>M2252/H2252-1</f>
        <v/>
      </c>
      <c r="O2252" s="16" t="inlineStr">
        <is>
          <t>ACIMA +1.1%</t>
        </is>
      </c>
      <c r="P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/>
      <c r="K2253" s="8" t="n"/>
      <c r="L2253" s="7" t="inlineStr">
        <is>
          <t>SEM COTAÇÃO</t>
        </is>
      </c>
      <c r="M2253" s="8" t="n"/>
      <c r="N2253" s="14" t="n"/>
      <c r="O2253" s="7" t="inlineStr"/>
      <c r="P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/>
      <c r="K2254" s="8" t="n"/>
      <c r="L2254" s="7" t="inlineStr">
        <is>
          <t>SEM COTAÇÃO</t>
        </is>
      </c>
      <c r="M2254" s="8" t="n"/>
      <c r="N2254" s="14" t="n"/>
      <c r="O2254" s="7" t="inlineStr"/>
      <c r="P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/>
      <c r="K2255" s="8" t="n"/>
      <c r="L2255" s="7" t="inlineStr">
        <is>
          <t>SEM COTAÇÃO</t>
        </is>
      </c>
      <c r="M2255" s="8" t="n"/>
      <c r="N2255" s="14" t="n"/>
      <c r="O2255" s="7" t="inlineStr"/>
      <c r="P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15" t="n">
        <v>6.15</v>
      </c>
      <c r="K2256" s="8" t="n"/>
      <c r="L2256" s="7" t="inlineStr">
        <is>
          <t>DIMEC</t>
        </is>
      </c>
      <c r="M2256" s="8" t="n">
        <v>6.15</v>
      </c>
      <c r="N2256" s="14">
        <f>M2256/H2256-1</f>
        <v/>
      </c>
      <c r="O2256" s="17" t="inlineStr">
        <is>
          <t>OK (≤ menor hist.)</t>
        </is>
      </c>
      <c r="P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/>
      <c r="K2257" s="8" t="n"/>
      <c r="L2257" s="7" t="inlineStr">
        <is>
          <t>SEM COTAÇÃO</t>
        </is>
      </c>
      <c r="M2257" s="8" t="n"/>
      <c r="N2257" s="14" t="n"/>
      <c r="O2257" s="7" t="inlineStr"/>
      <c r="P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15" t="n">
        <v>4.19</v>
      </c>
      <c r="K2258" s="8" t="n"/>
      <c r="L2258" s="7" t="inlineStr">
        <is>
          <t>DIMEC</t>
        </is>
      </c>
      <c r="M2258" s="8" t="n">
        <v>4.19</v>
      </c>
      <c r="N2258" s="14">
        <f>M2258/H2258-1</f>
        <v/>
      </c>
      <c r="O2258" s="17" t="inlineStr">
        <is>
          <t>OK (≤ menor hist.)</t>
        </is>
      </c>
      <c r="P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/>
      <c r="K2259" s="8" t="n"/>
      <c r="L2259" s="7" t="inlineStr">
        <is>
          <t>SEM COTAÇÃO</t>
        </is>
      </c>
      <c r="M2259" s="8" t="n"/>
      <c r="N2259" s="14" t="n"/>
      <c r="O2259" s="7" t="inlineStr"/>
      <c r="P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15" t="n">
        <v>3.67</v>
      </c>
      <c r="K2260" s="8" t="n"/>
      <c r="L2260" s="7" t="inlineStr">
        <is>
          <t>DIMEC</t>
        </is>
      </c>
      <c r="M2260" s="8" t="n">
        <v>3.67</v>
      </c>
      <c r="N2260" s="14">
        <f>M2260/H2260-1</f>
        <v/>
      </c>
      <c r="O2260" s="17" t="inlineStr">
        <is>
          <t>OK (≤ menor hist.)</t>
        </is>
      </c>
      <c r="P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/>
      <c r="K2261" s="8" t="n"/>
      <c r="L2261" s="7" t="inlineStr">
        <is>
          <t>SEM COTAÇÃO</t>
        </is>
      </c>
      <c r="M2261" s="8" t="n"/>
      <c r="N2261" s="14" t="n"/>
      <c r="O2261" s="7" t="inlineStr"/>
      <c r="P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/>
      <c r="K2262" s="8" t="n"/>
      <c r="L2262" s="7" t="inlineStr">
        <is>
          <t>SEM COTAÇÃO</t>
        </is>
      </c>
      <c r="M2262" s="8" t="n"/>
      <c r="N2262" s="14" t="n"/>
      <c r="O2262" s="7" t="inlineStr"/>
      <c r="P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15" t="n">
        <v>4.36</v>
      </c>
      <c r="K2263" s="8" t="n"/>
      <c r="L2263" s="7" t="inlineStr">
        <is>
          <t>DIMEC</t>
        </is>
      </c>
      <c r="M2263" s="8" t="n">
        <v>4.36</v>
      </c>
      <c r="N2263" s="14">
        <f>M2263/H2263-1</f>
        <v/>
      </c>
      <c r="O2263" s="17" t="inlineStr">
        <is>
          <t>OK (≤ menor hist.)</t>
        </is>
      </c>
      <c r="P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15" t="n">
        <v>4.39</v>
      </c>
      <c r="K2264" s="8" t="n"/>
      <c r="L2264" s="7" t="inlineStr">
        <is>
          <t>DIMEC</t>
        </is>
      </c>
      <c r="M2264" s="8" t="n">
        <v>4.39</v>
      </c>
      <c r="N2264" s="14">
        <f>M2264/H2264-1</f>
        <v/>
      </c>
      <c r="O2264" s="17" t="inlineStr">
        <is>
          <t>OK (≤ menor hist.)</t>
        </is>
      </c>
      <c r="P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15" t="n">
        <v>3.7</v>
      </c>
      <c r="K2265" s="8" t="n"/>
      <c r="L2265" s="7" t="inlineStr">
        <is>
          <t>DIMEC</t>
        </is>
      </c>
      <c r="M2265" s="8" t="n">
        <v>3.7</v>
      </c>
      <c r="N2265" s="14">
        <f>M2265/H2265-1</f>
        <v/>
      </c>
      <c r="O2265" s="17" t="inlineStr">
        <is>
          <t>OK (≤ menor hist.)</t>
        </is>
      </c>
      <c r="P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/>
      <c r="K2266" s="8" t="n"/>
      <c r="L2266" s="7" t="inlineStr">
        <is>
          <t>SEM COTAÇÃO</t>
        </is>
      </c>
      <c r="M2266" s="8" t="n"/>
      <c r="N2266" s="14" t="n"/>
      <c r="O2266" s="7" t="inlineStr"/>
      <c r="P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/>
      <c r="K2267" s="8" t="n"/>
      <c r="L2267" s="7" t="inlineStr">
        <is>
          <t>SEM COTAÇÃO</t>
        </is>
      </c>
      <c r="M2267" s="8" t="n"/>
      <c r="N2267" s="14" t="n"/>
      <c r="O2267" s="7" t="inlineStr"/>
      <c r="P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/>
      <c r="K2268" s="8" t="n"/>
      <c r="L2268" s="7" t="inlineStr">
        <is>
          <t>SEM COTAÇÃO</t>
        </is>
      </c>
      <c r="M2268" s="8" t="n"/>
      <c r="N2268" s="14" t="n"/>
      <c r="O2268" s="7" t="inlineStr"/>
      <c r="P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/>
      <c r="K2269" s="8" t="n"/>
      <c r="L2269" s="7" t="inlineStr">
        <is>
          <t>SEM COTAÇÃO</t>
        </is>
      </c>
      <c r="M2269" s="8" t="n"/>
      <c r="N2269" s="14" t="n"/>
      <c r="O2269" s="7" t="inlineStr"/>
      <c r="P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/>
      <c r="K2270" s="8" t="n"/>
      <c r="L2270" s="7" t="inlineStr">
        <is>
          <t>SEM COTAÇÃO</t>
        </is>
      </c>
      <c r="M2270" s="8" t="n"/>
      <c r="N2270" s="14" t="n"/>
      <c r="O2270" s="7" t="inlineStr"/>
      <c r="P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/>
      <c r="K2271" s="8" t="n"/>
      <c r="L2271" s="7" t="inlineStr">
        <is>
          <t>SEM COTAÇÃO</t>
        </is>
      </c>
      <c r="M2271" s="8" t="n"/>
      <c r="N2271" s="14" t="n"/>
      <c r="O2271" s="7" t="inlineStr"/>
      <c r="P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/>
      <c r="K2272" s="8" t="n"/>
      <c r="L2272" s="7" t="inlineStr">
        <is>
          <t>SEM COTAÇÃO</t>
        </is>
      </c>
      <c r="M2272" s="8" t="n"/>
      <c r="N2272" s="14" t="n"/>
      <c r="O2272" s="7" t="inlineStr"/>
      <c r="P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/>
      <c r="K2273" s="8" t="n"/>
      <c r="L2273" s="7" t="inlineStr">
        <is>
          <t>SEM COTAÇÃO</t>
        </is>
      </c>
      <c r="M2273" s="8" t="n"/>
      <c r="N2273" s="14" t="n"/>
      <c r="O2273" s="7" t="inlineStr"/>
      <c r="P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/>
      <c r="K2274" s="8" t="n"/>
      <c r="L2274" s="7" t="inlineStr">
        <is>
          <t>SEM COTAÇÃO</t>
        </is>
      </c>
      <c r="M2274" s="8" t="n"/>
      <c r="N2274" s="14" t="n"/>
      <c r="O2274" s="7" t="inlineStr"/>
      <c r="P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/>
      <c r="K2275" s="8" t="n"/>
      <c r="L2275" s="7" t="inlineStr">
        <is>
          <t>SEM COTAÇÃO</t>
        </is>
      </c>
      <c r="M2275" s="8" t="n"/>
      <c r="N2275" s="14" t="n"/>
      <c r="O2275" s="7" t="inlineStr"/>
      <c r="P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/>
      <c r="K2276" s="8" t="n"/>
      <c r="L2276" s="7" t="inlineStr">
        <is>
          <t>SEM COTAÇÃO</t>
        </is>
      </c>
      <c r="M2276" s="8" t="n"/>
      <c r="N2276" s="14" t="n"/>
      <c r="O2276" s="7" t="inlineStr"/>
      <c r="P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/>
      <c r="K2277" s="8" t="n"/>
      <c r="L2277" s="7" t="inlineStr">
        <is>
          <t>SEM COTAÇÃO</t>
        </is>
      </c>
      <c r="M2277" s="8" t="n"/>
      <c r="N2277" s="14" t="n"/>
      <c r="O2277" s="7" t="inlineStr"/>
      <c r="P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/>
      <c r="K2278" s="8" t="n"/>
      <c r="L2278" s="7" t="inlineStr">
        <is>
          <t>SEM COTAÇÃO</t>
        </is>
      </c>
      <c r="M2278" s="8" t="n"/>
      <c r="N2278" s="14" t="n"/>
      <c r="O2278" s="7" t="inlineStr"/>
      <c r="P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/>
      <c r="K2279" s="8" t="n"/>
      <c r="L2279" s="7" t="inlineStr">
        <is>
          <t>SEM COTAÇÃO</t>
        </is>
      </c>
      <c r="M2279" s="8" t="n"/>
      <c r="N2279" s="14" t="n"/>
      <c r="O2279" s="7" t="inlineStr"/>
      <c r="P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15" t="n">
        <v>12.1</v>
      </c>
      <c r="K2280" s="8" t="n"/>
      <c r="L2280" s="7" t="inlineStr">
        <is>
          <t>DIMEC</t>
        </is>
      </c>
      <c r="M2280" s="8" t="n">
        <v>12.1</v>
      </c>
      <c r="N2280" s="14">
        <f>M2280/H2280-1</f>
        <v/>
      </c>
      <c r="O2280" s="17" t="inlineStr">
        <is>
          <t>OK (≤ menor hist.)</t>
        </is>
      </c>
      <c r="P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15" t="n">
        <v>42.612902</v>
      </c>
      <c r="K2281" s="8" t="n"/>
      <c r="L2281" s="7" t="inlineStr">
        <is>
          <t>DIMEC</t>
        </is>
      </c>
      <c r="M2281" s="8" t="n">
        <v>42.612902</v>
      </c>
      <c r="N2281" s="14">
        <f>M2281/H2281-1</f>
        <v/>
      </c>
      <c r="O2281" s="16" t="inlineStr">
        <is>
          <t>ACIMA +13.7%</t>
        </is>
      </c>
      <c r="P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/>
      <c r="K2282" s="8" t="n"/>
      <c r="L2282" s="7" t="inlineStr">
        <is>
          <t>SEM COTAÇÃO</t>
        </is>
      </c>
      <c r="M2282" s="8" t="n"/>
      <c r="N2282" s="14" t="n"/>
      <c r="O2282" s="7" t="inlineStr"/>
      <c r="P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/>
      <c r="K2283" s="8" t="n"/>
      <c r="L2283" s="7" t="inlineStr">
        <is>
          <t>SEM COTAÇÃO</t>
        </is>
      </c>
      <c r="M2283" s="8" t="n"/>
      <c r="N2283" s="14" t="n"/>
      <c r="O2283" s="7" t="inlineStr"/>
      <c r="P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/>
      <c r="K2284" s="8" t="n"/>
      <c r="L2284" s="7" t="inlineStr">
        <is>
          <t>SEM COTAÇÃO</t>
        </is>
      </c>
      <c r="M2284" s="8" t="n"/>
      <c r="N2284" s="14" t="n"/>
      <c r="O2284" s="7" t="inlineStr"/>
      <c r="P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/>
      <c r="K2285" s="8" t="n"/>
      <c r="L2285" s="7" t="inlineStr">
        <is>
          <t>SEM COTAÇÃO</t>
        </is>
      </c>
      <c r="M2285" s="8" t="n"/>
      <c r="N2285" s="14" t="n"/>
      <c r="O2285" s="7" t="inlineStr"/>
      <c r="P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/>
      <c r="K2286" s="8" t="n"/>
      <c r="L2286" s="7" t="inlineStr">
        <is>
          <t>SEM COTAÇÃO</t>
        </is>
      </c>
      <c r="M2286" s="8" t="n"/>
      <c r="N2286" s="14" t="n"/>
      <c r="O2286" s="7" t="inlineStr"/>
      <c r="P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/>
      <c r="K2287" s="8" t="n"/>
      <c r="L2287" s="7" t="inlineStr">
        <is>
          <t>SEM COTAÇÃO</t>
        </is>
      </c>
      <c r="M2287" s="8" t="n"/>
      <c r="N2287" s="14" t="n"/>
      <c r="O2287" s="7" t="inlineStr"/>
      <c r="P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/>
      <c r="K2288" s="8" t="n"/>
      <c r="L2288" s="7" t="inlineStr">
        <is>
          <t>SEM COTAÇÃO</t>
        </is>
      </c>
      <c r="M2288" s="8" t="n"/>
      <c r="N2288" s="14" t="n"/>
      <c r="O2288" s="7" t="inlineStr"/>
      <c r="P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/>
      <c r="K2289" s="8" t="n"/>
      <c r="L2289" s="7" t="inlineStr">
        <is>
          <t>SEM COTAÇÃO</t>
        </is>
      </c>
      <c r="M2289" s="8" t="n"/>
      <c r="N2289" s="14" t="n"/>
      <c r="O2289" s="7" t="inlineStr"/>
      <c r="P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/>
      <c r="K2290" s="8" t="n"/>
      <c r="L2290" s="7" t="inlineStr">
        <is>
          <t>SEM COTAÇÃO</t>
        </is>
      </c>
      <c r="M2290" s="8" t="n"/>
      <c r="N2290" s="14" t="n"/>
      <c r="O2290" s="7" t="inlineStr"/>
      <c r="P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/>
      <c r="K2291" s="8" t="n"/>
      <c r="L2291" s="7" t="inlineStr">
        <is>
          <t>SEM COTAÇÃO</t>
        </is>
      </c>
      <c r="M2291" s="8" t="n"/>
      <c r="N2291" s="14" t="n"/>
      <c r="O2291" s="7" t="inlineStr"/>
      <c r="P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15" t="n">
        <v>5.94</v>
      </c>
      <c r="K2292" s="8" t="n"/>
      <c r="L2292" s="7" t="inlineStr">
        <is>
          <t>DIMEC</t>
        </is>
      </c>
      <c r="M2292" s="8" t="n">
        <v>5.94</v>
      </c>
      <c r="N2292" s="14">
        <f>M2292/H2292-1</f>
        <v/>
      </c>
      <c r="O2292" s="16" t="inlineStr">
        <is>
          <t>ACIMA +2.6%</t>
        </is>
      </c>
      <c r="P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15" t="n">
        <v>6.05</v>
      </c>
      <c r="K2293" s="8" t="n"/>
      <c r="L2293" s="7" t="inlineStr">
        <is>
          <t>DIMEC</t>
        </is>
      </c>
      <c r="M2293" s="8" t="n">
        <v>6.05</v>
      </c>
      <c r="N2293" s="14">
        <f>M2293/H2293-1</f>
        <v/>
      </c>
      <c r="O2293" s="16" t="inlineStr">
        <is>
          <t>ACIMA +6.5%</t>
        </is>
      </c>
      <c r="P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/>
      <c r="K2294" s="8" t="n"/>
      <c r="L2294" s="7" t="inlineStr">
        <is>
          <t>SEM COTAÇÃO</t>
        </is>
      </c>
      <c r="M2294" s="8" t="n"/>
      <c r="N2294" s="14" t="n"/>
      <c r="O2294" s="7" t="inlineStr"/>
      <c r="P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15" t="n">
        <v>6.76</v>
      </c>
      <c r="K2295" s="8" t="n"/>
      <c r="L2295" s="7" t="inlineStr">
        <is>
          <t>DIMEC</t>
        </is>
      </c>
      <c r="M2295" s="8" t="n">
        <v>6.76</v>
      </c>
      <c r="N2295" s="14">
        <f>M2295/H2295-1</f>
        <v/>
      </c>
      <c r="O2295" s="16" t="inlineStr">
        <is>
          <t>ACIMA +11.9%</t>
        </is>
      </c>
      <c r="P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/>
      <c r="K2296" s="8" t="n"/>
      <c r="L2296" s="7" t="inlineStr">
        <is>
          <t>SEM COTAÇÃO</t>
        </is>
      </c>
      <c r="M2296" s="8" t="n"/>
      <c r="N2296" s="14" t="n"/>
      <c r="O2296" s="7" t="inlineStr"/>
      <c r="P2296" s="7" t="inlineStr"/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/>
      <c r="K2297" s="8" t="n"/>
      <c r="L2297" s="7" t="inlineStr">
        <is>
          <t>SEM COTAÇÃO</t>
        </is>
      </c>
      <c r="M2297" s="8" t="n"/>
      <c r="N2297" s="14" t="n"/>
      <c r="O2297" s="7" t="inlineStr"/>
      <c r="P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15" t="n">
        <v>9.67</v>
      </c>
      <c r="K2298" s="8" t="n"/>
      <c r="L2298" s="7" t="inlineStr">
        <is>
          <t>DIMEC</t>
        </is>
      </c>
      <c r="M2298" s="8" t="n">
        <v>9.67</v>
      </c>
      <c r="N2298" s="14">
        <f>M2298/H2298-1</f>
        <v/>
      </c>
      <c r="O2298" s="16" t="inlineStr">
        <is>
          <t>ACIMA +16.5%</t>
        </is>
      </c>
      <c r="P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/>
      <c r="K2299" s="8" t="n"/>
      <c r="L2299" s="7" t="inlineStr">
        <is>
          <t>SEM COTAÇÃO</t>
        </is>
      </c>
      <c r="M2299" s="8" t="n"/>
      <c r="N2299" s="14" t="n"/>
      <c r="O2299" s="7" t="inlineStr"/>
      <c r="P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/>
      <c r="K2300" s="8" t="n"/>
      <c r="L2300" s="7" t="inlineStr">
        <is>
          <t>SEM COTAÇÃO</t>
        </is>
      </c>
      <c r="M2300" s="8" t="n"/>
      <c r="N2300" s="14" t="n"/>
      <c r="O2300" s="7" t="inlineStr"/>
      <c r="P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/>
      <c r="K2301" s="8" t="n"/>
      <c r="L2301" s="7" t="inlineStr">
        <is>
          <t>SEM COTAÇÃO</t>
        </is>
      </c>
      <c r="M2301" s="8" t="n"/>
      <c r="N2301" s="14" t="n"/>
      <c r="O2301" s="7" t="inlineStr"/>
      <c r="P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/>
      <c r="K2302" s="8" t="n"/>
      <c r="L2302" s="7" t="inlineStr">
        <is>
          <t>SEM COTAÇÃO</t>
        </is>
      </c>
      <c r="M2302" s="8" t="n"/>
      <c r="N2302" s="14" t="n"/>
      <c r="O2302" s="7" t="inlineStr"/>
      <c r="P2302" s="7" t="inlineStr"/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/>
      <c r="K2303" s="8" t="n"/>
      <c r="L2303" s="7" t="inlineStr">
        <is>
          <t>SEM COTAÇÃO</t>
        </is>
      </c>
      <c r="M2303" s="8" t="n"/>
      <c r="N2303" s="14" t="n"/>
      <c r="O2303" s="7" t="inlineStr"/>
      <c r="P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/>
      <c r="K2304" s="8" t="n"/>
      <c r="L2304" s="7" t="inlineStr">
        <is>
          <t>SEM COTAÇÃO</t>
        </is>
      </c>
      <c r="M2304" s="8" t="n"/>
      <c r="N2304" s="14" t="n"/>
      <c r="O2304" s="7" t="inlineStr"/>
      <c r="P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/>
      <c r="K2305" s="8" t="n"/>
      <c r="L2305" s="7" t="inlineStr">
        <is>
          <t>SEM COTAÇÃO</t>
        </is>
      </c>
      <c r="M2305" s="8" t="n"/>
      <c r="N2305" s="14" t="n"/>
      <c r="O2305" s="7" t="inlineStr"/>
      <c r="P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/>
      <c r="K2306" s="8" t="n"/>
      <c r="L2306" s="7" t="inlineStr">
        <is>
          <t>SEM COTAÇÃO</t>
        </is>
      </c>
      <c r="M2306" s="8" t="n"/>
      <c r="N2306" s="14" t="n"/>
      <c r="O2306" s="7" t="inlineStr"/>
      <c r="P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/>
      <c r="K2307" s="8" t="n"/>
      <c r="L2307" s="7" t="inlineStr">
        <is>
          <t>SEM COTAÇÃO</t>
        </is>
      </c>
      <c r="M2307" s="8" t="n"/>
      <c r="N2307" s="14" t="n"/>
      <c r="O2307" s="7" t="inlineStr"/>
      <c r="P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/>
      <c r="K2308" s="8" t="n"/>
      <c r="L2308" s="7" t="inlineStr">
        <is>
          <t>SEM COTAÇÃO</t>
        </is>
      </c>
      <c r="M2308" s="8" t="n"/>
      <c r="N2308" s="14" t="n"/>
      <c r="O2308" s="7" t="inlineStr"/>
      <c r="P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/>
      <c r="K2309" s="8" t="n"/>
      <c r="L2309" s="7" t="inlineStr">
        <is>
          <t>SEM COTAÇÃO</t>
        </is>
      </c>
      <c r="M2309" s="8" t="n"/>
      <c r="N2309" s="14" t="n"/>
      <c r="O2309" s="7" t="inlineStr"/>
      <c r="P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/>
      <c r="K2310" s="8" t="n"/>
      <c r="L2310" s="7" t="inlineStr">
        <is>
          <t>SEM COTAÇÃO</t>
        </is>
      </c>
      <c r="M2310" s="8" t="n"/>
      <c r="N2310" s="14" t="n"/>
      <c r="O2310" s="7" t="inlineStr"/>
      <c r="P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/>
      <c r="K2311" s="8" t="n"/>
      <c r="L2311" s="7" t="inlineStr">
        <is>
          <t>SEM COTAÇÃO</t>
        </is>
      </c>
      <c r="M2311" s="8" t="n"/>
      <c r="N2311" s="14" t="n"/>
      <c r="O2311" s="7" t="inlineStr"/>
      <c r="P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/>
      <c r="K2312" s="8" t="n"/>
      <c r="L2312" s="7" t="inlineStr">
        <is>
          <t>SEM COTAÇÃO</t>
        </is>
      </c>
      <c r="M2312" s="8" t="n"/>
      <c r="N2312" s="14" t="n"/>
      <c r="O2312" s="7" t="inlineStr"/>
      <c r="P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/>
      <c r="K2313" s="8" t="n"/>
      <c r="L2313" s="7" t="inlineStr">
        <is>
          <t>SEM COTAÇÃO</t>
        </is>
      </c>
      <c r="M2313" s="8" t="n"/>
      <c r="N2313" s="14" t="n"/>
      <c r="O2313" s="7" t="inlineStr"/>
      <c r="P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7" t="inlineStr">
        <is>
          <t>SEM COTAÇÃO</t>
        </is>
      </c>
      <c r="M2314" s="8" t="n"/>
      <c r="N2314" s="14" t="n"/>
      <c r="O2314" s="7" t="inlineStr"/>
      <c r="P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/>
      <c r="K2315" s="8" t="n"/>
      <c r="L2315" s="7" t="inlineStr">
        <is>
          <t>SEM COTAÇÃO</t>
        </is>
      </c>
      <c r="M2315" s="8" t="n"/>
      <c r="N2315" s="14" t="n"/>
      <c r="O2315" s="7" t="inlineStr"/>
      <c r="P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/>
      <c r="K2316" s="8" t="n"/>
      <c r="L2316" s="7" t="inlineStr">
        <is>
          <t>SEM COTAÇÃO</t>
        </is>
      </c>
      <c r="M2316" s="8" t="n"/>
      <c r="N2316" s="14" t="n"/>
      <c r="O2316" s="7" t="inlineStr"/>
      <c r="P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/>
      <c r="K2317" s="8" t="n"/>
      <c r="L2317" s="7" t="inlineStr">
        <is>
          <t>SEM COTAÇÃO</t>
        </is>
      </c>
      <c r="M2317" s="8" t="n"/>
      <c r="N2317" s="14" t="n"/>
      <c r="O2317" s="7" t="inlineStr"/>
      <c r="P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/>
      <c r="K2318" s="8" t="n"/>
      <c r="L2318" s="7" t="inlineStr">
        <is>
          <t>SEM COTAÇÃO</t>
        </is>
      </c>
      <c r="M2318" s="8" t="n"/>
      <c r="N2318" s="14" t="n"/>
      <c r="O2318" s="7" t="inlineStr"/>
      <c r="P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/>
      <c r="K2319" s="8" t="n"/>
      <c r="L2319" s="7" t="inlineStr">
        <is>
          <t>SEM COTAÇÃO</t>
        </is>
      </c>
      <c r="M2319" s="8" t="n"/>
      <c r="N2319" s="14" t="n"/>
      <c r="O2319" s="7" t="inlineStr"/>
      <c r="P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/>
      <c r="K2320" s="8" t="n"/>
      <c r="L2320" s="7" t="inlineStr">
        <is>
          <t>SEM COTAÇÃO</t>
        </is>
      </c>
      <c r="M2320" s="8" t="n"/>
      <c r="N2320" s="14" t="n"/>
      <c r="O2320" s="7" t="inlineStr"/>
      <c r="P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/>
      <c r="K2321" s="8" t="n"/>
      <c r="L2321" s="7" t="inlineStr">
        <is>
          <t>SEM COTAÇÃO</t>
        </is>
      </c>
      <c r="M2321" s="8" t="n"/>
      <c r="N2321" s="14" t="n"/>
      <c r="O2321" s="7" t="inlineStr"/>
      <c r="P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/>
      <c r="K2322" s="8" t="n"/>
      <c r="L2322" s="7" t="inlineStr">
        <is>
          <t>SEM COTAÇÃO</t>
        </is>
      </c>
      <c r="M2322" s="8" t="n"/>
      <c r="N2322" s="14" t="n"/>
      <c r="O2322" s="7" t="inlineStr"/>
      <c r="P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/>
      <c r="K2323" s="8" t="n"/>
      <c r="L2323" s="7" t="inlineStr">
        <is>
          <t>SEM COTAÇÃO</t>
        </is>
      </c>
      <c r="M2323" s="8" t="n"/>
      <c r="N2323" s="14" t="n"/>
      <c r="O2323" s="7" t="inlineStr"/>
      <c r="P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/>
      <c r="K2324" s="8" t="n"/>
      <c r="L2324" s="7" t="inlineStr">
        <is>
          <t>SEM COTAÇÃO</t>
        </is>
      </c>
      <c r="M2324" s="8" t="n"/>
      <c r="N2324" s="14" t="n"/>
      <c r="O2324" s="7" t="inlineStr"/>
      <c r="P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/>
      <c r="K2325" s="8" t="n"/>
      <c r="L2325" s="7" t="inlineStr">
        <is>
          <t>SEM COTAÇÃO</t>
        </is>
      </c>
      <c r="M2325" s="8" t="n"/>
      <c r="N2325" s="14" t="n"/>
      <c r="O2325" s="7" t="inlineStr"/>
      <c r="P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/>
      <c r="K2326" s="8" t="n"/>
      <c r="L2326" s="7" t="inlineStr">
        <is>
          <t>SEM COTAÇÃO</t>
        </is>
      </c>
      <c r="M2326" s="8" t="n"/>
      <c r="N2326" s="14" t="n"/>
      <c r="O2326" s="7" t="inlineStr"/>
      <c r="P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/>
      <c r="K2327" s="8" t="n"/>
      <c r="L2327" s="7" t="inlineStr">
        <is>
          <t>SEM COTAÇÃO</t>
        </is>
      </c>
      <c r="M2327" s="8" t="n"/>
      <c r="N2327" s="14" t="n"/>
      <c r="O2327" s="7" t="inlineStr"/>
      <c r="P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/>
      <c r="K2328" s="8" t="n"/>
      <c r="L2328" s="7" t="inlineStr">
        <is>
          <t>SEM COTAÇÃO</t>
        </is>
      </c>
      <c r="M2328" s="8" t="n"/>
      <c r="N2328" s="14" t="n"/>
      <c r="O2328" s="7" t="inlineStr"/>
      <c r="P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/>
      <c r="K2329" s="8" t="n"/>
      <c r="L2329" s="7" t="inlineStr">
        <is>
          <t>SEM COTAÇÃO</t>
        </is>
      </c>
      <c r="M2329" s="8" t="n"/>
      <c r="N2329" s="14" t="n"/>
      <c r="O2329" s="7" t="inlineStr"/>
      <c r="P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/>
      <c r="K2330" s="8" t="n"/>
      <c r="L2330" s="7" t="inlineStr">
        <is>
          <t>SEM COTAÇÃO</t>
        </is>
      </c>
      <c r="M2330" s="8" t="n"/>
      <c r="N2330" s="14" t="n"/>
      <c r="O2330" s="7" t="inlineStr"/>
      <c r="P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/>
      <c r="K2331" s="8" t="n"/>
      <c r="L2331" s="7" t="inlineStr">
        <is>
          <t>SEM COTAÇÃO</t>
        </is>
      </c>
      <c r="M2331" s="8" t="n"/>
      <c r="N2331" s="14" t="n"/>
      <c r="O2331" s="7" t="inlineStr"/>
      <c r="P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/>
      <c r="K2332" s="8" t="n"/>
      <c r="L2332" s="7" t="inlineStr">
        <is>
          <t>SEM COTAÇÃO</t>
        </is>
      </c>
      <c r="M2332" s="8" t="n"/>
      <c r="N2332" s="14" t="n"/>
      <c r="O2332" s="7" t="inlineStr"/>
      <c r="P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/>
      <c r="K2333" s="8" t="n"/>
      <c r="L2333" s="7" t="inlineStr">
        <is>
          <t>SEM COTAÇÃO</t>
        </is>
      </c>
      <c r="M2333" s="8" t="n"/>
      <c r="N2333" s="14" t="n"/>
      <c r="O2333" s="7" t="inlineStr"/>
      <c r="P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15" t="n">
        <v>2.2485</v>
      </c>
      <c r="K2334" s="8" t="n"/>
      <c r="L2334" s="7" t="inlineStr">
        <is>
          <t>DIMEC</t>
        </is>
      </c>
      <c r="M2334" s="8" t="n">
        <v>2.2485</v>
      </c>
      <c r="N2334" s="14">
        <f>M2334/H2334-1</f>
        <v/>
      </c>
      <c r="O2334" s="16" t="inlineStr">
        <is>
          <t>ACIMA +13.3%</t>
        </is>
      </c>
      <c r="P2334" s="7" t="inlineStr">
        <is>
          <t>DIMEC: 1 emb = 20 un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15" t="n">
        <v>1.3495</v>
      </c>
      <c r="K2335" s="8" t="n"/>
      <c r="L2335" s="7" t="inlineStr">
        <is>
          <t>DIMEC</t>
        </is>
      </c>
      <c r="M2335" s="8" t="n">
        <v>1.3495</v>
      </c>
      <c r="N2335" s="14">
        <f>M2335/H2335-1</f>
        <v/>
      </c>
      <c r="O2335" s="16" t="inlineStr">
        <is>
          <t>ACIMA +29.4%</t>
        </is>
      </c>
      <c r="P2335" s="7" t="inlineStr">
        <is>
          <t>DIMEC: 1 emb = 20 un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/>
      <c r="K2336" s="8" t="n"/>
      <c r="L2336" s="7" t="inlineStr">
        <is>
          <t>SEM COTAÇÃO</t>
        </is>
      </c>
      <c r="M2336" s="8" t="n"/>
      <c r="N2336" s="14" t="n"/>
      <c r="O2336" s="7" t="inlineStr"/>
      <c r="P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/>
      <c r="K2337" s="8" t="n"/>
      <c r="L2337" s="7" t="inlineStr">
        <is>
          <t>SEM COTAÇÃO</t>
        </is>
      </c>
      <c r="M2337" s="8" t="n"/>
      <c r="N2337" s="14" t="n"/>
      <c r="O2337" s="7" t="inlineStr"/>
      <c r="P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/>
      <c r="K2338" s="8" t="n"/>
      <c r="L2338" s="7" t="inlineStr">
        <is>
          <t>SEM COTAÇÃO</t>
        </is>
      </c>
      <c r="M2338" s="8" t="n"/>
      <c r="N2338" s="14" t="n"/>
      <c r="O2338" s="7" t="inlineStr"/>
      <c r="P2338" s="7" t="inlineStr"/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/>
      <c r="K2339" s="8" t="n"/>
      <c r="L2339" s="7" t="inlineStr">
        <is>
          <t>SEM COTAÇÃO</t>
        </is>
      </c>
      <c r="M2339" s="8" t="n"/>
      <c r="N2339" s="14" t="n"/>
      <c r="O2339" s="7" t="inlineStr"/>
      <c r="P2339" s="7" t="inlineStr"/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/>
      <c r="K2340" s="8" t="n"/>
      <c r="L2340" s="7" t="inlineStr">
        <is>
          <t>SEM COTAÇÃO</t>
        </is>
      </c>
      <c r="M2340" s="8" t="n"/>
      <c r="N2340" s="14" t="n"/>
      <c r="O2340" s="7" t="inlineStr"/>
      <c r="P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/>
      <c r="K2341" s="8" t="n"/>
      <c r="L2341" s="7" t="inlineStr">
        <is>
          <t>SEM COTAÇÃO</t>
        </is>
      </c>
      <c r="M2341" s="8" t="n"/>
      <c r="N2341" s="14" t="n"/>
      <c r="O2341" s="7" t="inlineStr"/>
      <c r="P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/>
      <c r="K2342" s="8" t="n"/>
      <c r="L2342" s="7" t="inlineStr">
        <is>
          <t>SEM COTAÇÃO</t>
        </is>
      </c>
      <c r="M2342" s="8" t="n"/>
      <c r="N2342" s="14" t="n"/>
      <c r="O2342" s="7" t="inlineStr"/>
      <c r="P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/>
      <c r="K2343" s="8" t="n"/>
      <c r="L2343" s="7" t="inlineStr">
        <is>
          <t>SEM COTAÇÃO</t>
        </is>
      </c>
      <c r="M2343" s="8" t="n"/>
      <c r="N2343" s="14" t="n"/>
      <c r="O2343" s="7" t="inlineStr"/>
      <c r="P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/>
      <c r="K2344" s="8" t="n"/>
      <c r="L2344" s="7" t="inlineStr">
        <is>
          <t>SEM COTAÇÃO</t>
        </is>
      </c>
      <c r="M2344" s="8" t="n"/>
      <c r="N2344" s="14" t="n"/>
      <c r="O2344" s="7" t="inlineStr"/>
      <c r="P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/>
      <c r="K2345" s="8" t="n"/>
      <c r="L2345" s="7" t="inlineStr">
        <is>
          <t>SEM COTAÇÃO</t>
        </is>
      </c>
      <c r="M2345" s="8" t="n"/>
      <c r="N2345" s="14" t="n"/>
      <c r="O2345" s="7" t="inlineStr"/>
      <c r="P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/>
      <c r="K2346" s="8" t="n"/>
      <c r="L2346" s="7" t="inlineStr">
        <is>
          <t>SEM COTAÇÃO</t>
        </is>
      </c>
      <c r="M2346" s="8" t="n"/>
      <c r="N2346" s="14" t="n"/>
      <c r="O2346" s="7" t="inlineStr"/>
      <c r="P2346" s="7" t="inlineStr"/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/>
      <c r="K2347" s="8" t="n"/>
      <c r="L2347" s="7" t="inlineStr">
        <is>
          <t>SEM COTAÇÃO</t>
        </is>
      </c>
      <c r="M2347" s="8" t="n"/>
      <c r="N2347" s="14" t="n"/>
      <c r="O2347" s="7" t="inlineStr"/>
      <c r="P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/>
      <c r="K2348" s="8" t="n"/>
      <c r="L2348" s="7" t="inlineStr">
        <is>
          <t>SEM COTAÇÃO</t>
        </is>
      </c>
      <c r="M2348" s="8" t="n"/>
      <c r="N2348" s="14" t="n"/>
      <c r="O2348" s="7" t="inlineStr"/>
      <c r="P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/>
      <c r="K2349" s="8" t="n"/>
      <c r="L2349" s="7" t="inlineStr">
        <is>
          <t>SEM COTAÇÃO</t>
        </is>
      </c>
      <c r="M2349" s="8" t="n"/>
      <c r="N2349" s="14" t="n"/>
      <c r="O2349" s="7" t="inlineStr"/>
      <c r="P2349" s="7" t="inlineStr"/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/>
      <c r="K2350" s="8" t="n"/>
      <c r="L2350" s="7" t="inlineStr">
        <is>
          <t>SEM COTAÇÃO</t>
        </is>
      </c>
      <c r="M2350" s="8" t="n"/>
      <c r="N2350" s="14" t="n"/>
      <c r="O2350" s="7" t="inlineStr"/>
      <c r="P2350" s="7" t="inlineStr"/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/>
      <c r="K2351" s="8" t="n"/>
      <c r="L2351" s="7" t="inlineStr">
        <is>
          <t>SEM COTAÇÃO</t>
        </is>
      </c>
      <c r="M2351" s="8" t="n"/>
      <c r="N2351" s="14" t="n"/>
      <c r="O2351" s="7" t="inlineStr"/>
      <c r="P2351" s="7" t="inlineStr"/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/>
      <c r="K2352" s="8" t="n"/>
      <c r="L2352" s="7" t="inlineStr">
        <is>
          <t>SEM COTAÇÃO</t>
        </is>
      </c>
      <c r="M2352" s="8" t="n"/>
      <c r="N2352" s="14" t="n"/>
      <c r="O2352" s="7" t="inlineStr"/>
      <c r="P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/>
      <c r="K2353" s="8" t="n"/>
      <c r="L2353" s="7" t="inlineStr">
        <is>
          <t>SEM COTAÇÃO</t>
        </is>
      </c>
      <c r="M2353" s="8" t="n"/>
      <c r="N2353" s="14" t="n"/>
      <c r="O2353" s="7" t="inlineStr"/>
      <c r="P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/>
      <c r="K2354" s="8" t="n"/>
      <c r="L2354" s="7" t="inlineStr">
        <is>
          <t>SEM COTAÇÃO</t>
        </is>
      </c>
      <c r="M2354" s="8" t="n"/>
      <c r="N2354" s="14" t="n"/>
      <c r="O2354" s="7" t="inlineStr"/>
      <c r="P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/>
      <c r="K2355" s="8" t="n"/>
      <c r="L2355" s="7" t="inlineStr">
        <is>
          <t>SEM COTAÇÃO</t>
        </is>
      </c>
      <c r="M2355" s="8" t="n"/>
      <c r="N2355" s="14" t="n"/>
      <c r="O2355" s="7" t="inlineStr"/>
      <c r="P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/>
      <c r="K2356" s="8" t="n"/>
      <c r="L2356" s="7" t="inlineStr">
        <is>
          <t>SEM COTAÇÃO</t>
        </is>
      </c>
      <c r="M2356" s="8" t="n"/>
      <c r="N2356" s="14" t="n"/>
      <c r="O2356" s="7" t="inlineStr"/>
      <c r="P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/>
      <c r="K2357" s="8" t="n"/>
      <c r="L2357" s="7" t="inlineStr">
        <is>
          <t>SEM COTAÇÃO</t>
        </is>
      </c>
      <c r="M2357" s="8" t="n"/>
      <c r="N2357" s="14" t="n"/>
      <c r="O2357" s="7" t="inlineStr"/>
      <c r="P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/>
      <c r="K2358" s="8" t="n"/>
      <c r="L2358" s="7" t="inlineStr">
        <is>
          <t>SEM COTAÇÃO</t>
        </is>
      </c>
      <c r="M2358" s="8" t="n"/>
      <c r="N2358" s="14" t="n"/>
      <c r="O2358" s="7" t="inlineStr"/>
      <c r="P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/>
      <c r="K2359" s="8" t="n"/>
      <c r="L2359" s="7" t="inlineStr">
        <is>
          <t>SEM COTAÇÃO</t>
        </is>
      </c>
      <c r="M2359" s="8" t="n"/>
      <c r="N2359" s="14" t="n"/>
      <c r="O2359" s="7" t="inlineStr"/>
      <c r="P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/>
      <c r="K2360" s="8" t="n"/>
      <c r="L2360" s="7" t="inlineStr">
        <is>
          <t>SEM COTAÇÃO</t>
        </is>
      </c>
      <c r="M2360" s="8" t="n"/>
      <c r="N2360" s="14" t="n"/>
      <c r="O2360" s="7" t="inlineStr"/>
      <c r="P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/>
      <c r="K2361" s="8" t="n"/>
      <c r="L2361" s="7" t="inlineStr">
        <is>
          <t>SEM COTAÇÃO</t>
        </is>
      </c>
      <c r="M2361" s="8" t="n"/>
      <c r="N2361" s="14" t="n"/>
      <c r="O2361" s="7" t="inlineStr"/>
      <c r="P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/>
      <c r="K2362" s="8" t="n"/>
      <c r="L2362" s="7" t="inlineStr">
        <is>
          <t>SEM COTAÇÃO</t>
        </is>
      </c>
      <c r="M2362" s="8" t="n"/>
      <c r="N2362" s="14" t="n"/>
      <c r="O2362" s="7" t="inlineStr"/>
      <c r="P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/>
      <c r="K2363" s="8" t="n"/>
      <c r="L2363" s="7" t="inlineStr">
        <is>
          <t>SEM COTAÇÃO</t>
        </is>
      </c>
      <c r="M2363" s="8" t="n"/>
      <c r="N2363" s="14" t="n"/>
      <c r="O2363" s="7" t="inlineStr"/>
      <c r="P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15" t="n">
        <v>1.78</v>
      </c>
      <c r="K2364" s="8" t="n">
        <v>1.95</v>
      </c>
      <c r="L2364" s="7" t="inlineStr">
        <is>
          <t>DIMEC</t>
        </is>
      </c>
      <c r="M2364" s="8" t="n">
        <v>1.78</v>
      </c>
      <c r="N2364" s="14">
        <f>M2364/H2364-1</f>
        <v/>
      </c>
      <c r="O2364" s="17" t="inlineStr">
        <is>
          <t>OK (≤ menor hist.)</t>
        </is>
      </c>
      <c r="P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/>
      <c r="K2365" s="8" t="n"/>
      <c r="L2365" s="7" t="inlineStr">
        <is>
          <t>SEM COTAÇÃO</t>
        </is>
      </c>
      <c r="M2365" s="8" t="n"/>
      <c r="N2365" s="14" t="n"/>
      <c r="O2365" s="7" t="inlineStr"/>
      <c r="P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/>
      <c r="K2366" s="8" t="n"/>
      <c r="L2366" s="7" t="inlineStr">
        <is>
          <t>SEM COTAÇÃO</t>
        </is>
      </c>
      <c r="M2366" s="8" t="n"/>
      <c r="N2366" s="14" t="n"/>
      <c r="O2366" s="7" t="inlineStr"/>
      <c r="P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/>
      <c r="K2367" s="8" t="n"/>
      <c r="L2367" s="7" t="inlineStr">
        <is>
          <t>SEM COTAÇÃO</t>
        </is>
      </c>
      <c r="M2367" s="8" t="n"/>
      <c r="N2367" s="14" t="n"/>
      <c r="O2367" s="7" t="inlineStr"/>
      <c r="P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/>
      <c r="K2368" s="8" t="n"/>
      <c r="L2368" s="7" t="inlineStr">
        <is>
          <t>SEM COTAÇÃO</t>
        </is>
      </c>
      <c r="M2368" s="8" t="n"/>
      <c r="N2368" s="14" t="n"/>
      <c r="O2368" s="7" t="inlineStr"/>
      <c r="P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/>
      <c r="K2369" s="8" t="n"/>
      <c r="L2369" s="7" t="inlineStr">
        <is>
          <t>SEM COTAÇÃO</t>
        </is>
      </c>
      <c r="M2369" s="8" t="n"/>
      <c r="N2369" s="14" t="n"/>
      <c r="O2369" s="7" t="inlineStr"/>
      <c r="P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/>
      <c r="K2370" s="8" t="n"/>
      <c r="L2370" s="7" t="inlineStr">
        <is>
          <t>SEM COTAÇÃO</t>
        </is>
      </c>
      <c r="M2370" s="8" t="n"/>
      <c r="N2370" s="14" t="n"/>
      <c r="O2370" s="7" t="inlineStr"/>
      <c r="P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/>
      <c r="K2371" s="8" t="n"/>
      <c r="L2371" s="7" t="inlineStr">
        <is>
          <t>SEM COTAÇÃO</t>
        </is>
      </c>
      <c r="M2371" s="8" t="n"/>
      <c r="N2371" s="14" t="n"/>
      <c r="O2371" s="7" t="inlineStr"/>
      <c r="P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/>
      <c r="K2372" s="8" t="n"/>
      <c r="L2372" s="7" t="inlineStr">
        <is>
          <t>SEM COTAÇÃO</t>
        </is>
      </c>
      <c r="M2372" s="8" t="n"/>
      <c r="N2372" s="14" t="n"/>
      <c r="O2372" s="7" t="inlineStr"/>
      <c r="P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/>
      <c r="K2373" s="8" t="n"/>
      <c r="L2373" s="7" t="inlineStr">
        <is>
          <t>SEM COTAÇÃO</t>
        </is>
      </c>
      <c r="M2373" s="8" t="n"/>
      <c r="N2373" s="14" t="n"/>
      <c r="O2373" s="7" t="inlineStr"/>
      <c r="P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/>
      <c r="K2374" s="8" t="n"/>
      <c r="L2374" s="7" t="inlineStr">
        <is>
          <t>SEM COTAÇÃO</t>
        </is>
      </c>
      <c r="M2374" s="8" t="n"/>
      <c r="N2374" s="14" t="n"/>
      <c r="O2374" s="7" t="inlineStr"/>
      <c r="P2374" s="7" t="inlineStr"/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/>
      <c r="K2375" s="8" t="n"/>
      <c r="L2375" s="7" t="inlineStr">
        <is>
          <t>SEM COTAÇÃO</t>
        </is>
      </c>
      <c r="M2375" s="8" t="n"/>
      <c r="N2375" s="14" t="n"/>
      <c r="O2375" s="7" t="inlineStr"/>
      <c r="P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/>
      <c r="K2376" s="8" t="n"/>
      <c r="L2376" s="7" t="inlineStr">
        <is>
          <t>SEM COTAÇÃO</t>
        </is>
      </c>
      <c r="M2376" s="8" t="n"/>
      <c r="N2376" s="14" t="n"/>
      <c r="O2376" s="7" t="inlineStr"/>
      <c r="P2376" s="7" t="inlineStr"/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/>
      <c r="K2377" s="8" t="n"/>
      <c r="L2377" s="7" t="inlineStr">
        <is>
          <t>SEM COTAÇÃO</t>
        </is>
      </c>
      <c r="M2377" s="8" t="n"/>
      <c r="N2377" s="14" t="n"/>
      <c r="O2377" s="7" t="inlineStr"/>
      <c r="P2377" s="7" t="inlineStr"/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/>
      <c r="K2378" s="8" t="n"/>
      <c r="L2378" s="7" t="inlineStr">
        <is>
          <t>SEM COTAÇÃO</t>
        </is>
      </c>
      <c r="M2378" s="8" t="n"/>
      <c r="N2378" s="14" t="n"/>
      <c r="O2378" s="7" t="inlineStr"/>
      <c r="P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/>
      <c r="K2379" s="8" t="n"/>
      <c r="L2379" s="7" t="inlineStr">
        <is>
          <t>SEM COTAÇÃO</t>
        </is>
      </c>
      <c r="M2379" s="8" t="n"/>
      <c r="N2379" s="14" t="n"/>
      <c r="O2379" s="7" t="inlineStr"/>
      <c r="P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/>
      <c r="K2380" s="8" t="n"/>
      <c r="L2380" s="7" t="inlineStr">
        <is>
          <t>SEM COTAÇÃO</t>
        </is>
      </c>
      <c r="M2380" s="8" t="n"/>
      <c r="N2380" s="14" t="n"/>
      <c r="O2380" s="7" t="inlineStr"/>
      <c r="P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/>
      <c r="K2381" s="8" t="n"/>
      <c r="L2381" s="7" t="inlineStr">
        <is>
          <t>SEM COTAÇÃO</t>
        </is>
      </c>
      <c r="M2381" s="8" t="n"/>
      <c r="N2381" s="14" t="n"/>
      <c r="O2381" s="7" t="inlineStr"/>
      <c r="P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/>
      <c r="K2382" s="8" t="n"/>
      <c r="L2382" s="7" t="inlineStr">
        <is>
          <t>SEM COTAÇÃO</t>
        </is>
      </c>
      <c r="M2382" s="8" t="n"/>
      <c r="N2382" s="14" t="n"/>
      <c r="O2382" s="7" t="inlineStr"/>
      <c r="P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/>
      <c r="K2383" s="8" t="n"/>
      <c r="L2383" s="7" t="inlineStr">
        <is>
          <t>SEM COTAÇÃO</t>
        </is>
      </c>
      <c r="M2383" s="8" t="n"/>
      <c r="N2383" s="14" t="n"/>
      <c r="O2383" s="7" t="inlineStr"/>
      <c r="P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/>
      <c r="K2384" s="8" t="n"/>
      <c r="L2384" s="7" t="inlineStr">
        <is>
          <t>SEM COTAÇÃO</t>
        </is>
      </c>
      <c r="M2384" s="8" t="n"/>
      <c r="N2384" s="14" t="n"/>
      <c r="O2384" s="7" t="inlineStr"/>
      <c r="P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7" t="inlineStr">
        <is>
          <t>SEM COTAÇÃO</t>
        </is>
      </c>
      <c r="M2385" s="8" t="n"/>
      <c r="N2385" s="14" t="n"/>
      <c r="O2385" s="7" t="inlineStr"/>
      <c r="P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/>
      <c r="K2386" s="8" t="n"/>
      <c r="L2386" s="7" t="inlineStr">
        <is>
          <t>SEM COTAÇÃO</t>
        </is>
      </c>
      <c r="M2386" s="8" t="n"/>
      <c r="N2386" s="14" t="n"/>
      <c r="O2386" s="7" t="inlineStr"/>
      <c r="P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/>
      <c r="K2387" s="8" t="n"/>
      <c r="L2387" s="7" t="inlineStr">
        <is>
          <t>SEM COTAÇÃO</t>
        </is>
      </c>
      <c r="M2387" s="8" t="n"/>
      <c r="N2387" s="14" t="n"/>
      <c r="O2387" s="7" t="inlineStr"/>
      <c r="P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/>
      <c r="K2388" s="8" t="n"/>
      <c r="L2388" s="7" t="inlineStr">
        <is>
          <t>SEM COTAÇÃO</t>
        </is>
      </c>
      <c r="M2388" s="8" t="n"/>
      <c r="N2388" s="14" t="n"/>
      <c r="O2388" s="7" t="inlineStr"/>
      <c r="P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/>
      <c r="K2389" s="8" t="n"/>
      <c r="L2389" s="7" t="inlineStr">
        <is>
          <t>SEM COTAÇÃO</t>
        </is>
      </c>
      <c r="M2389" s="8" t="n"/>
      <c r="N2389" s="14" t="n"/>
      <c r="O2389" s="7" t="inlineStr"/>
      <c r="P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/>
      <c r="K2390" s="8" t="n"/>
      <c r="L2390" s="7" t="inlineStr">
        <is>
          <t>SEM COTAÇÃO</t>
        </is>
      </c>
      <c r="M2390" s="8" t="n"/>
      <c r="N2390" s="14" t="n"/>
      <c r="O2390" s="7" t="inlineStr"/>
      <c r="P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7" t="inlineStr">
        <is>
          <t>SEM COTAÇÃO</t>
        </is>
      </c>
      <c r="M2391" s="8" t="n"/>
      <c r="N2391" s="14" t="n"/>
      <c r="O2391" s="7" t="inlineStr"/>
      <c r="P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7" t="inlineStr">
        <is>
          <t>SEM COTAÇÃO</t>
        </is>
      </c>
      <c r="M2392" s="8" t="n"/>
      <c r="N2392" s="14" t="n"/>
      <c r="O2392" s="7" t="inlineStr"/>
      <c r="P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7" t="inlineStr">
        <is>
          <t>SEM COTAÇÃO</t>
        </is>
      </c>
      <c r="M2393" s="8" t="n"/>
      <c r="N2393" s="14" t="n"/>
      <c r="O2393" s="7" t="inlineStr"/>
      <c r="P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7" t="inlineStr">
        <is>
          <t>SEM COTAÇÃO</t>
        </is>
      </c>
      <c r="M2394" s="8" t="n"/>
      <c r="N2394" s="14" t="n"/>
      <c r="O2394" s="7" t="inlineStr"/>
      <c r="P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7" t="inlineStr">
        <is>
          <t>SEM COTAÇÃO</t>
        </is>
      </c>
      <c r="M2395" s="8" t="n"/>
      <c r="N2395" s="14" t="n"/>
      <c r="O2395" s="7" t="inlineStr"/>
      <c r="P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7" t="inlineStr">
        <is>
          <t>SEM COTAÇÃO</t>
        </is>
      </c>
      <c r="M2396" s="8" t="n"/>
      <c r="N2396" s="14" t="n"/>
      <c r="O2396" s="7" t="inlineStr"/>
      <c r="P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7" t="inlineStr">
        <is>
          <t>SEM COTAÇÃO</t>
        </is>
      </c>
      <c r="M2397" s="8" t="n"/>
      <c r="N2397" s="14" t="n"/>
      <c r="O2397" s="7" t="inlineStr"/>
      <c r="P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/>
      <c r="K2398" s="8" t="n"/>
      <c r="L2398" s="7" t="inlineStr">
        <is>
          <t>SEM COTAÇÃO</t>
        </is>
      </c>
      <c r="M2398" s="8" t="n"/>
      <c r="N2398" s="14" t="n"/>
      <c r="O2398" s="7" t="inlineStr"/>
      <c r="P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/>
      <c r="K2399" s="8" t="n"/>
      <c r="L2399" s="7" t="inlineStr">
        <is>
          <t>SEM COTAÇÃO</t>
        </is>
      </c>
      <c r="M2399" s="8" t="n"/>
      <c r="N2399" s="14" t="n"/>
      <c r="O2399" s="7" t="inlineStr"/>
      <c r="P2399" s="7" t="inlineStr"/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15" t="n">
        <v>8.359999999999999</v>
      </c>
      <c r="K2400" s="8" t="n"/>
      <c r="L2400" s="7" t="inlineStr">
        <is>
          <t>DIMEC</t>
        </is>
      </c>
      <c r="M2400" s="8" t="n">
        <v>8.359999999999999</v>
      </c>
      <c r="N2400" s="14">
        <f>M2400/H2400-1</f>
        <v/>
      </c>
      <c r="O2400" s="16" t="inlineStr">
        <is>
          <t>ACIMA +0.7%</t>
        </is>
      </c>
      <c r="P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/>
      <c r="K2401" s="8" t="n"/>
      <c r="L2401" s="7" t="inlineStr">
        <is>
          <t>SEM COTAÇÃO</t>
        </is>
      </c>
      <c r="M2401" s="8" t="n"/>
      <c r="N2401" s="14" t="n"/>
      <c r="O2401" s="7" t="inlineStr"/>
      <c r="P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15" t="n">
        <v>8.359999999999999</v>
      </c>
      <c r="K2402" s="8" t="n"/>
      <c r="L2402" s="7" t="inlineStr">
        <is>
          <t>DIMEC</t>
        </is>
      </c>
      <c r="M2402" s="8" t="n">
        <v>8.359999999999999</v>
      </c>
      <c r="N2402" s="14">
        <f>M2402/H2402-1</f>
        <v/>
      </c>
      <c r="O2402" s="16" t="inlineStr">
        <is>
          <t>ACIMA +0.7%</t>
        </is>
      </c>
      <c r="P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/>
      <c r="K2403" s="8" t="n"/>
      <c r="L2403" s="7" t="inlineStr">
        <is>
          <t>SEM COTAÇÃO</t>
        </is>
      </c>
      <c r="M2403" s="8" t="n"/>
      <c r="N2403" s="14" t="n"/>
      <c r="O2403" s="7" t="inlineStr"/>
      <c r="P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15" t="n">
        <v>8.94</v>
      </c>
      <c r="K2404" s="8" t="n"/>
      <c r="L2404" s="7" t="inlineStr">
        <is>
          <t>DIMEC</t>
        </is>
      </c>
      <c r="M2404" s="8" t="n">
        <v>8.94</v>
      </c>
      <c r="N2404" s="14">
        <f>M2404/H2404-1</f>
        <v/>
      </c>
      <c r="O2404" s="17" t="inlineStr">
        <is>
          <t>OK (≤ últ. compra)</t>
        </is>
      </c>
      <c r="P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15" t="n">
        <v>8.94</v>
      </c>
      <c r="K2405" s="8" t="n"/>
      <c r="L2405" s="7" t="inlineStr">
        <is>
          <t>DIMEC</t>
        </is>
      </c>
      <c r="M2405" s="8" t="n">
        <v>8.94</v>
      </c>
      <c r="N2405" s="14">
        <f>M2405/H2405-1</f>
        <v/>
      </c>
      <c r="O2405" s="16" t="inlineStr">
        <is>
          <t>ACIMA +4.0%</t>
        </is>
      </c>
      <c r="P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/>
      <c r="K2406" s="8" t="n"/>
      <c r="L2406" s="7" t="inlineStr">
        <is>
          <t>SEM COTAÇÃO</t>
        </is>
      </c>
      <c r="M2406" s="8" t="n"/>
      <c r="N2406" s="14" t="n"/>
      <c r="O2406" s="7" t="inlineStr"/>
      <c r="P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15" t="n">
        <v>8.94</v>
      </c>
      <c r="K2407" s="8" t="n"/>
      <c r="L2407" s="7" t="inlineStr">
        <is>
          <t>DIMEC</t>
        </is>
      </c>
      <c r="M2407" s="8" t="n">
        <v>8.94</v>
      </c>
      <c r="N2407" s="14">
        <f>M2407/H2407-1</f>
        <v/>
      </c>
      <c r="O2407" s="16" t="inlineStr">
        <is>
          <t>ACIMA +0.6%</t>
        </is>
      </c>
      <c r="P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7" t="inlineStr">
        <is>
          <t>SEM COTAÇÃO</t>
        </is>
      </c>
      <c r="M2408" s="8" t="n"/>
      <c r="N2408" s="14" t="n"/>
      <c r="O2408" s="7" t="inlineStr"/>
      <c r="P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/>
      <c r="K2409" s="8" t="n"/>
      <c r="L2409" s="7" t="inlineStr">
        <is>
          <t>SEM COTAÇÃO</t>
        </is>
      </c>
      <c r="M2409" s="8" t="n"/>
      <c r="N2409" s="14" t="n"/>
      <c r="O2409" s="7" t="inlineStr"/>
      <c r="P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/>
      <c r="K2410" s="8" t="n"/>
      <c r="L2410" s="7" t="inlineStr">
        <is>
          <t>SEM COTAÇÃO</t>
        </is>
      </c>
      <c r="M2410" s="8" t="n"/>
      <c r="N2410" s="14" t="n"/>
      <c r="O2410" s="7" t="inlineStr"/>
      <c r="P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/>
      <c r="K2411" s="8" t="n"/>
      <c r="L2411" s="7" t="inlineStr">
        <is>
          <t>SEM COTAÇÃO</t>
        </is>
      </c>
      <c r="M2411" s="8" t="n"/>
      <c r="N2411" s="14" t="n"/>
      <c r="O2411" s="7" t="inlineStr"/>
      <c r="P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15" t="n">
        <v>11.41</v>
      </c>
      <c r="K2412" s="8" t="n"/>
      <c r="L2412" s="7" t="inlineStr">
        <is>
          <t>DIMEC</t>
        </is>
      </c>
      <c r="M2412" s="8" t="n">
        <v>11.41</v>
      </c>
      <c r="N2412" s="14">
        <f>M2412/H2412-1</f>
        <v/>
      </c>
      <c r="O2412" s="16" t="inlineStr">
        <is>
          <t>ACIMA +361.0%</t>
        </is>
      </c>
      <c r="P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/>
      <c r="K2413" s="8" t="n"/>
      <c r="L2413" s="7" t="inlineStr">
        <is>
          <t>SEM COTAÇÃO</t>
        </is>
      </c>
      <c r="M2413" s="8" t="n"/>
      <c r="N2413" s="14" t="n"/>
      <c r="O2413" s="7" t="inlineStr"/>
      <c r="P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/>
      <c r="K2414" s="8" t="n"/>
      <c r="L2414" s="7" t="inlineStr">
        <is>
          <t>SEM COTAÇÃO</t>
        </is>
      </c>
      <c r="M2414" s="8" t="n"/>
      <c r="N2414" s="14" t="n"/>
      <c r="O2414" s="7" t="inlineStr"/>
      <c r="P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/>
      <c r="K2415" s="8" t="n"/>
      <c r="L2415" s="7" t="inlineStr">
        <is>
          <t>SEM COTAÇÃO</t>
        </is>
      </c>
      <c r="M2415" s="8" t="n"/>
      <c r="N2415" s="14" t="n"/>
      <c r="O2415" s="7" t="inlineStr"/>
      <c r="P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/>
      <c r="K2416" s="8" t="n"/>
      <c r="L2416" s="7" t="inlineStr">
        <is>
          <t>SEM COTAÇÃO</t>
        </is>
      </c>
      <c r="M2416" s="8" t="n"/>
      <c r="N2416" s="14" t="n"/>
      <c r="O2416" s="7" t="inlineStr"/>
      <c r="P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/>
      <c r="K2417" s="8" t="n"/>
      <c r="L2417" s="7" t="inlineStr">
        <is>
          <t>SEM COTAÇÃO</t>
        </is>
      </c>
      <c r="M2417" s="8" t="n"/>
      <c r="N2417" s="14" t="n"/>
      <c r="O2417" s="7" t="inlineStr"/>
      <c r="P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/>
      <c r="K2418" s="8" t="n"/>
      <c r="L2418" s="7" t="inlineStr">
        <is>
          <t>SEM COTAÇÃO</t>
        </is>
      </c>
      <c r="M2418" s="8" t="n"/>
      <c r="N2418" s="14" t="n"/>
      <c r="O2418" s="7" t="inlineStr"/>
      <c r="P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/>
      <c r="K2419" s="8" t="n"/>
      <c r="L2419" s="7" t="inlineStr">
        <is>
          <t>SEM COTAÇÃO</t>
        </is>
      </c>
      <c r="M2419" s="8" t="n"/>
      <c r="N2419" s="14" t="n"/>
      <c r="O2419" s="7" t="inlineStr"/>
      <c r="P2419" s="7" t="inlineStr"/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/>
      <c r="K2420" s="8" t="n"/>
      <c r="L2420" s="7" t="inlineStr">
        <is>
          <t>SEM COTAÇÃO</t>
        </is>
      </c>
      <c r="M2420" s="8" t="n"/>
      <c r="N2420" s="14" t="n"/>
      <c r="O2420" s="7" t="inlineStr"/>
      <c r="P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/>
      <c r="K2421" s="8" t="n"/>
      <c r="L2421" s="7" t="inlineStr">
        <is>
          <t>SEM COTAÇÃO</t>
        </is>
      </c>
      <c r="M2421" s="8" t="n"/>
      <c r="N2421" s="14" t="n"/>
      <c r="O2421" s="7" t="inlineStr"/>
      <c r="P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15" t="n">
        <v>6.08</v>
      </c>
      <c r="K2422" s="8" t="n"/>
      <c r="L2422" s="7" t="inlineStr">
        <is>
          <t>DIMEC</t>
        </is>
      </c>
      <c r="M2422" s="8" t="n">
        <v>6.08</v>
      </c>
      <c r="N2422" s="14">
        <f>M2422/H2422-1</f>
        <v/>
      </c>
      <c r="O2422" s="16" t="inlineStr">
        <is>
          <t>ACIMA +15.2%</t>
        </is>
      </c>
      <c r="P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15" t="n">
        <v>7.25</v>
      </c>
      <c r="K2423" s="8" t="n"/>
      <c r="L2423" s="7" t="inlineStr">
        <is>
          <t>DIMEC</t>
        </is>
      </c>
      <c r="M2423" s="8" t="n">
        <v>7.25</v>
      </c>
      <c r="N2423" s="14">
        <f>M2423/H2423-1</f>
        <v/>
      </c>
      <c r="O2423" s="17" t="inlineStr">
        <is>
          <t>OK (≤ menor hist.)</t>
        </is>
      </c>
      <c r="P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/>
      <c r="K2424" s="8" t="n"/>
      <c r="L2424" s="7" t="inlineStr">
        <is>
          <t>SEM COTAÇÃO</t>
        </is>
      </c>
      <c r="M2424" s="8" t="n"/>
      <c r="N2424" s="14" t="n"/>
      <c r="O2424" s="7" t="inlineStr"/>
      <c r="P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/>
      <c r="K2425" s="8" t="n"/>
      <c r="L2425" s="7" t="inlineStr">
        <is>
          <t>SEM COTAÇÃO</t>
        </is>
      </c>
      <c r="M2425" s="8" t="n"/>
      <c r="N2425" s="14" t="n"/>
      <c r="O2425" s="7" t="inlineStr"/>
      <c r="P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/>
      <c r="K2426" s="8" t="n"/>
      <c r="L2426" s="7" t="inlineStr">
        <is>
          <t>SEM COTAÇÃO</t>
        </is>
      </c>
      <c r="M2426" s="8" t="n"/>
      <c r="N2426" s="14" t="n"/>
      <c r="O2426" s="7" t="inlineStr"/>
      <c r="P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/>
      <c r="K2427" s="8" t="n"/>
      <c r="L2427" s="7" t="inlineStr">
        <is>
          <t>SEM COTAÇÃO</t>
        </is>
      </c>
      <c r="M2427" s="8" t="n"/>
      <c r="N2427" s="14" t="n"/>
      <c r="O2427" s="7" t="inlineStr"/>
      <c r="P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/>
      <c r="K2428" s="8" t="n"/>
      <c r="L2428" s="7" t="inlineStr">
        <is>
          <t>SEM COTAÇÃO</t>
        </is>
      </c>
      <c r="M2428" s="8" t="n"/>
      <c r="N2428" s="14" t="n"/>
      <c r="O2428" s="7" t="inlineStr"/>
      <c r="P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/>
      <c r="K2429" s="8" t="n"/>
      <c r="L2429" s="7" t="inlineStr">
        <is>
          <t>SEM COTAÇÃO</t>
        </is>
      </c>
      <c r="M2429" s="8" t="n"/>
      <c r="N2429" s="14" t="n"/>
      <c r="O2429" s="7" t="inlineStr"/>
      <c r="P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/>
      <c r="K2430" s="8" t="n"/>
      <c r="L2430" s="7" t="inlineStr">
        <is>
          <t>SEM COTAÇÃO</t>
        </is>
      </c>
      <c r="M2430" s="8" t="n"/>
      <c r="N2430" s="14" t="n"/>
      <c r="O2430" s="7" t="inlineStr"/>
      <c r="P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/>
      <c r="K2431" s="8" t="n"/>
      <c r="L2431" s="7" t="inlineStr">
        <is>
          <t>SEM COTAÇÃO</t>
        </is>
      </c>
      <c r="M2431" s="8" t="n"/>
      <c r="N2431" s="14" t="n"/>
      <c r="O2431" s="7" t="inlineStr"/>
      <c r="P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/>
      <c r="K2432" s="8" t="n"/>
      <c r="L2432" s="7" t="inlineStr">
        <is>
          <t>SEM COTAÇÃO</t>
        </is>
      </c>
      <c r="M2432" s="8" t="n"/>
      <c r="N2432" s="14" t="n"/>
      <c r="O2432" s="7" t="inlineStr"/>
      <c r="P2432" s="7" t="inlineStr"/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/>
      <c r="K2433" s="8" t="n"/>
      <c r="L2433" s="7" t="inlineStr">
        <is>
          <t>SEM COTAÇÃO</t>
        </is>
      </c>
      <c r="M2433" s="8" t="n"/>
      <c r="N2433" s="14" t="n"/>
      <c r="O2433" s="7" t="inlineStr"/>
      <c r="P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/>
      <c r="K2434" s="8" t="n"/>
      <c r="L2434" s="7" t="inlineStr">
        <is>
          <t>SEM COTAÇÃO</t>
        </is>
      </c>
      <c r="M2434" s="8" t="n"/>
      <c r="N2434" s="14" t="n"/>
      <c r="O2434" s="7" t="inlineStr"/>
      <c r="P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/>
      <c r="K2435" s="8" t="n"/>
      <c r="L2435" s="7" t="inlineStr">
        <is>
          <t>SEM COTAÇÃO</t>
        </is>
      </c>
      <c r="M2435" s="8" t="n"/>
      <c r="N2435" s="14" t="n"/>
      <c r="O2435" s="7" t="inlineStr"/>
      <c r="P2435" s="7" t="inlineStr"/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/>
      <c r="K2436" s="8" t="n"/>
      <c r="L2436" s="7" t="inlineStr">
        <is>
          <t>SEM COTAÇÃO</t>
        </is>
      </c>
      <c r="M2436" s="8" t="n"/>
      <c r="N2436" s="14" t="n"/>
      <c r="O2436" s="7" t="inlineStr"/>
      <c r="P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/>
      <c r="K2437" s="8" t="n"/>
      <c r="L2437" s="7" t="inlineStr">
        <is>
          <t>SEM COTAÇÃO</t>
        </is>
      </c>
      <c r="M2437" s="8" t="n"/>
      <c r="N2437" s="14" t="n"/>
      <c r="O2437" s="7" t="inlineStr"/>
      <c r="P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/>
      <c r="K2438" s="8" t="n"/>
      <c r="L2438" s="7" t="inlineStr">
        <is>
          <t>SEM COTAÇÃO</t>
        </is>
      </c>
      <c r="M2438" s="8" t="n"/>
      <c r="N2438" s="14" t="n"/>
      <c r="O2438" s="7" t="inlineStr"/>
      <c r="P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/>
      <c r="K2439" s="8" t="n"/>
      <c r="L2439" s="7" t="inlineStr">
        <is>
          <t>SEM COTAÇÃO</t>
        </is>
      </c>
      <c r="M2439" s="8" t="n"/>
      <c r="N2439" s="14" t="n"/>
      <c r="O2439" s="7" t="inlineStr"/>
      <c r="P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/>
      <c r="K2440" s="8" t="n"/>
      <c r="L2440" s="7" t="inlineStr">
        <is>
          <t>SEM COTAÇÃO</t>
        </is>
      </c>
      <c r="M2440" s="8" t="n"/>
      <c r="N2440" s="14" t="n"/>
      <c r="O2440" s="7" t="inlineStr"/>
      <c r="P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15" t="n">
        <v>126.14</v>
      </c>
      <c r="K2441" s="8" t="n"/>
      <c r="L2441" s="7" t="inlineStr">
        <is>
          <t>DIMEC</t>
        </is>
      </c>
      <c r="M2441" s="8" t="n">
        <v>126.14</v>
      </c>
      <c r="N2441" s="14">
        <f>M2441/H2441-1</f>
        <v/>
      </c>
      <c r="O2441" s="16" t="inlineStr">
        <is>
          <t>ACIMA +8876.7%</t>
        </is>
      </c>
      <c r="P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/>
      <c r="K2442" s="8" t="n"/>
      <c r="L2442" s="7" t="inlineStr">
        <is>
          <t>SEM COTAÇÃO</t>
        </is>
      </c>
      <c r="M2442" s="8" t="n"/>
      <c r="N2442" s="14" t="n"/>
      <c r="O2442" s="7" t="inlineStr"/>
      <c r="P2442" s="7" t="inlineStr"/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/>
      <c r="K2443" s="15" t="n">
        <v>24.46</v>
      </c>
      <c r="L2443" s="7" t="inlineStr">
        <is>
          <t>PLUSFARMA</t>
        </is>
      </c>
      <c r="M2443" s="8" t="n">
        <v>24.46</v>
      </c>
      <c r="N2443" s="14">
        <f>M2443/H2443-1</f>
        <v/>
      </c>
      <c r="O2443" s="16" t="inlineStr">
        <is>
          <t>ACIMA +25.4%</t>
        </is>
      </c>
      <c r="P2443" s="7" t="inlineStr"/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/>
      <c r="K2444" s="8" t="n"/>
      <c r="L2444" s="7" t="inlineStr">
        <is>
          <t>SEM COTAÇÃO</t>
        </is>
      </c>
      <c r="M2444" s="8" t="n"/>
      <c r="N2444" s="14" t="n"/>
      <c r="O2444" s="7" t="inlineStr"/>
      <c r="P2444" s="7" t="inlineStr"/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/>
      <c r="K2445" s="8" t="n"/>
      <c r="L2445" s="7" t="inlineStr">
        <is>
          <t>SEM COTAÇÃO</t>
        </is>
      </c>
      <c r="M2445" s="8" t="n"/>
      <c r="N2445" s="14" t="n"/>
      <c r="O2445" s="7" t="inlineStr"/>
      <c r="P2445" s="7" t="inlineStr"/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/>
      <c r="K2446" s="15" t="n">
        <v>3.25</v>
      </c>
      <c r="L2446" s="7" t="inlineStr">
        <is>
          <t>PLUSFARMA</t>
        </is>
      </c>
      <c r="M2446" s="8" t="n">
        <v>3.25</v>
      </c>
      <c r="N2446" s="14">
        <f>M2446/H2446-1</f>
        <v/>
      </c>
      <c r="O2446" s="16" t="inlineStr">
        <is>
          <t>ACIMA +23.1%</t>
        </is>
      </c>
      <c r="P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/>
      <c r="K2447" s="8" t="n"/>
      <c r="L2447" s="7" t="inlineStr">
        <is>
          <t>SEM COTAÇÃO</t>
        </is>
      </c>
      <c r="M2447" s="8" t="n"/>
      <c r="N2447" s="14" t="n"/>
      <c r="O2447" s="7" t="inlineStr"/>
      <c r="P2447" s="7" t="inlineStr"/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/>
      <c r="K2448" s="8" t="n"/>
      <c r="L2448" s="7" t="inlineStr">
        <is>
          <t>SEM COTAÇÃO</t>
        </is>
      </c>
      <c r="M2448" s="8" t="n"/>
      <c r="N2448" s="14" t="n"/>
      <c r="O2448" s="7" t="inlineStr"/>
      <c r="P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15" t="n">
        <v>8.1</v>
      </c>
      <c r="K2449" s="8" t="n"/>
      <c r="L2449" s="7" t="inlineStr">
        <is>
          <t>DIMEC</t>
        </is>
      </c>
      <c r="M2449" s="8" t="n">
        <v>8.1</v>
      </c>
      <c r="N2449" s="14">
        <f>M2449/H2449-1</f>
        <v/>
      </c>
      <c r="O2449" s="17" t="inlineStr">
        <is>
          <t>OK (≤ menor hist.)</t>
        </is>
      </c>
      <c r="P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/>
      <c r="K2450" s="8" t="n"/>
      <c r="L2450" s="7" t="inlineStr">
        <is>
          <t>SEM COTAÇÃO</t>
        </is>
      </c>
      <c r="M2450" s="8" t="n"/>
      <c r="N2450" s="14" t="n"/>
      <c r="O2450" s="7" t="inlineStr"/>
      <c r="P2450" s="7" t="inlineStr"/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/>
      <c r="K2451" s="8" t="n"/>
      <c r="L2451" s="7" t="inlineStr">
        <is>
          <t>SEM COTAÇÃO</t>
        </is>
      </c>
      <c r="M2451" s="8" t="n"/>
      <c r="N2451" s="14" t="n"/>
      <c r="O2451" s="7" t="inlineStr"/>
      <c r="P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/>
      <c r="K2452" s="8" t="n"/>
      <c r="L2452" s="7" t="inlineStr">
        <is>
          <t>SEM COTAÇÃO</t>
        </is>
      </c>
      <c r="M2452" s="8" t="n"/>
      <c r="N2452" s="14" t="n"/>
      <c r="O2452" s="7" t="inlineStr"/>
      <c r="P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/>
      <c r="K2453" s="8" t="n"/>
      <c r="L2453" s="7" t="inlineStr">
        <is>
          <t>SEM COTAÇÃO</t>
        </is>
      </c>
      <c r="M2453" s="8" t="n"/>
      <c r="N2453" s="14" t="n"/>
      <c r="O2453" s="7" t="inlineStr"/>
      <c r="P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/>
      <c r="K2454" s="8" t="n"/>
      <c r="L2454" s="7" t="inlineStr">
        <is>
          <t>SEM COTAÇÃO</t>
        </is>
      </c>
      <c r="M2454" s="8" t="n"/>
      <c r="N2454" s="14" t="n"/>
      <c r="O2454" s="7" t="inlineStr"/>
      <c r="P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/>
      <c r="K2455" s="8" t="n"/>
      <c r="L2455" s="7" t="inlineStr">
        <is>
          <t>SEM COTAÇÃO</t>
        </is>
      </c>
      <c r="M2455" s="8" t="n"/>
      <c r="N2455" s="14" t="n"/>
      <c r="O2455" s="7" t="inlineStr"/>
      <c r="P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/>
      <c r="K2456" s="8" t="n"/>
      <c r="L2456" s="7" t="inlineStr">
        <is>
          <t>SEM COTAÇÃO</t>
        </is>
      </c>
      <c r="M2456" s="8" t="n"/>
      <c r="N2456" s="14" t="n"/>
      <c r="O2456" s="7" t="inlineStr"/>
      <c r="P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/>
      <c r="K2457" s="8" t="n"/>
      <c r="L2457" s="7" t="inlineStr">
        <is>
          <t>SEM COTAÇÃO</t>
        </is>
      </c>
      <c r="M2457" s="8" t="n"/>
      <c r="N2457" s="14" t="n"/>
      <c r="O2457" s="7" t="inlineStr"/>
      <c r="P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15" t="n">
        <v>2.08</v>
      </c>
      <c r="K2458" s="8" t="n"/>
      <c r="L2458" s="7" t="inlineStr">
        <is>
          <t>DIMEC</t>
        </is>
      </c>
      <c r="M2458" s="8" t="n">
        <v>2.08</v>
      </c>
      <c r="N2458" s="14">
        <f>M2458/H2458-1</f>
        <v/>
      </c>
      <c r="O2458" s="16" t="inlineStr">
        <is>
          <t>ACIMA +3.0%</t>
        </is>
      </c>
      <c r="P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15.46</v>
      </c>
      <c r="K2459" s="15" t="n">
        <v>15.11</v>
      </c>
      <c r="L2459" s="7" t="inlineStr">
        <is>
          <t>PLUSFARMA</t>
        </is>
      </c>
      <c r="M2459" s="8" t="n">
        <v>15.11</v>
      </c>
      <c r="N2459" s="14">
        <f>M2459/H2459-1</f>
        <v/>
      </c>
      <c r="O2459" s="16" t="inlineStr">
        <is>
          <t>ACIMA +3.8%</t>
        </is>
      </c>
      <c r="P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15" t="n">
        <v>7.85</v>
      </c>
      <c r="K2460" s="8" t="n"/>
      <c r="L2460" s="7" t="inlineStr">
        <is>
          <t>DIMEC</t>
        </is>
      </c>
      <c r="M2460" s="8" t="n">
        <v>7.85</v>
      </c>
      <c r="N2460" s="14">
        <f>M2460/H2460-1</f>
        <v/>
      </c>
      <c r="O2460" s="16" t="inlineStr">
        <is>
          <t>ACIMA +7.2%</t>
        </is>
      </c>
      <c r="P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/>
      <c r="K2461" s="8" t="n"/>
      <c r="L2461" s="7" t="inlineStr">
        <is>
          <t>SEM COTAÇÃO</t>
        </is>
      </c>
      <c r="M2461" s="8" t="n"/>
      <c r="N2461" s="14" t="n"/>
      <c r="O2461" s="7" t="inlineStr"/>
      <c r="P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/>
      <c r="K2462" s="8" t="n"/>
      <c r="L2462" s="7" t="inlineStr">
        <is>
          <t>SEM COTAÇÃO</t>
        </is>
      </c>
      <c r="M2462" s="8" t="n"/>
      <c r="N2462" s="14" t="n"/>
      <c r="O2462" s="7" t="inlineStr"/>
      <c r="P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/>
      <c r="K2463" s="8" t="n"/>
      <c r="L2463" s="7" t="inlineStr">
        <is>
          <t>SEM COTAÇÃO</t>
        </is>
      </c>
      <c r="M2463" s="8" t="n"/>
      <c r="N2463" s="14" t="n"/>
      <c r="O2463" s="7" t="inlineStr"/>
      <c r="P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/>
      <c r="K2464" s="8" t="n"/>
      <c r="L2464" s="7" t="inlineStr">
        <is>
          <t>SEM COTAÇÃO</t>
        </is>
      </c>
      <c r="M2464" s="8" t="n"/>
      <c r="N2464" s="14" t="n"/>
      <c r="O2464" s="7" t="inlineStr"/>
      <c r="P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/>
      <c r="K2465" s="8" t="n"/>
      <c r="L2465" s="7" t="inlineStr">
        <is>
          <t>SEM COTAÇÃO</t>
        </is>
      </c>
      <c r="M2465" s="8" t="n"/>
      <c r="N2465" s="14" t="n"/>
      <c r="O2465" s="7" t="inlineStr"/>
      <c r="P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/>
      <c r="K2466" s="8" t="n"/>
      <c r="L2466" s="7" t="inlineStr">
        <is>
          <t>SEM COTAÇÃO</t>
        </is>
      </c>
      <c r="M2466" s="8" t="n"/>
      <c r="N2466" s="14" t="n"/>
      <c r="O2466" s="7" t="inlineStr"/>
      <c r="P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/>
      <c r="K2467" s="8" t="n"/>
      <c r="L2467" s="7" t="inlineStr">
        <is>
          <t>SEM COTAÇÃO</t>
        </is>
      </c>
      <c r="M2467" s="8" t="n"/>
      <c r="N2467" s="14" t="n"/>
      <c r="O2467" s="7" t="inlineStr"/>
      <c r="P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/>
      <c r="K2468" s="8" t="n"/>
      <c r="L2468" s="7" t="inlineStr">
        <is>
          <t>SEM COTAÇÃO</t>
        </is>
      </c>
      <c r="M2468" s="8" t="n"/>
      <c r="N2468" s="14" t="n"/>
      <c r="O2468" s="7" t="inlineStr"/>
      <c r="P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/>
      <c r="K2469" s="8" t="n"/>
      <c r="L2469" s="7" t="inlineStr">
        <is>
          <t>SEM COTAÇÃO</t>
        </is>
      </c>
      <c r="M2469" s="8" t="n"/>
      <c r="N2469" s="14" t="n"/>
      <c r="O2469" s="7" t="inlineStr"/>
      <c r="P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/>
      <c r="K2470" s="8" t="n"/>
      <c r="L2470" s="7" t="inlineStr">
        <is>
          <t>SEM COTAÇÃO</t>
        </is>
      </c>
      <c r="M2470" s="8" t="n"/>
      <c r="N2470" s="14" t="n"/>
      <c r="O2470" s="7" t="inlineStr"/>
      <c r="P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/>
      <c r="K2471" s="8" t="n"/>
      <c r="L2471" s="7" t="inlineStr">
        <is>
          <t>SEM COTAÇÃO</t>
        </is>
      </c>
      <c r="M2471" s="8" t="n"/>
      <c r="N2471" s="14" t="n"/>
      <c r="O2471" s="7" t="inlineStr"/>
      <c r="P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/>
      <c r="K2472" s="8" t="n"/>
      <c r="L2472" s="7" t="inlineStr">
        <is>
          <t>SEM COTAÇÃO</t>
        </is>
      </c>
      <c r="M2472" s="8" t="n"/>
      <c r="N2472" s="14" t="n"/>
      <c r="O2472" s="7" t="inlineStr"/>
      <c r="P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7" t="inlineStr">
        <is>
          <t>SEM COTAÇÃO</t>
        </is>
      </c>
      <c r="M2473" s="8" t="n"/>
      <c r="N2473" s="14" t="n"/>
      <c r="O2473" s="7" t="inlineStr"/>
      <c r="P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/>
      <c r="K2474" s="8" t="n"/>
      <c r="L2474" s="7" t="inlineStr">
        <is>
          <t>SEM COTAÇÃO</t>
        </is>
      </c>
      <c r="M2474" s="8" t="n"/>
      <c r="N2474" s="14" t="n"/>
      <c r="O2474" s="7" t="inlineStr"/>
      <c r="P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/>
      <c r="K2475" s="8" t="n"/>
      <c r="L2475" s="7" t="inlineStr">
        <is>
          <t>SEM COTAÇÃO</t>
        </is>
      </c>
      <c r="M2475" s="8" t="n"/>
      <c r="N2475" s="14" t="n"/>
      <c r="O2475" s="7" t="inlineStr"/>
      <c r="P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/>
      <c r="K2476" s="8" t="n"/>
      <c r="L2476" s="7" t="inlineStr">
        <is>
          <t>SEM COTAÇÃO</t>
        </is>
      </c>
      <c r="M2476" s="8" t="n"/>
      <c r="N2476" s="14" t="n"/>
      <c r="O2476" s="7" t="inlineStr"/>
      <c r="P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/>
      <c r="K2477" s="8" t="n"/>
      <c r="L2477" s="7" t="inlineStr">
        <is>
          <t>SEM COTAÇÃO</t>
        </is>
      </c>
      <c r="M2477" s="8" t="n"/>
      <c r="N2477" s="14" t="n"/>
      <c r="O2477" s="7" t="inlineStr"/>
      <c r="P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/>
      <c r="K2478" s="8" t="n"/>
      <c r="L2478" s="7" t="inlineStr">
        <is>
          <t>SEM COTAÇÃO</t>
        </is>
      </c>
      <c r="M2478" s="8" t="n"/>
      <c r="N2478" s="14" t="n"/>
      <c r="O2478" s="7" t="inlineStr"/>
      <c r="P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/>
      <c r="K2479" s="8" t="n"/>
      <c r="L2479" s="7" t="inlineStr">
        <is>
          <t>SEM COTAÇÃO</t>
        </is>
      </c>
      <c r="M2479" s="8" t="n"/>
      <c r="N2479" s="14" t="n"/>
      <c r="O2479" s="7" t="inlineStr"/>
      <c r="P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/>
      <c r="K2480" s="8" t="n"/>
      <c r="L2480" s="7" t="inlineStr">
        <is>
          <t>SEM COTAÇÃO</t>
        </is>
      </c>
      <c r="M2480" s="8" t="n"/>
      <c r="N2480" s="14" t="n"/>
      <c r="O2480" s="7" t="inlineStr"/>
      <c r="P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/>
      <c r="K2481" s="8" t="n"/>
      <c r="L2481" s="7" t="inlineStr">
        <is>
          <t>SEM COTAÇÃO</t>
        </is>
      </c>
      <c r="M2481" s="8" t="n"/>
      <c r="N2481" s="14" t="n"/>
      <c r="O2481" s="7" t="inlineStr"/>
      <c r="P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36.93</v>
      </c>
      <c r="K2482" s="15" t="n">
        <v>36.39</v>
      </c>
      <c r="L2482" s="7" t="inlineStr">
        <is>
          <t>PLUSFARMA</t>
        </is>
      </c>
      <c r="M2482" s="8" t="n">
        <v>36.39</v>
      </c>
      <c r="N2482" s="14">
        <f>M2482/H2482-1</f>
        <v/>
      </c>
      <c r="O2482" s="16" t="inlineStr">
        <is>
          <t>ACIMA +17.0%</t>
        </is>
      </c>
      <c r="P2482" s="7" t="inlineStr"/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/>
      <c r="K2483" s="8" t="n"/>
      <c r="L2483" s="7" t="inlineStr">
        <is>
          <t>SEM COTAÇÃO</t>
        </is>
      </c>
      <c r="M2483" s="8" t="n"/>
      <c r="N2483" s="14" t="n"/>
      <c r="O2483" s="7" t="inlineStr"/>
      <c r="P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/>
      <c r="K2484" s="8" t="n"/>
      <c r="L2484" s="7" t="inlineStr">
        <is>
          <t>SEM COTAÇÃO</t>
        </is>
      </c>
      <c r="M2484" s="8" t="n"/>
      <c r="N2484" s="14" t="n"/>
      <c r="O2484" s="7" t="inlineStr"/>
      <c r="P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/>
      <c r="K2485" s="8" t="n"/>
      <c r="L2485" s="7" t="inlineStr">
        <is>
          <t>SEM COTAÇÃO</t>
        </is>
      </c>
      <c r="M2485" s="8" t="n"/>
      <c r="N2485" s="14" t="n"/>
      <c r="O2485" s="7" t="inlineStr"/>
      <c r="P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/>
      <c r="K2486" s="8" t="n"/>
      <c r="L2486" s="7" t="inlineStr">
        <is>
          <t>SEM COTAÇÃO</t>
        </is>
      </c>
      <c r="M2486" s="8" t="n"/>
      <c r="N2486" s="14" t="n"/>
      <c r="O2486" s="7" t="inlineStr"/>
      <c r="P2486" s="7" t="inlineStr"/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/>
      <c r="K2487" s="8" t="n"/>
      <c r="L2487" s="7" t="inlineStr">
        <is>
          <t>SEM COTAÇÃO</t>
        </is>
      </c>
      <c r="M2487" s="8" t="n"/>
      <c r="N2487" s="14" t="n"/>
      <c r="O2487" s="7" t="inlineStr"/>
      <c r="P2487" s="7" t="inlineStr"/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/>
      <c r="K2488" s="8" t="n"/>
      <c r="L2488" s="7" t="inlineStr">
        <is>
          <t>SEM COTAÇÃO</t>
        </is>
      </c>
      <c r="M2488" s="8" t="n"/>
      <c r="N2488" s="14" t="n"/>
      <c r="O2488" s="7" t="inlineStr"/>
      <c r="P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/>
      <c r="K2489" s="8" t="n"/>
      <c r="L2489" s="7" t="inlineStr">
        <is>
          <t>SEM COTAÇÃO</t>
        </is>
      </c>
      <c r="M2489" s="8" t="n"/>
      <c r="N2489" s="14" t="n"/>
      <c r="O2489" s="7" t="inlineStr"/>
      <c r="P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/>
      <c r="K2490" s="8" t="n"/>
      <c r="L2490" s="7" t="inlineStr">
        <is>
          <t>SEM COTAÇÃO</t>
        </is>
      </c>
      <c r="M2490" s="8" t="n"/>
      <c r="N2490" s="14" t="n"/>
      <c r="O2490" s="7" t="inlineStr"/>
      <c r="P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/>
      <c r="K2491" s="8" t="n"/>
      <c r="L2491" s="7" t="inlineStr">
        <is>
          <t>SEM COTAÇÃO</t>
        </is>
      </c>
      <c r="M2491" s="8" t="n"/>
      <c r="N2491" s="14" t="n"/>
      <c r="O2491" s="7" t="inlineStr"/>
      <c r="P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/>
      <c r="K2492" s="8" t="n"/>
      <c r="L2492" s="7" t="inlineStr">
        <is>
          <t>SEM COTAÇÃO</t>
        </is>
      </c>
      <c r="M2492" s="8" t="n"/>
      <c r="N2492" s="14" t="n"/>
      <c r="O2492" s="7" t="inlineStr"/>
      <c r="P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/>
      <c r="K2493" s="8" t="n"/>
      <c r="L2493" s="7" t="inlineStr">
        <is>
          <t>SEM COTAÇÃO</t>
        </is>
      </c>
      <c r="M2493" s="8" t="n"/>
      <c r="N2493" s="14" t="n"/>
      <c r="O2493" s="7" t="inlineStr"/>
      <c r="P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/>
      <c r="K2494" s="8" t="n"/>
      <c r="L2494" s="7" t="inlineStr">
        <is>
          <t>SEM COTAÇÃO</t>
        </is>
      </c>
      <c r="M2494" s="8" t="n"/>
      <c r="N2494" s="14" t="n"/>
      <c r="O2494" s="7" t="inlineStr"/>
      <c r="P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/>
      <c r="K2495" s="8" t="n"/>
      <c r="L2495" s="7" t="inlineStr">
        <is>
          <t>SEM COTAÇÃO</t>
        </is>
      </c>
      <c r="M2495" s="8" t="n"/>
      <c r="N2495" s="14" t="n"/>
      <c r="O2495" s="7" t="inlineStr"/>
      <c r="P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/>
      <c r="K2496" s="8" t="n"/>
      <c r="L2496" s="7" t="inlineStr">
        <is>
          <t>SEM COTAÇÃO</t>
        </is>
      </c>
      <c r="M2496" s="8" t="n"/>
      <c r="N2496" s="14" t="n"/>
      <c r="O2496" s="7" t="inlineStr"/>
      <c r="P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/>
      <c r="K2497" s="8" t="n"/>
      <c r="L2497" s="7" t="inlineStr">
        <is>
          <t>SEM COTAÇÃO</t>
        </is>
      </c>
      <c r="M2497" s="8" t="n"/>
      <c r="N2497" s="14" t="n"/>
      <c r="O2497" s="7" t="inlineStr"/>
      <c r="P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15" t="n">
        <v>5.67</v>
      </c>
      <c r="K2498" s="8" t="n"/>
      <c r="L2498" s="7" t="inlineStr">
        <is>
          <t>DIMEC</t>
        </is>
      </c>
      <c r="M2498" s="8" t="n">
        <v>5.67</v>
      </c>
      <c r="N2498" s="14">
        <f>M2498/H2498-1</f>
        <v/>
      </c>
      <c r="O2498" s="17" t="inlineStr">
        <is>
          <t>OK (≤ últ. compra)</t>
        </is>
      </c>
      <c r="P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/>
      <c r="K2499" s="8" t="n"/>
      <c r="L2499" s="7" t="inlineStr">
        <is>
          <t>SEM COTAÇÃO</t>
        </is>
      </c>
      <c r="M2499" s="8" t="n"/>
      <c r="N2499" s="14" t="n"/>
      <c r="O2499" s="7" t="inlineStr"/>
      <c r="P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/>
      <c r="K2500" s="8" t="n"/>
      <c r="L2500" s="7" t="inlineStr">
        <is>
          <t>SEM COTAÇÃO</t>
        </is>
      </c>
      <c r="M2500" s="8" t="n"/>
      <c r="N2500" s="14" t="n"/>
      <c r="O2500" s="7" t="inlineStr"/>
      <c r="P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7" t="inlineStr">
        <is>
          <t>SEM COTAÇÃO</t>
        </is>
      </c>
      <c r="M2501" s="8" t="n"/>
      <c r="N2501" s="14" t="n"/>
      <c r="O2501" s="7" t="inlineStr"/>
      <c r="P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7" t="inlineStr">
        <is>
          <t>SEM COTAÇÃO</t>
        </is>
      </c>
      <c r="M2502" s="8" t="n"/>
      <c r="N2502" s="14" t="n"/>
      <c r="O2502" s="7" t="inlineStr"/>
      <c r="P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7" t="inlineStr">
        <is>
          <t>SEM COTAÇÃO</t>
        </is>
      </c>
      <c r="M2503" s="8" t="n"/>
      <c r="N2503" s="14" t="n"/>
      <c r="O2503" s="7" t="inlineStr"/>
      <c r="P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7" t="inlineStr">
        <is>
          <t>SEM COTAÇÃO</t>
        </is>
      </c>
      <c r="M2504" s="8" t="n"/>
      <c r="N2504" s="14" t="n"/>
      <c r="O2504" s="7" t="inlineStr"/>
      <c r="P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7" t="inlineStr">
        <is>
          <t>SEM COTAÇÃO</t>
        </is>
      </c>
      <c r="M2505" s="8" t="n"/>
      <c r="N2505" s="14" t="n"/>
      <c r="O2505" s="7" t="inlineStr"/>
      <c r="P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/>
      <c r="K2506" s="8" t="n"/>
      <c r="L2506" s="7" t="inlineStr">
        <is>
          <t>SEM COTAÇÃO</t>
        </is>
      </c>
      <c r="M2506" s="8" t="n"/>
      <c r="N2506" s="14" t="n"/>
      <c r="O2506" s="7" t="inlineStr"/>
      <c r="P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/>
      <c r="K2507" s="8" t="n"/>
      <c r="L2507" s="7" t="inlineStr">
        <is>
          <t>SEM COTAÇÃO</t>
        </is>
      </c>
      <c r="M2507" s="8" t="n"/>
      <c r="N2507" s="14" t="n"/>
      <c r="O2507" s="7" t="inlineStr"/>
      <c r="P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/>
      <c r="K2508" s="8" t="n"/>
      <c r="L2508" s="7" t="inlineStr">
        <is>
          <t>SEM COTAÇÃO</t>
        </is>
      </c>
      <c r="M2508" s="8" t="n"/>
      <c r="N2508" s="14" t="n"/>
      <c r="O2508" s="7" t="inlineStr"/>
      <c r="P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15" t="n">
        <v>8.73</v>
      </c>
      <c r="K2509" s="8" t="n"/>
      <c r="L2509" s="7" t="inlineStr">
        <is>
          <t>DIMEC</t>
        </is>
      </c>
      <c r="M2509" s="8" t="n">
        <v>8.73</v>
      </c>
      <c r="N2509" s="14">
        <f>M2509/H2509-1</f>
        <v/>
      </c>
      <c r="O2509" s="16" t="inlineStr">
        <is>
          <t>ACIMA +3.8%</t>
        </is>
      </c>
      <c r="P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/>
      <c r="K2510" s="8" t="n"/>
      <c r="L2510" s="7" t="inlineStr">
        <is>
          <t>SEM COTAÇÃO</t>
        </is>
      </c>
      <c r="M2510" s="8" t="n"/>
      <c r="N2510" s="14" t="n"/>
      <c r="O2510" s="7" t="inlineStr"/>
      <c r="P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/>
      <c r="K2511" s="8" t="n"/>
      <c r="L2511" s="7" t="inlineStr">
        <is>
          <t>SEM COTAÇÃO</t>
        </is>
      </c>
      <c r="M2511" s="8" t="n"/>
      <c r="N2511" s="14" t="n"/>
      <c r="O2511" s="7" t="inlineStr"/>
      <c r="P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/>
      <c r="K2512" s="8" t="n"/>
      <c r="L2512" s="7" t="inlineStr">
        <is>
          <t>SEM COTAÇÃO</t>
        </is>
      </c>
      <c r="M2512" s="8" t="n"/>
      <c r="N2512" s="14" t="n"/>
      <c r="O2512" s="7" t="inlineStr"/>
      <c r="P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/>
      <c r="K2513" s="8" t="n"/>
      <c r="L2513" s="7" t="inlineStr">
        <is>
          <t>SEM COTAÇÃO</t>
        </is>
      </c>
      <c r="M2513" s="8" t="n"/>
      <c r="N2513" s="14" t="n"/>
      <c r="O2513" s="7" t="inlineStr"/>
      <c r="P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/>
      <c r="K2514" s="8" t="n"/>
      <c r="L2514" s="7" t="inlineStr">
        <is>
          <t>SEM COTAÇÃO</t>
        </is>
      </c>
      <c r="M2514" s="8" t="n"/>
      <c r="N2514" s="14" t="n"/>
      <c r="O2514" s="7" t="inlineStr"/>
      <c r="P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/>
      <c r="K2515" s="8" t="n"/>
      <c r="L2515" s="7" t="inlineStr">
        <is>
          <t>SEM COTAÇÃO</t>
        </is>
      </c>
      <c r="M2515" s="8" t="n"/>
      <c r="N2515" s="14" t="n"/>
      <c r="O2515" s="7" t="inlineStr"/>
      <c r="P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/>
      <c r="K2516" s="8" t="n"/>
      <c r="L2516" s="7" t="inlineStr">
        <is>
          <t>SEM COTAÇÃO</t>
        </is>
      </c>
      <c r="M2516" s="8" t="n"/>
      <c r="N2516" s="14" t="n"/>
      <c r="O2516" s="7" t="inlineStr"/>
      <c r="P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/>
      <c r="K2517" s="8" t="n"/>
      <c r="L2517" s="7" t="inlineStr">
        <is>
          <t>SEM COTAÇÃO</t>
        </is>
      </c>
      <c r="M2517" s="8" t="n"/>
      <c r="N2517" s="14" t="n"/>
      <c r="O2517" s="7" t="inlineStr"/>
      <c r="P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/>
      <c r="K2518" s="8" t="n"/>
      <c r="L2518" s="7" t="inlineStr">
        <is>
          <t>SEM COTAÇÃO</t>
        </is>
      </c>
      <c r="M2518" s="8" t="n"/>
      <c r="N2518" s="14" t="n"/>
      <c r="O2518" s="7" t="inlineStr"/>
      <c r="P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/>
      <c r="K2519" s="8" t="n"/>
      <c r="L2519" s="7" t="inlineStr">
        <is>
          <t>SEM COTAÇÃO</t>
        </is>
      </c>
      <c r="M2519" s="8" t="n"/>
      <c r="N2519" s="14" t="n"/>
      <c r="O2519" s="7" t="inlineStr"/>
      <c r="P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/>
      <c r="K2520" s="8" t="n"/>
      <c r="L2520" s="7" t="inlineStr">
        <is>
          <t>SEM COTAÇÃO</t>
        </is>
      </c>
      <c r="M2520" s="8" t="n"/>
      <c r="N2520" s="14" t="n"/>
      <c r="O2520" s="7" t="inlineStr"/>
      <c r="P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/>
      <c r="K2521" s="8" t="n"/>
      <c r="L2521" s="7" t="inlineStr">
        <is>
          <t>SEM COTAÇÃO</t>
        </is>
      </c>
      <c r="M2521" s="8" t="n"/>
      <c r="N2521" s="14" t="n"/>
      <c r="O2521" s="7" t="inlineStr"/>
      <c r="P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/>
      <c r="K2522" s="8" t="n"/>
      <c r="L2522" s="7" t="inlineStr">
        <is>
          <t>SEM COTAÇÃO</t>
        </is>
      </c>
      <c r="M2522" s="8" t="n"/>
      <c r="N2522" s="14" t="n"/>
      <c r="O2522" s="7" t="inlineStr"/>
      <c r="P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/>
      <c r="K2523" s="8" t="n"/>
      <c r="L2523" s="7" t="inlineStr">
        <is>
          <t>SEM COTAÇÃO</t>
        </is>
      </c>
      <c r="M2523" s="8" t="n"/>
      <c r="N2523" s="14" t="n"/>
      <c r="O2523" s="7" t="inlineStr"/>
      <c r="P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/>
      <c r="K2524" s="8" t="n"/>
      <c r="L2524" s="7" t="inlineStr">
        <is>
          <t>SEM COTAÇÃO</t>
        </is>
      </c>
      <c r="M2524" s="8" t="n"/>
      <c r="N2524" s="14" t="n"/>
      <c r="O2524" s="7" t="inlineStr"/>
      <c r="P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/>
      <c r="K2525" s="8" t="n"/>
      <c r="L2525" s="7" t="inlineStr">
        <is>
          <t>SEM COTAÇÃO</t>
        </is>
      </c>
      <c r="M2525" s="8" t="n"/>
      <c r="N2525" s="14" t="n"/>
      <c r="O2525" s="7" t="inlineStr"/>
      <c r="P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/>
      <c r="K2526" s="8" t="n"/>
      <c r="L2526" s="7" t="inlineStr">
        <is>
          <t>SEM COTAÇÃO</t>
        </is>
      </c>
      <c r="M2526" s="8" t="n"/>
      <c r="N2526" s="14" t="n"/>
      <c r="O2526" s="7" t="inlineStr"/>
      <c r="P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/>
      <c r="K2527" s="8" t="n"/>
      <c r="L2527" s="7" t="inlineStr">
        <is>
          <t>SEM COTAÇÃO</t>
        </is>
      </c>
      <c r="M2527" s="8" t="n"/>
      <c r="N2527" s="14" t="n"/>
      <c r="O2527" s="7" t="inlineStr"/>
      <c r="P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/>
      <c r="K2528" s="8" t="n"/>
      <c r="L2528" s="7" t="inlineStr">
        <is>
          <t>SEM COTAÇÃO</t>
        </is>
      </c>
      <c r="M2528" s="8" t="n"/>
      <c r="N2528" s="14" t="n"/>
      <c r="O2528" s="7" t="inlineStr"/>
      <c r="P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/>
      <c r="K2529" s="8" t="n"/>
      <c r="L2529" s="7" t="inlineStr">
        <is>
          <t>SEM COTAÇÃO</t>
        </is>
      </c>
      <c r="M2529" s="8" t="n"/>
      <c r="N2529" s="14" t="n"/>
      <c r="O2529" s="7" t="inlineStr"/>
      <c r="P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/>
      <c r="K2530" s="8" t="n"/>
      <c r="L2530" s="7" t="inlineStr">
        <is>
          <t>SEM COTAÇÃO</t>
        </is>
      </c>
      <c r="M2530" s="8" t="n"/>
      <c r="N2530" s="14" t="n"/>
      <c r="O2530" s="7" t="inlineStr"/>
      <c r="P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7" t="inlineStr">
        <is>
          <t>SEM COTAÇÃO</t>
        </is>
      </c>
      <c r="M2531" s="8" t="n"/>
      <c r="N2531" s="14" t="n"/>
      <c r="O2531" s="7" t="inlineStr"/>
      <c r="P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/>
      <c r="K2532" s="8" t="n"/>
      <c r="L2532" s="7" t="inlineStr">
        <is>
          <t>SEM COTAÇÃO</t>
        </is>
      </c>
      <c r="M2532" s="8" t="n"/>
      <c r="N2532" s="14" t="n"/>
      <c r="O2532" s="7" t="inlineStr"/>
      <c r="P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/>
      <c r="K2533" s="8" t="n"/>
      <c r="L2533" s="7" t="inlineStr">
        <is>
          <t>SEM COTAÇÃO</t>
        </is>
      </c>
      <c r="M2533" s="8" t="n"/>
      <c r="N2533" s="14" t="n"/>
      <c r="O2533" s="7" t="inlineStr"/>
      <c r="P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7" t="inlineStr">
        <is>
          <t>SEM COTAÇÃO</t>
        </is>
      </c>
      <c r="M2534" s="8" t="n"/>
      <c r="N2534" s="14" t="n"/>
      <c r="O2534" s="7" t="inlineStr"/>
      <c r="P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/>
      <c r="K2535" s="8" t="n"/>
      <c r="L2535" s="7" t="inlineStr">
        <is>
          <t>SEM COTAÇÃO</t>
        </is>
      </c>
      <c r="M2535" s="8" t="n"/>
      <c r="N2535" s="14" t="n"/>
      <c r="O2535" s="7" t="inlineStr"/>
      <c r="P2535" s="7" t="inlineStr"/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/>
      <c r="K2536" s="8" t="n"/>
      <c r="L2536" s="7" t="inlineStr">
        <is>
          <t>SEM COTAÇÃO</t>
        </is>
      </c>
      <c r="M2536" s="8" t="n"/>
      <c r="N2536" s="14" t="n"/>
      <c r="O2536" s="7" t="inlineStr"/>
      <c r="P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/>
      <c r="K2537" s="8" t="n"/>
      <c r="L2537" s="7" t="inlineStr">
        <is>
          <t>SEM COTAÇÃO</t>
        </is>
      </c>
      <c r="M2537" s="8" t="n"/>
      <c r="N2537" s="14" t="n"/>
      <c r="O2537" s="7" t="inlineStr"/>
      <c r="P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/>
      <c r="K2538" s="8" t="n"/>
      <c r="L2538" s="7" t="inlineStr">
        <is>
          <t>SEM COTAÇÃO</t>
        </is>
      </c>
      <c r="M2538" s="8" t="n"/>
      <c r="N2538" s="14" t="n"/>
      <c r="O2538" s="7" t="inlineStr"/>
      <c r="P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/>
      <c r="K2539" s="8" t="n"/>
      <c r="L2539" s="7" t="inlineStr">
        <is>
          <t>SEM COTAÇÃO</t>
        </is>
      </c>
      <c r="M2539" s="8" t="n"/>
      <c r="N2539" s="14" t="n"/>
      <c r="O2539" s="7" t="inlineStr"/>
      <c r="P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/>
      <c r="K2540" s="8" t="n"/>
      <c r="L2540" s="7" t="inlineStr">
        <is>
          <t>SEM COTAÇÃO</t>
        </is>
      </c>
      <c r="M2540" s="8" t="n"/>
      <c r="N2540" s="14" t="n"/>
      <c r="O2540" s="7" t="inlineStr"/>
      <c r="P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/>
      <c r="K2541" s="8" t="n"/>
      <c r="L2541" s="7" t="inlineStr">
        <is>
          <t>SEM COTAÇÃO</t>
        </is>
      </c>
      <c r="M2541" s="8" t="n"/>
      <c r="N2541" s="14" t="n"/>
      <c r="O2541" s="7" t="inlineStr"/>
      <c r="P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/>
      <c r="K2542" s="8" t="n"/>
      <c r="L2542" s="7" t="inlineStr">
        <is>
          <t>SEM COTAÇÃO</t>
        </is>
      </c>
      <c r="M2542" s="8" t="n"/>
      <c r="N2542" s="14" t="n"/>
      <c r="O2542" s="7" t="inlineStr"/>
      <c r="P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/>
      <c r="K2543" s="8" t="n"/>
      <c r="L2543" s="7" t="inlineStr">
        <is>
          <t>SEM COTAÇÃO</t>
        </is>
      </c>
      <c r="M2543" s="8" t="n"/>
      <c r="N2543" s="14" t="n"/>
      <c r="O2543" s="7" t="inlineStr"/>
      <c r="P2543" s="7" t="inlineStr"/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/>
      <c r="K2544" s="8" t="n"/>
      <c r="L2544" s="7" t="inlineStr">
        <is>
          <t>SEM COTAÇÃO</t>
        </is>
      </c>
      <c r="M2544" s="8" t="n"/>
      <c r="N2544" s="14" t="n"/>
      <c r="O2544" s="7" t="inlineStr"/>
      <c r="P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/>
      <c r="K2545" s="8" t="n"/>
      <c r="L2545" s="7" t="inlineStr">
        <is>
          <t>SEM COTAÇÃO</t>
        </is>
      </c>
      <c r="M2545" s="8" t="n"/>
      <c r="N2545" s="14" t="n"/>
      <c r="O2545" s="7" t="inlineStr"/>
      <c r="P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/>
      <c r="K2546" s="8" t="n"/>
      <c r="L2546" s="7" t="inlineStr">
        <is>
          <t>SEM COTAÇÃO</t>
        </is>
      </c>
      <c r="M2546" s="8" t="n"/>
      <c r="N2546" s="14" t="n"/>
      <c r="O2546" s="7" t="inlineStr"/>
      <c r="P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/>
      <c r="K2547" s="8" t="n"/>
      <c r="L2547" s="7" t="inlineStr">
        <is>
          <t>SEM COTAÇÃO</t>
        </is>
      </c>
      <c r="M2547" s="8" t="n"/>
      <c r="N2547" s="14" t="n"/>
      <c r="O2547" s="7" t="inlineStr"/>
      <c r="P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/>
      <c r="K2548" s="8" t="n"/>
      <c r="L2548" s="7" t="inlineStr">
        <is>
          <t>SEM COTAÇÃO</t>
        </is>
      </c>
      <c r="M2548" s="8" t="n"/>
      <c r="N2548" s="14" t="n"/>
      <c r="O2548" s="7" t="inlineStr"/>
      <c r="P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7" t="inlineStr">
        <is>
          <t>SEM COTAÇÃO</t>
        </is>
      </c>
      <c r="M2549" s="8" t="n"/>
      <c r="N2549" s="14" t="n"/>
      <c r="O2549" s="7" t="inlineStr"/>
      <c r="P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7" t="inlineStr">
        <is>
          <t>SEM COTAÇÃO</t>
        </is>
      </c>
      <c r="M2550" s="8" t="n"/>
      <c r="N2550" s="14" t="n"/>
      <c r="O2550" s="7" t="inlineStr"/>
      <c r="P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/>
      <c r="K2551" s="8" t="n"/>
      <c r="L2551" s="7" t="inlineStr">
        <is>
          <t>SEM COTAÇÃO</t>
        </is>
      </c>
      <c r="M2551" s="8" t="n"/>
      <c r="N2551" s="14" t="n"/>
      <c r="O2551" s="7" t="inlineStr"/>
      <c r="P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/>
      <c r="K2552" s="8" t="n"/>
      <c r="L2552" s="7" t="inlineStr">
        <is>
          <t>SEM COTAÇÃO</t>
        </is>
      </c>
      <c r="M2552" s="8" t="n"/>
      <c r="N2552" s="14" t="n"/>
      <c r="O2552" s="7" t="inlineStr"/>
      <c r="P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/>
      <c r="K2553" s="8" t="n"/>
      <c r="L2553" s="7" t="inlineStr">
        <is>
          <t>SEM COTAÇÃO</t>
        </is>
      </c>
      <c r="M2553" s="8" t="n"/>
      <c r="N2553" s="14" t="n"/>
      <c r="O2553" s="7" t="inlineStr"/>
      <c r="P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/>
      <c r="K2554" s="8" t="n"/>
      <c r="L2554" s="7" t="inlineStr">
        <is>
          <t>SEM COTAÇÃO</t>
        </is>
      </c>
      <c r="M2554" s="8" t="n"/>
      <c r="N2554" s="14" t="n"/>
      <c r="O2554" s="7" t="inlineStr"/>
      <c r="P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/>
      <c r="K2555" s="8" t="n"/>
      <c r="L2555" s="7" t="inlineStr">
        <is>
          <t>SEM COTAÇÃO</t>
        </is>
      </c>
      <c r="M2555" s="8" t="n"/>
      <c r="N2555" s="14" t="n"/>
      <c r="O2555" s="7" t="inlineStr"/>
      <c r="P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/>
      <c r="K2556" s="8" t="n"/>
      <c r="L2556" s="7" t="inlineStr">
        <is>
          <t>SEM COTAÇÃO</t>
        </is>
      </c>
      <c r="M2556" s="8" t="n"/>
      <c r="N2556" s="14" t="n"/>
      <c r="O2556" s="7" t="inlineStr"/>
      <c r="P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/>
      <c r="K2557" s="8" t="n"/>
      <c r="L2557" s="7" t="inlineStr">
        <is>
          <t>SEM COTAÇÃO</t>
        </is>
      </c>
      <c r="M2557" s="8" t="n"/>
      <c r="N2557" s="14" t="n"/>
      <c r="O2557" s="7" t="inlineStr"/>
      <c r="P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/>
      <c r="K2558" s="8" t="n"/>
      <c r="L2558" s="7" t="inlineStr">
        <is>
          <t>SEM COTAÇÃO</t>
        </is>
      </c>
      <c r="M2558" s="8" t="n"/>
      <c r="N2558" s="14" t="n"/>
      <c r="O2558" s="7" t="inlineStr"/>
      <c r="P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7" t="inlineStr">
        <is>
          <t>SEM COTAÇÃO</t>
        </is>
      </c>
      <c r="M2559" s="8" t="n"/>
      <c r="N2559" s="14" t="n"/>
      <c r="O2559" s="7" t="inlineStr"/>
      <c r="P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7" t="inlineStr">
        <is>
          <t>SEM COTAÇÃO</t>
        </is>
      </c>
      <c r="M2560" s="8" t="n"/>
      <c r="N2560" s="14" t="n"/>
      <c r="O2560" s="7" t="inlineStr"/>
      <c r="P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/>
      <c r="K2561" s="8" t="n"/>
      <c r="L2561" s="7" t="inlineStr">
        <is>
          <t>SEM COTAÇÃO</t>
        </is>
      </c>
      <c r="M2561" s="8" t="n"/>
      <c r="N2561" s="14" t="n"/>
      <c r="O2561" s="7" t="inlineStr"/>
      <c r="P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/>
      <c r="K2562" s="8" t="n"/>
      <c r="L2562" s="7" t="inlineStr">
        <is>
          <t>SEM COTAÇÃO</t>
        </is>
      </c>
      <c r="M2562" s="8" t="n"/>
      <c r="N2562" s="14" t="n"/>
      <c r="O2562" s="7" t="inlineStr"/>
      <c r="P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15" t="n">
        <v>1.03</v>
      </c>
      <c r="K2563" s="8" t="n"/>
      <c r="L2563" s="7" t="inlineStr">
        <is>
          <t>DIMEC</t>
        </is>
      </c>
      <c r="M2563" s="8" t="n">
        <v>1.03</v>
      </c>
      <c r="N2563" s="14">
        <f>M2563/H2563-1</f>
        <v/>
      </c>
      <c r="O2563" s="16" t="inlineStr">
        <is>
          <t>ACIMA +15.7%</t>
        </is>
      </c>
      <c r="P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/>
      <c r="K2564" s="8" t="n"/>
      <c r="L2564" s="7" t="inlineStr">
        <is>
          <t>SEM COTAÇÃO</t>
        </is>
      </c>
      <c r="M2564" s="8" t="n"/>
      <c r="N2564" s="14" t="n"/>
      <c r="O2564" s="7" t="inlineStr"/>
      <c r="P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7" t="inlineStr">
        <is>
          <t>SEM COTAÇÃO</t>
        </is>
      </c>
      <c r="M2565" s="8" t="n"/>
      <c r="N2565" s="14" t="n"/>
      <c r="O2565" s="7" t="inlineStr"/>
      <c r="P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/>
      <c r="K2566" s="8" t="n"/>
      <c r="L2566" s="7" t="inlineStr">
        <is>
          <t>SEM COTAÇÃO</t>
        </is>
      </c>
      <c r="M2566" s="8" t="n"/>
      <c r="N2566" s="14" t="n"/>
      <c r="O2566" s="7" t="inlineStr"/>
      <c r="P2566" s="7" t="inlineStr"/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/>
      <c r="K2567" s="8" t="n"/>
      <c r="L2567" s="7" t="inlineStr">
        <is>
          <t>SEM COTAÇÃO</t>
        </is>
      </c>
      <c r="M2567" s="8" t="n"/>
      <c r="N2567" s="14" t="n"/>
      <c r="O2567" s="7" t="inlineStr"/>
      <c r="P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/>
      <c r="K2568" s="8" t="n"/>
      <c r="L2568" s="7" t="inlineStr">
        <is>
          <t>SEM COTAÇÃO</t>
        </is>
      </c>
      <c r="M2568" s="8" t="n"/>
      <c r="N2568" s="14" t="n"/>
      <c r="O2568" s="7" t="inlineStr"/>
      <c r="P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/>
      <c r="K2569" s="8" t="n"/>
      <c r="L2569" s="7" t="inlineStr">
        <is>
          <t>SEM COTAÇÃO</t>
        </is>
      </c>
      <c r="M2569" s="8" t="n"/>
      <c r="N2569" s="14" t="n"/>
      <c r="O2569" s="7" t="inlineStr"/>
      <c r="P2569" s="7" t="inlineStr"/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/>
      <c r="K2570" s="8" t="n"/>
      <c r="L2570" s="7" t="inlineStr">
        <is>
          <t>SEM COTAÇÃO</t>
        </is>
      </c>
      <c r="M2570" s="8" t="n"/>
      <c r="N2570" s="14" t="n"/>
      <c r="O2570" s="7" t="inlineStr"/>
      <c r="P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/>
      <c r="K2571" s="8" t="n"/>
      <c r="L2571" s="7" t="inlineStr">
        <is>
          <t>SEM COTAÇÃO</t>
        </is>
      </c>
      <c r="M2571" s="8" t="n"/>
      <c r="N2571" s="14" t="n"/>
      <c r="O2571" s="7" t="inlineStr"/>
      <c r="P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/>
      <c r="K2572" s="8" t="n"/>
      <c r="L2572" s="7" t="inlineStr">
        <is>
          <t>SEM COTAÇÃO</t>
        </is>
      </c>
      <c r="M2572" s="8" t="n"/>
      <c r="N2572" s="14" t="n"/>
      <c r="O2572" s="7" t="inlineStr"/>
      <c r="P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/>
      <c r="K2573" s="8" t="n"/>
      <c r="L2573" s="7" t="inlineStr">
        <is>
          <t>SEM COTAÇÃO</t>
        </is>
      </c>
      <c r="M2573" s="8" t="n"/>
      <c r="N2573" s="14" t="n"/>
      <c r="O2573" s="7" t="inlineStr"/>
      <c r="P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/>
      <c r="K2574" s="8" t="n"/>
      <c r="L2574" s="7" t="inlineStr">
        <is>
          <t>SEM COTAÇÃO</t>
        </is>
      </c>
      <c r="M2574" s="8" t="n"/>
      <c r="N2574" s="14" t="n"/>
      <c r="O2574" s="7" t="inlineStr"/>
      <c r="P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/>
      <c r="K2575" s="8" t="n"/>
      <c r="L2575" s="7" t="inlineStr">
        <is>
          <t>SEM COTAÇÃO</t>
        </is>
      </c>
      <c r="M2575" s="8" t="n"/>
      <c r="N2575" s="14" t="n"/>
      <c r="O2575" s="7" t="inlineStr"/>
      <c r="P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/>
      <c r="K2576" s="8" t="n"/>
      <c r="L2576" s="7" t="inlineStr">
        <is>
          <t>SEM COTAÇÃO</t>
        </is>
      </c>
      <c r="M2576" s="8" t="n"/>
      <c r="N2576" s="14" t="n"/>
      <c r="O2576" s="7" t="inlineStr"/>
      <c r="P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/>
      <c r="K2577" s="8" t="n"/>
      <c r="L2577" s="7" t="inlineStr">
        <is>
          <t>SEM COTAÇÃO</t>
        </is>
      </c>
      <c r="M2577" s="8" t="n"/>
      <c r="N2577" s="14" t="n"/>
      <c r="O2577" s="7" t="inlineStr"/>
      <c r="P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/>
      <c r="K2578" s="8" t="n"/>
      <c r="L2578" s="7" t="inlineStr">
        <is>
          <t>SEM COTAÇÃO</t>
        </is>
      </c>
      <c r="M2578" s="8" t="n"/>
      <c r="N2578" s="14" t="n"/>
      <c r="O2578" s="7" t="inlineStr"/>
      <c r="P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/>
      <c r="K2579" s="8" t="n"/>
      <c r="L2579" s="7" t="inlineStr">
        <is>
          <t>SEM COTAÇÃO</t>
        </is>
      </c>
      <c r="M2579" s="8" t="n"/>
      <c r="N2579" s="14" t="n"/>
      <c r="O2579" s="7" t="inlineStr"/>
      <c r="P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/>
      <c r="K2580" s="8" t="n"/>
      <c r="L2580" s="7" t="inlineStr">
        <is>
          <t>SEM COTAÇÃO</t>
        </is>
      </c>
      <c r="M2580" s="8" t="n"/>
      <c r="N2580" s="14" t="n"/>
      <c r="O2580" s="7" t="inlineStr"/>
      <c r="P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/>
      <c r="K2581" s="8" t="n"/>
      <c r="L2581" s="7" t="inlineStr">
        <is>
          <t>SEM COTAÇÃO</t>
        </is>
      </c>
      <c r="M2581" s="8" t="n"/>
      <c r="N2581" s="14" t="n"/>
      <c r="O2581" s="7" t="inlineStr"/>
      <c r="P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/>
      <c r="K2582" s="8" t="n"/>
      <c r="L2582" s="7" t="inlineStr">
        <is>
          <t>SEM COTAÇÃO</t>
        </is>
      </c>
      <c r="M2582" s="8" t="n"/>
      <c r="N2582" s="14" t="n"/>
      <c r="O2582" s="7" t="inlineStr"/>
      <c r="P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/>
      <c r="K2583" s="8" t="n"/>
      <c r="L2583" s="7" t="inlineStr">
        <is>
          <t>SEM COTAÇÃO</t>
        </is>
      </c>
      <c r="M2583" s="8" t="n"/>
      <c r="N2583" s="14" t="n"/>
      <c r="O2583" s="7" t="inlineStr"/>
      <c r="P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/>
      <c r="K2584" s="8" t="n"/>
      <c r="L2584" s="7" t="inlineStr">
        <is>
          <t>SEM COTAÇÃO</t>
        </is>
      </c>
      <c r="M2584" s="8" t="n"/>
      <c r="N2584" s="14" t="n"/>
      <c r="O2584" s="7" t="inlineStr"/>
      <c r="P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/>
      <c r="K2585" s="8" t="n"/>
      <c r="L2585" s="7" t="inlineStr">
        <is>
          <t>SEM COTAÇÃO</t>
        </is>
      </c>
      <c r="M2585" s="8" t="n"/>
      <c r="N2585" s="14" t="n"/>
      <c r="O2585" s="7" t="inlineStr"/>
      <c r="P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/>
      <c r="K2586" s="8" t="n"/>
      <c r="L2586" s="7" t="inlineStr">
        <is>
          <t>SEM COTAÇÃO</t>
        </is>
      </c>
      <c r="M2586" s="8" t="n"/>
      <c r="N2586" s="14" t="n"/>
      <c r="O2586" s="7" t="inlineStr"/>
      <c r="P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/>
      <c r="K2587" s="8" t="n"/>
      <c r="L2587" s="7" t="inlineStr">
        <is>
          <t>SEM COTAÇÃO</t>
        </is>
      </c>
      <c r="M2587" s="8" t="n"/>
      <c r="N2587" s="14" t="n"/>
      <c r="O2587" s="7" t="inlineStr"/>
      <c r="P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/>
      <c r="K2588" s="8" t="n"/>
      <c r="L2588" s="7" t="inlineStr">
        <is>
          <t>SEM COTAÇÃO</t>
        </is>
      </c>
      <c r="M2588" s="8" t="n"/>
      <c r="N2588" s="14" t="n"/>
      <c r="O2588" s="7" t="inlineStr"/>
      <c r="P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/>
      <c r="K2589" s="8" t="n"/>
      <c r="L2589" s="7" t="inlineStr">
        <is>
          <t>SEM COTAÇÃO</t>
        </is>
      </c>
      <c r="M2589" s="8" t="n"/>
      <c r="N2589" s="14" t="n"/>
      <c r="O2589" s="7" t="inlineStr"/>
      <c r="P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/>
      <c r="K2590" s="8" t="n"/>
      <c r="L2590" s="7" t="inlineStr">
        <is>
          <t>SEM COTAÇÃO</t>
        </is>
      </c>
      <c r="M2590" s="8" t="n"/>
      <c r="N2590" s="14" t="n"/>
      <c r="O2590" s="7" t="inlineStr"/>
      <c r="P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/>
      <c r="K2591" s="8" t="n"/>
      <c r="L2591" s="7" t="inlineStr">
        <is>
          <t>SEM COTAÇÃO</t>
        </is>
      </c>
      <c r="M2591" s="8" t="n"/>
      <c r="N2591" s="14" t="n"/>
      <c r="O2591" s="7" t="inlineStr"/>
      <c r="P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/>
      <c r="K2592" s="8" t="n"/>
      <c r="L2592" s="7" t="inlineStr">
        <is>
          <t>SEM COTAÇÃO</t>
        </is>
      </c>
      <c r="M2592" s="8" t="n"/>
      <c r="N2592" s="14" t="n"/>
      <c r="O2592" s="7" t="inlineStr"/>
      <c r="P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/>
      <c r="K2593" s="8" t="n"/>
      <c r="L2593" s="7" t="inlineStr">
        <is>
          <t>SEM COTAÇÃO</t>
        </is>
      </c>
      <c r="M2593" s="8" t="n"/>
      <c r="N2593" s="14" t="n"/>
      <c r="O2593" s="7" t="inlineStr"/>
      <c r="P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/>
      <c r="K2594" s="8" t="n"/>
      <c r="L2594" s="7" t="inlineStr">
        <is>
          <t>SEM COTAÇÃO</t>
        </is>
      </c>
      <c r="M2594" s="8" t="n"/>
      <c r="N2594" s="14" t="n"/>
      <c r="O2594" s="7" t="inlineStr"/>
      <c r="P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/>
      <c r="K2595" s="8" t="n"/>
      <c r="L2595" s="7" t="inlineStr">
        <is>
          <t>SEM COTAÇÃO</t>
        </is>
      </c>
      <c r="M2595" s="8" t="n"/>
      <c r="N2595" s="14" t="n"/>
      <c r="O2595" s="7" t="inlineStr"/>
      <c r="P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/>
      <c r="K2596" s="8" t="n"/>
      <c r="L2596" s="7" t="inlineStr">
        <is>
          <t>SEM COTAÇÃO</t>
        </is>
      </c>
      <c r="M2596" s="8" t="n"/>
      <c r="N2596" s="14" t="n"/>
      <c r="O2596" s="7" t="inlineStr"/>
      <c r="P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/>
      <c r="K2597" s="8" t="n"/>
      <c r="L2597" s="7" t="inlineStr">
        <is>
          <t>SEM COTAÇÃO</t>
        </is>
      </c>
      <c r="M2597" s="8" t="n"/>
      <c r="N2597" s="14" t="n"/>
      <c r="O2597" s="7" t="inlineStr"/>
      <c r="P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/>
      <c r="K2598" s="8" t="n"/>
      <c r="L2598" s="7" t="inlineStr">
        <is>
          <t>SEM COTAÇÃO</t>
        </is>
      </c>
      <c r="M2598" s="8" t="n"/>
      <c r="N2598" s="14" t="n"/>
      <c r="O2598" s="7" t="inlineStr"/>
      <c r="P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/>
      <c r="K2599" s="8" t="n"/>
      <c r="L2599" s="7" t="inlineStr">
        <is>
          <t>SEM COTAÇÃO</t>
        </is>
      </c>
      <c r="M2599" s="8" t="n"/>
      <c r="N2599" s="14" t="n"/>
      <c r="O2599" s="7" t="inlineStr"/>
      <c r="P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/>
      <c r="K2600" s="8" t="n"/>
      <c r="L2600" s="7" t="inlineStr">
        <is>
          <t>SEM COTAÇÃO</t>
        </is>
      </c>
      <c r="M2600" s="8" t="n"/>
      <c r="N2600" s="14" t="n"/>
      <c r="O2600" s="7" t="inlineStr"/>
      <c r="P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/>
      <c r="K2601" s="8" t="n"/>
      <c r="L2601" s="7" t="inlineStr">
        <is>
          <t>SEM COTAÇÃO</t>
        </is>
      </c>
      <c r="M2601" s="8" t="n"/>
      <c r="N2601" s="14" t="n"/>
      <c r="O2601" s="7" t="inlineStr"/>
      <c r="P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/>
      <c r="K2602" s="8" t="n"/>
      <c r="L2602" s="7" t="inlineStr">
        <is>
          <t>SEM COTAÇÃO</t>
        </is>
      </c>
      <c r="M2602" s="8" t="n"/>
      <c r="N2602" s="14" t="n"/>
      <c r="O2602" s="7" t="inlineStr"/>
      <c r="P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/>
      <c r="K2603" s="8" t="n"/>
      <c r="L2603" s="7" t="inlineStr">
        <is>
          <t>SEM COTAÇÃO</t>
        </is>
      </c>
      <c r="M2603" s="8" t="n"/>
      <c r="N2603" s="14" t="n"/>
      <c r="O2603" s="7" t="inlineStr"/>
      <c r="P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/>
      <c r="K2604" s="8" t="n"/>
      <c r="L2604" s="7" t="inlineStr">
        <is>
          <t>SEM COTAÇÃO</t>
        </is>
      </c>
      <c r="M2604" s="8" t="n"/>
      <c r="N2604" s="14" t="n"/>
      <c r="O2604" s="7" t="inlineStr"/>
      <c r="P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/>
      <c r="K2605" s="8" t="n"/>
      <c r="L2605" s="7" t="inlineStr">
        <is>
          <t>SEM COTAÇÃO</t>
        </is>
      </c>
      <c r="M2605" s="8" t="n"/>
      <c r="N2605" s="14" t="n"/>
      <c r="O2605" s="7" t="inlineStr"/>
      <c r="P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/>
      <c r="K2606" s="8" t="n"/>
      <c r="L2606" s="7" t="inlineStr">
        <is>
          <t>SEM COTAÇÃO</t>
        </is>
      </c>
      <c r="M2606" s="8" t="n"/>
      <c r="N2606" s="14" t="n"/>
      <c r="O2606" s="7" t="inlineStr"/>
      <c r="P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/>
      <c r="K2607" s="8" t="n"/>
      <c r="L2607" s="7" t="inlineStr">
        <is>
          <t>SEM COTAÇÃO</t>
        </is>
      </c>
      <c r="M2607" s="8" t="n"/>
      <c r="N2607" s="14" t="n"/>
      <c r="O2607" s="7" t="inlineStr"/>
      <c r="P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/>
      <c r="K2608" s="8" t="n"/>
      <c r="L2608" s="7" t="inlineStr">
        <is>
          <t>SEM COTAÇÃO</t>
        </is>
      </c>
      <c r="M2608" s="8" t="n"/>
      <c r="N2608" s="14" t="n"/>
      <c r="O2608" s="7" t="inlineStr"/>
      <c r="P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/>
      <c r="K2609" s="8" t="n"/>
      <c r="L2609" s="7" t="inlineStr">
        <is>
          <t>SEM COTAÇÃO</t>
        </is>
      </c>
      <c r="M2609" s="8" t="n"/>
      <c r="N2609" s="14" t="n"/>
      <c r="O2609" s="7" t="inlineStr"/>
      <c r="P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/>
      <c r="K2610" s="8" t="n"/>
      <c r="L2610" s="7" t="inlineStr">
        <is>
          <t>SEM COTAÇÃO</t>
        </is>
      </c>
      <c r="M2610" s="8" t="n"/>
      <c r="N2610" s="14" t="n"/>
      <c r="O2610" s="7" t="inlineStr"/>
      <c r="P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/>
      <c r="K2611" s="8" t="n"/>
      <c r="L2611" s="7" t="inlineStr">
        <is>
          <t>SEM COTAÇÃO</t>
        </is>
      </c>
      <c r="M2611" s="8" t="n"/>
      <c r="N2611" s="14" t="n"/>
      <c r="O2611" s="7" t="inlineStr"/>
      <c r="P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/>
      <c r="K2612" s="8" t="n"/>
      <c r="L2612" s="7" t="inlineStr">
        <is>
          <t>SEM COTAÇÃO</t>
        </is>
      </c>
      <c r="M2612" s="8" t="n"/>
      <c r="N2612" s="14" t="n"/>
      <c r="O2612" s="7" t="inlineStr"/>
      <c r="P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/>
      <c r="K2613" s="8" t="n"/>
      <c r="L2613" s="7" t="inlineStr">
        <is>
          <t>SEM COTAÇÃO</t>
        </is>
      </c>
      <c r="M2613" s="8" t="n"/>
      <c r="N2613" s="14" t="n"/>
      <c r="O2613" s="7" t="inlineStr"/>
      <c r="P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/>
      <c r="K2614" s="8" t="n"/>
      <c r="L2614" s="7" t="inlineStr">
        <is>
          <t>SEM COTAÇÃO</t>
        </is>
      </c>
      <c r="M2614" s="8" t="n"/>
      <c r="N2614" s="14" t="n"/>
      <c r="O2614" s="7" t="inlineStr"/>
      <c r="P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/>
      <c r="K2615" s="8" t="n"/>
      <c r="L2615" s="7" t="inlineStr">
        <is>
          <t>SEM COTAÇÃO</t>
        </is>
      </c>
      <c r="M2615" s="8" t="n"/>
      <c r="N2615" s="14" t="n"/>
      <c r="O2615" s="7" t="inlineStr"/>
      <c r="P2615" s="7" t="inlineStr"/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/>
      <c r="K2616" s="8" t="n"/>
      <c r="L2616" s="7" t="inlineStr">
        <is>
          <t>SEM COTAÇÃO</t>
        </is>
      </c>
      <c r="M2616" s="8" t="n"/>
      <c r="N2616" s="14" t="n"/>
      <c r="O2616" s="7" t="inlineStr"/>
      <c r="P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7" t="inlineStr">
        <is>
          <t>SEM COTAÇÃO</t>
        </is>
      </c>
      <c r="M2617" s="8" t="n"/>
      <c r="N2617" s="14" t="n"/>
      <c r="O2617" s="7" t="inlineStr"/>
      <c r="P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15" t="n">
        <v>8.82</v>
      </c>
      <c r="K2618" s="8" t="n"/>
      <c r="L2618" s="7" t="inlineStr">
        <is>
          <t>DIMEC</t>
        </is>
      </c>
      <c r="M2618" s="8" t="n">
        <v>8.82</v>
      </c>
      <c r="N2618" s="14">
        <f>M2618/H2618-1</f>
        <v/>
      </c>
      <c r="O2618" s="16" t="inlineStr">
        <is>
          <t>ACIMA +22.3%</t>
        </is>
      </c>
      <c r="P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/>
      <c r="K2619" s="8" t="n"/>
      <c r="L2619" s="7" t="inlineStr">
        <is>
          <t>SEM COTAÇÃO</t>
        </is>
      </c>
      <c r="M2619" s="8" t="n"/>
      <c r="N2619" s="14" t="n"/>
      <c r="O2619" s="7" t="inlineStr"/>
      <c r="P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/>
      <c r="K2620" s="8" t="n"/>
      <c r="L2620" s="7" t="inlineStr">
        <is>
          <t>SEM COTAÇÃO</t>
        </is>
      </c>
      <c r="M2620" s="8" t="n"/>
      <c r="N2620" s="14" t="n"/>
      <c r="O2620" s="7" t="inlineStr"/>
      <c r="P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/>
      <c r="K2621" s="8" t="n"/>
      <c r="L2621" s="7" t="inlineStr">
        <is>
          <t>SEM COTAÇÃO</t>
        </is>
      </c>
      <c r="M2621" s="8" t="n"/>
      <c r="N2621" s="14" t="n"/>
      <c r="O2621" s="7" t="inlineStr"/>
      <c r="P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/>
      <c r="K2622" s="8" t="n"/>
      <c r="L2622" s="7" t="inlineStr">
        <is>
          <t>SEM COTAÇÃO</t>
        </is>
      </c>
      <c r="M2622" s="8" t="n"/>
      <c r="N2622" s="14" t="n"/>
      <c r="O2622" s="7" t="inlineStr"/>
      <c r="P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/>
      <c r="K2623" s="8" t="n"/>
      <c r="L2623" s="7" t="inlineStr">
        <is>
          <t>SEM COTAÇÃO</t>
        </is>
      </c>
      <c r="M2623" s="8" t="n"/>
      <c r="N2623" s="14" t="n"/>
      <c r="O2623" s="7" t="inlineStr"/>
      <c r="P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/>
      <c r="K2624" s="8" t="n"/>
      <c r="L2624" s="7" t="inlineStr">
        <is>
          <t>SEM COTAÇÃO</t>
        </is>
      </c>
      <c r="M2624" s="8" t="n"/>
      <c r="N2624" s="14" t="n"/>
      <c r="O2624" s="7" t="inlineStr"/>
      <c r="P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/>
      <c r="K2625" s="8" t="n"/>
      <c r="L2625" s="7" t="inlineStr">
        <is>
          <t>SEM COTAÇÃO</t>
        </is>
      </c>
      <c r="M2625" s="8" t="n"/>
      <c r="N2625" s="14" t="n"/>
      <c r="O2625" s="7" t="inlineStr"/>
      <c r="P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/>
      <c r="K2626" s="8" t="n"/>
      <c r="L2626" s="7" t="inlineStr">
        <is>
          <t>SEM COTAÇÃO</t>
        </is>
      </c>
      <c r="M2626" s="8" t="n"/>
      <c r="N2626" s="14" t="n"/>
      <c r="O2626" s="7" t="inlineStr"/>
      <c r="P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/>
      <c r="K2627" s="8" t="n"/>
      <c r="L2627" s="7" t="inlineStr">
        <is>
          <t>SEM COTAÇÃO</t>
        </is>
      </c>
      <c r="M2627" s="8" t="n"/>
      <c r="N2627" s="14" t="n"/>
      <c r="O2627" s="7" t="inlineStr"/>
      <c r="P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/>
      <c r="K2628" s="8" t="n"/>
      <c r="L2628" s="7" t="inlineStr">
        <is>
          <t>SEM COTAÇÃO</t>
        </is>
      </c>
      <c r="M2628" s="8" t="n"/>
      <c r="N2628" s="14" t="n"/>
      <c r="O2628" s="7" t="inlineStr"/>
      <c r="P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/>
      <c r="K2629" s="8" t="n"/>
      <c r="L2629" s="7" t="inlineStr">
        <is>
          <t>SEM COTAÇÃO</t>
        </is>
      </c>
      <c r="M2629" s="8" t="n"/>
      <c r="N2629" s="14" t="n"/>
      <c r="O2629" s="7" t="inlineStr"/>
      <c r="P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/>
      <c r="K2630" s="8" t="n"/>
      <c r="L2630" s="7" t="inlineStr">
        <is>
          <t>SEM COTAÇÃO</t>
        </is>
      </c>
      <c r="M2630" s="8" t="n"/>
      <c r="N2630" s="14" t="n"/>
      <c r="O2630" s="7" t="inlineStr"/>
      <c r="P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/>
      <c r="K2631" s="8" t="n"/>
      <c r="L2631" s="7" t="inlineStr">
        <is>
          <t>SEM COTAÇÃO</t>
        </is>
      </c>
      <c r="M2631" s="8" t="n"/>
      <c r="N2631" s="14" t="n"/>
      <c r="O2631" s="7" t="inlineStr"/>
      <c r="P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/>
      <c r="K2632" s="8" t="n"/>
      <c r="L2632" s="7" t="inlineStr">
        <is>
          <t>SEM COTAÇÃO</t>
        </is>
      </c>
      <c r="M2632" s="8" t="n"/>
      <c r="N2632" s="14" t="n"/>
      <c r="O2632" s="7" t="inlineStr"/>
      <c r="P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/>
      <c r="K2633" s="8" t="n"/>
      <c r="L2633" s="7" t="inlineStr">
        <is>
          <t>SEM COTAÇÃO</t>
        </is>
      </c>
      <c r="M2633" s="8" t="n"/>
      <c r="N2633" s="14" t="n"/>
      <c r="O2633" s="7" t="inlineStr"/>
      <c r="P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/>
      <c r="K2634" s="8" t="n"/>
      <c r="L2634" s="7" t="inlineStr">
        <is>
          <t>SEM COTAÇÃO</t>
        </is>
      </c>
      <c r="M2634" s="8" t="n"/>
      <c r="N2634" s="14" t="n"/>
      <c r="O2634" s="7" t="inlineStr"/>
      <c r="P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/>
      <c r="K2635" s="8" t="n"/>
      <c r="L2635" s="7" t="inlineStr">
        <is>
          <t>SEM COTAÇÃO</t>
        </is>
      </c>
      <c r="M2635" s="8" t="n"/>
      <c r="N2635" s="14" t="n"/>
      <c r="O2635" s="7" t="inlineStr"/>
      <c r="P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/>
      <c r="K2636" s="8" t="n"/>
      <c r="L2636" s="7" t="inlineStr">
        <is>
          <t>SEM COTAÇÃO</t>
        </is>
      </c>
      <c r="M2636" s="8" t="n"/>
      <c r="N2636" s="14" t="n"/>
      <c r="O2636" s="7" t="inlineStr"/>
      <c r="P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/>
      <c r="K2637" s="8" t="n"/>
      <c r="L2637" s="7" t="inlineStr">
        <is>
          <t>SEM COTAÇÃO</t>
        </is>
      </c>
      <c r="M2637" s="8" t="n"/>
      <c r="N2637" s="14" t="n"/>
      <c r="O2637" s="7" t="inlineStr"/>
      <c r="P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/>
      <c r="K2638" s="8" t="n"/>
      <c r="L2638" s="7" t="inlineStr">
        <is>
          <t>SEM COTAÇÃO</t>
        </is>
      </c>
      <c r="M2638" s="8" t="n"/>
      <c r="N2638" s="14" t="n"/>
      <c r="O2638" s="7" t="inlineStr"/>
      <c r="P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/>
      <c r="K2639" s="8" t="n"/>
      <c r="L2639" s="7" t="inlineStr">
        <is>
          <t>SEM COTAÇÃO</t>
        </is>
      </c>
      <c r="M2639" s="8" t="n"/>
      <c r="N2639" s="14" t="n"/>
      <c r="O2639" s="7" t="inlineStr"/>
      <c r="P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/>
      <c r="K2640" s="8" t="n"/>
      <c r="L2640" s="7" t="inlineStr">
        <is>
          <t>SEM COTAÇÃO</t>
        </is>
      </c>
      <c r="M2640" s="8" t="n"/>
      <c r="N2640" s="14" t="n"/>
      <c r="O2640" s="7" t="inlineStr"/>
      <c r="P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/>
      <c r="K2641" s="8" t="n"/>
      <c r="L2641" s="7" t="inlineStr">
        <is>
          <t>SEM COTAÇÃO</t>
        </is>
      </c>
      <c r="M2641" s="8" t="n"/>
      <c r="N2641" s="14" t="n"/>
      <c r="O2641" s="7" t="inlineStr"/>
      <c r="P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/>
      <c r="K2642" s="8" t="n"/>
      <c r="L2642" s="7" t="inlineStr">
        <is>
          <t>SEM COTAÇÃO</t>
        </is>
      </c>
      <c r="M2642" s="8" t="n"/>
      <c r="N2642" s="14" t="n"/>
      <c r="O2642" s="7" t="inlineStr"/>
      <c r="P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/>
      <c r="K2643" s="8" t="n"/>
      <c r="L2643" s="7" t="inlineStr">
        <is>
          <t>SEM COTAÇÃO</t>
        </is>
      </c>
      <c r="M2643" s="8" t="n"/>
      <c r="N2643" s="14" t="n"/>
      <c r="O2643" s="7" t="inlineStr"/>
      <c r="P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/>
      <c r="K2644" s="8" t="n"/>
      <c r="L2644" s="7" t="inlineStr">
        <is>
          <t>SEM COTAÇÃO</t>
        </is>
      </c>
      <c r="M2644" s="8" t="n"/>
      <c r="N2644" s="14" t="n"/>
      <c r="O2644" s="7" t="inlineStr"/>
      <c r="P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/>
      <c r="K2645" s="8" t="n"/>
      <c r="L2645" s="7" t="inlineStr">
        <is>
          <t>SEM COTAÇÃO</t>
        </is>
      </c>
      <c r="M2645" s="8" t="n"/>
      <c r="N2645" s="14" t="n"/>
      <c r="O2645" s="7" t="inlineStr"/>
      <c r="P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/>
      <c r="K2646" s="8" t="n"/>
      <c r="L2646" s="7" t="inlineStr">
        <is>
          <t>SEM COTAÇÃO</t>
        </is>
      </c>
      <c r="M2646" s="8" t="n"/>
      <c r="N2646" s="14" t="n"/>
      <c r="O2646" s="7" t="inlineStr"/>
      <c r="P2646" s="7" t="inlineStr"/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/>
      <c r="K2647" s="8" t="n"/>
      <c r="L2647" s="7" t="inlineStr">
        <is>
          <t>SEM COTAÇÃO</t>
        </is>
      </c>
      <c r="M2647" s="8" t="n"/>
      <c r="N2647" s="14" t="n"/>
      <c r="O2647" s="7" t="inlineStr"/>
      <c r="P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/>
      <c r="K2648" s="8" t="n"/>
      <c r="L2648" s="7" t="inlineStr">
        <is>
          <t>SEM COTAÇÃO</t>
        </is>
      </c>
      <c r="M2648" s="8" t="n"/>
      <c r="N2648" s="14" t="n"/>
      <c r="O2648" s="7" t="inlineStr"/>
      <c r="P2648" s="7" t="inlineStr"/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/>
      <c r="K2649" s="8" t="n"/>
      <c r="L2649" s="7" t="inlineStr">
        <is>
          <t>SEM COTAÇÃO</t>
        </is>
      </c>
      <c r="M2649" s="8" t="n"/>
      <c r="N2649" s="14" t="n"/>
      <c r="O2649" s="7" t="inlineStr"/>
      <c r="P2649" s="7" t="inlineStr"/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/>
      <c r="K2650" s="8" t="n"/>
      <c r="L2650" s="7" t="inlineStr">
        <is>
          <t>SEM COTAÇÃO</t>
        </is>
      </c>
      <c r="M2650" s="8" t="n"/>
      <c r="N2650" s="14" t="n"/>
      <c r="O2650" s="7" t="inlineStr"/>
      <c r="P2650" s="7" t="inlineStr"/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/>
      <c r="K2651" s="8" t="n"/>
      <c r="L2651" s="7" t="inlineStr">
        <is>
          <t>SEM COTAÇÃO</t>
        </is>
      </c>
      <c r="M2651" s="8" t="n"/>
      <c r="N2651" s="14" t="n"/>
      <c r="O2651" s="7" t="inlineStr"/>
      <c r="P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/>
      <c r="K2652" s="8" t="n"/>
      <c r="L2652" s="7" t="inlineStr">
        <is>
          <t>SEM COTAÇÃO</t>
        </is>
      </c>
      <c r="M2652" s="8" t="n"/>
      <c r="N2652" s="14" t="n"/>
      <c r="O2652" s="7" t="inlineStr"/>
      <c r="P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/>
      <c r="K2653" s="8" t="n"/>
      <c r="L2653" s="7" t="inlineStr">
        <is>
          <t>SEM COTAÇÃO</t>
        </is>
      </c>
      <c r="M2653" s="8" t="n"/>
      <c r="N2653" s="14" t="n"/>
      <c r="O2653" s="7" t="inlineStr"/>
      <c r="P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7" t="inlineStr">
        <is>
          <t>SEM COTAÇÃO</t>
        </is>
      </c>
      <c r="M2654" s="8" t="n"/>
      <c r="N2654" s="14" t="n"/>
      <c r="O2654" s="7" t="inlineStr"/>
      <c r="P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/>
      <c r="K2655" s="8" t="n"/>
      <c r="L2655" s="7" t="inlineStr">
        <is>
          <t>SEM COTAÇÃO</t>
        </is>
      </c>
      <c r="M2655" s="8" t="n"/>
      <c r="N2655" s="14" t="n"/>
      <c r="O2655" s="7" t="inlineStr"/>
      <c r="P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/>
      <c r="K2656" s="8" t="n"/>
      <c r="L2656" s="7" t="inlineStr">
        <is>
          <t>SEM COTAÇÃO</t>
        </is>
      </c>
      <c r="M2656" s="8" t="n"/>
      <c r="N2656" s="14" t="n"/>
      <c r="O2656" s="7" t="inlineStr"/>
      <c r="P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/>
      <c r="K2657" s="8" t="n"/>
      <c r="L2657" s="7" t="inlineStr">
        <is>
          <t>SEM COTAÇÃO</t>
        </is>
      </c>
      <c r="M2657" s="8" t="n"/>
      <c r="N2657" s="14" t="n"/>
      <c r="O2657" s="7" t="inlineStr"/>
      <c r="P2657" s="7" t="inlineStr"/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/>
      <c r="K2658" s="8" t="n"/>
      <c r="L2658" s="7" t="inlineStr">
        <is>
          <t>SEM COTAÇÃO</t>
        </is>
      </c>
      <c r="M2658" s="8" t="n"/>
      <c r="N2658" s="14" t="n"/>
      <c r="O2658" s="7" t="inlineStr"/>
      <c r="P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15" t="n">
        <v>11.49</v>
      </c>
      <c r="K2659" s="8" t="n"/>
      <c r="L2659" s="7" t="inlineStr">
        <is>
          <t>DIMEC</t>
        </is>
      </c>
      <c r="M2659" s="8" t="n">
        <v>11.49</v>
      </c>
      <c r="N2659" s="14">
        <f>M2659/H2659-1</f>
        <v/>
      </c>
      <c r="O2659" s="17" t="inlineStr">
        <is>
          <t>OK (≤ menor hist.)</t>
        </is>
      </c>
      <c r="P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/>
      <c r="K2660" s="8" t="n"/>
      <c r="L2660" s="7" t="inlineStr">
        <is>
          <t>SEM COTAÇÃO</t>
        </is>
      </c>
      <c r="M2660" s="8" t="n"/>
      <c r="N2660" s="14" t="n"/>
      <c r="O2660" s="7" t="inlineStr"/>
      <c r="P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/>
      <c r="K2661" s="8" t="n"/>
      <c r="L2661" s="7" t="inlineStr">
        <is>
          <t>SEM COTAÇÃO</t>
        </is>
      </c>
      <c r="M2661" s="8" t="n"/>
      <c r="N2661" s="14" t="n"/>
      <c r="O2661" s="7" t="inlineStr"/>
      <c r="P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/>
      <c r="K2662" s="8" t="n"/>
      <c r="L2662" s="7" t="inlineStr">
        <is>
          <t>SEM COTAÇÃO</t>
        </is>
      </c>
      <c r="M2662" s="8" t="n"/>
      <c r="N2662" s="14" t="n"/>
      <c r="O2662" s="7" t="inlineStr"/>
      <c r="P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/>
      <c r="K2663" s="8" t="n"/>
      <c r="L2663" s="7" t="inlineStr">
        <is>
          <t>SEM COTAÇÃO</t>
        </is>
      </c>
      <c r="M2663" s="8" t="n"/>
      <c r="N2663" s="14" t="n"/>
      <c r="O2663" s="7" t="inlineStr"/>
      <c r="P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7" t="inlineStr">
        <is>
          <t>SEM COTAÇÃO</t>
        </is>
      </c>
      <c r="M2664" s="8" t="n"/>
      <c r="N2664" s="14" t="n"/>
      <c r="O2664" s="7" t="inlineStr"/>
      <c r="P2664" s="7" t="inlineStr"/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/>
      <c r="K2665" s="8" t="n"/>
      <c r="L2665" s="7" t="inlineStr">
        <is>
          <t>SEM COTAÇÃO</t>
        </is>
      </c>
      <c r="M2665" s="8" t="n"/>
      <c r="N2665" s="14" t="n"/>
      <c r="O2665" s="7" t="inlineStr"/>
      <c r="P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7" t="inlineStr">
        <is>
          <t>SEM COTAÇÃO</t>
        </is>
      </c>
      <c r="M2666" s="8" t="n"/>
      <c r="N2666" s="14" t="n"/>
      <c r="O2666" s="7" t="inlineStr"/>
      <c r="P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7" t="inlineStr">
        <is>
          <t>SEM COTAÇÃO</t>
        </is>
      </c>
      <c r="M2667" s="8" t="n"/>
      <c r="N2667" s="14" t="n"/>
      <c r="O2667" s="7" t="inlineStr"/>
      <c r="P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/>
      <c r="K2668" s="8" t="n"/>
      <c r="L2668" s="7" t="inlineStr">
        <is>
          <t>SEM COTAÇÃO</t>
        </is>
      </c>
      <c r="M2668" s="8" t="n"/>
      <c r="N2668" s="14" t="n"/>
      <c r="O2668" s="7" t="inlineStr"/>
      <c r="P2668" s="7" t="inlineStr"/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7" t="inlineStr">
        <is>
          <t>SEM COTAÇÃO</t>
        </is>
      </c>
      <c r="M2669" s="8" t="n"/>
      <c r="N2669" s="14" t="n"/>
      <c r="O2669" s="7" t="inlineStr"/>
      <c r="P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/>
      <c r="K2670" s="8" t="n"/>
      <c r="L2670" s="7" t="inlineStr">
        <is>
          <t>SEM COTAÇÃO</t>
        </is>
      </c>
      <c r="M2670" s="8" t="n"/>
      <c r="N2670" s="14" t="n"/>
      <c r="O2670" s="7" t="inlineStr"/>
      <c r="P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/>
      <c r="K2671" s="8" t="n"/>
      <c r="L2671" s="7" t="inlineStr">
        <is>
          <t>SEM COTAÇÃO</t>
        </is>
      </c>
      <c r="M2671" s="8" t="n"/>
      <c r="N2671" s="14" t="n"/>
      <c r="O2671" s="7" t="inlineStr"/>
      <c r="P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/>
      <c r="K2672" s="8" t="n"/>
      <c r="L2672" s="7" t="inlineStr">
        <is>
          <t>SEM COTAÇÃO</t>
        </is>
      </c>
      <c r="M2672" s="8" t="n"/>
      <c r="N2672" s="14" t="n"/>
      <c r="O2672" s="7" t="inlineStr"/>
      <c r="P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/>
      <c r="K2673" s="8" t="n"/>
      <c r="L2673" s="7" t="inlineStr">
        <is>
          <t>SEM COTAÇÃO</t>
        </is>
      </c>
      <c r="M2673" s="8" t="n"/>
      <c r="N2673" s="14" t="n"/>
      <c r="O2673" s="7" t="inlineStr"/>
      <c r="P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15" t="n">
        <v>14.85</v>
      </c>
      <c r="K2674" s="8" t="n"/>
      <c r="L2674" s="7" t="inlineStr">
        <is>
          <t>DIMEC</t>
        </is>
      </c>
      <c r="M2674" s="8" t="n">
        <v>14.85</v>
      </c>
      <c r="N2674" s="14">
        <f>M2674/H2674-1</f>
        <v/>
      </c>
      <c r="O2674" s="17" t="inlineStr">
        <is>
          <t>OK (≤ menor hist.)</t>
        </is>
      </c>
      <c r="P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/>
      <c r="K2675" s="8" t="n"/>
      <c r="L2675" s="7" t="inlineStr">
        <is>
          <t>SEM COTAÇÃO</t>
        </is>
      </c>
      <c r="M2675" s="8" t="n"/>
      <c r="N2675" s="14" t="n"/>
      <c r="O2675" s="7" t="inlineStr"/>
      <c r="P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/>
      <c r="K2676" s="8" t="n"/>
      <c r="L2676" s="7" t="inlineStr">
        <is>
          <t>SEM COTAÇÃO</t>
        </is>
      </c>
      <c r="M2676" s="8" t="n"/>
      <c r="N2676" s="14" t="n"/>
      <c r="O2676" s="7" t="inlineStr"/>
      <c r="P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7" t="inlineStr">
        <is>
          <t>SEM COTAÇÃO</t>
        </is>
      </c>
      <c r="M2677" s="8" t="n"/>
      <c r="N2677" s="14" t="n"/>
      <c r="O2677" s="7" t="inlineStr"/>
      <c r="P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/>
      <c r="K2678" s="8" t="n"/>
      <c r="L2678" s="7" t="inlineStr">
        <is>
          <t>SEM COTAÇÃO</t>
        </is>
      </c>
      <c r="M2678" s="8" t="n"/>
      <c r="N2678" s="14" t="n"/>
      <c r="O2678" s="7" t="inlineStr"/>
      <c r="P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/>
      <c r="K2679" s="8" t="n"/>
      <c r="L2679" s="7" t="inlineStr">
        <is>
          <t>SEM COTAÇÃO</t>
        </is>
      </c>
      <c r="M2679" s="8" t="n"/>
      <c r="N2679" s="14" t="n"/>
      <c r="O2679" s="7" t="inlineStr"/>
      <c r="P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7" t="inlineStr">
        <is>
          <t>SEM COTAÇÃO</t>
        </is>
      </c>
      <c r="M2680" s="8" t="n"/>
      <c r="N2680" s="14" t="n"/>
      <c r="O2680" s="7" t="inlineStr"/>
      <c r="P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7" t="inlineStr">
        <is>
          <t>SEM COTAÇÃO</t>
        </is>
      </c>
      <c r="M2681" s="8" t="n"/>
      <c r="N2681" s="14" t="n"/>
      <c r="O2681" s="7" t="inlineStr"/>
      <c r="P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7" t="inlineStr">
        <is>
          <t>SEM COTAÇÃO</t>
        </is>
      </c>
      <c r="M2682" s="8" t="n"/>
      <c r="N2682" s="14" t="n"/>
      <c r="O2682" s="7" t="inlineStr"/>
      <c r="P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7" t="inlineStr">
        <is>
          <t>SEM COTAÇÃO</t>
        </is>
      </c>
      <c r="M2683" s="8" t="n"/>
      <c r="N2683" s="14" t="n"/>
      <c r="O2683" s="7" t="inlineStr"/>
      <c r="P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/>
      <c r="K2684" s="8" t="n"/>
      <c r="L2684" s="7" t="inlineStr">
        <is>
          <t>SEM COTAÇÃO</t>
        </is>
      </c>
      <c r="M2684" s="8" t="n"/>
      <c r="N2684" s="14" t="n"/>
      <c r="O2684" s="7" t="inlineStr"/>
      <c r="P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15" t="n">
        <v>14.85</v>
      </c>
      <c r="K2685" s="8" t="n"/>
      <c r="L2685" s="7" t="inlineStr">
        <is>
          <t>DIMEC</t>
        </is>
      </c>
      <c r="M2685" s="8" t="n">
        <v>14.85</v>
      </c>
      <c r="N2685" s="14">
        <f>M2685/H2685-1</f>
        <v/>
      </c>
      <c r="O2685" s="17" t="inlineStr">
        <is>
          <t>OK (≤ menor hist.)</t>
        </is>
      </c>
      <c r="P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/>
      <c r="K2686" s="8" t="n"/>
      <c r="L2686" s="7" t="inlineStr">
        <is>
          <t>SEM COTAÇÃO</t>
        </is>
      </c>
      <c r="M2686" s="8" t="n"/>
      <c r="N2686" s="14" t="n"/>
      <c r="O2686" s="7" t="inlineStr"/>
      <c r="P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15" t="n">
        <v>14.85</v>
      </c>
      <c r="K2687" s="8" t="n"/>
      <c r="L2687" s="7" t="inlineStr">
        <is>
          <t>DIMEC</t>
        </is>
      </c>
      <c r="M2687" s="8" t="n">
        <v>14.85</v>
      </c>
      <c r="N2687" s="14">
        <f>M2687/H2687-1</f>
        <v/>
      </c>
      <c r="O2687" s="16" t="inlineStr">
        <is>
          <t>ACIMA +48.6%</t>
        </is>
      </c>
      <c r="P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/>
      <c r="K2688" s="8" t="n"/>
      <c r="L2688" s="7" t="inlineStr">
        <is>
          <t>SEM COTAÇÃO</t>
        </is>
      </c>
      <c r="M2688" s="8" t="n"/>
      <c r="N2688" s="14" t="n"/>
      <c r="O2688" s="7" t="inlineStr"/>
      <c r="P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15" t="n">
        <v>12.62</v>
      </c>
      <c r="K2689" s="8" t="n"/>
      <c r="L2689" s="7" t="inlineStr">
        <is>
          <t>DIMEC</t>
        </is>
      </c>
      <c r="M2689" s="8" t="n">
        <v>12.62</v>
      </c>
      <c r="N2689" s="14">
        <f>M2689/H2689-1</f>
        <v/>
      </c>
      <c r="O2689" s="16" t="inlineStr">
        <is>
          <t>ACIMA +40.4%</t>
        </is>
      </c>
      <c r="P2689" s="7" t="inlineStr"/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/>
      <c r="K2690" s="8" t="n"/>
      <c r="L2690" s="7" t="inlineStr">
        <is>
          <t>SEM COTAÇÃO</t>
        </is>
      </c>
      <c r="M2690" s="8" t="n"/>
      <c r="N2690" s="14" t="n"/>
      <c r="O2690" s="7" t="inlineStr"/>
      <c r="P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/>
      <c r="K2691" s="8" t="n"/>
      <c r="L2691" s="7" t="inlineStr">
        <is>
          <t>SEM COTAÇÃO</t>
        </is>
      </c>
      <c r="M2691" s="8" t="n"/>
      <c r="N2691" s="14" t="n"/>
      <c r="O2691" s="7" t="inlineStr"/>
      <c r="P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15" t="n">
        <v>13.85</v>
      </c>
      <c r="K2692" s="8" t="n"/>
      <c r="L2692" s="7" t="inlineStr">
        <is>
          <t>DIMEC</t>
        </is>
      </c>
      <c r="M2692" s="8" t="n">
        <v>13.85</v>
      </c>
      <c r="N2692" s="14">
        <f>M2692/H2692-1</f>
        <v/>
      </c>
      <c r="O2692" s="16" t="inlineStr">
        <is>
          <t>ACIMA +26.0%</t>
        </is>
      </c>
      <c r="P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/>
      <c r="K2693" s="8" t="n"/>
      <c r="L2693" s="7" t="inlineStr">
        <is>
          <t>SEM COTAÇÃO</t>
        </is>
      </c>
      <c r="M2693" s="8" t="n"/>
      <c r="N2693" s="14" t="n"/>
      <c r="O2693" s="7" t="inlineStr"/>
      <c r="P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7" t="inlineStr">
        <is>
          <t>SEM COTAÇÃO</t>
        </is>
      </c>
      <c r="M2694" s="8" t="n"/>
      <c r="N2694" s="14" t="n"/>
      <c r="O2694" s="7" t="inlineStr"/>
      <c r="P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/>
      <c r="K2695" s="8" t="n"/>
      <c r="L2695" s="7" t="inlineStr">
        <is>
          <t>SEM COTAÇÃO</t>
        </is>
      </c>
      <c r="M2695" s="8" t="n"/>
      <c r="N2695" s="14" t="n"/>
      <c r="O2695" s="7" t="inlineStr"/>
      <c r="P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15" t="n">
        <v>13.5</v>
      </c>
      <c r="K2696" s="8" t="n"/>
      <c r="L2696" s="7" t="inlineStr">
        <is>
          <t>DIMEC</t>
        </is>
      </c>
      <c r="M2696" s="8" t="n">
        <v>13.5</v>
      </c>
      <c r="N2696" s="14">
        <f>M2696/H2696-1</f>
        <v/>
      </c>
      <c r="O2696" s="17" t="inlineStr">
        <is>
          <t>OK (≤ menor hist.)</t>
        </is>
      </c>
      <c r="P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/>
      <c r="K2697" s="8" t="n"/>
      <c r="L2697" s="7" t="inlineStr">
        <is>
          <t>SEM COTAÇÃO</t>
        </is>
      </c>
      <c r="M2697" s="8" t="n"/>
      <c r="N2697" s="14" t="n"/>
      <c r="O2697" s="7" t="inlineStr"/>
      <c r="P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/>
      <c r="K2698" s="8" t="n"/>
      <c r="L2698" s="7" t="inlineStr">
        <is>
          <t>SEM COTAÇÃO</t>
        </is>
      </c>
      <c r="M2698" s="8" t="n"/>
      <c r="N2698" s="14" t="n"/>
      <c r="O2698" s="7" t="inlineStr"/>
      <c r="P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/>
      <c r="K2699" s="8" t="n"/>
      <c r="L2699" s="7" t="inlineStr">
        <is>
          <t>SEM COTAÇÃO</t>
        </is>
      </c>
      <c r="M2699" s="8" t="n"/>
      <c r="N2699" s="14" t="n"/>
      <c r="O2699" s="7" t="inlineStr"/>
      <c r="P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/>
      <c r="K2700" s="8" t="n"/>
      <c r="L2700" s="7" t="inlineStr">
        <is>
          <t>SEM COTAÇÃO</t>
        </is>
      </c>
      <c r="M2700" s="8" t="n"/>
      <c r="N2700" s="14" t="n"/>
      <c r="O2700" s="7" t="inlineStr"/>
      <c r="P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15" t="n">
        <v>10.52</v>
      </c>
      <c r="K2701" s="8" t="n"/>
      <c r="L2701" s="7" t="inlineStr">
        <is>
          <t>DIMEC</t>
        </is>
      </c>
      <c r="M2701" s="8" t="n">
        <v>10.52</v>
      </c>
      <c r="N2701" s="14">
        <f>M2701/H2701-1</f>
        <v/>
      </c>
      <c r="O2701" s="16" t="inlineStr">
        <is>
          <t>ACIMA +1.0%</t>
        </is>
      </c>
      <c r="P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/>
      <c r="K2702" s="8" t="n"/>
      <c r="L2702" s="7" t="inlineStr">
        <is>
          <t>SEM COTAÇÃO</t>
        </is>
      </c>
      <c r="M2702" s="8" t="n"/>
      <c r="N2702" s="14" t="n"/>
      <c r="O2702" s="7" t="inlineStr"/>
      <c r="P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15" t="n">
        <v>1.99</v>
      </c>
      <c r="K2703" s="8" t="n"/>
      <c r="L2703" s="7" t="inlineStr">
        <is>
          <t>DIMEC</t>
        </is>
      </c>
      <c r="M2703" s="8" t="n">
        <v>1.99</v>
      </c>
      <c r="N2703" s="14">
        <f>M2703/H2703-1</f>
        <v/>
      </c>
      <c r="O2703" s="17" t="inlineStr">
        <is>
          <t>OK (≤ menor hist.)</t>
        </is>
      </c>
      <c r="P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15" t="n">
        <v>4.65</v>
      </c>
      <c r="K2704" s="8" t="n"/>
      <c r="L2704" s="7" t="inlineStr">
        <is>
          <t>DIMEC</t>
        </is>
      </c>
      <c r="M2704" s="8" t="n">
        <v>4.65</v>
      </c>
      <c r="N2704" s="14">
        <f>M2704/H2704-1</f>
        <v/>
      </c>
      <c r="O2704" s="16" t="inlineStr">
        <is>
          <t>ACIMA +12.9%</t>
        </is>
      </c>
      <c r="P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15" t="n">
        <v>5</v>
      </c>
      <c r="K2705" s="8" t="n"/>
      <c r="L2705" s="7" t="inlineStr">
        <is>
          <t>DIMEC</t>
        </is>
      </c>
      <c r="M2705" s="8" t="n">
        <v>5</v>
      </c>
      <c r="N2705" s="14">
        <f>M2705/H2705-1</f>
        <v/>
      </c>
      <c r="O2705" s="17" t="inlineStr">
        <is>
          <t>OK (≤ menor hist.)</t>
        </is>
      </c>
      <c r="P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15" t="n">
        <v>4.58</v>
      </c>
      <c r="K2706" s="8" t="n"/>
      <c r="L2706" s="7" t="inlineStr">
        <is>
          <t>DIMEC</t>
        </is>
      </c>
      <c r="M2706" s="8" t="n">
        <v>4.58</v>
      </c>
      <c r="N2706" s="14">
        <f>M2706/H2706-1</f>
        <v/>
      </c>
      <c r="O2706" s="16" t="inlineStr">
        <is>
          <t>ACIMA +1.8%</t>
        </is>
      </c>
      <c r="P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/>
      <c r="K2707" s="8" t="n"/>
      <c r="L2707" s="7" t="inlineStr">
        <is>
          <t>SEM COTAÇÃO</t>
        </is>
      </c>
      <c r="M2707" s="8" t="n"/>
      <c r="N2707" s="14" t="n"/>
      <c r="O2707" s="7" t="inlineStr"/>
      <c r="P2707" s="7" t="inlineStr"/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/>
      <c r="K2708" s="8" t="n"/>
      <c r="L2708" s="7" t="inlineStr">
        <is>
          <t>SEM COTAÇÃO</t>
        </is>
      </c>
      <c r="M2708" s="8" t="n"/>
      <c r="N2708" s="14" t="n"/>
      <c r="O2708" s="7" t="inlineStr"/>
      <c r="P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/>
      <c r="K2709" s="8" t="n"/>
      <c r="L2709" s="7" t="inlineStr">
        <is>
          <t>SEM COTAÇÃO</t>
        </is>
      </c>
      <c r="M2709" s="8" t="n"/>
      <c r="N2709" s="14" t="n"/>
      <c r="O2709" s="7" t="inlineStr"/>
      <c r="P2709" s="7" t="inlineStr"/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/>
      <c r="K2710" s="8" t="n"/>
      <c r="L2710" s="7" t="inlineStr">
        <is>
          <t>SEM COTAÇÃO</t>
        </is>
      </c>
      <c r="M2710" s="8" t="n"/>
      <c r="N2710" s="14" t="n"/>
      <c r="O2710" s="7" t="inlineStr"/>
      <c r="P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/>
      <c r="K2711" s="8" t="n"/>
      <c r="L2711" s="7" t="inlineStr">
        <is>
          <t>SEM COTAÇÃO</t>
        </is>
      </c>
      <c r="M2711" s="8" t="n"/>
      <c r="N2711" s="14" t="n"/>
      <c r="O2711" s="7" t="inlineStr"/>
      <c r="P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/>
      <c r="K2712" s="8" t="n"/>
      <c r="L2712" s="7" t="inlineStr">
        <is>
          <t>SEM COTAÇÃO</t>
        </is>
      </c>
      <c r="M2712" s="8" t="n"/>
      <c r="N2712" s="14" t="n"/>
      <c r="O2712" s="7" t="inlineStr"/>
      <c r="P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/>
      <c r="K2713" s="8" t="n"/>
      <c r="L2713" s="7" t="inlineStr">
        <is>
          <t>SEM COTAÇÃO</t>
        </is>
      </c>
      <c r="M2713" s="8" t="n"/>
      <c r="N2713" s="14" t="n"/>
      <c r="O2713" s="7" t="inlineStr"/>
      <c r="P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/>
      <c r="K2714" s="8" t="n"/>
      <c r="L2714" s="7" t="inlineStr">
        <is>
          <t>SEM COTAÇÃO</t>
        </is>
      </c>
      <c r="M2714" s="8" t="n"/>
      <c r="N2714" s="14" t="n"/>
      <c r="O2714" s="7" t="inlineStr"/>
      <c r="P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/>
      <c r="K2715" s="8" t="n"/>
      <c r="L2715" s="7" t="inlineStr">
        <is>
          <t>SEM COTAÇÃO</t>
        </is>
      </c>
      <c r="M2715" s="8" t="n"/>
      <c r="N2715" s="14" t="n"/>
      <c r="O2715" s="7" t="inlineStr"/>
      <c r="P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7" t="inlineStr">
        <is>
          <t>SEM COTAÇÃO</t>
        </is>
      </c>
      <c r="M2716" s="8" t="n"/>
      <c r="N2716" s="14" t="n"/>
      <c r="O2716" s="7" t="inlineStr"/>
      <c r="P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/>
      <c r="K2717" s="8" t="n"/>
      <c r="L2717" s="7" t="inlineStr">
        <is>
          <t>SEM COTAÇÃO</t>
        </is>
      </c>
      <c r="M2717" s="8" t="n"/>
      <c r="N2717" s="14" t="n"/>
      <c r="O2717" s="7" t="inlineStr"/>
      <c r="P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/>
      <c r="K2718" s="8" t="n"/>
      <c r="L2718" s="7" t="inlineStr">
        <is>
          <t>SEM COTAÇÃO</t>
        </is>
      </c>
      <c r="M2718" s="8" t="n"/>
      <c r="N2718" s="14" t="n"/>
      <c r="O2718" s="7" t="inlineStr"/>
      <c r="P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/>
      <c r="K2719" s="8" t="n"/>
      <c r="L2719" s="7" t="inlineStr">
        <is>
          <t>SEM COTAÇÃO</t>
        </is>
      </c>
      <c r="M2719" s="8" t="n"/>
      <c r="N2719" s="14" t="n"/>
      <c r="O2719" s="7" t="inlineStr"/>
      <c r="P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/>
      <c r="K2720" s="8" t="n"/>
      <c r="L2720" s="7" t="inlineStr">
        <is>
          <t>SEM COTAÇÃO</t>
        </is>
      </c>
      <c r="M2720" s="8" t="n"/>
      <c r="N2720" s="14" t="n"/>
      <c r="O2720" s="7" t="inlineStr"/>
      <c r="P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/>
      <c r="K2721" s="8" t="n"/>
      <c r="L2721" s="7" t="inlineStr">
        <is>
          <t>SEM COTAÇÃO</t>
        </is>
      </c>
      <c r="M2721" s="8" t="n"/>
      <c r="N2721" s="14" t="n"/>
      <c r="O2721" s="7" t="inlineStr"/>
      <c r="P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/>
      <c r="K2722" s="8" t="n"/>
      <c r="L2722" s="7" t="inlineStr">
        <is>
          <t>SEM COTAÇÃO</t>
        </is>
      </c>
      <c r="M2722" s="8" t="n"/>
      <c r="N2722" s="14" t="n"/>
      <c r="O2722" s="7" t="inlineStr"/>
      <c r="P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/>
      <c r="K2723" s="8" t="n"/>
      <c r="L2723" s="7" t="inlineStr">
        <is>
          <t>SEM COTAÇÃO</t>
        </is>
      </c>
      <c r="M2723" s="8" t="n"/>
      <c r="N2723" s="14" t="n"/>
      <c r="O2723" s="7" t="inlineStr"/>
      <c r="P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15" t="n">
        <v>4.5</v>
      </c>
      <c r="K2724" s="8" t="n"/>
      <c r="L2724" s="7" t="inlineStr">
        <is>
          <t>DIMEC</t>
        </is>
      </c>
      <c r="M2724" s="8" t="n">
        <v>4.5</v>
      </c>
      <c r="N2724" s="14">
        <f>M2724/H2724-1</f>
        <v/>
      </c>
      <c r="O2724" s="16" t="inlineStr">
        <is>
          <t>ACIMA +4.4%</t>
        </is>
      </c>
      <c r="P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7" t="inlineStr">
        <is>
          <t>SEM COTAÇÃO</t>
        </is>
      </c>
      <c r="M2725" s="8" t="n"/>
      <c r="N2725" s="14" t="n"/>
      <c r="O2725" s="7" t="inlineStr"/>
      <c r="P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/>
      <c r="K2726" s="8" t="n"/>
      <c r="L2726" s="7" t="inlineStr">
        <is>
          <t>SEM COTAÇÃO</t>
        </is>
      </c>
      <c r="M2726" s="8" t="n"/>
      <c r="N2726" s="14" t="n"/>
      <c r="O2726" s="7" t="inlineStr"/>
      <c r="P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/>
      <c r="K2727" s="8" t="n"/>
      <c r="L2727" s="7" t="inlineStr">
        <is>
          <t>SEM COTAÇÃO</t>
        </is>
      </c>
      <c r="M2727" s="8" t="n"/>
      <c r="N2727" s="14" t="n"/>
      <c r="O2727" s="7" t="inlineStr"/>
      <c r="P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/>
      <c r="K2728" s="8" t="n"/>
      <c r="L2728" s="7" t="inlineStr">
        <is>
          <t>SEM COTAÇÃO</t>
        </is>
      </c>
      <c r="M2728" s="8" t="n"/>
      <c r="N2728" s="14" t="n"/>
      <c r="O2728" s="7" t="inlineStr"/>
      <c r="P2728" s="7" t="inlineStr"/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/>
      <c r="K2729" s="8" t="n"/>
      <c r="L2729" s="7" t="inlineStr">
        <is>
          <t>SEM COTAÇÃO</t>
        </is>
      </c>
      <c r="M2729" s="8" t="n"/>
      <c r="N2729" s="14" t="n"/>
      <c r="O2729" s="7" t="inlineStr"/>
      <c r="P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/>
      <c r="K2730" s="8" t="n"/>
      <c r="L2730" s="7" t="inlineStr">
        <is>
          <t>SEM COTAÇÃO</t>
        </is>
      </c>
      <c r="M2730" s="8" t="n"/>
      <c r="N2730" s="14" t="n"/>
      <c r="O2730" s="7" t="inlineStr"/>
      <c r="P2730" s="7" t="inlineStr"/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/>
      <c r="K2731" s="8" t="n"/>
      <c r="L2731" s="7" t="inlineStr">
        <is>
          <t>SEM COTAÇÃO</t>
        </is>
      </c>
      <c r="M2731" s="8" t="n"/>
      <c r="N2731" s="14" t="n"/>
      <c r="O2731" s="7" t="inlineStr"/>
      <c r="P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/>
      <c r="K2732" s="8" t="n"/>
      <c r="L2732" s="7" t="inlineStr">
        <is>
          <t>SEM COTAÇÃO</t>
        </is>
      </c>
      <c r="M2732" s="8" t="n"/>
      <c r="N2732" s="14" t="n"/>
      <c r="O2732" s="7" t="inlineStr"/>
      <c r="P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/>
      <c r="K2733" s="8" t="n"/>
      <c r="L2733" s="7" t="inlineStr">
        <is>
          <t>SEM COTAÇÃO</t>
        </is>
      </c>
      <c r="M2733" s="8" t="n"/>
      <c r="N2733" s="14" t="n"/>
      <c r="O2733" s="7" t="inlineStr"/>
      <c r="P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/>
      <c r="K2734" s="8" t="n"/>
      <c r="L2734" s="7" t="inlineStr">
        <is>
          <t>SEM COTAÇÃO</t>
        </is>
      </c>
      <c r="M2734" s="8" t="n"/>
      <c r="N2734" s="14" t="n"/>
      <c r="O2734" s="7" t="inlineStr"/>
      <c r="P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15" t="n">
        <v>6.95</v>
      </c>
      <c r="K2735" s="8" t="n"/>
      <c r="L2735" s="7" t="inlineStr">
        <is>
          <t>DIMEC</t>
        </is>
      </c>
      <c r="M2735" s="8" t="n">
        <v>6.95</v>
      </c>
      <c r="N2735" s="14">
        <f>M2735/H2735-1</f>
        <v/>
      </c>
      <c r="O2735" s="16" t="inlineStr">
        <is>
          <t>ACIMA +3.3%</t>
        </is>
      </c>
      <c r="P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/>
      <c r="K2736" s="8" t="n"/>
      <c r="L2736" s="7" t="inlineStr">
        <is>
          <t>SEM COTAÇÃO</t>
        </is>
      </c>
      <c r="M2736" s="8" t="n"/>
      <c r="N2736" s="14" t="n"/>
      <c r="O2736" s="7" t="inlineStr"/>
      <c r="P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/>
      <c r="K2737" s="8" t="n"/>
      <c r="L2737" s="7" t="inlineStr">
        <is>
          <t>SEM COTAÇÃO</t>
        </is>
      </c>
      <c r="M2737" s="8" t="n"/>
      <c r="N2737" s="14" t="n"/>
      <c r="O2737" s="7" t="inlineStr"/>
      <c r="P2737" s="7" t="inlineStr"/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/>
      <c r="K2738" s="8" t="n"/>
      <c r="L2738" s="7" t="inlineStr">
        <is>
          <t>SEM COTAÇÃO</t>
        </is>
      </c>
      <c r="M2738" s="8" t="n"/>
      <c r="N2738" s="14" t="n"/>
      <c r="O2738" s="7" t="inlineStr"/>
      <c r="P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7" t="inlineStr">
        <is>
          <t>SEM COTAÇÃO</t>
        </is>
      </c>
      <c r="M2739" s="8" t="n"/>
      <c r="N2739" s="14" t="n"/>
      <c r="O2739" s="7" t="inlineStr"/>
      <c r="P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7" t="inlineStr">
        <is>
          <t>SEM COTAÇÃO</t>
        </is>
      </c>
      <c r="M2740" s="8" t="n"/>
      <c r="N2740" s="14" t="n"/>
      <c r="O2740" s="7" t="inlineStr"/>
      <c r="P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/>
      <c r="K2741" s="8" t="n"/>
      <c r="L2741" s="7" t="inlineStr">
        <is>
          <t>SEM COTAÇÃO</t>
        </is>
      </c>
      <c r="M2741" s="8" t="n"/>
      <c r="N2741" s="14" t="n"/>
      <c r="O2741" s="7" t="inlineStr"/>
      <c r="P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/>
      <c r="K2742" s="8" t="n"/>
      <c r="L2742" s="7" t="inlineStr">
        <is>
          <t>SEM COTAÇÃO</t>
        </is>
      </c>
      <c r="M2742" s="8" t="n"/>
      <c r="N2742" s="14" t="n"/>
      <c r="O2742" s="7" t="inlineStr"/>
      <c r="P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/>
      <c r="K2743" s="8" t="n"/>
      <c r="L2743" s="7" t="inlineStr">
        <is>
          <t>SEM COTAÇÃO</t>
        </is>
      </c>
      <c r="M2743" s="8" t="n"/>
      <c r="N2743" s="14" t="n"/>
      <c r="O2743" s="7" t="inlineStr"/>
      <c r="P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/>
      <c r="K2744" s="8" t="n"/>
      <c r="L2744" s="7" t="inlineStr">
        <is>
          <t>SEM COTAÇÃO</t>
        </is>
      </c>
      <c r="M2744" s="8" t="n"/>
      <c r="N2744" s="14" t="n"/>
      <c r="O2744" s="7" t="inlineStr"/>
      <c r="P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/>
      <c r="K2745" s="8" t="n"/>
      <c r="L2745" s="7" t="inlineStr">
        <is>
          <t>SEM COTAÇÃO</t>
        </is>
      </c>
      <c r="M2745" s="8" t="n"/>
      <c r="N2745" s="14" t="n"/>
      <c r="O2745" s="7" t="inlineStr"/>
      <c r="P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/>
      <c r="K2746" s="8" t="n"/>
      <c r="L2746" s="7" t="inlineStr">
        <is>
          <t>SEM COTAÇÃO</t>
        </is>
      </c>
      <c r="M2746" s="8" t="n"/>
      <c r="N2746" s="14" t="n"/>
      <c r="O2746" s="7" t="inlineStr"/>
      <c r="P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/>
      <c r="K2747" s="8" t="n"/>
      <c r="L2747" s="7" t="inlineStr">
        <is>
          <t>SEM COTAÇÃO</t>
        </is>
      </c>
      <c r="M2747" s="8" t="n"/>
      <c r="N2747" s="14" t="n"/>
      <c r="O2747" s="7" t="inlineStr"/>
      <c r="P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/>
      <c r="K2748" s="8" t="n"/>
      <c r="L2748" s="7" t="inlineStr">
        <is>
          <t>SEM COTAÇÃO</t>
        </is>
      </c>
      <c r="M2748" s="8" t="n"/>
      <c r="N2748" s="14" t="n"/>
      <c r="O2748" s="7" t="inlineStr"/>
      <c r="P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/>
      <c r="K2749" s="8" t="n"/>
      <c r="L2749" s="7" t="inlineStr">
        <is>
          <t>SEM COTAÇÃO</t>
        </is>
      </c>
      <c r="M2749" s="8" t="n"/>
      <c r="N2749" s="14" t="n"/>
      <c r="O2749" s="7" t="inlineStr"/>
      <c r="P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/>
      <c r="K2750" s="8" t="n"/>
      <c r="L2750" s="7" t="inlineStr">
        <is>
          <t>SEM COTAÇÃO</t>
        </is>
      </c>
      <c r="M2750" s="8" t="n"/>
      <c r="N2750" s="14" t="n"/>
      <c r="O2750" s="7" t="inlineStr"/>
      <c r="P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/>
      <c r="K2751" s="8" t="n"/>
      <c r="L2751" s="7" t="inlineStr">
        <is>
          <t>SEM COTAÇÃO</t>
        </is>
      </c>
      <c r="M2751" s="8" t="n"/>
      <c r="N2751" s="14" t="n"/>
      <c r="O2751" s="7" t="inlineStr"/>
      <c r="P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/>
      <c r="K2752" s="8" t="n"/>
      <c r="L2752" s="7" t="inlineStr">
        <is>
          <t>SEM COTAÇÃO</t>
        </is>
      </c>
      <c r="M2752" s="8" t="n"/>
      <c r="N2752" s="14" t="n"/>
      <c r="O2752" s="7" t="inlineStr"/>
      <c r="P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/>
      <c r="K2753" s="8" t="n"/>
      <c r="L2753" s="7" t="inlineStr">
        <is>
          <t>SEM COTAÇÃO</t>
        </is>
      </c>
      <c r="M2753" s="8" t="n"/>
      <c r="N2753" s="14" t="n"/>
      <c r="O2753" s="7" t="inlineStr"/>
      <c r="P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/>
      <c r="K2754" s="8" t="n"/>
      <c r="L2754" s="7" t="inlineStr">
        <is>
          <t>SEM COTAÇÃO</t>
        </is>
      </c>
      <c r="M2754" s="8" t="n"/>
      <c r="N2754" s="14" t="n"/>
      <c r="O2754" s="7" t="inlineStr"/>
      <c r="P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/>
      <c r="K2755" s="8" t="n"/>
      <c r="L2755" s="7" t="inlineStr">
        <is>
          <t>SEM COTAÇÃO</t>
        </is>
      </c>
      <c r="M2755" s="8" t="n"/>
      <c r="N2755" s="14" t="n"/>
      <c r="O2755" s="7" t="inlineStr"/>
      <c r="P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/>
      <c r="K2756" s="8" t="n"/>
      <c r="L2756" s="7" t="inlineStr">
        <is>
          <t>SEM COTAÇÃO</t>
        </is>
      </c>
      <c r="M2756" s="8" t="n"/>
      <c r="N2756" s="14" t="n"/>
      <c r="O2756" s="7" t="inlineStr"/>
      <c r="P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/>
      <c r="K2757" s="8" t="n"/>
      <c r="L2757" s="7" t="inlineStr">
        <is>
          <t>SEM COTAÇÃO</t>
        </is>
      </c>
      <c r="M2757" s="8" t="n"/>
      <c r="N2757" s="14" t="n"/>
      <c r="O2757" s="7" t="inlineStr"/>
      <c r="P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/>
      <c r="K2758" s="8" t="n"/>
      <c r="L2758" s="7" t="inlineStr">
        <is>
          <t>SEM COTAÇÃO</t>
        </is>
      </c>
      <c r="M2758" s="8" t="n"/>
      <c r="N2758" s="14" t="n"/>
      <c r="O2758" s="7" t="inlineStr"/>
      <c r="P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/>
      <c r="K2759" s="8" t="n"/>
      <c r="L2759" s="7" t="inlineStr">
        <is>
          <t>SEM COTAÇÃO</t>
        </is>
      </c>
      <c r="M2759" s="8" t="n"/>
      <c r="N2759" s="14" t="n"/>
      <c r="O2759" s="7" t="inlineStr"/>
      <c r="P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/>
      <c r="K2760" s="8" t="n"/>
      <c r="L2760" s="7" t="inlineStr">
        <is>
          <t>SEM COTAÇÃO</t>
        </is>
      </c>
      <c r="M2760" s="8" t="n"/>
      <c r="N2760" s="14" t="n"/>
      <c r="O2760" s="7" t="inlineStr"/>
      <c r="P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/>
      <c r="K2761" s="8" t="n"/>
      <c r="L2761" s="7" t="inlineStr">
        <is>
          <t>SEM COTAÇÃO</t>
        </is>
      </c>
      <c r="M2761" s="8" t="n"/>
      <c r="N2761" s="14" t="n"/>
      <c r="O2761" s="7" t="inlineStr"/>
      <c r="P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/>
      <c r="K2762" s="8" t="n"/>
      <c r="L2762" s="7" t="inlineStr">
        <is>
          <t>SEM COTAÇÃO</t>
        </is>
      </c>
      <c r="M2762" s="8" t="n"/>
      <c r="N2762" s="14" t="n"/>
      <c r="O2762" s="7" t="inlineStr"/>
      <c r="P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/>
      <c r="K2763" s="8" t="n"/>
      <c r="L2763" s="7" t="inlineStr">
        <is>
          <t>SEM COTAÇÃO</t>
        </is>
      </c>
      <c r="M2763" s="8" t="n"/>
      <c r="N2763" s="14" t="n"/>
      <c r="O2763" s="7" t="inlineStr"/>
      <c r="P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/>
      <c r="K2764" s="8" t="n"/>
      <c r="L2764" s="7" t="inlineStr">
        <is>
          <t>SEM COTAÇÃO</t>
        </is>
      </c>
      <c r="M2764" s="8" t="n"/>
      <c r="N2764" s="14" t="n"/>
      <c r="O2764" s="7" t="inlineStr"/>
      <c r="P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/>
      <c r="K2765" s="8" t="n"/>
      <c r="L2765" s="7" t="inlineStr">
        <is>
          <t>SEM COTAÇÃO</t>
        </is>
      </c>
      <c r="M2765" s="8" t="n"/>
      <c r="N2765" s="14" t="n"/>
      <c r="O2765" s="7" t="inlineStr"/>
      <c r="P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/>
      <c r="K2766" s="8" t="n"/>
      <c r="L2766" s="7" t="inlineStr">
        <is>
          <t>SEM COTAÇÃO</t>
        </is>
      </c>
      <c r="M2766" s="8" t="n"/>
      <c r="N2766" s="14" t="n"/>
      <c r="O2766" s="7" t="inlineStr"/>
      <c r="P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/>
      <c r="K2767" s="8" t="n"/>
      <c r="L2767" s="7" t="inlineStr">
        <is>
          <t>SEM COTAÇÃO</t>
        </is>
      </c>
      <c r="M2767" s="8" t="n"/>
      <c r="N2767" s="14" t="n"/>
      <c r="O2767" s="7" t="inlineStr"/>
      <c r="P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/>
      <c r="K2768" s="8" t="n"/>
      <c r="L2768" s="7" t="inlineStr">
        <is>
          <t>SEM COTAÇÃO</t>
        </is>
      </c>
      <c r="M2768" s="8" t="n"/>
      <c r="N2768" s="14" t="n"/>
      <c r="O2768" s="7" t="inlineStr"/>
      <c r="P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/>
      <c r="K2769" s="8" t="n"/>
      <c r="L2769" s="7" t="inlineStr">
        <is>
          <t>SEM COTAÇÃO</t>
        </is>
      </c>
      <c r="M2769" s="8" t="n"/>
      <c r="N2769" s="14" t="n"/>
      <c r="O2769" s="7" t="inlineStr"/>
      <c r="P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/>
      <c r="K2770" s="8" t="n"/>
      <c r="L2770" s="7" t="inlineStr">
        <is>
          <t>SEM COTAÇÃO</t>
        </is>
      </c>
      <c r="M2770" s="8" t="n"/>
      <c r="N2770" s="14" t="n"/>
      <c r="O2770" s="7" t="inlineStr"/>
      <c r="P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/>
      <c r="K2771" s="8" t="n"/>
      <c r="L2771" s="7" t="inlineStr">
        <is>
          <t>SEM COTAÇÃO</t>
        </is>
      </c>
      <c r="M2771" s="8" t="n"/>
      <c r="N2771" s="14" t="n"/>
      <c r="O2771" s="7" t="inlineStr"/>
      <c r="P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/>
      <c r="K2772" s="8" t="n"/>
      <c r="L2772" s="7" t="inlineStr">
        <is>
          <t>SEM COTAÇÃO</t>
        </is>
      </c>
      <c r="M2772" s="8" t="n"/>
      <c r="N2772" s="14" t="n"/>
      <c r="O2772" s="7" t="inlineStr"/>
      <c r="P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/>
      <c r="K2773" s="8" t="n"/>
      <c r="L2773" s="7" t="inlineStr">
        <is>
          <t>SEM COTAÇÃO</t>
        </is>
      </c>
      <c r="M2773" s="8" t="n"/>
      <c r="N2773" s="14" t="n"/>
      <c r="O2773" s="7" t="inlineStr"/>
      <c r="P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/>
      <c r="K2774" s="8" t="n"/>
      <c r="L2774" s="7" t="inlineStr">
        <is>
          <t>SEM COTAÇÃO</t>
        </is>
      </c>
      <c r="M2774" s="8" t="n"/>
      <c r="N2774" s="14" t="n"/>
      <c r="O2774" s="7" t="inlineStr"/>
      <c r="P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/>
      <c r="K2775" s="8" t="n"/>
      <c r="L2775" s="7" t="inlineStr">
        <is>
          <t>SEM COTAÇÃO</t>
        </is>
      </c>
      <c r="M2775" s="8" t="n"/>
      <c r="N2775" s="14" t="n"/>
      <c r="O2775" s="7" t="inlineStr"/>
      <c r="P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7" t="inlineStr">
        <is>
          <t>SEM COTAÇÃO</t>
        </is>
      </c>
      <c r="M2776" s="8" t="n"/>
      <c r="N2776" s="14" t="n"/>
      <c r="O2776" s="7" t="inlineStr"/>
      <c r="P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/>
      <c r="K2777" s="8" t="n"/>
      <c r="L2777" s="7" t="inlineStr">
        <is>
          <t>SEM COTAÇÃO</t>
        </is>
      </c>
      <c r="M2777" s="8" t="n"/>
      <c r="N2777" s="14" t="n"/>
      <c r="O2777" s="7" t="inlineStr"/>
      <c r="P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15" t="n">
        <v>5.93</v>
      </c>
      <c r="K2778" s="8" t="n"/>
      <c r="L2778" s="7" t="inlineStr">
        <is>
          <t>DIMEC</t>
        </is>
      </c>
      <c r="M2778" s="8" t="n">
        <v>5.93</v>
      </c>
      <c r="N2778" s="14">
        <f>M2778/H2778-1</f>
        <v/>
      </c>
      <c r="O2778" s="16" t="inlineStr">
        <is>
          <t>ACIMA +5.0%</t>
        </is>
      </c>
      <c r="P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/>
      <c r="K2779" s="8" t="n"/>
      <c r="L2779" s="7" t="inlineStr">
        <is>
          <t>SEM COTAÇÃO</t>
        </is>
      </c>
      <c r="M2779" s="8" t="n"/>
      <c r="N2779" s="14" t="n"/>
      <c r="O2779" s="7" t="inlineStr"/>
      <c r="P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15" t="n">
        <v>1.76</v>
      </c>
      <c r="K2780" s="8" t="n"/>
      <c r="L2780" s="7" t="inlineStr">
        <is>
          <t>DIMEC</t>
        </is>
      </c>
      <c r="M2780" s="8" t="n">
        <v>1.76</v>
      </c>
      <c r="N2780" s="14">
        <f>M2780/H2780-1</f>
        <v/>
      </c>
      <c r="O2780" s="16" t="inlineStr">
        <is>
          <t>ACIMA +4.1%</t>
        </is>
      </c>
      <c r="P2780" s="7" t="inlineStr"/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/>
      <c r="K2781" s="8" t="n"/>
      <c r="L2781" s="7" t="inlineStr">
        <is>
          <t>SEM COTAÇÃO</t>
        </is>
      </c>
      <c r="M2781" s="8" t="n"/>
      <c r="N2781" s="14" t="n"/>
      <c r="O2781" s="7" t="inlineStr"/>
      <c r="P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15" t="n">
        <v>9.07</v>
      </c>
      <c r="K2782" s="8" t="n"/>
      <c r="L2782" s="7" t="inlineStr">
        <is>
          <t>DIMEC</t>
        </is>
      </c>
      <c r="M2782" s="8" t="n">
        <v>9.07</v>
      </c>
      <c r="N2782" s="14">
        <f>M2782/H2782-1</f>
        <v/>
      </c>
      <c r="O2782" s="17" t="inlineStr">
        <is>
          <t>OK (≤ menor hist.)</t>
        </is>
      </c>
      <c r="P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15" t="n">
        <v>15.34</v>
      </c>
      <c r="K2783" s="8" t="n"/>
      <c r="L2783" s="7" t="inlineStr">
        <is>
          <t>DIMEC</t>
        </is>
      </c>
      <c r="M2783" s="8" t="n">
        <v>15.34</v>
      </c>
      <c r="N2783" s="14">
        <f>M2783/H2783-1</f>
        <v/>
      </c>
      <c r="O2783" s="16" t="inlineStr">
        <is>
          <t>ACIMA +0.5%</t>
        </is>
      </c>
      <c r="P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15" t="n">
        <v>4.32</v>
      </c>
      <c r="K2784" s="8" t="n"/>
      <c r="L2784" s="7" t="inlineStr">
        <is>
          <t>DIMEC</t>
        </is>
      </c>
      <c r="M2784" s="8" t="n">
        <v>4.32</v>
      </c>
      <c r="N2784" s="14">
        <f>M2784/H2784-1</f>
        <v/>
      </c>
      <c r="O2784" s="17" t="inlineStr">
        <is>
          <t>OK (≤ menor hist.)</t>
        </is>
      </c>
      <c r="P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7" t="inlineStr">
        <is>
          <t>SEM COTAÇÃO</t>
        </is>
      </c>
      <c r="M2785" s="8" t="n"/>
      <c r="N2785" s="14" t="n"/>
      <c r="O2785" s="7" t="inlineStr"/>
      <c r="P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7" t="inlineStr">
        <is>
          <t>SEM COTAÇÃO</t>
        </is>
      </c>
      <c r="M2786" s="8" t="n"/>
      <c r="N2786" s="14" t="n"/>
      <c r="O2786" s="7" t="inlineStr"/>
      <c r="P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7" t="inlineStr">
        <is>
          <t>SEM COTAÇÃO</t>
        </is>
      </c>
      <c r="M2787" s="8" t="n"/>
      <c r="N2787" s="14" t="n"/>
      <c r="O2787" s="7" t="inlineStr"/>
      <c r="P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/>
      <c r="K2788" s="8" t="n"/>
      <c r="L2788" s="7" t="inlineStr">
        <is>
          <t>SEM COTAÇÃO</t>
        </is>
      </c>
      <c r="M2788" s="8" t="n"/>
      <c r="N2788" s="14" t="n"/>
      <c r="O2788" s="7" t="inlineStr"/>
      <c r="P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/>
      <c r="K2789" s="8" t="n"/>
      <c r="L2789" s="7" t="inlineStr">
        <is>
          <t>SEM COTAÇÃO</t>
        </is>
      </c>
      <c r="M2789" s="8" t="n"/>
      <c r="N2789" s="14" t="n"/>
      <c r="O2789" s="7" t="inlineStr"/>
      <c r="P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15" t="n">
        <v>1.76</v>
      </c>
      <c r="K2790" s="8" t="n"/>
      <c r="L2790" s="7" t="inlineStr">
        <is>
          <t>DIMEC</t>
        </is>
      </c>
      <c r="M2790" s="8" t="n">
        <v>1.76</v>
      </c>
      <c r="N2790" s="14">
        <f>M2790/H2790-1</f>
        <v/>
      </c>
      <c r="O2790" s="17" t="inlineStr">
        <is>
          <t>OK (≤ menor hist.)</t>
        </is>
      </c>
      <c r="P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15" t="n">
        <v>1.74</v>
      </c>
      <c r="K2791" s="8" t="n"/>
      <c r="L2791" s="7" t="inlineStr">
        <is>
          <t>DIMEC</t>
        </is>
      </c>
      <c r="M2791" s="8" t="n">
        <v>1.74</v>
      </c>
      <c r="N2791" s="14">
        <f>M2791/H2791-1</f>
        <v/>
      </c>
      <c r="O2791" s="17" t="inlineStr">
        <is>
          <t>OK (≤ menor hist.)</t>
        </is>
      </c>
      <c r="P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/>
      <c r="K2792" s="8" t="n"/>
      <c r="L2792" s="7" t="inlineStr">
        <is>
          <t>SEM COTAÇÃO</t>
        </is>
      </c>
      <c r="M2792" s="8" t="n"/>
      <c r="N2792" s="14" t="n"/>
      <c r="O2792" s="7" t="inlineStr"/>
      <c r="P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/>
      <c r="K2793" s="8" t="n"/>
      <c r="L2793" s="7" t="inlineStr">
        <is>
          <t>SEM COTAÇÃO</t>
        </is>
      </c>
      <c r="M2793" s="8" t="n"/>
      <c r="N2793" s="14" t="n"/>
      <c r="O2793" s="7" t="inlineStr"/>
      <c r="P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/>
      <c r="K2794" s="8" t="n"/>
      <c r="L2794" s="7" t="inlineStr">
        <is>
          <t>SEM COTAÇÃO</t>
        </is>
      </c>
      <c r="M2794" s="8" t="n"/>
      <c r="N2794" s="14" t="n"/>
      <c r="O2794" s="7" t="inlineStr"/>
      <c r="P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/>
      <c r="K2795" s="8" t="n"/>
      <c r="L2795" s="7" t="inlineStr">
        <is>
          <t>SEM COTAÇÃO</t>
        </is>
      </c>
      <c r="M2795" s="8" t="n"/>
      <c r="N2795" s="14" t="n"/>
      <c r="O2795" s="7" t="inlineStr"/>
      <c r="P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/>
      <c r="K2796" s="8" t="n"/>
      <c r="L2796" s="7" t="inlineStr">
        <is>
          <t>SEM COTAÇÃO</t>
        </is>
      </c>
      <c r="M2796" s="8" t="n"/>
      <c r="N2796" s="14" t="n"/>
      <c r="O2796" s="7" t="inlineStr"/>
      <c r="P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/>
      <c r="K2797" s="8" t="n"/>
      <c r="L2797" s="7" t="inlineStr">
        <is>
          <t>SEM COTAÇÃO</t>
        </is>
      </c>
      <c r="M2797" s="8" t="n"/>
      <c r="N2797" s="14" t="n"/>
      <c r="O2797" s="7" t="inlineStr"/>
      <c r="P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/>
      <c r="K2798" s="8" t="n"/>
      <c r="L2798" s="7" t="inlineStr">
        <is>
          <t>SEM COTAÇÃO</t>
        </is>
      </c>
      <c r="M2798" s="8" t="n"/>
      <c r="N2798" s="14" t="n"/>
      <c r="O2798" s="7" t="inlineStr"/>
      <c r="P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/>
      <c r="K2799" s="8" t="n"/>
      <c r="L2799" s="7" t="inlineStr">
        <is>
          <t>SEM COTAÇÃO</t>
        </is>
      </c>
      <c r="M2799" s="8" t="n"/>
      <c r="N2799" s="14" t="n"/>
      <c r="O2799" s="7" t="inlineStr"/>
      <c r="P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15" t="n">
        <v>26.33</v>
      </c>
      <c r="K2800" s="8" t="n"/>
      <c r="L2800" s="7" t="inlineStr">
        <is>
          <t>DIMEC</t>
        </is>
      </c>
      <c r="M2800" s="8" t="n">
        <v>26.33</v>
      </c>
      <c r="N2800" s="14">
        <f>M2800/H2800-1</f>
        <v/>
      </c>
      <c r="O2800" s="16" t="inlineStr">
        <is>
          <t>ACIMA +32.3%</t>
        </is>
      </c>
      <c r="P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/>
      <c r="K2801" s="8" t="n"/>
      <c r="L2801" s="7" t="inlineStr">
        <is>
          <t>SEM COTAÇÃO</t>
        </is>
      </c>
      <c r="M2801" s="8" t="n"/>
      <c r="N2801" s="14" t="n"/>
      <c r="O2801" s="7" t="inlineStr"/>
      <c r="P2801" s="7" t="inlineStr"/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/>
      <c r="K2802" s="8" t="n"/>
      <c r="L2802" s="7" t="inlineStr">
        <is>
          <t>SEM COTAÇÃO</t>
        </is>
      </c>
      <c r="M2802" s="8" t="n"/>
      <c r="N2802" s="14" t="n"/>
      <c r="O2802" s="7" t="inlineStr"/>
      <c r="P2802" s="7" t="inlineStr"/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/>
      <c r="K2803" s="8" t="n"/>
      <c r="L2803" s="7" t="inlineStr">
        <is>
          <t>SEM COTAÇÃO</t>
        </is>
      </c>
      <c r="M2803" s="8" t="n"/>
      <c r="N2803" s="14" t="n"/>
      <c r="O2803" s="7" t="inlineStr"/>
      <c r="P2803" s="7" t="inlineStr"/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/>
      <c r="K2804" s="8" t="n"/>
      <c r="L2804" s="7" t="inlineStr">
        <is>
          <t>SEM COTAÇÃO</t>
        </is>
      </c>
      <c r="M2804" s="8" t="n"/>
      <c r="N2804" s="14" t="n"/>
      <c r="O2804" s="7" t="inlineStr"/>
      <c r="P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/>
      <c r="K2805" s="8" t="n"/>
      <c r="L2805" s="7" t="inlineStr">
        <is>
          <t>SEM COTAÇÃO</t>
        </is>
      </c>
      <c r="M2805" s="8" t="n"/>
      <c r="N2805" s="14" t="n"/>
      <c r="O2805" s="7" t="inlineStr"/>
      <c r="P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/>
      <c r="K2806" s="8" t="n"/>
      <c r="L2806" s="7" t="inlineStr">
        <is>
          <t>SEM COTAÇÃO</t>
        </is>
      </c>
      <c r="M2806" s="8" t="n"/>
      <c r="N2806" s="14" t="n"/>
      <c r="O2806" s="7" t="inlineStr"/>
      <c r="P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/>
      <c r="K2807" s="8" t="n"/>
      <c r="L2807" s="7" t="inlineStr">
        <is>
          <t>SEM COTAÇÃO</t>
        </is>
      </c>
      <c r="M2807" s="8" t="n"/>
      <c r="N2807" s="14" t="n"/>
      <c r="O2807" s="7" t="inlineStr"/>
      <c r="P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/>
      <c r="K2808" s="8" t="n"/>
      <c r="L2808" s="7" t="inlineStr">
        <is>
          <t>SEM COTAÇÃO</t>
        </is>
      </c>
      <c r="M2808" s="8" t="n"/>
      <c r="N2808" s="14" t="n"/>
      <c r="O2808" s="7" t="inlineStr"/>
      <c r="P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/>
      <c r="K2809" s="8" t="n"/>
      <c r="L2809" s="7" t="inlineStr">
        <is>
          <t>SEM COTAÇÃO</t>
        </is>
      </c>
      <c r="M2809" s="8" t="n"/>
      <c r="N2809" s="14" t="n"/>
      <c r="O2809" s="7" t="inlineStr"/>
      <c r="P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/>
      <c r="K2810" s="8" t="n"/>
      <c r="L2810" s="7" t="inlineStr">
        <is>
          <t>SEM COTAÇÃO</t>
        </is>
      </c>
      <c r="M2810" s="8" t="n"/>
      <c r="N2810" s="14" t="n"/>
      <c r="O2810" s="7" t="inlineStr"/>
      <c r="P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/>
      <c r="K2811" s="8" t="n"/>
      <c r="L2811" s="7" t="inlineStr">
        <is>
          <t>SEM COTAÇÃO</t>
        </is>
      </c>
      <c r="M2811" s="8" t="n"/>
      <c r="N2811" s="14" t="n"/>
      <c r="O2811" s="7" t="inlineStr"/>
      <c r="P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/>
      <c r="K2812" s="8" t="n"/>
      <c r="L2812" s="7" t="inlineStr">
        <is>
          <t>SEM COTAÇÃO</t>
        </is>
      </c>
      <c r="M2812" s="8" t="n"/>
      <c r="N2812" s="14" t="n"/>
      <c r="O2812" s="7" t="inlineStr"/>
      <c r="P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/>
      <c r="K2813" s="8" t="n"/>
      <c r="L2813" s="7" t="inlineStr">
        <is>
          <t>SEM COTAÇÃO</t>
        </is>
      </c>
      <c r="M2813" s="8" t="n"/>
      <c r="N2813" s="14" t="n"/>
      <c r="O2813" s="7" t="inlineStr"/>
      <c r="P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/>
      <c r="K2814" s="8" t="n"/>
      <c r="L2814" s="7" t="inlineStr">
        <is>
          <t>SEM COTAÇÃO</t>
        </is>
      </c>
      <c r="M2814" s="8" t="n"/>
      <c r="N2814" s="14" t="n"/>
      <c r="O2814" s="7" t="inlineStr"/>
      <c r="P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/>
      <c r="K2815" s="8" t="n"/>
      <c r="L2815" s="7" t="inlineStr">
        <is>
          <t>SEM COTAÇÃO</t>
        </is>
      </c>
      <c r="M2815" s="8" t="n"/>
      <c r="N2815" s="14" t="n"/>
      <c r="O2815" s="7" t="inlineStr"/>
      <c r="P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/>
      <c r="K2816" s="8" t="n"/>
      <c r="L2816" s="7" t="inlineStr">
        <is>
          <t>SEM COTAÇÃO</t>
        </is>
      </c>
      <c r="M2816" s="8" t="n"/>
      <c r="N2816" s="14" t="n"/>
      <c r="O2816" s="7" t="inlineStr"/>
      <c r="P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/>
      <c r="K2817" s="8" t="n"/>
      <c r="L2817" s="7" t="inlineStr">
        <is>
          <t>SEM COTAÇÃO</t>
        </is>
      </c>
      <c r="M2817" s="8" t="n"/>
      <c r="N2817" s="14" t="n"/>
      <c r="O2817" s="7" t="inlineStr"/>
      <c r="P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7" t="inlineStr">
        <is>
          <t>SEM COTAÇÃO</t>
        </is>
      </c>
      <c r="M2818" s="8" t="n"/>
      <c r="N2818" s="14" t="n"/>
      <c r="O2818" s="7" t="inlineStr"/>
      <c r="P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15" t="n">
        <v>4.85</v>
      </c>
      <c r="K2819" s="8" t="n"/>
      <c r="L2819" s="7" t="inlineStr">
        <is>
          <t>DIMEC</t>
        </is>
      </c>
      <c r="M2819" s="8" t="n">
        <v>4.85</v>
      </c>
      <c r="N2819" s="14">
        <f>M2819/H2819-1</f>
        <v/>
      </c>
      <c r="O2819" s="16" t="inlineStr">
        <is>
          <t>ACIMA +17.1%</t>
        </is>
      </c>
      <c r="P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15" t="n">
        <v>4.71</v>
      </c>
      <c r="K2820" s="8" t="n"/>
      <c r="L2820" s="7" t="inlineStr">
        <is>
          <t>DIMEC</t>
        </is>
      </c>
      <c r="M2820" s="8" t="n">
        <v>4.71</v>
      </c>
      <c r="N2820" s="14">
        <f>M2820/H2820-1</f>
        <v/>
      </c>
      <c r="O2820" s="17" t="inlineStr">
        <is>
          <t>OK (≤ menor hist.)</t>
        </is>
      </c>
      <c r="P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/>
      <c r="K2821" s="8" t="n"/>
      <c r="L2821" s="7" t="inlineStr">
        <is>
          <t>SEM COTAÇÃO</t>
        </is>
      </c>
      <c r="M2821" s="8" t="n"/>
      <c r="N2821" s="14" t="n"/>
      <c r="O2821" s="7" t="inlineStr"/>
      <c r="P2821" s="7" t="inlineStr"/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/>
      <c r="K2822" s="8" t="n"/>
      <c r="L2822" s="7" t="inlineStr">
        <is>
          <t>SEM COTAÇÃO</t>
        </is>
      </c>
      <c r="M2822" s="8" t="n"/>
      <c r="N2822" s="14" t="n"/>
      <c r="O2822" s="7" t="inlineStr"/>
      <c r="P2822" s="7" t="inlineStr"/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/>
      <c r="K2823" s="8" t="n"/>
      <c r="L2823" s="7" t="inlineStr">
        <is>
          <t>SEM COTAÇÃO</t>
        </is>
      </c>
      <c r="M2823" s="8" t="n"/>
      <c r="N2823" s="14" t="n"/>
      <c r="O2823" s="7" t="inlineStr"/>
      <c r="P2823" s="7" t="inlineStr"/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/>
      <c r="K2824" s="8" t="n"/>
      <c r="L2824" s="7" t="inlineStr">
        <is>
          <t>SEM COTAÇÃO</t>
        </is>
      </c>
      <c r="M2824" s="8" t="n"/>
      <c r="N2824" s="14" t="n"/>
      <c r="O2824" s="7" t="inlineStr"/>
      <c r="P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/>
      <c r="K2825" s="8" t="n"/>
      <c r="L2825" s="7" t="inlineStr">
        <is>
          <t>SEM COTAÇÃO</t>
        </is>
      </c>
      <c r="M2825" s="8" t="n"/>
      <c r="N2825" s="14" t="n"/>
      <c r="O2825" s="7" t="inlineStr"/>
      <c r="P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/>
      <c r="K2826" s="8" t="n"/>
      <c r="L2826" s="7" t="inlineStr">
        <is>
          <t>SEM COTAÇÃO</t>
        </is>
      </c>
      <c r="M2826" s="8" t="n"/>
      <c r="N2826" s="14" t="n"/>
      <c r="O2826" s="7" t="inlineStr"/>
      <c r="P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/>
      <c r="K2827" s="8" t="n"/>
      <c r="L2827" s="7" t="inlineStr">
        <is>
          <t>SEM COTAÇÃO</t>
        </is>
      </c>
      <c r="M2827" s="8" t="n"/>
      <c r="N2827" s="14" t="n"/>
      <c r="O2827" s="7" t="inlineStr"/>
      <c r="P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/>
      <c r="K2828" s="8" t="n"/>
      <c r="L2828" s="7" t="inlineStr">
        <is>
          <t>SEM COTAÇÃO</t>
        </is>
      </c>
      <c r="M2828" s="8" t="n"/>
      <c r="N2828" s="14" t="n"/>
      <c r="O2828" s="7" t="inlineStr"/>
      <c r="P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15" t="n">
        <v>15.98</v>
      </c>
      <c r="K2829" s="8" t="n"/>
      <c r="L2829" s="7" t="inlineStr">
        <is>
          <t>DIMEC</t>
        </is>
      </c>
      <c r="M2829" s="8" t="n">
        <v>15.98</v>
      </c>
      <c r="N2829" s="14">
        <f>M2829/H2829-1</f>
        <v/>
      </c>
      <c r="O2829" s="17" t="inlineStr">
        <is>
          <t>OK (≤ últ. compra)</t>
        </is>
      </c>
      <c r="P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/>
      <c r="K2830" s="8" t="n"/>
      <c r="L2830" s="7" t="inlineStr">
        <is>
          <t>SEM COTAÇÃO</t>
        </is>
      </c>
      <c r="M2830" s="8" t="n"/>
      <c r="N2830" s="14" t="n"/>
      <c r="O2830" s="7" t="inlineStr"/>
      <c r="P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/>
      <c r="K2831" s="8" t="n"/>
      <c r="L2831" s="7" t="inlineStr">
        <is>
          <t>SEM COTAÇÃO</t>
        </is>
      </c>
      <c r="M2831" s="8" t="n"/>
      <c r="N2831" s="14" t="n"/>
      <c r="O2831" s="7" t="inlineStr"/>
      <c r="P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7" t="inlineStr">
        <is>
          <t>SEM COTAÇÃO</t>
        </is>
      </c>
      <c r="M2832" s="8" t="n"/>
      <c r="N2832" s="14" t="n"/>
      <c r="O2832" s="7" t="inlineStr"/>
      <c r="P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15" t="n">
        <v>4.68</v>
      </c>
      <c r="K2833" s="8" t="n"/>
      <c r="L2833" s="7" t="inlineStr">
        <is>
          <t>DIMEC</t>
        </is>
      </c>
      <c r="M2833" s="8" t="n">
        <v>4.68</v>
      </c>
      <c r="N2833" s="14">
        <f>M2833/H2833-1</f>
        <v/>
      </c>
      <c r="O2833" s="17" t="inlineStr">
        <is>
          <t>OK (≤ menor hist.)</t>
        </is>
      </c>
      <c r="P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/>
      <c r="K2834" s="8" t="n"/>
      <c r="L2834" s="7" t="inlineStr">
        <is>
          <t>SEM COTAÇÃO</t>
        </is>
      </c>
      <c r="M2834" s="8" t="n"/>
      <c r="N2834" s="14" t="n"/>
      <c r="O2834" s="7" t="inlineStr"/>
      <c r="P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/>
      <c r="K2835" s="8" t="n"/>
      <c r="L2835" s="7" t="inlineStr">
        <is>
          <t>SEM COTAÇÃO</t>
        </is>
      </c>
      <c r="M2835" s="8" t="n"/>
      <c r="N2835" s="14" t="n"/>
      <c r="O2835" s="7" t="inlineStr"/>
      <c r="P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/>
      <c r="K2836" s="8" t="n"/>
      <c r="L2836" s="7" t="inlineStr">
        <is>
          <t>SEM COTAÇÃO</t>
        </is>
      </c>
      <c r="M2836" s="8" t="n"/>
      <c r="N2836" s="14" t="n"/>
      <c r="O2836" s="7" t="inlineStr"/>
      <c r="P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/>
      <c r="K2837" s="8" t="n"/>
      <c r="L2837" s="7" t="inlineStr">
        <is>
          <t>SEM COTAÇÃO</t>
        </is>
      </c>
      <c r="M2837" s="8" t="n"/>
      <c r="N2837" s="14" t="n"/>
      <c r="O2837" s="7" t="inlineStr"/>
      <c r="P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15" t="n">
        <v>2.86</v>
      </c>
      <c r="K2838" s="8" t="n"/>
      <c r="L2838" s="7" t="inlineStr">
        <is>
          <t>DIMEC</t>
        </is>
      </c>
      <c r="M2838" s="8" t="n">
        <v>2.86</v>
      </c>
      <c r="N2838" s="14">
        <f>M2838/H2838-1</f>
        <v/>
      </c>
      <c r="O2838" s="16" t="inlineStr">
        <is>
          <t>ACIMA +21.7%</t>
        </is>
      </c>
      <c r="P2838" s="7" t="inlineStr"/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/>
      <c r="K2839" s="8" t="n"/>
      <c r="L2839" s="7" t="inlineStr">
        <is>
          <t>SEM COTAÇÃO</t>
        </is>
      </c>
      <c r="M2839" s="8" t="n"/>
      <c r="N2839" s="14" t="n"/>
      <c r="O2839" s="7" t="inlineStr"/>
      <c r="P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35.44</v>
      </c>
      <c r="K2840" s="15" t="n">
        <v>34.66</v>
      </c>
      <c r="L2840" s="7" t="inlineStr">
        <is>
          <t>PLUSFARMA</t>
        </is>
      </c>
      <c r="M2840" s="8" t="n">
        <v>34.66</v>
      </c>
      <c r="N2840" s="14">
        <f>M2840/H2840-1</f>
        <v/>
      </c>
      <c r="O2840" s="16" t="inlineStr">
        <is>
          <t>ACIMA +2.5%</t>
        </is>
      </c>
      <c r="P2840" s="7" t="inlineStr"/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/>
      <c r="K2841" s="8" t="n"/>
      <c r="L2841" s="7" t="inlineStr">
        <is>
          <t>SEM COTAÇÃO</t>
        </is>
      </c>
      <c r="M2841" s="8" t="n"/>
      <c r="N2841" s="14" t="n"/>
      <c r="O2841" s="7" t="inlineStr"/>
      <c r="P2841" s="7" t="inlineStr"/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/>
      <c r="K2842" s="8" t="n"/>
      <c r="L2842" s="7" t="inlineStr">
        <is>
          <t>SEM COTAÇÃO</t>
        </is>
      </c>
      <c r="M2842" s="8" t="n"/>
      <c r="N2842" s="14" t="n"/>
      <c r="O2842" s="7" t="inlineStr"/>
      <c r="P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/>
      <c r="K2843" s="8" t="n"/>
      <c r="L2843" s="7" t="inlineStr">
        <is>
          <t>SEM COTAÇÃO</t>
        </is>
      </c>
      <c r="M2843" s="8" t="n"/>
      <c r="N2843" s="14" t="n"/>
      <c r="O2843" s="7" t="inlineStr"/>
      <c r="P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/>
      <c r="K2844" s="8" t="n"/>
      <c r="L2844" s="7" t="inlineStr">
        <is>
          <t>SEM COTAÇÃO</t>
        </is>
      </c>
      <c r="M2844" s="8" t="n"/>
      <c r="N2844" s="14" t="n"/>
      <c r="O2844" s="7" t="inlineStr"/>
      <c r="P2844" s="7" t="inlineStr"/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/>
      <c r="K2845" s="8" t="n"/>
      <c r="L2845" s="7" t="inlineStr">
        <is>
          <t>SEM COTAÇÃO</t>
        </is>
      </c>
      <c r="M2845" s="8" t="n"/>
      <c r="N2845" s="14" t="n"/>
      <c r="O2845" s="7" t="inlineStr"/>
      <c r="P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/>
      <c r="K2846" s="8" t="n"/>
      <c r="L2846" s="7" t="inlineStr">
        <is>
          <t>SEM COTAÇÃO</t>
        </is>
      </c>
      <c r="M2846" s="8" t="n"/>
      <c r="N2846" s="14" t="n"/>
      <c r="O2846" s="7" t="inlineStr"/>
      <c r="P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/>
      <c r="K2847" s="8" t="n"/>
      <c r="L2847" s="7" t="inlineStr">
        <is>
          <t>SEM COTAÇÃO</t>
        </is>
      </c>
      <c r="M2847" s="8" t="n"/>
      <c r="N2847" s="14" t="n"/>
      <c r="O2847" s="7" t="inlineStr"/>
      <c r="P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/>
      <c r="K2848" s="8" t="n"/>
      <c r="L2848" s="7" t="inlineStr">
        <is>
          <t>SEM COTAÇÃO</t>
        </is>
      </c>
      <c r="M2848" s="8" t="n"/>
      <c r="N2848" s="14" t="n"/>
      <c r="O2848" s="7" t="inlineStr"/>
      <c r="P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/>
      <c r="K2849" s="8" t="n"/>
      <c r="L2849" s="7" t="inlineStr">
        <is>
          <t>SEM COTAÇÃO</t>
        </is>
      </c>
      <c r="M2849" s="8" t="n"/>
      <c r="N2849" s="14" t="n"/>
      <c r="O2849" s="7" t="inlineStr"/>
      <c r="P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/>
      <c r="K2850" s="8" t="n"/>
      <c r="L2850" s="7" t="inlineStr">
        <is>
          <t>SEM COTAÇÃO</t>
        </is>
      </c>
      <c r="M2850" s="8" t="n"/>
      <c r="N2850" s="14" t="n"/>
      <c r="O2850" s="7" t="inlineStr"/>
      <c r="P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/>
      <c r="K2851" s="8" t="n"/>
      <c r="L2851" s="7" t="inlineStr">
        <is>
          <t>SEM COTAÇÃO</t>
        </is>
      </c>
      <c r="M2851" s="8" t="n"/>
      <c r="N2851" s="14" t="n"/>
      <c r="O2851" s="7" t="inlineStr"/>
      <c r="P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/>
      <c r="K2852" s="8" t="n"/>
      <c r="L2852" s="7" t="inlineStr">
        <is>
          <t>SEM COTAÇÃO</t>
        </is>
      </c>
      <c r="M2852" s="8" t="n"/>
      <c r="N2852" s="14" t="n"/>
      <c r="O2852" s="7" t="inlineStr"/>
      <c r="P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/>
      <c r="K2853" s="8" t="n"/>
      <c r="L2853" s="7" t="inlineStr">
        <is>
          <t>SEM COTAÇÃO</t>
        </is>
      </c>
      <c r="M2853" s="8" t="n"/>
      <c r="N2853" s="14" t="n"/>
      <c r="O2853" s="7" t="inlineStr"/>
      <c r="P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/>
      <c r="K2854" s="15" t="n">
        <v>39.15</v>
      </c>
      <c r="L2854" s="7" t="inlineStr">
        <is>
          <t>PLUSFARMA</t>
        </is>
      </c>
      <c r="M2854" s="8" t="n">
        <v>39.15</v>
      </c>
      <c r="N2854" s="14">
        <f>M2854/H2854-1</f>
        <v/>
      </c>
      <c r="O2854" s="17" t="inlineStr">
        <is>
          <t>OK (≤ menor hist.)</t>
        </is>
      </c>
      <c r="P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/>
      <c r="K2855" s="8" t="n"/>
      <c r="L2855" s="7" t="inlineStr">
        <is>
          <t>SEM COTAÇÃO</t>
        </is>
      </c>
      <c r="M2855" s="8" t="n"/>
      <c r="N2855" s="14" t="n"/>
      <c r="O2855" s="7" t="inlineStr"/>
      <c r="P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/>
      <c r="K2856" s="8" t="n"/>
      <c r="L2856" s="7" t="inlineStr">
        <is>
          <t>SEM COTAÇÃO</t>
        </is>
      </c>
      <c r="M2856" s="8" t="n"/>
      <c r="N2856" s="14" t="n"/>
      <c r="O2856" s="7" t="inlineStr"/>
      <c r="P2856" s="7" t="inlineStr"/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/>
      <c r="K2857" s="8" t="n"/>
      <c r="L2857" s="7" t="inlineStr">
        <is>
          <t>SEM COTAÇÃO</t>
        </is>
      </c>
      <c r="M2857" s="8" t="n"/>
      <c r="N2857" s="14" t="n"/>
      <c r="O2857" s="7" t="inlineStr"/>
      <c r="P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/>
      <c r="K2858" s="8" t="n"/>
      <c r="L2858" s="7" t="inlineStr">
        <is>
          <t>SEM COTAÇÃO</t>
        </is>
      </c>
      <c r="M2858" s="8" t="n"/>
      <c r="N2858" s="14" t="n"/>
      <c r="O2858" s="7" t="inlineStr"/>
      <c r="P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/>
      <c r="K2859" s="8" t="n"/>
      <c r="L2859" s="7" t="inlineStr">
        <is>
          <t>SEM COTAÇÃO</t>
        </is>
      </c>
      <c r="M2859" s="8" t="n"/>
      <c r="N2859" s="14" t="n"/>
      <c r="O2859" s="7" t="inlineStr"/>
      <c r="P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/>
      <c r="K2860" s="8" t="n"/>
      <c r="L2860" s="7" t="inlineStr">
        <is>
          <t>SEM COTAÇÃO</t>
        </is>
      </c>
      <c r="M2860" s="8" t="n"/>
      <c r="N2860" s="14" t="n"/>
      <c r="O2860" s="7" t="inlineStr"/>
      <c r="P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/>
      <c r="K2861" s="8" t="n"/>
      <c r="L2861" s="7" t="inlineStr">
        <is>
          <t>SEM COTAÇÃO</t>
        </is>
      </c>
      <c r="M2861" s="8" t="n"/>
      <c r="N2861" s="14" t="n"/>
      <c r="O2861" s="7" t="inlineStr"/>
      <c r="P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/>
      <c r="K2862" s="8" t="n"/>
      <c r="L2862" s="7" t="inlineStr">
        <is>
          <t>SEM COTAÇÃO</t>
        </is>
      </c>
      <c r="M2862" s="8" t="n"/>
      <c r="N2862" s="14" t="n"/>
      <c r="O2862" s="7" t="inlineStr"/>
      <c r="P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/>
      <c r="K2863" s="8" t="n"/>
      <c r="L2863" s="7" t="inlineStr">
        <is>
          <t>SEM COTAÇÃO</t>
        </is>
      </c>
      <c r="M2863" s="8" t="n"/>
      <c r="N2863" s="14" t="n"/>
      <c r="O2863" s="7" t="inlineStr"/>
      <c r="P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/>
      <c r="K2864" s="8" t="n"/>
      <c r="L2864" s="7" t="inlineStr">
        <is>
          <t>SEM COTAÇÃO</t>
        </is>
      </c>
      <c r="M2864" s="8" t="n"/>
      <c r="N2864" s="14" t="n"/>
      <c r="O2864" s="7" t="inlineStr"/>
      <c r="P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/>
      <c r="K2865" s="8" t="n"/>
      <c r="L2865" s="7" t="inlineStr">
        <is>
          <t>SEM COTAÇÃO</t>
        </is>
      </c>
      <c r="M2865" s="8" t="n"/>
      <c r="N2865" s="14" t="n"/>
      <c r="O2865" s="7" t="inlineStr"/>
      <c r="P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/>
      <c r="K2866" s="8" t="n"/>
      <c r="L2866" s="7" t="inlineStr">
        <is>
          <t>SEM COTAÇÃO</t>
        </is>
      </c>
      <c r="M2866" s="8" t="n"/>
      <c r="N2866" s="14" t="n"/>
      <c r="O2866" s="7" t="inlineStr"/>
      <c r="P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/>
      <c r="K2867" s="8" t="n"/>
      <c r="L2867" s="7" t="inlineStr">
        <is>
          <t>SEM COTAÇÃO</t>
        </is>
      </c>
      <c r="M2867" s="8" t="n"/>
      <c r="N2867" s="14" t="n"/>
      <c r="O2867" s="7" t="inlineStr"/>
      <c r="P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/>
      <c r="K2868" s="8" t="n"/>
      <c r="L2868" s="7" t="inlineStr">
        <is>
          <t>SEM COTAÇÃO</t>
        </is>
      </c>
      <c r="M2868" s="8" t="n"/>
      <c r="N2868" s="14" t="n"/>
      <c r="O2868" s="7" t="inlineStr"/>
      <c r="P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7" t="inlineStr">
        <is>
          <t>SEM COTAÇÃO</t>
        </is>
      </c>
      <c r="M2869" s="8" t="n"/>
      <c r="N2869" s="14" t="n"/>
      <c r="O2869" s="7" t="inlineStr"/>
      <c r="P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/>
      <c r="K2870" s="8" t="n"/>
      <c r="L2870" s="7" t="inlineStr">
        <is>
          <t>SEM COTAÇÃO</t>
        </is>
      </c>
      <c r="M2870" s="8" t="n"/>
      <c r="N2870" s="14" t="n"/>
      <c r="O2870" s="7" t="inlineStr"/>
      <c r="P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/>
      <c r="K2871" s="8" t="n"/>
      <c r="L2871" s="7" t="inlineStr">
        <is>
          <t>SEM COTAÇÃO</t>
        </is>
      </c>
      <c r="M2871" s="8" t="n"/>
      <c r="N2871" s="14" t="n"/>
      <c r="O2871" s="7" t="inlineStr"/>
      <c r="P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/>
      <c r="K2872" s="8" t="n"/>
      <c r="L2872" s="7" t="inlineStr">
        <is>
          <t>SEM COTAÇÃO</t>
        </is>
      </c>
      <c r="M2872" s="8" t="n"/>
      <c r="N2872" s="14" t="n"/>
      <c r="O2872" s="7" t="inlineStr"/>
      <c r="P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/>
      <c r="K2873" s="8" t="n"/>
      <c r="L2873" s="7" t="inlineStr">
        <is>
          <t>SEM COTAÇÃO</t>
        </is>
      </c>
      <c r="M2873" s="8" t="n"/>
      <c r="N2873" s="14" t="n"/>
      <c r="O2873" s="7" t="inlineStr"/>
      <c r="P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/>
      <c r="K2874" s="8" t="n"/>
      <c r="L2874" s="7" t="inlineStr">
        <is>
          <t>SEM COTAÇÃO</t>
        </is>
      </c>
      <c r="M2874" s="8" t="n"/>
      <c r="N2874" s="14" t="n"/>
      <c r="O2874" s="7" t="inlineStr"/>
      <c r="P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/>
      <c r="K2875" s="8" t="n"/>
      <c r="L2875" s="7" t="inlineStr">
        <is>
          <t>SEM COTAÇÃO</t>
        </is>
      </c>
      <c r="M2875" s="8" t="n"/>
      <c r="N2875" s="14" t="n"/>
      <c r="O2875" s="7" t="inlineStr"/>
      <c r="P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/>
      <c r="K2876" s="8" t="n"/>
      <c r="L2876" s="7" t="inlineStr">
        <is>
          <t>SEM COTAÇÃO</t>
        </is>
      </c>
      <c r="M2876" s="8" t="n"/>
      <c r="N2876" s="14" t="n"/>
      <c r="O2876" s="7" t="inlineStr"/>
      <c r="P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/>
      <c r="K2877" s="8" t="n"/>
      <c r="L2877" s="7" t="inlineStr">
        <is>
          <t>SEM COTAÇÃO</t>
        </is>
      </c>
      <c r="M2877" s="8" t="n"/>
      <c r="N2877" s="14" t="n"/>
      <c r="O2877" s="7" t="inlineStr"/>
      <c r="P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/>
      <c r="K2878" s="8" t="n"/>
      <c r="L2878" s="7" t="inlineStr">
        <is>
          <t>SEM COTAÇÃO</t>
        </is>
      </c>
      <c r="M2878" s="8" t="n"/>
      <c r="N2878" s="14" t="n"/>
      <c r="O2878" s="7" t="inlineStr"/>
      <c r="P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/>
      <c r="K2879" s="8" t="n"/>
      <c r="L2879" s="7" t="inlineStr">
        <is>
          <t>SEM COTAÇÃO</t>
        </is>
      </c>
      <c r="M2879" s="8" t="n"/>
      <c r="N2879" s="14" t="n"/>
      <c r="O2879" s="7" t="inlineStr"/>
      <c r="P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/>
      <c r="K2880" s="8" t="n"/>
      <c r="L2880" s="7" t="inlineStr">
        <is>
          <t>SEM COTAÇÃO</t>
        </is>
      </c>
      <c r="M2880" s="8" t="n"/>
      <c r="N2880" s="14" t="n"/>
      <c r="O2880" s="7" t="inlineStr"/>
      <c r="P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/>
      <c r="K2881" s="8" t="n"/>
      <c r="L2881" s="7" t="inlineStr">
        <is>
          <t>SEM COTAÇÃO</t>
        </is>
      </c>
      <c r="M2881" s="8" t="n"/>
      <c r="N2881" s="14" t="n"/>
      <c r="O2881" s="7" t="inlineStr"/>
      <c r="P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/>
      <c r="K2882" s="8" t="n"/>
      <c r="L2882" s="7" t="inlineStr">
        <is>
          <t>SEM COTAÇÃO</t>
        </is>
      </c>
      <c r="M2882" s="8" t="n"/>
      <c r="N2882" s="14" t="n"/>
      <c r="O2882" s="7" t="inlineStr"/>
      <c r="P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/>
      <c r="K2883" s="8" t="n"/>
      <c r="L2883" s="7" t="inlineStr">
        <is>
          <t>SEM COTAÇÃO</t>
        </is>
      </c>
      <c r="M2883" s="8" t="n"/>
      <c r="N2883" s="14" t="n"/>
      <c r="O2883" s="7" t="inlineStr"/>
      <c r="P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/>
      <c r="K2884" s="8" t="n"/>
      <c r="L2884" s="7" t="inlineStr">
        <is>
          <t>SEM COTAÇÃO</t>
        </is>
      </c>
      <c r="M2884" s="8" t="n"/>
      <c r="N2884" s="14" t="n"/>
      <c r="O2884" s="7" t="inlineStr"/>
      <c r="P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7" t="inlineStr">
        <is>
          <t>SEM COTAÇÃO</t>
        </is>
      </c>
      <c r="M2885" s="8" t="n"/>
      <c r="N2885" s="14" t="n"/>
      <c r="O2885" s="7" t="inlineStr"/>
      <c r="P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/>
      <c r="K2886" s="8" t="n"/>
      <c r="L2886" s="7" t="inlineStr">
        <is>
          <t>SEM COTAÇÃO</t>
        </is>
      </c>
      <c r="M2886" s="8" t="n"/>
      <c r="N2886" s="14" t="n"/>
      <c r="O2886" s="7" t="inlineStr"/>
      <c r="P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/>
      <c r="K2887" s="8" t="n"/>
      <c r="L2887" s="7" t="inlineStr">
        <is>
          <t>SEM COTAÇÃO</t>
        </is>
      </c>
      <c r="M2887" s="8" t="n"/>
      <c r="N2887" s="14" t="n"/>
      <c r="O2887" s="7" t="inlineStr"/>
      <c r="P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/>
      <c r="K2888" s="8" t="n"/>
      <c r="L2888" s="7" t="inlineStr">
        <is>
          <t>SEM COTAÇÃO</t>
        </is>
      </c>
      <c r="M2888" s="8" t="n"/>
      <c r="N2888" s="14" t="n"/>
      <c r="O2888" s="7" t="inlineStr"/>
      <c r="P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/>
      <c r="K2889" s="8" t="n"/>
      <c r="L2889" s="7" t="inlineStr">
        <is>
          <t>SEM COTAÇÃO</t>
        </is>
      </c>
      <c r="M2889" s="8" t="n"/>
      <c r="N2889" s="14" t="n"/>
      <c r="O2889" s="7" t="inlineStr"/>
      <c r="P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/>
      <c r="K2890" s="8" t="n"/>
      <c r="L2890" s="7" t="inlineStr">
        <is>
          <t>SEM COTAÇÃO</t>
        </is>
      </c>
      <c r="M2890" s="8" t="n"/>
      <c r="N2890" s="14" t="n"/>
      <c r="O2890" s="7" t="inlineStr"/>
      <c r="P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/>
      <c r="K2891" s="8" t="n"/>
      <c r="L2891" s="7" t="inlineStr">
        <is>
          <t>SEM COTAÇÃO</t>
        </is>
      </c>
      <c r="M2891" s="8" t="n"/>
      <c r="N2891" s="14" t="n"/>
      <c r="O2891" s="7" t="inlineStr"/>
      <c r="P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/>
      <c r="K2892" s="8" t="n"/>
      <c r="L2892" s="7" t="inlineStr">
        <is>
          <t>SEM COTAÇÃO</t>
        </is>
      </c>
      <c r="M2892" s="8" t="n"/>
      <c r="N2892" s="14" t="n"/>
      <c r="O2892" s="7" t="inlineStr"/>
      <c r="P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/>
      <c r="K2893" s="8" t="n"/>
      <c r="L2893" s="7" t="inlineStr">
        <is>
          <t>SEM COTAÇÃO</t>
        </is>
      </c>
      <c r="M2893" s="8" t="n"/>
      <c r="N2893" s="14" t="n"/>
      <c r="O2893" s="7" t="inlineStr"/>
      <c r="P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/>
      <c r="K2894" s="8" t="n"/>
      <c r="L2894" s="7" t="inlineStr">
        <is>
          <t>SEM COTAÇÃO</t>
        </is>
      </c>
      <c r="M2894" s="8" t="n"/>
      <c r="N2894" s="14" t="n"/>
      <c r="O2894" s="7" t="inlineStr"/>
      <c r="P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/>
      <c r="K2895" s="8" t="n"/>
      <c r="L2895" s="7" t="inlineStr">
        <is>
          <t>SEM COTAÇÃO</t>
        </is>
      </c>
      <c r="M2895" s="8" t="n"/>
      <c r="N2895" s="14" t="n"/>
      <c r="O2895" s="7" t="inlineStr"/>
      <c r="P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/>
      <c r="K2896" s="8" t="n"/>
      <c r="L2896" s="7" t="inlineStr">
        <is>
          <t>SEM COTAÇÃO</t>
        </is>
      </c>
      <c r="M2896" s="8" t="n"/>
      <c r="N2896" s="14" t="n"/>
      <c r="O2896" s="7" t="inlineStr"/>
      <c r="P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/>
      <c r="K2897" s="8" t="n"/>
      <c r="L2897" s="7" t="inlineStr">
        <is>
          <t>SEM COTAÇÃO</t>
        </is>
      </c>
      <c r="M2897" s="8" t="n"/>
      <c r="N2897" s="14" t="n"/>
      <c r="O2897" s="7" t="inlineStr"/>
      <c r="P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/>
      <c r="K2898" s="8" t="n"/>
      <c r="L2898" s="7" t="inlineStr">
        <is>
          <t>SEM COTAÇÃO</t>
        </is>
      </c>
      <c r="M2898" s="8" t="n"/>
      <c r="N2898" s="14" t="n"/>
      <c r="O2898" s="7" t="inlineStr"/>
      <c r="P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/>
      <c r="K2899" s="8" t="n"/>
      <c r="L2899" s="7" t="inlineStr">
        <is>
          <t>SEM COTAÇÃO</t>
        </is>
      </c>
      <c r="M2899" s="8" t="n"/>
      <c r="N2899" s="14" t="n"/>
      <c r="O2899" s="7" t="inlineStr"/>
      <c r="P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7" t="inlineStr">
        <is>
          <t>SEM COTAÇÃO</t>
        </is>
      </c>
      <c r="M2900" s="8" t="n"/>
      <c r="N2900" s="14" t="n"/>
      <c r="O2900" s="7" t="inlineStr"/>
      <c r="P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/>
      <c r="K2901" s="8" t="n"/>
      <c r="L2901" s="7" t="inlineStr">
        <is>
          <t>SEM COTAÇÃO</t>
        </is>
      </c>
      <c r="M2901" s="8" t="n"/>
      <c r="N2901" s="14" t="n"/>
      <c r="O2901" s="7" t="inlineStr"/>
      <c r="P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/>
      <c r="K2902" s="8" t="n"/>
      <c r="L2902" s="7" t="inlineStr">
        <is>
          <t>SEM COTAÇÃO</t>
        </is>
      </c>
      <c r="M2902" s="8" t="n"/>
      <c r="N2902" s="14" t="n"/>
      <c r="O2902" s="7" t="inlineStr"/>
      <c r="P2902" s="7" t="inlineStr"/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/>
      <c r="K2903" s="8" t="n"/>
      <c r="L2903" s="7" t="inlineStr">
        <is>
          <t>SEM COTAÇÃO</t>
        </is>
      </c>
      <c r="M2903" s="8" t="n"/>
      <c r="N2903" s="14" t="n"/>
      <c r="O2903" s="7" t="inlineStr"/>
      <c r="P2903" s="7" t="inlineStr"/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/>
      <c r="K2904" s="8" t="n"/>
      <c r="L2904" s="7" t="inlineStr">
        <is>
          <t>SEM COTAÇÃO</t>
        </is>
      </c>
      <c r="M2904" s="8" t="n"/>
      <c r="N2904" s="14" t="n"/>
      <c r="O2904" s="7" t="inlineStr"/>
      <c r="P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/>
      <c r="K2905" s="8" t="n"/>
      <c r="L2905" s="7" t="inlineStr">
        <is>
          <t>SEM COTAÇÃO</t>
        </is>
      </c>
      <c r="M2905" s="8" t="n"/>
      <c r="N2905" s="14" t="n"/>
      <c r="O2905" s="7" t="inlineStr"/>
      <c r="P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/>
      <c r="K2906" s="8" t="n"/>
      <c r="L2906" s="7" t="inlineStr">
        <is>
          <t>SEM COTAÇÃO</t>
        </is>
      </c>
      <c r="M2906" s="8" t="n"/>
      <c r="N2906" s="14" t="n"/>
      <c r="O2906" s="7" t="inlineStr"/>
      <c r="P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/>
      <c r="K2907" s="8" t="n"/>
      <c r="L2907" s="7" t="inlineStr">
        <is>
          <t>SEM COTAÇÃO</t>
        </is>
      </c>
      <c r="M2907" s="8" t="n"/>
      <c r="N2907" s="14" t="n"/>
      <c r="O2907" s="7" t="inlineStr"/>
      <c r="P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/>
      <c r="K2908" s="8" t="n"/>
      <c r="L2908" s="7" t="inlineStr">
        <is>
          <t>SEM COTAÇÃO</t>
        </is>
      </c>
      <c r="M2908" s="8" t="n"/>
      <c r="N2908" s="14" t="n"/>
      <c r="O2908" s="7" t="inlineStr"/>
      <c r="P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/>
      <c r="K2909" s="8" t="n"/>
      <c r="L2909" s="7" t="inlineStr">
        <is>
          <t>SEM COTAÇÃO</t>
        </is>
      </c>
      <c r="M2909" s="8" t="n"/>
      <c r="N2909" s="14" t="n"/>
      <c r="O2909" s="7" t="inlineStr"/>
      <c r="P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15" t="n">
        <v>7.35</v>
      </c>
      <c r="K2910" s="8" t="n"/>
      <c r="L2910" s="7" t="inlineStr">
        <is>
          <t>DIMEC</t>
        </is>
      </c>
      <c r="M2910" s="8" t="n">
        <v>7.35</v>
      </c>
      <c r="N2910" s="14">
        <f>M2910/H2910-1</f>
        <v/>
      </c>
      <c r="O2910" s="16" t="inlineStr">
        <is>
          <t>ACIMA +3.8%</t>
        </is>
      </c>
      <c r="P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/>
      <c r="K2911" s="8" t="n"/>
      <c r="L2911" s="7" t="inlineStr">
        <is>
          <t>SEM COTAÇÃO</t>
        </is>
      </c>
      <c r="M2911" s="8" t="n"/>
      <c r="N2911" s="14" t="n"/>
      <c r="O2911" s="7" t="inlineStr"/>
      <c r="P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/>
      <c r="K2912" s="8" t="n"/>
      <c r="L2912" s="7" t="inlineStr">
        <is>
          <t>SEM COTAÇÃO</t>
        </is>
      </c>
      <c r="M2912" s="8" t="n"/>
      <c r="N2912" s="14" t="n"/>
      <c r="O2912" s="7" t="inlineStr"/>
      <c r="P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/>
      <c r="K2913" s="8" t="n"/>
      <c r="L2913" s="7" t="inlineStr">
        <is>
          <t>SEM COTAÇÃO</t>
        </is>
      </c>
      <c r="M2913" s="8" t="n"/>
      <c r="N2913" s="14" t="n"/>
      <c r="O2913" s="7" t="inlineStr"/>
      <c r="P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/>
      <c r="K2914" s="8" t="n"/>
      <c r="L2914" s="7" t="inlineStr">
        <is>
          <t>SEM COTAÇÃO</t>
        </is>
      </c>
      <c r="M2914" s="8" t="n"/>
      <c r="N2914" s="14" t="n"/>
      <c r="O2914" s="7" t="inlineStr"/>
      <c r="P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/>
      <c r="K2915" s="8" t="n"/>
      <c r="L2915" s="7" t="inlineStr">
        <is>
          <t>SEM COTAÇÃO</t>
        </is>
      </c>
      <c r="M2915" s="8" t="n"/>
      <c r="N2915" s="14" t="n"/>
      <c r="O2915" s="7" t="inlineStr"/>
      <c r="P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/>
      <c r="K2916" s="8" t="n"/>
      <c r="L2916" s="7" t="inlineStr">
        <is>
          <t>SEM COTAÇÃO</t>
        </is>
      </c>
      <c r="M2916" s="8" t="n"/>
      <c r="N2916" s="14" t="n"/>
      <c r="O2916" s="7" t="inlineStr"/>
      <c r="P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/>
      <c r="K2917" s="8" t="n"/>
      <c r="L2917" s="7" t="inlineStr">
        <is>
          <t>SEM COTAÇÃO</t>
        </is>
      </c>
      <c r="M2917" s="8" t="n"/>
      <c r="N2917" s="14" t="n"/>
      <c r="O2917" s="7" t="inlineStr"/>
      <c r="P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/>
      <c r="K2918" s="8" t="n"/>
      <c r="L2918" s="7" t="inlineStr">
        <is>
          <t>SEM COTAÇÃO</t>
        </is>
      </c>
      <c r="M2918" s="8" t="n"/>
      <c r="N2918" s="14" t="n"/>
      <c r="O2918" s="7" t="inlineStr"/>
      <c r="P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/>
      <c r="K2919" s="8" t="n"/>
      <c r="L2919" s="7" t="inlineStr">
        <is>
          <t>SEM COTAÇÃO</t>
        </is>
      </c>
      <c r="M2919" s="8" t="n"/>
      <c r="N2919" s="14" t="n"/>
      <c r="O2919" s="7" t="inlineStr"/>
      <c r="P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7" t="inlineStr">
        <is>
          <t>SEM COTAÇÃO</t>
        </is>
      </c>
      <c r="M2920" s="8" t="n"/>
      <c r="N2920" s="14" t="n"/>
      <c r="O2920" s="7" t="inlineStr"/>
      <c r="P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15" t="n">
        <v>12.76</v>
      </c>
      <c r="K2921" s="8" t="n"/>
      <c r="L2921" s="7" t="inlineStr">
        <is>
          <t>DIMEC</t>
        </is>
      </c>
      <c r="M2921" s="8" t="n">
        <v>12.76</v>
      </c>
      <c r="N2921" s="14">
        <f>M2921/H2921-1</f>
        <v/>
      </c>
      <c r="O2921" s="16" t="inlineStr">
        <is>
          <t>ACIMA +11.2%</t>
        </is>
      </c>
      <c r="P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15" t="n">
        <v>10.61</v>
      </c>
      <c r="K2922" s="8" t="n"/>
      <c r="L2922" s="7" t="inlineStr">
        <is>
          <t>DIMEC</t>
        </is>
      </c>
      <c r="M2922" s="8" t="n">
        <v>10.61</v>
      </c>
      <c r="N2922" s="14">
        <f>M2922/H2922-1</f>
        <v/>
      </c>
      <c r="O2922" s="16" t="inlineStr">
        <is>
          <t>ACIMA +0.7%</t>
        </is>
      </c>
      <c r="P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15" t="n">
        <v>7.52</v>
      </c>
      <c r="K2923" s="8" t="n"/>
      <c r="L2923" s="7" t="inlineStr">
        <is>
          <t>DIMEC</t>
        </is>
      </c>
      <c r="M2923" s="8" t="n">
        <v>7.52</v>
      </c>
      <c r="N2923" s="14">
        <f>M2923/H2923-1</f>
        <v/>
      </c>
      <c r="O2923" s="16" t="inlineStr">
        <is>
          <t>ACIMA +11.4%</t>
        </is>
      </c>
      <c r="P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/>
      <c r="K2924" s="8" t="n"/>
      <c r="L2924" s="7" t="inlineStr">
        <is>
          <t>SEM COTAÇÃO</t>
        </is>
      </c>
      <c r="M2924" s="8" t="n"/>
      <c r="N2924" s="14" t="n"/>
      <c r="O2924" s="7" t="inlineStr"/>
      <c r="P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/>
      <c r="K2925" s="8" t="n"/>
      <c r="L2925" s="7" t="inlineStr">
        <is>
          <t>SEM COTAÇÃO</t>
        </is>
      </c>
      <c r="M2925" s="8" t="n"/>
      <c r="N2925" s="14" t="n"/>
      <c r="O2925" s="7" t="inlineStr"/>
      <c r="P2925" s="7" t="inlineStr"/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15" t="n">
        <v>14.78</v>
      </c>
      <c r="K2926" s="8" t="n"/>
      <c r="L2926" s="7" t="inlineStr">
        <is>
          <t>DIMEC</t>
        </is>
      </c>
      <c r="M2926" s="8" t="n">
        <v>14.78</v>
      </c>
      <c r="N2926" s="14">
        <f>M2926/H2926-1</f>
        <v/>
      </c>
      <c r="O2926" s="17" t="inlineStr">
        <is>
          <t>OK (≤ últ. compra)</t>
        </is>
      </c>
      <c r="P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15" t="n">
        <v>13.22</v>
      </c>
      <c r="K2927" s="8" t="n"/>
      <c r="L2927" s="7" t="inlineStr">
        <is>
          <t>DIMEC</t>
        </is>
      </c>
      <c r="M2927" s="8" t="n">
        <v>13.22</v>
      </c>
      <c r="N2927" s="14">
        <f>M2927/H2927-1</f>
        <v/>
      </c>
      <c r="O2927" s="17" t="inlineStr">
        <is>
          <t>OK (≤ menor hist.)</t>
        </is>
      </c>
      <c r="P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/>
      <c r="K2928" s="8" t="n"/>
      <c r="L2928" s="7" t="inlineStr">
        <is>
          <t>SEM COTAÇÃO</t>
        </is>
      </c>
      <c r="M2928" s="8" t="n"/>
      <c r="N2928" s="14" t="n"/>
      <c r="O2928" s="7" t="inlineStr"/>
      <c r="P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15" t="n">
        <v>15.82</v>
      </c>
      <c r="K2929" s="8" t="n"/>
      <c r="L2929" s="7" t="inlineStr">
        <is>
          <t>DIMEC</t>
        </is>
      </c>
      <c r="M2929" s="8" t="n">
        <v>15.82</v>
      </c>
      <c r="N2929" s="14">
        <f>M2929/H2929-1</f>
        <v/>
      </c>
      <c r="O2929" s="17" t="inlineStr">
        <is>
          <t>OK (≤ últ. compra)</t>
        </is>
      </c>
      <c r="P2929" s="7" t="inlineStr">
        <is>
          <t>DIMEC: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15" t="n">
        <v>10.65</v>
      </c>
      <c r="K2930" s="8" t="n"/>
      <c r="L2930" s="7" t="inlineStr">
        <is>
          <t>DIMEC</t>
        </is>
      </c>
      <c r="M2930" s="8" t="n">
        <v>10.65</v>
      </c>
      <c r="N2930" s="14">
        <f>M2930/H2930-1</f>
        <v/>
      </c>
      <c r="O2930" s="17" t="inlineStr">
        <is>
          <t>OK (≤ últ. compra)</t>
        </is>
      </c>
      <c r="P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/>
      <c r="K2931" s="8" t="n"/>
      <c r="L2931" s="7" t="inlineStr">
        <is>
          <t>SEM COTAÇÃO</t>
        </is>
      </c>
      <c r="M2931" s="8" t="n"/>
      <c r="N2931" s="14" t="n"/>
      <c r="O2931" s="7" t="inlineStr"/>
      <c r="P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/>
      <c r="K2932" s="8" t="n"/>
      <c r="L2932" s="7" t="inlineStr">
        <is>
          <t>SEM COTAÇÃO</t>
        </is>
      </c>
      <c r="M2932" s="8" t="n"/>
      <c r="N2932" s="14" t="n"/>
      <c r="O2932" s="7" t="inlineStr"/>
      <c r="P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/>
      <c r="K2933" s="8" t="n"/>
      <c r="L2933" s="7" t="inlineStr">
        <is>
          <t>SEM COTAÇÃO</t>
        </is>
      </c>
      <c r="M2933" s="8" t="n"/>
      <c r="N2933" s="14" t="n"/>
      <c r="O2933" s="7" t="inlineStr"/>
      <c r="P2933" s="7" t="inlineStr"/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7" t="inlineStr">
        <is>
          <t>SEM COTAÇÃO</t>
        </is>
      </c>
      <c r="M2934" s="8" t="n"/>
      <c r="N2934" s="14" t="n"/>
      <c r="O2934" s="7" t="inlineStr"/>
      <c r="P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/>
      <c r="K2935" s="8" t="n"/>
      <c r="L2935" s="7" t="inlineStr">
        <is>
          <t>SEM COTAÇÃO</t>
        </is>
      </c>
      <c r="M2935" s="8" t="n"/>
      <c r="N2935" s="14" t="n"/>
      <c r="O2935" s="7" t="inlineStr"/>
      <c r="P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/>
      <c r="K2936" s="8" t="n"/>
      <c r="L2936" s="7" t="inlineStr">
        <is>
          <t>SEM COTAÇÃO</t>
        </is>
      </c>
      <c r="M2936" s="8" t="n"/>
      <c r="N2936" s="14" t="n"/>
      <c r="O2936" s="7" t="inlineStr"/>
      <c r="P2936" s="7" t="inlineStr"/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/>
      <c r="K2937" s="8" t="n"/>
      <c r="L2937" s="7" t="inlineStr">
        <is>
          <t>SEM COTAÇÃO</t>
        </is>
      </c>
      <c r="M2937" s="8" t="n"/>
      <c r="N2937" s="14" t="n"/>
      <c r="O2937" s="7" t="inlineStr"/>
      <c r="P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/>
      <c r="K2938" s="8" t="n"/>
      <c r="L2938" s="7" t="inlineStr">
        <is>
          <t>SEM COTAÇÃO</t>
        </is>
      </c>
      <c r="M2938" s="8" t="n"/>
      <c r="N2938" s="14" t="n"/>
      <c r="O2938" s="7" t="inlineStr"/>
      <c r="P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/>
      <c r="K2939" s="8" t="n"/>
      <c r="L2939" s="7" t="inlineStr">
        <is>
          <t>SEM COTAÇÃO</t>
        </is>
      </c>
      <c r="M2939" s="8" t="n"/>
      <c r="N2939" s="14" t="n"/>
      <c r="O2939" s="7" t="inlineStr"/>
      <c r="P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/>
      <c r="K2940" s="8" t="n"/>
      <c r="L2940" s="7" t="inlineStr">
        <is>
          <t>SEM COTAÇÃO</t>
        </is>
      </c>
      <c r="M2940" s="8" t="n"/>
      <c r="N2940" s="14" t="n"/>
      <c r="O2940" s="7" t="inlineStr"/>
      <c r="P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/>
      <c r="K2941" s="8" t="n"/>
      <c r="L2941" s="7" t="inlineStr">
        <is>
          <t>SEM COTAÇÃO</t>
        </is>
      </c>
      <c r="M2941" s="8" t="n"/>
      <c r="N2941" s="14" t="n"/>
      <c r="O2941" s="7" t="inlineStr"/>
      <c r="P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7" t="inlineStr">
        <is>
          <t>SEM COTAÇÃO</t>
        </is>
      </c>
      <c r="M2942" s="8" t="n"/>
      <c r="N2942" s="14" t="n"/>
      <c r="O2942" s="7" t="inlineStr"/>
      <c r="P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/>
      <c r="K2943" s="8" t="n"/>
      <c r="L2943" s="7" t="inlineStr">
        <is>
          <t>SEM COTAÇÃO</t>
        </is>
      </c>
      <c r="M2943" s="8" t="n"/>
      <c r="N2943" s="14" t="n"/>
      <c r="O2943" s="7" t="inlineStr"/>
      <c r="P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/>
      <c r="K2944" s="8" t="n"/>
      <c r="L2944" s="7" t="inlineStr">
        <is>
          <t>SEM COTAÇÃO</t>
        </is>
      </c>
      <c r="M2944" s="8" t="n"/>
      <c r="N2944" s="14" t="n"/>
      <c r="O2944" s="7" t="inlineStr"/>
      <c r="P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/>
      <c r="K2945" s="8" t="n"/>
      <c r="L2945" s="7" t="inlineStr">
        <is>
          <t>SEM COTAÇÃO</t>
        </is>
      </c>
      <c r="M2945" s="8" t="n"/>
      <c r="N2945" s="14" t="n"/>
      <c r="O2945" s="7" t="inlineStr"/>
      <c r="P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/>
      <c r="K2946" s="8" t="n"/>
      <c r="L2946" s="7" t="inlineStr">
        <is>
          <t>SEM COTAÇÃO</t>
        </is>
      </c>
      <c r="M2946" s="8" t="n"/>
      <c r="N2946" s="14" t="n"/>
      <c r="O2946" s="7" t="inlineStr"/>
      <c r="P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/>
      <c r="K2947" s="8" t="n"/>
      <c r="L2947" s="7" t="inlineStr">
        <is>
          <t>SEM COTAÇÃO</t>
        </is>
      </c>
      <c r="M2947" s="8" t="n"/>
      <c r="N2947" s="14" t="n"/>
      <c r="O2947" s="7" t="inlineStr"/>
      <c r="P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/>
      <c r="K2948" s="8" t="n"/>
      <c r="L2948" s="7" t="inlineStr">
        <is>
          <t>SEM COTAÇÃO</t>
        </is>
      </c>
      <c r="M2948" s="8" t="n"/>
      <c r="N2948" s="14" t="n"/>
      <c r="O2948" s="7" t="inlineStr"/>
      <c r="P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/>
      <c r="K2949" s="8" t="n"/>
      <c r="L2949" s="7" t="inlineStr">
        <is>
          <t>SEM COTAÇÃO</t>
        </is>
      </c>
      <c r="M2949" s="8" t="n"/>
      <c r="N2949" s="14" t="n"/>
      <c r="O2949" s="7" t="inlineStr"/>
      <c r="P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/>
      <c r="K2950" s="8" t="n"/>
      <c r="L2950" s="7" t="inlineStr">
        <is>
          <t>SEM COTAÇÃO</t>
        </is>
      </c>
      <c r="M2950" s="8" t="n"/>
      <c r="N2950" s="14" t="n"/>
      <c r="O2950" s="7" t="inlineStr"/>
      <c r="P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/>
      <c r="K2951" s="8" t="n"/>
      <c r="L2951" s="7" t="inlineStr">
        <is>
          <t>SEM COTAÇÃO</t>
        </is>
      </c>
      <c r="M2951" s="8" t="n"/>
      <c r="N2951" s="14" t="n"/>
      <c r="O2951" s="7" t="inlineStr"/>
      <c r="P2951" s="7" t="inlineStr"/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/>
      <c r="K2952" s="8" t="n"/>
      <c r="L2952" s="7" t="inlineStr">
        <is>
          <t>SEM COTAÇÃO</t>
        </is>
      </c>
      <c r="M2952" s="8" t="n"/>
      <c r="N2952" s="14" t="n"/>
      <c r="O2952" s="7" t="inlineStr"/>
      <c r="P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/>
      <c r="K2953" s="8" t="n"/>
      <c r="L2953" s="7" t="inlineStr">
        <is>
          <t>SEM COTAÇÃO</t>
        </is>
      </c>
      <c r="M2953" s="8" t="n"/>
      <c r="N2953" s="14" t="n"/>
      <c r="O2953" s="7" t="inlineStr"/>
      <c r="P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15" t="n">
        <v>8.26</v>
      </c>
      <c r="K2954" s="8" t="n"/>
      <c r="L2954" s="7" t="inlineStr">
        <is>
          <t>DIMEC</t>
        </is>
      </c>
      <c r="M2954" s="8" t="n">
        <v>8.26</v>
      </c>
      <c r="N2954" s="14">
        <f>M2954/H2954-1</f>
        <v/>
      </c>
      <c r="O2954" s="17" t="inlineStr">
        <is>
          <t>OK (≤ últ. compra)</t>
        </is>
      </c>
      <c r="P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/>
      <c r="K2955" s="8" t="n"/>
      <c r="L2955" s="7" t="inlineStr">
        <is>
          <t>SEM COTAÇÃO</t>
        </is>
      </c>
      <c r="M2955" s="8" t="n"/>
      <c r="N2955" s="14" t="n"/>
      <c r="O2955" s="7" t="inlineStr"/>
      <c r="P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15" t="n">
        <v>10.3</v>
      </c>
      <c r="K2956" s="8" t="n"/>
      <c r="L2956" s="7" t="inlineStr">
        <is>
          <t>DIMEC</t>
        </is>
      </c>
      <c r="M2956" s="8" t="n">
        <v>10.3</v>
      </c>
      <c r="N2956" s="14">
        <f>M2956/H2956-1</f>
        <v/>
      </c>
      <c r="O2956" s="17" t="inlineStr">
        <is>
          <t>OK (≤ menor hist.)</t>
        </is>
      </c>
      <c r="P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/>
      <c r="K2957" s="8" t="n"/>
      <c r="L2957" s="7" t="inlineStr">
        <is>
          <t>SEM COTAÇÃO</t>
        </is>
      </c>
      <c r="M2957" s="8" t="n"/>
      <c r="N2957" s="14" t="n"/>
      <c r="O2957" s="7" t="inlineStr"/>
      <c r="P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/>
      <c r="K2958" s="8" t="n"/>
      <c r="L2958" s="7" t="inlineStr">
        <is>
          <t>SEM COTAÇÃO</t>
        </is>
      </c>
      <c r="M2958" s="8" t="n"/>
      <c r="N2958" s="14" t="n"/>
      <c r="O2958" s="7" t="inlineStr"/>
      <c r="P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/>
      <c r="K2959" s="8" t="n"/>
      <c r="L2959" s="7" t="inlineStr">
        <is>
          <t>SEM COTAÇÃO</t>
        </is>
      </c>
      <c r="M2959" s="8" t="n"/>
      <c r="N2959" s="14" t="n"/>
      <c r="O2959" s="7" t="inlineStr"/>
      <c r="P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/>
      <c r="K2960" s="8" t="n"/>
      <c r="L2960" s="7" t="inlineStr">
        <is>
          <t>SEM COTAÇÃO</t>
        </is>
      </c>
      <c r="M2960" s="8" t="n"/>
      <c r="N2960" s="14" t="n"/>
      <c r="O2960" s="7" t="inlineStr"/>
      <c r="P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15" t="n">
        <v>26.484262</v>
      </c>
      <c r="K2961" s="8" t="n"/>
      <c r="L2961" s="7" t="inlineStr">
        <is>
          <t>DIMEC</t>
        </is>
      </c>
      <c r="M2961" s="8" t="n">
        <v>26.484262</v>
      </c>
      <c r="N2961" s="14">
        <f>M2961/H2961-1</f>
        <v/>
      </c>
      <c r="O2961" s="16" t="inlineStr">
        <is>
          <t>ACIMA +24.2%</t>
        </is>
      </c>
      <c r="P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15" t="n">
        <v>42.609678</v>
      </c>
      <c r="K2962" s="8" t="n"/>
      <c r="L2962" s="7" t="inlineStr">
        <is>
          <t>DIMEC</t>
        </is>
      </c>
      <c r="M2962" s="8" t="n">
        <v>42.609678</v>
      </c>
      <c r="N2962" s="14">
        <f>M2962/H2962-1</f>
        <v/>
      </c>
      <c r="O2962" s="16" t="inlineStr">
        <is>
          <t>ACIMA +13.2%</t>
        </is>
      </c>
      <c r="P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/>
      <c r="K2963" s="8" t="n"/>
      <c r="L2963" s="7" t="inlineStr">
        <is>
          <t>SEM COTAÇÃO</t>
        </is>
      </c>
      <c r="M2963" s="8" t="n"/>
      <c r="N2963" s="14" t="n"/>
      <c r="O2963" s="7" t="inlineStr"/>
      <c r="P2963" s="7" t="inlineStr"/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/>
      <c r="K2964" s="8" t="n"/>
      <c r="L2964" s="7" t="inlineStr">
        <is>
          <t>SEM COTAÇÃO</t>
        </is>
      </c>
      <c r="M2964" s="8" t="n"/>
      <c r="N2964" s="14" t="n"/>
      <c r="O2964" s="7" t="inlineStr"/>
      <c r="P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/>
      <c r="K2965" s="8" t="n"/>
      <c r="L2965" s="7" t="inlineStr">
        <is>
          <t>SEM COTAÇÃO</t>
        </is>
      </c>
      <c r="M2965" s="8" t="n"/>
      <c r="N2965" s="14" t="n"/>
      <c r="O2965" s="7" t="inlineStr"/>
      <c r="P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/>
      <c r="K2966" s="8" t="n"/>
      <c r="L2966" s="7" t="inlineStr">
        <is>
          <t>SEM COTAÇÃO</t>
        </is>
      </c>
      <c r="M2966" s="8" t="n"/>
      <c r="N2966" s="14" t="n"/>
      <c r="O2966" s="7" t="inlineStr"/>
      <c r="P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/>
      <c r="K2967" s="8" t="n"/>
      <c r="L2967" s="7" t="inlineStr">
        <is>
          <t>SEM COTAÇÃO</t>
        </is>
      </c>
      <c r="M2967" s="8" t="n"/>
      <c r="N2967" s="14" t="n"/>
      <c r="O2967" s="7" t="inlineStr"/>
      <c r="P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/>
      <c r="K2968" s="8" t="n"/>
      <c r="L2968" s="7" t="inlineStr">
        <is>
          <t>SEM COTAÇÃO</t>
        </is>
      </c>
      <c r="M2968" s="8" t="n"/>
      <c r="N2968" s="14" t="n"/>
      <c r="O2968" s="7" t="inlineStr"/>
      <c r="P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/>
      <c r="K2969" s="8" t="n"/>
      <c r="L2969" s="7" t="inlineStr">
        <is>
          <t>SEM COTAÇÃO</t>
        </is>
      </c>
      <c r="M2969" s="8" t="n"/>
      <c r="N2969" s="14" t="n"/>
      <c r="O2969" s="7" t="inlineStr"/>
      <c r="P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/>
      <c r="K2970" s="8" t="n"/>
      <c r="L2970" s="7" t="inlineStr">
        <is>
          <t>SEM COTAÇÃO</t>
        </is>
      </c>
      <c r="M2970" s="8" t="n"/>
      <c r="N2970" s="14" t="n"/>
      <c r="O2970" s="7" t="inlineStr"/>
      <c r="P2970" s="7" t="inlineStr"/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/>
      <c r="K2971" s="8" t="n"/>
      <c r="L2971" s="7" t="inlineStr">
        <is>
          <t>SEM COTAÇÃO</t>
        </is>
      </c>
      <c r="M2971" s="8" t="n"/>
      <c r="N2971" s="14" t="n"/>
      <c r="O2971" s="7" t="inlineStr"/>
      <c r="P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/>
      <c r="K2972" s="8" t="n"/>
      <c r="L2972" s="7" t="inlineStr">
        <is>
          <t>SEM COTAÇÃO</t>
        </is>
      </c>
      <c r="M2972" s="8" t="n"/>
      <c r="N2972" s="14" t="n"/>
      <c r="O2972" s="7" t="inlineStr"/>
      <c r="P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/>
      <c r="K2973" s="8" t="n"/>
      <c r="L2973" s="7" t="inlineStr">
        <is>
          <t>SEM COTAÇÃO</t>
        </is>
      </c>
      <c r="M2973" s="8" t="n"/>
      <c r="N2973" s="14" t="n"/>
      <c r="O2973" s="7" t="inlineStr"/>
      <c r="P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/>
      <c r="K2974" s="8" t="n"/>
      <c r="L2974" s="7" t="inlineStr">
        <is>
          <t>SEM COTAÇÃO</t>
        </is>
      </c>
      <c r="M2974" s="8" t="n"/>
      <c r="N2974" s="14" t="n"/>
      <c r="O2974" s="7" t="inlineStr"/>
      <c r="P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/>
      <c r="K2975" s="8" t="n"/>
      <c r="L2975" s="7" t="inlineStr">
        <is>
          <t>SEM COTAÇÃO</t>
        </is>
      </c>
      <c r="M2975" s="8" t="n"/>
      <c r="N2975" s="14" t="n"/>
      <c r="O2975" s="7" t="inlineStr"/>
      <c r="P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/>
      <c r="K2976" s="8" t="n"/>
      <c r="L2976" s="7" t="inlineStr">
        <is>
          <t>SEM COTAÇÃO</t>
        </is>
      </c>
      <c r="M2976" s="8" t="n"/>
      <c r="N2976" s="14" t="n"/>
      <c r="O2976" s="7" t="inlineStr"/>
      <c r="P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/>
      <c r="K2977" s="8" t="n"/>
      <c r="L2977" s="7" t="inlineStr">
        <is>
          <t>SEM COTAÇÃO</t>
        </is>
      </c>
      <c r="M2977" s="8" t="n"/>
      <c r="N2977" s="14" t="n"/>
      <c r="O2977" s="7" t="inlineStr"/>
      <c r="P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/>
      <c r="K2978" s="8" t="n"/>
      <c r="L2978" s="7" t="inlineStr">
        <is>
          <t>SEM COTAÇÃO</t>
        </is>
      </c>
      <c r="M2978" s="8" t="n"/>
      <c r="N2978" s="14" t="n"/>
      <c r="O2978" s="7" t="inlineStr"/>
      <c r="P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/>
      <c r="K2979" s="8" t="n"/>
      <c r="L2979" s="7" t="inlineStr">
        <is>
          <t>SEM COTAÇÃO</t>
        </is>
      </c>
      <c r="M2979" s="8" t="n"/>
      <c r="N2979" s="14" t="n"/>
      <c r="O2979" s="7" t="inlineStr"/>
      <c r="P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/>
      <c r="K2980" s="8" t="n"/>
      <c r="L2980" s="7" t="inlineStr">
        <is>
          <t>SEM COTAÇÃO</t>
        </is>
      </c>
      <c r="M2980" s="8" t="n"/>
      <c r="N2980" s="14" t="n"/>
      <c r="O2980" s="7" t="inlineStr"/>
      <c r="P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/>
      <c r="K2981" s="8" t="n"/>
      <c r="L2981" s="7" t="inlineStr">
        <is>
          <t>SEM COTAÇÃO</t>
        </is>
      </c>
      <c r="M2981" s="8" t="n"/>
      <c r="N2981" s="14" t="n"/>
      <c r="O2981" s="7" t="inlineStr"/>
      <c r="P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/>
      <c r="K2982" s="8" t="n"/>
      <c r="L2982" s="7" t="inlineStr">
        <is>
          <t>SEM COTAÇÃO</t>
        </is>
      </c>
      <c r="M2982" s="8" t="n"/>
      <c r="N2982" s="14" t="n"/>
      <c r="O2982" s="7" t="inlineStr"/>
      <c r="P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/>
      <c r="K2983" s="8" t="n"/>
      <c r="L2983" s="7" t="inlineStr">
        <is>
          <t>SEM COTAÇÃO</t>
        </is>
      </c>
      <c r="M2983" s="8" t="n"/>
      <c r="N2983" s="14" t="n"/>
      <c r="O2983" s="7" t="inlineStr"/>
      <c r="P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/>
      <c r="K2984" s="8" t="n"/>
      <c r="L2984" s="7" t="inlineStr">
        <is>
          <t>SEM COTAÇÃO</t>
        </is>
      </c>
      <c r="M2984" s="8" t="n"/>
      <c r="N2984" s="14" t="n"/>
      <c r="O2984" s="7" t="inlineStr"/>
      <c r="P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/>
      <c r="K2985" s="8" t="n"/>
      <c r="L2985" s="7" t="inlineStr">
        <is>
          <t>SEM COTAÇÃO</t>
        </is>
      </c>
      <c r="M2985" s="8" t="n"/>
      <c r="N2985" s="14" t="n"/>
      <c r="O2985" s="7" t="inlineStr"/>
      <c r="P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/>
      <c r="K2986" s="8" t="n"/>
      <c r="L2986" s="7" t="inlineStr">
        <is>
          <t>SEM COTAÇÃO</t>
        </is>
      </c>
      <c r="M2986" s="8" t="n"/>
      <c r="N2986" s="14" t="n"/>
      <c r="O2986" s="7" t="inlineStr"/>
      <c r="P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7" t="inlineStr">
        <is>
          <t>SEM COTAÇÃO</t>
        </is>
      </c>
      <c r="M2987" s="8" t="n"/>
      <c r="N2987" s="14" t="n"/>
      <c r="O2987" s="7" t="inlineStr"/>
      <c r="P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/>
      <c r="K2988" s="8" t="n"/>
      <c r="L2988" s="7" t="inlineStr">
        <is>
          <t>SEM COTAÇÃO</t>
        </is>
      </c>
      <c r="M2988" s="8" t="n"/>
      <c r="N2988" s="14" t="n"/>
      <c r="O2988" s="7" t="inlineStr"/>
      <c r="P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/>
      <c r="K2989" s="8" t="n"/>
      <c r="L2989" s="7" t="inlineStr">
        <is>
          <t>SEM COTAÇÃO</t>
        </is>
      </c>
      <c r="M2989" s="8" t="n"/>
      <c r="N2989" s="14" t="n"/>
      <c r="O2989" s="7" t="inlineStr"/>
      <c r="P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/>
      <c r="K2990" s="8" t="n"/>
      <c r="L2990" s="7" t="inlineStr">
        <is>
          <t>SEM COTAÇÃO</t>
        </is>
      </c>
      <c r="M2990" s="8" t="n"/>
      <c r="N2990" s="14" t="n"/>
      <c r="O2990" s="7" t="inlineStr"/>
      <c r="P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/>
      <c r="K2991" s="8" t="n"/>
      <c r="L2991" s="7" t="inlineStr">
        <is>
          <t>SEM COTAÇÃO</t>
        </is>
      </c>
      <c r="M2991" s="8" t="n"/>
      <c r="N2991" s="14" t="n"/>
      <c r="O2991" s="7" t="inlineStr"/>
      <c r="P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7" t="inlineStr">
        <is>
          <t>SEM COTAÇÃO</t>
        </is>
      </c>
      <c r="M2992" s="8" t="n"/>
      <c r="N2992" s="14" t="n"/>
      <c r="O2992" s="7" t="inlineStr"/>
      <c r="P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/>
      <c r="K2993" s="8" t="n"/>
      <c r="L2993" s="7" t="inlineStr">
        <is>
          <t>SEM COTAÇÃO</t>
        </is>
      </c>
      <c r="M2993" s="8" t="n"/>
      <c r="N2993" s="14" t="n"/>
      <c r="O2993" s="7" t="inlineStr"/>
      <c r="P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/>
      <c r="K2994" s="8" t="n"/>
      <c r="L2994" s="7" t="inlineStr">
        <is>
          <t>SEM COTAÇÃO</t>
        </is>
      </c>
      <c r="M2994" s="8" t="n"/>
      <c r="N2994" s="14" t="n"/>
      <c r="O2994" s="7" t="inlineStr"/>
      <c r="P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/>
      <c r="K2995" s="8" t="n"/>
      <c r="L2995" s="7" t="inlineStr">
        <is>
          <t>SEM COTAÇÃO</t>
        </is>
      </c>
      <c r="M2995" s="8" t="n"/>
      <c r="N2995" s="14" t="n"/>
      <c r="O2995" s="7" t="inlineStr"/>
      <c r="P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/>
      <c r="K2996" s="8" t="n"/>
      <c r="L2996" s="7" t="inlineStr">
        <is>
          <t>SEM COTAÇÃO</t>
        </is>
      </c>
      <c r="M2996" s="8" t="n"/>
      <c r="N2996" s="14" t="n"/>
      <c r="O2996" s="7" t="inlineStr"/>
      <c r="P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/>
      <c r="K2997" s="8" t="n"/>
      <c r="L2997" s="7" t="inlineStr">
        <is>
          <t>SEM COTAÇÃO</t>
        </is>
      </c>
      <c r="M2997" s="8" t="n"/>
      <c r="N2997" s="14" t="n"/>
      <c r="O2997" s="7" t="inlineStr"/>
      <c r="P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/>
      <c r="K2998" s="8" t="n"/>
      <c r="L2998" s="7" t="inlineStr">
        <is>
          <t>SEM COTAÇÃO</t>
        </is>
      </c>
      <c r="M2998" s="8" t="n"/>
      <c r="N2998" s="14" t="n"/>
      <c r="O2998" s="7" t="inlineStr"/>
      <c r="P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/>
      <c r="K2999" s="8" t="n"/>
      <c r="L2999" s="7" t="inlineStr">
        <is>
          <t>SEM COTAÇÃO</t>
        </is>
      </c>
      <c r="M2999" s="8" t="n"/>
      <c r="N2999" s="14" t="n"/>
      <c r="O2999" s="7" t="inlineStr"/>
      <c r="P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/>
      <c r="K3000" s="8" t="n"/>
      <c r="L3000" s="7" t="inlineStr">
        <is>
          <t>SEM COTAÇÃO</t>
        </is>
      </c>
      <c r="M3000" s="8" t="n"/>
      <c r="N3000" s="14" t="n"/>
      <c r="O3000" s="7" t="inlineStr"/>
      <c r="P3000" s="7" t="inlineStr"/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/>
      <c r="K3001" s="8" t="n"/>
      <c r="L3001" s="7" t="inlineStr">
        <is>
          <t>SEM COTAÇÃO</t>
        </is>
      </c>
      <c r="M3001" s="8" t="n"/>
      <c r="N3001" s="14" t="n"/>
      <c r="O3001" s="7" t="inlineStr"/>
      <c r="P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/>
      <c r="K3002" s="8" t="n"/>
      <c r="L3002" s="7" t="inlineStr">
        <is>
          <t>SEM COTAÇÃO</t>
        </is>
      </c>
      <c r="M3002" s="8" t="n"/>
      <c r="N3002" s="14" t="n"/>
      <c r="O3002" s="7" t="inlineStr"/>
      <c r="P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/>
      <c r="K3003" s="8" t="n"/>
      <c r="L3003" s="7" t="inlineStr">
        <is>
          <t>SEM COTAÇÃO</t>
        </is>
      </c>
      <c r="M3003" s="8" t="n"/>
      <c r="N3003" s="14" t="n"/>
      <c r="O3003" s="7" t="inlineStr"/>
      <c r="P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/>
      <c r="K3004" s="8" t="n"/>
      <c r="L3004" s="7" t="inlineStr">
        <is>
          <t>SEM COTAÇÃO</t>
        </is>
      </c>
      <c r="M3004" s="8" t="n"/>
      <c r="N3004" s="14" t="n"/>
      <c r="O3004" s="7" t="inlineStr"/>
      <c r="P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/>
      <c r="K3005" s="8" t="n"/>
      <c r="L3005" s="7" t="inlineStr">
        <is>
          <t>SEM COTAÇÃO</t>
        </is>
      </c>
      <c r="M3005" s="8" t="n"/>
      <c r="N3005" s="14" t="n"/>
      <c r="O3005" s="7" t="inlineStr"/>
      <c r="P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/>
      <c r="K3006" s="8" t="n"/>
      <c r="L3006" s="7" t="inlineStr">
        <is>
          <t>SEM COTAÇÃO</t>
        </is>
      </c>
      <c r="M3006" s="8" t="n"/>
      <c r="N3006" s="14" t="n"/>
      <c r="O3006" s="7" t="inlineStr"/>
      <c r="P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/>
      <c r="K3007" s="8" t="n"/>
      <c r="L3007" s="7" t="inlineStr">
        <is>
          <t>SEM COTAÇÃO</t>
        </is>
      </c>
      <c r="M3007" s="8" t="n"/>
      <c r="N3007" s="14" t="n"/>
      <c r="O3007" s="7" t="inlineStr"/>
      <c r="P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/>
      <c r="K3008" s="8" t="n"/>
      <c r="L3008" s="7" t="inlineStr">
        <is>
          <t>SEM COTAÇÃO</t>
        </is>
      </c>
      <c r="M3008" s="8" t="n"/>
      <c r="N3008" s="14" t="n"/>
      <c r="O3008" s="7" t="inlineStr"/>
      <c r="P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/>
      <c r="K3009" s="8" t="n"/>
      <c r="L3009" s="7" t="inlineStr">
        <is>
          <t>SEM COTAÇÃO</t>
        </is>
      </c>
      <c r="M3009" s="8" t="n"/>
      <c r="N3009" s="14" t="n"/>
      <c r="O3009" s="7" t="inlineStr"/>
      <c r="P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/>
      <c r="K3010" s="8" t="n"/>
      <c r="L3010" s="7" t="inlineStr">
        <is>
          <t>SEM COTAÇÃO</t>
        </is>
      </c>
      <c r="M3010" s="8" t="n"/>
      <c r="N3010" s="14" t="n"/>
      <c r="O3010" s="7" t="inlineStr"/>
      <c r="P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/>
      <c r="K3011" s="8" t="n"/>
      <c r="L3011" s="7" t="inlineStr">
        <is>
          <t>SEM COTAÇÃO</t>
        </is>
      </c>
      <c r="M3011" s="8" t="n"/>
      <c r="N3011" s="14" t="n"/>
      <c r="O3011" s="7" t="inlineStr"/>
      <c r="P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/>
      <c r="K3012" s="8" t="n"/>
      <c r="L3012" s="7" t="inlineStr">
        <is>
          <t>SEM COTAÇÃO</t>
        </is>
      </c>
      <c r="M3012" s="8" t="n"/>
      <c r="N3012" s="14" t="n"/>
      <c r="O3012" s="7" t="inlineStr"/>
      <c r="P3012" s="7" t="inlineStr"/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/>
      <c r="K3013" s="8" t="n"/>
      <c r="L3013" s="7" t="inlineStr">
        <is>
          <t>SEM COTAÇÃO</t>
        </is>
      </c>
      <c r="M3013" s="8" t="n"/>
      <c r="N3013" s="14" t="n"/>
      <c r="O3013" s="7" t="inlineStr"/>
      <c r="P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15" t="n">
        <v>2.9</v>
      </c>
      <c r="K3014" s="8" t="n"/>
      <c r="L3014" s="7" t="inlineStr">
        <is>
          <t>DIMEC</t>
        </is>
      </c>
      <c r="M3014" s="8" t="n">
        <v>2.9</v>
      </c>
      <c r="N3014" s="14">
        <f>M3014/H3014-1</f>
        <v/>
      </c>
      <c r="O3014" s="16" t="inlineStr">
        <is>
          <t>ACIMA +14.6%</t>
        </is>
      </c>
      <c r="P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/>
      <c r="K3015" s="8" t="n"/>
      <c r="L3015" s="7" t="inlineStr">
        <is>
          <t>SEM COTAÇÃO</t>
        </is>
      </c>
      <c r="M3015" s="8" t="n"/>
      <c r="N3015" s="14" t="n"/>
      <c r="O3015" s="7" t="inlineStr"/>
      <c r="P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/>
      <c r="K3016" s="8" t="n"/>
      <c r="L3016" s="7" t="inlineStr">
        <is>
          <t>SEM COTAÇÃO</t>
        </is>
      </c>
      <c r="M3016" s="8" t="n"/>
      <c r="N3016" s="14" t="n"/>
      <c r="O3016" s="7" t="inlineStr"/>
      <c r="P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/>
      <c r="K3017" s="8" t="n"/>
      <c r="L3017" s="7" t="inlineStr">
        <is>
          <t>SEM COTAÇÃO</t>
        </is>
      </c>
      <c r="M3017" s="8" t="n"/>
      <c r="N3017" s="14" t="n"/>
      <c r="O3017" s="7" t="inlineStr"/>
      <c r="P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7" t="inlineStr">
        <is>
          <t>SEM COTAÇÃO</t>
        </is>
      </c>
      <c r="M3018" s="8" t="n"/>
      <c r="N3018" s="14" t="n"/>
      <c r="O3018" s="7" t="inlineStr"/>
      <c r="P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7" t="inlineStr">
        <is>
          <t>SEM COTAÇÃO</t>
        </is>
      </c>
      <c r="M3019" s="8" t="n"/>
      <c r="N3019" s="14" t="n"/>
      <c r="O3019" s="7" t="inlineStr"/>
      <c r="P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/>
      <c r="K3020" s="8" t="n"/>
      <c r="L3020" s="7" t="inlineStr">
        <is>
          <t>SEM COTAÇÃO</t>
        </is>
      </c>
      <c r="M3020" s="8" t="n"/>
      <c r="N3020" s="14" t="n"/>
      <c r="O3020" s="7" t="inlineStr"/>
      <c r="P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/>
      <c r="K3021" s="8" t="n"/>
      <c r="L3021" s="7" t="inlineStr">
        <is>
          <t>SEM COTAÇÃO</t>
        </is>
      </c>
      <c r="M3021" s="8" t="n"/>
      <c r="N3021" s="14" t="n"/>
      <c r="O3021" s="7" t="inlineStr"/>
      <c r="P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/>
      <c r="K3022" s="8" t="n"/>
      <c r="L3022" s="7" t="inlineStr">
        <is>
          <t>SEM COTAÇÃO</t>
        </is>
      </c>
      <c r="M3022" s="8" t="n"/>
      <c r="N3022" s="14" t="n"/>
      <c r="O3022" s="7" t="inlineStr"/>
      <c r="P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/>
      <c r="K3023" s="8" t="n"/>
      <c r="L3023" s="7" t="inlineStr">
        <is>
          <t>SEM COTAÇÃO</t>
        </is>
      </c>
      <c r="M3023" s="8" t="n"/>
      <c r="N3023" s="14" t="n"/>
      <c r="O3023" s="7" t="inlineStr"/>
      <c r="P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/>
      <c r="K3024" s="8" t="n"/>
      <c r="L3024" s="7" t="inlineStr">
        <is>
          <t>SEM COTAÇÃO</t>
        </is>
      </c>
      <c r="M3024" s="8" t="n"/>
      <c r="N3024" s="14" t="n"/>
      <c r="O3024" s="7" t="inlineStr"/>
      <c r="P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/>
      <c r="K3025" s="8" t="n"/>
      <c r="L3025" s="7" t="inlineStr">
        <is>
          <t>SEM COTAÇÃO</t>
        </is>
      </c>
      <c r="M3025" s="8" t="n"/>
      <c r="N3025" s="14" t="n"/>
      <c r="O3025" s="7" t="inlineStr"/>
      <c r="P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/>
      <c r="K3026" s="8" t="n"/>
      <c r="L3026" s="7" t="inlineStr">
        <is>
          <t>SEM COTAÇÃO</t>
        </is>
      </c>
      <c r="M3026" s="8" t="n"/>
      <c r="N3026" s="14" t="n"/>
      <c r="O3026" s="7" t="inlineStr"/>
      <c r="P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/>
      <c r="K3027" s="8" t="n"/>
      <c r="L3027" s="7" t="inlineStr">
        <is>
          <t>SEM COTAÇÃO</t>
        </is>
      </c>
      <c r="M3027" s="8" t="n"/>
      <c r="N3027" s="14" t="n"/>
      <c r="O3027" s="7" t="inlineStr"/>
      <c r="P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/>
      <c r="K3028" s="8" t="n"/>
      <c r="L3028" s="7" t="inlineStr">
        <is>
          <t>SEM COTAÇÃO</t>
        </is>
      </c>
      <c r="M3028" s="8" t="n"/>
      <c r="N3028" s="14" t="n"/>
      <c r="O3028" s="7" t="inlineStr"/>
      <c r="P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/>
      <c r="K3029" s="8" t="n"/>
      <c r="L3029" s="7" t="inlineStr">
        <is>
          <t>SEM COTAÇÃO</t>
        </is>
      </c>
      <c r="M3029" s="8" t="n"/>
      <c r="N3029" s="14" t="n"/>
      <c r="O3029" s="7" t="inlineStr"/>
      <c r="P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/>
      <c r="K3030" s="8" t="n"/>
      <c r="L3030" s="7" t="inlineStr">
        <is>
          <t>SEM COTAÇÃO</t>
        </is>
      </c>
      <c r="M3030" s="8" t="n"/>
      <c r="N3030" s="14" t="n"/>
      <c r="O3030" s="7" t="inlineStr"/>
      <c r="P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/>
      <c r="K3031" s="8" t="n"/>
      <c r="L3031" s="7" t="inlineStr">
        <is>
          <t>SEM COTAÇÃO</t>
        </is>
      </c>
      <c r="M3031" s="8" t="n"/>
      <c r="N3031" s="14" t="n"/>
      <c r="O3031" s="7" t="inlineStr"/>
      <c r="P3031" s="7" t="inlineStr"/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/>
      <c r="K3032" s="8" t="n"/>
      <c r="L3032" s="7" t="inlineStr">
        <is>
          <t>SEM COTAÇÃO</t>
        </is>
      </c>
      <c r="M3032" s="8" t="n"/>
      <c r="N3032" s="14" t="n"/>
      <c r="O3032" s="7" t="inlineStr"/>
      <c r="P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/>
      <c r="K3033" s="8" t="n"/>
      <c r="L3033" s="7" t="inlineStr">
        <is>
          <t>SEM COTAÇÃO</t>
        </is>
      </c>
      <c r="M3033" s="8" t="n"/>
      <c r="N3033" s="14" t="n"/>
      <c r="O3033" s="7" t="inlineStr"/>
      <c r="P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/>
      <c r="K3034" s="8" t="n"/>
      <c r="L3034" s="7" t="inlineStr">
        <is>
          <t>SEM COTAÇÃO</t>
        </is>
      </c>
      <c r="M3034" s="8" t="n"/>
      <c r="N3034" s="14" t="n"/>
      <c r="O3034" s="7" t="inlineStr"/>
      <c r="P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/>
      <c r="K3035" s="8" t="n"/>
      <c r="L3035" s="7" t="inlineStr">
        <is>
          <t>SEM COTAÇÃO</t>
        </is>
      </c>
      <c r="M3035" s="8" t="n"/>
      <c r="N3035" s="14" t="n"/>
      <c r="O3035" s="7" t="inlineStr"/>
      <c r="P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/>
      <c r="K3036" s="8" t="n"/>
      <c r="L3036" s="7" t="inlineStr">
        <is>
          <t>SEM COTAÇÃO</t>
        </is>
      </c>
      <c r="M3036" s="8" t="n"/>
      <c r="N3036" s="14" t="n"/>
      <c r="O3036" s="7" t="inlineStr"/>
      <c r="P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/>
      <c r="K3037" s="8" t="n"/>
      <c r="L3037" s="7" t="inlineStr">
        <is>
          <t>SEM COTAÇÃO</t>
        </is>
      </c>
      <c r="M3037" s="8" t="n"/>
      <c r="N3037" s="14" t="n"/>
      <c r="O3037" s="7" t="inlineStr"/>
      <c r="P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/>
      <c r="K3038" s="8" t="n"/>
      <c r="L3038" s="7" t="inlineStr">
        <is>
          <t>SEM COTAÇÃO</t>
        </is>
      </c>
      <c r="M3038" s="8" t="n"/>
      <c r="N3038" s="14" t="n"/>
      <c r="O3038" s="7" t="inlineStr"/>
      <c r="P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/>
      <c r="K3039" s="8" t="n"/>
      <c r="L3039" s="7" t="inlineStr">
        <is>
          <t>SEM COTAÇÃO</t>
        </is>
      </c>
      <c r="M3039" s="8" t="n"/>
      <c r="N3039" s="14" t="n"/>
      <c r="O3039" s="7" t="inlineStr"/>
      <c r="P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/>
      <c r="K3040" s="8" t="n"/>
      <c r="L3040" s="7" t="inlineStr">
        <is>
          <t>SEM COTAÇÃO</t>
        </is>
      </c>
      <c r="M3040" s="8" t="n"/>
      <c r="N3040" s="14" t="n"/>
      <c r="O3040" s="7" t="inlineStr"/>
      <c r="P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7" t="inlineStr">
        <is>
          <t>SEM COTAÇÃO</t>
        </is>
      </c>
      <c r="M3041" s="8" t="n"/>
      <c r="N3041" s="14" t="n"/>
      <c r="O3041" s="7" t="inlineStr"/>
      <c r="P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/>
      <c r="K3042" s="8" t="n"/>
      <c r="L3042" s="7" t="inlineStr">
        <is>
          <t>SEM COTAÇÃO</t>
        </is>
      </c>
      <c r="M3042" s="8" t="n"/>
      <c r="N3042" s="14" t="n"/>
      <c r="O3042" s="7" t="inlineStr"/>
      <c r="P3042" s="7" t="inlineStr"/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/>
      <c r="K3043" s="8" t="n"/>
      <c r="L3043" s="7" t="inlineStr">
        <is>
          <t>SEM COTAÇÃO</t>
        </is>
      </c>
      <c r="M3043" s="8" t="n"/>
      <c r="N3043" s="14" t="n"/>
      <c r="O3043" s="7" t="inlineStr"/>
      <c r="P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/>
      <c r="K3044" s="8" t="n"/>
      <c r="L3044" s="7" t="inlineStr">
        <is>
          <t>SEM COTAÇÃO</t>
        </is>
      </c>
      <c r="M3044" s="8" t="n"/>
      <c r="N3044" s="14" t="n"/>
      <c r="O3044" s="7" t="inlineStr"/>
      <c r="P3044" s="7" t="inlineStr"/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/>
      <c r="K3045" s="8" t="n"/>
      <c r="L3045" s="7" t="inlineStr">
        <is>
          <t>SEM COTAÇÃO</t>
        </is>
      </c>
      <c r="M3045" s="8" t="n"/>
      <c r="N3045" s="14" t="n"/>
      <c r="O3045" s="7" t="inlineStr"/>
      <c r="P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15" t="n">
        <v>1.03</v>
      </c>
      <c r="K3046" s="8" t="n">
        <v>1.05</v>
      </c>
      <c r="L3046" s="7" t="inlineStr">
        <is>
          <t>DIMEC</t>
        </is>
      </c>
      <c r="M3046" s="8" t="n">
        <v>1.03</v>
      </c>
      <c r="N3046" s="14">
        <f>M3046/H3046-1</f>
        <v/>
      </c>
      <c r="O3046" s="16" t="inlineStr">
        <is>
          <t>ACIMA +12.0%</t>
        </is>
      </c>
      <c r="P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/>
      <c r="K3047" s="8" t="n"/>
      <c r="L3047" s="7" t="inlineStr">
        <is>
          <t>SEM COTAÇÃO</t>
        </is>
      </c>
      <c r="M3047" s="8" t="n"/>
      <c r="N3047" s="14" t="n"/>
      <c r="O3047" s="7" t="inlineStr"/>
      <c r="P3047" s="7" t="inlineStr"/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/>
      <c r="K3048" s="8" t="n"/>
      <c r="L3048" s="7" t="inlineStr">
        <is>
          <t>SEM COTAÇÃO</t>
        </is>
      </c>
      <c r="M3048" s="8" t="n"/>
      <c r="N3048" s="14" t="n"/>
      <c r="O3048" s="7" t="inlineStr"/>
      <c r="P3048" s="7" t="inlineStr"/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/>
      <c r="K3049" s="8" t="n"/>
      <c r="L3049" s="7" t="inlineStr">
        <is>
          <t>SEM COTAÇÃO</t>
        </is>
      </c>
      <c r="M3049" s="8" t="n"/>
      <c r="N3049" s="14" t="n"/>
      <c r="O3049" s="7" t="inlineStr"/>
      <c r="P3049" s="7" t="inlineStr"/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/>
      <c r="K3050" s="8" t="n"/>
      <c r="L3050" s="7" t="inlineStr">
        <is>
          <t>SEM COTAÇÃO</t>
        </is>
      </c>
      <c r="M3050" s="8" t="n"/>
      <c r="N3050" s="14" t="n"/>
      <c r="O3050" s="7" t="inlineStr"/>
      <c r="P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/>
      <c r="K3051" s="8" t="n"/>
      <c r="L3051" s="7" t="inlineStr">
        <is>
          <t>SEM COTAÇÃO</t>
        </is>
      </c>
      <c r="M3051" s="8" t="n"/>
      <c r="N3051" s="14" t="n"/>
      <c r="O3051" s="7" t="inlineStr"/>
      <c r="P3051" s="7" t="inlineStr"/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/>
      <c r="K3052" s="8" t="n"/>
      <c r="L3052" s="7" t="inlineStr">
        <is>
          <t>SEM COTAÇÃO</t>
        </is>
      </c>
      <c r="M3052" s="8" t="n"/>
      <c r="N3052" s="14" t="n"/>
      <c r="O3052" s="7" t="inlineStr"/>
      <c r="P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/>
      <c r="K3053" s="8" t="n"/>
      <c r="L3053" s="7" t="inlineStr">
        <is>
          <t>SEM COTAÇÃO</t>
        </is>
      </c>
      <c r="M3053" s="8" t="n"/>
      <c r="N3053" s="14" t="n"/>
      <c r="O3053" s="7" t="inlineStr"/>
      <c r="P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/>
      <c r="K3054" s="8" t="n"/>
      <c r="L3054" s="7" t="inlineStr">
        <is>
          <t>SEM COTAÇÃO</t>
        </is>
      </c>
      <c r="M3054" s="8" t="n"/>
      <c r="N3054" s="14" t="n"/>
      <c r="O3054" s="7" t="inlineStr"/>
      <c r="P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/>
      <c r="K3055" s="8" t="n"/>
      <c r="L3055" s="7" t="inlineStr">
        <is>
          <t>SEM COTAÇÃO</t>
        </is>
      </c>
      <c r="M3055" s="8" t="n"/>
      <c r="N3055" s="14" t="n"/>
      <c r="O3055" s="7" t="inlineStr"/>
      <c r="P3055" s="7" t="inlineStr"/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/>
      <c r="K3056" s="8" t="n"/>
      <c r="L3056" s="7" t="inlineStr">
        <is>
          <t>SEM COTAÇÃO</t>
        </is>
      </c>
      <c r="M3056" s="8" t="n"/>
      <c r="N3056" s="14" t="n"/>
      <c r="O3056" s="7" t="inlineStr"/>
      <c r="P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/>
      <c r="K3057" s="8" t="n"/>
      <c r="L3057" s="7" t="inlineStr">
        <is>
          <t>SEM COTAÇÃO</t>
        </is>
      </c>
      <c r="M3057" s="8" t="n"/>
      <c r="N3057" s="14" t="n"/>
      <c r="O3057" s="7" t="inlineStr"/>
      <c r="P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/>
      <c r="K3058" s="8" t="n"/>
      <c r="L3058" s="7" t="inlineStr">
        <is>
          <t>SEM COTAÇÃO</t>
        </is>
      </c>
      <c r="M3058" s="8" t="n"/>
      <c r="N3058" s="14" t="n"/>
      <c r="O3058" s="7" t="inlineStr"/>
      <c r="P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/>
      <c r="K3059" s="8" t="n"/>
      <c r="L3059" s="7" t="inlineStr">
        <is>
          <t>SEM COTAÇÃO</t>
        </is>
      </c>
      <c r="M3059" s="8" t="n"/>
      <c r="N3059" s="14" t="n"/>
      <c r="O3059" s="7" t="inlineStr"/>
      <c r="P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/>
      <c r="K3060" s="8" t="n"/>
      <c r="L3060" s="7" t="inlineStr">
        <is>
          <t>SEM COTAÇÃO</t>
        </is>
      </c>
      <c r="M3060" s="8" t="n"/>
      <c r="N3060" s="14" t="n"/>
      <c r="O3060" s="7" t="inlineStr"/>
      <c r="P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/>
      <c r="K3061" s="8" t="n"/>
      <c r="L3061" s="7" t="inlineStr">
        <is>
          <t>SEM COTAÇÃO</t>
        </is>
      </c>
      <c r="M3061" s="8" t="n"/>
      <c r="N3061" s="14" t="n"/>
      <c r="O3061" s="7" t="inlineStr"/>
      <c r="P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/>
      <c r="K3062" s="8" t="n"/>
      <c r="L3062" s="7" t="inlineStr">
        <is>
          <t>SEM COTAÇÃO</t>
        </is>
      </c>
      <c r="M3062" s="8" t="n"/>
      <c r="N3062" s="14" t="n"/>
      <c r="O3062" s="7" t="inlineStr"/>
      <c r="P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/>
      <c r="K3063" s="8" t="n"/>
      <c r="L3063" s="7" t="inlineStr">
        <is>
          <t>SEM COTAÇÃO</t>
        </is>
      </c>
      <c r="M3063" s="8" t="n"/>
      <c r="N3063" s="14" t="n"/>
      <c r="O3063" s="7" t="inlineStr"/>
      <c r="P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/>
      <c r="K3064" s="8" t="n"/>
      <c r="L3064" s="7" t="inlineStr">
        <is>
          <t>SEM COTAÇÃO</t>
        </is>
      </c>
      <c r="M3064" s="8" t="n"/>
      <c r="N3064" s="14" t="n"/>
      <c r="O3064" s="7" t="inlineStr"/>
      <c r="P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/>
      <c r="K3065" s="8" t="n"/>
      <c r="L3065" s="7" t="inlineStr">
        <is>
          <t>SEM COTAÇÃO</t>
        </is>
      </c>
      <c r="M3065" s="8" t="n"/>
      <c r="N3065" s="14" t="n"/>
      <c r="O3065" s="7" t="inlineStr"/>
      <c r="P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/>
      <c r="K3066" s="8" t="n"/>
      <c r="L3066" s="7" t="inlineStr">
        <is>
          <t>SEM COTAÇÃO</t>
        </is>
      </c>
      <c r="M3066" s="8" t="n"/>
      <c r="N3066" s="14" t="n"/>
      <c r="O3066" s="7" t="inlineStr"/>
      <c r="P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/>
      <c r="K3067" s="8" t="n"/>
      <c r="L3067" s="7" t="inlineStr">
        <is>
          <t>SEM COTAÇÃO</t>
        </is>
      </c>
      <c r="M3067" s="8" t="n"/>
      <c r="N3067" s="14" t="n"/>
      <c r="O3067" s="7" t="inlineStr"/>
      <c r="P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/>
      <c r="K3068" s="8" t="n"/>
      <c r="L3068" s="7" t="inlineStr">
        <is>
          <t>SEM COTAÇÃO</t>
        </is>
      </c>
      <c r="M3068" s="8" t="n"/>
      <c r="N3068" s="14" t="n"/>
      <c r="O3068" s="7" t="inlineStr"/>
      <c r="P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/>
      <c r="K3069" s="8" t="n"/>
      <c r="L3069" s="7" t="inlineStr">
        <is>
          <t>SEM COTAÇÃO</t>
        </is>
      </c>
      <c r="M3069" s="8" t="n"/>
      <c r="N3069" s="14" t="n"/>
      <c r="O3069" s="7" t="inlineStr"/>
      <c r="P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/>
      <c r="K3070" s="8" t="n"/>
      <c r="L3070" s="7" t="inlineStr">
        <is>
          <t>SEM COTAÇÃO</t>
        </is>
      </c>
      <c r="M3070" s="8" t="n"/>
      <c r="N3070" s="14" t="n"/>
      <c r="O3070" s="7" t="inlineStr"/>
      <c r="P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/>
      <c r="K3071" s="8" t="n"/>
      <c r="L3071" s="7" t="inlineStr">
        <is>
          <t>SEM COTAÇÃO</t>
        </is>
      </c>
      <c r="M3071" s="8" t="n"/>
      <c r="N3071" s="14" t="n"/>
      <c r="O3071" s="7" t="inlineStr"/>
      <c r="P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/>
      <c r="K3072" s="8" t="n"/>
      <c r="L3072" s="7" t="inlineStr">
        <is>
          <t>SEM COTAÇÃO</t>
        </is>
      </c>
      <c r="M3072" s="8" t="n"/>
      <c r="N3072" s="14" t="n"/>
      <c r="O3072" s="7" t="inlineStr"/>
      <c r="P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/>
      <c r="K3073" s="8" t="n"/>
      <c r="L3073" s="7" t="inlineStr">
        <is>
          <t>SEM COTAÇÃO</t>
        </is>
      </c>
      <c r="M3073" s="8" t="n"/>
      <c r="N3073" s="14" t="n"/>
      <c r="O3073" s="7" t="inlineStr"/>
      <c r="P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/>
      <c r="K3074" s="8" t="n"/>
      <c r="L3074" s="7" t="inlineStr">
        <is>
          <t>SEM COTAÇÃO</t>
        </is>
      </c>
      <c r="M3074" s="8" t="n"/>
      <c r="N3074" s="14" t="n"/>
      <c r="O3074" s="7" t="inlineStr"/>
      <c r="P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/>
      <c r="K3075" s="8" t="n"/>
      <c r="L3075" s="7" t="inlineStr">
        <is>
          <t>SEM COTAÇÃO</t>
        </is>
      </c>
      <c r="M3075" s="8" t="n"/>
      <c r="N3075" s="14" t="n"/>
      <c r="O3075" s="7" t="inlineStr"/>
      <c r="P3075" s="7" t="inlineStr"/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/>
      <c r="K3076" s="8" t="n"/>
      <c r="L3076" s="7" t="inlineStr">
        <is>
          <t>SEM COTAÇÃO</t>
        </is>
      </c>
      <c r="M3076" s="8" t="n"/>
      <c r="N3076" s="14" t="n"/>
      <c r="O3076" s="7" t="inlineStr"/>
      <c r="P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/>
      <c r="K3077" s="8" t="n"/>
      <c r="L3077" s="7" t="inlineStr">
        <is>
          <t>SEM COTAÇÃO</t>
        </is>
      </c>
      <c r="M3077" s="8" t="n"/>
      <c r="N3077" s="14" t="n"/>
      <c r="O3077" s="7" t="inlineStr"/>
      <c r="P3077" s="7" t="inlineStr"/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15" t="n">
        <v>30.46</v>
      </c>
      <c r="K3078" s="8" t="n"/>
      <c r="L3078" s="7" t="inlineStr">
        <is>
          <t>DIMEC</t>
        </is>
      </c>
      <c r="M3078" s="8" t="n">
        <v>30.46</v>
      </c>
      <c r="N3078" s="14">
        <f>M3078/H3078-1</f>
        <v/>
      </c>
      <c r="O3078" s="17" t="inlineStr">
        <is>
          <t>OK (≤ últ. compra)</t>
        </is>
      </c>
      <c r="P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/>
      <c r="K3079" s="8" t="n"/>
      <c r="L3079" s="7" t="inlineStr">
        <is>
          <t>SEM COTAÇÃO</t>
        </is>
      </c>
      <c r="M3079" s="8" t="n"/>
      <c r="N3079" s="14" t="n"/>
      <c r="O3079" s="7" t="inlineStr"/>
      <c r="P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/>
      <c r="K3080" s="8" t="n"/>
      <c r="L3080" s="7" t="inlineStr">
        <is>
          <t>SEM COTAÇÃO</t>
        </is>
      </c>
      <c r="M3080" s="8" t="n"/>
      <c r="N3080" s="14" t="n"/>
      <c r="O3080" s="7" t="inlineStr"/>
      <c r="P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/>
      <c r="K3081" s="8" t="n"/>
      <c r="L3081" s="7" t="inlineStr">
        <is>
          <t>SEM COTAÇÃO</t>
        </is>
      </c>
      <c r="M3081" s="8" t="n"/>
      <c r="N3081" s="14" t="n"/>
      <c r="O3081" s="7" t="inlineStr"/>
      <c r="P3081" s="7" t="inlineStr"/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/>
      <c r="K3082" s="8" t="n"/>
      <c r="L3082" s="7" t="inlineStr">
        <is>
          <t>SEM COTAÇÃO</t>
        </is>
      </c>
      <c r="M3082" s="8" t="n"/>
      <c r="N3082" s="14" t="n"/>
      <c r="O3082" s="7" t="inlineStr"/>
      <c r="P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/>
      <c r="K3083" s="8" t="n"/>
      <c r="L3083" s="7" t="inlineStr">
        <is>
          <t>SEM COTAÇÃO</t>
        </is>
      </c>
      <c r="M3083" s="8" t="n"/>
      <c r="N3083" s="14" t="n"/>
      <c r="O3083" s="7" t="inlineStr"/>
      <c r="P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/>
      <c r="K3084" s="8" t="n"/>
      <c r="L3084" s="7" t="inlineStr">
        <is>
          <t>SEM COTAÇÃO</t>
        </is>
      </c>
      <c r="M3084" s="8" t="n"/>
      <c r="N3084" s="14" t="n"/>
      <c r="O3084" s="7" t="inlineStr"/>
      <c r="P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/>
      <c r="K3085" s="8" t="n"/>
      <c r="L3085" s="7" t="inlineStr">
        <is>
          <t>SEM COTAÇÃO</t>
        </is>
      </c>
      <c r="M3085" s="8" t="n"/>
      <c r="N3085" s="14" t="n"/>
      <c r="O3085" s="7" t="inlineStr"/>
      <c r="P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/>
      <c r="K3086" s="8" t="n"/>
      <c r="L3086" s="7" t="inlineStr">
        <is>
          <t>SEM COTAÇÃO</t>
        </is>
      </c>
      <c r="M3086" s="8" t="n"/>
      <c r="N3086" s="14" t="n"/>
      <c r="O3086" s="7" t="inlineStr"/>
      <c r="P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/>
      <c r="K3087" s="8" t="n"/>
      <c r="L3087" s="7" t="inlineStr">
        <is>
          <t>SEM COTAÇÃO</t>
        </is>
      </c>
      <c r="M3087" s="8" t="n"/>
      <c r="N3087" s="14" t="n"/>
      <c r="O3087" s="7" t="inlineStr"/>
      <c r="P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/>
      <c r="K3088" s="8" t="n"/>
      <c r="L3088" s="7" t="inlineStr">
        <is>
          <t>SEM COTAÇÃO</t>
        </is>
      </c>
      <c r="M3088" s="8" t="n"/>
      <c r="N3088" s="14" t="n"/>
      <c r="O3088" s="7" t="inlineStr"/>
      <c r="P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/>
      <c r="K3089" s="8" t="n"/>
      <c r="L3089" s="7" t="inlineStr">
        <is>
          <t>SEM COTAÇÃO</t>
        </is>
      </c>
      <c r="M3089" s="8" t="n"/>
      <c r="N3089" s="14" t="n"/>
      <c r="O3089" s="7" t="inlineStr"/>
      <c r="P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/>
      <c r="K3090" s="8" t="n"/>
      <c r="L3090" s="7" t="inlineStr">
        <is>
          <t>SEM COTAÇÃO</t>
        </is>
      </c>
      <c r="M3090" s="8" t="n"/>
      <c r="N3090" s="14" t="n"/>
      <c r="O3090" s="7" t="inlineStr"/>
      <c r="P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/>
      <c r="K3091" s="8" t="n"/>
      <c r="L3091" s="7" t="inlineStr">
        <is>
          <t>SEM COTAÇÃO</t>
        </is>
      </c>
      <c r="M3091" s="8" t="n"/>
      <c r="N3091" s="14" t="n"/>
      <c r="O3091" s="7" t="inlineStr"/>
      <c r="P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/>
      <c r="K3092" s="8" t="n"/>
      <c r="L3092" s="7" t="inlineStr">
        <is>
          <t>SEM COTAÇÃO</t>
        </is>
      </c>
      <c r="M3092" s="8" t="n"/>
      <c r="N3092" s="14" t="n"/>
      <c r="O3092" s="7" t="inlineStr"/>
      <c r="P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/>
      <c r="K3093" s="8" t="n"/>
      <c r="L3093" s="7" t="inlineStr">
        <is>
          <t>SEM COTAÇÃO</t>
        </is>
      </c>
      <c r="M3093" s="8" t="n"/>
      <c r="N3093" s="14" t="n"/>
      <c r="O3093" s="7" t="inlineStr"/>
      <c r="P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/>
      <c r="K3094" s="8" t="n"/>
      <c r="L3094" s="7" t="inlineStr">
        <is>
          <t>SEM COTAÇÃO</t>
        </is>
      </c>
      <c r="M3094" s="8" t="n"/>
      <c r="N3094" s="14" t="n"/>
      <c r="O3094" s="7" t="inlineStr"/>
      <c r="P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/>
      <c r="K3095" s="8" t="n"/>
      <c r="L3095" s="7" t="inlineStr">
        <is>
          <t>SEM COTAÇÃO</t>
        </is>
      </c>
      <c r="M3095" s="8" t="n"/>
      <c r="N3095" s="14" t="n"/>
      <c r="O3095" s="7" t="inlineStr"/>
      <c r="P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/>
      <c r="K3096" s="8" t="n"/>
      <c r="L3096" s="7" t="inlineStr">
        <is>
          <t>SEM COTAÇÃO</t>
        </is>
      </c>
      <c r="M3096" s="8" t="n"/>
      <c r="N3096" s="14" t="n"/>
      <c r="O3096" s="7" t="inlineStr"/>
      <c r="P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/>
      <c r="K3097" s="8" t="n"/>
      <c r="L3097" s="7" t="inlineStr">
        <is>
          <t>SEM COTAÇÃO</t>
        </is>
      </c>
      <c r="M3097" s="8" t="n"/>
      <c r="N3097" s="14" t="n"/>
      <c r="O3097" s="7" t="inlineStr"/>
      <c r="P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/>
      <c r="K3098" s="8" t="n"/>
      <c r="L3098" s="7" t="inlineStr">
        <is>
          <t>SEM COTAÇÃO</t>
        </is>
      </c>
      <c r="M3098" s="8" t="n"/>
      <c r="N3098" s="14" t="n"/>
      <c r="O3098" s="7" t="inlineStr"/>
      <c r="P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/>
      <c r="K3099" s="8" t="n"/>
      <c r="L3099" s="7" t="inlineStr">
        <is>
          <t>SEM COTAÇÃO</t>
        </is>
      </c>
      <c r="M3099" s="8" t="n"/>
      <c r="N3099" s="14" t="n"/>
      <c r="O3099" s="7" t="inlineStr"/>
      <c r="P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/>
      <c r="K3100" s="8" t="n"/>
      <c r="L3100" s="7" t="inlineStr">
        <is>
          <t>SEM COTAÇÃO</t>
        </is>
      </c>
      <c r="M3100" s="8" t="n"/>
      <c r="N3100" s="14" t="n"/>
      <c r="O3100" s="7" t="inlineStr"/>
      <c r="P3100" s="7" t="inlineStr"/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/>
      <c r="K3101" s="8" t="n"/>
      <c r="L3101" s="7" t="inlineStr">
        <is>
          <t>SEM COTAÇÃO</t>
        </is>
      </c>
      <c r="M3101" s="8" t="n"/>
      <c r="N3101" s="14" t="n"/>
      <c r="O3101" s="7" t="inlineStr"/>
      <c r="P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/>
      <c r="K3102" s="8" t="n"/>
      <c r="L3102" s="7" t="inlineStr">
        <is>
          <t>SEM COTAÇÃO</t>
        </is>
      </c>
      <c r="M3102" s="8" t="n"/>
      <c r="N3102" s="14" t="n"/>
      <c r="O3102" s="7" t="inlineStr"/>
      <c r="P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/>
      <c r="K3103" s="8" t="n"/>
      <c r="L3103" s="7" t="inlineStr">
        <is>
          <t>SEM COTAÇÃO</t>
        </is>
      </c>
      <c r="M3103" s="8" t="n"/>
      <c r="N3103" s="14" t="n"/>
      <c r="O3103" s="7" t="inlineStr"/>
      <c r="P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/>
      <c r="K3104" s="8" t="n"/>
      <c r="L3104" s="7" t="inlineStr">
        <is>
          <t>SEM COTAÇÃO</t>
        </is>
      </c>
      <c r="M3104" s="8" t="n"/>
      <c r="N3104" s="14" t="n"/>
      <c r="O3104" s="7" t="inlineStr"/>
      <c r="P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/>
      <c r="K3105" s="8" t="n"/>
      <c r="L3105" s="7" t="inlineStr">
        <is>
          <t>SEM COTAÇÃO</t>
        </is>
      </c>
      <c r="M3105" s="8" t="n"/>
      <c r="N3105" s="14" t="n"/>
      <c r="O3105" s="7" t="inlineStr"/>
      <c r="P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/>
      <c r="K3106" s="8" t="n"/>
      <c r="L3106" s="7" t="inlineStr">
        <is>
          <t>SEM COTAÇÃO</t>
        </is>
      </c>
      <c r="M3106" s="8" t="n"/>
      <c r="N3106" s="14" t="n"/>
      <c r="O3106" s="7" t="inlineStr"/>
      <c r="P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/>
      <c r="K3107" s="8" t="n"/>
      <c r="L3107" s="7" t="inlineStr">
        <is>
          <t>SEM COTAÇÃO</t>
        </is>
      </c>
      <c r="M3107" s="8" t="n"/>
      <c r="N3107" s="14" t="n"/>
      <c r="O3107" s="7" t="inlineStr"/>
      <c r="P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/>
      <c r="K3108" s="8" t="n"/>
      <c r="L3108" s="7" t="inlineStr">
        <is>
          <t>SEM COTAÇÃO</t>
        </is>
      </c>
      <c r="M3108" s="8" t="n"/>
      <c r="N3108" s="14" t="n"/>
      <c r="O3108" s="7" t="inlineStr"/>
      <c r="P3108" s="7" t="inlineStr"/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/>
      <c r="K3109" s="8" t="n"/>
      <c r="L3109" s="7" t="inlineStr">
        <is>
          <t>SEM COTAÇÃO</t>
        </is>
      </c>
      <c r="M3109" s="8" t="n"/>
      <c r="N3109" s="14" t="n"/>
      <c r="O3109" s="7" t="inlineStr"/>
      <c r="P3109" s="7" t="inlineStr"/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/>
      <c r="K3110" s="8" t="n"/>
      <c r="L3110" s="7" t="inlineStr">
        <is>
          <t>SEM COTAÇÃO</t>
        </is>
      </c>
      <c r="M3110" s="8" t="n"/>
      <c r="N3110" s="14" t="n"/>
      <c r="O3110" s="7" t="inlineStr"/>
      <c r="P3110" s="7" t="inlineStr"/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/>
      <c r="K3111" s="8" t="n"/>
      <c r="L3111" s="7" t="inlineStr">
        <is>
          <t>SEM COTAÇÃO</t>
        </is>
      </c>
      <c r="M3111" s="8" t="n"/>
      <c r="N3111" s="14" t="n"/>
      <c r="O3111" s="7" t="inlineStr"/>
      <c r="P3111" s="7" t="inlineStr"/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/>
      <c r="K3112" s="8" t="n"/>
      <c r="L3112" s="7" t="inlineStr">
        <is>
          <t>SEM COTAÇÃO</t>
        </is>
      </c>
      <c r="M3112" s="8" t="n"/>
      <c r="N3112" s="14" t="n"/>
      <c r="O3112" s="7" t="inlineStr"/>
      <c r="P3112" s="7" t="inlineStr"/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/>
      <c r="K3113" s="8" t="n"/>
      <c r="L3113" s="7" t="inlineStr">
        <is>
          <t>SEM COTAÇÃO</t>
        </is>
      </c>
      <c r="M3113" s="8" t="n"/>
      <c r="N3113" s="14" t="n"/>
      <c r="O3113" s="7" t="inlineStr"/>
      <c r="P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/>
      <c r="K3114" s="8" t="n"/>
      <c r="L3114" s="7" t="inlineStr">
        <is>
          <t>SEM COTAÇÃO</t>
        </is>
      </c>
      <c r="M3114" s="8" t="n"/>
      <c r="N3114" s="14" t="n"/>
      <c r="O3114" s="7" t="inlineStr"/>
      <c r="P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/>
      <c r="K3115" s="8" t="n"/>
      <c r="L3115" s="7" t="inlineStr">
        <is>
          <t>SEM COTAÇÃO</t>
        </is>
      </c>
      <c r="M3115" s="8" t="n"/>
      <c r="N3115" s="14" t="n"/>
      <c r="O3115" s="7" t="inlineStr"/>
      <c r="P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/>
      <c r="K3116" s="8" t="n"/>
      <c r="L3116" s="7" t="inlineStr">
        <is>
          <t>SEM COTAÇÃO</t>
        </is>
      </c>
      <c r="M3116" s="8" t="n"/>
      <c r="N3116" s="14" t="n"/>
      <c r="O3116" s="7" t="inlineStr"/>
      <c r="P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/>
      <c r="K3117" s="8" t="n"/>
      <c r="L3117" s="7" t="inlineStr">
        <is>
          <t>SEM COTAÇÃO</t>
        </is>
      </c>
      <c r="M3117" s="8" t="n"/>
      <c r="N3117" s="14" t="n"/>
      <c r="O3117" s="7" t="inlineStr"/>
      <c r="P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15" t="n">
        <v>1.37</v>
      </c>
      <c r="K3118" s="8" t="n"/>
      <c r="L3118" s="7" t="inlineStr">
        <is>
          <t>DIMEC</t>
        </is>
      </c>
      <c r="M3118" s="8" t="n">
        <v>1.37</v>
      </c>
      <c r="N3118" s="14">
        <f>M3118/H3118-1</f>
        <v/>
      </c>
      <c r="O3118" s="16" t="inlineStr">
        <is>
          <t>ACIMA +24.5%</t>
        </is>
      </c>
      <c r="P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/>
      <c r="K3119" s="8" t="n"/>
      <c r="L3119" s="7" t="inlineStr">
        <is>
          <t>SEM COTAÇÃO</t>
        </is>
      </c>
      <c r="M3119" s="8" t="n"/>
      <c r="N3119" s="14" t="n"/>
      <c r="O3119" s="7" t="inlineStr"/>
      <c r="P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/>
      <c r="K3120" s="8" t="n"/>
      <c r="L3120" s="7" t="inlineStr">
        <is>
          <t>SEM COTAÇÃO</t>
        </is>
      </c>
      <c r="M3120" s="8" t="n"/>
      <c r="N3120" s="14" t="n"/>
      <c r="O3120" s="7" t="inlineStr"/>
      <c r="P3120" s="7" t="inlineStr"/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/>
      <c r="K3121" s="8" t="n"/>
      <c r="L3121" s="7" t="inlineStr">
        <is>
          <t>SEM COTAÇÃO</t>
        </is>
      </c>
      <c r="M3121" s="8" t="n"/>
      <c r="N3121" s="14" t="n"/>
      <c r="O3121" s="7" t="inlineStr"/>
      <c r="P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/>
      <c r="K3122" s="8" t="n"/>
      <c r="L3122" s="7" t="inlineStr">
        <is>
          <t>SEM COTAÇÃO</t>
        </is>
      </c>
      <c r="M3122" s="8" t="n"/>
      <c r="N3122" s="14" t="n"/>
      <c r="O3122" s="7" t="inlineStr"/>
      <c r="P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/>
      <c r="K3123" s="8" t="n"/>
      <c r="L3123" s="7" t="inlineStr">
        <is>
          <t>SEM COTAÇÃO</t>
        </is>
      </c>
      <c r="M3123" s="8" t="n"/>
      <c r="N3123" s="14" t="n"/>
      <c r="O3123" s="7" t="inlineStr"/>
      <c r="P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/>
      <c r="K3124" s="8" t="n"/>
      <c r="L3124" s="7" t="inlineStr">
        <is>
          <t>SEM COTAÇÃO</t>
        </is>
      </c>
      <c r="M3124" s="8" t="n"/>
      <c r="N3124" s="14" t="n"/>
      <c r="O3124" s="7" t="inlineStr"/>
      <c r="P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/>
      <c r="K3125" s="8" t="n"/>
      <c r="L3125" s="7" t="inlineStr">
        <is>
          <t>SEM COTAÇÃO</t>
        </is>
      </c>
      <c r="M3125" s="8" t="n"/>
      <c r="N3125" s="14" t="n"/>
      <c r="O3125" s="7" t="inlineStr"/>
      <c r="P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/>
      <c r="K3126" s="8" t="n"/>
      <c r="L3126" s="7" t="inlineStr">
        <is>
          <t>SEM COTAÇÃO</t>
        </is>
      </c>
      <c r="M3126" s="8" t="n"/>
      <c r="N3126" s="14" t="n"/>
      <c r="O3126" s="7" t="inlineStr"/>
      <c r="P3126" s="7" t="inlineStr"/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/>
      <c r="K3127" s="8" t="n"/>
      <c r="L3127" s="7" t="inlineStr">
        <is>
          <t>SEM COTAÇÃO</t>
        </is>
      </c>
      <c r="M3127" s="8" t="n"/>
      <c r="N3127" s="14" t="n"/>
      <c r="O3127" s="7" t="inlineStr"/>
      <c r="P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/>
      <c r="K3128" s="8" t="n"/>
      <c r="L3128" s="7" t="inlineStr">
        <is>
          <t>SEM COTAÇÃO</t>
        </is>
      </c>
      <c r="M3128" s="8" t="n"/>
      <c r="N3128" s="14" t="n"/>
      <c r="O3128" s="7" t="inlineStr"/>
      <c r="P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/>
      <c r="K3129" s="8" t="n"/>
      <c r="L3129" s="7" t="inlineStr">
        <is>
          <t>SEM COTAÇÃO</t>
        </is>
      </c>
      <c r="M3129" s="8" t="n"/>
      <c r="N3129" s="14" t="n"/>
      <c r="O3129" s="7" t="inlineStr"/>
      <c r="P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/>
      <c r="K3130" s="8" t="n"/>
      <c r="L3130" s="7" t="inlineStr">
        <is>
          <t>SEM COTAÇÃO</t>
        </is>
      </c>
      <c r="M3130" s="8" t="n"/>
      <c r="N3130" s="14" t="n"/>
      <c r="O3130" s="7" t="inlineStr"/>
      <c r="P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15.42</v>
      </c>
      <c r="K3131" s="15" t="n">
        <v>15.07</v>
      </c>
      <c r="L3131" s="7" t="inlineStr">
        <is>
          <t>PLUSFARMA</t>
        </is>
      </c>
      <c r="M3131" s="8" t="n">
        <v>15.07</v>
      </c>
      <c r="N3131" s="14">
        <f>M3131/H3131-1</f>
        <v/>
      </c>
      <c r="O3131" s="16" t="inlineStr">
        <is>
          <t>ACIMA +23.2%</t>
        </is>
      </c>
      <c r="P3131" s="7" t="inlineStr"/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7.82</v>
      </c>
      <c r="K3132" s="15" t="n">
        <v>7.68</v>
      </c>
      <c r="L3132" s="7" t="inlineStr">
        <is>
          <t>PLUSFARMA</t>
        </is>
      </c>
      <c r="M3132" s="8" t="n">
        <v>7.68</v>
      </c>
      <c r="N3132" s="14">
        <f>M3132/H3132-1</f>
        <v/>
      </c>
      <c r="O3132" s="16" t="inlineStr">
        <is>
          <t>ACIMA +16.0%</t>
        </is>
      </c>
      <c r="P3132" s="7" t="inlineStr"/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14.89</v>
      </c>
      <c r="K3133" s="15" t="n">
        <v>14.8</v>
      </c>
      <c r="L3133" s="7" t="inlineStr">
        <is>
          <t>PLUSFARMA</t>
        </is>
      </c>
      <c r="M3133" s="8" t="n">
        <v>14.8</v>
      </c>
      <c r="N3133" s="14">
        <f>M3133/H3133-1</f>
        <v/>
      </c>
      <c r="O3133" s="16" t="inlineStr">
        <is>
          <t>ACIMA +14.0%</t>
        </is>
      </c>
      <c r="P3133" s="7" t="inlineStr"/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/>
      <c r="K3134" s="8" t="n"/>
      <c r="L3134" s="7" t="inlineStr">
        <is>
          <t>SEM COTAÇÃO</t>
        </is>
      </c>
      <c r="M3134" s="8" t="n"/>
      <c r="N3134" s="14" t="n"/>
      <c r="O3134" s="7" t="inlineStr"/>
      <c r="P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/>
      <c r="K3135" s="8" t="n"/>
      <c r="L3135" s="7" t="inlineStr">
        <is>
          <t>SEM COTAÇÃO</t>
        </is>
      </c>
      <c r="M3135" s="8" t="n"/>
      <c r="N3135" s="14" t="n"/>
      <c r="O3135" s="7" t="inlineStr"/>
      <c r="P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/>
      <c r="K3136" s="8" t="n"/>
      <c r="L3136" s="7" t="inlineStr">
        <is>
          <t>SEM COTAÇÃO</t>
        </is>
      </c>
      <c r="M3136" s="8" t="n"/>
      <c r="N3136" s="14" t="n"/>
      <c r="O3136" s="7" t="inlineStr"/>
      <c r="P3136" s="7" t="inlineStr"/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/>
      <c r="K3137" s="8" t="n"/>
      <c r="L3137" s="7" t="inlineStr">
        <is>
          <t>SEM COTAÇÃO</t>
        </is>
      </c>
      <c r="M3137" s="8" t="n"/>
      <c r="N3137" s="14" t="n"/>
      <c r="O3137" s="7" t="inlineStr"/>
      <c r="P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/>
      <c r="K3138" s="8" t="n"/>
      <c r="L3138" s="7" t="inlineStr">
        <is>
          <t>SEM COTAÇÃO</t>
        </is>
      </c>
      <c r="M3138" s="8" t="n"/>
      <c r="N3138" s="14" t="n"/>
      <c r="O3138" s="7" t="inlineStr"/>
      <c r="P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/>
      <c r="K3139" s="8" t="n"/>
      <c r="L3139" s="7" t="inlineStr">
        <is>
          <t>SEM COTAÇÃO</t>
        </is>
      </c>
      <c r="M3139" s="8" t="n"/>
      <c r="N3139" s="14" t="n"/>
      <c r="O3139" s="7" t="inlineStr"/>
      <c r="P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/>
      <c r="K3140" s="8" t="n"/>
      <c r="L3140" s="7" t="inlineStr">
        <is>
          <t>SEM COTAÇÃO</t>
        </is>
      </c>
      <c r="M3140" s="8" t="n"/>
      <c r="N3140" s="14" t="n"/>
      <c r="O3140" s="7" t="inlineStr"/>
      <c r="P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/>
      <c r="K3141" s="8" t="n"/>
      <c r="L3141" s="7" t="inlineStr">
        <is>
          <t>SEM COTAÇÃO</t>
        </is>
      </c>
      <c r="M3141" s="8" t="n"/>
      <c r="N3141" s="14" t="n"/>
      <c r="O3141" s="7" t="inlineStr"/>
      <c r="P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7" t="inlineStr">
        <is>
          <t>SEM COTAÇÃO</t>
        </is>
      </c>
      <c r="M3142" s="8" t="n"/>
      <c r="N3142" s="14" t="n"/>
      <c r="O3142" s="7" t="inlineStr"/>
      <c r="P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/>
      <c r="K3143" s="8" t="n"/>
      <c r="L3143" s="7" t="inlineStr">
        <is>
          <t>SEM COTAÇÃO</t>
        </is>
      </c>
      <c r="M3143" s="8" t="n"/>
      <c r="N3143" s="14" t="n"/>
      <c r="O3143" s="7" t="inlineStr"/>
      <c r="P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/>
      <c r="K3144" s="8" t="n"/>
      <c r="L3144" s="7" t="inlineStr">
        <is>
          <t>SEM COTAÇÃO</t>
        </is>
      </c>
      <c r="M3144" s="8" t="n"/>
      <c r="N3144" s="14" t="n"/>
      <c r="O3144" s="7" t="inlineStr"/>
      <c r="P3144" s="7" t="inlineStr"/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/>
      <c r="K3145" s="8" t="n"/>
      <c r="L3145" s="7" t="inlineStr">
        <is>
          <t>SEM COTAÇÃO</t>
        </is>
      </c>
      <c r="M3145" s="8" t="n"/>
      <c r="N3145" s="14" t="n"/>
      <c r="O3145" s="7" t="inlineStr"/>
      <c r="P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/>
      <c r="K3146" s="8" t="n"/>
      <c r="L3146" s="7" t="inlineStr">
        <is>
          <t>SEM COTAÇÃO</t>
        </is>
      </c>
      <c r="M3146" s="8" t="n"/>
      <c r="N3146" s="14" t="n"/>
      <c r="O3146" s="7" t="inlineStr"/>
      <c r="P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/>
      <c r="K3147" s="8" t="n"/>
      <c r="L3147" s="7" t="inlineStr">
        <is>
          <t>SEM COTAÇÃO</t>
        </is>
      </c>
      <c r="M3147" s="8" t="n"/>
      <c r="N3147" s="14" t="n"/>
      <c r="O3147" s="7" t="inlineStr"/>
      <c r="P3147" s="7" t="inlineStr"/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/>
      <c r="K3148" s="8" t="n"/>
      <c r="L3148" s="7" t="inlineStr">
        <is>
          <t>SEM COTAÇÃO</t>
        </is>
      </c>
      <c r="M3148" s="8" t="n"/>
      <c r="N3148" s="14" t="n"/>
      <c r="O3148" s="7" t="inlineStr"/>
      <c r="P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/>
      <c r="K3149" s="8" t="n"/>
      <c r="L3149" s="7" t="inlineStr">
        <is>
          <t>SEM COTAÇÃO</t>
        </is>
      </c>
      <c r="M3149" s="8" t="n"/>
      <c r="N3149" s="14" t="n"/>
      <c r="O3149" s="7" t="inlineStr"/>
      <c r="P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/>
      <c r="K3150" s="8" t="n"/>
      <c r="L3150" s="7" t="inlineStr">
        <is>
          <t>SEM COTAÇÃO</t>
        </is>
      </c>
      <c r="M3150" s="8" t="n"/>
      <c r="N3150" s="14" t="n"/>
      <c r="O3150" s="7" t="inlineStr"/>
      <c r="P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/>
      <c r="K3151" s="8" t="n"/>
      <c r="L3151" s="7" t="inlineStr">
        <is>
          <t>SEM COTAÇÃO</t>
        </is>
      </c>
      <c r="M3151" s="8" t="n"/>
      <c r="N3151" s="14" t="n"/>
      <c r="O3151" s="7" t="inlineStr"/>
      <c r="P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/>
      <c r="K3152" s="8" t="n"/>
      <c r="L3152" s="7" t="inlineStr">
        <is>
          <t>SEM COTAÇÃO</t>
        </is>
      </c>
      <c r="M3152" s="8" t="n"/>
      <c r="N3152" s="14" t="n"/>
      <c r="O3152" s="7" t="inlineStr"/>
      <c r="P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/>
      <c r="K3153" s="8" t="n"/>
      <c r="L3153" s="7" t="inlineStr">
        <is>
          <t>SEM COTAÇÃO</t>
        </is>
      </c>
      <c r="M3153" s="8" t="n"/>
      <c r="N3153" s="14" t="n"/>
      <c r="O3153" s="7" t="inlineStr"/>
      <c r="P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/>
      <c r="K3154" s="8" t="n"/>
      <c r="L3154" s="7" t="inlineStr">
        <is>
          <t>SEM COTAÇÃO</t>
        </is>
      </c>
      <c r="M3154" s="8" t="n"/>
      <c r="N3154" s="14" t="n"/>
      <c r="O3154" s="7" t="inlineStr"/>
      <c r="P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/>
      <c r="K3155" s="8" t="n"/>
      <c r="L3155" s="7" t="inlineStr">
        <is>
          <t>SEM COTAÇÃO</t>
        </is>
      </c>
      <c r="M3155" s="8" t="n"/>
      <c r="N3155" s="14" t="n"/>
      <c r="O3155" s="7" t="inlineStr"/>
      <c r="P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/>
      <c r="K3156" s="8" t="n"/>
      <c r="L3156" s="7" t="inlineStr">
        <is>
          <t>SEM COTAÇÃO</t>
        </is>
      </c>
      <c r="M3156" s="8" t="n"/>
      <c r="N3156" s="14" t="n"/>
      <c r="O3156" s="7" t="inlineStr"/>
      <c r="P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/>
      <c r="K3157" s="8" t="n"/>
      <c r="L3157" s="7" t="inlineStr">
        <is>
          <t>SEM COTAÇÃO</t>
        </is>
      </c>
      <c r="M3157" s="8" t="n"/>
      <c r="N3157" s="14" t="n"/>
      <c r="O3157" s="7" t="inlineStr"/>
      <c r="P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/>
      <c r="K3158" s="8" t="n"/>
      <c r="L3158" s="7" t="inlineStr">
        <is>
          <t>SEM COTAÇÃO</t>
        </is>
      </c>
      <c r="M3158" s="8" t="n"/>
      <c r="N3158" s="14" t="n"/>
      <c r="O3158" s="7" t="inlineStr"/>
      <c r="P3158" s="7" t="inlineStr"/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/>
      <c r="K3159" s="8" t="n"/>
      <c r="L3159" s="7" t="inlineStr">
        <is>
          <t>SEM COTAÇÃO</t>
        </is>
      </c>
      <c r="M3159" s="8" t="n"/>
      <c r="N3159" s="14" t="n"/>
      <c r="O3159" s="7" t="inlineStr"/>
      <c r="P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/>
      <c r="K3160" s="8" t="n"/>
      <c r="L3160" s="7" t="inlineStr">
        <is>
          <t>SEM COTAÇÃO</t>
        </is>
      </c>
      <c r="M3160" s="8" t="n"/>
      <c r="N3160" s="14" t="n"/>
      <c r="O3160" s="7" t="inlineStr"/>
      <c r="P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/>
      <c r="K3161" s="8" t="n"/>
      <c r="L3161" s="7" t="inlineStr">
        <is>
          <t>SEM COTAÇÃO</t>
        </is>
      </c>
      <c r="M3161" s="8" t="n"/>
      <c r="N3161" s="14" t="n"/>
      <c r="O3161" s="7" t="inlineStr"/>
      <c r="P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/>
      <c r="K3162" s="8" t="n"/>
      <c r="L3162" s="7" t="inlineStr">
        <is>
          <t>SEM COTAÇÃO</t>
        </is>
      </c>
      <c r="M3162" s="8" t="n"/>
      <c r="N3162" s="14" t="n"/>
      <c r="O3162" s="7" t="inlineStr"/>
      <c r="P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/>
      <c r="K3163" s="8" t="n"/>
      <c r="L3163" s="7" t="inlineStr">
        <is>
          <t>SEM COTAÇÃO</t>
        </is>
      </c>
      <c r="M3163" s="8" t="n"/>
      <c r="N3163" s="14" t="n"/>
      <c r="O3163" s="7" t="inlineStr"/>
      <c r="P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/>
      <c r="K3164" s="8" t="n"/>
      <c r="L3164" s="7" t="inlineStr">
        <is>
          <t>SEM COTAÇÃO</t>
        </is>
      </c>
      <c r="M3164" s="8" t="n"/>
      <c r="N3164" s="14" t="n"/>
      <c r="O3164" s="7" t="inlineStr"/>
      <c r="P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/>
      <c r="K3165" s="8" t="n"/>
      <c r="L3165" s="7" t="inlineStr">
        <is>
          <t>SEM COTAÇÃO</t>
        </is>
      </c>
      <c r="M3165" s="8" t="n"/>
      <c r="N3165" s="14" t="n"/>
      <c r="O3165" s="7" t="inlineStr"/>
      <c r="P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/>
      <c r="K3166" s="8" t="n"/>
      <c r="L3166" s="7" t="inlineStr">
        <is>
          <t>SEM COTAÇÃO</t>
        </is>
      </c>
      <c r="M3166" s="8" t="n"/>
      <c r="N3166" s="14" t="n"/>
      <c r="O3166" s="7" t="inlineStr"/>
      <c r="P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/>
      <c r="K3167" s="8" t="n"/>
      <c r="L3167" s="7" t="inlineStr">
        <is>
          <t>SEM COTAÇÃO</t>
        </is>
      </c>
      <c r="M3167" s="8" t="n"/>
      <c r="N3167" s="14" t="n"/>
      <c r="O3167" s="7" t="inlineStr"/>
      <c r="P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/>
      <c r="K3168" s="8" t="n"/>
      <c r="L3168" s="7" t="inlineStr">
        <is>
          <t>SEM COTAÇÃO</t>
        </is>
      </c>
      <c r="M3168" s="8" t="n"/>
      <c r="N3168" s="14" t="n"/>
      <c r="O3168" s="7" t="inlineStr"/>
      <c r="P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/>
      <c r="K3169" s="8" t="n"/>
      <c r="L3169" s="7" t="inlineStr">
        <is>
          <t>SEM COTAÇÃO</t>
        </is>
      </c>
      <c r="M3169" s="8" t="n"/>
      <c r="N3169" s="14" t="n"/>
      <c r="O3169" s="7" t="inlineStr"/>
      <c r="P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/>
      <c r="K3170" s="8" t="n"/>
      <c r="L3170" s="7" t="inlineStr">
        <is>
          <t>SEM COTAÇÃO</t>
        </is>
      </c>
      <c r="M3170" s="8" t="n"/>
      <c r="N3170" s="14" t="n"/>
      <c r="O3170" s="7" t="inlineStr"/>
      <c r="P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/>
      <c r="K3171" s="8" t="n"/>
      <c r="L3171" s="7" t="inlineStr">
        <is>
          <t>SEM COTAÇÃO</t>
        </is>
      </c>
      <c r="M3171" s="8" t="n"/>
      <c r="N3171" s="14" t="n"/>
      <c r="O3171" s="7" t="inlineStr"/>
      <c r="P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/>
      <c r="K3172" s="8" t="n"/>
      <c r="L3172" s="7" t="inlineStr">
        <is>
          <t>SEM COTAÇÃO</t>
        </is>
      </c>
      <c r="M3172" s="8" t="n"/>
      <c r="N3172" s="14" t="n"/>
      <c r="O3172" s="7" t="inlineStr"/>
      <c r="P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/>
      <c r="K3173" s="8" t="n"/>
      <c r="L3173" s="7" t="inlineStr">
        <is>
          <t>SEM COTAÇÃO</t>
        </is>
      </c>
      <c r="M3173" s="8" t="n"/>
      <c r="N3173" s="14" t="n"/>
      <c r="O3173" s="7" t="inlineStr"/>
      <c r="P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/>
      <c r="K3174" s="8" t="n"/>
      <c r="L3174" s="7" t="inlineStr">
        <is>
          <t>SEM COTAÇÃO</t>
        </is>
      </c>
      <c r="M3174" s="8" t="n"/>
      <c r="N3174" s="14" t="n"/>
      <c r="O3174" s="7" t="inlineStr"/>
      <c r="P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/>
      <c r="K3175" s="8" t="n"/>
      <c r="L3175" s="7" t="inlineStr">
        <is>
          <t>SEM COTAÇÃO</t>
        </is>
      </c>
      <c r="M3175" s="8" t="n"/>
      <c r="N3175" s="14" t="n"/>
      <c r="O3175" s="7" t="inlineStr"/>
      <c r="P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/>
      <c r="K3176" s="8" t="n"/>
      <c r="L3176" s="7" t="inlineStr">
        <is>
          <t>SEM COTAÇÃO</t>
        </is>
      </c>
      <c r="M3176" s="8" t="n"/>
      <c r="N3176" s="14" t="n"/>
      <c r="O3176" s="7" t="inlineStr"/>
      <c r="P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/>
      <c r="K3177" s="8" t="n"/>
      <c r="L3177" s="7" t="inlineStr">
        <is>
          <t>SEM COTAÇÃO</t>
        </is>
      </c>
      <c r="M3177" s="8" t="n"/>
      <c r="N3177" s="14" t="n"/>
      <c r="O3177" s="7" t="inlineStr"/>
      <c r="P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/>
      <c r="K3178" s="8" t="n"/>
      <c r="L3178" s="7" t="inlineStr">
        <is>
          <t>SEM COTAÇÃO</t>
        </is>
      </c>
      <c r="M3178" s="8" t="n"/>
      <c r="N3178" s="14" t="n"/>
      <c r="O3178" s="7" t="inlineStr"/>
      <c r="P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/>
      <c r="K3179" s="8" t="n"/>
      <c r="L3179" s="7" t="inlineStr">
        <is>
          <t>SEM COTAÇÃO</t>
        </is>
      </c>
      <c r="M3179" s="8" t="n"/>
      <c r="N3179" s="14" t="n"/>
      <c r="O3179" s="7" t="inlineStr"/>
      <c r="P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/>
      <c r="K3180" s="8" t="n"/>
      <c r="L3180" s="7" t="inlineStr">
        <is>
          <t>SEM COTAÇÃO</t>
        </is>
      </c>
      <c r="M3180" s="8" t="n"/>
      <c r="N3180" s="14" t="n"/>
      <c r="O3180" s="7" t="inlineStr"/>
      <c r="P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/>
      <c r="K3181" s="8" t="n"/>
      <c r="L3181" s="7" t="inlineStr">
        <is>
          <t>SEM COTAÇÃO</t>
        </is>
      </c>
      <c r="M3181" s="8" t="n"/>
      <c r="N3181" s="14" t="n"/>
      <c r="O3181" s="7" t="inlineStr"/>
      <c r="P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15" t="n">
        <v>7.59</v>
      </c>
      <c r="K3182" s="8" t="n"/>
      <c r="L3182" s="7" t="inlineStr">
        <is>
          <t>DIMEC</t>
        </is>
      </c>
      <c r="M3182" s="8" t="n">
        <v>7.59</v>
      </c>
      <c r="N3182" s="14">
        <f>M3182/H3182-1</f>
        <v/>
      </c>
      <c r="O3182" s="17" t="inlineStr">
        <is>
          <t>OK (≤ menor hist.)</t>
        </is>
      </c>
      <c r="P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/>
      <c r="K3183" s="8" t="n"/>
      <c r="L3183" s="7" t="inlineStr">
        <is>
          <t>SEM COTAÇÃO</t>
        </is>
      </c>
      <c r="M3183" s="8" t="n"/>
      <c r="N3183" s="14" t="n"/>
      <c r="O3183" s="7" t="inlineStr"/>
      <c r="P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/>
      <c r="K3184" s="8" t="n"/>
      <c r="L3184" s="7" t="inlineStr">
        <is>
          <t>SEM COTAÇÃO</t>
        </is>
      </c>
      <c r="M3184" s="8" t="n"/>
      <c r="N3184" s="14" t="n"/>
      <c r="O3184" s="7" t="inlineStr"/>
      <c r="P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15" t="n">
        <v>7.16</v>
      </c>
      <c r="K3185" s="8" t="n"/>
      <c r="L3185" s="7" t="inlineStr">
        <is>
          <t>DIMEC</t>
        </is>
      </c>
      <c r="M3185" s="8" t="n">
        <v>7.16</v>
      </c>
      <c r="N3185" s="14">
        <f>M3185/H3185-1</f>
        <v/>
      </c>
      <c r="O3185" s="17" t="inlineStr">
        <is>
          <t>OK (≤ menor hist.)</t>
        </is>
      </c>
      <c r="P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/>
      <c r="K3186" s="8" t="n"/>
      <c r="L3186" s="7" t="inlineStr">
        <is>
          <t>SEM COTAÇÃO</t>
        </is>
      </c>
      <c r="M3186" s="8" t="n"/>
      <c r="N3186" s="14" t="n"/>
      <c r="O3186" s="7" t="inlineStr"/>
      <c r="P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/>
      <c r="K3187" s="8" t="n"/>
      <c r="L3187" s="7" t="inlineStr">
        <is>
          <t>SEM COTAÇÃO</t>
        </is>
      </c>
      <c r="M3187" s="8" t="n"/>
      <c r="N3187" s="14" t="n"/>
      <c r="O3187" s="7" t="inlineStr"/>
      <c r="P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15" t="n">
        <v>3.6</v>
      </c>
      <c r="K3188" s="8" t="n"/>
      <c r="L3188" s="7" t="inlineStr">
        <is>
          <t>DIMEC</t>
        </is>
      </c>
      <c r="M3188" s="8" t="n">
        <v>3.6</v>
      </c>
      <c r="N3188" s="14">
        <f>M3188/H3188-1</f>
        <v/>
      </c>
      <c r="O3188" s="17" t="inlineStr">
        <is>
          <t>OK (≤ menor hist.)</t>
        </is>
      </c>
      <c r="P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15" t="n">
        <v>5.79</v>
      </c>
      <c r="K3189" s="8" t="n"/>
      <c r="L3189" s="7" t="inlineStr">
        <is>
          <t>DIMEC</t>
        </is>
      </c>
      <c r="M3189" s="8" t="n">
        <v>5.79</v>
      </c>
      <c r="N3189" s="14">
        <f>M3189/H3189-1</f>
        <v/>
      </c>
      <c r="O3189" s="16" t="inlineStr">
        <is>
          <t>ACIMA +6.2%</t>
        </is>
      </c>
      <c r="P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15" t="n">
        <v>5.3</v>
      </c>
      <c r="K3190" s="8" t="n"/>
      <c r="L3190" s="7" t="inlineStr">
        <is>
          <t>DIMEC</t>
        </is>
      </c>
      <c r="M3190" s="8" t="n">
        <v>5.3</v>
      </c>
      <c r="N3190" s="14">
        <f>M3190/H3190-1</f>
        <v/>
      </c>
      <c r="O3190" s="16" t="inlineStr">
        <is>
          <t>ACIMA +1.5%</t>
        </is>
      </c>
      <c r="P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15" t="n">
        <v>8.67</v>
      </c>
      <c r="K3191" s="8" t="n"/>
      <c r="L3191" s="7" t="inlineStr">
        <is>
          <t>DIMEC</t>
        </is>
      </c>
      <c r="M3191" s="8" t="n">
        <v>8.67</v>
      </c>
      <c r="N3191" s="14">
        <f>M3191/H3191-1</f>
        <v/>
      </c>
      <c r="O3191" s="17" t="inlineStr">
        <is>
          <t>OK (≤ menor hist.)</t>
        </is>
      </c>
      <c r="P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15" t="n">
        <v>6.89</v>
      </c>
      <c r="K3192" s="8" t="n"/>
      <c r="L3192" s="7" t="inlineStr">
        <is>
          <t>DIMEC</t>
        </is>
      </c>
      <c r="M3192" s="8" t="n">
        <v>6.89</v>
      </c>
      <c r="N3192" s="14">
        <f>M3192/H3192-1</f>
        <v/>
      </c>
      <c r="O3192" s="16" t="inlineStr">
        <is>
          <t>ACIMA +21.7%</t>
        </is>
      </c>
      <c r="P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/>
      <c r="K3193" s="8" t="n"/>
      <c r="L3193" s="7" t="inlineStr">
        <is>
          <t>SEM COTAÇÃO</t>
        </is>
      </c>
      <c r="M3193" s="8" t="n"/>
      <c r="N3193" s="14" t="n"/>
      <c r="O3193" s="7" t="inlineStr"/>
      <c r="P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/>
      <c r="K3194" s="8" t="n"/>
      <c r="L3194" s="7" t="inlineStr">
        <is>
          <t>SEM COTAÇÃO</t>
        </is>
      </c>
      <c r="M3194" s="8" t="n"/>
      <c r="N3194" s="14" t="n"/>
      <c r="O3194" s="7" t="inlineStr"/>
      <c r="P3194" s="7" t="inlineStr"/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/>
      <c r="K3195" s="8" t="n"/>
      <c r="L3195" s="7" t="inlineStr">
        <is>
          <t>SEM COTAÇÃO</t>
        </is>
      </c>
      <c r="M3195" s="8" t="n"/>
      <c r="N3195" s="14" t="n"/>
      <c r="O3195" s="7" t="inlineStr"/>
      <c r="P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/>
      <c r="K3196" s="8" t="n"/>
      <c r="L3196" s="7" t="inlineStr">
        <is>
          <t>SEM COTAÇÃO</t>
        </is>
      </c>
      <c r="M3196" s="8" t="n"/>
      <c r="N3196" s="14" t="n"/>
      <c r="O3196" s="7" t="inlineStr"/>
      <c r="P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/>
      <c r="K3197" s="8" t="n"/>
      <c r="L3197" s="7" t="inlineStr">
        <is>
          <t>SEM COTAÇÃO</t>
        </is>
      </c>
      <c r="M3197" s="8" t="n"/>
      <c r="N3197" s="14" t="n"/>
      <c r="O3197" s="7" t="inlineStr"/>
      <c r="P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/>
      <c r="K3198" s="8" t="n"/>
      <c r="L3198" s="7" t="inlineStr">
        <is>
          <t>SEM COTAÇÃO</t>
        </is>
      </c>
      <c r="M3198" s="8" t="n"/>
      <c r="N3198" s="14" t="n"/>
      <c r="O3198" s="7" t="inlineStr"/>
      <c r="P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/>
      <c r="K3199" s="8" t="n"/>
      <c r="L3199" s="7" t="inlineStr">
        <is>
          <t>SEM COTAÇÃO</t>
        </is>
      </c>
      <c r="M3199" s="8" t="n"/>
      <c r="N3199" s="14" t="n"/>
      <c r="O3199" s="7" t="inlineStr"/>
      <c r="P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/>
      <c r="K3200" s="8" t="n"/>
      <c r="L3200" s="7" t="inlineStr">
        <is>
          <t>SEM COTAÇÃO</t>
        </is>
      </c>
      <c r="M3200" s="8" t="n"/>
      <c r="N3200" s="14" t="n"/>
      <c r="O3200" s="7" t="inlineStr"/>
      <c r="P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/>
      <c r="K3201" s="8" t="n"/>
      <c r="L3201" s="7" t="inlineStr">
        <is>
          <t>SEM COTAÇÃO</t>
        </is>
      </c>
      <c r="M3201" s="8" t="n"/>
      <c r="N3201" s="14" t="n"/>
      <c r="O3201" s="7" t="inlineStr"/>
      <c r="P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/>
      <c r="K3202" s="8" t="n"/>
      <c r="L3202" s="7" t="inlineStr">
        <is>
          <t>SEM COTAÇÃO</t>
        </is>
      </c>
      <c r="M3202" s="8" t="n"/>
      <c r="N3202" s="14" t="n"/>
      <c r="O3202" s="7" t="inlineStr"/>
      <c r="P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/>
      <c r="K3203" s="8" t="n"/>
      <c r="L3203" s="7" t="inlineStr">
        <is>
          <t>SEM COTAÇÃO</t>
        </is>
      </c>
      <c r="M3203" s="8" t="n"/>
      <c r="N3203" s="14" t="n"/>
      <c r="O3203" s="7" t="inlineStr"/>
      <c r="P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/>
      <c r="K3204" s="8" t="n"/>
      <c r="L3204" s="7" t="inlineStr">
        <is>
          <t>SEM COTAÇÃO</t>
        </is>
      </c>
      <c r="M3204" s="8" t="n"/>
      <c r="N3204" s="14" t="n"/>
      <c r="O3204" s="7" t="inlineStr"/>
      <c r="P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/>
      <c r="K3205" s="8" t="n"/>
      <c r="L3205" s="7" t="inlineStr">
        <is>
          <t>SEM COTAÇÃO</t>
        </is>
      </c>
      <c r="M3205" s="8" t="n"/>
      <c r="N3205" s="14" t="n"/>
      <c r="O3205" s="7" t="inlineStr"/>
      <c r="P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/>
      <c r="K3206" s="8" t="n"/>
      <c r="L3206" s="7" t="inlineStr">
        <is>
          <t>SEM COTAÇÃO</t>
        </is>
      </c>
      <c r="M3206" s="8" t="n"/>
      <c r="N3206" s="14" t="n"/>
      <c r="O3206" s="7" t="inlineStr"/>
      <c r="P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/>
      <c r="K3207" s="8" t="n"/>
      <c r="L3207" s="7" t="inlineStr">
        <is>
          <t>SEM COTAÇÃO</t>
        </is>
      </c>
      <c r="M3207" s="8" t="n"/>
      <c r="N3207" s="14" t="n"/>
      <c r="O3207" s="7" t="inlineStr"/>
      <c r="P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/>
      <c r="K3208" s="8" t="n"/>
      <c r="L3208" s="7" t="inlineStr">
        <is>
          <t>SEM COTAÇÃO</t>
        </is>
      </c>
      <c r="M3208" s="8" t="n"/>
      <c r="N3208" s="14" t="n"/>
      <c r="O3208" s="7" t="inlineStr"/>
      <c r="P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/>
      <c r="K3209" s="8" t="n"/>
      <c r="L3209" s="7" t="inlineStr">
        <is>
          <t>SEM COTAÇÃO</t>
        </is>
      </c>
      <c r="M3209" s="8" t="n"/>
      <c r="N3209" s="14" t="n"/>
      <c r="O3209" s="7" t="inlineStr"/>
      <c r="P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/>
      <c r="K3210" s="8" t="n"/>
      <c r="L3210" s="7" t="inlineStr">
        <is>
          <t>SEM COTAÇÃO</t>
        </is>
      </c>
      <c r="M3210" s="8" t="n"/>
      <c r="N3210" s="14" t="n"/>
      <c r="O3210" s="7" t="inlineStr"/>
      <c r="P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/>
      <c r="K3211" s="8" t="n"/>
      <c r="L3211" s="7" t="inlineStr">
        <is>
          <t>SEM COTAÇÃO</t>
        </is>
      </c>
      <c r="M3211" s="8" t="n"/>
      <c r="N3211" s="14" t="n"/>
      <c r="O3211" s="7" t="inlineStr"/>
      <c r="P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/>
      <c r="K3212" s="8" t="n"/>
      <c r="L3212" s="7" t="inlineStr">
        <is>
          <t>SEM COTAÇÃO</t>
        </is>
      </c>
      <c r="M3212" s="8" t="n"/>
      <c r="N3212" s="14" t="n"/>
      <c r="O3212" s="7" t="inlineStr"/>
      <c r="P3212" s="7" t="inlineStr"/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/>
      <c r="K3213" s="8" t="n"/>
      <c r="L3213" s="7" t="inlineStr">
        <is>
          <t>SEM COTAÇÃO</t>
        </is>
      </c>
      <c r="M3213" s="8" t="n"/>
      <c r="N3213" s="14" t="n"/>
      <c r="O3213" s="7" t="inlineStr"/>
      <c r="P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14.45</v>
      </c>
      <c r="K3214" s="15" t="n">
        <v>14.13</v>
      </c>
      <c r="L3214" s="7" t="inlineStr">
        <is>
          <t>PLUSFARMA</t>
        </is>
      </c>
      <c r="M3214" s="8" t="n">
        <v>14.13</v>
      </c>
      <c r="N3214" s="14">
        <f>M3214/H3214-1</f>
        <v/>
      </c>
      <c r="O3214" s="16" t="inlineStr">
        <is>
          <t>ACIMA +20.1%</t>
        </is>
      </c>
      <c r="P3214" s="7" t="inlineStr"/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/>
      <c r="K3215" s="8" t="n"/>
      <c r="L3215" s="7" t="inlineStr">
        <is>
          <t>SEM COTAÇÃO</t>
        </is>
      </c>
      <c r="M3215" s="8" t="n"/>
      <c r="N3215" s="14" t="n"/>
      <c r="O3215" s="7" t="inlineStr"/>
      <c r="P3215" s="7" t="inlineStr"/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21.08</v>
      </c>
      <c r="K3216" s="15" t="n">
        <v>20.61</v>
      </c>
      <c r="L3216" s="7" t="inlineStr">
        <is>
          <t>PLUSFARMA</t>
        </is>
      </c>
      <c r="M3216" s="8" t="n">
        <v>20.61</v>
      </c>
      <c r="N3216" s="14">
        <f>M3216/H3216-1</f>
        <v/>
      </c>
      <c r="O3216" s="16" t="inlineStr">
        <is>
          <t>ACIMA +20.3%</t>
        </is>
      </c>
      <c r="P3216" s="7" t="inlineStr"/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/>
      <c r="K3217" s="8" t="n"/>
      <c r="L3217" s="7" t="inlineStr">
        <is>
          <t>SEM COTAÇÃO</t>
        </is>
      </c>
      <c r="M3217" s="8" t="n"/>
      <c r="N3217" s="14" t="n"/>
      <c r="O3217" s="7" t="inlineStr"/>
      <c r="P3217" s="7" t="inlineStr"/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/>
      <c r="K3218" s="8" t="n"/>
      <c r="L3218" s="7" t="inlineStr">
        <is>
          <t>SEM COTAÇÃO</t>
        </is>
      </c>
      <c r="M3218" s="8" t="n"/>
      <c r="N3218" s="14" t="n"/>
      <c r="O3218" s="7" t="inlineStr"/>
      <c r="P3218" s="7" t="inlineStr"/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/>
      <c r="K3219" s="8" t="n"/>
      <c r="L3219" s="7" t="inlineStr">
        <is>
          <t>SEM COTAÇÃO</t>
        </is>
      </c>
      <c r="M3219" s="8" t="n"/>
      <c r="N3219" s="14" t="n"/>
      <c r="O3219" s="7" t="inlineStr"/>
      <c r="P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15" t="n">
        <v>37.44</v>
      </c>
      <c r="K3220" s="8" t="n"/>
      <c r="L3220" s="7" t="inlineStr">
        <is>
          <t>DIMEC</t>
        </is>
      </c>
      <c r="M3220" s="8" t="n">
        <v>37.44</v>
      </c>
      <c r="N3220" s="14">
        <f>M3220/H3220-1</f>
        <v/>
      </c>
      <c r="O3220" s="16" t="inlineStr">
        <is>
          <t>ACIMA +16.9%</t>
        </is>
      </c>
      <c r="P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/>
      <c r="K3221" s="8" t="n"/>
      <c r="L3221" s="7" t="inlineStr">
        <is>
          <t>SEM COTAÇÃO</t>
        </is>
      </c>
      <c r="M3221" s="8" t="n"/>
      <c r="N3221" s="14" t="n"/>
      <c r="O3221" s="7" t="inlineStr"/>
      <c r="P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/>
      <c r="K3222" s="8" t="n"/>
      <c r="L3222" s="7" t="inlineStr">
        <is>
          <t>SEM COTAÇÃO</t>
        </is>
      </c>
      <c r="M3222" s="8" t="n"/>
      <c r="N3222" s="14" t="n"/>
      <c r="O3222" s="7" t="inlineStr"/>
      <c r="P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/>
      <c r="K3223" s="8" t="n"/>
      <c r="L3223" s="7" t="inlineStr">
        <is>
          <t>SEM COTAÇÃO</t>
        </is>
      </c>
      <c r="M3223" s="8" t="n"/>
      <c r="N3223" s="14" t="n"/>
      <c r="O3223" s="7" t="inlineStr"/>
      <c r="P3223" s="7" t="inlineStr"/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/>
      <c r="K3224" s="8" t="n"/>
      <c r="L3224" s="7" t="inlineStr">
        <is>
          <t>SEM COTAÇÃO</t>
        </is>
      </c>
      <c r="M3224" s="8" t="n"/>
      <c r="N3224" s="14" t="n"/>
      <c r="O3224" s="7" t="inlineStr"/>
      <c r="P3224" s="7" t="inlineStr"/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/>
      <c r="K3225" s="8" t="n"/>
      <c r="L3225" s="7" t="inlineStr">
        <is>
          <t>SEM COTAÇÃO</t>
        </is>
      </c>
      <c r="M3225" s="8" t="n"/>
      <c r="N3225" s="14" t="n"/>
      <c r="O3225" s="7" t="inlineStr"/>
      <c r="P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/>
      <c r="K3226" s="8" t="n"/>
      <c r="L3226" s="7" t="inlineStr">
        <is>
          <t>SEM COTAÇÃO</t>
        </is>
      </c>
      <c r="M3226" s="8" t="n"/>
      <c r="N3226" s="14" t="n"/>
      <c r="O3226" s="7" t="inlineStr"/>
      <c r="P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/>
      <c r="K3227" s="8" t="n"/>
      <c r="L3227" s="7" t="inlineStr">
        <is>
          <t>SEM COTAÇÃO</t>
        </is>
      </c>
      <c r="M3227" s="8" t="n"/>
      <c r="N3227" s="14" t="n"/>
      <c r="O3227" s="7" t="inlineStr"/>
      <c r="P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/>
      <c r="K3228" s="8" t="n"/>
      <c r="L3228" s="7" t="inlineStr">
        <is>
          <t>SEM COTAÇÃO</t>
        </is>
      </c>
      <c r="M3228" s="8" t="n"/>
      <c r="N3228" s="14" t="n"/>
      <c r="O3228" s="7" t="inlineStr"/>
      <c r="P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/>
      <c r="K3229" s="8" t="n"/>
      <c r="L3229" s="7" t="inlineStr">
        <is>
          <t>SEM COTAÇÃO</t>
        </is>
      </c>
      <c r="M3229" s="8" t="n"/>
      <c r="N3229" s="14" t="n"/>
      <c r="O3229" s="7" t="inlineStr"/>
      <c r="P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/>
      <c r="K3230" s="8" t="n"/>
      <c r="L3230" s="7" t="inlineStr">
        <is>
          <t>SEM COTAÇÃO</t>
        </is>
      </c>
      <c r="M3230" s="8" t="n"/>
      <c r="N3230" s="14" t="n"/>
      <c r="O3230" s="7" t="inlineStr"/>
      <c r="P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/>
      <c r="K3231" s="8" t="n"/>
      <c r="L3231" s="7" t="inlineStr">
        <is>
          <t>SEM COTAÇÃO</t>
        </is>
      </c>
      <c r="M3231" s="8" t="n"/>
      <c r="N3231" s="14" t="n"/>
      <c r="O3231" s="7" t="inlineStr"/>
      <c r="P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/>
      <c r="K3232" s="8" t="n"/>
      <c r="L3232" s="7" t="inlineStr">
        <is>
          <t>SEM COTAÇÃO</t>
        </is>
      </c>
      <c r="M3232" s="8" t="n"/>
      <c r="N3232" s="14" t="n"/>
      <c r="O3232" s="7" t="inlineStr"/>
      <c r="P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/>
      <c r="K3233" s="8" t="n"/>
      <c r="L3233" s="7" t="inlineStr">
        <is>
          <t>SEM COTAÇÃO</t>
        </is>
      </c>
      <c r="M3233" s="8" t="n"/>
      <c r="N3233" s="14" t="n"/>
      <c r="O3233" s="7" t="inlineStr"/>
      <c r="P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/>
      <c r="K3234" s="8" t="n"/>
      <c r="L3234" s="7" t="inlineStr">
        <is>
          <t>SEM COTAÇÃO</t>
        </is>
      </c>
      <c r="M3234" s="8" t="n"/>
      <c r="N3234" s="14" t="n"/>
      <c r="O3234" s="7" t="inlineStr"/>
      <c r="P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/>
      <c r="K3235" s="8" t="n"/>
      <c r="L3235" s="7" t="inlineStr">
        <is>
          <t>SEM COTAÇÃO</t>
        </is>
      </c>
      <c r="M3235" s="8" t="n"/>
      <c r="N3235" s="14" t="n"/>
      <c r="O3235" s="7" t="inlineStr"/>
      <c r="P3235" s="7" t="inlineStr"/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15" t="n">
        <v>78.61</v>
      </c>
      <c r="K3236" s="8" t="n"/>
      <c r="L3236" s="7" t="inlineStr">
        <is>
          <t>DIMEC</t>
        </is>
      </c>
      <c r="M3236" s="8" t="n">
        <v>78.61</v>
      </c>
      <c r="N3236" s="14">
        <f>M3236/H3236-1</f>
        <v/>
      </c>
      <c r="O3236" s="16" t="inlineStr">
        <is>
          <t>ACIMA +8.4%</t>
        </is>
      </c>
      <c r="P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/>
      <c r="K3237" s="8" t="n"/>
      <c r="L3237" s="7" t="inlineStr">
        <is>
          <t>SEM COTAÇÃO</t>
        </is>
      </c>
      <c r="M3237" s="8" t="n"/>
      <c r="N3237" s="14" t="n"/>
      <c r="O3237" s="7" t="inlineStr"/>
      <c r="P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/>
      <c r="K3238" s="8" t="n"/>
      <c r="L3238" s="7" t="inlineStr">
        <is>
          <t>SEM COTAÇÃO</t>
        </is>
      </c>
      <c r="M3238" s="8" t="n"/>
      <c r="N3238" s="14" t="n"/>
      <c r="O3238" s="7" t="inlineStr"/>
      <c r="P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/>
      <c r="K3239" s="8" t="n"/>
      <c r="L3239" s="7" t="inlineStr">
        <is>
          <t>SEM COTAÇÃO</t>
        </is>
      </c>
      <c r="M3239" s="8" t="n"/>
      <c r="N3239" s="14" t="n"/>
      <c r="O3239" s="7" t="inlineStr"/>
      <c r="P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/>
      <c r="K3240" s="8" t="n"/>
      <c r="L3240" s="7" t="inlineStr">
        <is>
          <t>SEM COTAÇÃO</t>
        </is>
      </c>
      <c r="M3240" s="8" t="n"/>
      <c r="N3240" s="14" t="n"/>
      <c r="O3240" s="7" t="inlineStr"/>
      <c r="P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/>
      <c r="K3241" s="8" t="n"/>
      <c r="L3241" s="7" t="inlineStr">
        <is>
          <t>SEM COTAÇÃO</t>
        </is>
      </c>
      <c r="M3241" s="8" t="n"/>
      <c r="N3241" s="14" t="n"/>
      <c r="O3241" s="7" t="inlineStr"/>
      <c r="P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/>
      <c r="K3242" s="8" t="n"/>
      <c r="L3242" s="7" t="inlineStr">
        <is>
          <t>SEM COTAÇÃO</t>
        </is>
      </c>
      <c r="M3242" s="8" t="n"/>
      <c r="N3242" s="14" t="n"/>
      <c r="O3242" s="7" t="inlineStr"/>
      <c r="P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/>
      <c r="K3243" s="8" t="n"/>
      <c r="L3243" s="7" t="inlineStr">
        <is>
          <t>SEM COTAÇÃO</t>
        </is>
      </c>
      <c r="M3243" s="8" t="n"/>
      <c r="N3243" s="14" t="n"/>
      <c r="O3243" s="7" t="inlineStr"/>
      <c r="P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/>
      <c r="K3244" s="8" t="n"/>
      <c r="L3244" s="7" t="inlineStr">
        <is>
          <t>SEM COTAÇÃO</t>
        </is>
      </c>
      <c r="M3244" s="8" t="n"/>
      <c r="N3244" s="14" t="n"/>
      <c r="O3244" s="7" t="inlineStr"/>
      <c r="P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/>
      <c r="K3245" s="8" t="n"/>
      <c r="L3245" s="7" t="inlineStr">
        <is>
          <t>SEM COTAÇÃO</t>
        </is>
      </c>
      <c r="M3245" s="8" t="n"/>
      <c r="N3245" s="14" t="n"/>
      <c r="O3245" s="7" t="inlineStr"/>
      <c r="P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/>
      <c r="K3246" s="8" t="n"/>
      <c r="L3246" s="7" t="inlineStr">
        <is>
          <t>SEM COTAÇÃO</t>
        </is>
      </c>
      <c r="M3246" s="8" t="n"/>
      <c r="N3246" s="14" t="n"/>
      <c r="O3246" s="7" t="inlineStr"/>
      <c r="P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/>
      <c r="K3247" s="8" t="n"/>
      <c r="L3247" s="7" t="inlineStr">
        <is>
          <t>SEM COTAÇÃO</t>
        </is>
      </c>
      <c r="M3247" s="8" t="n"/>
      <c r="N3247" s="14" t="n"/>
      <c r="O3247" s="7" t="inlineStr"/>
      <c r="P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/>
      <c r="K3248" s="8" t="n"/>
      <c r="L3248" s="7" t="inlineStr">
        <is>
          <t>SEM COTAÇÃO</t>
        </is>
      </c>
      <c r="M3248" s="8" t="n"/>
      <c r="N3248" s="14" t="n"/>
      <c r="O3248" s="7" t="inlineStr"/>
      <c r="P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/>
      <c r="K3249" s="8" t="n"/>
      <c r="L3249" s="7" t="inlineStr">
        <is>
          <t>SEM COTAÇÃO</t>
        </is>
      </c>
      <c r="M3249" s="8" t="n"/>
      <c r="N3249" s="14" t="n"/>
      <c r="O3249" s="7" t="inlineStr"/>
      <c r="P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/>
      <c r="K3250" s="8" t="n"/>
      <c r="L3250" s="7" t="inlineStr">
        <is>
          <t>SEM COTAÇÃO</t>
        </is>
      </c>
      <c r="M3250" s="8" t="n"/>
      <c r="N3250" s="14" t="n"/>
      <c r="O3250" s="7" t="inlineStr"/>
      <c r="P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/>
      <c r="K3251" s="8" t="n"/>
      <c r="L3251" s="7" t="inlineStr">
        <is>
          <t>SEM COTAÇÃO</t>
        </is>
      </c>
      <c r="M3251" s="8" t="n"/>
      <c r="N3251" s="14" t="n"/>
      <c r="O3251" s="7" t="inlineStr"/>
      <c r="P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/>
      <c r="K3252" s="15" t="n">
        <v>4.69</v>
      </c>
      <c r="L3252" s="7" t="inlineStr">
        <is>
          <t>PLUSFARMA</t>
        </is>
      </c>
      <c r="M3252" s="8" t="n">
        <v>4.69</v>
      </c>
      <c r="N3252" s="14">
        <f>M3252/H3252-1</f>
        <v/>
      </c>
      <c r="O3252" s="17" t="inlineStr">
        <is>
          <t>OK (≤ menor hist.)</t>
        </is>
      </c>
      <c r="P3252" s="7" t="inlineStr"/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/>
      <c r="K3253" s="8" t="n"/>
      <c r="L3253" s="7" t="inlineStr">
        <is>
          <t>SEM COTAÇÃO</t>
        </is>
      </c>
      <c r="M3253" s="8" t="n"/>
      <c r="N3253" s="14" t="n"/>
      <c r="O3253" s="7" t="inlineStr"/>
      <c r="P3253" s="7" t="inlineStr"/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/>
      <c r="K3254" s="8" t="n"/>
      <c r="L3254" s="7" t="inlineStr">
        <is>
          <t>SEM COTAÇÃO</t>
        </is>
      </c>
      <c r="M3254" s="8" t="n"/>
      <c r="N3254" s="14" t="n"/>
      <c r="O3254" s="7" t="inlineStr"/>
      <c r="P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/>
      <c r="K3255" s="15" t="n">
        <v>5.05</v>
      </c>
      <c r="L3255" s="7" t="inlineStr">
        <is>
          <t>PLUSFARMA</t>
        </is>
      </c>
      <c r="M3255" s="8" t="n">
        <v>5.05</v>
      </c>
      <c r="N3255" s="14">
        <f>M3255/H3255-1</f>
        <v/>
      </c>
      <c r="O3255" s="16" t="inlineStr">
        <is>
          <t>ACIMA +26.6%</t>
        </is>
      </c>
      <c r="P3255" s="7" t="inlineStr"/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7" t="inlineStr">
        <is>
          <t>SEM COTAÇÃO</t>
        </is>
      </c>
      <c r="M3256" s="8" t="n"/>
      <c r="N3256" s="14" t="n"/>
      <c r="O3256" s="7" t="inlineStr"/>
      <c r="P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/>
      <c r="K3257" s="8" t="n"/>
      <c r="L3257" s="7" t="inlineStr">
        <is>
          <t>SEM COTAÇÃO</t>
        </is>
      </c>
      <c r="M3257" s="8" t="n"/>
      <c r="N3257" s="14" t="n"/>
      <c r="O3257" s="7" t="inlineStr"/>
      <c r="P3257" s="7" t="inlineStr"/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/>
      <c r="K3258" s="8" t="n"/>
      <c r="L3258" s="7" t="inlineStr">
        <is>
          <t>SEM COTAÇÃO</t>
        </is>
      </c>
      <c r="M3258" s="8" t="n"/>
      <c r="N3258" s="14" t="n"/>
      <c r="O3258" s="7" t="inlineStr"/>
      <c r="P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/>
      <c r="K3259" s="8" t="n"/>
      <c r="L3259" s="7" t="inlineStr">
        <is>
          <t>SEM COTAÇÃO</t>
        </is>
      </c>
      <c r="M3259" s="8" t="n"/>
      <c r="N3259" s="14" t="n"/>
      <c r="O3259" s="7" t="inlineStr"/>
      <c r="P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/>
      <c r="K3260" s="8" t="n"/>
      <c r="L3260" s="7" t="inlineStr">
        <is>
          <t>SEM COTAÇÃO</t>
        </is>
      </c>
      <c r="M3260" s="8" t="n"/>
      <c r="N3260" s="14" t="n"/>
      <c r="O3260" s="7" t="inlineStr"/>
      <c r="P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/>
      <c r="K3261" s="8" t="n"/>
      <c r="L3261" s="7" t="inlineStr">
        <is>
          <t>SEM COTAÇÃO</t>
        </is>
      </c>
      <c r="M3261" s="8" t="n"/>
      <c r="N3261" s="14" t="n"/>
      <c r="O3261" s="7" t="inlineStr"/>
      <c r="P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/>
      <c r="K3262" s="8" t="n"/>
      <c r="L3262" s="7" t="inlineStr">
        <is>
          <t>SEM COTAÇÃO</t>
        </is>
      </c>
      <c r="M3262" s="8" t="n"/>
      <c r="N3262" s="14" t="n"/>
      <c r="O3262" s="7" t="inlineStr"/>
      <c r="P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15" t="n">
        <v>6.28</v>
      </c>
      <c r="K3263" s="8" t="n"/>
      <c r="L3263" s="7" t="inlineStr">
        <is>
          <t>DIMEC</t>
        </is>
      </c>
      <c r="M3263" s="8" t="n">
        <v>6.28</v>
      </c>
      <c r="N3263" s="14">
        <f>M3263/H3263-1</f>
        <v/>
      </c>
      <c r="O3263" s="17" t="inlineStr">
        <is>
          <t>OK (≤ últ. compra)</t>
        </is>
      </c>
      <c r="P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/>
      <c r="K3264" s="8" t="n"/>
      <c r="L3264" s="7" t="inlineStr">
        <is>
          <t>SEM COTAÇÃO</t>
        </is>
      </c>
      <c r="M3264" s="8" t="n"/>
      <c r="N3264" s="14" t="n"/>
      <c r="O3264" s="7" t="inlineStr"/>
      <c r="P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15" t="n">
        <v>7.74</v>
      </c>
      <c r="K3265" s="8" t="n"/>
      <c r="L3265" s="7" t="inlineStr">
        <is>
          <t>DIMEC</t>
        </is>
      </c>
      <c r="M3265" s="8" t="n">
        <v>7.74</v>
      </c>
      <c r="N3265" s="14">
        <f>M3265/H3265-1</f>
        <v/>
      </c>
      <c r="O3265" s="17" t="inlineStr">
        <is>
          <t>OK (≤ últ. compra)</t>
        </is>
      </c>
      <c r="P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/>
      <c r="K3266" s="8" t="n"/>
      <c r="L3266" s="7" t="inlineStr">
        <is>
          <t>SEM COTAÇÃO</t>
        </is>
      </c>
      <c r="M3266" s="8" t="n"/>
      <c r="N3266" s="14" t="n"/>
      <c r="O3266" s="7" t="inlineStr"/>
      <c r="P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/>
      <c r="K3267" s="8" t="n"/>
      <c r="L3267" s="7" t="inlineStr">
        <is>
          <t>SEM COTAÇÃO</t>
        </is>
      </c>
      <c r="M3267" s="8" t="n"/>
      <c r="N3267" s="14" t="n"/>
      <c r="O3267" s="7" t="inlineStr"/>
      <c r="P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/>
      <c r="K3268" s="8" t="n"/>
      <c r="L3268" s="7" t="inlineStr">
        <is>
          <t>SEM COTAÇÃO</t>
        </is>
      </c>
      <c r="M3268" s="8" t="n"/>
      <c r="N3268" s="14" t="n"/>
      <c r="O3268" s="7" t="inlineStr"/>
      <c r="P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/>
      <c r="K3269" s="8" t="n"/>
      <c r="L3269" s="7" t="inlineStr">
        <is>
          <t>SEM COTAÇÃO</t>
        </is>
      </c>
      <c r="M3269" s="8" t="n"/>
      <c r="N3269" s="14" t="n"/>
      <c r="O3269" s="7" t="inlineStr"/>
      <c r="P3269" s="7" t="inlineStr"/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/>
      <c r="K3270" s="8" t="n"/>
      <c r="L3270" s="7" t="inlineStr">
        <is>
          <t>SEM COTAÇÃO</t>
        </is>
      </c>
      <c r="M3270" s="8" t="n"/>
      <c r="N3270" s="14" t="n"/>
      <c r="O3270" s="7" t="inlineStr"/>
      <c r="P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/>
      <c r="K3271" s="8" t="n"/>
      <c r="L3271" s="7" t="inlineStr">
        <is>
          <t>SEM COTAÇÃO</t>
        </is>
      </c>
      <c r="M3271" s="8" t="n"/>
      <c r="N3271" s="14" t="n"/>
      <c r="O3271" s="7" t="inlineStr"/>
      <c r="P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/>
      <c r="K3272" s="8" t="n"/>
      <c r="L3272" s="7" t="inlineStr">
        <is>
          <t>SEM COTAÇÃO</t>
        </is>
      </c>
      <c r="M3272" s="8" t="n"/>
      <c r="N3272" s="14" t="n"/>
      <c r="O3272" s="7" t="inlineStr"/>
      <c r="P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/>
      <c r="K3273" s="8" t="n"/>
      <c r="L3273" s="7" t="inlineStr">
        <is>
          <t>SEM COTAÇÃO</t>
        </is>
      </c>
      <c r="M3273" s="8" t="n"/>
      <c r="N3273" s="14" t="n"/>
      <c r="O3273" s="7" t="inlineStr"/>
      <c r="P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15" t="n">
        <v>6.59</v>
      </c>
      <c r="K3274" s="8" t="n"/>
      <c r="L3274" s="7" t="inlineStr">
        <is>
          <t>DIMEC</t>
        </is>
      </c>
      <c r="M3274" s="8" t="n">
        <v>6.59</v>
      </c>
      <c r="N3274" s="14">
        <f>M3274/H3274-1</f>
        <v/>
      </c>
      <c r="O3274" s="17" t="inlineStr">
        <is>
          <t>OK (≤ menor hist.)</t>
        </is>
      </c>
      <c r="P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/>
      <c r="K3275" s="8" t="n"/>
      <c r="L3275" s="7" t="inlineStr">
        <is>
          <t>SEM COTAÇÃO</t>
        </is>
      </c>
      <c r="M3275" s="8" t="n"/>
      <c r="N3275" s="14" t="n"/>
      <c r="O3275" s="7" t="inlineStr"/>
      <c r="P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/>
      <c r="K3276" s="8" t="n"/>
      <c r="L3276" s="7" t="inlineStr">
        <is>
          <t>SEM COTAÇÃO</t>
        </is>
      </c>
      <c r="M3276" s="8" t="n"/>
      <c r="N3276" s="14" t="n"/>
      <c r="O3276" s="7" t="inlineStr"/>
      <c r="P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15" t="n">
        <v>5.45</v>
      </c>
      <c r="K3277" s="8" t="n"/>
      <c r="L3277" s="7" t="inlineStr">
        <is>
          <t>DIMEC</t>
        </is>
      </c>
      <c r="M3277" s="8" t="n">
        <v>5.45</v>
      </c>
      <c r="N3277" s="14">
        <f>M3277/H3277-1</f>
        <v/>
      </c>
      <c r="O3277" s="17" t="inlineStr">
        <is>
          <t>OK (≤ menor hist.)</t>
        </is>
      </c>
      <c r="P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/>
      <c r="K3278" s="8" t="n"/>
      <c r="L3278" s="7" t="inlineStr">
        <is>
          <t>SEM COTAÇÃO</t>
        </is>
      </c>
      <c r="M3278" s="8" t="n"/>
      <c r="N3278" s="14" t="n"/>
      <c r="O3278" s="7" t="inlineStr"/>
      <c r="P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/>
      <c r="K3279" s="8" t="n"/>
      <c r="L3279" s="7" t="inlineStr">
        <is>
          <t>SEM COTAÇÃO</t>
        </is>
      </c>
      <c r="M3279" s="8" t="n"/>
      <c r="N3279" s="14" t="n"/>
      <c r="O3279" s="7" t="inlineStr"/>
      <c r="P3279" s="7" t="inlineStr"/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/>
      <c r="K3280" s="8" t="n"/>
      <c r="L3280" s="7" t="inlineStr">
        <is>
          <t>SEM COTAÇÃO</t>
        </is>
      </c>
      <c r="M3280" s="8" t="n"/>
      <c r="N3280" s="14" t="n"/>
      <c r="O3280" s="7" t="inlineStr"/>
      <c r="P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7" t="inlineStr">
        <is>
          <t>SEM COTAÇÃO</t>
        </is>
      </c>
      <c r="M3281" s="8" t="n"/>
      <c r="N3281" s="14" t="n"/>
      <c r="O3281" s="7" t="inlineStr"/>
      <c r="P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/>
      <c r="K3282" s="8" t="n"/>
      <c r="L3282" s="7" t="inlineStr">
        <is>
          <t>SEM COTAÇÃO</t>
        </is>
      </c>
      <c r="M3282" s="8" t="n"/>
      <c r="N3282" s="14" t="n"/>
      <c r="O3282" s="7" t="inlineStr"/>
      <c r="P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15" t="n">
        <v>11.84</v>
      </c>
      <c r="K3283" s="8" t="n"/>
      <c r="L3283" s="7" t="inlineStr">
        <is>
          <t>DIMEC</t>
        </is>
      </c>
      <c r="M3283" s="8" t="n">
        <v>11.84</v>
      </c>
      <c r="N3283" s="14">
        <f>M3283/H3283-1</f>
        <v/>
      </c>
      <c r="O3283" s="17" t="inlineStr">
        <is>
          <t>OK (≤ menor hist.)</t>
        </is>
      </c>
      <c r="P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/>
      <c r="K3284" s="8" t="n"/>
      <c r="L3284" s="7" t="inlineStr">
        <is>
          <t>SEM COTAÇÃO</t>
        </is>
      </c>
      <c r="M3284" s="8" t="n"/>
      <c r="N3284" s="14" t="n"/>
      <c r="O3284" s="7" t="inlineStr"/>
      <c r="P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/>
      <c r="K3285" s="8" t="n"/>
      <c r="L3285" s="7" t="inlineStr">
        <is>
          <t>SEM COTAÇÃO</t>
        </is>
      </c>
      <c r="M3285" s="8" t="n"/>
      <c r="N3285" s="14" t="n"/>
      <c r="O3285" s="7" t="inlineStr"/>
      <c r="P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/>
      <c r="K3286" s="8" t="n"/>
      <c r="L3286" s="7" t="inlineStr">
        <is>
          <t>SEM COTAÇÃO</t>
        </is>
      </c>
      <c r="M3286" s="8" t="n"/>
      <c r="N3286" s="14" t="n"/>
      <c r="O3286" s="7" t="inlineStr"/>
      <c r="P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/>
      <c r="K3287" s="8" t="n"/>
      <c r="L3287" s="7" t="inlineStr">
        <is>
          <t>SEM COTAÇÃO</t>
        </is>
      </c>
      <c r="M3287" s="8" t="n"/>
      <c r="N3287" s="14" t="n"/>
      <c r="O3287" s="7" t="inlineStr"/>
      <c r="P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/>
      <c r="K3288" s="8" t="n"/>
      <c r="L3288" s="7" t="inlineStr">
        <is>
          <t>SEM COTAÇÃO</t>
        </is>
      </c>
      <c r="M3288" s="8" t="n"/>
      <c r="N3288" s="14" t="n"/>
      <c r="O3288" s="7" t="inlineStr"/>
      <c r="P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15" t="n">
        <v>12.95</v>
      </c>
      <c r="K3289" s="8" t="n"/>
      <c r="L3289" s="7" t="inlineStr">
        <is>
          <t>DIMEC</t>
        </is>
      </c>
      <c r="M3289" s="8" t="n">
        <v>12.95</v>
      </c>
      <c r="N3289" s="14">
        <f>M3289/H3289-1</f>
        <v/>
      </c>
      <c r="O3289" s="16" t="inlineStr">
        <is>
          <t>ACIMA +8.0%</t>
        </is>
      </c>
      <c r="P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15" t="n">
        <v>10.79</v>
      </c>
      <c r="K3290" s="8" t="n"/>
      <c r="L3290" s="7" t="inlineStr">
        <is>
          <t>DIMEC</t>
        </is>
      </c>
      <c r="M3290" s="8" t="n">
        <v>10.79</v>
      </c>
      <c r="N3290" s="14">
        <f>M3290/H3290-1</f>
        <v/>
      </c>
      <c r="O3290" s="17" t="inlineStr">
        <is>
          <t>OK (≤ menor hist.)</t>
        </is>
      </c>
      <c r="P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/>
      <c r="K3291" s="8" t="n"/>
      <c r="L3291" s="7" t="inlineStr">
        <is>
          <t>SEM COTAÇÃO</t>
        </is>
      </c>
      <c r="M3291" s="8" t="n"/>
      <c r="N3291" s="14" t="n"/>
      <c r="O3291" s="7" t="inlineStr"/>
      <c r="P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/>
      <c r="K3292" s="8" t="n"/>
      <c r="L3292" s="7" t="inlineStr">
        <is>
          <t>SEM COTAÇÃO</t>
        </is>
      </c>
      <c r="M3292" s="8" t="n"/>
      <c r="N3292" s="14" t="n"/>
      <c r="O3292" s="7" t="inlineStr"/>
      <c r="P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/>
      <c r="K3293" s="8" t="n"/>
      <c r="L3293" s="7" t="inlineStr">
        <is>
          <t>SEM COTAÇÃO</t>
        </is>
      </c>
      <c r="M3293" s="8" t="n"/>
      <c r="N3293" s="14" t="n"/>
      <c r="O3293" s="7" t="inlineStr"/>
      <c r="P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15" t="n">
        <v>8.800000000000001</v>
      </c>
      <c r="K3294" s="8" t="n"/>
      <c r="L3294" s="7" t="inlineStr">
        <is>
          <t>DIMEC</t>
        </is>
      </c>
      <c r="M3294" s="8" t="n">
        <v>8.800000000000001</v>
      </c>
      <c r="N3294" s="14">
        <f>M3294/H3294-1</f>
        <v/>
      </c>
      <c r="O3294" s="16" t="inlineStr">
        <is>
          <t>ACIMA +25.9%</t>
        </is>
      </c>
      <c r="P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15" t="n">
        <v>6.61</v>
      </c>
      <c r="K3295" s="8" t="n"/>
      <c r="L3295" s="7" t="inlineStr">
        <is>
          <t>DIMEC</t>
        </is>
      </c>
      <c r="M3295" s="8" t="n">
        <v>6.61</v>
      </c>
      <c r="N3295" s="14">
        <f>M3295/H3295-1</f>
        <v/>
      </c>
      <c r="O3295" s="16" t="inlineStr">
        <is>
          <t>ACIMA +20.4%</t>
        </is>
      </c>
      <c r="P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15" t="n">
        <v>6.96</v>
      </c>
      <c r="K3296" s="8" t="n"/>
      <c r="L3296" s="7" t="inlineStr">
        <is>
          <t>DIMEC</t>
        </is>
      </c>
      <c r="M3296" s="8" t="n">
        <v>6.96</v>
      </c>
      <c r="N3296" s="14">
        <f>M3296/H3296-1</f>
        <v/>
      </c>
      <c r="O3296" s="16" t="inlineStr">
        <is>
          <t>ACIMA +23.0%</t>
        </is>
      </c>
      <c r="P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/>
      <c r="K3297" s="8" t="n"/>
      <c r="L3297" s="7" t="inlineStr">
        <is>
          <t>SEM COTAÇÃO</t>
        </is>
      </c>
      <c r="M3297" s="8" t="n"/>
      <c r="N3297" s="14" t="n"/>
      <c r="O3297" s="7" t="inlineStr"/>
      <c r="P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/>
      <c r="K3298" s="8" t="n"/>
      <c r="L3298" s="7" t="inlineStr">
        <is>
          <t>SEM COTAÇÃO</t>
        </is>
      </c>
      <c r="M3298" s="8" t="n"/>
      <c r="N3298" s="14" t="n"/>
      <c r="O3298" s="7" t="inlineStr"/>
      <c r="P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/>
      <c r="K3299" s="8" t="n"/>
      <c r="L3299" s="7" t="inlineStr">
        <is>
          <t>SEM COTAÇÃO</t>
        </is>
      </c>
      <c r="M3299" s="8" t="n"/>
      <c r="N3299" s="14" t="n"/>
      <c r="O3299" s="7" t="inlineStr"/>
      <c r="P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/>
      <c r="K3300" s="8" t="n"/>
      <c r="L3300" s="7" t="inlineStr">
        <is>
          <t>SEM COTAÇÃO</t>
        </is>
      </c>
      <c r="M3300" s="8" t="n"/>
      <c r="N3300" s="14" t="n"/>
      <c r="O3300" s="7" t="inlineStr"/>
      <c r="P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/>
      <c r="K3301" s="8" t="n"/>
      <c r="L3301" s="7" t="inlineStr">
        <is>
          <t>SEM COTAÇÃO</t>
        </is>
      </c>
      <c r="M3301" s="8" t="n"/>
      <c r="N3301" s="14" t="n"/>
      <c r="O3301" s="7" t="inlineStr"/>
      <c r="P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/>
      <c r="K3302" s="8" t="n"/>
      <c r="L3302" s="7" t="inlineStr">
        <is>
          <t>SEM COTAÇÃO</t>
        </is>
      </c>
      <c r="M3302" s="8" t="n"/>
      <c r="N3302" s="14" t="n"/>
      <c r="O3302" s="7" t="inlineStr"/>
      <c r="P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/>
      <c r="K3303" s="8" t="n"/>
      <c r="L3303" s="7" t="inlineStr">
        <is>
          <t>SEM COTAÇÃO</t>
        </is>
      </c>
      <c r="M3303" s="8" t="n"/>
      <c r="N3303" s="14" t="n"/>
      <c r="O3303" s="7" t="inlineStr"/>
      <c r="P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/>
      <c r="K3304" s="8" t="n"/>
      <c r="L3304" s="7" t="inlineStr">
        <is>
          <t>SEM COTAÇÃO</t>
        </is>
      </c>
      <c r="M3304" s="8" t="n"/>
      <c r="N3304" s="14" t="n"/>
      <c r="O3304" s="7" t="inlineStr"/>
      <c r="P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/>
      <c r="K3305" s="8" t="n"/>
      <c r="L3305" s="7" t="inlineStr">
        <is>
          <t>SEM COTAÇÃO</t>
        </is>
      </c>
      <c r="M3305" s="8" t="n"/>
      <c r="N3305" s="14" t="n"/>
      <c r="O3305" s="7" t="inlineStr"/>
      <c r="P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/>
      <c r="K3306" s="8" t="n"/>
      <c r="L3306" s="7" t="inlineStr">
        <is>
          <t>SEM COTAÇÃO</t>
        </is>
      </c>
      <c r="M3306" s="8" t="n"/>
      <c r="N3306" s="14" t="n"/>
      <c r="O3306" s="7" t="inlineStr"/>
      <c r="P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/>
      <c r="K3307" s="8" t="n"/>
      <c r="L3307" s="7" t="inlineStr">
        <is>
          <t>SEM COTAÇÃO</t>
        </is>
      </c>
      <c r="M3307" s="8" t="n"/>
      <c r="N3307" s="14" t="n"/>
      <c r="O3307" s="7" t="inlineStr"/>
      <c r="P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/>
      <c r="K3308" s="8" t="n"/>
      <c r="L3308" s="7" t="inlineStr">
        <is>
          <t>SEM COTAÇÃO</t>
        </is>
      </c>
      <c r="M3308" s="8" t="n"/>
      <c r="N3308" s="14" t="n"/>
      <c r="O3308" s="7" t="inlineStr"/>
      <c r="P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/>
      <c r="K3309" s="8" t="n"/>
      <c r="L3309" s="7" t="inlineStr">
        <is>
          <t>SEM COTAÇÃO</t>
        </is>
      </c>
      <c r="M3309" s="8" t="n"/>
      <c r="N3309" s="14" t="n"/>
      <c r="O3309" s="7" t="inlineStr"/>
      <c r="P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/>
      <c r="K3310" s="8" t="n"/>
      <c r="L3310" s="7" t="inlineStr">
        <is>
          <t>SEM COTAÇÃO</t>
        </is>
      </c>
      <c r="M3310" s="8" t="n"/>
      <c r="N3310" s="14" t="n"/>
      <c r="O3310" s="7" t="inlineStr"/>
      <c r="P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/>
      <c r="K3311" s="8" t="n"/>
      <c r="L3311" s="7" t="inlineStr">
        <is>
          <t>SEM COTAÇÃO</t>
        </is>
      </c>
      <c r="M3311" s="8" t="n"/>
      <c r="N3311" s="14" t="n"/>
      <c r="O3311" s="7" t="inlineStr"/>
      <c r="P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/>
      <c r="K3312" s="8" t="n"/>
      <c r="L3312" s="7" t="inlineStr">
        <is>
          <t>SEM COTAÇÃO</t>
        </is>
      </c>
      <c r="M3312" s="8" t="n"/>
      <c r="N3312" s="14" t="n"/>
      <c r="O3312" s="7" t="inlineStr"/>
      <c r="P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/>
      <c r="K3313" s="8" t="n"/>
      <c r="L3313" s="7" t="inlineStr">
        <is>
          <t>SEM COTAÇÃO</t>
        </is>
      </c>
      <c r="M3313" s="8" t="n"/>
      <c r="N3313" s="14" t="n"/>
      <c r="O3313" s="7" t="inlineStr"/>
      <c r="P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/>
      <c r="K3314" s="8" t="n"/>
      <c r="L3314" s="7" t="inlineStr">
        <is>
          <t>SEM COTAÇÃO</t>
        </is>
      </c>
      <c r="M3314" s="8" t="n"/>
      <c r="N3314" s="14" t="n"/>
      <c r="O3314" s="7" t="inlineStr"/>
      <c r="P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/>
      <c r="K3315" s="8" t="n"/>
      <c r="L3315" s="7" t="inlineStr">
        <is>
          <t>SEM COTAÇÃO</t>
        </is>
      </c>
      <c r="M3315" s="8" t="n"/>
      <c r="N3315" s="14" t="n"/>
      <c r="O3315" s="7" t="inlineStr"/>
      <c r="P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/>
      <c r="K3316" s="8" t="n"/>
      <c r="L3316" s="7" t="inlineStr">
        <is>
          <t>SEM COTAÇÃO</t>
        </is>
      </c>
      <c r="M3316" s="8" t="n"/>
      <c r="N3316" s="14" t="n"/>
      <c r="O3316" s="7" t="inlineStr"/>
      <c r="P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/>
      <c r="K3317" s="8" t="n"/>
      <c r="L3317" s="7" t="inlineStr">
        <is>
          <t>SEM COTAÇÃO</t>
        </is>
      </c>
      <c r="M3317" s="8" t="n"/>
      <c r="N3317" s="14" t="n"/>
      <c r="O3317" s="7" t="inlineStr"/>
      <c r="P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/>
      <c r="K3318" s="8" t="n"/>
      <c r="L3318" s="7" t="inlineStr">
        <is>
          <t>SEM COTAÇÃO</t>
        </is>
      </c>
      <c r="M3318" s="8" t="n"/>
      <c r="N3318" s="14" t="n"/>
      <c r="O3318" s="7" t="inlineStr"/>
      <c r="P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/>
      <c r="K3319" s="8" t="n"/>
      <c r="L3319" s="7" t="inlineStr">
        <is>
          <t>SEM COTAÇÃO</t>
        </is>
      </c>
      <c r="M3319" s="8" t="n"/>
      <c r="N3319" s="14" t="n"/>
      <c r="O3319" s="7" t="inlineStr"/>
      <c r="P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/>
      <c r="K3320" s="8" t="n"/>
      <c r="L3320" s="7" t="inlineStr">
        <is>
          <t>SEM COTAÇÃO</t>
        </is>
      </c>
      <c r="M3320" s="8" t="n"/>
      <c r="N3320" s="14" t="n"/>
      <c r="O3320" s="7" t="inlineStr"/>
      <c r="P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/>
      <c r="K3321" s="8" t="n"/>
      <c r="L3321" s="7" t="inlineStr">
        <is>
          <t>SEM COTAÇÃO</t>
        </is>
      </c>
      <c r="M3321" s="8" t="n"/>
      <c r="N3321" s="14" t="n"/>
      <c r="O3321" s="7" t="inlineStr"/>
      <c r="P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/>
      <c r="K3322" s="8" t="n"/>
      <c r="L3322" s="7" t="inlineStr">
        <is>
          <t>SEM COTAÇÃO</t>
        </is>
      </c>
      <c r="M3322" s="8" t="n"/>
      <c r="N3322" s="14" t="n"/>
      <c r="O3322" s="7" t="inlineStr"/>
      <c r="P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/>
      <c r="K3323" s="8" t="n"/>
      <c r="L3323" s="7" t="inlineStr">
        <is>
          <t>SEM COTAÇÃO</t>
        </is>
      </c>
      <c r="M3323" s="8" t="n"/>
      <c r="N3323" s="14" t="n"/>
      <c r="O3323" s="7" t="inlineStr"/>
      <c r="P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/>
      <c r="K3324" s="8" t="n"/>
      <c r="L3324" s="7" t="inlineStr">
        <is>
          <t>SEM COTAÇÃO</t>
        </is>
      </c>
      <c r="M3324" s="8" t="n"/>
      <c r="N3324" s="14" t="n"/>
      <c r="O3324" s="7" t="inlineStr"/>
      <c r="P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/>
      <c r="K3325" s="8" t="n"/>
      <c r="L3325" s="7" t="inlineStr">
        <is>
          <t>SEM COTAÇÃO</t>
        </is>
      </c>
      <c r="M3325" s="8" t="n"/>
      <c r="N3325" s="14" t="n"/>
      <c r="O3325" s="7" t="inlineStr"/>
      <c r="P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/>
      <c r="K3326" s="8" t="n"/>
      <c r="L3326" s="7" t="inlineStr">
        <is>
          <t>SEM COTAÇÃO</t>
        </is>
      </c>
      <c r="M3326" s="8" t="n"/>
      <c r="N3326" s="14" t="n"/>
      <c r="O3326" s="7" t="inlineStr"/>
      <c r="P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7" t="inlineStr">
        <is>
          <t>SEM COTAÇÃO</t>
        </is>
      </c>
      <c r="M3327" s="8" t="n"/>
      <c r="N3327" s="14" t="n"/>
      <c r="O3327" s="7" t="inlineStr"/>
      <c r="P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7" t="inlineStr">
        <is>
          <t>SEM COTAÇÃO</t>
        </is>
      </c>
      <c r="M3328" s="8" t="n"/>
      <c r="N3328" s="14" t="n"/>
      <c r="O3328" s="7" t="inlineStr"/>
      <c r="P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7" t="inlineStr">
        <is>
          <t>SEM COTAÇÃO</t>
        </is>
      </c>
      <c r="M3329" s="8" t="n"/>
      <c r="N3329" s="14" t="n"/>
      <c r="O3329" s="7" t="inlineStr"/>
      <c r="P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7" t="inlineStr">
        <is>
          <t>SEM COTAÇÃO</t>
        </is>
      </c>
      <c r="M3330" s="8" t="n"/>
      <c r="N3330" s="14" t="n"/>
      <c r="O3330" s="7" t="inlineStr"/>
      <c r="P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7" t="inlineStr">
        <is>
          <t>SEM COTAÇÃO</t>
        </is>
      </c>
      <c r="M3331" s="8" t="n"/>
      <c r="N3331" s="14" t="n"/>
      <c r="O3331" s="7" t="inlineStr"/>
      <c r="P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7" t="inlineStr">
        <is>
          <t>SEM COTAÇÃO</t>
        </is>
      </c>
      <c r="M3332" s="8" t="n"/>
      <c r="N3332" s="14" t="n"/>
      <c r="O3332" s="7" t="inlineStr"/>
      <c r="P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15" t="n">
        <v>4.38</v>
      </c>
      <c r="K3333" s="8" t="n"/>
      <c r="L3333" s="7" t="inlineStr">
        <is>
          <t>DIMEC</t>
        </is>
      </c>
      <c r="M3333" s="8" t="n">
        <v>4.38</v>
      </c>
      <c r="N3333" s="14">
        <f>M3333/H3333-1</f>
        <v/>
      </c>
      <c r="O3333" s="16" t="inlineStr">
        <is>
          <t>ACIMA +5.5%</t>
        </is>
      </c>
      <c r="P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/>
      <c r="K3334" s="8" t="n"/>
      <c r="L3334" s="7" t="inlineStr">
        <is>
          <t>SEM COTAÇÃO</t>
        </is>
      </c>
      <c r="M3334" s="8" t="n"/>
      <c r="N3334" s="14" t="n"/>
      <c r="O3334" s="7" t="inlineStr"/>
      <c r="P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/>
      <c r="K3335" s="8" t="n"/>
      <c r="L3335" s="7" t="inlineStr">
        <is>
          <t>SEM COTAÇÃO</t>
        </is>
      </c>
      <c r="M3335" s="8" t="n"/>
      <c r="N3335" s="14" t="n"/>
      <c r="O3335" s="7" t="inlineStr"/>
      <c r="P3335" s="7" t="inlineStr"/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/>
      <c r="K3336" s="8" t="n"/>
      <c r="L3336" s="7" t="inlineStr">
        <is>
          <t>SEM COTAÇÃO</t>
        </is>
      </c>
      <c r="M3336" s="8" t="n"/>
      <c r="N3336" s="14" t="n"/>
      <c r="O3336" s="7" t="inlineStr"/>
      <c r="P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/>
      <c r="K3337" s="8" t="n"/>
      <c r="L3337" s="7" t="inlineStr">
        <is>
          <t>SEM COTAÇÃO</t>
        </is>
      </c>
      <c r="M3337" s="8" t="n"/>
      <c r="N3337" s="14" t="n"/>
      <c r="O3337" s="7" t="inlineStr"/>
      <c r="P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/>
      <c r="K3338" s="8" t="n"/>
      <c r="L3338" s="7" t="inlineStr">
        <is>
          <t>SEM COTAÇÃO</t>
        </is>
      </c>
      <c r="M3338" s="8" t="n"/>
      <c r="N3338" s="14" t="n"/>
      <c r="O3338" s="7" t="inlineStr"/>
      <c r="P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/>
      <c r="K3339" s="8" t="n"/>
      <c r="L3339" s="7" t="inlineStr">
        <is>
          <t>SEM COTAÇÃO</t>
        </is>
      </c>
      <c r="M3339" s="8" t="n"/>
      <c r="N3339" s="14" t="n"/>
      <c r="O3339" s="7" t="inlineStr"/>
      <c r="P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/>
      <c r="K3340" s="8" t="n"/>
      <c r="L3340" s="7" t="inlineStr">
        <is>
          <t>SEM COTAÇÃO</t>
        </is>
      </c>
      <c r="M3340" s="8" t="n"/>
      <c r="N3340" s="14" t="n"/>
      <c r="O3340" s="7" t="inlineStr"/>
      <c r="P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/>
      <c r="K3341" s="8" t="n"/>
      <c r="L3341" s="7" t="inlineStr">
        <is>
          <t>SEM COTAÇÃO</t>
        </is>
      </c>
      <c r="M3341" s="8" t="n"/>
      <c r="N3341" s="14" t="n"/>
      <c r="O3341" s="7" t="inlineStr"/>
      <c r="P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/>
      <c r="K3342" s="8" t="n"/>
      <c r="L3342" s="7" t="inlineStr">
        <is>
          <t>SEM COTAÇÃO</t>
        </is>
      </c>
      <c r="M3342" s="8" t="n"/>
      <c r="N3342" s="14" t="n"/>
      <c r="O3342" s="7" t="inlineStr"/>
      <c r="P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/>
      <c r="K3343" s="8" t="n"/>
      <c r="L3343" s="7" t="inlineStr">
        <is>
          <t>SEM COTAÇÃO</t>
        </is>
      </c>
      <c r="M3343" s="8" t="n"/>
      <c r="N3343" s="14" t="n"/>
      <c r="O3343" s="7" t="inlineStr"/>
      <c r="P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15" t="n">
        <v>12.62</v>
      </c>
      <c r="K3344" s="8" t="n"/>
      <c r="L3344" s="7" t="inlineStr">
        <is>
          <t>DIMEC</t>
        </is>
      </c>
      <c r="M3344" s="8" t="n">
        <v>12.62</v>
      </c>
      <c r="N3344" s="14" t="n"/>
      <c r="O3344" s="7" t="inlineStr">
        <is>
          <t>SEM HISTÓRICO</t>
        </is>
      </c>
      <c r="P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/>
      <c r="K3345" s="8" t="n"/>
      <c r="L3345" s="7" t="inlineStr">
        <is>
          <t>SEM COTAÇÃO</t>
        </is>
      </c>
      <c r="M3345" s="8" t="n"/>
      <c r="N3345" s="14" t="n"/>
      <c r="O3345" s="7" t="inlineStr"/>
      <c r="P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/>
      <c r="K3346" s="8" t="n"/>
      <c r="L3346" s="7" t="inlineStr">
        <is>
          <t>SEM COTAÇÃO</t>
        </is>
      </c>
      <c r="M3346" s="8" t="n"/>
      <c r="N3346" s="14" t="n"/>
      <c r="O3346" s="7" t="inlineStr"/>
      <c r="P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/>
      <c r="K3347" s="8" t="n"/>
      <c r="L3347" s="7" t="inlineStr">
        <is>
          <t>SEM COTAÇÃO</t>
        </is>
      </c>
      <c r="M3347" s="8" t="n"/>
      <c r="N3347" s="14" t="n"/>
      <c r="O3347" s="7" t="inlineStr"/>
      <c r="P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/>
      <c r="K3348" s="8" t="n"/>
      <c r="L3348" s="7" t="inlineStr">
        <is>
          <t>SEM COTAÇÃO</t>
        </is>
      </c>
      <c r="M3348" s="8" t="n"/>
      <c r="N3348" s="14" t="n"/>
      <c r="O3348" s="7" t="inlineStr"/>
      <c r="P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/>
      <c r="K3349" s="8" t="n"/>
      <c r="L3349" s="7" t="inlineStr">
        <is>
          <t>SEM COTAÇÃO</t>
        </is>
      </c>
      <c r="M3349" s="8" t="n"/>
      <c r="N3349" s="14" t="n"/>
      <c r="O3349" s="7" t="inlineStr"/>
      <c r="P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/>
      <c r="K3350" s="8" t="n"/>
      <c r="L3350" s="7" t="inlineStr">
        <is>
          <t>SEM COTAÇÃO</t>
        </is>
      </c>
      <c r="M3350" s="8" t="n"/>
      <c r="N3350" s="14" t="n"/>
      <c r="O3350" s="7" t="inlineStr"/>
      <c r="P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/>
      <c r="K3351" s="8" t="n"/>
      <c r="L3351" s="7" t="inlineStr">
        <is>
          <t>SEM COTAÇÃO</t>
        </is>
      </c>
      <c r="M3351" s="8" t="n"/>
      <c r="N3351" s="14" t="n"/>
      <c r="O3351" s="7" t="inlineStr"/>
      <c r="P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/>
      <c r="K3352" s="8" t="n"/>
      <c r="L3352" s="7" t="inlineStr">
        <is>
          <t>SEM COTAÇÃO</t>
        </is>
      </c>
      <c r="M3352" s="8" t="n"/>
      <c r="N3352" s="14" t="n"/>
      <c r="O3352" s="7" t="inlineStr"/>
      <c r="P3352" s="7" t="inlineStr"/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/>
      <c r="K3353" s="8" t="n"/>
      <c r="L3353" s="7" t="inlineStr">
        <is>
          <t>SEM COTAÇÃO</t>
        </is>
      </c>
      <c r="M3353" s="8" t="n"/>
      <c r="N3353" s="14" t="n"/>
      <c r="O3353" s="7" t="inlineStr"/>
      <c r="P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/>
      <c r="K3354" s="8" t="n"/>
      <c r="L3354" s="7" t="inlineStr">
        <is>
          <t>SEM COTAÇÃO</t>
        </is>
      </c>
      <c r="M3354" s="8" t="n"/>
      <c r="N3354" s="14" t="n"/>
      <c r="O3354" s="7" t="inlineStr"/>
      <c r="P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/>
      <c r="K3355" s="8" t="n"/>
      <c r="L3355" s="7" t="inlineStr">
        <is>
          <t>SEM COTAÇÃO</t>
        </is>
      </c>
      <c r="M3355" s="8" t="n"/>
      <c r="N3355" s="14" t="n"/>
      <c r="O3355" s="7" t="inlineStr"/>
      <c r="P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/>
      <c r="K3356" s="8" t="n"/>
      <c r="L3356" s="7" t="inlineStr">
        <is>
          <t>SEM COTAÇÃO</t>
        </is>
      </c>
      <c r="M3356" s="8" t="n"/>
      <c r="N3356" s="14" t="n"/>
      <c r="O3356" s="7" t="inlineStr"/>
      <c r="P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/>
      <c r="K3357" s="8" t="n"/>
      <c r="L3357" s="7" t="inlineStr">
        <is>
          <t>SEM COTAÇÃO</t>
        </is>
      </c>
      <c r="M3357" s="8" t="n"/>
      <c r="N3357" s="14" t="n"/>
      <c r="O3357" s="7" t="inlineStr"/>
      <c r="P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/>
      <c r="K3358" s="8" t="n"/>
      <c r="L3358" s="7" t="inlineStr">
        <is>
          <t>SEM COTAÇÃO</t>
        </is>
      </c>
      <c r="M3358" s="8" t="n"/>
      <c r="N3358" s="14" t="n"/>
      <c r="O3358" s="7" t="inlineStr"/>
      <c r="P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/>
      <c r="K3359" s="8" t="n"/>
      <c r="L3359" s="7" t="inlineStr">
        <is>
          <t>SEM COTAÇÃO</t>
        </is>
      </c>
      <c r="M3359" s="8" t="n"/>
      <c r="N3359" s="14" t="n"/>
      <c r="O3359" s="7" t="inlineStr"/>
      <c r="P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/>
      <c r="K3360" s="8" t="n"/>
      <c r="L3360" s="7" t="inlineStr">
        <is>
          <t>SEM COTAÇÃO</t>
        </is>
      </c>
      <c r="M3360" s="8" t="n"/>
      <c r="N3360" s="14" t="n"/>
      <c r="O3360" s="7" t="inlineStr"/>
      <c r="P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/>
      <c r="K3361" s="8" t="n"/>
      <c r="L3361" s="7" t="inlineStr">
        <is>
          <t>SEM COTAÇÃO</t>
        </is>
      </c>
      <c r="M3361" s="8" t="n"/>
      <c r="N3361" s="14" t="n"/>
      <c r="O3361" s="7" t="inlineStr"/>
      <c r="P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/>
      <c r="K3362" s="8" t="n"/>
      <c r="L3362" s="7" t="inlineStr">
        <is>
          <t>SEM COTAÇÃO</t>
        </is>
      </c>
      <c r="M3362" s="8" t="n"/>
      <c r="N3362" s="14" t="n"/>
      <c r="O3362" s="7" t="inlineStr"/>
      <c r="P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/>
      <c r="K3363" s="8" t="n"/>
      <c r="L3363" s="7" t="inlineStr">
        <is>
          <t>SEM COTAÇÃO</t>
        </is>
      </c>
      <c r="M3363" s="8" t="n"/>
      <c r="N3363" s="14" t="n"/>
      <c r="O3363" s="7" t="inlineStr"/>
      <c r="P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/>
      <c r="K3364" s="8" t="n"/>
      <c r="L3364" s="7" t="inlineStr">
        <is>
          <t>SEM COTAÇÃO</t>
        </is>
      </c>
      <c r="M3364" s="8" t="n"/>
      <c r="N3364" s="14" t="n"/>
      <c r="O3364" s="7" t="inlineStr"/>
      <c r="P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/>
      <c r="K3365" s="8" t="n"/>
      <c r="L3365" s="7" t="inlineStr">
        <is>
          <t>SEM COTAÇÃO</t>
        </is>
      </c>
      <c r="M3365" s="8" t="n"/>
      <c r="N3365" s="14" t="n"/>
      <c r="O3365" s="7" t="inlineStr"/>
      <c r="P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/>
      <c r="K3366" s="8" t="n"/>
      <c r="L3366" s="7" t="inlineStr">
        <is>
          <t>SEM COTAÇÃO</t>
        </is>
      </c>
      <c r="M3366" s="8" t="n"/>
      <c r="N3366" s="14" t="n"/>
      <c r="O3366" s="7" t="inlineStr"/>
      <c r="P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/>
      <c r="K3367" s="8" t="n"/>
      <c r="L3367" s="7" t="inlineStr">
        <is>
          <t>SEM COTAÇÃO</t>
        </is>
      </c>
      <c r="M3367" s="8" t="n"/>
      <c r="N3367" s="14" t="n"/>
      <c r="O3367" s="7" t="inlineStr"/>
      <c r="P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/>
      <c r="K3368" s="8" t="n"/>
      <c r="L3368" s="7" t="inlineStr">
        <is>
          <t>SEM COTAÇÃO</t>
        </is>
      </c>
      <c r="M3368" s="8" t="n"/>
      <c r="N3368" s="14" t="n"/>
      <c r="O3368" s="7" t="inlineStr"/>
      <c r="P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/>
      <c r="K3369" s="8" t="n"/>
      <c r="L3369" s="7" t="inlineStr">
        <is>
          <t>SEM COTAÇÃO</t>
        </is>
      </c>
      <c r="M3369" s="8" t="n"/>
      <c r="N3369" s="14" t="n"/>
      <c r="O3369" s="7" t="inlineStr"/>
      <c r="P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/>
      <c r="K3370" s="8" t="n"/>
      <c r="L3370" s="7" t="inlineStr">
        <is>
          <t>SEM COTAÇÃO</t>
        </is>
      </c>
      <c r="M3370" s="8" t="n"/>
      <c r="N3370" s="14" t="n"/>
      <c r="O3370" s="7" t="inlineStr"/>
      <c r="P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/>
      <c r="K3371" s="8" t="n"/>
      <c r="L3371" s="7" t="inlineStr">
        <is>
          <t>SEM COTAÇÃO</t>
        </is>
      </c>
      <c r="M3371" s="8" t="n"/>
      <c r="N3371" s="14" t="n"/>
      <c r="O3371" s="7" t="inlineStr"/>
      <c r="P3371" s="7" t="inlineStr"/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15" t="n">
        <v>0.4048333333333333</v>
      </c>
      <c r="K3372" s="8" t="n"/>
      <c r="L3372" s="7" t="inlineStr">
        <is>
          <t>DIMEC</t>
        </is>
      </c>
      <c r="M3372" s="8" t="n">
        <v>0.4048333333333333</v>
      </c>
      <c r="N3372" s="14">
        <f>M3372/H3372-1</f>
        <v/>
      </c>
      <c r="O3372" s="17" t="inlineStr">
        <is>
          <t>OK (≤ menor hist.)</t>
        </is>
      </c>
      <c r="P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7" t="inlineStr">
        <is>
          <t>SEM COTAÇÃO</t>
        </is>
      </c>
      <c r="M3373" s="8" t="n"/>
      <c r="N3373" s="14" t="n"/>
      <c r="O3373" s="7" t="inlineStr"/>
      <c r="P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15" t="n">
        <v>0.5625</v>
      </c>
      <c r="K3374" s="8" t="n"/>
      <c r="L3374" s="7" t="inlineStr">
        <is>
          <t>DIMEC</t>
        </is>
      </c>
      <c r="M3374" s="8" t="n">
        <v>0.5625</v>
      </c>
      <c r="N3374" s="14">
        <f>M3374/H3374-1</f>
        <v/>
      </c>
      <c r="O3374" s="17" t="inlineStr">
        <is>
          <t>OK (≤ últ. compra)</t>
        </is>
      </c>
      <c r="P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/>
      <c r="K3375" s="8" t="n"/>
      <c r="L3375" s="7" t="inlineStr">
        <is>
          <t>SEM COTAÇÃO</t>
        </is>
      </c>
      <c r="M3375" s="8" t="n"/>
      <c r="N3375" s="14" t="n"/>
      <c r="O3375" s="7" t="inlineStr"/>
      <c r="P3375" s="7" t="inlineStr"/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/>
      <c r="K3376" s="8" t="n"/>
      <c r="L3376" s="7" t="inlineStr">
        <is>
          <t>SEM COTAÇÃO</t>
        </is>
      </c>
      <c r="M3376" s="8" t="n"/>
      <c r="N3376" s="14" t="n"/>
      <c r="O3376" s="7" t="inlineStr"/>
      <c r="P3376" s="7" t="inlineStr"/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/>
      <c r="K3377" s="8" t="n"/>
      <c r="L3377" s="7" t="inlineStr">
        <is>
          <t>SEM COTAÇÃO</t>
        </is>
      </c>
      <c r="M3377" s="8" t="n"/>
      <c r="N3377" s="14" t="n"/>
      <c r="O3377" s="7" t="inlineStr"/>
      <c r="P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/>
      <c r="K3378" s="8" t="n"/>
      <c r="L3378" s="7" t="inlineStr">
        <is>
          <t>SEM COTAÇÃO</t>
        </is>
      </c>
      <c r="M3378" s="8" t="n"/>
      <c r="N3378" s="14" t="n"/>
      <c r="O3378" s="7" t="inlineStr"/>
      <c r="P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/>
      <c r="K3379" s="8" t="n"/>
      <c r="L3379" s="7" t="inlineStr">
        <is>
          <t>SEM COTAÇÃO</t>
        </is>
      </c>
      <c r="M3379" s="8" t="n"/>
      <c r="N3379" s="14" t="n"/>
      <c r="O3379" s="7" t="inlineStr"/>
      <c r="P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15" t="n">
        <v>8.93</v>
      </c>
      <c r="K3380" s="8" t="n"/>
      <c r="L3380" s="7" t="inlineStr">
        <is>
          <t>DIMEC</t>
        </is>
      </c>
      <c r="M3380" s="8" t="n">
        <v>8.93</v>
      </c>
      <c r="N3380" s="14">
        <f>M3380/H3380-1</f>
        <v/>
      </c>
      <c r="O3380" s="16" t="inlineStr">
        <is>
          <t>ACIMA +30.9%</t>
        </is>
      </c>
      <c r="P3380" s="7" t="inlineStr"/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10.67</v>
      </c>
      <c r="K3381" s="15" t="n">
        <v>10.51</v>
      </c>
      <c r="L3381" s="7" t="inlineStr">
        <is>
          <t>PLUSFARMA</t>
        </is>
      </c>
      <c r="M3381" s="8" t="n">
        <v>10.51</v>
      </c>
      <c r="N3381" s="14">
        <f>M3381/H3381-1</f>
        <v/>
      </c>
      <c r="O3381" s="16" t="inlineStr">
        <is>
          <t>ACIMA +7.8%</t>
        </is>
      </c>
      <c r="P3381" s="7" t="inlineStr"/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/>
      <c r="K3382" s="15" t="n">
        <v>4.22</v>
      </c>
      <c r="L3382" s="7" t="inlineStr">
        <is>
          <t>PLUSFARMA</t>
        </is>
      </c>
      <c r="M3382" s="8" t="n">
        <v>4.22</v>
      </c>
      <c r="N3382" s="14">
        <f>M3382/H3382-1</f>
        <v/>
      </c>
      <c r="O3382" s="17" t="inlineStr">
        <is>
          <t>OK (≤ menor hist.)</t>
        </is>
      </c>
      <c r="P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/>
      <c r="K3383" s="8" t="n"/>
      <c r="L3383" s="7" t="inlineStr">
        <is>
          <t>SEM COTAÇÃO</t>
        </is>
      </c>
      <c r="M3383" s="8" t="n"/>
      <c r="N3383" s="14" t="n"/>
      <c r="O3383" s="7" t="inlineStr"/>
      <c r="P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/>
      <c r="K3384" s="8" t="n"/>
      <c r="L3384" s="7" t="inlineStr">
        <is>
          <t>SEM COTAÇÃO</t>
        </is>
      </c>
      <c r="M3384" s="8" t="n"/>
      <c r="N3384" s="14" t="n"/>
      <c r="O3384" s="7" t="inlineStr"/>
      <c r="P3384" s="7" t="inlineStr"/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/>
      <c r="K3385" s="8" t="n"/>
      <c r="L3385" s="7" t="inlineStr">
        <is>
          <t>SEM COTAÇÃO</t>
        </is>
      </c>
      <c r="M3385" s="8" t="n"/>
      <c r="N3385" s="14" t="n"/>
      <c r="O3385" s="7" t="inlineStr"/>
      <c r="P3385" s="7" t="inlineStr"/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15" t="n">
        <v>7.02</v>
      </c>
      <c r="K3386" s="8" t="n"/>
      <c r="L3386" s="7" t="inlineStr">
        <is>
          <t>DIMEC</t>
        </is>
      </c>
      <c r="M3386" s="8" t="n">
        <v>7.02</v>
      </c>
      <c r="N3386" s="14">
        <f>M3386/H3386-1</f>
        <v/>
      </c>
      <c r="O3386" s="16" t="inlineStr">
        <is>
          <t>ACIMA +0.7%</t>
        </is>
      </c>
      <c r="P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4.52</v>
      </c>
      <c r="K3387" s="15" t="n">
        <v>4.49</v>
      </c>
      <c r="L3387" s="7" t="inlineStr">
        <is>
          <t>PLUSFARMA</t>
        </is>
      </c>
      <c r="M3387" s="8" t="n">
        <v>4.49</v>
      </c>
      <c r="N3387" s="14">
        <f>M3387/H3387-1</f>
        <v/>
      </c>
      <c r="O3387" s="16" t="inlineStr">
        <is>
          <t>ACIMA +4.9%</t>
        </is>
      </c>
      <c r="P3387" s="7" t="inlineStr"/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/>
      <c r="K3388" s="8" t="n"/>
      <c r="L3388" s="7" t="inlineStr">
        <is>
          <t>SEM COTAÇÃO</t>
        </is>
      </c>
      <c r="M3388" s="8" t="n"/>
      <c r="N3388" s="14" t="n"/>
      <c r="O3388" s="7" t="inlineStr"/>
      <c r="P3388" s="7" t="inlineStr"/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/>
      <c r="K3389" s="8" t="n"/>
      <c r="L3389" s="7" t="inlineStr">
        <is>
          <t>SEM COTAÇÃO</t>
        </is>
      </c>
      <c r="M3389" s="8" t="n"/>
      <c r="N3389" s="14" t="n"/>
      <c r="O3389" s="7" t="inlineStr"/>
      <c r="P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/>
      <c r="K3390" s="8" t="n"/>
      <c r="L3390" s="7" t="inlineStr">
        <is>
          <t>SEM COTAÇÃO</t>
        </is>
      </c>
      <c r="M3390" s="8" t="n"/>
      <c r="N3390" s="14" t="n"/>
      <c r="O3390" s="7" t="inlineStr"/>
      <c r="P3390" s="7" t="inlineStr"/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/>
      <c r="K3391" s="8" t="n"/>
      <c r="L3391" s="7" t="inlineStr">
        <is>
          <t>SEM COTAÇÃO</t>
        </is>
      </c>
      <c r="M3391" s="8" t="n"/>
      <c r="N3391" s="14" t="n"/>
      <c r="O3391" s="7" t="inlineStr"/>
      <c r="P3391" s="7" t="inlineStr"/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/>
      <c r="K3392" s="8" t="n"/>
      <c r="L3392" s="7" t="inlineStr">
        <is>
          <t>SEM COTAÇÃO</t>
        </is>
      </c>
      <c r="M3392" s="8" t="n"/>
      <c r="N3392" s="14" t="n"/>
      <c r="O3392" s="7" t="inlineStr"/>
      <c r="P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/>
      <c r="K3393" s="8" t="n"/>
      <c r="L3393" s="7" t="inlineStr">
        <is>
          <t>SEM COTAÇÃO</t>
        </is>
      </c>
      <c r="M3393" s="8" t="n"/>
      <c r="N3393" s="14" t="n"/>
      <c r="O3393" s="7" t="inlineStr"/>
      <c r="P3393" s="7" t="inlineStr"/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/>
      <c r="K3394" s="8" t="n"/>
      <c r="L3394" s="7" t="inlineStr">
        <is>
          <t>SEM COTAÇÃO</t>
        </is>
      </c>
      <c r="M3394" s="8" t="n"/>
      <c r="N3394" s="14" t="n"/>
      <c r="O3394" s="7" t="inlineStr"/>
      <c r="P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/>
      <c r="K3395" s="8" t="n"/>
      <c r="L3395" s="7" t="inlineStr">
        <is>
          <t>SEM COTAÇÃO</t>
        </is>
      </c>
      <c r="M3395" s="8" t="n"/>
      <c r="N3395" s="14" t="n"/>
      <c r="O3395" s="7" t="inlineStr"/>
      <c r="P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/>
      <c r="K3396" s="8" t="n"/>
      <c r="L3396" s="7" t="inlineStr">
        <is>
          <t>SEM COTAÇÃO</t>
        </is>
      </c>
      <c r="M3396" s="8" t="n"/>
      <c r="N3396" s="14" t="n"/>
      <c r="O3396" s="7" t="inlineStr"/>
      <c r="P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15" t="n">
        <v>5.3</v>
      </c>
      <c r="K3397" s="8" t="n"/>
      <c r="L3397" s="7" t="inlineStr">
        <is>
          <t>DIMEC</t>
        </is>
      </c>
      <c r="M3397" s="8" t="n">
        <v>5.3</v>
      </c>
      <c r="N3397" s="14">
        <f>M3397/H3397-1</f>
        <v/>
      </c>
      <c r="O3397" s="16" t="inlineStr">
        <is>
          <t>ACIMA +4.5%</t>
        </is>
      </c>
      <c r="P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15" t="n">
        <v>4.73</v>
      </c>
      <c r="K3398" s="8" t="n"/>
      <c r="L3398" s="7" t="inlineStr">
        <is>
          <t>DIMEC</t>
        </is>
      </c>
      <c r="M3398" s="8" t="n">
        <v>4.73</v>
      </c>
      <c r="N3398" s="14">
        <f>M3398/H3398-1</f>
        <v/>
      </c>
      <c r="O3398" s="16" t="inlineStr">
        <is>
          <t>ACIMA +3.7%</t>
        </is>
      </c>
      <c r="P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/>
      <c r="K3399" s="8" t="n"/>
      <c r="L3399" s="7" t="inlineStr">
        <is>
          <t>SEM COTAÇÃO</t>
        </is>
      </c>
      <c r="M3399" s="8" t="n"/>
      <c r="N3399" s="14" t="n"/>
      <c r="O3399" s="7" t="inlineStr"/>
      <c r="P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/>
      <c r="K3400" s="8" t="n"/>
      <c r="L3400" s="7" t="inlineStr">
        <is>
          <t>SEM COTAÇÃO</t>
        </is>
      </c>
      <c r="M3400" s="8" t="n"/>
      <c r="N3400" s="14" t="n"/>
      <c r="O3400" s="7" t="inlineStr"/>
      <c r="P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/>
      <c r="K3401" s="8" t="n"/>
      <c r="L3401" s="7" t="inlineStr">
        <is>
          <t>SEM COTAÇÃO</t>
        </is>
      </c>
      <c r="M3401" s="8" t="n"/>
      <c r="N3401" s="14" t="n"/>
      <c r="O3401" s="7" t="inlineStr"/>
      <c r="P3401" s="7" t="inlineStr"/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/>
      <c r="K3402" s="8" t="n"/>
      <c r="L3402" s="7" t="inlineStr">
        <is>
          <t>SEM COTAÇÃO</t>
        </is>
      </c>
      <c r="M3402" s="8" t="n"/>
      <c r="N3402" s="14" t="n"/>
      <c r="O3402" s="7" t="inlineStr"/>
      <c r="P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/>
      <c r="K3403" s="8" t="n"/>
      <c r="L3403" s="7" t="inlineStr">
        <is>
          <t>SEM COTAÇÃO</t>
        </is>
      </c>
      <c r="M3403" s="8" t="n"/>
      <c r="N3403" s="14" t="n"/>
      <c r="O3403" s="7" t="inlineStr"/>
      <c r="P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/>
      <c r="K3404" s="8" t="n"/>
      <c r="L3404" s="7" t="inlineStr">
        <is>
          <t>SEM COTAÇÃO</t>
        </is>
      </c>
      <c r="M3404" s="8" t="n"/>
      <c r="N3404" s="14" t="n"/>
      <c r="O3404" s="7" t="inlineStr"/>
      <c r="P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/>
      <c r="K3405" s="8" t="n"/>
      <c r="L3405" s="7" t="inlineStr">
        <is>
          <t>SEM COTAÇÃO</t>
        </is>
      </c>
      <c r="M3405" s="8" t="n"/>
      <c r="N3405" s="14" t="n"/>
      <c r="O3405" s="7" t="inlineStr"/>
      <c r="P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/>
      <c r="K3406" s="8" t="n"/>
      <c r="L3406" s="7" t="inlineStr">
        <is>
          <t>SEM COTAÇÃO</t>
        </is>
      </c>
      <c r="M3406" s="8" t="n"/>
      <c r="N3406" s="14" t="n"/>
      <c r="O3406" s="7" t="inlineStr"/>
      <c r="P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/>
      <c r="K3407" s="8" t="n"/>
      <c r="L3407" s="7" t="inlineStr">
        <is>
          <t>SEM COTAÇÃO</t>
        </is>
      </c>
      <c r="M3407" s="8" t="n"/>
      <c r="N3407" s="14" t="n"/>
      <c r="O3407" s="7" t="inlineStr"/>
      <c r="P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/>
      <c r="K3408" s="8" t="n"/>
      <c r="L3408" s="7" t="inlineStr">
        <is>
          <t>SEM COTAÇÃO</t>
        </is>
      </c>
      <c r="M3408" s="8" t="n"/>
      <c r="N3408" s="14" t="n"/>
      <c r="O3408" s="7" t="inlineStr"/>
      <c r="P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/>
      <c r="K3409" s="15" t="n">
        <v>1.45</v>
      </c>
      <c r="L3409" s="7" t="inlineStr">
        <is>
          <t>PLUSFARMA</t>
        </is>
      </c>
      <c r="M3409" s="8" t="n">
        <v>1.45</v>
      </c>
      <c r="N3409" s="14">
        <f>M3409/H3409-1</f>
        <v/>
      </c>
      <c r="O3409" s="16" t="inlineStr">
        <is>
          <t>ACIMA +12.4%</t>
        </is>
      </c>
      <c r="P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/>
      <c r="K3410" s="15" t="n">
        <v>9.09</v>
      </c>
      <c r="L3410" s="7" t="inlineStr">
        <is>
          <t>PLUSFARMA</t>
        </is>
      </c>
      <c r="M3410" s="8" t="n">
        <v>9.09</v>
      </c>
      <c r="N3410" s="14">
        <f>M3410/H3410-1</f>
        <v/>
      </c>
      <c r="O3410" s="16" t="inlineStr">
        <is>
          <t>ACIMA +10.0%</t>
        </is>
      </c>
      <c r="P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/>
      <c r="K3411" s="15" t="n">
        <v>5.29</v>
      </c>
      <c r="L3411" s="7" t="inlineStr">
        <is>
          <t>PLUSFARMA</t>
        </is>
      </c>
      <c r="M3411" s="8" t="n">
        <v>5.29</v>
      </c>
      <c r="N3411" s="14">
        <f>M3411/H3411-1</f>
        <v/>
      </c>
      <c r="O3411" s="16" t="inlineStr">
        <is>
          <t>ACIMA +22.2%</t>
        </is>
      </c>
      <c r="P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/>
      <c r="K3412" s="15" t="n">
        <v>10.05</v>
      </c>
      <c r="L3412" s="7" t="inlineStr">
        <is>
          <t>PLUSFARMA</t>
        </is>
      </c>
      <c r="M3412" s="8" t="n">
        <v>10.05</v>
      </c>
      <c r="N3412" s="14">
        <f>M3412/H3412-1</f>
        <v/>
      </c>
      <c r="O3412" s="16" t="inlineStr">
        <is>
          <t>ACIMA +30.2%</t>
        </is>
      </c>
      <c r="P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/>
      <c r="K3413" s="8" t="n"/>
      <c r="L3413" s="7" t="inlineStr">
        <is>
          <t>SEM COTAÇÃO</t>
        </is>
      </c>
      <c r="M3413" s="8" t="n"/>
      <c r="N3413" s="14" t="n"/>
      <c r="O3413" s="7" t="inlineStr"/>
      <c r="P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/>
      <c r="K3414" s="15" t="n">
        <v>8.75</v>
      </c>
      <c r="L3414" s="7" t="inlineStr">
        <is>
          <t>PLUSFARMA</t>
        </is>
      </c>
      <c r="M3414" s="8" t="n">
        <v>8.75</v>
      </c>
      <c r="N3414" s="14">
        <f>M3414/H3414-1</f>
        <v/>
      </c>
      <c r="O3414" s="16" t="inlineStr">
        <is>
          <t>ACIMA +12.3%</t>
        </is>
      </c>
      <c r="P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/>
      <c r="K3415" s="15" t="n">
        <v>12.49</v>
      </c>
      <c r="L3415" s="7" t="inlineStr">
        <is>
          <t>PLUSFARMA</t>
        </is>
      </c>
      <c r="M3415" s="8" t="n">
        <v>12.49</v>
      </c>
      <c r="N3415" s="14">
        <f>M3415/H3415-1</f>
        <v/>
      </c>
      <c r="O3415" s="16" t="inlineStr">
        <is>
          <t>ACIMA +40.2%</t>
        </is>
      </c>
      <c r="P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/>
      <c r="K3416" s="15" t="n">
        <v>12.49</v>
      </c>
      <c r="L3416" s="7" t="inlineStr">
        <is>
          <t>PLUSFARMA</t>
        </is>
      </c>
      <c r="M3416" s="8" t="n">
        <v>12.49</v>
      </c>
      <c r="N3416" s="14">
        <f>M3416/H3416-1</f>
        <v/>
      </c>
      <c r="O3416" s="16" t="inlineStr">
        <is>
          <t>ACIMA +9.7%</t>
        </is>
      </c>
      <c r="P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/>
      <c r="K3417" s="15" t="n">
        <v>5.29</v>
      </c>
      <c r="L3417" s="7" t="inlineStr">
        <is>
          <t>PLUSFARMA</t>
        </is>
      </c>
      <c r="M3417" s="8" t="n">
        <v>5.29</v>
      </c>
      <c r="N3417" s="14">
        <f>M3417/H3417-1</f>
        <v/>
      </c>
      <c r="O3417" s="16" t="inlineStr">
        <is>
          <t>ACIMA +23.4%</t>
        </is>
      </c>
      <c r="P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/>
      <c r="K3418" s="8" t="n"/>
      <c r="L3418" s="7" t="inlineStr">
        <is>
          <t>SEM COTAÇÃO</t>
        </is>
      </c>
      <c r="M3418" s="8" t="n"/>
      <c r="N3418" s="14" t="n"/>
      <c r="O3418" s="7" t="inlineStr"/>
      <c r="P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/>
      <c r="K3419" s="8" t="n"/>
      <c r="L3419" s="7" t="inlineStr">
        <is>
          <t>SEM COTAÇÃO</t>
        </is>
      </c>
      <c r="M3419" s="8" t="n"/>
      <c r="N3419" s="14" t="n"/>
      <c r="O3419" s="7" t="inlineStr"/>
      <c r="P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/>
      <c r="K3420" s="8" t="n"/>
      <c r="L3420" s="7" t="inlineStr">
        <is>
          <t>SEM COTAÇÃO</t>
        </is>
      </c>
      <c r="M3420" s="8" t="n"/>
      <c r="N3420" s="14" t="n"/>
      <c r="O3420" s="7" t="inlineStr"/>
      <c r="P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/>
      <c r="K3421" s="8" t="n"/>
      <c r="L3421" s="7" t="inlineStr">
        <is>
          <t>SEM COTAÇÃO</t>
        </is>
      </c>
      <c r="M3421" s="8" t="n"/>
      <c r="N3421" s="14" t="n"/>
      <c r="O3421" s="7" t="inlineStr"/>
      <c r="P3421" s="7" t="inlineStr"/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/>
      <c r="K3422" s="8" t="n"/>
      <c r="L3422" s="7" t="inlineStr">
        <is>
          <t>SEM COTAÇÃO</t>
        </is>
      </c>
      <c r="M3422" s="8" t="n"/>
      <c r="N3422" s="14" t="n"/>
      <c r="O3422" s="7" t="inlineStr"/>
      <c r="P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/>
      <c r="K3423" s="8" t="n"/>
      <c r="L3423" s="7" t="inlineStr">
        <is>
          <t>SEM COTAÇÃO</t>
        </is>
      </c>
      <c r="M3423" s="8" t="n"/>
      <c r="N3423" s="14" t="n"/>
      <c r="O3423" s="7" t="inlineStr"/>
      <c r="P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/>
      <c r="K3424" s="8" t="n"/>
      <c r="L3424" s="7" t="inlineStr">
        <is>
          <t>SEM COTAÇÃO</t>
        </is>
      </c>
      <c r="M3424" s="8" t="n"/>
      <c r="N3424" s="14" t="n"/>
      <c r="O3424" s="7" t="inlineStr"/>
      <c r="P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/>
      <c r="K3425" s="8" t="n"/>
      <c r="L3425" s="7" t="inlineStr">
        <is>
          <t>SEM COTAÇÃO</t>
        </is>
      </c>
      <c r="M3425" s="8" t="n"/>
      <c r="N3425" s="14" t="n"/>
      <c r="O3425" s="7" t="inlineStr"/>
      <c r="P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/>
      <c r="K3426" s="8" t="n"/>
      <c r="L3426" s="7" t="inlineStr">
        <is>
          <t>SEM COTAÇÃO</t>
        </is>
      </c>
      <c r="M3426" s="8" t="n"/>
      <c r="N3426" s="14" t="n"/>
      <c r="O3426" s="7" t="inlineStr"/>
      <c r="P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/>
      <c r="K3427" s="8" t="n"/>
      <c r="L3427" s="7" t="inlineStr">
        <is>
          <t>SEM COTAÇÃO</t>
        </is>
      </c>
      <c r="M3427" s="8" t="n"/>
      <c r="N3427" s="14" t="n"/>
      <c r="O3427" s="7" t="inlineStr"/>
      <c r="P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/>
      <c r="K3428" s="8" t="n"/>
      <c r="L3428" s="7" t="inlineStr">
        <is>
          <t>SEM COTAÇÃO</t>
        </is>
      </c>
      <c r="M3428" s="8" t="n"/>
      <c r="N3428" s="14" t="n"/>
      <c r="O3428" s="7" t="inlineStr"/>
      <c r="P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/>
      <c r="K3429" s="8" t="n"/>
      <c r="L3429" s="7" t="inlineStr">
        <is>
          <t>SEM COTAÇÃO</t>
        </is>
      </c>
      <c r="M3429" s="8" t="n"/>
      <c r="N3429" s="14" t="n"/>
      <c r="O3429" s="7" t="inlineStr"/>
      <c r="P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/>
      <c r="K3430" s="8" t="n"/>
      <c r="L3430" s="7" t="inlineStr">
        <is>
          <t>SEM COTAÇÃO</t>
        </is>
      </c>
      <c r="M3430" s="8" t="n"/>
      <c r="N3430" s="14" t="n"/>
      <c r="O3430" s="7" t="inlineStr"/>
      <c r="P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/>
      <c r="K3431" s="8" t="n"/>
      <c r="L3431" s="7" t="inlineStr">
        <is>
          <t>SEM COTAÇÃO</t>
        </is>
      </c>
      <c r="M3431" s="8" t="n"/>
      <c r="N3431" s="14" t="n"/>
      <c r="O3431" s="7" t="inlineStr"/>
      <c r="P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/>
      <c r="K3432" s="8" t="n"/>
      <c r="L3432" s="7" t="inlineStr">
        <is>
          <t>SEM COTAÇÃO</t>
        </is>
      </c>
      <c r="M3432" s="8" t="n"/>
      <c r="N3432" s="14" t="n"/>
      <c r="O3432" s="7" t="inlineStr"/>
      <c r="P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/>
      <c r="K3433" s="8" t="n"/>
      <c r="L3433" s="7" t="inlineStr">
        <is>
          <t>SEM COTAÇÃO</t>
        </is>
      </c>
      <c r="M3433" s="8" t="n"/>
      <c r="N3433" s="14" t="n"/>
      <c r="O3433" s="7" t="inlineStr"/>
      <c r="P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/>
      <c r="K3434" s="15" t="n">
        <v>4.35</v>
      </c>
      <c r="L3434" s="7" t="inlineStr">
        <is>
          <t>PLUSFARMA</t>
        </is>
      </c>
      <c r="M3434" s="8" t="n">
        <v>4.35</v>
      </c>
      <c r="N3434" s="14">
        <f>M3434/H3434-1</f>
        <v/>
      </c>
      <c r="O3434" s="16" t="inlineStr">
        <is>
          <t>ACIMA +8.2%</t>
        </is>
      </c>
      <c r="P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/>
      <c r="K3435" s="8" t="n"/>
      <c r="L3435" s="7" t="inlineStr">
        <is>
          <t>SEM COTAÇÃO</t>
        </is>
      </c>
      <c r="M3435" s="8" t="n"/>
      <c r="N3435" s="14" t="n"/>
      <c r="O3435" s="7" t="inlineStr"/>
      <c r="P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/>
      <c r="K3436" s="8" t="n"/>
      <c r="L3436" s="7" t="inlineStr">
        <is>
          <t>SEM COTAÇÃO</t>
        </is>
      </c>
      <c r="M3436" s="8" t="n"/>
      <c r="N3436" s="14" t="n"/>
      <c r="O3436" s="7" t="inlineStr"/>
      <c r="P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/>
      <c r="K3437" s="8" t="n"/>
      <c r="L3437" s="7" t="inlineStr">
        <is>
          <t>SEM COTAÇÃO</t>
        </is>
      </c>
      <c r="M3437" s="8" t="n"/>
      <c r="N3437" s="14" t="n"/>
      <c r="O3437" s="7" t="inlineStr"/>
      <c r="P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/>
      <c r="K3438" s="8" t="n"/>
      <c r="L3438" s="7" t="inlineStr">
        <is>
          <t>SEM COTAÇÃO</t>
        </is>
      </c>
      <c r="M3438" s="8" t="n"/>
      <c r="N3438" s="14" t="n"/>
      <c r="O3438" s="7" t="inlineStr"/>
      <c r="P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/>
      <c r="K3439" s="8" t="n"/>
      <c r="L3439" s="7" t="inlineStr">
        <is>
          <t>SEM COTAÇÃO</t>
        </is>
      </c>
      <c r="M3439" s="8" t="n"/>
      <c r="N3439" s="14" t="n"/>
      <c r="O3439" s="7" t="inlineStr"/>
      <c r="P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/>
      <c r="K3440" s="8" t="n"/>
      <c r="L3440" s="7" t="inlineStr">
        <is>
          <t>SEM COTAÇÃO</t>
        </is>
      </c>
      <c r="M3440" s="8" t="n"/>
      <c r="N3440" s="14" t="n"/>
      <c r="O3440" s="7" t="inlineStr"/>
      <c r="P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/>
      <c r="K3441" s="8" t="n"/>
      <c r="L3441" s="7" t="inlineStr">
        <is>
          <t>SEM COTAÇÃO</t>
        </is>
      </c>
      <c r="M3441" s="8" t="n"/>
      <c r="N3441" s="14" t="n"/>
      <c r="O3441" s="7" t="inlineStr"/>
      <c r="P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/>
      <c r="K3442" s="8" t="n"/>
      <c r="L3442" s="7" t="inlineStr">
        <is>
          <t>SEM COTAÇÃO</t>
        </is>
      </c>
      <c r="M3442" s="8" t="n"/>
      <c r="N3442" s="14" t="n"/>
      <c r="O3442" s="7" t="inlineStr"/>
      <c r="P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15" t="n">
        <v>2.33</v>
      </c>
      <c r="K3443" s="8" t="n"/>
      <c r="L3443" s="7" t="inlineStr">
        <is>
          <t>DIMEC</t>
        </is>
      </c>
      <c r="M3443" s="8" t="n">
        <v>2.33</v>
      </c>
      <c r="N3443" s="14">
        <f>M3443/H3443-1</f>
        <v/>
      </c>
      <c r="O3443" s="16" t="inlineStr">
        <is>
          <t>ACIMA +5.0%</t>
        </is>
      </c>
      <c r="P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15" t="n">
        <v>2.17</v>
      </c>
      <c r="K3444" s="8" t="n"/>
      <c r="L3444" s="7" t="inlineStr">
        <is>
          <t>DIMEC</t>
        </is>
      </c>
      <c r="M3444" s="8" t="n">
        <v>2.17</v>
      </c>
      <c r="N3444" s="14">
        <f>M3444/H3444-1</f>
        <v/>
      </c>
      <c r="O3444" s="16" t="inlineStr">
        <is>
          <t>ACIMA +2.8%</t>
        </is>
      </c>
      <c r="P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15" t="n">
        <v>2.21</v>
      </c>
      <c r="K3445" s="8" t="n"/>
      <c r="L3445" s="7" t="inlineStr">
        <is>
          <t>DIMEC</t>
        </is>
      </c>
      <c r="M3445" s="8" t="n">
        <v>2.21</v>
      </c>
      <c r="N3445" s="14">
        <f>M3445/H3445-1</f>
        <v/>
      </c>
      <c r="O3445" s="16" t="inlineStr">
        <is>
          <t>ACIMA +3.3%</t>
        </is>
      </c>
      <c r="P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15" t="n">
        <v>4.55</v>
      </c>
      <c r="K3446" s="8" t="n"/>
      <c r="L3446" s="7" t="inlineStr">
        <is>
          <t>DIMEC</t>
        </is>
      </c>
      <c r="M3446" s="8" t="n">
        <v>4.55</v>
      </c>
      <c r="N3446" s="14">
        <f>M3446/H3446-1</f>
        <v/>
      </c>
      <c r="O3446" s="16" t="inlineStr">
        <is>
          <t>ACIMA +3.9%</t>
        </is>
      </c>
      <c r="P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/>
      <c r="K3447" s="8" t="n"/>
      <c r="L3447" s="7" t="inlineStr">
        <is>
          <t>SEM COTAÇÃO</t>
        </is>
      </c>
      <c r="M3447" s="8" t="n"/>
      <c r="N3447" s="14" t="n"/>
      <c r="O3447" s="7" t="inlineStr"/>
      <c r="P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/>
      <c r="K3448" s="8" t="n"/>
      <c r="L3448" s="7" t="inlineStr">
        <is>
          <t>SEM COTAÇÃO</t>
        </is>
      </c>
      <c r="M3448" s="8" t="n"/>
      <c r="N3448" s="14" t="n"/>
      <c r="O3448" s="7" t="inlineStr"/>
      <c r="P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/>
      <c r="K3449" s="8" t="n"/>
      <c r="L3449" s="7" t="inlineStr">
        <is>
          <t>SEM COTAÇÃO</t>
        </is>
      </c>
      <c r="M3449" s="8" t="n"/>
      <c r="N3449" s="14" t="n"/>
      <c r="O3449" s="7" t="inlineStr"/>
      <c r="P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/>
      <c r="K3450" s="8" t="n"/>
      <c r="L3450" s="7" t="inlineStr">
        <is>
          <t>SEM COTAÇÃO</t>
        </is>
      </c>
      <c r="M3450" s="8" t="n"/>
      <c r="N3450" s="14" t="n"/>
      <c r="O3450" s="7" t="inlineStr"/>
      <c r="P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/>
      <c r="K3451" s="8" t="n"/>
      <c r="L3451" s="7" t="inlineStr">
        <is>
          <t>SEM COTAÇÃO</t>
        </is>
      </c>
      <c r="M3451" s="8" t="n"/>
      <c r="N3451" s="14" t="n"/>
      <c r="O3451" s="7" t="inlineStr"/>
      <c r="P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/>
      <c r="K3452" s="8" t="n"/>
      <c r="L3452" s="7" t="inlineStr">
        <is>
          <t>SEM COTAÇÃO</t>
        </is>
      </c>
      <c r="M3452" s="8" t="n"/>
      <c r="N3452" s="14" t="n"/>
      <c r="O3452" s="7" t="inlineStr"/>
      <c r="P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/>
      <c r="K3453" s="8" t="n"/>
      <c r="L3453" s="7" t="inlineStr">
        <is>
          <t>SEM COTAÇÃO</t>
        </is>
      </c>
      <c r="M3453" s="8" t="n"/>
      <c r="N3453" s="14" t="n"/>
      <c r="O3453" s="7" t="inlineStr"/>
      <c r="P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/>
      <c r="K3454" s="8" t="n"/>
      <c r="L3454" s="7" t="inlineStr">
        <is>
          <t>SEM COTAÇÃO</t>
        </is>
      </c>
      <c r="M3454" s="8" t="n"/>
      <c r="N3454" s="14" t="n"/>
      <c r="O3454" s="7" t="inlineStr"/>
      <c r="P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/>
      <c r="K3455" s="8" t="n"/>
      <c r="L3455" s="7" t="inlineStr">
        <is>
          <t>SEM COTAÇÃO</t>
        </is>
      </c>
      <c r="M3455" s="8" t="n"/>
      <c r="N3455" s="14" t="n"/>
      <c r="O3455" s="7" t="inlineStr"/>
      <c r="P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/>
      <c r="K3456" s="8" t="n"/>
      <c r="L3456" s="7" t="inlineStr">
        <is>
          <t>SEM COTAÇÃO</t>
        </is>
      </c>
      <c r="M3456" s="8" t="n"/>
      <c r="N3456" s="14" t="n"/>
      <c r="O3456" s="7" t="inlineStr"/>
      <c r="P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/>
      <c r="K3457" s="8" t="n"/>
      <c r="L3457" s="7" t="inlineStr">
        <is>
          <t>SEM COTAÇÃO</t>
        </is>
      </c>
      <c r="M3457" s="8" t="n"/>
      <c r="N3457" s="14" t="n"/>
      <c r="O3457" s="7" t="inlineStr"/>
      <c r="P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/>
      <c r="K3458" s="8" t="n"/>
      <c r="L3458" s="7" t="inlineStr">
        <is>
          <t>SEM COTAÇÃO</t>
        </is>
      </c>
      <c r="M3458" s="8" t="n"/>
      <c r="N3458" s="14" t="n"/>
      <c r="O3458" s="7" t="inlineStr"/>
      <c r="P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/>
      <c r="K3459" s="8" t="n"/>
      <c r="L3459" s="7" t="inlineStr">
        <is>
          <t>SEM COTAÇÃO</t>
        </is>
      </c>
      <c r="M3459" s="8" t="n"/>
      <c r="N3459" s="14" t="n"/>
      <c r="O3459" s="7" t="inlineStr"/>
      <c r="P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/>
      <c r="K3460" s="8" t="n"/>
      <c r="L3460" s="7" t="inlineStr">
        <is>
          <t>SEM COTAÇÃO</t>
        </is>
      </c>
      <c r="M3460" s="8" t="n"/>
      <c r="N3460" s="14" t="n"/>
      <c r="O3460" s="7" t="inlineStr"/>
      <c r="P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/>
      <c r="K3461" s="8" t="n"/>
      <c r="L3461" s="7" t="inlineStr">
        <is>
          <t>SEM COTAÇÃO</t>
        </is>
      </c>
      <c r="M3461" s="8" t="n"/>
      <c r="N3461" s="14" t="n"/>
      <c r="O3461" s="7" t="inlineStr"/>
      <c r="P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/>
      <c r="K3462" s="8" t="n"/>
      <c r="L3462" s="7" t="inlineStr">
        <is>
          <t>SEM COTAÇÃO</t>
        </is>
      </c>
      <c r="M3462" s="8" t="n"/>
      <c r="N3462" s="14" t="n"/>
      <c r="O3462" s="7" t="inlineStr"/>
      <c r="P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/>
      <c r="K3463" s="8" t="n"/>
      <c r="L3463" s="7" t="inlineStr">
        <is>
          <t>SEM COTAÇÃO</t>
        </is>
      </c>
      <c r="M3463" s="8" t="n"/>
      <c r="N3463" s="14" t="n"/>
      <c r="O3463" s="7" t="inlineStr"/>
      <c r="P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/>
      <c r="K3464" s="8" t="n"/>
      <c r="L3464" s="7" t="inlineStr">
        <is>
          <t>SEM COTAÇÃO</t>
        </is>
      </c>
      <c r="M3464" s="8" t="n"/>
      <c r="N3464" s="14" t="n"/>
      <c r="O3464" s="7" t="inlineStr"/>
      <c r="P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/>
      <c r="K3465" s="8" t="n"/>
      <c r="L3465" s="7" t="inlineStr">
        <is>
          <t>SEM COTAÇÃO</t>
        </is>
      </c>
      <c r="M3465" s="8" t="n"/>
      <c r="N3465" s="14" t="n"/>
      <c r="O3465" s="7" t="inlineStr"/>
      <c r="P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/>
      <c r="K3466" s="8" t="n"/>
      <c r="L3466" s="7" t="inlineStr">
        <is>
          <t>SEM COTAÇÃO</t>
        </is>
      </c>
      <c r="M3466" s="8" t="n"/>
      <c r="N3466" s="14" t="n"/>
      <c r="O3466" s="7" t="inlineStr"/>
      <c r="P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/>
      <c r="K3467" s="8" t="n"/>
      <c r="L3467" s="7" t="inlineStr">
        <is>
          <t>SEM COTAÇÃO</t>
        </is>
      </c>
      <c r="M3467" s="8" t="n"/>
      <c r="N3467" s="14" t="n"/>
      <c r="O3467" s="7" t="inlineStr"/>
      <c r="P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/>
      <c r="K3468" s="8" t="n"/>
      <c r="L3468" s="7" t="inlineStr">
        <is>
          <t>SEM COTAÇÃO</t>
        </is>
      </c>
      <c r="M3468" s="8" t="n"/>
      <c r="N3468" s="14" t="n"/>
      <c r="O3468" s="7" t="inlineStr"/>
      <c r="P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/>
      <c r="K3469" s="8" t="n"/>
      <c r="L3469" s="7" t="inlineStr">
        <is>
          <t>SEM COTAÇÃO</t>
        </is>
      </c>
      <c r="M3469" s="8" t="n"/>
      <c r="N3469" s="14" t="n"/>
      <c r="O3469" s="7" t="inlineStr"/>
      <c r="P3469" s="7" t="inlineStr"/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/>
      <c r="K3470" s="8" t="n"/>
      <c r="L3470" s="7" t="inlineStr">
        <is>
          <t>SEM COTAÇÃO</t>
        </is>
      </c>
      <c r="M3470" s="8" t="n"/>
      <c r="N3470" s="14" t="n"/>
      <c r="O3470" s="7" t="inlineStr"/>
      <c r="P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/>
      <c r="K3471" s="8" t="n"/>
      <c r="L3471" s="7" t="inlineStr">
        <is>
          <t>SEM COTAÇÃO</t>
        </is>
      </c>
      <c r="M3471" s="8" t="n"/>
      <c r="N3471" s="14" t="n"/>
      <c r="O3471" s="7" t="inlineStr"/>
      <c r="P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/>
      <c r="K3472" s="8" t="n"/>
      <c r="L3472" s="7" t="inlineStr">
        <is>
          <t>SEM COTAÇÃO</t>
        </is>
      </c>
      <c r="M3472" s="8" t="n"/>
      <c r="N3472" s="14" t="n"/>
      <c r="O3472" s="7" t="inlineStr"/>
      <c r="P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/>
      <c r="K3473" s="8" t="n"/>
      <c r="L3473" s="7" t="inlineStr">
        <is>
          <t>SEM COTAÇÃO</t>
        </is>
      </c>
      <c r="M3473" s="8" t="n"/>
      <c r="N3473" s="14" t="n"/>
      <c r="O3473" s="7" t="inlineStr"/>
      <c r="P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/>
      <c r="K3474" s="8" t="n"/>
      <c r="L3474" s="7" t="inlineStr">
        <is>
          <t>SEM COTAÇÃO</t>
        </is>
      </c>
      <c r="M3474" s="8" t="n"/>
      <c r="N3474" s="14" t="n"/>
      <c r="O3474" s="7" t="inlineStr"/>
      <c r="P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/>
      <c r="K3475" s="8" t="n"/>
      <c r="L3475" s="7" t="inlineStr">
        <is>
          <t>SEM COTAÇÃO</t>
        </is>
      </c>
      <c r="M3475" s="8" t="n"/>
      <c r="N3475" s="14" t="n"/>
      <c r="O3475" s="7" t="inlineStr"/>
      <c r="P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6.92</v>
      </c>
      <c r="K3476" s="15" t="n">
        <v>6.85</v>
      </c>
      <c r="L3476" s="7" t="inlineStr">
        <is>
          <t>PLUSFARMA</t>
        </is>
      </c>
      <c r="M3476" s="8" t="n">
        <v>6.85</v>
      </c>
      <c r="N3476" s="14">
        <f>M3476/H3476-1</f>
        <v/>
      </c>
      <c r="O3476" s="16" t="inlineStr">
        <is>
          <t>ACIMA +10.7%</t>
        </is>
      </c>
      <c r="P3476" s="7" t="inlineStr"/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/>
      <c r="K3477" s="8" t="n"/>
      <c r="L3477" s="7" t="inlineStr">
        <is>
          <t>SEM COTAÇÃO</t>
        </is>
      </c>
      <c r="M3477" s="8" t="n"/>
      <c r="N3477" s="14" t="n"/>
      <c r="O3477" s="7" t="inlineStr"/>
      <c r="P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/>
      <c r="K3478" s="8" t="n"/>
      <c r="L3478" s="7" t="inlineStr">
        <is>
          <t>SEM COTAÇÃO</t>
        </is>
      </c>
      <c r="M3478" s="8" t="n"/>
      <c r="N3478" s="14" t="n"/>
      <c r="O3478" s="7" t="inlineStr"/>
      <c r="P3478" s="7" t="inlineStr"/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/>
      <c r="K3479" s="8" t="n"/>
      <c r="L3479" s="7" t="inlineStr">
        <is>
          <t>SEM COTAÇÃO</t>
        </is>
      </c>
      <c r="M3479" s="8" t="n"/>
      <c r="N3479" s="14" t="n"/>
      <c r="O3479" s="7" t="inlineStr"/>
      <c r="P3479" s="7" t="inlineStr"/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/>
      <c r="K3480" s="8" t="n"/>
      <c r="L3480" s="7" t="inlineStr">
        <is>
          <t>SEM COTAÇÃO</t>
        </is>
      </c>
      <c r="M3480" s="8" t="n"/>
      <c r="N3480" s="14" t="n"/>
      <c r="O3480" s="7" t="inlineStr"/>
      <c r="P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/>
      <c r="K3481" s="8" t="n"/>
      <c r="L3481" s="7" t="inlineStr">
        <is>
          <t>SEM COTAÇÃO</t>
        </is>
      </c>
      <c r="M3481" s="8" t="n"/>
      <c r="N3481" s="14" t="n"/>
      <c r="O3481" s="7" t="inlineStr"/>
      <c r="P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/>
      <c r="K3482" s="8" t="n"/>
      <c r="L3482" s="7" t="inlineStr">
        <is>
          <t>SEM COTAÇÃO</t>
        </is>
      </c>
      <c r="M3482" s="8" t="n"/>
      <c r="N3482" s="14" t="n"/>
      <c r="O3482" s="7" t="inlineStr"/>
      <c r="P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/>
      <c r="K3483" s="8" t="n"/>
      <c r="L3483" s="7" t="inlineStr">
        <is>
          <t>SEM COTAÇÃO</t>
        </is>
      </c>
      <c r="M3483" s="8" t="n"/>
      <c r="N3483" s="14" t="n"/>
      <c r="O3483" s="7" t="inlineStr"/>
      <c r="P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/>
      <c r="K3484" s="8" t="n"/>
      <c r="L3484" s="7" t="inlineStr">
        <is>
          <t>SEM COTAÇÃO</t>
        </is>
      </c>
      <c r="M3484" s="8" t="n"/>
      <c r="N3484" s="14" t="n"/>
      <c r="O3484" s="7" t="inlineStr"/>
      <c r="P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/>
      <c r="K3485" s="8" t="n"/>
      <c r="L3485" s="7" t="inlineStr">
        <is>
          <t>SEM COTAÇÃO</t>
        </is>
      </c>
      <c r="M3485" s="8" t="n"/>
      <c r="N3485" s="14" t="n"/>
      <c r="O3485" s="7" t="inlineStr"/>
      <c r="P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/>
      <c r="K3486" s="8" t="n"/>
      <c r="L3486" s="7" t="inlineStr">
        <is>
          <t>SEM COTAÇÃO</t>
        </is>
      </c>
      <c r="M3486" s="8" t="n"/>
      <c r="N3486" s="14" t="n"/>
      <c r="O3486" s="7" t="inlineStr"/>
      <c r="P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/>
      <c r="K3487" s="8" t="n"/>
      <c r="L3487" s="7" t="inlineStr">
        <is>
          <t>SEM COTAÇÃO</t>
        </is>
      </c>
      <c r="M3487" s="8" t="n"/>
      <c r="N3487" s="14" t="n"/>
      <c r="O3487" s="7" t="inlineStr"/>
      <c r="P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/>
      <c r="K3488" s="8" t="n"/>
      <c r="L3488" s="7" t="inlineStr">
        <is>
          <t>SEM COTAÇÃO</t>
        </is>
      </c>
      <c r="M3488" s="8" t="n"/>
      <c r="N3488" s="14" t="n"/>
      <c r="O3488" s="7" t="inlineStr"/>
      <c r="P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/>
      <c r="K3489" s="8" t="n"/>
      <c r="L3489" s="7" t="inlineStr">
        <is>
          <t>SEM COTAÇÃO</t>
        </is>
      </c>
      <c r="M3489" s="8" t="n"/>
      <c r="N3489" s="14" t="n"/>
      <c r="O3489" s="7" t="inlineStr"/>
      <c r="P3489" s="7" t="inlineStr"/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/>
      <c r="K3490" s="8" t="n"/>
      <c r="L3490" s="7" t="inlineStr">
        <is>
          <t>SEM COTAÇÃO</t>
        </is>
      </c>
      <c r="M3490" s="8" t="n"/>
      <c r="N3490" s="14" t="n"/>
      <c r="O3490" s="7" t="inlineStr"/>
      <c r="P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/>
      <c r="K3491" s="8" t="n"/>
      <c r="L3491" s="7" t="inlineStr">
        <is>
          <t>SEM COTAÇÃO</t>
        </is>
      </c>
      <c r="M3491" s="8" t="n"/>
      <c r="N3491" s="14" t="n"/>
      <c r="O3491" s="7" t="inlineStr"/>
      <c r="P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/>
      <c r="K3492" s="8" t="n"/>
      <c r="L3492" s="7" t="inlineStr">
        <is>
          <t>SEM COTAÇÃO</t>
        </is>
      </c>
      <c r="M3492" s="8" t="n"/>
      <c r="N3492" s="14" t="n"/>
      <c r="O3492" s="7" t="inlineStr"/>
      <c r="P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/>
      <c r="K3493" s="8" t="n"/>
      <c r="L3493" s="7" t="inlineStr">
        <is>
          <t>SEM COTAÇÃO</t>
        </is>
      </c>
      <c r="M3493" s="8" t="n"/>
      <c r="N3493" s="14" t="n"/>
      <c r="O3493" s="7" t="inlineStr"/>
      <c r="P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/>
      <c r="K3494" s="8" t="n"/>
      <c r="L3494" s="7" t="inlineStr">
        <is>
          <t>SEM COTAÇÃO</t>
        </is>
      </c>
      <c r="M3494" s="8" t="n"/>
      <c r="N3494" s="14" t="n"/>
      <c r="O3494" s="7" t="inlineStr"/>
      <c r="P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/>
      <c r="K3495" s="8" t="n"/>
      <c r="L3495" s="7" t="inlineStr">
        <is>
          <t>SEM COTAÇÃO</t>
        </is>
      </c>
      <c r="M3495" s="8" t="n"/>
      <c r="N3495" s="14" t="n"/>
      <c r="O3495" s="7" t="inlineStr"/>
      <c r="P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/>
      <c r="K3496" s="8" t="n"/>
      <c r="L3496" s="7" t="inlineStr">
        <is>
          <t>SEM COTAÇÃO</t>
        </is>
      </c>
      <c r="M3496" s="8" t="n"/>
      <c r="N3496" s="14" t="n"/>
      <c r="O3496" s="7" t="inlineStr"/>
      <c r="P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/>
      <c r="K3497" s="8" t="n"/>
      <c r="L3497" s="7" t="inlineStr">
        <is>
          <t>SEM COTAÇÃO</t>
        </is>
      </c>
      <c r="M3497" s="8" t="n"/>
      <c r="N3497" s="14" t="n"/>
      <c r="O3497" s="7" t="inlineStr"/>
      <c r="P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/>
      <c r="K3498" s="8" t="n"/>
      <c r="L3498" s="7" t="inlineStr">
        <is>
          <t>SEM COTAÇÃO</t>
        </is>
      </c>
      <c r="M3498" s="8" t="n"/>
      <c r="N3498" s="14" t="n"/>
      <c r="O3498" s="7" t="inlineStr"/>
      <c r="P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/>
      <c r="K3499" s="8" t="n"/>
      <c r="L3499" s="7" t="inlineStr">
        <is>
          <t>SEM COTAÇÃO</t>
        </is>
      </c>
      <c r="M3499" s="8" t="n"/>
      <c r="N3499" s="14" t="n"/>
      <c r="O3499" s="7" t="inlineStr"/>
      <c r="P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/>
      <c r="K3500" s="8" t="n"/>
      <c r="L3500" s="7" t="inlineStr">
        <is>
          <t>SEM COTAÇÃO</t>
        </is>
      </c>
      <c r="M3500" s="8" t="n"/>
      <c r="N3500" s="14" t="n"/>
      <c r="O3500" s="7" t="inlineStr"/>
      <c r="P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/>
      <c r="K3501" s="8" t="n"/>
      <c r="L3501" s="7" t="inlineStr">
        <is>
          <t>SEM COTAÇÃO</t>
        </is>
      </c>
      <c r="M3501" s="8" t="n"/>
      <c r="N3501" s="14" t="n"/>
      <c r="O3501" s="7" t="inlineStr"/>
      <c r="P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/>
      <c r="K3502" s="8" t="n"/>
      <c r="L3502" s="7" t="inlineStr">
        <is>
          <t>SEM COTAÇÃO</t>
        </is>
      </c>
      <c r="M3502" s="8" t="n"/>
      <c r="N3502" s="14" t="n"/>
      <c r="O3502" s="7" t="inlineStr"/>
      <c r="P3502" s="7" t="inlineStr"/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/>
      <c r="K3503" s="8" t="n"/>
      <c r="L3503" s="7" t="inlineStr">
        <is>
          <t>SEM COTAÇÃO</t>
        </is>
      </c>
      <c r="M3503" s="8" t="n"/>
      <c r="N3503" s="14" t="n"/>
      <c r="O3503" s="7" t="inlineStr"/>
      <c r="P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/>
      <c r="K3504" s="8" t="n"/>
      <c r="L3504" s="7" t="inlineStr">
        <is>
          <t>SEM COTAÇÃO</t>
        </is>
      </c>
      <c r="M3504" s="8" t="n"/>
      <c r="N3504" s="14" t="n"/>
      <c r="O3504" s="7" t="inlineStr"/>
      <c r="P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/>
      <c r="K3505" s="8" t="n"/>
      <c r="L3505" s="7" t="inlineStr">
        <is>
          <t>SEM COTAÇÃO</t>
        </is>
      </c>
      <c r="M3505" s="8" t="n"/>
      <c r="N3505" s="14" t="n"/>
      <c r="O3505" s="7" t="inlineStr"/>
      <c r="P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/>
      <c r="K3506" s="8" t="n"/>
      <c r="L3506" s="7" t="inlineStr">
        <is>
          <t>SEM COTAÇÃO</t>
        </is>
      </c>
      <c r="M3506" s="8" t="n"/>
      <c r="N3506" s="14" t="n"/>
      <c r="O3506" s="7" t="inlineStr"/>
      <c r="P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/>
      <c r="K3507" s="8" t="n"/>
      <c r="L3507" s="7" t="inlineStr">
        <is>
          <t>SEM COTAÇÃO</t>
        </is>
      </c>
      <c r="M3507" s="8" t="n"/>
      <c r="N3507" s="14" t="n"/>
      <c r="O3507" s="7" t="inlineStr"/>
      <c r="P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/>
      <c r="K3508" s="8" t="n"/>
      <c r="L3508" s="7" t="inlineStr">
        <is>
          <t>SEM COTAÇÃO</t>
        </is>
      </c>
      <c r="M3508" s="8" t="n"/>
      <c r="N3508" s="14" t="n"/>
      <c r="O3508" s="7" t="inlineStr"/>
      <c r="P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/>
      <c r="K3509" s="8" t="n"/>
      <c r="L3509" s="7" t="inlineStr">
        <is>
          <t>SEM COTAÇÃO</t>
        </is>
      </c>
      <c r="M3509" s="8" t="n"/>
      <c r="N3509" s="14" t="n"/>
      <c r="O3509" s="7" t="inlineStr"/>
      <c r="P3509" s="7" t="inlineStr"/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/>
      <c r="K3510" s="8" t="n"/>
      <c r="L3510" s="7" t="inlineStr">
        <is>
          <t>SEM COTAÇÃO</t>
        </is>
      </c>
      <c r="M3510" s="8" t="n"/>
      <c r="N3510" s="14" t="n"/>
      <c r="O3510" s="7" t="inlineStr"/>
      <c r="P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/>
      <c r="K3511" s="8" t="n"/>
      <c r="L3511" s="7" t="inlineStr">
        <is>
          <t>SEM COTAÇÃO</t>
        </is>
      </c>
      <c r="M3511" s="8" t="n"/>
      <c r="N3511" s="14" t="n"/>
      <c r="O3511" s="7" t="inlineStr"/>
      <c r="P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/>
      <c r="K3512" s="8" t="n"/>
      <c r="L3512" s="7" t="inlineStr">
        <is>
          <t>SEM COTAÇÃO</t>
        </is>
      </c>
      <c r="M3512" s="8" t="n"/>
      <c r="N3512" s="14" t="n"/>
      <c r="O3512" s="7" t="inlineStr"/>
      <c r="P3512" s="7" t="inlineStr"/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/>
      <c r="K3513" s="8" t="n"/>
      <c r="L3513" s="7" t="inlineStr">
        <is>
          <t>SEM COTAÇÃO</t>
        </is>
      </c>
      <c r="M3513" s="8" t="n"/>
      <c r="N3513" s="14" t="n"/>
      <c r="O3513" s="7" t="inlineStr"/>
      <c r="P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/>
      <c r="K3514" s="8" t="n"/>
      <c r="L3514" s="7" t="inlineStr">
        <is>
          <t>SEM COTAÇÃO</t>
        </is>
      </c>
      <c r="M3514" s="8" t="n"/>
      <c r="N3514" s="14" t="n"/>
      <c r="O3514" s="7" t="inlineStr"/>
      <c r="P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/>
      <c r="K3515" s="8" t="n"/>
      <c r="L3515" s="7" t="inlineStr">
        <is>
          <t>SEM COTAÇÃO</t>
        </is>
      </c>
      <c r="M3515" s="8" t="n"/>
      <c r="N3515" s="14" t="n"/>
      <c r="O3515" s="7" t="inlineStr"/>
      <c r="P3515" s="7" t="inlineStr"/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/>
      <c r="K3516" s="8" t="n"/>
      <c r="L3516" s="7" t="inlineStr">
        <is>
          <t>SEM COTAÇÃO</t>
        </is>
      </c>
      <c r="M3516" s="8" t="n"/>
      <c r="N3516" s="14" t="n"/>
      <c r="O3516" s="7" t="inlineStr"/>
      <c r="P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/>
      <c r="K3517" s="8" t="n"/>
      <c r="L3517" s="7" t="inlineStr">
        <is>
          <t>SEM COTAÇÃO</t>
        </is>
      </c>
      <c r="M3517" s="8" t="n"/>
      <c r="N3517" s="14" t="n"/>
      <c r="O3517" s="7" t="inlineStr"/>
      <c r="P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/>
      <c r="K3518" s="8" t="n"/>
      <c r="L3518" s="7" t="inlineStr">
        <is>
          <t>SEM COTAÇÃO</t>
        </is>
      </c>
      <c r="M3518" s="8" t="n"/>
      <c r="N3518" s="14" t="n"/>
      <c r="O3518" s="7" t="inlineStr"/>
      <c r="P3518" s="7" t="inlineStr"/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/>
      <c r="K3519" s="8" t="n"/>
      <c r="L3519" s="7" t="inlineStr">
        <is>
          <t>SEM COTAÇÃO</t>
        </is>
      </c>
      <c r="M3519" s="8" t="n"/>
      <c r="N3519" s="14" t="n"/>
      <c r="O3519" s="7" t="inlineStr"/>
      <c r="P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/>
      <c r="K3520" s="8" t="n"/>
      <c r="L3520" s="7" t="inlineStr">
        <is>
          <t>SEM COTAÇÃO</t>
        </is>
      </c>
      <c r="M3520" s="8" t="n"/>
      <c r="N3520" s="14" t="n"/>
      <c r="O3520" s="7" t="inlineStr"/>
      <c r="P3520" s="7" t="inlineStr"/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/>
      <c r="K3521" s="8" t="n"/>
      <c r="L3521" s="7" t="inlineStr">
        <is>
          <t>SEM COTAÇÃO</t>
        </is>
      </c>
      <c r="M3521" s="8" t="n"/>
      <c r="N3521" s="14" t="n"/>
      <c r="O3521" s="7" t="inlineStr"/>
      <c r="P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/>
      <c r="K3522" s="8" t="n"/>
      <c r="L3522" s="7" t="inlineStr">
        <is>
          <t>SEM COTAÇÃO</t>
        </is>
      </c>
      <c r="M3522" s="8" t="n"/>
      <c r="N3522" s="14" t="n"/>
      <c r="O3522" s="7" t="inlineStr"/>
      <c r="P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/>
      <c r="K3523" s="8" t="n"/>
      <c r="L3523" s="7" t="inlineStr">
        <is>
          <t>SEM COTAÇÃO</t>
        </is>
      </c>
      <c r="M3523" s="8" t="n"/>
      <c r="N3523" s="14" t="n"/>
      <c r="O3523" s="7" t="inlineStr"/>
      <c r="P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/>
      <c r="K3524" s="8" t="n"/>
      <c r="L3524" s="7" t="inlineStr">
        <is>
          <t>SEM COTAÇÃO</t>
        </is>
      </c>
      <c r="M3524" s="8" t="n"/>
      <c r="N3524" s="14" t="n"/>
      <c r="O3524" s="7" t="inlineStr"/>
      <c r="P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/>
      <c r="K3525" s="8" t="n"/>
      <c r="L3525" s="7" t="inlineStr">
        <is>
          <t>SEM COTAÇÃO</t>
        </is>
      </c>
      <c r="M3525" s="8" t="n"/>
      <c r="N3525" s="14" t="n"/>
      <c r="O3525" s="7" t="inlineStr"/>
      <c r="P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/>
      <c r="K3526" s="8" t="n"/>
      <c r="L3526" s="7" t="inlineStr">
        <is>
          <t>SEM COTAÇÃO</t>
        </is>
      </c>
      <c r="M3526" s="8" t="n"/>
      <c r="N3526" s="14" t="n"/>
      <c r="O3526" s="7" t="inlineStr"/>
      <c r="P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/>
      <c r="K3527" s="8" t="n"/>
      <c r="L3527" s="7" t="inlineStr">
        <is>
          <t>SEM COTAÇÃO</t>
        </is>
      </c>
      <c r="M3527" s="8" t="n"/>
      <c r="N3527" s="14" t="n"/>
      <c r="O3527" s="7" t="inlineStr"/>
      <c r="P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15" t="n">
        <v>6.88</v>
      </c>
      <c r="K3528" s="8" t="n"/>
      <c r="L3528" s="7" t="inlineStr">
        <is>
          <t>DIMEC</t>
        </is>
      </c>
      <c r="M3528" s="8" t="n">
        <v>6.88</v>
      </c>
      <c r="N3528" s="14">
        <f>M3528/H3528-1</f>
        <v/>
      </c>
      <c r="O3528" s="16" t="inlineStr">
        <is>
          <t>ACIMA +22.9%</t>
        </is>
      </c>
      <c r="P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/>
      <c r="K3529" s="8" t="n"/>
      <c r="L3529" s="7" t="inlineStr">
        <is>
          <t>SEM COTAÇÃO</t>
        </is>
      </c>
      <c r="M3529" s="8" t="n"/>
      <c r="N3529" s="14" t="n"/>
      <c r="O3529" s="7" t="inlineStr"/>
      <c r="P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/>
      <c r="K3530" s="8" t="n"/>
      <c r="L3530" s="7" t="inlineStr">
        <is>
          <t>SEM COTAÇÃO</t>
        </is>
      </c>
      <c r="M3530" s="8" t="n"/>
      <c r="N3530" s="14" t="n"/>
      <c r="O3530" s="7" t="inlineStr"/>
      <c r="P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7" t="inlineStr">
        <is>
          <t>SEM COTAÇÃO</t>
        </is>
      </c>
      <c r="M3531" s="8" t="n"/>
      <c r="N3531" s="14" t="n"/>
      <c r="O3531" s="7" t="inlineStr"/>
      <c r="P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/>
      <c r="K3532" s="8" t="n"/>
      <c r="L3532" s="7" t="inlineStr">
        <is>
          <t>SEM COTAÇÃO</t>
        </is>
      </c>
      <c r="M3532" s="8" t="n"/>
      <c r="N3532" s="14" t="n"/>
      <c r="O3532" s="7" t="inlineStr"/>
      <c r="P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15" t="n">
        <v>20.33</v>
      </c>
      <c r="K3533" s="8" t="n"/>
      <c r="L3533" s="7" t="inlineStr">
        <is>
          <t>DIMEC</t>
        </is>
      </c>
      <c r="M3533" s="8" t="n">
        <v>20.33</v>
      </c>
      <c r="N3533" s="14">
        <f>M3533/H3533-1</f>
        <v/>
      </c>
      <c r="O3533" s="17" t="inlineStr">
        <is>
          <t>OK (≤ menor hist.)</t>
        </is>
      </c>
      <c r="P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/>
      <c r="K3534" s="8" t="n"/>
      <c r="L3534" s="7" t="inlineStr">
        <is>
          <t>SEM COTAÇÃO</t>
        </is>
      </c>
      <c r="M3534" s="8" t="n"/>
      <c r="N3534" s="14" t="n"/>
      <c r="O3534" s="7" t="inlineStr"/>
      <c r="P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/>
      <c r="K3535" s="8" t="n"/>
      <c r="L3535" s="7" t="inlineStr">
        <is>
          <t>SEM COTAÇÃO</t>
        </is>
      </c>
      <c r="M3535" s="8" t="n"/>
      <c r="N3535" s="14" t="n"/>
      <c r="O3535" s="7" t="inlineStr"/>
      <c r="P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7" t="inlineStr">
        <is>
          <t>SEM COTAÇÃO</t>
        </is>
      </c>
      <c r="M3536" s="8" t="n"/>
      <c r="N3536" s="14" t="n"/>
      <c r="O3536" s="7" t="inlineStr"/>
      <c r="P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7" t="inlineStr">
        <is>
          <t>SEM COTAÇÃO</t>
        </is>
      </c>
      <c r="M3537" s="8" t="n"/>
      <c r="N3537" s="14" t="n"/>
      <c r="O3537" s="7" t="inlineStr"/>
      <c r="P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/>
      <c r="K3538" s="8" t="n"/>
      <c r="L3538" s="7" t="inlineStr">
        <is>
          <t>SEM COTAÇÃO</t>
        </is>
      </c>
      <c r="M3538" s="8" t="n"/>
      <c r="N3538" s="14" t="n"/>
      <c r="O3538" s="7" t="inlineStr"/>
      <c r="P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/>
      <c r="K3539" s="8" t="n"/>
      <c r="L3539" s="7" t="inlineStr">
        <is>
          <t>SEM COTAÇÃO</t>
        </is>
      </c>
      <c r="M3539" s="8" t="n"/>
      <c r="N3539" s="14" t="n"/>
      <c r="O3539" s="7" t="inlineStr"/>
      <c r="P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/>
      <c r="K3540" s="8" t="n"/>
      <c r="L3540" s="7" t="inlineStr">
        <is>
          <t>SEM COTAÇÃO</t>
        </is>
      </c>
      <c r="M3540" s="8" t="n"/>
      <c r="N3540" s="14" t="n"/>
      <c r="O3540" s="7" t="inlineStr"/>
      <c r="P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/>
      <c r="K3541" s="8" t="n"/>
      <c r="L3541" s="7" t="inlineStr">
        <is>
          <t>SEM COTAÇÃO</t>
        </is>
      </c>
      <c r="M3541" s="8" t="n"/>
      <c r="N3541" s="14" t="n"/>
      <c r="O3541" s="7" t="inlineStr"/>
      <c r="P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/>
      <c r="K3542" s="8" t="n"/>
      <c r="L3542" s="7" t="inlineStr">
        <is>
          <t>SEM COTAÇÃO</t>
        </is>
      </c>
      <c r="M3542" s="8" t="n"/>
      <c r="N3542" s="14" t="n"/>
      <c r="O3542" s="7" t="inlineStr"/>
      <c r="P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/>
      <c r="K3543" s="8" t="n"/>
      <c r="L3543" s="7" t="inlineStr">
        <is>
          <t>SEM COTAÇÃO</t>
        </is>
      </c>
      <c r="M3543" s="8" t="n"/>
      <c r="N3543" s="14" t="n"/>
      <c r="O3543" s="7" t="inlineStr"/>
      <c r="P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/>
      <c r="K3544" s="8" t="n"/>
      <c r="L3544" s="7" t="inlineStr">
        <is>
          <t>SEM COTAÇÃO</t>
        </is>
      </c>
      <c r="M3544" s="8" t="n"/>
      <c r="N3544" s="14" t="n"/>
      <c r="O3544" s="7" t="inlineStr"/>
      <c r="P3544" s="7" t="inlineStr"/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/>
      <c r="K3545" s="8" t="n"/>
      <c r="L3545" s="7" t="inlineStr">
        <is>
          <t>SEM COTAÇÃO</t>
        </is>
      </c>
      <c r="M3545" s="8" t="n"/>
      <c r="N3545" s="14" t="n"/>
      <c r="O3545" s="7" t="inlineStr"/>
      <c r="P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/>
      <c r="K3546" s="8" t="n"/>
      <c r="L3546" s="7" t="inlineStr">
        <is>
          <t>SEM COTAÇÃO</t>
        </is>
      </c>
      <c r="M3546" s="8" t="n"/>
      <c r="N3546" s="14" t="n"/>
      <c r="O3546" s="7" t="inlineStr"/>
      <c r="P3546" s="7" t="inlineStr"/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/>
      <c r="K3547" s="8" t="n"/>
      <c r="L3547" s="7" t="inlineStr">
        <is>
          <t>SEM COTAÇÃO</t>
        </is>
      </c>
      <c r="M3547" s="8" t="n"/>
      <c r="N3547" s="14" t="n"/>
      <c r="O3547" s="7" t="inlineStr"/>
      <c r="P3547" s="7" t="inlineStr"/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15" t="n">
        <v>4.14</v>
      </c>
      <c r="K3548" s="8" t="n"/>
      <c r="L3548" s="7" t="inlineStr">
        <is>
          <t>DIMEC</t>
        </is>
      </c>
      <c r="M3548" s="8" t="n">
        <v>4.14</v>
      </c>
      <c r="N3548" s="14">
        <f>M3548/H3548-1</f>
        <v/>
      </c>
      <c r="O3548" s="16" t="inlineStr">
        <is>
          <t>ACIMA +19.4%</t>
        </is>
      </c>
      <c r="P3548" s="7" t="inlineStr"/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/>
      <c r="K3549" s="8" t="n"/>
      <c r="L3549" s="7" t="inlineStr">
        <is>
          <t>SEM COTAÇÃO</t>
        </is>
      </c>
      <c r="M3549" s="8" t="n"/>
      <c r="N3549" s="14" t="n"/>
      <c r="O3549" s="7" t="inlineStr"/>
      <c r="P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/>
      <c r="K3550" s="8" t="n"/>
      <c r="L3550" s="7" t="inlineStr">
        <is>
          <t>SEM COTAÇÃO</t>
        </is>
      </c>
      <c r="M3550" s="8" t="n"/>
      <c r="N3550" s="14" t="n"/>
      <c r="O3550" s="7" t="inlineStr"/>
      <c r="P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/>
      <c r="K3551" s="8" t="n"/>
      <c r="L3551" s="7" t="inlineStr">
        <is>
          <t>SEM COTAÇÃO</t>
        </is>
      </c>
      <c r="M3551" s="8" t="n"/>
      <c r="N3551" s="14" t="n"/>
      <c r="O3551" s="7" t="inlineStr"/>
      <c r="P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/>
      <c r="K3552" s="8" t="n"/>
      <c r="L3552" s="7" t="inlineStr">
        <is>
          <t>SEM COTAÇÃO</t>
        </is>
      </c>
      <c r="M3552" s="8" t="n"/>
      <c r="N3552" s="14" t="n"/>
      <c r="O3552" s="7" t="inlineStr"/>
      <c r="P3552" s="7" t="inlineStr"/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/>
      <c r="K3553" s="8" t="n"/>
      <c r="L3553" s="7" t="inlineStr">
        <is>
          <t>SEM COTAÇÃO</t>
        </is>
      </c>
      <c r="M3553" s="8" t="n"/>
      <c r="N3553" s="14" t="n"/>
      <c r="O3553" s="7" t="inlineStr"/>
      <c r="P3553" s="7" t="inlineStr"/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/>
      <c r="K3554" s="8" t="n"/>
      <c r="L3554" s="7" t="inlineStr">
        <is>
          <t>SEM COTAÇÃO</t>
        </is>
      </c>
      <c r="M3554" s="8" t="n"/>
      <c r="N3554" s="14" t="n"/>
      <c r="O3554" s="7" t="inlineStr"/>
      <c r="P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/>
      <c r="K3555" s="8" t="n"/>
      <c r="L3555" s="7" t="inlineStr">
        <is>
          <t>SEM COTAÇÃO</t>
        </is>
      </c>
      <c r="M3555" s="8" t="n"/>
      <c r="N3555" s="14" t="n"/>
      <c r="O3555" s="7" t="inlineStr"/>
      <c r="P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/>
      <c r="K3556" s="8" t="n"/>
      <c r="L3556" s="7" t="inlineStr">
        <is>
          <t>SEM COTAÇÃO</t>
        </is>
      </c>
      <c r="M3556" s="8" t="n"/>
      <c r="N3556" s="14" t="n"/>
      <c r="O3556" s="7" t="inlineStr"/>
      <c r="P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/>
      <c r="K3557" s="8" t="n"/>
      <c r="L3557" s="7" t="inlineStr">
        <is>
          <t>SEM COTAÇÃO</t>
        </is>
      </c>
      <c r="M3557" s="8" t="n"/>
      <c r="N3557" s="14" t="n"/>
      <c r="O3557" s="7" t="inlineStr"/>
      <c r="P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/>
      <c r="K3558" s="8" t="n"/>
      <c r="L3558" s="7" t="inlineStr">
        <is>
          <t>SEM COTAÇÃO</t>
        </is>
      </c>
      <c r="M3558" s="8" t="n"/>
      <c r="N3558" s="14" t="n"/>
      <c r="O3558" s="7" t="inlineStr"/>
      <c r="P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/>
      <c r="K3559" s="8" t="n"/>
      <c r="L3559" s="7" t="inlineStr">
        <is>
          <t>SEM COTAÇÃO</t>
        </is>
      </c>
      <c r="M3559" s="8" t="n"/>
      <c r="N3559" s="14" t="n"/>
      <c r="O3559" s="7" t="inlineStr"/>
      <c r="P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/>
      <c r="K3560" s="8" t="n"/>
      <c r="L3560" s="7" t="inlineStr">
        <is>
          <t>SEM COTAÇÃO</t>
        </is>
      </c>
      <c r="M3560" s="8" t="n"/>
      <c r="N3560" s="14" t="n"/>
      <c r="O3560" s="7" t="inlineStr"/>
      <c r="P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/>
      <c r="K3561" s="8" t="n"/>
      <c r="L3561" s="7" t="inlineStr">
        <is>
          <t>SEM COTAÇÃO</t>
        </is>
      </c>
      <c r="M3561" s="8" t="n"/>
      <c r="N3561" s="14" t="n"/>
      <c r="O3561" s="7" t="inlineStr"/>
      <c r="P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/>
      <c r="K3562" s="8" t="n"/>
      <c r="L3562" s="7" t="inlineStr">
        <is>
          <t>SEM COTAÇÃO</t>
        </is>
      </c>
      <c r="M3562" s="8" t="n"/>
      <c r="N3562" s="14" t="n"/>
      <c r="O3562" s="7" t="inlineStr"/>
      <c r="P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/>
      <c r="K3563" s="8" t="n"/>
      <c r="L3563" s="7" t="inlineStr">
        <is>
          <t>SEM COTAÇÃO</t>
        </is>
      </c>
      <c r="M3563" s="8" t="n"/>
      <c r="N3563" s="14" t="n"/>
      <c r="O3563" s="7" t="inlineStr"/>
      <c r="P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/>
      <c r="K3564" s="8" t="n"/>
      <c r="L3564" s="7" t="inlineStr">
        <is>
          <t>SEM COTAÇÃO</t>
        </is>
      </c>
      <c r="M3564" s="8" t="n"/>
      <c r="N3564" s="14" t="n"/>
      <c r="O3564" s="7" t="inlineStr"/>
      <c r="P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/>
      <c r="K3565" s="8" t="n"/>
      <c r="L3565" s="7" t="inlineStr">
        <is>
          <t>SEM COTAÇÃO</t>
        </is>
      </c>
      <c r="M3565" s="8" t="n"/>
      <c r="N3565" s="14" t="n"/>
      <c r="O3565" s="7" t="inlineStr"/>
      <c r="P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/>
      <c r="K3566" s="8" t="n"/>
      <c r="L3566" s="7" t="inlineStr">
        <is>
          <t>SEM COTAÇÃO</t>
        </is>
      </c>
      <c r="M3566" s="8" t="n"/>
      <c r="N3566" s="14" t="n"/>
      <c r="O3566" s="7" t="inlineStr"/>
      <c r="P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/>
      <c r="K3567" s="8" t="n"/>
      <c r="L3567" s="7" t="inlineStr">
        <is>
          <t>SEM COTAÇÃO</t>
        </is>
      </c>
      <c r="M3567" s="8" t="n"/>
      <c r="N3567" s="14" t="n"/>
      <c r="O3567" s="7" t="inlineStr"/>
      <c r="P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/>
      <c r="K3568" s="8" t="n"/>
      <c r="L3568" s="7" t="inlineStr">
        <is>
          <t>SEM COTAÇÃO</t>
        </is>
      </c>
      <c r="M3568" s="8" t="n"/>
      <c r="N3568" s="14" t="n"/>
      <c r="O3568" s="7" t="inlineStr"/>
      <c r="P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/>
      <c r="K3569" s="8" t="n"/>
      <c r="L3569" s="7" t="inlineStr">
        <is>
          <t>SEM COTAÇÃO</t>
        </is>
      </c>
      <c r="M3569" s="8" t="n"/>
      <c r="N3569" s="14" t="n"/>
      <c r="O3569" s="7" t="inlineStr"/>
      <c r="P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/>
      <c r="K3570" s="8" t="n"/>
      <c r="L3570" s="7" t="inlineStr">
        <is>
          <t>SEM COTAÇÃO</t>
        </is>
      </c>
      <c r="M3570" s="8" t="n"/>
      <c r="N3570" s="14" t="n"/>
      <c r="O3570" s="7" t="inlineStr"/>
      <c r="P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/>
      <c r="K3571" s="8" t="n"/>
      <c r="L3571" s="7" t="inlineStr">
        <is>
          <t>SEM COTAÇÃO</t>
        </is>
      </c>
      <c r="M3571" s="8" t="n"/>
      <c r="N3571" s="14" t="n"/>
      <c r="O3571" s="7" t="inlineStr"/>
      <c r="P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/>
      <c r="K3572" s="8" t="n"/>
      <c r="L3572" s="7" t="inlineStr">
        <is>
          <t>SEM COTAÇÃO</t>
        </is>
      </c>
      <c r="M3572" s="8" t="n"/>
      <c r="N3572" s="14" t="n"/>
      <c r="O3572" s="7" t="inlineStr"/>
      <c r="P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/>
      <c r="K3573" s="8" t="n"/>
      <c r="L3573" s="7" t="inlineStr">
        <is>
          <t>SEM COTAÇÃO</t>
        </is>
      </c>
      <c r="M3573" s="8" t="n"/>
      <c r="N3573" s="14" t="n"/>
      <c r="O3573" s="7" t="inlineStr"/>
      <c r="P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/>
      <c r="K3574" s="8" t="n"/>
      <c r="L3574" s="7" t="inlineStr">
        <is>
          <t>SEM COTAÇÃO</t>
        </is>
      </c>
      <c r="M3574" s="8" t="n"/>
      <c r="N3574" s="14" t="n"/>
      <c r="O3574" s="7" t="inlineStr"/>
      <c r="P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7" t="inlineStr">
        <is>
          <t>SEM COTAÇÃO</t>
        </is>
      </c>
      <c r="M3575" s="8" t="n"/>
      <c r="N3575" s="14" t="n"/>
      <c r="O3575" s="7" t="inlineStr"/>
      <c r="P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/>
      <c r="K3576" s="8" t="n"/>
      <c r="L3576" s="7" t="inlineStr">
        <is>
          <t>SEM COTAÇÃO</t>
        </is>
      </c>
      <c r="M3576" s="8" t="n"/>
      <c r="N3576" s="14" t="n"/>
      <c r="O3576" s="7" t="inlineStr"/>
      <c r="P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/>
      <c r="K3577" s="8" t="n"/>
      <c r="L3577" s="7" t="inlineStr">
        <is>
          <t>SEM COTAÇÃO</t>
        </is>
      </c>
      <c r="M3577" s="8" t="n"/>
      <c r="N3577" s="14" t="n"/>
      <c r="O3577" s="7" t="inlineStr"/>
      <c r="P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/>
      <c r="K3578" s="8" t="n"/>
      <c r="L3578" s="7" t="inlineStr">
        <is>
          <t>SEM COTAÇÃO</t>
        </is>
      </c>
      <c r="M3578" s="8" t="n"/>
      <c r="N3578" s="14" t="n"/>
      <c r="O3578" s="7" t="inlineStr"/>
      <c r="P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/>
      <c r="K3579" s="8" t="n"/>
      <c r="L3579" s="7" t="inlineStr">
        <is>
          <t>SEM COTAÇÃO</t>
        </is>
      </c>
      <c r="M3579" s="8" t="n"/>
      <c r="N3579" s="14" t="n"/>
      <c r="O3579" s="7" t="inlineStr"/>
      <c r="P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/>
      <c r="K3580" s="8" t="n"/>
      <c r="L3580" s="7" t="inlineStr">
        <is>
          <t>SEM COTAÇÃO</t>
        </is>
      </c>
      <c r="M3580" s="8" t="n"/>
      <c r="N3580" s="14" t="n"/>
      <c r="O3580" s="7" t="inlineStr"/>
      <c r="P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/>
      <c r="K3581" s="8" t="n"/>
      <c r="L3581" s="7" t="inlineStr">
        <is>
          <t>SEM COTAÇÃO</t>
        </is>
      </c>
      <c r="M3581" s="8" t="n"/>
      <c r="N3581" s="14" t="n"/>
      <c r="O3581" s="7" t="inlineStr"/>
      <c r="P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/>
      <c r="K3582" s="8" t="n"/>
      <c r="L3582" s="7" t="inlineStr">
        <is>
          <t>SEM COTAÇÃO</t>
        </is>
      </c>
      <c r="M3582" s="8" t="n"/>
      <c r="N3582" s="14" t="n"/>
      <c r="O3582" s="7" t="inlineStr"/>
      <c r="P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/>
      <c r="K3583" s="8" t="n"/>
      <c r="L3583" s="7" t="inlineStr">
        <is>
          <t>SEM COTAÇÃO</t>
        </is>
      </c>
      <c r="M3583" s="8" t="n"/>
      <c r="N3583" s="14" t="n"/>
      <c r="O3583" s="7" t="inlineStr"/>
      <c r="P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/>
      <c r="K3584" s="8" t="n"/>
      <c r="L3584" s="7" t="inlineStr">
        <is>
          <t>SEM COTAÇÃO</t>
        </is>
      </c>
      <c r="M3584" s="8" t="n"/>
      <c r="N3584" s="14" t="n"/>
      <c r="O3584" s="7" t="inlineStr"/>
      <c r="P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/>
      <c r="K3585" s="8" t="n"/>
      <c r="L3585" s="7" t="inlineStr">
        <is>
          <t>SEM COTAÇÃO</t>
        </is>
      </c>
      <c r="M3585" s="8" t="n"/>
      <c r="N3585" s="14" t="n"/>
      <c r="O3585" s="7" t="inlineStr"/>
      <c r="P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/>
      <c r="K3586" s="8" t="n"/>
      <c r="L3586" s="7" t="inlineStr">
        <is>
          <t>SEM COTAÇÃO</t>
        </is>
      </c>
      <c r="M3586" s="8" t="n"/>
      <c r="N3586" s="14" t="n"/>
      <c r="O3586" s="7" t="inlineStr"/>
      <c r="P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/>
      <c r="K3587" s="8" t="n"/>
      <c r="L3587" s="7" t="inlineStr">
        <is>
          <t>SEM COTAÇÃO</t>
        </is>
      </c>
      <c r="M3587" s="8" t="n"/>
      <c r="N3587" s="14" t="n"/>
      <c r="O3587" s="7" t="inlineStr"/>
      <c r="P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/>
      <c r="K3588" s="8" t="n"/>
      <c r="L3588" s="7" t="inlineStr">
        <is>
          <t>SEM COTAÇÃO</t>
        </is>
      </c>
      <c r="M3588" s="8" t="n"/>
      <c r="N3588" s="14" t="n"/>
      <c r="O3588" s="7" t="inlineStr"/>
      <c r="P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/>
      <c r="K3589" s="8" t="n"/>
      <c r="L3589" s="7" t="inlineStr">
        <is>
          <t>SEM COTAÇÃO</t>
        </is>
      </c>
      <c r="M3589" s="8" t="n"/>
      <c r="N3589" s="14" t="n"/>
      <c r="O3589" s="7" t="inlineStr"/>
      <c r="P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/>
      <c r="K3590" s="8" t="n"/>
      <c r="L3590" s="7" t="inlineStr">
        <is>
          <t>SEM COTAÇÃO</t>
        </is>
      </c>
      <c r="M3590" s="8" t="n"/>
      <c r="N3590" s="14" t="n"/>
      <c r="O3590" s="7" t="inlineStr"/>
      <c r="P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/>
      <c r="K3591" s="8" t="n"/>
      <c r="L3591" s="7" t="inlineStr">
        <is>
          <t>SEM COTAÇÃO</t>
        </is>
      </c>
      <c r="M3591" s="8" t="n"/>
      <c r="N3591" s="14" t="n"/>
      <c r="O3591" s="7" t="inlineStr"/>
      <c r="P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/>
      <c r="K3592" s="8" t="n"/>
      <c r="L3592" s="7" t="inlineStr">
        <is>
          <t>SEM COTAÇÃO</t>
        </is>
      </c>
      <c r="M3592" s="8" t="n"/>
      <c r="N3592" s="14" t="n"/>
      <c r="O3592" s="7" t="inlineStr"/>
      <c r="P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/>
      <c r="K3593" s="8" t="n"/>
      <c r="L3593" s="7" t="inlineStr">
        <is>
          <t>SEM COTAÇÃO</t>
        </is>
      </c>
      <c r="M3593" s="8" t="n"/>
      <c r="N3593" s="14" t="n"/>
      <c r="O3593" s="7" t="inlineStr"/>
      <c r="P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/>
      <c r="K3594" s="8" t="n"/>
      <c r="L3594" s="7" t="inlineStr">
        <is>
          <t>SEM COTAÇÃO</t>
        </is>
      </c>
      <c r="M3594" s="8" t="n"/>
      <c r="N3594" s="14" t="n"/>
      <c r="O3594" s="7" t="inlineStr"/>
      <c r="P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/>
      <c r="K3595" s="8" t="n"/>
      <c r="L3595" s="7" t="inlineStr">
        <is>
          <t>SEM COTAÇÃO</t>
        </is>
      </c>
      <c r="M3595" s="8" t="n"/>
      <c r="N3595" s="14" t="n"/>
      <c r="O3595" s="7" t="inlineStr"/>
      <c r="P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/>
      <c r="K3596" s="8" t="n"/>
      <c r="L3596" s="7" t="inlineStr">
        <is>
          <t>SEM COTAÇÃO</t>
        </is>
      </c>
      <c r="M3596" s="8" t="n"/>
      <c r="N3596" s="14" t="n"/>
      <c r="O3596" s="7" t="inlineStr"/>
      <c r="P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/>
      <c r="K3597" s="8" t="n"/>
      <c r="L3597" s="7" t="inlineStr">
        <is>
          <t>SEM COTAÇÃO</t>
        </is>
      </c>
      <c r="M3597" s="8" t="n"/>
      <c r="N3597" s="14" t="n"/>
      <c r="O3597" s="7" t="inlineStr"/>
      <c r="P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/>
      <c r="K3598" s="8" t="n"/>
      <c r="L3598" s="7" t="inlineStr">
        <is>
          <t>SEM COTAÇÃO</t>
        </is>
      </c>
      <c r="M3598" s="8" t="n"/>
      <c r="N3598" s="14" t="n"/>
      <c r="O3598" s="7" t="inlineStr"/>
      <c r="P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/>
      <c r="K3599" s="8" t="n"/>
      <c r="L3599" s="7" t="inlineStr">
        <is>
          <t>SEM COTAÇÃO</t>
        </is>
      </c>
      <c r="M3599" s="8" t="n"/>
      <c r="N3599" s="14" t="n"/>
      <c r="O3599" s="7" t="inlineStr"/>
      <c r="P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/>
      <c r="K3600" s="8" t="n"/>
      <c r="L3600" s="7" t="inlineStr">
        <is>
          <t>SEM COTAÇÃO</t>
        </is>
      </c>
      <c r="M3600" s="8" t="n"/>
      <c r="N3600" s="14" t="n"/>
      <c r="O3600" s="7" t="inlineStr"/>
      <c r="P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/>
      <c r="K3601" s="8" t="n"/>
      <c r="L3601" s="7" t="inlineStr">
        <is>
          <t>SEM COTAÇÃO</t>
        </is>
      </c>
      <c r="M3601" s="8" t="n"/>
      <c r="N3601" s="14" t="n"/>
      <c r="O3601" s="7" t="inlineStr"/>
      <c r="P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/>
      <c r="K3602" s="8" t="n"/>
      <c r="L3602" s="7" t="inlineStr">
        <is>
          <t>SEM COTAÇÃO</t>
        </is>
      </c>
      <c r="M3602" s="8" t="n"/>
      <c r="N3602" s="14" t="n"/>
      <c r="O3602" s="7" t="inlineStr"/>
      <c r="P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/>
      <c r="K3603" s="8" t="n"/>
      <c r="L3603" s="7" t="inlineStr">
        <is>
          <t>SEM COTAÇÃO</t>
        </is>
      </c>
      <c r="M3603" s="8" t="n"/>
      <c r="N3603" s="14" t="n"/>
      <c r="O3603" s="7" t="inlineStr"/>
      <c r="P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/>
      <c r="K3604" s="8" t="n"/>
      <c r="L3604" s="7" t="inlineStr">
        <is>
          <t>SEM COTAÇÃO</t>
        </is>
      </c>
      <c r="M3604" s="8" t="n"/>
      <c r="N3604" s="14" t="n"/>
      <c r="O3604" s="7" t="inlineStr"/>
      <c r="P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15" t="n">
        <v>20.61</v>
      </c>
      <c r="K3605" s="8" t="n"/>
      <c r="L3605" s="7" t="inlineStr">
        <is>
          <t>DIMEC</t>
        </is>
      </c>
      <c r="M3605" s="8" t="n">
        <v>20.61</v>
      </c>
      <c r="N3605" s="14">
        <f>M3605/H3605-1</f>
        <v/>
      </c>
      <c r="O3605" s="17" t="inlineStr">
        <is>
          <t>OK (≤ menor hist.)</t>
        </is>
      </c>
      <c r="P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/>
      <c r="K3606" s="8" t="n"/>
      <c r="L3606" s="7" t="inlineStr">
        <is>
          <t>SEM COTAÇÃO</t>
        </is>
      </c>
      <c r="M3606" s="8" t="n"/>
      <c r="N3606" s="14" t="n"/>
      <c r="O3606" s="7" t="inlineStr"/>
      <c r="P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/>
      <c r="K3607" s="8" t="n"/>
      <c r="L3607" s="7" t="inlineStr">
        <is>
          <t>SEM COTAÇÃO</t>
        </is>
      </c>
      <c r="M3607" s="8" t="n"/>
      <c r="N3607" s="14" t="n"/>
      <c r="O3607" s="7" t="inlineStr"/>
      <c r="P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/>
      <c r="K3608" s="8" t="n"/>
      <c r="L3608" s="7" t="inlineStr">
        <is>
          <t>SEM COTAÇÃO</t>
        </is>
      </c>
      <c r="M3608" s="8" t="n"/>
      <c r="N3608" s="14" t="n"/>
      <c r="O3608" s="7" t="inlineStr"/>
      <c r="P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/>
      <c r="K3609" s="8" t="n"/>
      <c r="L3609" s="7" t="inlineStr">
        <is>
          <t>SEM COTAÇÃO</t>
        </is>
      </c>
      <c r="M3609" s="8" t="n"/>
      <c r="N3609" s="14" t="n"/>
      <c r="O3609" s="7" t="inlineStr"/>
      <c r="P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/>
      <c r="K3610" s="8" t="n"/>
      <c r="L3610" s="7" t="inlineStr">
        <is>
          <t>SEM COTAÇÃO</t>
        </is>
      </c>
      <c r="M3610" s="8" t="n"/>
      <c r="N3610" s="14" t="n"/>
      <c r="O3610" s="7" t="inlineStr"/>
      <c r="P3610" s="7" t="inlineStr"/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/>
      <c r="K3611" s="8" t="n"/>
      <c r="L3611" s="7" t="inlineStr">
        <is>
          <t>SEM COTAÇÃO</t>
        </is>
      </c>
      <c r="M3611" s="8" t="n"/>
      <c r="N3611" s="14" t="n"/>
      <c r="O3611" s="7" t="inlineStr"/>
      <c r="P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/>
      <c r="K3612" s="8" t="n"/>
      <c r="L3612" s="7" t="inlineStr">
        <is>
          <t>SEM COTAÇÃO</t>
        </is>
      </c>
      <c r="M3612" s="8" t="n"/>
      <c r="N3612" s="14" t="n"/>
      <c r="O3612" s="7" t="inlineStr"/>
      <c r="P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/>
      <c r="K3613" s="8" t="n"/>
      <c r="L3613" s="7" t="inlineStr">
        <is>
          <t>SEM COTAÇÃO</t>
        </is>
      </c>
      <c r="M3613" s="8" t="n"/>
      <c r="N3613" s="14" t="n"/>
      <c r="O3613" s="7" t="inlineStr"/>
      <c r="P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/>
      <c r="K3614" s="8" t="n"/>
      <c r="L3614" s="7" t="inlineStr">
        <is>
          <t>SEM COTAÇÃO</t>
        </is>
      </c>
      <c r="M3614" s="8" t="n"/>
      <c r="N3614" s="14" t="n"/>
      <c r="O3614" s="7" t="inlineStr"/>
      <c r="P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/>
      <c r="K3615" s="8" t="n"/>
      <c r="L3615" s="7" t="inlineStr">
        <is>
          <t>SEM COTAÇÃO</t>
        </is>
      </c>
      <c r="M3615" s="8" t="n"/>
      <c r="N3615" s="14" t="n"/>
      <c r="O3615" s="7" t="inlineStr"/>
      <c r="P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/>
      <c r="K3616" s="8" t="n"/>
      <c r="L3616" s="7" t="inlineStr">
        <is>
          <t>SEM COTAÇÃO</t>
        </is>
      </c>
      <c r="M3616" s="8" t="n"/>
      <c r="N3616" s="14" t="n"/>
      <c r="O3616" s="7" t="inlineStr"/>
      <c r="P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/>
      <c r="K3617" s="8" t="n"/>
      <c r="L3617" s="7" t="inlineStr">
        <is>
          <t>SEM COTAÇÃO</t>
        </is>
      </c>
      <c r="M3617" s="8" t="n"/>
      <c r="N3617" s="14" t="n"/>
      <c r="O3617" s="7" t="inlineStr"/>
      <c r="P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/>
      <c r="K3618" s="8" t="n"/>
      <c r="L3618" s="7" t="inlineStr">
        <is>
          <t>SEM COTAÇÃO</t>
        </is>
      </c>
      <c r="M3618" s="8" t="n"/>
      <c r="N3618" s="14" t="n"/>
      <c r="O3618" s="7" t="inlineStr"/>
      <c r="P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/>
      <c r="K3619" s="8" t="n"/>
      <c r="L3619" s="7" t="inlineStr">
        <is>
          <t>SEM COTAÇÃO</t>
        </is>
      </c>
      <c r="M3619" s="8" t="n"/>
      <c r="N3619" s="14" t="n"/>
      <c r="O3619" s="7" t="inlineStr"/>
      <c r="P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/>
      <c r="K3620" s="8" t="n"/>
      <c r="L3620" s="7" t="inlineStr">
        <is>
          <t>SEM COTAÇÃO</t>
        </is>
      </c>
      <c r="M3620" s="8" t="n"/>
      <c r="N3620" s="14" t="n"/>
      <c r="O3620" s="7" t="inlineStr"/>
      <c r="P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/>
      <c r="K3621" s="8" t="n"/>
      <c r="L3621" s="7" t="inlineStr">
        <is>
          <t>SEM COTAÇÃO</t>
        </is>
      </c>
      <c r="M3621" s="8" t="n"/>
      <c r="N3621" s="14" t="n"/>
      <c r="O3621" s="7" t="inlineStr"/>
      <c r="P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/>
      <c r="K3622" s="8" t="n"/>
      <c r="L3622" s="7" t="inlineStr">
        <is>
          <t>SEM COTAÇÃO</t>
        </is>
      </c>
      <c r="M3622" s="8" t="n"/>
      <c r="N3622" s="14" t="n"/>
      <c r="O3622" s="7" t="inlineStr"/>
      <c r="P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/>
      <c r="K3623" s="8" t="n"/>
      <c r="L3623" s="7" t="inlineStr">
        <is>
          <t>SEM COTAÇÃO</t>
        </is>
      </c>
      <c r="M3623" s="8" t="n"/>
      <c r="N3623" s="14" t="n"/>
      <c r="O3623" s="7" t="inlineStr"/>
      <c r="P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/>
      <c r="K3624" s="8" t="n"/>
      <c r="L3624" s="7" t="inlineStr">
        <is>
          <t>SEM COTAÇÃO</t>
        </is>
      </c>
      <c r="M3624" s="8" t="n"/>
      <c r="N3624" s="14" t="n"/>
      <c r="O3624" s="7" t="inlineStr"/>
      <c r="P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/>
      <c r="K3625" s="8" t="n"/>
      <c r="L3625" s="7" t="inlineStr">
        <is>
          <t>SEM COTAÇÃO</t>
        </is>
      </c>
      <c r="M3625" s="8" t="n"/>
      <c r="N3625" s="14" t="n"/>
      <c r="O3625" s="7" t="inlineStr"/>
      <c r="P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/>
      <c r="K3626" s="8" t="n"/>
      <c r="L3626" s="7" t="inlineStr">
        <is>
          <t>SEM COTAÇÃO</t>
        </is>
      </c>
      <c r="M3626" s="8" t="n"/>
      <c r="N3626" s="14" t="n"/>
      <c r="O3626" s="7" t="inlineStr"/>
      <c r="P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/>
      <c r="K3627" s="8" t="n"/>
      <c r="L3627" s="7" t="inlineStr">
        <is>
          <t>SEM COTAÇÃO</t>
        </is>
      </c>
      <c r="M3627" s="8" t="n"/>
      <c r="N3627" s="14" t="n"/>
      <c r="O3627" s="7" t="inlineStr"/>
      <c r="P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/>
      <c r="K3628" s="8" t="n"/>
      <c r="L3628" s="7" t="inlineStr">
        <is>
          <t>SEM COTAÇÃO</t>
        </is>
      </c>
      <c r="M3628" s="8" t="n"/>
      <c r="N3628" s="14" t="n"/>
      <c r="O3628" s="7" t="inlineStr"/>
      <c r="P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/>
      <c r="K3629" s="8" t="n"/>
      <c r="L3629" s="7" t="inlineStr">
        <is>
          <t>SEM COTAÇÃO</t>
        </is>
      </c>
      <c r="M3629" s="8" t="n"/>
      <c r="N3629" s="14" t="n"/>
      <c r="O3629" s="7" t="inlineStr"/>
      <c r="P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/>
      <c r="K3630" s="8" t="n"/>
      <c r="L3630" s="7" t="inlineStr">
        <is>
          <t>SEM COTAÇÃO</t>
        </is>
      </c>
      <c r="M3630" s="8" t="n"/>
      <c r="N3630" s="14" t="n"/>
      <c r="O3630" s="7" t="inlineStr"/>
      <c r="P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/>
      <c r="K3631" s="8" t="n"/>
      <c r="L3631" s="7" t="inlineStr">
        <is>
          <t>SEM COTAÇÃO</t>
        </is>
      </c>
      <c r="M3631" s="8" t="n"/>
      <c r="N3631" s="14" t="n"/>
      <c r="O3631" s="7" t="inlineStr"/>
      <c r="P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/>
      <c r="K3632" s="8" t="n"/>
      <c r="L3632" s="7" t="inlineStr">
        <is>
          <t>SEM COTAÇÃO</t>
        </is>
      </c>
      <c r="M3632" s="8" t="n"/>
      <c r="N3632" s="14" t="n"/>
      <c r="O3632" s="7" t="inlineStr"/>
      <c r="P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/>
      <c r="K3633" s="8" t="n"/>
      <c r="L3633" s="7" t="inlineStr">
        <is>
          <t>SEM COTAÇÃO</t>
        </is>
      </c>
      <c r="M3633" s="8" t="n"/>
      <c r="N3633" s="14" t="n"/>
      <c r="O3633" s="7" t="inlineStr"/>
      <c r="P3633" s="7" t="inlineStr"/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/>
      <c r="K3634" s="8" t="n"/>
      <c r="L3634" s="7" t="inlineStr">
        <is>
          <t>SEM COTAÇÃO</t>
        </is>
      </c>
      <c r="M3634" s="8" t="n"/>
      <c r="N3634" s="14" t="n"/>
      <c r="O3634" s="7" t="inlineStr"/>
      <c r="P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/>
      <c r="K3635" s="8" t="n"/>
      <c r="L3635" s="7" t="inlineStr">
        <is>
          <t>SEM COTAÇÃO</t>
        </is>
      </c>
      <c r="M3635" s="8" t="n"/>
      <c r="N3635" s="14" t="n"/>
      <c r="O3635" s="7" t="inlineStr"/>
      <c r="P3635" s="7" t="inlineStr"/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/>
      <c r="K3636" s="8" t="n"/>
      <c r="L3636" s="7" t="inlineStr">
        <is>
          <t>SEM COTAÇÃO</t>
        </is>
      </c>
      <c r="M3636" s="8" t="n"/>
      <c r="N3636" s="14" t="n"/>
      <c r="O3636" s="7" t="inlineStr"/>
      <c r="P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7" t="inlineStr">
        <is>
          <t>SEM COTAÇÃO</t>
        </is>
      </c>
      <c r="M3637" s="8" t="n"/>
      <c r="N3637" s="14" t="n"/>
      <c r="O3637" s="7" t="inlineStr"/>
      <c r="P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/>
      <c r="K3638" s="15" t="n">
        <v>6.79</v>
      </c>
      <c r="L3638" s="7" t="inlineStr">
        <is>
          <t>PLUSFARMA</t>
        </is>
      </c>
      <c r="M3638" s="8" t="n">
        <v>6.79</v>
      </c>
      <c r="N3638" s="14">
        <f>M3638/H3638-1</f>
        <v/>
      </c>
      <c r="O3638" s="17" t="inlineStr">
        <is>
          <t>OK (≤ menor hist.)</t>
        </is>
      </c>
      <c r="P3638" s="7" t="inlineStr"/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/>
      <c r="K3639" s="8" t="n"/>
      <c r="L3639" s="7" t="inlineStr">
        <is>
          <t>SEM COTAÇÃO</t>
        </is>
      </c>
      <c r="M3639" s="8" t="n"/>
      <c r="N3639" s="14" t="n"/>
      <c r="O3639" s="7" t="inlineStr"/>
      <c r="P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/>
      <c r="K3640" s="8" t="n"/>
      <c r="L3640" s="7" t="inlineStr">
        <is>
          <t>SEM COTAÇÃO</t>
        </is>
      </c>
      <c r="M3640" s="8" t="n"/>
      <c r="N3640" s="14" t="n"/>
      <c r="O3640" s="7" t="inlineStr"/>
      <c r="P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/>
      <c r="K3641" s="8" t="n"/>
      <c r="L3641" s="7" t="inlineStr">
        <is>
          <t>SEM COTAÇÃO</t>
        </is>
      </c>
      <c r="M3641" s="8" t="n"/>
      <c r="N3641" s="14" t="n"/>
      <c r="O3641" s="7" t="inlineStr"/>
      <c r="P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/>
      <c r="K3642" s="8" t="n"/>
      <c r="L3642" s="7" t="inlineStr">
        <is>
          <t>SEM COTAÇÃO</t>
        </is>
      </c>
      <c r="M3642" s="8" t="n"/>
      <c r="N3642" s="14" t="n"/>
      <c r="O3642" s="7" t="inlineStr"/>
      <c r="P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/>
      <c r="K3643" s="8" t="n"/>
      <c r="L3643" s="7" t="inlineStr">
        <is>
          <t>SEM COTAÇÃO</t>
        </is>
      </c>
      <c r="M3643" s="8" t="n"/>
      <c r="N3643" s="14" t="n"/>
      <c r="O3643" s="7" t="inlineStr"/>
      <c r="P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/>
      <c r="K3644" s="8" t="n"/>
      <c r="L3644" s="7" t="inlineStr">
        <is>
          <t>SEM COTAÇÃO</t>
        </is>
      </c>
      <c r="M3644" s="8" t="n"/>
      <c r="N3644" s="14" t="n"/>
      <c r="O3644" s="7" t="inlineStr"/>
      <c r="P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/>
      <c r="K3645" s="8" t="n"/>
      <c r="L3645" s="7" t="inlineStr">
        <is>
          <t>SEM COTAÇÃO</t>
        </is>
      </c>
      <c r="M3645" s="8" t="n"/>
      <c r="N3645" s="14" t="n"/>
      <c r="O3645" s="7" t="inlineStr"/>
      <c r="P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/>
      <c r="K3646" s="8" t="n"/>
      <c r="L3646" s="7" t="inlineStr">
        <is>
          <t>SEM COTAÇÃO</t>
        </is>
      </c>
      <c r="M3646" s="8" t="n"/>
      <c r="N3646" s="14" t="n"/>
      <c r="O3646" s="7" t="inlineStr"/>
      <c r="P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/>
      <c r="K3647" s="8" t="n"/>
      <c r="L3647" s="7" t="inlineStr">
        <is>
          <t>SEM COTAÇÃO</t>
        </is>
      </c>
      <c r="M3647" s="8" t="n"/>
      <c r="N3647" s="14" t="n"/>
      <c r="O3647" s="7" t="inlineStr"/>
      <c r="P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/>
      <c r="K3648" s="8" t="n"/>
      <c r="L3648" s="7" t="inlineStr">
        <is>
          <t>SEM COTAÇÃO</t>
        </is>
      </c>
      <c r="M3648" s="8" t="n"/>
      <c r="N3648" s="14" t="n"/>
      <c r="O3648" s="7" t="inlineStr"/>
      <c r="P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/>
      <c r="K3649" s="8" t="n"/>
      <c r="L3649" s="7" t="inlineStr">
        <is>
          <t>SEM COTAÇÃO</t>
        </is>
      </c>
      <c r="M3649" s="8" t="n"/>
      <c r="N3649" s="14" t="n"/>
      <c r="O3649" s="7" t="inlineStr"/>
      <c r="P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15" t="n">
        <v>12.34</v>
      </c>
      <c r="K3650" s="8" t="n"/>
      <c r="L3650" s="7" t="inlineStr">
        <is>
          <t>DIMEC</t>
        </is>
      </c>
      <c r="M3650" s="8" t="n">
        <v>12.34</v>
      </c>
      <c r="N3650" s="14">
        <f>M3650/H3650-1</f>
        <v/>
      </c>
      <c r="O3650" s="16" t="inlineStr">
        <is>
          <t>ACIMA +7.1%</t>
        </is>
      </c>
      <c r="P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/>
      <c r="K3651" s="8" t="n"/>
      <c r="L3651" s="7" t="inlineStr">
        <is>
          <t>SEM COTAÇÃO</t>
        </is>
      </c>
      <c r="M3651" s="8" t="n"/>
      <c r="N3651" s="14" t="n"/>
      <c r="O3651" s="7" t="inlineStr"/>
      <c r="P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/>
      <c r="K3652" s="8" t="n"/>
      <c r="L3652" s="7" t="inlineStr">
        <is>
          <t>SEM COTAÇÃO</t>
        </is>
      </c>
      <c r="M3652" s="8" t="n"/>
      <c r="N3652" s="14" t="n"/>
      <c r="O3652" s="7" t="inlineStr"/>
      <c r="P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/>
      <c r="K3653" s="8" t="n"/>
      <c r="L3653" s="7" t="inlineStr">
        <is>
          <t>SEM COTAÇÃO</t>
        </is>
      </c>
      <c r="M3653" s="8" t="n"/>
      <c r="N3653" s="14" t="n"/>
      <c r="O3653" s="7" t="inlineStr"/>
      <c r="P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/>
      <c r="K3654" s="8" t="n"/>
      <c r="L3654" s="7" t="inlineStr">
        <is>
          <t>SEM COTAÇÃO</t>
        </is>
      </c>
      <c r="M3654" s="8" t="n"/>
      <c r="N3654" s="14" t="n"/>
      <c r="O3654" s="7" t="inlineStr"/>
      <c r="P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/>
      <c r="K3655" s="8" t="n"/>
      <c r="L3655" s="7" t="inlineStr">
        <is>
          <t>SEM COTAÇÃO</t>
        </is>
      </c>
      <c r="M3655" s="8" t="n"/>
      <c r="N3655" s="14" t="n"/>
      <c r="O3655" s="7" t="inlineStr"/>
      <c r="P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/>
      <c r="K3656" s="8" t="n"/>
      <c r="L3656" s="7" t="inlineStr">
        <is>
          <t>SEM COTAÇÃO</t>
        </is>
      </c>
      <c r="M3656" s="8" t="n"/>
      <c r="N3656" s="14" t="n"/>
      <c r="O3656" s="7" t="inlineStr"/>
      <c r="P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/>
      <c r="K3657" s="8" t="n"/>
      <c r="L3657" s="7" t="inlineStr">
        <is>
          <t>SEM COTAÇÃO</t>
        </is>
      </c>
      <c r="M3657" s="8" t="n"/>
      <c r="N3657" s="14" t="n"/>
      <c r="O3657" s="7" t="inlineStr"/>
      <c r="P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/>
      <c r="K3658" s="8" t="n"/>
      <c r="L3658" s="7" t="inlineStr">
        <is>
          <t>SEM COTAÇÃO</t>
        </is>
      </c>
      <c r="M3658" s="8" t="n"/>
      <c r="N3658" s="14" t="n"/>
      <c r="O3658" s="7" t="inlineStr"/>
      <c r="P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/>
      <c r="K3659" s="8" t="n"/>
      <c r="L3659" s="7" t="inlineStr">
        <is>
          <t>SEM COTAÇÃO</t>
        </is>
      </c>
      <c r="M3659" s="8" t="n"/>
      <c r="N3659" s="14" t="n"/>
      <c r="O3659" s="7" t="inlineStr"/>
      <c r="P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/>
      <c r="K3660" s="8" t="n"/>
      <c r="L3660" s="7" t="inlineStr">
        <is>
          <t>SEM COTAÇÃO</t>
        </is>
      </c>
      <c r="M3660" s="8" t="n"/>
      <c r="N3660" s="14" t="n"/>
      <c r="O3660" s="7" t="inlineStr"/>
      <c r="P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/>
      <c r="K3661" s="8" t="n"/>
      <c r="L3661" s="7" t="inlineStr">
        <is>
          <t>SEM COTAÇÃO</t>
        </is>
      </c>
      <c r="M3661" s="8" t="n"/>
      <c r="N3661" s="14" t="n"/>
      <c r="O3661" s="7" t="inlineStr"/>
      <c r="P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/>
      <c r="K3662" s="8" t="n"/>
      <c r="L3662" s="7" t="inlineStr">
        <is>
          <t>SEM COTAÇÃO</t>
        </is>
      </c>
      <c r="M3662" s="8" t="n"/>
      <c r="N3662" s="14" t="n"/>
      <c r="O3662" s="7" t="inlineStr"/>
      <c r="P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/>
      <c r="K3663" s="8" t="n"/>
      <c r="L3663" s="7" t="inlineStr">
        <is>
          <t>SEM COTAÇÃO</t>
        </is>
      </c>
      <c r="M3663" s="8" t="n"/>
      <c r="N3663" s="14" t="n"/>
      <c r="O3663" s="7" t="inlineStr"/>
      <c r="P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/>
      <c r="K3664" s="8" t="n"/>
      <c r="L3664" s="7" t="inlineStr">
        <is>
          <t>SEM COTAÇÃO</t>
        </is>
      </c>
      <c r="M3664" s="8" t="n"/>
      <c r="N3664" s="14" t="n"/>
      <c r="O3664" s="7" t="inlineStr"/>
      <c r="P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/>
      <c r="K3665" s="8" t="n"/>
      <c r="L3665" s="7" t="inlineStr">
        <is>
          <t>SEM COTAÇÃO</t>
        </is>
      </c>
      <c r="M3665" s="8" t="n"/>
      <c r="N3665" s="14" t="n"/>
      <c r="O3665" s="7" t="inlineStr"/>
      <c r="P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/>
      <c r="K3666" s="8" t="n"/>
      <c r="L3666" s="7" t="inlineStr">
        <is>
          <t>SEM COTAÇÃO</t>
        </is>
      </c>
      <c r="M3666" s="8" t="n"/>
      <c r="N3666" s="14" t="n"/>
      <c r="O3666" s="7" t="inlineStr"/>
      <c r="P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7" t="inlineStr">
        <is>
          <t>SEM COTAÇÃO</t>
        </is>
      </c>
      <c r="M3667" s="8" t="n"/>
      <c r="N3667" s="14" t="n"/>
      <c r="O3667" s="7" t="inlineStr"/>
      <c r="P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/>
      <c r="K3668" s="8" t="n"/>
      <c r="L3668" s="7" t="inlineStr">
        <is>
          <t>SEM COTAÇÃO</t>
        </is>
      </c>
      <c r="M3668" s="8" t="n"/>
      <c r="N3668" s="14" t="n"/>
      <c r="O3668" s="7" t="inlineStr"/>
      <c r="P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/>
      <c r="K3669" s="8" t="n"/>
      <c r="L3669" s="7" t="inlineStr">
        <is>
          <t>SEM COTAÇÃO</t>
        </is>
      </c>
      <c r="M3669" s="8" t="n"/>
      <c r="N3669" s="14" t="n"/>
      <c r="O3669" s="7" t="inlineStr"/>
      <c r="P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/>
      <c r="K3670" s="8" t="n"/>
      <c r="L3670" s="7" t="inlineStr">
        <is>
          <t>SEM COTAÇÃO</t>
        </is>
      </c>
      <c r="M3670" s="8" t="n"/>
      <c r="N3670" s="14" t="n"/>
      <c r="O3670" s="7" t="inlineStr"/>
      <c r="P3670" s="7" t="inlineStr"/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/>
      <c r="K3671" s="8" t="n"/>
      <c r="L3671" s="7" t="inlineStr">
        <is>
          <t>SEM COTAÇÃO</t>
        </is>
      </c>
      <c r="M3671" s="8" t="n"/>
      <c r="N3671" s="14" t="n"/>
      <c r="O3671" s="7" t="inlineStr"/>
      <c r="P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/>
      <c r="K3672" s="8" t="n"/>
      <c r="L3672" s="7" t="inlineStr">
        <is>
          <t>SEM COTAÇÃO</t>
        </is>
      </c>
      <c r="M3672" s="8" t="n"/>
      <c r="N3672" s="14" t="n"/>
      <c r="O3672" s="7" t="inlineStr"/>
      <c r="P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/>
      <c r="K3673" s="8" t="n"/>
      <c r="L3673" s="7" t="inlineStr">
        <is>
          <t>SEM COTAÇÃO</t>
        </is>
      </c>
      <c r="M3673" s="8" t="n"/>
      <c r="N3673" s="14" t="n"/>
      <c r="O3673" s="7" t="inlineStr"/>
      <c r="P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/>
      <c r="K3674" s="8" t="n"/>
      <c r="L3674" s="7" t="inlineStr">
        <is>
          <t>SEM COTAÇÃO</t>
        </is>
      </c>
      <c r="M3674" s="8" t="n"/>
      <c r="N3674" s="14" t="n"/>
      <c r="O3674" s="7" t="inlineStr"/>
      <c r="P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/>
      <c r="K3675" s="8" t="n"/>
      <c r="L3675" s="7" t="inlineStr">
        <is>
          <t>SEM COTAÇÃO</t>
        </is>
      </c>
      <c r="M3675" s="8" t="n"/>
      <c r="N3675" s="14" t="n"/>
      <c r="O3675" s="7" t="inlineStr"/>
      <c r="P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/>
      <c r="K3676" s="8" t="n"/>
      <c r="L3676" s="7" t="inlineStr">
        <is>
          <t>SEM COTAÇÃO</t>
        </is>
      </c>
      <c r="M3676" s="8" t="n"/>
      <c r="N3676" s="14" t="n"/>
      <c r="O3676" s="7" t="inlineStr"/>
      <c r="P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/>
      <c r="K3677" s="8" t="n"/>
      <c r="L3677" s="7" t="inlineStr">
        <is>
          <t>SEM COTAÇÃO</t>
        </is>
      </c>
      <c r="M3677" s="8" t="n"/>
      <c r="N3677" s="14" t="n"/>
      <c r="O3677" s="7" t="inlineStr"/>
      <c r="P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/>
      <c r="K3678" s="8" t="n"/>
      <c r="L3678" s="7" t="inlineStr">
        <is>
          <t>SEM COTAÇÃO</t>
        </is>
      </c>
      <c r="M3678" s="8" t="n"/>
      <c r="N3678" s="14" t="n"/>
      <c r="O3678" s="7" t="inlineStr"/>
      <c r="P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/>
      <c r="K3679" s="8" t="n"/>
      <c r="L3679" s="7" t="inlineStr">
        <is>
          <t>SEM COTAÇÃO</t>
        </is>
      </c>
      <c r="M3679" s="8" t="n"/>
      <c r="N3679" s="14" t="n"/>
      <c r="O3679" s="7" t="inlineStr"/>
      <c r="P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/>
      <c r="K3680" s="8" t="n"/>
      <c r="L3680" s="7" t="inlineStr">
        <is>
          <t>SEM COTAÇÃO</t>
        </is>
      </c>
      <c r="M3680" s="8" t="n"/>
      <c r="N3680" s="14" t="n"/>
      <c r="O3680" s="7" t="inlineStr"/>
      <c r="P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/>
      <c r="K3681" s="8" t="n"/>
      <c r="L3681" s="7" t="inlineStr">
        <is>
          <t>SEM COTAÇÃO</t>
        </is>
      </c>
      <c r="M3681" s="8" t="n"/>
      <c r="N3681" s="14" t="n"/>
      <c r="O3681" s="7" t="inlineStr"/>
      <c r="P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/>
      <c r="K3682" s="8" t="n"/>
      <c r="L3682" s="7" t="inlineStr">
        <is>
          <t>SEM COTAÇÃO</t>
        </is>
      </c>
      <c r="M3682" s="8" t="n"/>
      <c r="N3682" s="14" t="n"/>
      <c r="O3682" s="7" t="inlineStr"/>
      <c r="P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/>
      <c r="K3683" s="8" t="n"/>
      <c r="L3683" s="7" t="inlineStr">
        <is>
          <t>SEM COTAÇÃO</t>
        </is>
      </c>
      <c r="M3683" s="8" t="n"/>
      <c r="N3683" s="14" t="n"/>
      <c r="O3683" s="7" t="inlineStr"/>
      <c r="P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/>
      <c r="K3684" s="8" t="n"/>
      <c r="L3684" s="7" t="inlineStr">
        <is>
          <t>SEM COTAÇÃO</t>
        </is>
      </c>
      <c r="M3684" s="8" t="n"/>
      <c r="N3684" s="14" t="n"/>
      <c r="O3684" s="7" t="inlineStr"/>
      <c r="P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/>
      <c r="K3685" s="8" t="n"/>
      <c r="L3685" s="7" t="inlineStr">
        <is>
          <t>SEM COTAÇÃO</t>
        </is>
      </c>
      <c r="M3685" s="8" t="n"/>
      <c r="N3685" s="14" t="n"/>
      <c r="O3685" s="7" t="inlineStr"/>
      <c r="P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/>
      <c r="K3686" s="8" t="n"/>
      <c r="L3686" s="7" t="inlineStr">
        <is>
          <t>SEM COTAÇÃO</t>
        </is>
      </c>
      <c r="M3686" s="8" t="n"/>
      <c r="N3686" s="14" t="n"/>
      <c r="O3686" s="7" t="inlineStr"/>
      <c r="P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/>
      <c r="K3687" s="8" t="n"/>
      <c r="L3687" s="7" t="inlineStr">
        <is>
          <t>SEM COTAÇÃO</t>
        </is>
      </c>
      <c r="M3687" s="8" t="n"/>
      <c r="N3687" s="14" t="n"/>
      <c r="O3687" s="7" t="inlineStr"/>
      <c r="P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/>
      <c r="K3688" s="8" t="n"/>
      <c r="L3688" s="7" t="inlineStr">
        <is>
          <t>SEM COTAÇÃO</t>
        </is>
      </c>
      <c r="M3688" s="8" t="n"/>
      <c r="N3688" s="14" t="n"/>
      <c r="O3688" s="7" t="inlineStr"/>
      <c r="P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/>
      <c r="K3689" s="8" t="n"/>
      <c r="L3689" s="7" t="inlineStr">
        <is>
          <t>SEM COTAÇÃO</t>
        </is>
      </c>
      <c r="M3689" s="8" t="n"/>
      <c r="N3689" s="14" t="n"/>
      <c r="O3689" s="7" t="inlineStr"/>
      <c r="P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/>
      <c r="K3690" s="8" t="n"/>
      <c r="L3690" s="7" t="inlineStr">
        <is>
          <t>SEM COTAÇÃO</t>
        </is>
      </c>
      <c r="M3690" s="8" t="n"/>
      <c r="N3690" s="14" t="n"/>
      <c r="O3690" s="7" t="inlineStr"/>
      <c r="P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/>
      <c r="K3691" s="8" t="n"/>
      <c r="L3691" s="7" t="inlineStr">
        <is>
          <t>SEM COTAÇÃO</t>
        </is>
      </c>
      <c r="M3691" s="8" t="n"/>
      <c r="N3691" s="14" t="n"/>
      <c r="O3691" s="7" t="inlineStr"/>
      <c r="P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/>
      <c r="K3692" s="8" t="n"/>
      <c r="L3692" s="7" t="inlineStr">
        <is>
          <t>SEM COTAÇÃO</t>
        </is>
      </c>
      <c r="M3692" s="8" t="n"/>
      <c r="N3692" s="14" t="n"/>
      <c r="O3692" s="7" t="inlineStr"/>
      <c r="P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/>
      <c r="K3693" s="8" t="n"/>
      <c r="L3693" s="7" t="inlineStr">
        <is>
          <t>SEM COTAÇÃO</t>
        </is>
      </c>
      <c r="M3693" s="8" t="n"/>
      <c r="N3693" s="14" t="n"/>
      <c r="O3693" s="7" t="inlineStr"/>
      <c r="P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/>
      <c r="K3694" s="8" t="n"/>
      <c r="L3694" s="7" t="inlineStr">
        <is>
          <t>SEM COTAÇÃO</t>
        </is>
      </c>
      <c r="M3694" s="8" t="n"/>
      <c r="N3694" s="14" t="n"/>
      <c r="O3694" s="7" t="inlineStr"/>
      <c r="P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/>
      <c r="K3695" s="8" t="n"/>
      <c r="L3695" s="7" t="inlineStr">
        <is>
          <t>SEM COTAÇÃO</t>
        </is>
      </c>
      <c r="M3695" s="8" t="n"/>
      <c r="N3695" s="14" t="n"/>
      <c r="O3695" s="7" t="inlineStr"/>
      <c r="P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/>
      <c r="K3696" s="8" t="n"/>
      <c r="L3696" s="7" t="inlineStr">
        <is>
          <t>SEM COTAÇÃO</t>
        </is>
      </c>
      <c r="M3696" s="8" t="n"/>
      <c r="N3696" s="14" t="n"/>
      <c r="O3696" s="7" t="inlineStr"/>
      <c r="P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/>
      <c r="K3697" s="8" t="n"/>
      <c r="L3697" s="7" t="inlineStr">
        <is>
          <t>SEM COTAÇÃO</t>
        </is>
      </c>
      <c r="M3697" s="8" t="n"/>
      <c r="N3697" s="14" t="n"/>
      <c r="O3697" s="7" t="inlineStr"/>
      <c r="P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/>
      <c r="K3698" s="8" t="n"/>
      <c r="L3698" s="7" t="inlineStr">
        <is>
          <t>SEM COTAÇÃO</t>
        </is>
      </c>
      <c r="M3698" s="8" t="n"/>
      <c r="N3698" s="14" t="n"/>
      <c r="O3698" s="7" t="inlineStr"/>
      <c r="P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/>
      <c r="K3699" s="8" t="n"/>
      <c r="L3699" s="7" t="inlineStr">
        <is>
          <t>SEM COTAÇÃO</t>
        </is>
      </c>
      <c r="M3699" s="8" t="n"/>
      <c r="N3699" s="14" t="n"/>
      <c r="O3699" s="7" t="inlineStr"/>
      <c r="P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/>
      <c r="K3700" s="8" t="n"/>
      <c r="L3700" s="7" t="inlineStr">
        <is>
          <t>SEM COTAÇÃO</t>
        </is>
      </c>
      <c r="M3700" s="8" t="n"/>
      <c r="N3700" s="14" t="n"/>
      <c r="O3700" s="7" t="inlineStr"/>
      <c r="P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/>
      <c r="K3701" s="8" t="n"/>
      <c r="L3701" s="7" t="inlineStr">
        <is>
          <t>SEM COTAÇÃO</t>
        </is>
      </c>
      <c r="M3701" s="8" t="n"/>
      <c r="N3701" s="14" t="n"/>
      <c r="O3701" s="7" t="inlineStr"/>
      <c r="P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15" t="n">
        <v>8.76</v>
      </c>
      <c r="K3702" s="8" t="n"/>
      <c r="L3702" s="7" t="inlineStr">
        <is>
          <t>DIMEC</t>
        </is>
      </c>
      <c r="M3702" s="8" t="n">
        <v>8.76</v>
      </c>
      <c r="N3702" s="14">
        <f>M3702/H3702-1</f>
        <v/>
      </c>
      <c r="O3702" s="16" t="inlineStr">
        <is>
          <t>ACIMA +8.6%</t>
        </is>
      </c>
      <c r="P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15" t="n">
        <v>8.76</v>
      </c>
      <c r="K3703" s="8" t="n"/>
      <c r="L3703" s="7" t="inlineStr">
        <is>
          <t>DIMEC</t>
        </is>
      </c>
      <c r="M3703" s="8" t="n">
        <v>8.76</v>
      </c>
      <c r="N3703" s="14">
        <f>M3703/H3703-1</f>
        <v/>
      </c>
      <c r="O3703" s="16" t="inlineStr">
        <is>
          <t>ACIMA +8.6%</t>
        </is>
      </c>
      <c r="P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/>
      <c r="K3704" s="8" t="n"/>
      <c r="L3704" s="7" t="inlineStr">
        <is>
          <t>SEM COTAÇÃO</t>
        </is>
      </c>
      <c r="M3704" s="8" t="n"/>
      <c r="N3704" s="14" t="n"/>
      <c r="O3704" s="7" t="inlineStr"/>
      <c r="P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/>
      <c r="K3705" s="8" t="n"/>
      <c r="L3705" s="7" t="inlineStr">
        <is>
          <t>SEM COTAÇÃO</t>
        </is>
      </c>
      <c r="M3705" s="8" t="n"/>
      <c r="N3705" s="14" t="n"/>
      <c r="O3705" s="7" t="inlineStr"/>
      <c r="P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/>
      <c r="K3706" s="8" t="n"/>
      <c r="L3706" s="7" t="inlineStr">
        <is>
          <t>SEM COTAÇÃO</t>
        </is>
      </c>
      <c r="M3706" s="8" t="n"/>
      <c r="N3706" s="14" t="n"/>
      <c r="O3706" s="7" t="inlineStr"/>
      <c r="P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/>
      <c r="K3707" s="8" t="n"/>
      <c r="L3707" s="7" t="inlineStr">
        <is>
          <t>SEM COTAÇÃO</t>
        </is>
      </c>
      <c r="M3707" s="8" t="n"/>
      <c r="N3707" s="14" t="n"/>
      <c r="O3707" s="7" t="inlineStr"/>
      <c r="P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/>
      <c r="K3708" s="8" t="n"/>
      <c r="L3708" s="7" t="inlineStr">
        <is>
          <t>SEM COTAÇÃO</t>
        </is>
      </c>
      <c r="M3708" s="8" t="n"/>
      <c r="N3708" s="14" t="n"/>
      <c r="O3708" s="7" t="inlineStr"/>
      <c r="P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/>
      <c r="K3709" s="8" t="n"/>
      <c r="L3709" s="7" t="inlineStr">
        <is>
          <t>SEM COTAÇÃO</t>
        </is>
      </c>
      <c r="M3709" s="8" t="n"/>
      <c r="N3709" s="14" t="n"/>
      <c r="O3709" s="7" t="inlineStr"/>
      <c r="P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/>
      <c r="K3710" s="8" t="n"/>
      <c r="L3710" s="7" t="inlineStr">
        <is>
          <t>SEM COTAÇÃO</t>
        </is>
      </c>
      <c r="M3710" s="8" t="n"/>
      <c r="N3710" s="14" t="n"/>
      <c r="O3710" s="7" t="inlineStr"/>
      <c r="P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/>
      <c r="K3711" s="8" t="n"/>
      <c r="L3711" s="7" t="inlineStr">
        <is>
          <t>SEM COTAÇÃO</t>
        </is>
      </c>
      <c r="M3711" s="8" t="n"/>
      <c r="N3711" s="14" t="n"/>
      <c r="O3711" s="7" t="inlineStr"/>
      <c r="P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/>
      <c r="K3712" s="8" t="n"/>
      <c r="L3712" s="7" t="inlineStr">
        <is>
          <t>SEM COTAÇÃO</t>
        </is>
      </c>
      <c r="M3712" s="8" t="n"/>
      <c r="N3712" s="14" t="n"/>
      <c r="O3712" s="7" t="inlineStr"/>
      <c r="P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/>
      <c r="K3713" s="8" t="n"/>
      <c r="L3713" s="7" t="inlineStr">
        <is>
          <t>SEM COTAÇÃO</t>
        </is>
      </c>
      <c r="M3713" s="8" t="n"/>
      <c r="N3713" s="14" t="n"/>
      <c r="O3713" s="7" t="inlineStr"/>
      <c r="P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/>
      <c r="K3714" s="8" t="n"/>
      <c r="L3714" s="7" t="inlineStr">
        <is>
          <t>SEM COTAÇÃO</t>
        </is>
      </c>
      <c r="M3714" s="8" t="n"/>
      <c r="N3714" s="14" t="n"/>
      <c r="O3714" s="7" t="inlineStr"/>
      <c r="P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/>
      <c r="K3715" s="8" t="n"/>
      <c r="L3715" s="7" t="inlineStr">
        <is>
          <t>SEM COTAÇÃO</t>
        </is>
      </c>
      <c r="M3715" s="8" t="n"/>
      <c r="N3715" s="14" t="n"/>
      <c r="O3715" s="7" t="inlineStr"/>
      <c r="P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/>
      <c r="K3716" s="8" t="n"/>
      <c r="L3716" s="7" t="inlineStr">
        <is>
          <t>SEM COTAÇÃO</t>
        </is>
      </c>
      <c r="M3716" s="8" t="n"/>
      <c r="N3716" s="14" t="n"/>
      <c r="O3716" s="7" t="inlineStr"/>
      <c r="P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/>
      <c r="K3717" s="8" t="n"/>
      <c r="L3717" s="7" t="inlineStr">
        <is>
          <t>SEM COTAÇÃO</t>
        </is>
      </c>
      <c r="M3717" s="8" t="n"/>
      <c r="N3717" s="14" t="n"/>
      <c r="O3717" s="7" t="inlineStr"/>
      <c r="P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/>
      <c r="K3718" s="8" t="n"/>
      <c r="L3718" s="7" t="inlineStr">
        <is>
          <t>SEM COTAÇÃO</t>
        </is>
      </c>
      <c r="M3718" s="8" t="n"/>
      <c r="N3718" s="14" t="n"/>
      <c r="O3718" s="7" t="inlineStr"/>
      <c r="P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/>
      <c r="K3719" s="8" t="n"/>
      <c r="L3719" s="7" t="inlineStr">
        <is>
          <t>SEM COTAÇÃO</t>
        </is>
      </c>
      <c r="M3719" s="8" t="n"/>
      <c r="N3719" s="14" t="n"/>
      <c r="O3719" s="7" t="inlineStr"/>
      <c r="P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/>
      <c r="K3720" s="8" t="n"/>
      <c r="L3720" s="7" t="inlineStr">
        <is>
          <t>SEM COTAÇÃO</t>
        </is>
      </c>
      <c r="M3720" s="8" t="n"/>
      <c r="N3720" s="14" t="n"/>
      <c r="O3720" s="7" t="inlineStr"/>
      <c r="P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/>
      <c r="K3721" s="8" t="n"/>
      <c r="L3721" s="7" t="inlineStr">
        <is>
          <t>SEM COTAÇÃO</t>
        </is>
      </c>
      <c r="M3721" s="8" t="n"/>
      <c r="N3721" s="14" t="n"/>
      <c r="O3721" s="7" t="inlineStr"/>
      <c r="P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/>
      <c r="K3722" s="8" t="n"/>
      <c r="L3722" s="7" t="inlineStr">
        <is>
          <t>SEM COTAÇÃO</t>
        </is>
      </c>
      <c r="M3722" s="8" t="n"/>
      <c r="N3722" s="14" t="n"/>
      <c r="O3722" s="7" t="inlineStr"/>
      <c r="P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/>
      <c r="K3723" s="8" t="n"/>
      <c r="L3723" s="7" t="inlineStr">
        <is>
          <t>SEM COTAÇÃO</t>
        </is>
      </c>
      <c r="M3723" s="8" t="n"/>
      <c r="N3723" s="14" t="n"/>
      <c r="O3723" s="7" t="inlineStr"/>
      <c r="P3723" s="7" t="inlineStr"/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/>
      <c r="K3724" s="8" t="n"/>
      <c r="L3724" s="7" t="inlineStr">
        <is>
          <t>SEM COTAÇÃO</t>
        </is>
      </c>
      <c r="M3724" s="8" t="n"/>
      <c r="N3724" s="14" t="n"/>
      <c r="O3724" s="7" t="inlineStr"/>
      <c r="P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/>
      <c r="K3725" s="8" t="n"/>
      <c r="L3725" s="7" t="inlineStr">
        <is>
          <t>SEM COTAÇÃO</t>
        </is>
      </c>
      <c r="M3725" s="8" t="n"/>
      <c r="N3725" s="14" t="n"/>
      <c r="O3725" s="7" t="inlineStr"/>
      <c r="P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/>
      <c r="K3726" s="8" t="n"/>
      <c r="L3726" s="7" t="inlineStr">
        <is>
          <t>SEM COTAÇÃO</t>
        </is>
      </c>
      <c r="M3726" s="8" t="n"/>
      <c r="N3726" s="14" t="n"/>
      <c r="O3726" s="7" t="inlineStr"/>
      <c r="P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15" t="n">
        <v>16.97</v>
      </c>
      <c r="K3727" s="8" t="n">
        <v>99999999</v>
      </c>
      <c r="L3727" s="7" t="inlineStr">
        <is>
          <t>DIMEC</t>
        </is>
      </c>
      <c r="M3727" s="8" t="n">
        <v>16.97</v>
      </c>
      <c r="N3727" s="14">
        <f>M3727/H3727-1</f>
        <v/>
      </c>
      <c r="O3727" s="17" t="inlineStr">
        <is>
          <t>OK (≤ menor hist.)</t>
        </is>
      </c>
      <c r="P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/>
      <c r="K3728" s="8" t="n"/>
      <c r="L3728" s="7" t="inlineStr">
        <is>
          <t>SEM COTAÇÃO</t>
        </is>
      </c>
      <c r="M3728" s="8" t="n"/>
      <c r="N3728" s="14" t="n"/>
      <c r="O3728" s="7" t="inlineStr"/>
      <c r="P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/>
      <c r="K3729" s="8" t="n"/>
      <c r="L3729" s="7" t="inlineStr">
        <is>
          <t>SEM COTAÇÃO</t>
        </is>
      </c>
      <c r="M3729" s="8" t="n"/>
      <c r="N3729" s="14" t="n"/>
      <c r="O3729" s="7" t="inlineStr"/>
      <c r="P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/>
      <c r="K3730" s="8" t="n"/>
      <c r="L3730" s="7" t="inlineStr">
        <is>
          <t>SEM COTAÇÃO</t>
        </is>
      </c>
      <c r="M3730" s="8" t="n"/>
      <c r="N3730" s="14" t="n"/>
      <c r="O3730" s="7" t="inlineStr"/>
      <c r="P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/>
      <c r="K3731" s="8" t="n"/>
      <c r="L3731" s="7" t="inlineStr">
        <is>
          <t>SEM COTAÇÃO</t>
        </is>
      </c>
      <c r="M3731" s="8" t="n"/>
      <c r="N3731" s="14" t="n"/>
      <c r="O3731" s="7" t="inlineStr"/>
      <c r="P3731" s="7" t="inlineStr"/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/>
      <c r="K3732" s="8" t="n"/>
      <c r="L3732" s="7" t="inlineStr">
        <is>
          <t>SEM COTAÇÃO</t>
        </is>
      </c>
      <c r="M3732" s="8" t="n"/>
      <c r="N3732" s="14" t="n"/>
      <c r="O3732" s="7" t="inlineStr"/>
      <c r="P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/>
      <c r="K3733" s="8" t="n"/>
      <c r="L3733" s="7" t="inlineStr">
        <is>
          <t>SEM COTAÇÃO</t>
        </is>
      </c>
      <c r="M3733" s="8" t="n"/>
      <c r="N3733" s="14" t="n"/>
      <c r="O3733" s="7" t="inlineStr"/>
      <c r="P3733" s="7" t="inlineStr"/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/>
      <c r="K3734" s="8" t="n"/>
      <c r="L3734" s="7" t="inlineStr">
        <is>
          <t>SEM COTAÇÃO</t>
        </is>
      </c>
      <c r="M3734" s="8" t="n"/>
      <c r="N3734" s="14" t="n"/>
      <c r="O3734" s="7" t="inlineStr"/>
      <c r="P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/>
      <c r="K3735" s="8" t="n"/>
      <c r="L3735" s="7" t="inlineStr">
        <is>
          <t>SEM COTAÇÃO</t>
        </is>
      </c>
      <c r="M3735" s="8" t="n"/>
      <c r="N3735" s="14" t="n"/>
      <c r="O3735" s="7" t="inlineStr"/>
      <c r="P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15" t="n">
        <v>9.41</v>
      </c>
      <c r="K3736" s="8" t="n"/>
      <c r="L3736" s="7" t="inlineStr">
        <is>
          <t>DIMEC</t>
        </is>
      </c>
      <c r="M3736" s="8" t="n">
        <v>9.41</v>
      </c>
      <c r="N3736" s="14">
        <f>M3736/H3736-1</f>
        <v/>
      </c>
      <c r="O3736" s="16" t="inlineStr">
        <is>
          <t>ACIMA +6.1%</t>
        </is>
      </c>
      <c r="P3736" s="7" t="inlineStr"/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/>
      <c r="K3737" s="8" t="n"/>
      <c r="L3737" s="7" t="inlineStr">
        <is>
          <t>SEM COTAÇÃO</t>
        </is>
      </c>
      <c r="M3737" s="8" t="n"/>
      <c r="N3737" s="14" t="n"/>
      <c r="O3737" s="7" t="inlineStr"/>
      <c r="P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/>
      <c r="K3738" s="8" t="n"/>
      <c r="L3738" s="7" t="inlineStr">
        <is>
          <t>SEM COTAÇÃO</t>
        </is>
      </c>
      <c r="M3738" s="8" t="n"/>
      <c r="N3738" s="14" t="n"/>
      <c r="O3738" s="7" t="inlineStr"/>
      <c r="P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/>
      <c r="K3739" s="8" t="n"/>
      <c r="L3739" s="7" t="inlineStr">
        <is>
          <t>SEM COTAÇÃO</t>
        </is>
      </c>
      <c r="M3739" s="8" t="n"/>
      <c r="N3739" s="14" t="n"/>
      <c r="O3739" s="7" t="inlineStr"/>
      <c r="P3739" s="7" t="inlineStr"/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/>
      <c r="K3740" s="8" t="n"/>
      <c r="L3740" s="7" t="inlineStr">
        <is>
          <t>SEM COTAÇÃO</t>
        </is>
      </c>
      <c r="M3740" s="8" t="n"/>
      <c r="N3740" s="14" t="n"/>
      <c r="O3740" s="7" t="inlineStr"/>
      <c r="P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/>
      <c r="K3741" s="8" t="n"/>
      <c r="L3741" s="7" t="inlineStr">
        <is>
          <t>SEM COTAÇÃO</t>
        </is>
      </c>
      <c r="M3741" s="8" t="n"/>
      <c r="N3741" s="14" t="n"/>
      <c r="O3741" s="7" t="inlineStr"/>
      <c r="P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/>
      <c r="K3742" s="8" t="n"/>
      <c r="L3742" s="7" t="inlineStr">
        <is>
          <t>SEM COTAÇÃO</t>
        </is>
      </c>
      <c r="M3742" s="8" t="n"/>
      <c r="N3742" s="14" t="n"/>
      <c r="O3742" s="7" t="inlineStr"/>
      <c r="P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/>
      <c r="K3743" s="8" t="n"/>
      <c r="L3743" s="7" t="inlineStr">
        <is>
          <t>SEM COTAÇÃO</t>
        </is>
      </c>
      <c r="M3743" s="8" t="n"/>
      <c r="N3743" s="14" t="n"/>
      <c r="O3743" s="7" t="inlineStr"/>
      <c r="P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/>
      <c r="K3744" s="8" t="n"/>
      <c r="L3744" s="7" t="inlineStr">
        <is>
          <t>SEM COTAÇÃO</t>
        </is>
      </c>
      <c r="M3744" s="8" t="n"/>
      <c r="N3744" s="14" t="n"/>
      <c r="O3744" s="7" t="inlineStr"/>
      <c r="P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15" t="n">
        <v>9.99</v>
      </c>
      <c r="K3745" s="8" t="n">
        <v>22.29</v>
      </c>
      <c r="L3745" s="7" t="inlineStr">
        <is>
          <t>DIMEC</t>
        </is>
      </c>
      <c r="M3745" s="8" t="n">
        <v>9.99</v>
      </c>
      <c r="N3745" s="14">
        <f>M3745/H3745-1</f>
        <v/>
      </c>
      <c r="O3745" s="17" t="inlineStr">
        <is>
          <t>OK (≤ menor hist.)</t>
        </is>
      </c>
      <c r="P3745" s="7" t="inlineStr"/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/>
      <c r="K3746" s="8" t="n"/>
      <c r="L3746" s="7" t="inlineStr">
        <is>
          <t>SEM COTAÇÃO</t>
        </is>
      </c>
      <c r="M3746" s="8" t="n"/>
      <c r="N3746" s="14" t="n"/>
      <c r="O3746" s="7" t="inlineStr"/>
      <c r="P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/>
      <c r="K3747" s="8" t="n"/>
      <c r="L3747" s="7" t="inlineStr">
        <is>
          <t>SEM COTAÇÃO</t>
        </is>
      </c>
      <c r="M3747" s="8" t="n"/>
      <c r="N3747" s="14" t="n"/>
      <c r="O3747" s="7" t="inlineStr"/>
      <c r="P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/>
      <c r="K3748" s="8" t="n"/>
      <c r="L3748" s="7" t="inlineStr">
        <is>
          <t>SEM COTAÇÃO</t>
        </is>
      </c>
      <c r="M3748" s="8" t="n"/>
      <c r="N3748" s="14" t="n"/>
      <c r="O3748" s="7" t="inlineStr"/>
      <c r="P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/>
      <c r="K3749" s="8" t="n"/>
      <c r="L3749" s="7" t="inlineStr">
        <is>
          <t>SEM COTAÇÃO</t>
        </is>
      </c>
      <c r="M3749" s="8" t="n"/>
      <c r="N3749" s="14" t="n"/>
      <c r="O3749" s="7" t="inlineStr"/>
      <c r="P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/>
      <c r="K3750" s="8" t="n"/>
      <c r="L3750" s="7" t="inlineStr">
        <is>
          <t>SEM COTAÇÃO</t>
        </is>
      </c>
      <c r="M3750" s="8" t="n"/>
      <c r="N3750" s="14" t="n"/>
      <c r="O3750" s="7" t="inlineStr"/>
      <c r="P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7.3</v>
      </c>
      <c r="K3751" s="15" t="n">
        <v>7.14</v>
      </c>
      <c r="L3751" s="7" t="inlineStr">
        <is>
          <t>PLUSFARMA</t>
        </is>
      </c>
      <c r="M3751" s="8" t="n">
        <v>7.14</v>
      </c>
      <c r="N3751" s="14">
        <f>M3751/H3751-1</f>
        <v/>
      </c>
      <c r="O3751" s="16" t="inlineStr">
        <is>
          <t>ACIMA +83.5%</t>
        </is>
      </c>
      <c r="P3751" s="7" t="inlineStr"/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/>
      <c r="K3752" s="8" t="n"/>
      <c r="L3752" s="7" t="inlineStr">
        <is>
          <t>SEM COTAÇÃO</t>
        </is>
      </c>
      <c r="M3752" s="8" t="n"/>
      <c r="N3752" s="14" t="n"/>
      <c r="O3752" s="7" t="inlineStr"/>
      <c r="P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/>
      <c r="K3753" s="8" t="n"/>
      <c r="L3753" s="7" t="inlineStr">
        <is>
          <t>SEM COTAÇÃO</t>
        </is>
      </c>
      <c r="M3753" s="8" t="n"/>
      <c r="N3753" s="14" t="n"/>
      <c r="O3753" s="7" t="inlineStr"/>
      <c r="P3753" s="7" t="inlineStr"/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/>
      <c r="K3754" s="8" t="n"/>
      <c r="L3754" s="7" t="inlineStr">
        <is>
          <t>SEM COTAÇÃO</t>
        </is>
      </c>
      <c r="M3754" s="8" t="n"/>
      <c r="N3754" s="14" t="n"/>
      <c r="O3754" s="7" t="inlineStr"/>
      <c r="P3754" s="7" t="inlineStr"/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/>
      <c r="K3755" s="8" t="n"/>
      <c r="L3755" s="7" t="inlineStr">
        <is>
          <t>SEM COTAÇÃO</t>
        </is>
      </c>
      <c r="M3755" s="8" t="n"/>
      <c r="N3755" s="14" t="n"/>
      <c r="O3755" s="7" t="inlineStr"/>
      <c r="P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14.15</v>
      </c>
      <c r="K3756" s="15" t="n">
        <v>13.84</v>
      </c>
      <c r="L3756" s="7" t="inlineStr">
        <is>
          <t>PLUSFARMA</t>
        </is>
      </c>
      <c r="M3756" s="8" t="n">
        <v>13.84</v>
      </c>
      <c r="N3756" s="14">
        <f>M3756/H3756-1</f>
        <v/>
      </c>
      <c r="O3756" s="16" t="inlineStr">
        <is>
          <t>ACIMA +102.6%</t>
        </is>
      </c>
      <c r="P3756" s="7" t="inlineStr">
        <is>
          <t>DIMEC: conferir emb.; PLUSFARMA: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/>
      <c r="K3757" s="8" t="n"/>
      <c r="L3757" s="7" t="inlineStr">
        <is>
          <t>SEM COTAÇÃO</t>
        </is>
      </c>
      <c r="M3757" s="8" t="n"/>
      <c r="N3757" s="14" t="n"/>
      <c r="O3757" s="7" t="inlineStr"/>
      <c r="P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/>
      <c r="K3758" s="8" t="n"/>
      <c r="L3758" s="7" t="inlineStr">
        <is>
          <t>SEM COTAÇÃO</t>
        </is>
      </c>
      <c r="M3758" s="8" t="n"/>
      <c r="N3758" s="14" t="n"/>
      <c r="O3758" s="7" t="inlineStr"/>
      <c r="P3758" s="7" t="inlineStr"/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/>
      <c r="K3759" s="8" t="n"/>
      <c r="L3759" s="7" t="inlineStr">
        <is>
          <t>SEM COTAÇÃO</t>
        </is>
      </c>
      <c r="M3759" s="8" t="n"/>
      <c r="N3759" s="14" t="n"/>
      <c r="O3759" s="7" t="inlineStr"/>
      <c r="P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/>
      <c r="K3760" s="8" t="n"/>
      <c r="L3760" s="7" t="inlineStr">
        <is>
          <t>SEM COTAÇÃO</t>
        </is>
      </c>
      <c r="M3760" s="8" t="n"/>
      <c r="N3760" s="14" t="n"/>
      <c r="O3760" s="7" t="inlineStr"/>
      <c r="P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15" t="n">
        <v>6.13</v>
      </c>
      <c r="K3761" s="8" t="n"/>
      <c r="L3761" s="7" t="inlineStr">
        <is>
          <t>DIMEC</t>
        </is>
      </c>
      <c r="M3761" s="8" t="n">
        <v>6.13</v>
      </c>
      <c r="N3761" s="14">
        <f>M3761/H3761-1</f>
        <v/>
      </c>
      <c r="O3761" s="16" t="inlineStr">
        <is>
          <t>ACIMA +3.9%</t>
        </is>
      </c>
      <c r="P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/>
      <c r="K3762" s="8" t="n"/>
      <c r="L3762" s="7" t="inlineStr">
        <is>
          <t>SEM COTAÇÃO</t>
        </is>
      </c>
      <c r="M3762" s="8" t="n"/>
      <c r="N3762" s="14" t="n"/>
      <c r="O3762" s="7" t="inlineStr"/>
      <c r="P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/>
      <c r="K3763" s="8" t="n"/>
      <c r="L3763" s="7" t="inlineStr">
        <is>
          <t>SEM COTAÇÃO</t>
        </is>
      </c>
      <c r="M3763" s="8" t="n"/>
      <c r="N3763" s="14" t="n"/>
      <c r="O3763" s="7" t="inlineStr"/>
      <c r="P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/>
      <c r="K3764" s="8" t="n"/>
      <c r="L3764" s="7" t="inlineStr">
        <is>
          <t>SEM COTAÇÃO</t>
        </is>
      </c>
      <c r="M3764" s="8" t="n"/>
      <c r="N3764" s="14" t="n"/>
      <c r="O3764" s="7" t="inlineStr"/>
      <c r="P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/>
      <c r="K3765" s="8" t="n"/>
      <c r="L3765" s="7" t="inlineStr">
        <is>
          <t>SEM COTAÇÃO</t>
        </is>
      </c>
      <c r="M3765" s="8" t="n"/>
      <c r="N3765" s="14" t="n"/>
      <c r="O3765" s="7" t="inlineStr"/>
      <c r="P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/>
      <c r="K3766" s="8" t="n"/>
      <c r="L3766" s="7" t="inlineStr">
        <is>
          <t>SEM COTAÇÃO</t>
        </is>
      </c>
      <c r="M3766" s="8" t="n"/>
      <c r="N3766" s="14" t="n"/>
      <c r="O3766" s="7" t="inlineStr"/>
      <c r="P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/>
      <c r="K3767" s="8" t="n"/>
      <c r="L3767" s="7" t="inlineStr">
        <is>
          <t>SEM COTAÇÃO</t>
        </is>
      </c>
      <c r="M3767" s="8" t="n"/>
      <c r="N3767" s="14" t="n"/>
      <c r="O3767" s="7" t="inlineStr"/>
      <c r="P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/>
      <c r="K3768" s="8" t="n"/>
      <c r="L3768" s="7" t="inlineStr">
        <is>
          <t>SEM COTAÇÃO</t>
        </is>
      </c>
      <c r="M3768" s="8" t="n"/>
      <c r="N3768" s="14" t="n"/>
      <c r="O3768" s="7" t="inlineStr"/>
      <c r="P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/>
      <c r="K3769" s="8" t="n"/>
      <c r="L3769" s="7" t="inlineStr">
        <is>
          <t>SEM COTAÇÃO</t>
        </is>
      </c>
      <c r="M3769" s="8" t="n"/>
      <c r="N3769" s="14" t="n"/>
      <c r="O3769" s="7" t="inlineStr"/>
      <c r="P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/>
      <c r="K3770" s="8" t="n"/>
      <c r="L3770" s="7" t="inlineStr">
        <is>
          <t>SEM COTAÇÃO</t>
        </is>
      </c>
      <c r="M3770" s="8" t="n"/>
      <c r="N3770" s="14" t="n"/>
      <c r="O3770" s="7" t="inlineStr"/>
      <c r="P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/>
      <c r="K3771" s="8" t="n"/>
      <c r="L3771" s="7" t="inlineStr">
        <is>
          <t>SEM COTAÇÃO</t>
        </is>
      </c>
      <c r="M3771" s="8" t="n"/>
      <c r="N3771" s="14" t="n"/>
      <c r="O3771" s="7" t="inlineStr"/>
      <c r="P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/>
      <c r="K3772" s="8" t="n"/>
      <c r="L3772" s="7" t="inlineStr">
        <is>
          <t>SEM COTAÇÃO</t>
        </is>
      </c>
      <c r="M3772" s="8" t="n"/>
      <c r="N3772" s="14" t="n"/>
      <c r="O3772" s="7" t="inlineStr"/>
      <c r="P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/>
      <c r="K3773" s="8" t="n"/>
      <c r="L3773" s="7" t="inlineStr">
        <is>
          <t>SEM COTAÇÃO</t>
        </is>
      </c>
      <c r="M3773" s="8" t="n"/>
      <c r="N3773" s="14" t="n"/>
      <c r="O3773" s="7" t="inlineStr"/>
      <c r="P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/>
      <c r="K3774" s="8" t="n"/>
      <c r="L3774" s="7" t="inlineStr">
        <is>
          <t>SEM COTAÇÃO</t>
        </is>
      </c>
      <c r="M3774" s="8" t="n"/>
      <c r="N3774" s="14" t="n"/>
      <c r="O3774" s="7" t="inlineStr"/>
      <c r="P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/>
      <c r="K3775" s="8" t="n"/>
      <c r="L3775" s="7" t="inlineStr">
        <is>
          <t>SEM COTAÇÃO</t>
        </is>
      </c>
      <c r="M3775" s="8" t="n"/>
      <c r="N3775" s="14" t="n"/>
      <c r="O3775" s="7" t="inlineStr"/>
      <c r="P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/>
      <c r="K3776" s="8" t="n"/>
      <c r="L3776" s="7" t="inlineStr">
        <is>
          <t>SEM COTAÇÃO</t>
        </is>
      </c>
      <c r="M3776" s="8" t="n"/>
      <c r="N3776" s="14" t="n"/>
      <c r="O3776" s="7" t="inlineStr"/>
      <c r="P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/>
      <c r="K3777" s="8" t="n"/>
      <c r="L3777" s="7" t="inlineStr">
        <is>
          <t>SEM COTAÇÃO</t>
        </is>
      </c>
      <c r="M3777" s="8" t="n"/>
      <c r="N3777" s="14" t="n"/>
      <c r="O3777" s="7" t="inlineStr"/>
      <c r="P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/>
      <c r="K3778" s="8" t="n"/>
      <c r="L3778" s="7" t="inlineStr">
        <is>
          <t>SEM COTAÇÃO</t>
        </is>
      </c>
      <c r="M3778" s="8" t="n"/>
      <c r="N3778" s="14" t="n"/>
      <c r="O3778" s="7" t="inlineStr"/>
      <c r="P3778" s="7" t="inlineStr"/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/>
      <c r="K3779" s="8" t="n"/>
      <c r="L3779" s="7" t="inlineStr">
        <is>
          <t>SEM COTAÇÃO</t>
        </is>
      </c>
      <c r="M3779" s="8" t="n"/>
      <c r="N3779" s="14" t="n"/>
      <c r="O3779" s="7" t="inlineStr"/>
      <c r="P3779" s="7" t="inlineStr"/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/>
      <c r="K3780" s="8" t="n"/>
      <c r="L3780" s="7" t="inlineStr">
        <is>
          <t>SEM COTAÇÃO</t>
        </is>
      </c>
      <c r="M3780" s="8" t="n"/>
      <c r="N3780" s="14" t="n"/>
      <c r="O3780" s="7" t="inlineStr"/>
      <c r="P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/>
      <c r="K3781" s="8" t="n"/>
      <c r="L3781" s="7" t="inlineStr">
        <is>
          <t>SEM COTAÇÃO</t>
        </is>
      </c>
      <c r="M3781" s="8" t="n"/>
      <c r="N3781" s="14" t="n"/>
      <c r="O3781" s="7" t="inlineStr"/>
      <c r="P3781" s="7" t="inlineStr"/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/>
      <c r="K3782" s="8" t="n"/>
      <c r="L3782" s="7" t="inlineStr">
        <is>
          <t>SEM COTAÇÃO</t>
        </is>
      </c>
      <c r="M3782" s="8" t="n"/>
      <c r="N3782" s="14" t="n"/>
      <c r="O3782" s="7" t="inlineStr"/>
      <c r="P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15" t="n">
        <v>5.74</v>
      </c>
      <c r="K3783" s="8" t="n"/>
      <c r="L3783" s="7" t="inlineStr">
        <is>
          <t>DIMEC</t>
        </is>
      </c>
      <c r="M3783" s="8" t="n">
        <v>5.74</v>
      </c>
      <c r="N3783" s="14" t="n"/>
      <c r="O3783" s="7" t="inlineStr">
        <is>
          <t>SEM HISTÓRICO</t>
        </is>
      </c>
      <c r="P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/>
      <c r="K3784" s="8" t="n"/>
      <c r="L3784" s="7" t="inlineStr">
        <is>
          <t>SEM COTAÇÃO</t>
        </is>
      </c>
      <c r="M3784" s="8" t="n"/>
      <c r="N3784" s="14" t="n"/>
      <c r="O3784" s="7" t="inlineStr"/>
      <c r="P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/>
      <c r="K3785" s="8" t="n"/>
      <c r="L3785" s="7" t="inlineStr">
        <is>
          <t>SEM COTAÇÃO</t>
        </is>
      </c>
      <c r="M3785" s="8" t="n"/>
      <c r="N3785" s="14" t="n"/>
      <c r="O3785" s="7" t="inlineStr"/>
      <c r="P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/>
      <c r="K3786" s="8" t="n"/>
      <c r="L3786" s="7" t="inlineStr">
        <is>
          <t>SEM COTAÇÃO</t>
        </is>
      </c>
      <c r="M3786" s="8" t="n"/>
      <c r="N3786" s="14" t="n"/>
      <c r="O3786" s="7" t="inlineStr"/>
      <c r="P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/>
      <c r="K3787" s="8" t="n"/>
      <c r="L3787" s="7" t="inlineStr">
        <is>
          <t>SEM COTAÇÃO</t>
        </is>
      </c>
      <c r="M3787" s="8" t="n"/>
      <c r="N3787" s="14" t="n"/>
      <c r="O3787" s="7" t="inlineStr"/>
      <c r="P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/>
      <c r="K3788" s="8" t="n"/>
      <c r="L3788" s="7" t="inlineStr">
        <is>
          <t>SEM COTAÇÃO</t>
        </is>
      </c>
      <c r="M3788" s="8" t="n"/>
      <c r="N3788" s="14" t="n"/>
      <c r="O3788" s="7" t="inlineStr"/>
      <c r="P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/>
      <c r="K3789" s="8" t="n"/>
      <c r="L3789" s="7" t="inlineStr">
        <is>
          <t>SEM COTAÇÃO</t>
        </is>
      </c>
      <c r="M3789" s="8" t="n"/>
      <c r="N3789" s="14" t="n"/>
      <c r="O3789" s="7" t="inlineStr"/>
      <c r="P3789" s="7" t="inlineStr"/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/>
      <c r="K3790" s="8" t="n"/>
      <c r="L3790" s="7" t="inlineStr">
        <is>
          <t>SEM COTAÇÃO</t>
        </is>
      </c>
      <c r="M3790" s="8" t="n"/>
      <c r="N3790" s="14" t="n"/>
      <c r="O3790" s="7" t="inlineStr"/>
      <c r="P3790" s="7" t="inlineStr"/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/>
      <c r="K3791" s="8" t="n"/>
      <c r="L3791" s="7" t="inlineStr">
        <is>
          <t>SEM COTAÇÃO</t>
        </is>
      </c>
      <c r="M3791" s="8" t="n"/>
      <c r="N3791" s="14" t="n"/>
      <c r="O3791" s="7" t="inlineStr"/>
      <c r="P3791" s="7" t="inlineStr"/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/>
      <c r="K3792" s="8" t="n"/>
      <c r="L3792" s="7" t="inlineStr">
        <is>
          <t>SEM COTAÇÃO</t>
        </is>
      </c>
      <c r="M3792" s="8" t="n"/>
      <c r="N3792" s="14" t="n"/>
      <c r="O3792" s="7" t="inlineStr"/>
      <c r="P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/>
      <c r="K3793" s="8" t="n"/>
      <c r="L3793" s="7" t="inlineStr">
        <is>
          <t>SEM COTAÇÃO</t>
        </is>
      </c>
      <c r="M3793" s="8" t="n"/>
      <c r="N3793" s="14" t="n"/>
      <c r="O3793" s="7" t="inlineStr"/>
      <c r="P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/>
      <c r="K3794" s="8" t="n"/>
      <c r="L3794" s="7" t="inlineStr">
        <is>
          <t>SEM COTAÇÃO</t>
        </is>
      </c>
      <c r="M3794" s="8" t="n"/>
      <c r="N3794" s="14" t="n"/>
      <c r="O3794" s="7" t="inlineStr"/>
      <c r="P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/>
      <c r="K3795" s="8" t="n"/>
      <c r="L3795" s="7" t="inlineStr">
        <is>
          <t>SEM COTAÇÃO</t>
        </is>
      </c>
      <c r="M3795" s="8" t="n"/>
      <c r="N3795" s="14" t="n"/>
      <c r="O3795" s="7" t="inlineStr"/>
      <c r="P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/>
      <c r="K3796" s="8" t="n"/>
      <c r="L3796" s="7" t="inlineStr">
        <is>
          <t>SEM COTAÇÃO</t>
        </is>
      </c>
      <c r="M3796" s="8" t="n"/>
      <c r="N3796" s="14" t="n"/>
      <c r="O3796" s="7" t="inlineStr"/>
      <c r="P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/>
      <c r="K3797" s="8" t="n"/>
      <c r="L3797" s="7" t="inlineStr">
        <is>
          <t>SEM COTAÇÃO</t>
        </is>
      </c>
      <c r="M3797" s="8" t="n"/>
      <c r="N3797" s="14" t="n"/>
      <c r="O3797" s="7" t="inlineStr"/>
      <c r="P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/>
      <c r="K3798" s="8" t="n"/>
      <c r="L3798" s="7" t="inlineStr">
        <is>
          <t>SEM COTAÇÃO</t>
        </is>
      </c>
      <c r="M3798" s="8" t="n"/>
      <c r="N3798" s="14" t="n"/>
      <c r="O3798" s="7" t="inlineStr"/>
      <c r="P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/>
      <c r="K3799" s="8" t="n"/>
      <c r="L3799" s="7" t="inlineStr">
        <is>
          <t>SEM COTAÇÃO</t>
        </is>
      </c>
      <c r="M3799" s="8" t="n"/>
      <c r="N3799" s="14" t="n"/>
      <c r="O3799" s="7" t="inlineStr"/>
      <c r="P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/>
      <c r="K3800" s="8" t="n"/>
      <c r="L3800" s="7" t="inlineStr">
        <is>
          <t>SEM COTAÇÃO</t>
        </is>
      </c>
      <c r="M3800" s="8" t="n"/>
      <c r="N3800" s="14" t="n"/>
      <c r="O3800" s="7" t="inlineStr"/>
      <c r="P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/>
      <c r="K3801" s="8" t="n"/>
      <c r="L3801" s="7" t="inlineStr">
        <is>
          <t>SEM COTAÇÃO</t>
        </is>
      </c>
      <c r="M3801" s="8" t="n"/>
      <c r="N3801" s="14" t="n"/>
      <c r="O3801" s="7" t="inlineStr"/>
      <c r="P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/>
      <c r="K3802" s="8" t="n"/>
      <c r="L3802" s="7" t="inlineStr">
        <is>
          <t>SEM COTAÇÃO</t>
        </is>
      </c>
      <c r="M3802" s="8" t="n"/>
      <c r="N3802" s="14" t="n"/>
      <c r="O3802" s="7" t="inlineStr"/>
      <c r="P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/>
      <c r="K3803" s="8" t="n"/>
      <c r="L3803" s="7" t="inlineStr">
        <is>
          <t>SEM COTAÇÃO</t>
        </is>
      </c>
      <c r="M3803" s="8" t="n"/>
      <c r="N3803" s="14" t="n"/>
      <c r="O3803" s="7" t="inlineStr"/>
      <c r="P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/>
      <c r="K3804" s="8" t="n"/>
      <c r="L3804" s="7" t="inlineStr">
        <is>
          <t>SEM COTAÇÃO</t>
        </is>
      </c>
      <c r="M3804" s="8" t="n"/>
      <c r="N3804" s="14" t="n"/>
      <c r="O3804" s="7" t="inlineStr"/>
      <c r="P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/>
      <c r="K3805" s="8" t="n"/>
      <c r="L3805" s="7" t="inlineStr">
        <is>
          <t>SEM COTAÇÃO</t>
        </is>
      </c>
      <c r="M3805" s="8" t="n"/>
      <c r="N3805" s="14" t="n"/>
      <c r="O3805" s="7" t="inlineStr"/>
      <c r="P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/>
      <c r="K3806" s="8" t="n"/>
      <c r="L3806" s="7" t="inlineStr">
        <is>
          <t>SEM COTAÇÃO</t>
        </is>
      </c>
      <c r="M3806" s="8" t="n"/>
      <c r="N3806" s="14" t="n"/>
      <c r="O3806" s="7" t="inlineStr"/>
      <c r="P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/>
      <c r="K3807" s="8" t="n"/>
      <c r="L3807" s="7" t="inlineStr">
        <is>
          <t>SEM COTAÇÃO</t>
        </is>
      </c>
      <c r="M3807" s="8" t="n"/>
      <c r="N3807" s="14" t="n"/>
      <c r="O3807" s="7" t="inlineStr"/>
      <c r="P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/>
      <c r="K3808" s="8" t="n"/>
      <c r="L3808" s="7" t="inlineStr">
        <is>
          <t>SEM COTAÇÃO</t>
        </is>
      </c>
      <c r="M3808" s="8" t="n"/>
      <c r="N3808" s="14" t="n"/>
      <c r="O3808" s="7" t="inlineStr"/>
      <c r="P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/>
      <c r="K3809" s="8" t="n"/>
      <c r="L3809" s="7" t="inlineStr">
        <is>
          <t>SEM COTAÇÃO</t>
        </is>
      </c>
      <c r="M3809" s="8" t="n"/>
      <c r="N3809" s="14" t="n"/>
      <c r="O3809" s="7" t="inlineStr"/>
      <c r="P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/>
      <c r="K3810" s="8" t="n"/>
      <c r="L3810" s="7" t="inlineStr">
        <is>
          <t>SEM COTAÇÃO</t>
        </is>
      </c>
      <c r="M3810" s="8" t="n"/>
      <c r="N3810" s="14" t="n"/>
      <c r="O3810" s="7" t="inlineStr"/>
      <c r="P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/>
      <c r="K3811" s="8" t="n"/>
      <c r="L3811" s="7" t="inlineStr">
        <is>
          <t>SEM COTAÇÃO</t>
        </is>
      </c>
      <c r="M3811" s="8" t="n"/>
      <c r="N3811" s="14" t="n"/>
      <c r="O3811" s="7" t="inlineStr"/>
      <c r="P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/>
      <c r="K3812" s="8" t="n"/>
      <c r="L3812" s="7" t="inlineStr">
        <is>
          <t>SEM COTAÇÃO</t>
        </is>
      </c>
      <c r="M3812" s="8" t="n"/>
      <c r="N3812" s="14" t="n"/>
      <c r="O3812" s="7" t="inlineStr"/>
      <c r="P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/>
      <c r="K3813" s="8" t="n"/>
      <c r="L3813" s="7" t="inlineStr">
        <is>
          <t>SEM COTAÇÃO</t>
        </is>
      </c>
      <c r="M3813" s="8" t="n"/>
      <c r="N3813" s="14" t="n"/>
      <c r="O3813" s="7" t="inlineStr"/>
      <c r="P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/>
      <c r="K3814" s="8" t="n"/>
      <c r="L3814" s="7" t="inlineStr">
        <is>
          <t>SEM COTAÇÃO</t>
        </is>
      </c>
      <c r="M3814" s="8" t="n"/>
      <c r="N3814" s="14" t="n"/>
      <c r="O3814" s="7" t="inlineStr"/>
      <c r="P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/>
      <c r="K3815" s="8" t="n"/>
      <c r="L3815" s="7" t="inlineStr">
        <is>
          <t>SEM COTAÇÃO</t>
        </is>
      </c>
      <c r="M3815" s="8" t="n"/>
      <c r="N3815" s="14" t="n"/>
      <c r="O3815" s="7" t="inlineStr"/>
      <c r="P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/>
      <c r="K3816" s="8" t="n"/>
      <c r="L3816" s="7" t="inlineStr">
        <is>
          <t>SEM COTAÇÃO</t>
        </is>
      </c>
      <c r="M3816" s="8" t="n"/>
      <c r="N3816" s="14" t="n"/>
      <c r="O3816" s="7" t="inlineStr"/>
      <c r="P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/>
      <c r="K3817" s="8" t="n"/>
      <c r="L3817" s="7" t="inlineStr">
        <is>
          <t>SEM COTAÇÃO</t>
        </is>
      </c>
      <c r="M3817" s="8" t="n"/>
      <c r="N3817" s="14" t="n"/>
      <c r="O3817" s="7" t="inlineStr"/>
      <c r="P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/>
      <c r="K3818" s="8" t="n"/>
      <c r="L3818" s="7" t="inlineStr">
        <is>
          <t>SEM COTAÇÃO</t>
        </is>
      </c>
      <c r="M3818" s="8" t="n"/>
      <c r="N3818" s="14" t="n"/>
      <c r="O3818" s="7" t="inlineStr"/>
      <c r="P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/>
      <c r="K3819" s="8" t="n"/>
      <c r="L3819" s="7" t="inlineStr">
        <is>
          <t>SEM COTAÇÃO</t>
        </is>
      </c>
      <c r="M3819" s="8" t="n"/>
      <c r="N3819" s="14" t="n"/>
      <c r="O3819" s="7" t="inlineStr"/>
      <c r="P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/>
      <c r="K3820" s="8" t="n"/>
      <c r="L3820" s="7" t="inlineStr">
        <is>
          <t>SEM COTAÇÃO</t>
        </is>
      </c>
      <c r="M3820" s="8" t="n"/>
      <c r="N3820" s="14" t="n"/>
      <c r="O3820" s="7" t="inlineStr"/>
      <c r="P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/>
      <c r="K3821" s="8" t="n"/>
      <c r="L3821" s="7" t="inlineStr">
        <is>
          <t>SEM COTAÇÃO</t>
        </is>
      </c>
      <c r="M3821" s="8" t="n"/>
      <c r="N3821" s="14" t="n"/>
      <c r="O3821" s="7" t="inlineStr"/>
      <c r="P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/>
      <c r="K3822" s="8" t="n"/>
      <c r="L3822" s="7" t="inlineStr">
        <is>
          <t>SEM COTAÇÃO</t>
        </is>
      </c>
      <c r="M3822" s="8" t="n"/>
      <c r="N3822" s="14" t="n"/>
      <c r="O3822" s="7" t="inlineStr"/>
      <c r="P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/>
      <c r="K3823" s="8" t="n"/>
      <c r="L3823" s="7" t="inlineStr">
        <is>
          <t>SEM COTAÇÃO</t>
        </is>
      </c>
      <c r="M3823" s="8" t="n"/>
      <c r="N3823" s="14" t="n"/>
      <c r="O3823" s="7" t="inlineStr"/>
      <c r="P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/>
      <c r="K3824" s="8" t="n"/>
      <c r="L3824" s="7" t="inlineStr">
        <is>
          <t>SEM COTAÇÃO</t>
        </is>
      </c>
      <c r="M3824" s="8" t="n"/>
      <c r="N3824" s="14" t="n"/>
      <c r="O3824" s="7" t="inlineStr"/>
      <c r="P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/>
      <c r="K3825" s="8" t="n"/>
      <c r="L3825" s="7" t="inlineStr">
        <is>
          <t>SEM COTAÇÃO</t>
        </is>
      </c>
      <c r="M3825" s="8" t="n"/>
      <c r="N3825" s="14" t="n"/>
      <c r="O3825" s="7" t="inlineStr"/>
      <c r="P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/>
      <c r="K3826" s="8" t="n"/>
      <c r="L3826" s="7" t="inlineStr">
        <is>
          <t>SEM COTAÇÃO</t>
        </is>
      </c>
      <c r="M3826" s="8" t="n"/>
      <c r="N3826" s="14" t="n"/>
      <c r="O3826" s="7" t="inlineStr"/>
      <c r="P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/>
      <c r="K3827" s="8" t="n"/>
      <c r="L3827" s="7" t="inlineStr">
        <is>
          <t>SEM COTAÇÃO</t>
        </is>
      </c>
      <c r="M3827" s="8" t="n"/>
      <c r="N3827" s="14" t="n"/>
      <c r="O3827" s="7" t="inlineStr"/>
      <c r="P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/>
      <c r="K3828" s="8" t="n"/>
      <c r="L3828" s="7" t="inlineStr">
        <is>
          <t>SEM COTAÇÃO</t>
        </is>
      </c>
      <c r="M3828" s="8" t="n"/>
      <c r="N3828" s="14" t="n"/>
      <c r="O3828" s="7" t="inlineStr"/>
      <c r="P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/>
      <c r="K3829" s="8" t="n"/>
      <c r="L3829" s="7" t="inlineStr">
        <is>
          <t>SEM COTAÇÃO</t>
        </is>
      </c>
      <c r="M3829" s="8" t="n"/>
      <c r="N3829" s="14" t="n"/>
      <c r="O3829" s="7" t="inlineStr"/>
      <c r="P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/>
      <c r="K3830" s="8" t="n"/>
      <c r="L3830" s="7" t="inlineStr">
        <is>
          <t>SEM COTAÇÃO</t>
        </is>
      </c>
      <c r="M3830" s="8" t="n"/>
      <c r="N3830" s="14" t="n"/>
      <c r="O3830" s="7" t="inlineStr"/>
      <c r="P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/>
      <c r="K3831" s="8" t="n"/>
      <c r="L3831" s="7" t="inlineStr">
        <is>
          <t>SEM COTAÇÃO</t>
        </is>
      </c>
      <c r="M3831" s="8" t="n"/>
      <c r="N3831" s="14" t="n"/>
      <c r="O3831" s="7" t="inlineStr"/>
      <c r="P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/>
      <c r="K3832" s="8" t="n"/>
      <c r="L3832" s="7" t="inlineStr">
        <is>
          <t>SEM COTAÇÃO</t>
        </is>
      </c>
      <c r="M3832" s="8" t="n"/>
      <c r="N3832" s="14" t="n"/>
      <c r="O3832" s="7" t="inlineStr"/>
      <c r="P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/>
      <c r="K3833" s="8" t="n"/>
      <c r="L3833" s="7" t="inlineStr">
        <is>
          <t>SEM COTAÇÃO</t>
        </is>
      </c>
      <c r="M3833" s="8" t="n"/>
      <c r="N3833" s="14" t="n"/>
      <c r="O3833" s="7" t="inlineStr"/>
      <c r="P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/>
      <c r="K3834" s="8" t="n"/>
      <c r="L3834" s="7" t="inlineStr">
        <is>
          <t>SEM COTAÇÃO</t>
        </is>
      </c>
      <c r="M3834" s="8" t="n"/>
      <c r="N3834" s="14" t="n"/>
      <c r="O3834" s="7" t="inlineStr"/>
      <c r="P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/>
      <c r="K3835" s="8" t="n"/>
      <c r="L3835" s="7" t="inlineStr">
        <is>
          <t>SEM COTAÇÃO</t>
        </is>
      </c>
      <c r="M3835" s="8" t="n"/>
      <c r="N3835" s="14" t="n"/>
      <c r="O3835" s="7" t="inlineStr"/>
      <c r="P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/>
      <c r="K3836" s="8" t="n"/>
      <c r="L3836" s="7" t="inlineStr">
        <is>
          <t>SEM COTAÇÃO</t>
        </is>
      </c>
      <c r="M3836" s="8" t="n"/>
      <c r="N3836" s="14" t="n"/>
      <c r="O3836" s="7" t="inlineStr"/>
      <c r="P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/>
      <c r="K3837" s="8" t="n"/>
      <c r="L3837" s="7" t="inlineStr">
        <is>
          <t>SEM COTAÇÃO</t>
        </is>
      </c>
      <c r="M3837" s="8" t="n"/>
      <c r="N3837" s="14" t="n"/>
      <c r="O3837" s="7" t="inlineStr"/>
      <c r="P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/>
      <c r="K3838" s="8" t="n"/>
      <c r="L3838" s="7" t="inlineStr">
        <is>
          <t>SEM COTAÇÃO</t>
        </is>
      </c>
      <c r="M3838" s="8" t="n"/>
      <c r="N3838" s="14" t="n"/>
      <c r="O3838" s="7" t="inlineStr"/>
      <c r="P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/>
      <c r="K3839" s="8" t="n"/>
      <c r="L3839" s="7" t="inlineStr">
        <is>
          <t>SEM COTAÇÃO</t>
        </is>
      </c>
      <c r="M3839" s="8" t="n"/>
      <c r="N3839" s="14" t="n"/>
      <c r="O3839" s="7" t="inlineStr"/>
      <c r="P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/>
      <c r="K3840" s="8" t="n"/>
      <c r="L3840" s="7" t="inlineStr">
        <is>
          <t>SEM COTAÇÃO</t>
        </is>
      </c>
      <c r="M3840" s="8" t="n"/>
      <c r="N3840" s="14" t="n"/>
      <c r="O3840" s="7" t="inlineStr"/>
      <c r="P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/>
      <c r="K3841" s="8" t="n"/>
      <c r="L3841" s="7" t="inlineStr">
        <is>
          <t>SEM COTAÇÃO</t>
        </is>
      </c>
      <c r="M3841" s="8" t="n"/>
      <c r="N3841" s="14" t="n"/>
      <c r="O3841" s="7" t="inlineStr"/>
      <c r="P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/>
      <c r="K3842" s="8" t="n"/>
      <c r="L3842" s="7" t="inlineStr">
        <is>
          <t>SEM COTAÇÃO</t>
        </is>
      </c>
      <c r="M3842" s="8" t="n"/>
      <c r="N3842" s="14" t="n"/>
      <c r="O3842" s="7" t="inlineStr"/>
      <c r="P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/>
      <c r="K3843" s="8" t="n"/>
      <c r="L3843" s="7" t="inlineStr">
        <is>
          <t>SEM COTAÇÃO</t>
        </is>
      </c>
      <c r="M3843" s="8" t="n"/>
      <c r="N3843" s="14" t="n"/>
      <c r="O3843" s="7" t="inlineStr"/>
      <c r="P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/>
      <c r="K3844" s="8" t="n"/>
      <c r="L3844" s="7" t="inlineStr">
        <is>
          <t>SEM COTAÇÃO</t>
        </is>
      </c>
      <c r="M3844" s="8" t="n"/>
      <c r="N3844" s="14" t="n"/>
      <c r="O3844" s="7" t="inlineStr"/>
      <c r="P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/>
      <c r="K3845" s="8" t="n"/>
      <c r="L3845" s="7" t="inlineStr">
        <is>
          <t>SEM COTAÇÃO</t>
        </is>
      </c>
      <c r="M3845" s="8" t="n"/>
      <c r="N3845" s="14" t="n"/>
      <c r="O3845" s="7" t="inlineStr"/>
      <c r="P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/>
      <c r="K3846" s="8" t="n"/>
      <c r="L3846" s="7" t="inlineStr">
        <is>
          <t>SEM COTAÇÃO</t>
        </is>
      </c>
      <c r="M3846" s="8" t="n"/>
      <c r="N3846" s="14" t="n"/>
      <c r="O3846" s="7" t="inlineStr"/>
      <c r="P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/>
      <c r="K3847" s="8" t="n"/>
      <c r="L3847" s="7" t="inlineStr">
        <is>
          <t>SEM COTAÇÃO</t>
        </is>
      </c>
      <c r="M3847" s="8" t="n"/>
      <c r="N3847" s="14" t="n"/>
      <c r="O3847" s="7" t="inlineStr"/>
      <c r="P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/>
      <c r="K3848" s="8" t="n"/>
      <c r="L3848" s="7" t="inlineStr">
        <is>
          <t>SEM COTAÇÃO</t>
        </is>
      </c>
      <c r="M3848" s="8" t="n"/>
      <c r="N3848" s="14" t="n"/>
      <c r="O3848" s="7" t="inlineStr"/>
      <c r="P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/>
      <c r="K3849" s="8" t="n"/>
      <c r="L3849" s="7" t="inlineStr">
        <is>
          <t>SEM COTAÇÃO</t>
        </is>
      </c>
      <c r="M3849" s="8" t="n"/>
      <c r="N3849" s="14" t="n"/>
      <c r="O3849" s="7" t="inlineStr"/>
      <c r="P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/>
      <c r="K3850" s="8" t="n"/>
      <c r="L3850" s="7" t="inlineStr">
        <is>
          <t>SEM COTAÇÃO</t>
        </is>
      </c>
      <c r="M3850" s="8" t="n"/>
      <c r="N3850" s="14" t="n"/>
      <c r="O3850" s="7" t="inlineStr"/>
      <c r="P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/>
      <c r="K3851" s="8" t="n"/>
      <c r="L3851" s="7" t="inlineStr">
        <is>
          <t>SEM COTAÇÃO</t>
        </is>
      </c>
      <c r="M3851" s="8" t="n"/>
      <c r="N3851" s="14" t="n"/>
      <c r="O3851" s="7" t="inlineStr"/>
      <c r="P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/>
      <c r="K3852" s="8" t="n"/>
      <c r="L3852" s="7" t="inlineStr">
        <is>
          <t>SEM COTAÇÃO</t>
        </is>
      </c>
      <c r="M3852" s="8" t="n"/>
      <c r="N3852" s="14" t="n"/>
      <c r="O3852" s="7" t="inlineStr"/>
      <c r="P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/>
      <c r="K3853" s="8" t="n"/>
      <c r="L3853" s="7" t="inlineStr">
        <is>
          <t>SEM COTAÇÃO</t>
        </is>
      </c>
      <c r="M3853" s="8" t="n"/>
      <c r="N3853" s="14" t="n"/>
      <c r="O3853" s="7" t="inlineStr"/>
      <c r="P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/>
      <c r="K3854" s="8" t="n"/>
      <c r="L3854" s="7" t="inlineStr">
        <is>
          <t>SEM COTAÇÃO</t>
        </is>
      </c>
      <c r="M3854" s="8" t="n"/>
      <c r="N3854" s="14" t="n"/>
      <c r="O3854" s="7" t="inlineStr"/>
      <c r="P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/>
      <c r="K3855" s="8" t="n"/>
      <c r="L3855" s="7" t="inlineStr">
        <is>
          <t>SEM COTAÇÃO</t>
        </is>
      </c>
      <c r="M3855" s="8" t="n"/>
      <c r="N3855" s="14" t="n"/>
      <c r="O3855" s="7" t="inlineStr"/>
      <c r="P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/>
      <c r="K3856" s="8" t="n"/>
      <c r="L3856" s="7" t="inlineStr">
        <is>
          <t>SEM COTAÇÃO</t>
        </is>
      </c>
      <c r="M3856" s="8" t="n"/>
      <c r="N3856" s="14" t="n"/>
      <c r="O3856" s="7" t="inlineStr"/>
      <c r="P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/>
      <c r="K3857" s="8" t="n"/>
      <c r="L3857" s="7" t="inlineStr">
        <is>
          <t>SEM COTAÇÃO</t>
        </is>
      </c>
      <c r="M3857" s="8" t="n"/>
      <c r="N3857" s="14" t="n"/>
      <c r="O3857" s="7" t="inlineStr"/>
      <c r="P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/>
      <c r="K3858" s="8" t="n"/>
      <c r="L3858" s="7" t="inlineStr">
        <is>
          <t>SEM COTAÇÃO</t>
        </is>
      </c>
      <c r="M3858" s="8" t="n"/>
      <c r="N3858" s="14" t="n"/>
      <c r="O3858" s="7" t="inlineStr"/>
      <c r="P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/>
      <c r="K3859" s="8" t="n"/>
      <c r="L3859" s="7" t="inlineStr">
        <is>
          <t>SEM COTAÇÃO</t>
        </is>
      </c>
      <c r="M3859" s="8" t="n"/>
      <c r="N3859" s="14" t="n"/>
      <c r="O3859" s="7" t="inlineStr"/>
      <c r="P3859" s="7" t="inlineStr"/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/>
      <c r="K3860" s="8" t="n"/>
      <c r="L3860" s="7" t="inlineStr">
        <is>
          <t>SEM COTAÇÃO</t>
        </is>
      </c>
      <c r="M3860" s="8" t="n"/>
      <c r="N3860" s="14" t="n"/>
      <c r="O3860" s="7" t="inlineStr"/>
      <c r="P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/>
      <c r="K3861" s="8" t="n"/>
      <c r="L3861" s="7" t="inlineStr">
        <is>
          <t>SEM COTAÇÃO</t>
        </is>
      </c>
      <c r="M3861" s="8" t="n"/>
      <c r="N3861" s="14" t="n"/>
      <c r="O3861" s="7" t="inlineStr"/>
      <c r="P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/>
      <c r="K3862" s="8" t="n"/>
      <c r="L3862" s="7" t="inlineStr">
        <is>
          <t>SEM COTAÇÃO</t>
        </is>
      </c>
      <c r="M3862" s="8" t="n"/>
      <c r="N3862" s="14" t="n"/>
      <c r="O3862" s="7" t="inlineStr"/>
      <c r="P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/>
      <c r="K3863" s="8" t="n"/>
      <c r="L3863" s="7" t="inlineStr">
        <is>
          <t>SEM COTAÇÃO</t>
        </is>
      </c>
      <c r="M3863" s="8" t="n"/>
      <c r="N3863" s="14" t="n"/>
      <c r="O3863" s="7" t="inlineStr"/>
      <c r="P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/>
      <c r="K3864" s="8" t="n"/>
      <c r="L3864" s="7" t="inlineStr">
        <is>
          <t>SEM COTAÇÃO</t>
        </is>
      </c>
      <c r="M3864" s="8" t="n"/>
      <c r="N3864" s="14" t="n"/>
      <c r="O3864" s="7" t="inlineStr"/>
      <c r="P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/>
      <c r="K3865" s="8" t="n"/>
      <c r="L3865" s="7" t="inlineStr">
        <is>
          <t>SEM COTAÇÃO</t>
        </is>
      </c>
      <c r="M3865" s="8" t="n"/>
      <c r="N3865" s="14" t="n"/>
      <c r="O3865" s="7" t="inlineStr"/>
      <c r="P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/>
      <c r="K3866" s="8" t="n"/>
      <c r="L3866" s="7" t="inlineStr">
        <is>
          <t>SEM COTAÇÃO</t>
        </is>
      </c>
      <c r="M3866" s="8" t="n"/>
      <c r="N3866" s="14" t="n"/>
      <c r="O3866" s="7" t="inlineStr"/>
      <c r="P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/>
      <c r="K3867" s="8" t="n"/>
      <c r="L3867" s="7" t="inlineStr">
        <is>
          <t>SEM COTAÇÃO</t>
        </is>
      </c>
      <c r="M3867" s="8" t="n"/>
      <c r="N3867" s="14" t="n"/>
      <c r="O3867" s="7" t="inlineStr"/>
      <c r="P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/>
      <c r="K3868" s="8" t="n"/>
      <c r="L3868" s="7" t="inlineStr">
        <is>
          <t>SEM COTAÇÃO</t>
        </is>
      </c>
      <c r="M3868" s="8" t="n"/>
      <c r="N3868" s="14" t="n"/>
      <c r="O3868" s="7" t="inlineStr"/>
      <c r="P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/>
      <c r="K3869" s="8" t="n"/>
      <c r="L3869" s="7" t="inlineStr">
        <is>
          <t>SEM COTAÇÃO</t>
        </is>
      </c>
      <c r="M3869" s="8" t="n"/>
      <c r="N3869" s="14" t="n"/>
      <c r="O3869" s="7" t="inlineStr"/>
      <c r="P3869" s="7" t="inlineStr"/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/>
      <c r="K3870" s="8" t="n"/>
      <c r="L3870" s="7" t="inlineStr">
        <is>
          <t>SEM COTAÇÃO</t>
        </is>
      </c>
      <c r="M3870" s="8" t="n"/>
      <c r="N3870" s="14" t="n"/>
      <c r="O3870" s="7" t="inlineStr"/>
      <c r="P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/>
      <c r="K3871" s="8" t="n"/>
      <c r="L3871" s="7" t="inlineStr">
        <is>
          <t>SEM COTAÇÃO</t>
        </is>
      </c>
      <c r="M3871" s="8" t="n"/>
      <c r="N3871" s="14" t="n"/>
      <c r="O3871" s="7" t="inlineStr"/>
      <c r="P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/>
      <c r="K3872" s="8" t="n"/>
      <c r="L3872" s="7" t="inlineStr">
        <is>
          <t>SEM COTAÇÃO</t>
        </is>
      </c>
      <c r="M3872" s="8" t="n"/>
      <c r="N3872" s="14" t="n"/>
      <c r="O3872" s="7" t="inlineStr"/>
      <c r="P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/>
      <c r="K3873" s="8" t="n"/>
      <c r="L3873" s="7" t="inlineStr">
        <is>
          <t>SEM COTAÇÃO</t>
        </is>
      </c>
      <c r="M3873" s="8" t="n"/>
      <c r="N3873" s="14" t="n"/>
      <c r="O3873" s="7" t="inlineStr"/>
      <c r="P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/>
      <c r="K3874" s="8" t="n"/>
      <c r="L3874" s="7" t="inlineStr">
        <is>
          <t>SEM COTAÇÃO</t>
        </is>
      </c>
      <c r="M3874" s="8" t="n"/>
      <c r="N3874" s="14" t="n"/>
      <c r="O3874" s="7" t="inlineStr"/>
      <c r="P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/>
      <c r="K3875" s="8" t="n"/>
      <c r="L3875" s="7" t="inlineStr">
        <is>
          <t>SEM COTAÇÃO</t>
        </is>
      </c>
      <c r="M3875" s="8" t="n"/>
      <c r="N3875" s="14" t="n"/>
      <c r="O3875" s="7" t="inlineStr"/>
      <c r="P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/>
      <c r="K3876" s="8" t="n"/>
      <c r="L3876" s="7" t="inlineStr">
        <is>
          <t>SEM COTAÇÃO</t>
        </is>
      </c>
      <c r="M3876" s="8" t="n"/>
      <c r="N3876" s="14" t="n"/>
      <c r="O3876" s="7" t="inlineStr"/>
      <c r="P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/>
      <c r="K3877" s="8" t="n"/>
      <c r="L3877" s="7" t="inlineStr">
        <is>
          <t>SEM COTAÇÃO</t>
        </is>
      </c>
      <c r="M3877" s="8" t="n"/>
      <c r="N3877" s="14" t="n"/>
      <c r="O3877" s="7" t="inlineStr"/>
      <c r="P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/>
      <c r="K3878" s="8" t="n"/>
      <c r="L3878" s="7" t="inlineStr">
        <is>
          <t>SEM COTAÇÃO</t>
        </is>
      </c>
      <c r="M3878" s="8" t="n"/>
      <c r="N3878" s="14" t="n"/>
      <c r="O3878" s="7" t="inlineStr"/>
      <c r="P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/>
      <c r="K3879" s="8" t="n"/>
      <c r="L3879" s="7" t="inlineStr">
        <is>
          <t>SEM COTAÇÃO</t>
        </is>
      </c>
      <c r="M3879" s="8" t="n"/>
      <c r="N3879" s="14" t="n"/>
      <c r="O3879" s="7" t="inlineStr"/>
      <c r="P3879" s="7" t="inlineStr"/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/>
      <c r="K3880" s="8" t="n"/>
      <c r="L3880" s="7" t="inlineStr">
        <is>
          <t>SEM COTAÇÃO</t>
        </is>
      </c>
      <c r="M3880" s="8" t="n"/>
      <c r="N3880" s="14" t="n"/>
      <c r="O3880" s="7" t="inlineStr"/>
      <c r="P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/>
      <c r="K3881" s="8" t="n"/>
      <c r="L3881" s="7" t="inlineStr">
        <is>
          <t>SEM COTAÇÃO</t>
        </is>
      </c>
      <c r="M3881" s="8" t="n"/>
      <c r="N3881" s="14" t="n"/>
      <c r="O3881" s="7" t="inlineStr"/>
      <c r="P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/>
      <c r="K3882" s="8" t="n"/>
      <c r="L3882" s="7" t="inlineStr">
        <is>
          <t>SEM COTAÇÃO</t>
        </is>
      </c>
      <c r="M3882" s="8" t="n"/>
      <c r="N3882" s="14" t="n"/>
      <c r="O3882" s="7" t="inlineStr"/>
      <c r="P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/>
      <c r="K3883" s="8" t="n"/>
      <c r="L3883" s="7" t="inlineStr">
        <is>
          <t>SEM COTAÇÃO</t>
        </is>
      </c>
      <c r="M3883" s="8" t="n"/>
      <c r="N3883" s="14" t="n"/>
      <c r="O3883" s="7" t="inlineStr"/>
      <c r="P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/>
      <c r="K3884" s="8" t="n"/>
      <c r="L3884" s="7" t="inlineStr">
        <is>
          <t>SEM COTAÇÃO</t>
        </is>
      </c>
      <c r="M3884" s="8" t="n"/>
      <c r="N3884" s="14" t="n"/>
      <c r="O3884" s="7" t="inlineStr"/>
      <c r="P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/>
      <c r="K3885" s="8" t="n"/>
      <c r="L3885" s="7" t="inlineStr">
        <is>
          <t>SEM COTAÇÃO</t>
        </is>
      </c>
      <c r="M3885" s="8" t="n"/>
      <c r="N3885" s="14" t="n"/>
      <c r="O3885" s="7" t="inlineStr"/>
      <c r="P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/>
      <c r="K3886" s="8" t="n"/>
      <c r="L3886" s="7" t="inlineStr">
        <is>
          <t>SEM COTAÇÃO</t>
        </is>
      </c>
      <c r="M3886" s="8" t="n"/>
      <c r="N3886" s="14" t="n"/>
      <c r="O3886" s="7" t="inlineStr"/>
      <c r="P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/>
      <c r="K3887" s="8" t="n"/>
      <c r="L3887" s="7" t="inlineStr">
        <is>
          <t>SEM COTAÇÃO</t>
        </is>
      </c>
      <c r="M3887" s="8" t="n"/>
      <c r="N3887" s="14" t="n"/>
      <c r="O3887" s="7" t="inlineStr"/>
      <c r="P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/>
      <c r="K3888" s="8" t="n"/>
      <c r="L3888" s="7" t="inlineStr">
        <is>
          <t>SEM COTAÇÃO</t>
        </is>
      </c>
      <c r="M3888" s="8" t="n"/>
      <c r="N3888" s="14" t="n"/>
      <c r="O3888" s="7" t="inlineStr"/>
      <c r="P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/>
      <c r="K3889" s="8" t="n"/>
      <c r="L3889" s="7" t="inlineStr">
        <is>
          <t>SEM COTAÇÃO</t>
        </is>
      </c>
      <c r="M3889" s="8" t="n"/>
      <c r="N3889" s="14" t="n"/>
      <c r="O3889" s="7" t="inlineStr"/>
      <c r="P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/>
      <c r="K3890" s="8" t="n"/>
      <c r="L3890" s="7" t="inlineStr">
        <is>
          <t>SEM COTAÇÃO</t>
        </is>
      </c>
      <c r="M3890" s="8" t="n"/>
      <c r="N3890" s="14" t="n"/>
      <c r="O3890" s="7" t="inlineStr"/>
      <c r="P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/>
      <c r="K3891" s="8" t="n"/>
      <c r="L3891" s="7" t="inlineStr">
        <is>
          <t>SEM COTAÇÃO</t>
        </is>
      </c>
      <c r="M3891" s="8" t="n"/>
      <c r="N3891" s="14" t="n"/>
      <c r="O3891" s="7" t="inlineStr"/>
      <c r="P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/>
      <c r="K3892" s="8" t="n"/>
      <c r="L3892" s="7" t="inlineStr">
        <is>
          <t>SEM COTAÇÃO</t>
        </is>
      </c>
      <c r="M3892" s="8" t="n"/>
      <c r="N3892" s="14" t="n"/>
      <c r="O3892" s="7" t="inlineStr"/>
      <c r="P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/>
      <c r="K3893" s="8" t="n"/>
      <c r="L3893" s="7" t="inlineStr">
        <is>
          <t>SEM COTAÇÃO</t>
        </is>
      </c>
      <c r="M3893" s="8" t="n"/>
      <c r="N3893" s="14" t="n"/>
      <c r="O3893" s="7" t="inlineStr"/>
      <c r="P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/>
      <c r="K3894" s="8" t="n"/>
      <c r="L3894" s="7" t="inlineStr">
        <is>
          <t>SEM COTAÇÃO</t>
        </is>
      </c>
      <c r="M3894" s="8" t="n"/>
      <c r="N3894" s="14" t="n"/>
      <c r="O3894" s="7" t="inlineStr"/>
      <c r="P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/>
      <c r="K3895" s="8" t="n"/>
      <c r="L3895" s="7" t="inlineStr">
        <is>
          <t>SEM COTAÇÃO</t>
        </is>
      </c>
      <c r="M3895" s="8" t="n"/>
      <c r="N3895" s="14" t="n"/>
      <c r="O3895" s="7" t="inlineStr"/>
      <c r="P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/>
      <c r="K3896" s="8" t="n"/>
      <c r="L3896" s="7" t="inlineStr">
        <is>
          <t>SEM COTAÇÃO</t>
        </is>
      </c>
      <c r="M3896" s="8" t="n"/>
      <c r="N3896" s="14" t="n"/>
      <c r="O3896" s="7" t="inlineStr"/>
      <c r="P3896" s="7" t="inlineStr"/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/>
      <c r="K3897" s="8" t="n"/>
      <c r="L3897" s="7" t="inlineStr">
        <is>
          <t>SEM COTAÇÃO</t>
        </is>
      </c>
      <c r="M3897" s="8" t="n"/>
      <c r="N3897" s="14" t="n"/>
      <c r="O3897" s="7" t="inlineStr"/>
      <c r="P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/>
      <c r="K3898" s="8" t="n"/>
      <c r="L3898" s="7" t="inlineStr">
        <is>
          <t>SEM COTAÇÃO</t>
        </is>
      </c>
      <c r="M3898" s="8" t="n"/>
      <c r="N3898" s="14" t="n"/>
      <c r="O3898" s="7" t="inlineStr"/>
      <c r="P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/>
      <c r="K3899" s="8" t="n"/>
      <c r="L3899" s="7" t="inlineStr">
        <is>
          <t>SEM COTAÇÃO</t>
        </is>
      </c>
      <c r="M3899" s="8" t="n"/>
      <c r="N3899" s="14" t="n"/>
      <c r="O3899" s="7" t="inlineStr"/>
      <c r="P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/>
      <c r="K3900" s="8" t="n"/>
      <c r="L3900" s="7" t="inlineStr">
        <is>
          <t>SEM COTAÇÃO</t>
        </is>
      </c>
      <c r="M3900" s="8" t="n"/>
      <c r="N3900" s="14" t="n"/>
      <c r="O3900" s="7" t="inlineStr"/>
      <c r="P3900" s="7" t="inlineStr"/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/>
      <c r="K3901" s="8" t="n"/>
      <c r="L3901" s="7" t="inlineStr">
        <is>
          <t>SEM COTAÇÃO</t>
        </is>
      </c>
      <c r="M3901" s="8" t="n"/>
      <c r="N3901" s="14" t="n"/>
      <c r="O3901" s="7" t="inlineStr"/>
      <c r="P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/>
      <c r="K3902" s="8" t="n"/>
      <c r="L3902" s="7" t="inlineStr">
        <is>
          <t>SEM COTAÇÃO</t>
        </is>
      </c>
      <c r="M3902" s="8" t="n"/>
      <c r="N3902" s="14" t="n"/>
      <c r="O3902" s="7" t="inlineStr"/>
      <c r="P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/>
      <c r="K3903" s="8" t="n"/>
      <c r="L3903" s="7" t="inlineStr">
        <is>
          <t>SEM COTAÇÃO</t>
        </is>
      </c>
      <c r="M3903" s="8" t="n"/>
      <c r="N3903" s="14" t="n"/>
      <c r="O3903" s="7" t="inlineStr"/>
      <c r="P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/>
      <c r="K3904" s="8" t="n"/>
      <c r="L3904" s="7" t="inlineStr">
        <is>
          <t>SEM COTAÇÃO</t>
        </is>
      </c>
      <c r="M3904" s="8" t="n"/>
      <c r="N3904" s="14" t="n"/>
      <c r="O3904" s="7" t="inlineStr"/>
      <c r="P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/>
      <c r="K3905" s="8" t="n"/>
      <c r="L3905" s="7" t="inlineStr">
        <is>
          <t>SEM COTAÇÃO</t>
        </is>
      </c>
      <c r="M3905" s="8" t="n"/>
      <c r="N3905" s="14" t="n"/>
      <c r="O3905" s="7" t="inlineStr"/>
      <c r="P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/>
      <c r="K3906" s="8" t="n"/>
      <c r="L3906" s="7" t="inlineStr">
        <is>
          <t>SEM COTAÇÃO</t>
        </is>
      </c>
      <c r="M3906" s="8" t="n"/>
      <c r="N3906" s="14" t="n"/>
      <c r="O3906" s="7" t="inlineStr"/>
      <c r="P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/>
      <c r="K3907" s="8" t="n"/>
      <c r="L3907" s="7" t="inlineStr">
        <is>
          <t>SEM COTAÇÃO</t>
        </is>
      </c>
      <c r="M3907" s="8" t="n"/>
      <c r="N3907" s="14" t="n"/>
      <c r="O3907" s="7" t="inlineStr"/>
      <c r="P3907" s="7" t="inlineStr"/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/>
      <c r="K3908" s="8" t="n"/>
      <c r="L3908" s="7" t="inlineStr">
        <is>
          <t>SEM COTAÇÃO</t>
        </is>
      </c>
      <c r="M3908" s="8" t="n"/>
      <c r="N3908" s="14" t="n"/>
      <c r="O3908" s="7" t="inlineStr"/>
      <c r="P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/>
      <c r="K3909" s="8" t="n"/>
      <c r="L3909" s="7" t="inlineStr">
        <is>
          <t>SEM COTAÇÃO</t>
        </is>
      </c>
      <c r="M3909" s="8" t="n"/>
      <c r="N3909" s="14" t="n"/>
      <c r="O3909" s="7" t="inlineStr"/>
      <c r="P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/>
      <c r="K3910" s="8" t="n"/>
      <c r="L3910" s="7" t="inlineStr">
        <is>
          <t>SEM COTAÇÃO</t>
        </is>
      </c>
      <c r="M3910" s="8" t="n"/>
      <c r="N3910" s="14" t="n"/>
      <c r="O3910" s="7" t="inlineStr"/>
      <c r="P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/>
      <c r="K3911" s="8" t="n"/>
      <c r="L3911" s="7" t="inlineStr">
        <is>
          <t>SEM COTAÇÃO</t>
        </is>
      </c>
      <c r="M3911" s="8" t="n"/>
      <c r="N3911" s="14" t="n"/>
      <c r="O3911" s="7" t="inlineStr"/>
      <c r="P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/>
      <c r="K3912" s="8" t="n"/>
      <c r="L3912" s="7" t="inlineStr">
        <is>
          <t>SEM COTAÇÃO</t>
        </is>
      </c>
      <c r="M3912" s="8" t="n"/>
      <c r="N3912" s="14" t="n"/>
      <c r="O3912" s="7" t="inlineStr"/>
      <c r="P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/>
      <c r="K3913" s="8" t="n"/>
      <c r="L3913" s="7" t="inlineStr">
        <is>
          <t>SEM COTAÇÃO</t>
        </is>
      </c>
      <c r="M3913" s="8" t="n"/>
      <c r="N3913" s="14" t="n"/>
      <c r="O3913" s="7" t="inlineStr"/>
      <c r="P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/>
      <c r="K3914" s="8" t="n"/>
      <c r="L3914" s="7" t="inlineStr">
        <is>
          <t>SEM COTAÇÃO</t>
        </is>
      </c>
      <c r="M3914" s="8" t="n"/>
      <c r="N3914" s="14" t="n"/>
      <c r="O3914" s="7" t="inlineStr"/>
      <c r="P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/>
      <c r="K3915" s="8" t="n"/>
      <c r="L3915" s="7" t="inlineStr">
        <is>
          <t>SEM COTAÇÃO</t>
        </is>
      </c>
      <c r="M3915" s="8" t="n"/>
      <c r="N3915" s="14" t="n"/>
      <c r="O3915" s="7" t="inlineStr"/>
      <c r="P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/>
      <c r="K3916" s="8" t="n"/>
      <c r="L3916" s="7" t="inlineStr">
        <is>
          <t>SEM COTAÇÃO</t>
        </is>
      </c>
      <c r="M3916" s="8" t="n"/>
      <c r="N3916" s="14" t="n"/>
      <c r="O3916" s="7" t="inlineStr"/>
      <c r="P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15" t="n">
        <v>3.33</v>
      </c>
      <c r="K3917" s="8" t="n"/>
      <c r="L3917" s="7" t="inlineStr">
        <is>
          <t>DIMEC</t>
        </is>
      </c>
      <c r="M3917" s="8" t="n">
        <v>3.33</v>
      </c>
      <c r="N3917" s="14">
        <f>M3917/H3917-1</f>
        <v/>
      </c>
      <c r="O3917" s="17" t="inlineStr">
        <is>
          <t>OK (≤ menor hist.)</t>
        </is>
      </c>
      <c r="P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/>
      <c r="K3918" s="8" t="n"/>
      <c r="L3918" s="7" t="inlineStr">
        <is>
          <t>SEM COTAÇÃO</t>
        </is>
      </c>
      <c r="M3918" s="8" t="n"/>
      <c r="N3918" s="14" t="n"/>
      <c r="O3918" s="7" t="inlineStr"/>
      <c r="P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/>
      <c r="K3919" s="8" t="n"/>
      <c r="L3919" s="7" t="inlineStr">
        <is>
          <t>SEM COTAÇÃO</t>
        </is>
      </c>
      <c r="M3919" s="8" t="n"/>
      <c r="N3919" s="14" t="n"/>
      <c r="O3919" s="7" t="inlineStr"/>
      <c r="P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/>
      <c r="K3920" s="8" t="n"/>
      <c r="L3920" s="7" t="inlineStr">
        <is>
          <t>SEM COTAÇÃO</t>
        </is>
      </c>
      <c r="M3920" s="8" t="n"/>
      <c r="N3920" s="14" t="n"/>
      <c r="O3920" s="7" t="inlineStr"/>
      <c r="P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/>
      <c r="K3921" s="8" t="n"/>
      <c r="L3921" s="7" t="inlineStr">
        <is>
          <t>SEM COTAÇÃO</t>
        </is>
      </c>
      <c r="M3921" s="8" t="n"/>
      <c r="N3921" s="14" t="n"/>
      <c r="O3921" s="7" t="inlineStr"/>
      <c r="P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15" t="n">
        <v>3.36</v>
      </c>
      <c r="K3922" s="8" t="n"/>
      <c r="L3922" s="7" t="inlineStr">
        <is>
          <t>DIMEC</t>
        </is>
      </c>
      <c r="M3922" s="8" t="n">
        <v>3.36</v>
      </c>
      <c r="N3922" s="14">
        <f>M3922/H3922-1</f>
        <v/>
      </c>
      <c r="O3922" s="17" t="inlineStr">
        <is>
          <t>OK (≤ menor hist.)</t>
        </is>
      </c>
      <c r="P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/>
      <c r="K3923" s="8" t="n"/>
      <c r="L3923" s="7" t="inlineStr">
        <is>
          <t>SEM COTAÇÃO</t>
        </is>
      </c>
      <c r="M3923" s="8" t="n"/>
      <c r="N3923" s="14" t="n"/>
      <c r="O3923" s="7" t="inlineStr"/>
      <c r="P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/>
      <c r="K3924" s="8" t="n"/>
      <c r="L3924" s="7" t="inlineStr">
        <is>
          <t>SEM COTAÇÃO</t>
        </is>
      </c>
      <c r="M3924" s="8" t="n"/>
      <c r="N3924" s="14" t="n"/>
      <c r="O3924" s="7" t="inlineStr"/>
      <c r="P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/>
      <c r="K3925" s="8" t="n"/>
      <c r="L3925" s="7" t="inlineStr">
        <is>
          <t>SEM COTAÇÃO</t>
        </is>
      </c>
      <c r="M3925" s="8" t="n"/>
      <c r="N3925" s="14" t="n"/>
      <c r="O3925" s="7" t="inlineStr"/>
      <c r="P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/>
      <c r="K3926" s="8" t="n"/>
      <c r="L3926" s="7" t="inlineStr">
        <is>
          <t>SEM COTAÇÃO</t>
        </is>
      </c>
      <c r="M3926" s="8" t="n"/>
      <c r="N3926" s="14" t="n"/>
      <c r="O3926" s="7" t="inlineStr"/>
      <c r="P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/>
      <c r="K3927" s="8" t="n"/>
      <c r="L3927" s="7" t="inlineStr">
        <is>
          <t>SEM COTAÇÃO</t>
        </is>
      </c>
      <c r="M3927" s="8" t="n"/>
      <c r="N3927" s="14" t="n"/>
      <c r="O3927" s="7" t="inlineStr"/>
      <c r="P3927" s="7" t="inlineStr"/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7" t="inlineStr">
        <is>
          <t>SEM COTAÇÃO</t>
        </is>
      </c>
      <c r="M3928" s="8" t="n"/>
      <c r="N3928" s="14" t="n"/>
      <c r="O3928" s="7" t="inlineStr"/>
      <c r="P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/>
      <c r="K3929" s="8" t="n"/>
      <c r="L3929" s="7" t="inlineStr">
        <is>
          <t>SEM COTAÇÃO</t>
        </is>
      </c>
      <c r="M3929" s="8" t="n"/>
      <c r="N3929" s="14" t="n"/>
      <c r="O3929" s="7" t="inlineStr"/>
      <c r="P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/>
      <c r="K3930" s="8" t="n"/>
      <c r="L3930" s="7" t="inlineStr">
        <is>
          <t>SEM COTAÇÃO</t>
        </is>
      </c>
      <c r="M3930" s="8" t="n"/>
      <c r="N3930" s="14" t="n"/>
      <c r="O3930" s="7" t="inlineStr"/>
      <c r="P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/>
      <c r="K3931" s="8" t="n"/>
      <c r="L3931" s="7" t="inlineStr">
        <is>
          <t>SEM COTAÇÃO</t>
        </is>
      </c>
      <c r="M3931" s="8" t="n"/>
      <c r="N3931" s="14" t="n"/>
      <c r="O3931" s="7" t="inlineStr"/>
      <c r="P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/>
      <c r="K3932" s="8" t="n"/>
      <c r="L3932" s="7" t="inlineStr">
        <is>
          <t>SEM COTAÇÃO</t>
        </is>
      </c>
      <c r="M3932" s="8" t="n"/>
      <c r="N3932" s="14" t="n"/>
      <c r="O3932" s="7" t="inlineStr"/>
      <c r="P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/>
      <c r="K3933" s="8" t="n"/>
      <c r="L3933" s="7" t="inlineStr">
        <is>
          <t>SEM COTAÇÃO</t>
        </is>
      </c>
      <c r="M3933" s="8" t="n"/>
      <c r="N3933" s="14" t="n"/>
      <c r="O3933" s="7" t="inlineStr"/>
      <c r="P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7" t="inlineStr">
        <is>
          <t>SEM COTAÇÃO</t>
        </is>
      </c>
      <c r="M3934" s="8" t="n"/>
      <c r="N3934" s="14" t="n"/>
      <c r="O3934" s="7" t="inlineStr"/>
      <c r="P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15" t="n">
        <v>2.36</v>
      </c>
      <c r="K3935" s="8" t="n"/>
      <c r="L3935" s="7" t="inlineStr">
        <is>
          <t>DIMEC</t>
        </is>
      </c>
      <c r="M3935" s="8" t="n">
        <v>2.36</v>
      </c>
      <c r="N3935" s="14">
        <f>M3935/H3935-1</f>
        <v/>
      </c>
      <c r="O3935" s="17" t="inlineStr">
        <is>
          <t>OK (≤ últ. compra)</t>
        </is>
      </c>
      <c r="P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/>
      <c r="K3936" s="8" t="n"/>
      <c r="L3936" s="7" t="inlineStr">
        <is>
          <t>SEM COTAÇÃO</t>
        </is>
      </c>
      <c r="M3936" s="8" t="n"/>
      <c r="N3936" s="14" t="n"/>
      <c r="O3936" s="7" t="inlineStr"/>
      <c r="P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/>
      <c r="K3937" s="8" t="n"/>
      <c r="L3937" s="7" t="inlineStr">
        <is>
          <t>SEM COTAÇÃO</t>
        </is>
      </c>
      <c r="M3937" s="8" t="n"/>
      <c r="N3937" s="14" t="n"/>
      <c r="O3937" s="7" t="inlineStr"/>
      <c r="P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/>
      <c r="K3938" s="8" t="n"/>
      <c r="L3938" s="7" t="inlineStr">
        <is>
          <t>SEM COTAÇÃO</t>
        </is>
      </c>
      <c r="M3938" s="8" t="n"/>
      <c r="N3938" s="14" t="n"/>
      <c r="O3938" s="7" t="inlineStr"/>
      <c r="P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/>
      <c r="K3939" s="8" t="n"/>
      <c r="L3939" s="7" t="inlineStr">
        <is>
          <t>SEM COTAÇÃO</t>
        </is>
      </c>
      <c r="M3939" s="8" t="n"/>
      <c r="N3939" s="14" t="n"/>
      <c r="O3939" s="7" t="inlineStr"/>
      <c r="P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/>
      <c r="K3940" s="8" t="n"/>
      <c r="L3940" s="7" t="inlineStr">
        <is>
          <t>SEM COTAÇÃO</t>
        </is>
      </c>
      <c r="M3940" s="8" t="n"/>
      <c r="N3940" s="14" t="n"/>
      <c r="O3940" s="7" t="inlineStr"/>
      <c r="P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/>
      <c r="K3941" s="8" t="n"/>
      <c r="L3941" s="7" t="inlineStr">
        <is>
          <t>SEM COTAÇÃO</t>
        </is>
      </c>
      <c r="M3941" s="8" t="n"/>
      <c r="N3941" s="14" t="n"/>
      <c r="O3941" s="7" t="inlineStr"/>
      <c r="P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/>
      <c r="K3942" s="8" t="n"/>
      <c r="L3942" s="7" t="inlineStr">
        <is>
          <t>SEM COTAÇÃO</t>
        </is>
      </c>
      <c r="M3942" s="8" t="n"/>
      <c r="N3942" s="14" t="n"/>
      <c r="O3942" s="7" t="inlineStr"/>
      <c r="P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/>
      <c r="K3943" s="8" t="n"/>
      <c r="L3943" s="7" t="inlineStr">
        <is>
          <t>SEM COTAÇÃO</t>
        </is>
      </c>
      <c r="M3943" s="8" t="n"/>
      <c r="N3943" s="14" t="n"/>
      <c r="O3943" s="7" t="inlineStr"/>
      <c r="P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/>
      <c r="K3944" s="8" t="n"/>
      <c r="L3944" s="7" t="inlineStr">
        <is>
          <t>SEM COTAÇÃO</t>
        </is>
      </c>
      <c r="M3944" s="8" t="n"/>
      <c r="N3944" s="14" t="n"/>
      <c r="O3944" s="7" t="inlineStr"/>
      <c r="P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/>
      <c r="K3945" s="8" t="n"/>
      <c r="L3945" s="7" t="inlineStr">
        <is>
          <t>SEM COTAÇÃO</t>
        </is>
      </c>
      <c r="M3945" s="8" t="n"/>
      <c r="N3945" s="14" t="n"/>
      <c r="O3945" s="7" t="inlineStr"/>
      <c r="P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/>
      <c r="K3946" s="8" t="n"/>
      <c r="L3946" s="7" t="inlineStr">
        <is>
          <t>SEM COTAÇÃO</t>
        </is>
      </c>
      <c r="M3946" s="8" t="n"/>
      <c r="N3946" s="14" t="n"/>
      <c r="O3946" s="7" t="inlineStr"/>
      <c r="P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/>
      <c r="K3947" s="8" t="n"/>
      <c r="L3947" s="7" t="inlineStr">
        <is>
          <t>SEM COTAÇÃO</t>
        </is>
      </c>
      <c r="M3947" s="8" t="n"/>
      <c r="N3947" s="14" t="n"/>
      <c r="O3947" s="7" t="inlineStr"/>
      <c r="P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/>
      <c r="K3948" s="8" t="n"/>
      <c r="L3948" s="7" t="inlineStr">
        <is>
          <t>SEM COTAÇÃO</t>
        </is>
      </c>
      <c r="M3948" s="8" t="n"/>
      <c r="N3948" s="14" t="n"/>
      <c r="O3948" s="7" t="inlineStr"/>
      <c r="P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/>
      <c r="K3949" s="8" t="n"/>
      <c r="L3949" s="7" t="inlineStr">
        <is>
          <t>SEM COTAÇÃO</t>
        </is>
      </c>
      <c r="M3949" s="8" t="n"/>
      <c r="N3949" s="14" t="n"/>
      <c r="O3949" s="7" t="inlineStr"/>
      <c r="P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/>
      <c r="K3950" s="8" t="n"/>
      <c r="L3950" s="7" t="inlineStr">
        <is>
          <t>SEM COTAÇÃO</t>
        </is>
      </c>
      <c r="M3950" s="8" t="n"/>
      <c r="N3950" s="14" t="n"/>
      <c r="O3950" s="7" t="inlineStr"/>
      <c r="P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/>
      <c r="K3951" s="8" t="n"/>
      <c r="L3951" s="7" t="inlineStr">
        <is>
          <t>SEM COTAÇÃO</t>
        </is>
      </c>
      <c r="M3951" s="8" t="n"/>
      <c r="N3951" s="14" t="n"/>
      <c r="O3951" s="7" t="inlineStr"/>
      <c r="P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/>
      <c r="K3952" s="8" t="n"/>
      <c r="L3952" s="7" t="inlineStr">
        <is>
          <t>SEM COTAÇÃO</t>
        </is>
      </c>
      <c r="M3952" s="8" t="n"/>
      <c r="N3952" s="14" t="n"/>
      <c r="O3952" s="7" t="inlineStr"/>
      <c r="P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/>
      <c r="K3953" s="8" t="n"/>
      <c r="L3953" s="7" t="inlineStr">
        <is>
          <t>SEM COTAÇÃO</t>
        </is>
      </c>
      <c r="M3953" s="8" t="n"/>
      <c r="N3953" s="14" t="n"/>
      <c r="O3953" s="7" t="inlineStr"/>
      <c r="P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/>
      <c r="K3954" s="8" t="n"/>
      <c r="L3954" s="7" t="inlineStr">
        <is>
          <t>SEM COTAÇÃO</t>
        </is>
      </c>
      <c r="M3954" s="8" t="n"/>
      <c r="N3954" s="14" t="n"/>
      <c r="O3954" s="7" t="inlineStr"/>
      <c r="P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/>
      <c r="K3955" s="8" t="n"/>
      <c r="L3955" s="7" t="inlineStr">
        <is>
          <t>SEM COTAÇÃO</t>
        </is>
      </c>
      <c r="M3955" s="8" t="n"/>
      <c r="N3955" s="14" t="n"/>
      <c r="O3955" s="7" t="inlineStr"/>
      <c r="P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/>
      <c r="K3956" s="8" t="n"/>
      <c r="L3956" s="7" t="inlineStr">
        <is>
          <t>SEM COTAÇÃO</t>
        </is>
      </c>
      <c r="M3956" s="8" t="n"/>
      <c r="N3956" s="14" t="n"/>
      <c r="O3956" s="7" t="inlineStr"/>
      <c r="P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/>
      <c r="K3957" s="8" t="n"/>
      <c r="L3957" s="7" t="inlineStr">
        <is>
          <t>SEM COTAÇÃO</t>
        </is>
      </c>
      <c r="M3957" s="8" t="n"/>
      <c r="N3957" s="14" t="n"/>
      <c r="O3957" s="7" t="inlineStr"/>
      <c r="P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/>
      <c r="K3958" s="8" t="n"/>
      <c r="L3958" s="7" t="inlineStr">
        <is>
          <t>SEM COTAÇÃO</t>
        </is>
      </c>
      <c r="M3958" s="8" t="n"/>
      <c r="N3958" s="14" t="n"/>
      <c r="O3958" s="7" t="inlineStr"/>
      <c r="P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/>
      <c r="K3959" s="8" t="n"/>
      <c r="L3959" s="7" t="inlineStr">
        <is>
          <t>SEM COTAÇÃO</t>
        </is>
      </c>
      <c r="M3959" s="8" t="n"/>
      <c r="N3959" s="14" t="n"/>
      <c r="O3959" s="7" t="inlineStr"/>
      <c r="P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/>
      <c r="K3960" s="8" t="n"/>
      <c r="L3960" s="7" t="inlineStr">
        <is>
          <t>SEM COTAÇÃO</t>
        </is>
      </c>
      <c r="M3960" s="8" t="n"/>
      <c r="N3960" s="14" t="n"/>
      <c r="O3960" s="7" t="inlineStr"/>
      <c r="P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/>
      <c r="K3961" s="8" t="n"/>
      <c r="L3961" s="7" t="inlineStr">
        <is>
          <t>SEM COTAÇÃO</t>
        </is>
      </c>
      <c r="M3961" s="8" t="n"/>
      <c r="N3961" s="14" t="n"/>
      <c r="O3961" s="7" t="inlineStr"/>
      <c r="P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/>
      <c r="K3962" s="8" t="n"/>
      <c r="L3962" s="7" t="inlineStr">
        <is>
          <t>SEM COTAÇÃO</t>
        </is>
      </c>
      <c r="M3962" s="8" t="n"/>
      <c r="N3962" s="14" t="n"/>
      <c r="O3962" s="7" t="inlineStr"/>
      <c r="P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/>
      <c r="K3963" s="8" t="n"/>
      <c r="L3963" s="7" t="inlineStr">
        <is>
          <t>SEM COTAÇÃO</t>
        </is>
      </c>
      <c r="M3963" s="8" t="n"/>
      <c r="N3963" s="14" t="n"/>
      <c r="O3963" s="7" t="inlineStr"/>
      <c r="P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/>
      <c r="K3964" s="8" t="n"/>
      <c r="L3964" s="7" t="inlineStr">
        <is>
          <t>SEM COTAÇÃO</t>
        </is>
      </c>
      <c r="M3964" s="8" t="n"/>
      <c r="N3964" s="14" t="n"/>
      <c r="O3964" s="7" t="inlineStr"/>
      <c r="P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/>
      <c r="K3965" s="8" t="n"/>
      <c r="L3965" s="7" t="inlineStr">
        <is>
          <t>SEM COTAÇÃO</t>
        </is>
      </c>
      <c r="M3965" s="8" t="n"/>
      <c r="N3965" s="14" t="n"/>
      <c r="O3965" s="7" t="inlineStr"/>
      <c r="P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/>
      <c r="K3966" s="8" t="n"/>
      <c r="L3966" s="7" t="inlineStr">
        <is>
          <t>SEM COTAÇÃO</t>
        </is>
      </c>
      <c r="M3966" s="8" t="n"/>
      <c r="N3966" s="14" t="n"/>
      <c r="O3966" s="7" t="inlineStr"/>
      <c r="P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/>
      <c r="K3967" s="8" t="n"/>
      <c r="L3967" s="7" t="inlineStr">
        <is>
          <t>SEM COTAÇÃO</t>
        </is>
      </c>
      <c r="M3967" s="8" t="n"/>
      <c r="N3967" s="14" t="n"/>
      <c r="O3967" s="7" t="inlineStr"/>
      <c r="P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/>
      <c r="K3968" s="8" t="n"/>
      <c r="L3968" s="7" t="inlineStr">
        <is>
          <t>SEM COTAÇÃO</t>
        </is>
      </c>
      <c r="M3968" s="8" t="n"/>
      <c r="N3968" s="14" t="n"/>
      <c r="O3968" s="7" t="inlineStr"/>
      <c r="P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/>
      <c r="K3969" s="8" t="n"/>
      <c r="L3969" s="7" t="inlineStr">
        <is>
          <t>SEM COTAÇÃO</t>
        </is>
      </c>
      <c r="M3969" s="8" t="n"/>
      <c r="N3969" s="14" t="n"/>
      <c r="O3969" s="7" t="inlineStr"/>
      <c r="P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/>
      <c r="K3970" s="8" t="n"/>
      <c r="L3970" s="7" t="inlineStr">
        <is>
          <t>SEM COTAÇÃO</t>
        </is>
      </c>
      <c r="M3970" s="8" t="n"/>
      <c r="N3970" s="14" t="n"/>
      <c r="O3970" s="7" t="inlineStr"/>
      <c r="P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/>
      <c r="K3971" s="8" t="n"/>
      <c r="L3971" s="7" t="inlineStr">
        <is>
          <t>SEM COTAÇÃO</t>
        </is>
      </c>
      <c r="M3971" s="8" t="n"/>
      <c r="N3971" s="14" t="n"/>
      <c r="O3971" s="7" t="inlineStr"/>
      <c r="P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/>
      <c r="K3972" s="8" t="n"/>
      <c r="L3972" s="7" t="inlineStr">
        <is>
          <t>SEM COTAÇÃO</t>
        </is>
      </c>
      <c r="M3972" s="8" t="n"/>
      <c r="N3972" s="14" t="n"/>
      <c r="O3972" s="7" t="inlineStr"/>
      <c r="P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/>
      <c r="K3973" s="8" t="n"/>
      <c r="L3973" s="7" t="inlineStr">
        <is>
          <t>SEM COTAÇÃO</t>
        </is>
      </c>
      <c r="M3973" s="8" t="n"/>
      <c r="N3973" s="14" t="n"/>
      <c r="O3973" s="7" t="inlineStr"/>
      <c r="P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/>
      <c r="K3974" s="8" t="n"/>
      <c r="L3974" s="7" t="inlineStr">
        <is>
          <t>SEM COTAÇÃO</t>
        </is>
      </c>
      <c r="M3974" s="8" t="n"/>
      <c r="N3974" s="14" t="n"/>
      <c r="O3974" s="7" t="inlineStr"/>
      <c r="P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/>
      <c r="K3975" s="8" t="n"/>
      <c r="L3975" s="7" t="inlineStr">
        <is>
          <t>SEM COTAÇÃO</t>
        </is>
      </c>
      <c r="M3975" s="8" t="n"/>
      <c r="N3975" s="14" t="n"/>
      <c r="O3975" s="7" t="inlineStr"/>
      <c r="P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/>
      <c r="K3976" s="8" t="n"/>
      <c r="L3976" s="7" t="inlineStr">
        <is>
          <t>SEM COTAÇÃO</t>
        </is>
      </c>
      <c r="M3976" s="8" t="n"/>
      <c r="N3976" s="14" t="n"/>
      <c r="O3976" s="7" t="inlineStr"/>
      <c r="P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/>
      <c r="K3977" s="8" t="n"/>
      <c r="L3977" s="7" t="inlineStr">
        <is>
          <t>SEM COTAÇÃO</t>
        </is>
      </c>
      <c r="M3977" s="8" t="n"/>
      <c r="N3977" s="14" t="n"/>
      <c r="O3977" s="7" t="inlineStr"/>
      <c r="P3977" s="7" t="inlineStr"/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/>
      <c r="K3978" s="8" t="n"/>
      <c r="L3978" s="7" t="inlineStr">
        <is>
          <t>SEM COTAÇÃO</t>
        </is>
      </c>
      <c r="M3978" s="8" t="n"/>
      <c r="N3978" s="14" t="n"/>
      <c r="O3978" s="7" t="inlineStr"/>
      <c r="P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/>
      <c r="K3979" s="8" t="n"/>
      <c r="L3979" s="7" t="inlineStr">
        <is>
          <t>SEM COTAÇÃO</t>
        </is>
      </c>
      <c r="M3979" s="8" t="n"/>
      <c r="N3979" s="14" t="n"/>
      <c r="O3979" s="7" t="inlineStr"/>
      <c r="P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/>
      <c r="K3980" s="8" t="n"/>
      <c r="L3980" s="7" t="inlineStr">
        <is>
          <t>SEM COTAÇÃO</t>
        </is>
      </c>
      <c r="M3980" s="8" t="n"/>
      <c r="N3980" s="14" t="n"/>
      <c r="O3980" s="7" t="inlineStr"/>
      <c r="P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/>
      <c r="K3981" s="8" t="n"/>
      <c r="L3981" s="7" t="inlineStr">
        <is>
          <t>SEM COTAÇÃO</t>
        </is>
      </c>
      <c r="M3981" s="8" t="n"/>
      <c r="N3981" s="14" t="n"/>
      <c r="O3981" s="7" t="inlineStr"/>
      <c r="P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/>
      <c r="K3982" s="8" t="n"/>
      <c r="L3982" s="7" t="inlineStr">
        <is>
          <t>SEM COTAÇÃO</t>
        </is>
      </c>
      <c r="M3982" s="8" t="n"/>
      <c r="N3982" s="14" t="n"/>
      <c r="O3982" s="7" t="inlineStr"/>
      <c r="P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/>
      <c r="K3983" s="8" t="n"/>
      <c r="L3983" s="7" t="inlineStr">
        <is>
          <t>SEM COTAÇÃO</t>
        </is>
      </c>
      <c r="M3983" s="8" t="n"/>
      <c r="N3983" s="14" t="n"/>
      <c r="O3983" s="7" t="inlineStr"/>
      <c r="P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/>
      <c r="K3984" s="8" t="n"/>
      <c r="L3984" s="7" t="inlineStr">
        <is>
          <t>SEM COTAÇÃO</t>
        </is>
      </c>
      <c r="M3984" s="8" t="n"/>
      <c r="N3984" s="14" t="n"/>
      <c r="O3984" s="7" t="inlineStr"/>
      <c r="P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/>
      <c r="K3985" s="8" t="n"/>
      <c r="L3985" s="7" t="inlineStr">
        <is>
          <t>SEM COTAÇÃO</t>
        </is>
      </c>
      <c r="M3985" s="8" t="n"/>
      <c r="N3985" s="14" t="n"/>
      <c r="O3985" s="7" t="inlineStr"/>
      <c r="P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/>
      <c r="K3986" s="8" t="n"/>
      <c r="L3986" s="7" t="inlineStr">
        <is>
          <t>SEM COTAÇÃO</t>
        </is>
      </c>
      <c r="M3986" s="8" t="n"/>
      <c r="N3986" s="14" t="n"/>
      <c r="O3986" s="7" t="inlineStr"/>
      <c r="P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/>
      <c r="K3987" s="8" t="n"/>
      <c r="L3987" s="7" t="inlineStr">
        <is>
          <t>SEM COTAÇÃO</t>
        </is>
      </c>
      <c r="M3987" s="8" t="n"/>
      <c r="N3987" s="14" t="n"/>
      <c r="O3987" s="7" t="inlineStr"/>
      <c r="P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/>
      <c r="K3988" s="8" t="n"/>
      <c r="L3988" s="7" t="inlineStr">
        <is>
          <t>SEM COTAÇÃO</t>
        </is>
      </c>
      <c r="M3988" s="8" t="n"/>
      <c r="N3988" s="14" t="n"/>
      <c r="O3988" s="7" t="inlineStr"/>
      <c r="P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/>
      <c r="K3989" s="8" t="n"/>
      <c r="L3989" s="7" t="inlineStr">
        <is>
          <t>SEM COTAÇÃO</t>
        </is>
      </c>
      <c r="M3989" s="8" t="n"/>
      <c r="N3989" s="14" t="n"/>
      <c r="O3989" s="7" t="inlineStr"/>
      <c r="P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/>
      <c r="K3990" s="8" t="n"/>
      <c r="L3990" s="7" t="inlineStr">
        <is>
          <t>SEM COTAÇÃO</t>
        </is>
      </c>
      <c r="M3990" s="8" t="n"/>
      <c r="N3990" s="14" t="n"/>
      <c r="O3990" s="7" t="inlineStr"/>
      <c r="P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/>
      <c r="K3991" s="8" t="n"/>
      <c r="L3991" s="7" t="inlineStr">
        <is>
          <t>SEM COTAÇÃO</t>
        </is>
      </c>
      <c r="M3991" s="8" t="n"/>
      <c r="N3991" s="14" t="n"/>
      <c r="O3991" s="7" t="inlineStr"/>
      <c r="P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/>
      <c r="K3992" s="8" t="n"/>
      <c r="L3992" s="7" t="inlineStr">
        <is>
          <t>SEM COTAÇÃO</t>
        </is>
      </c>
      <c r="M3992" s="8" t="n"/>
      <c r="N3992" s="14" t="n"/>
      <c r="O3992" s="7" t="inlineStr"/>
      <c r="P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/>
      <c r="K3993" s="8" t="n"/>
      <c r="L3993" s="7" t="inlineStr">
        <is>
          <t>SEM COTAÇÃO</t>
        </is>
      </c>
      <c r="M3993" s="8" t="n"/>
      <c r="N3993" s="14" t="n"/>
      <c r="O3993" s="7" t="inlineStr"/>
      <c r="P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/>
      <c r="K3994" s="8" t="n"/>
      <c r="L3994" s="7" t="inlineStr">
        <is>
          <t>SEM COTAÇÃO</t>
        </is>
      </c>
      <c r="M3994" s="8" t="n"/>
      <c r="N3994" s="14" t="n"/>
      <c r="O3994" s="7" t="inlineStr"/>
      <c r="P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/>
      <c r="K3995" s="8" t="n"/>
      <c r="L3995" s="7" t="inlineStr">
        <is>
          <t>SEM COTAÇÃO</t>
        </is>
      </c>
      <c r="M3995" s="8" t="n"/>
      <c r="N3995" s="14" t="n"/>
      <c r="O3995" s="7" t="inlineStr"/>
      <c r="P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/>
      <c r="K3996" s="8" t="n"/>
      <c r="L3996" s="7" t="inlineStr">
        <is>
          <t>SEM COTAÇÃO</t>
        </is>
      </c>
      <c r="M3996" s="8" t="n"/>
      <c r="N3996" s="14" t="n"/>
      <c r="O3996" s="7" t="inlineStr"/>
      <c r="P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/>
      <c r="K3997" s="8" t="n"/>
      <c r="L3997" s="7" t="inlineStr">
        <is>
          <t>SEM COTAÇÃO</t>
        </is>
      </c>
      <c r="M3997" s="8" t="n"/>
      <c r="N3997" s="14" t="n"/>
      <c r="O3997" s="7" t="inlineStr"/>
      <c r="P3997" s="7" t="inlineStr"/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/>
      <c r="K3998" s="8" t="n"/>
      <c r="L3998" s="7" t="inlineStr">
        <is>
          <t>SEM COTAÇÃO</t>
        </is>
      </c>
      <c r="M3998" s="8" t="n"/>
      <c r="N3998" s="14" t="n"/>
      <c r="O3998" s="7" t="inlineStr"/>
      <c r="P3998" s="7" t="inlineStr"/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/>
      <c r="K3999" s="8" t="n"/>
      <c r="L3999" s="7" t="inlineStr">
        <is>
          <t>SEM COTAÇÃO</t>
        </is>
      </c>
      <c r="M3999" s="8" t="n"/>
      <c r="N3999" s="14" t="n"/>
      <c r="O3999" s="7" t="inlineStr"/>
      <c r="P3999" s="7" t="inlineStr"/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/>
      <c r="K4000" s="8" t="n"/>
      <c r="L4000" s="7" t="inlineStr">
        <is>
          <t>SEM COTAÇÃO</t>
        </is>
      </c>
      <c r="M4000" s="8" t="n"/>
      <c r="N4000" s="14" t="n"/>
      <c r="O4000" s="7" t="inlineStr"/>
      <c r="P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/>
      <c r="K4001" s="8" t="n"/>
      <c r="L4001" s="7" t="inlineStr">
        <is>
          <t>SEM COTAÇÃO</t>
        </is>
      </c>
      <c r="M4001" s="8" t="n"/>
      <c r="N4001" s="14" t="n"/>
      <c r="O4001" s="7" t="inlineStr"/>
      <c r="P4001" s="7" t="inlineStr"/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/>
      <c r="K4002" s="8" t="n"/>
      <c r="L4002" s="7" t="inlineStr">
        <is>
          <t>SEM COTAÇÃO</t>
        </is>
      </c>
      <c r="M4002" s="8" t="n"/>
      <c r="N4002" s="14" t="n"/>
      <c r="O4002" s="7" t="inlineStr"/>
      <c r="P4002" s="7" t="inlineStr"/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/>
      <c r="K4003" s="8" t="n"/>
      <c r="L4003" s="7" t="inlineStr">
        <is>
          <t>SEM COTAÇÃO</t>
        </is>
      </c>
      <c r="M4003" s="8" t="n"/>
      <c r="N4003" s="14" t="n"/>
      <c r="O4003" s="7" t="inlineStr"/>
      <c r="P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/>
      <c r="K4004" s="8" t="n"/>
      <c r="L4004" s="7" t="inlineStr">
        <is>
          <t>SEM COTAÇÃO</t>
        </is>
      </c>
      <c r="M4004" s="8" t="n"/>
      <c r="N4004" s="14" t="n"/>
      <c r="O4004" s="7" t="inlineStr"/>
      <c r="P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/>
      <c r="K4005" s="8" t="n"/>
      <c r="L4005" s="7" t="inlineStr">
        <is>
          <t>SEM COTAÇÃO</t>
        </is>
      </c>
      <c r="M4005" s="8" t="n"/>
      <c r="N4005" s="14" t="n"/>
      <c r="O4005" s="7" t="inlineStr"/>
      <c r="P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/>
      <c r="K4006" s="8" t="n"/>
      <c r="L4006" s="7" t="inlineStr">
        <is>
          <t>SEM COTAÇÃO</t>
        </is>
      </c>
      <c r="M4006" s="8" t="n"/>
      <c r="N4006" s="14" t="n"/>
      <c r="O4006" s="7" t="inlineStr"/>
      <c r="P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/>
      <c r="K4007" s="8" t="n"/>
      <c r="L4007" s="7" t="inlineStr">
        <is>
          <t>SEM COTAÇÃO</t>
        </is>
      </c>
      <c r="M4007" s="8" t="n"/>
      <c r="N4007" s="14" t="n"/>
      <c r="O4007" s="7" t="inlineStr"/>
      <c r="P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/>
      <c r="K4008" s="8" t="n"/>
      <c r="L4008" s="7" t="inlineStr">
        <is>
          <t>SEM COTAÇÃO</t>
        </is>
      </c>
      <c r="M4008" s="8" t="n"/>
      <c r="N4008" s="14" t="n"/>
      <c r="O4008" s="7" t="inlineStr"/>
      <c r="P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/>
      <c r="K4009" s="8" t="n"/>
      <c r="L4009" s="7" t="inlineStr">
        <is>
          <t>SEM COTAÇÃO</t>
        </is>
      </c>
      <c r="M4009" s="8" t="n"/>
      <c r="N4009" s="14" t="n"/>
      <c r="O4009" s="7" t="inlineStr"/>
      <c r="P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/>
      <c r="K4010" s="8" t="n"/>
      <c r="L4010" s="7" t="inlineStr">
        <is>
          <t>SEM COTAÇÃO</t>
        </is>
      </c>
      <c r="M4010" s="8" t="n"/>
      <c r="N4010" s="14" t="n"/>
      <c r="O4010" s="7" t="inlineStr"/>
      <c r="P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/>
      <c r="K4011" s="8" t="n"/>
      <c r="L4011" s="7" t="inlineStr">
        <is>
          <t>SEM COTAÇÃO</t>
        </is>
      </c>
      <c r="M4011" s="8" t="n"/>
      <c r="N4011" s="14" t="n"/>
      <c r="O4011" s="7" t="inlineStr"/>
      <c r="P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/>
      <c r="K4012" s="8" t="n"/>
      <c r="L4012" s="7" t="inlineStr">
        <is>
          <t>SEM COTAÇÃO</t>
        </is>
      </c>
      <c r="M4012" s="8" t="n"/>
      <c r="N4012" s="14" t="n"/>
      <c r="O4012" s="7" t="inlineStr"/>
      <c r="P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/>
      <c r="K4013" s="8" t="n"/>
      <c r="L4013" s="7" t="inlineStr">
        <is>
          <t>SEM COTAÇÃO</t>
        </is>
      </c>
      <c r="M4013" s="8" t="n"/>
      <c r="N4013" s="14" t="n"/>
      <c r="O4013" s="7" t="inlineStr"/>
      <c r="P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/>
      <c r="K4014" s="8" t="n"/>
      <c r="L4014" s="7" t="inlineStr">
        <is>
          <t>SEM COTAÇÃO</t>
        </is>
      </c>
      <c r="M4014" s="8" t="n"/>
      <c r="N4014" s="14" t="n"/>
      <c r="O4014" s="7" t="inlineStr"/>
      <c r="P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/>
      <c r="K4015" s="8" t="n"/>
      <c r="L4015" s="7" t="inlineStr">
        <is>
          <t>SEM COTAÇÃO</t>
        </is>
      </c>
      <c r="M4015" s="8" t="n"/>
      <c r="N4015" s="14" t="n"/>
      <c r="O4015" s="7" t="inlineStr"/>
      <c r="P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/>
      <c r="K4016" s="8" t="n"/>
      <c r="L4016" s="7" t="inlineStr">
        <is>
          <t>SEM COTAÇÃO</t>
        </is>
      </c>
      <c r="M4016" s="8" t="n"/>
      <c r="N4016" s="14" t="n"/>
      <c r="O4016" s="7" t="inlineStr"/>
      <c r="P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/>
      <c r="K4017" s="8" t="n"/>
      <c r="L4017" s="7" t="inlineStr">
        <is>
          <t>SEM COTAÇÃO</t>
        </is>
      </c>
      <c r="M4017" s="8" t="n"/>
      <c r="N4017" s="14" t="n"/>
      <c r="O4017" s="7" t="inlineStr"/>
      <c r="P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/>
      <c r="K4018" s="8" t="n"/>
      <c r="L4018" s="7" t="inlineStr">
        <is>
          <t>SEM COTAÇÃO</t>
        </is>
      </c>
      <c r="M4018" s="8" t="n"/>
      <c r="N4018" s="14" t="n"/>
      <c r="O4018" s="7" t="inlineStr"/>
      <c r="P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/>
      <c r="K4019" s="8" t="n"/>
      <c r="L4019" s="7" t="inlineStr">
        <is>
          <t>SEM COTAÇÃO</t>
        </is>
      </c>
      <c r="M4019" s="8" t="n"/>
      <c r="N4019" s="14" t="n"/>
      <c r="O4019" s="7" t="inlineStr"/>
      <c r="P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/>
      <c r="K4020" s="8" t="n"/>
      <c r="L4020" s="7" t="inlineStr">
        <is>
          <t>SEM COTAÇÃO</t>
        </is>
      </c>
      <c r="M4020" s="8" t="n"/>
      <c r="N4020" s="14" t="n"/>
      <c r="O4020" s="7" t="inlineStr"/>
      <c r="P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/>
      <c r="K4021" s="8" t="n"/>
      <c r="L4021" s="7" t="inlineStr">
        <is>
          <t>SEM COTAÇÃO</t>
        </is>
      </c>
      <c r="M4021" s="8" t="n"/>
      <c r="N4021" s="14" t="n"/>
      <c r="O4021" s="7" t="inlineStr"/>
      <c r="P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/>
      <c r="K4022" s="8" t="n"/>
      <c r="L4022" s="7" t="inlineStr">
        <is>
          <t>SEM COTAÇÃO</t>
        </is>
      </c>
      <c r="M4022" s="8" t="n"/>
      <c r="N4022" s="14" t="n"/>
      <c r="O4022" s="7" t="inlineStr"/>
      <c r="P4022" s="7" t="inlineStr"/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/>
      <c r="K4023" s="8" t="n"/>
      <c r="L4023" s="7" t="inlineStr">
        <is>
          <t>SEM COTAÇÃO</t>
        </is>
      </c>
      <c r="M4023" s="8" t="n"/>
      <c r="N4023" s="14" t="n"/>
      <c r="O4023" s="7" t="inlineStr"/>
      <c r="P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/>
      <c r="K4024" s="8" t="n"/>
      <c r="L4024" s="7" t="inlineStr">
        <is>
          <t>SEM COTAÇÃO</t>
        </is>
      </c>
      <c r="M4024" s="8" t="n"/>
      <c r="N4024" s="14" t="n"/>
      <c r="O4024" s="7" t="inlineStr"/>
      <c r="P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/>
      <c r="K4025" s="8" t="n"/>
      <c r="L4025" s="7" t="inlineStr">
        <is>
          <t>SEM COTAÇÃO</t>
        </is>
      </c>
      <c r="M4025" s="8" t="n"/>
      <c r="N4025" s="14" t="n"/>
      <c r="O4025" s="7" t="inlineStr"/>
      <c r="P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/>
      <c r="K4026" s="8" t="n"/>
      <c r="L4026" s="7" t="inlineStr">
        <is>
          <t>SEM COTAÇÃO</t>
        </is>
      </c>
      <c r="M4026" s="8" t="n"/>
      <c r="N4026" s="14" t="n"/>
      <c r="O4026" s="7" t="inlineStr"/>
      <c r="P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/>
      <c r="K4027" s="8" t="n"/>
      <c r="L4027" s="7" t="inlineStr">
        <is>
          <t>SEM COTAÇÃO</t>
        </is>
      </c>
      <c r="M4027" s="8" t="n"/>
      <c r="N4027" s="14" t="n"/>
      <c r="O4027" s="7" t="inlineStr"/>
      <c r="P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7" t="inlineStr">
        <is>
          <t>SEM COTAÇÃO</t>
        </is>
      </c>
      <c r="M4028" s="8" t="n"/>
      <c r="N4028" s="14" t="n"/>
      <c r="O4028" s="7" t="inlineStr"/>
      <c r="P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/>
      <c r="K4029" s="8" t="n"/>
      <c r="L4029" s="7" t="inlineStr">
        <is>
          <t>SEM COTAÇÃO</t>
        </is>
      </c>
      <c r="M4029" s="8" t="n"/>
      <c r="N4029" s="14" t="n"/>
      <c r="O4029" s="7" t="inlineStr"/>
      <c r="P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/>
      <c r="K4030" s="8" t="n"/>
      <c r="L4030" s="7" t="inlineStr">
        <is>
          <t>SEM COTAÇÃO</t>
        </is>
      </c>
      <c r="M4030" s="8" t="n"/>
      <c r="N4030" s="14" t="n"/>
      <c r="O4030" s="7" t="inlineStr"/>
      <c r="P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15" t="n">
        <v>2.67</v>
      </c>
      <c r="K4031" s="8" t="n"/>
      <c r="L4031" s="7" t="inlineStr">
        <is>
          <t>DIMEC</t>
        </is>
      </c>
      <c r="M4031" s="8" t="n">
        <v>2.67</v>
      </c>
      <c r="N4031" s="14">
        <f>M4031/H4031-1</f>
        <v/>
      </c>
      <c r="O4031" s="16" t="inlineStr">
        <is>
          <t>ACIMA +0.8%</t>
        </is>
      </c>
      <c r="P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/>
      <c r="K4032" s="8" t="n"/>
      <c r="L4032" s="7" t="inlineStr">
        <is>
          <t>SEM COTAÇÃO</t>
        </is>
      </c>
      <c r="M4032" s="8" t="n"/>
      <c r="N4032" s="14" t="n"/>
      <c r="O4032" s="7" t="inlineStr"/>
      <c r="P4032" s="7" t="inlineStr"/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15" t="n">
        <v>2.61</v>
      </c>
      <c r="K4033" s="8" t="n"/>
      <c r="L4033" s="7" t="inlineStr">
        <is>
          <t>DIMEC</t>
        </is>
      </c>
      <c r="M4033" s="8" t="n">
        <v>2.61</v>
      </c>
      <c r="N4033" s="14">
        <f>M4033/H4033-1</f>
        <v/>
      </c>
      <c r="O4033" s="16" t="inlineStr">
        <is>
          <t>ACIMA +4.8%</t>
        </is>
      </c>
      <c r="P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/>
      <c r="K4034" s="8" t="n"/>
      <c r="L4034" s="7" t="inlineStr">
        <is>
          <t>SEM COTAÇÃO</t>
        </is>
      </c>
      <c r="M4034" s="8" t="n"/>
      <c r="N4034" s="14" t="n"/>
      <c r="O4034" s="7" t="inlineStr"/>
      <c r="P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/>
      <c r="K4035" s="8" t="n"/>
      <c r="L4035" s="7" t="inlineStr">
        <is>
          <t>SEM COTAÇÃO</t>
        </is>
      </c>
      <c r="M4035" s="8" t="n"/>
      <c r="N4035" s="14" t="n"/>
      <c r="O4035" s="7" t="inlineStr"/>
      <c r="P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/>
      <c r="K4036" s="8" t="n"/>
      <c r="L4036" s="7" t="inlineStr">
        <is>
          <t>SEM COTAÇÃO</t>
        </is>
      </c>
      <c r="M4036" s="8" t="n"/>
      <c r="N4036" s="14" t="n"/>
      <c r="O4036" s="7" t="inlineStr"/>
      <c r="P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/>
      <c r="K4037" s="8" t="n"/>
      <c r="L4037" s="7" t="inlineStr">
        <is>
          <t>SEM COTAÇÃO</t>
        </is>
      </c>
      <c r="M4037" s="8" t="n"/>
      <c r="N4037" s="14" t="n"/>
      <c r="O4037" s="7" t="inlineStr"/>
      <c r="P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/>
      <c r="K4038" s="8" t="n"/>
      <c r="L4038" s="7" t="inlineStr">
        <is>
          <t>SEM COTAÇÃO</t>
        </is>
      </c>
      <c r="M4038" s="8" t="n"/>
      <c r="N4038" s="14" t="n"/>
      <c r="O4038" s="7" t="inlineStr"/>
      <c r="P4038" s="7" t="inlineStr"/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/>
      <c r="K4039" s="8" t="n"/>
      <c r="L4039" s="7" t="inlineStr">
        <is>
          <t>SEM COTAÇÃO</t>
        </is>
      </c>
      <c r="M4039" s="8" t="n"/>
      <c r="N4039" s="14" t="n"/>
      <c r="O4039" s="7" t="inlineStr"/>
      <c r="P4039" s="7" t="inlineStr"/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/>
      <c r="K4040" s="8" t="n"/>
      <c r="L4040" s="7" t="inlineStr">
        <is>
          <t>SEM COTAÇÃO</t>
        </is>
      </c>
      <c r="M4040" s="8" t="n"/>
      <c r="N4040" s="14" t="n"/>
      <c r="O4040" s="7" t="inlineStr"/>
      <c r="P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/>
      <c r="K4041" s="8" t="n"/>
      <c r="L4041" s="7" t="inlineStr">
        <is>
          <t>SEM COTAÇÃO</t>
        </is>
      </c>
      <c r="M4041" s="8" t="n"/>
      <c r="N4041" s="14" t="n"/>
      <c r="O4041" s="7" t="inlineStr"/>
      <c r="P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/>
      <c r="K4042" s="8" t="n"/>
      <c r="L4042" s="7" t="inlineStr">
        <is>
          <t>SEM COTAÇÃO</t>
        </is>
      </c>
      <c r="M4042" s="8" t="n"/>
      <c r="N4042" s="14" t="n"/>
      <c r="O4042" s="7" t="inlineStr"/>
      <c r="P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/>
      <c r="K4043" s="8" t="n"/>
      <c r="L4043" s="7" t="inlineStr">
        <is>
          <t>SEM COTAÇÃO</t>
        </is>
      </c>
      <c r="M4043" s="8" t="n"/>
      <c r="N4043" s="14" t="n"/>
      <c r="O4043" s="7" t="inlineStr"/>
      <c r="P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/>
      <c r="K4044" s="8" t="n"/>
      <c r="L4044" s="7" t="inlineStr">
        <is>
          <t>SEM COTAÇÃO</t>
        </is>
      </c>
      <c r="M4044" s="8" t="n"/>
      <c r="N4044" s="14" t="n"/>
      <c r="O4044" s="7" t="inlineStr"/>
      <c r="P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/>
      <c r="K4045" s="8" t="n"/>
      <c r="L4045" s="7" t="inlineStr">
        <is>
          <t>SEM COTAÇÃO</t>
        </is>
      </c>
      <c r="M4045" s="8" t="n"/>
      <c r="N4045" s="14" t="n"/>
      <c r="O4045" s="7" t="inlineStr"/>
      <c r="P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/>
      <c r="K4046" s="8" t="n"/>
      <c r="L4046" s="7" t="inlineStr">
        <is>
          <t>SEM COTAÇÃO</t>
        </is>
      </c>
      <c r="M4046" s="8" t="n"/>
      <c r="N4046" s="14" t="n"/>
      <c r="O4046" s="7" t="inlineStr"/>
      <c r="P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/>
      <c r="K4047" s="8" t="n"/>
      <c r="L4047" s="7" t="inlineStr">
        <is>
          <t>SEM COTAÇÃO</t>
        </is>
      </c>
      <c r="M4047" s="8" t="n"/>
      <c r="N4047" s="14" t="n"/>
      <c r="O4047" s="7" t="inlineStr"/>
      <c r="P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/>
      <c r="K4048" s="8" t="n"/>
      <c r="L4048" s="7" t="inlineStr">
        <is>
          <t>SEM COTAÇÃO</t>
        </is>
      </c>
      <c r="M4048" s="8" t="n"/>
      <c r="N4048" s="14" t="n"/>
      <c r="O4048" s="7" t="inlineStr"/>
      <c r="P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7" t="inlineStr">
        <is>
          <t>SEM COTAÇÃO</t>
        </is>
      </c>
      <c r="M4049" s="8" t="n"/>
      <c r="N4049" s="14" t="n"/>
      <c r="O4049" s="7" t="inlineStr"/>
      <c r="P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7" t="inlineStr">
        <is>
          <t>SEM COTAÇÃO</t>
        </is>
      </c>
      <c r="M4050" s="8" t="n"/>
      <c r="N4050" s="14" t="n"/>
      <c r="O4050" s="7" t="inlineStr"/>
      <c r="P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/>
      <c r="K4051" s="8" t="n"/>
      <c r="L4051" s="7" t="inlineStr">
        <is>
          <t>SEM COTAÇÃO</t>
        </is>
      </c>
      <c r="M4051" s="8" t="n"/>
      <c r="N4051" s="14" t="n"/>
      <c r="O4051" s="7" t="inlineStr"/>
      <c r="P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/>
      <c r="K4052" s="8" t="n"/>
      <c r="L4052" s="7" t="inlineStr">
        <is>
          <t>SEM COTAÇÃO</t>
        </is>
      </c>
      <c r="M4052" s="8" t="n"/>
      <c r="N4052" s="14" t="n"/>
      <c r="O4052" s="7" t="inlineStr"/>
      <c r="P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15" t="n">
        <v>0.89</v>
      </c>
      <c r="K4053" s="8" t="n"/>
      <c r="L4053" s="7" t="inlineStr">
        <is>
          <t>DIMEC</t>
        </is>
      </c>
      <c r="M4053" s="8" t="n">
        <v>0.89</v>
      </c>
      <c r="N4053" s="14">
        <f>M4053/H4053-1</f>
        <v/>
      </c>
      <c r="O4053" s="16" t="inlineStr">
        <is>
          <t>ACIMA +50.8%</t>
        </is>
      </c>
      <c r="P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15" t="n">
        <v>0.57</v>
      </c>
      <c r="K4054" s="8" t="n"/>
      <c r="L4054" s="7" t="inlineStr">
        <is>
          <t>DIMEC</t>
        </is>
      </c>
      <c r="M4054" s="8" t="n">
        <v>0.57</v>
      </c>
      <c r="N4054" s="14">
        <f>M4054/H4054-1</f>
        <v/>
      </c>
      <c r="O4054" s="17" t="inlineStr">
        <is>
          <t>OK (≤ menor hist.)</t>
        </is>
      </c>
      <c r="P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/>
      <c r="K4055" s="8" t="n"/>
      <c r="L4055" s="7" t="inlineStr">
        <is>
          <t>SEM COTAÇÃO</t>
        </is>
      </c>
      <c r="M4055" s="8" t="n"/>
      <c r="N4055" s="14" t="n"/>
      <c r="O4055" s="7" t="inlineStr"/>
      <c r="P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/>
      <c r="K4056" s="8" t="n"/>
      <c r="L4056" s="7" t="inlineStr">
        <is>
          <t>SEM COTAÇÃO</t>
        </is>
      </c>
      <c r="M4056" s="8" t="n"/>
      <c r="N4056" s="14" t="n"/>
      <c r="O4056" s="7" t="inlineStr"/>
      <c r="P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/>
      <c r="K4057" s="8" t="n"/>
      <c r="L4057" s="7" t="inlineStr">
        <is>
          <t>SEM COTAÇÃO</t>
        </is>
      </c>
      <c r="M4057" s="8" t="n"/>
      <c r="N4057" s="14" t="n"/>
      <c r="O4057" s="7" t="inlineStr"/>
      <c r="P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/>
      <c r="K4058" s="8" t="n"/>
      <c r="L4058" s="7" t="inlineStr">
        <is>
          <t>SEM COTAÇÃO</t>
        </is>
      </c>
      <c r="M4058" s="8" t="n"/>
      <c r="N4058" s="14" t="n"/>
      <c r="O4058" s="7" t="inlineStr"/>
      <c r="P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/>
      <c r="K4059" s="8" t="n"/>
      <c r="L4059" s="7" t="inlineStr">
        <is>
          <t>SEM COTAÇÃO</t>
        </is>
      </c>
      <c r="M4059" s="8" t="n"/>
      <c r="N4059" s="14" t="n"/>
      <c r="O4059" s="7" t="inlineStr"/>
      <c r="P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/>
      <c r="K4060" s="8" t="n"/>
      <c r="L4060" s="7" t="inlineStr">
        <is>
          <t>SEM COTAÇÃO</t>
        </is>
      </c>
      <c r="M4060" s="8" t="n"/>
      <c r="N4060" s="14" t="n"/>
      <c r="O4060" s="7" t="inlineStr"/>
      <c r="P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/>
      <c r="K4061" s="8" t="n"/>
      <c r="L4061" s="7" t="inlineStr">
        <is>
          <t>SEM COTAÇÃO</t>
        </is>
      </c>
      <c r="M4061" s="8" t="n"/>
      <c r="N4061" s="14" t="n"/>
      <c r="O4061" s="7" t="inlineStr"/>
      <c r="P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/>
      <c r="K4062" s="8" t="n"/>
      <c r="L4062" s="7" t="inlineStr">
        <is>
          <t>SEM COTAÇÃO</t>
        </is>
      </c>
      <c r="M4062" s="8" t="n"/>
      <c r="N4062" s="14" t="n"/>
      <c r="O4062" s="7" t="inlineStr"/>
      <c r="P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/>
      <c r="K4063" s="8" t="n"/>
      <c r="L4063" s="7" t="inlineStr">
        <is>
          <t>SEM COTAÇÃO</t>
        </is>
      </c>
      <c r="M4063" s="8" t="n"/>
      <c r="N4063" s="14" t="n"/>
      <c r="O4063" s="7" t="inlineStr"/>
      <c r="P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/>
      <c r="K4064" s="8" t="n"/>
      <c r="L4064" s="7" t="inlineStr">
        <is>
          <t>SEM COTAÇÃO</t>
        </is>
      </c>
      <c r="M4064" s="8" t="n"/>
      <c r="N4064" s="14" t="n"/>
      <c r="O4064" s="7" t="inlineStr"/>
      <c r="P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/>
      <c r="K4065" s="8" t="n"/>
      <c r="L4065" s="7" t="inlineStr">
        <is>
          <t>SEM COTAÇÃO</t>
        </is>
      </c>
      <c r="M4065" s="8" t="n"/>
      <c r="N4065" s="14" t="n"/>
      <c r="O4065" s="7" t="inlineStr"/>
      <c r="P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/>
      <c r="K4066" s="8" t="n"/>
      <c r="L4066" s="7" t="inlineStr">
        <is>
          <t>SEM COTAÇÃO</t>
        </is>
      </c>
      <c r="M4066" s="8" t="n"/>
      <c r="N4066" s="14" t="n"/>
      <c r="O4066" s="7" t="inlineStr"/>
      <c r="P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/>
      <c r="K4067" s="8" t="n"/>
      <c r="L4067" s="7" t="inlineStr">
        <is>
          <t>SEM COTAÇÃO</t>
        </is>
      </c>
      <c r="M4067" s="8" t="n"/>
      <c r="N4067" s="14" t="n"/>
      <c r="O4067" s="7" t="inlineStr"/>
      <c r="P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/>
      <c r="K4068" s="8" t="n"/>
      <c r="L4068" s="7" t="inlineStr">
        <is>
          <t>SEM COTAÇÃO</t>
        </is>
      </c>
      <c r="M4068" s="8" t="n"/>
      <c r="N4068" s="14" t="n"/>
      <c r="O4068" s="7" t="inlineStr"/>
      <c r="P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/>
      <c r="K4069" s="8" t="n"/>
      <c r="L4069" s="7" t="inlineStr">
        <is>
          <t>SEM COTAÇÃO</t>
        </is>
      </c>
      <c r="M4069" s="8" t="n"/>
      <c r="N4069" s="14" t="n"/>
      <c r="O4069" s="7" t="inlineStr"/>
      <c r="P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/>
      <c r="K4070" s="8" t="n"/>
      <c r="L4070" s="7" t="inlineStr">
        <is>
          <t>SEM COTAÇÃO</t>
        </is>
      </c>
      <c r="M4070" s="8" t="n"/>
      <c r="N4070" s="14" t="n"/>
      <c r="O4070" s="7" t="inlineStr"/>
      <c r="P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/>
      <c r="K4071" s="8" t="n"/>
      <c r="L4071" s="7" t="inlineStr">
        <is>
          <t>SEM COTAÇÃO</t>
        </is>
      </c>
      <c r="M4071" s="8" t="n"/>
      <c r="N4071" s="14" t="n"/>
      <c r="O4071" s="7" t="inlineStr"/>
      <c r="P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7" t="inlineStr">
        <is>
          <t>SEM COTAÇÃO</t>
        </is>
      </c>
      <c r="M4072" s="8" t="n"/>
      <c r="N4072" s="14" t="n"/>
      <c r="O4072" s="7" t="inlineStr"/>
      <c r="P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/>
      <c r="K4073" s="8" t="n"/>
      <c r="L4073" s="7" t="inlineStr">
        <is>
          <t>SEM COTAÇÃO</t>
        </is>
      </c>
      <c r="M4073" s="8" t="n"/>
      <c r="N4073" s="14" t="n"/>
      <c r="O4073" s="7" t="inlineStr"/>
      <c r="P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/>
      <c r="K4074" s="8" t="n"/>
      <c r="L4074" s="7" t="inlineStr">
        <is>
          <t>SEM COTAÇÃO</t>
        </is>
      </c>
      <c r="M4074" s="8" t="n"/>
      <c r="N4074" s="14" t="n"/>
      <c r="O4074" s="7" t="inlineStr"/>
      <c r="P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/>
      <c r="K4075" s="8" t="n"/>
      <c r="L4075" s="7" t="inlineStr">
        <is>
          <t>SEM COTAÇÃO</t>
        </is>
      </c>
      <c r="M4075" s="8" t="n"/>
      <c r="N4075" s="14" t="n"/>
      <c r="O4075" s="7" t="inlineStr"/>
      <c r="P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/>
      <c r="K4076" s="8" t="n"/>
      <c r="L4076" s="7" t="inlineStr">
        <is>
          <t>SEM COTAÇÃO</t>
        </is>
      </c>
      <c r="M4076" s="8" t="n"/>
      <c r="N4076" s="14" t="n"/>
      <c r="O4076" s="7" t="inlineStr"/>
      <c r="P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/>
      <c r="K4077" s="8" t="n"/>
      <c r="L4077" s="7" t="inlineStr">
        <is>
          <t>SEM COTAÇÃO</t>
        </is>
      </c>
      <c r="M4077" s="8" t="n"/>
      <c r="N4077" s="14" t="n"/>
      <c r="O4077" s="7" t="inlineStr"/>
      <c r="P4077" s="7" t="inlineStr"/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/>
      <c r="K4078" s="8" t="n"/>
      <c r="L4078" s="7" t="inlineStr">
        <is>
          <t>SEM COTAÇÃO</t>
        </is>
      </c>
      <c r="M4078" s="8" t="n"/>
      <c r="N4078" s="14" t="n"/>
      <c r="O4078" s="7" t="inlineStr"/>
      <c r="P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/>
      <c r="K4079" s="8" t="n"/>
      <c r="L4079" s="7" t="inlineStr">
        <is>
          <t>SEM COTAÇÃO</t>
        </is>
      </c>
      <c r="M4079" s="8" t="n"/>
      <c r="N4079" s="14" t="n"/>
      <c r="O4079" s="7" t="inlineStr"/>
      <c r="P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/>
      <c r="K4080" s="8" t="n"/>
      <c r="L4080" s="7" t="inlineStr">
        <is>
          <t>SEM COTAÇÃO</t>
        </is>
      </c>
      <c r="M4080" s="8" t="n"/>
      <c r="N4080" s="14" t="n"/>
      <c r="O4080" s="7" t="inlineStr"/>
      <c r="P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/>
      <c r="K4081" s="8" t="n"/>
      <c r="L4081" s="7" t="inlineStr">
        <is>
          <t>SEM COTAÇÃO</t>
        </is>
      </c>
      <c r="M4081" s="8" t="n"/>
      <c r="N4081" s="14" t="n"/>
      <c r="O4081" s="7" t="inlineStr"/>
      <c r="P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/>
      <c r="K4082" s="8" t="n"/>
      <c r="L4082" s="7" t="inlineStr">
        <is>
          <t>SEM COTAÇÃO</t>
        </is>
      </c>
      <c r="M4082" s="8" t="n"/>
      <c r="N4082" s="14" t="n"/>
      <c r="O4082" s="7" t="inlineStr"/>
      <c r="P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/>
      <c r="K4083" s="8" t="n"/>
      <c r="L4083" s="7" t="inlineStr">
        <is>
          <t>SEM COTAÇÃO</t>
        </is>
      </c>
      <c r="M4083" s="8" t="n"/>
      <c r="N4083" s="14" t="n"/>
      <c r="O4083" s="7" t="inlineStr"/>
      <c r="P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/>
      <c r="K4084" s="8" t="n"/>
      <c r="L4084" s="7" t="inlineStr">
        <is>
          <t>SEM COTAÇÃO</t>
        </is>
      </c>
      <c r="M4084" s="8" t="n"/>
      <c r="N4084" s="14" t="n"/>
      <c r="O4084" s="7" t="inlineStr"/>
      <c r="P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/>
      <c r="K4085" s="8" t="n"/>
      <c r="L4085" s="7" t="inlineStr">
        <is>
          <t>SEM COTAÇÃO</t>
        </is>
      </c>
      <c r="M4085" s="8" t="n"/>
      <c r="N4085" s="14" t="n"/>
      <c r="O4085" s="7" t="inlineStr"/>
      <c r="P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/>
      <c r="K4086" s="8" t="n"/>
      <c r="L4086" s="7" t="inlineStr">
        <is>
          <t>SEM COTAÇÃO</t>
        </is>
      </c>
      <c r="M4086" s="8" t="n"/>
      <c r="N4086" s="14" t="n"/>
      <c r="O4086" s="7" t="inlineStr"/>
      <c r="P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/>
      <c r="K4087" s="8" t="n"/>
      <c r="L4087" s="7" t="inlineStr">
        <is>
          <t>SEM COTAÇÃO</t>
        </is>
      </c>
      <c r="M4087" s="8" t="n"/>
      <c r="N4087" s="14" t="n"/>
      <c r="O4087" s="7" t="inlineStr"/>
      <c r="P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/>
      <c r="K4088" s="8" t="n"/>
      <c r="L4088" s="7" t="inlineStr">
        <is>
          <t>SEM COTAÇÃO</t>
        </is>
      </c>
      <c r="M4088" s="8" t="n"/>
      <c r="N4088" s="14" t="n"/>
      <c r="O4088" s="7" t="inlineStr"/>
      <c r="P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/>
      <c r="K4089" s="8" t="n"/>
      <c r="L4089" s="7" t="inlineStr">
        <is>
          <t>SEM COTAÇÃO</t>
        </is>
      </c>
      <c r="M4089" s="8" t="n"/>
      <c r="N4089" s="14" t="n"/>
      <c r="O4089" s="7" t="inlineStr"/>
      <c r="P4089" s="7" t="inlineStr"/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/>
      <c r="K4090" s="8" t="n"/>
      <c r="L4090" s="7" t="inlineStr">
        <is>
          <t>SEM COTAÇÃO</t>
        </is>
      </c>
      <c r="M4090" s="8" t="n"/>
      <c r="N4090" s="14" t="n"/>
      <c r="O4090" s="7" t="inlineStr"/>
      <c r="P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/>
      <c r="K4091" s="8" t="n"/>
      <c r="L4091" s="7" t="inlineStr">
        <is>
          <t>SEM COTAÇÃO</t>
        </is>
      </c>
      <c r="M4091" s="8" t="n"/>
      <c r="N4091" s="14" t="n"/>
      <c r="O4091" s="7" t="inlineStr"/>
      <c r="P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/>
      <c r="K4092" s="8" t="n"/>
      <c r="L4092" s="7" t="inlineStr">
        <is>
          <t>SEM COTAÇÃO</t>
        </is>
      </c>
      <c r="M4092" s="8" t="n"/>
      <c r="N4092" s="14" t="n"/>
      <c r="O4092" s="7" t="inlineStr"/>
      <c r="P4092" s="7" t="inlineStr"/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/>
      <c r="K4093" s="8" t="n"/>
      <c r="L4093" s="7" t="inlineStr">
        <is>
          <t>SEM COTAÇÃO</t>
        </is>
      </c>
      <c r="M4093" s="8" t="n"/>
      <c r="N4093" s="14" t="n"/>
      <c r="O4093" s="7" t="inlineStr"/>
      <c r="P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/>
      <c r="K4094" s="8" t="n"/>
      <c r="L4094" s="7" t="inlineStr">
        <is>
          <t>SEM COTAÇÃO</t>
        </is>
      </c>
      <c r="M4094" s="8" t="n"/>
      <c r="N4094" s="14" t="n"/>
      <c r="O4094" s="7" t="inlineStr"/>
      <c r="P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/>
      <c r="K4095" s="8" t="n"/>
      <c r="L4095" s="7" t="inlineStr">
        <is>
          <t>SEM COTAÇÃO</t>
        </is>
      </c>
      <c r="M4095" s="8" t="n"/>
      <c r="N4095" s="14" t="n"/>
      <c r="O4095" s="7" t="inlineStr"/>
      <c r="P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/>
      <c r="K4096" s="8" t="n"/>
      <c r="L4096" s="7" t="inlineStr">
        <is>
          <t>SEM COTAÇÃO</t>
        </is>
      </c>
      <c r="M4096" s="8" t="n"/>
      <c r="N4096" s="14" t="n"/>
      <c r="O4096" s="7" t="inlineStr"/>
      <c r="P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/>
      <c r="K4097" s="8" t="n"/>
      <c r="L4097" s="7" t="inlineStr">
        <is>
          <t>SEM COTAÇÃO</t>
        </is>
      </c>
      <c r="M4097" s="8" t="n"/>
      <c r="N4097" s="14" t="n"/>
      <c r="O4097" s="7" t="inlineStr"/>
      <c r="P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/>
      <c r="K4098" s="8" t="n"/>
      <c r="L4098" s="7" t="inlineStr">
        <is>
          <t>SEM COTAÇÃO</t>
        </is>
      </c>
      <c r="M4098" s="8" t="n"/>
      <c r="N4098" s="14" t="n"/>
      <c r="O4098" s="7" t="inlineStr"/>
      <c r="P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/>
      <c r="K4099" s="8" t="n"/>
      <c r="L4099" s="7" t="inlineStr">
        <is>
          <t>SEM COTAÇÃO</t>
        </is>
      </c>
      <c r="M4099" s="8" t="n"/>
      <c r="N4099" s="14" t="n"/>
      <c r="O4099" s="7" t="inlineStr"/>
      <c r="P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/>
      <c r="K4100" s="8" t="n"/>
      <c r="L4100" s="7" t="inlineStr">
        <is>
          <t>SEM COTAÇÃO</t>
        </is>
      </c>
      <c r="M4100" s="8" t="n"/>
      <c r="N4100" s="14" t="n"/>
      <c r="O4100" s="7" t="inlineStr"/>
      <c r="P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/>
      <c r="K4101" s="8" t="n"/>
      <c r="L4101" s="7" t="inlineStr">
        <is>
          <t>SEM COTAÇÃO</t>
        </is>
      </c>
      <c r="M4101" s="8" t="n"/>
      <c r="N4101" s="14" t="n"/>
      <c r="O4101" s="7" t="inlineStr"/>
      <c r="P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/>
      <c r="K4102" s="8" t="n"/>
      <c r="L4102" s="7" t="inlineStr">
        <is>
          <t>SEM COTAÇÃO</t>
        </is>
      </c>
      <c r="M4102" s="8" t="n"/>
      <c r="N4102" s="14" t="n"/>
      <c r="O4102" s="7" t="inlineStr"/>
      <c r="P4102" s="7" t="inlineStr"/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/>
      <c r="K4103" s="8" t="n"/>
      <c r="L4103" s="7" t="inlineStr">
        <is>
          <t>SEM COTAÇÃO</t>
        </is>
      </c>
      <c r="M4103" s="8" t="n"/>
      <c r="N4103" s="14" t="n"/>
      <c r="O4103" s="7" t="inlineStr"/>
      <c r="P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/>
      <c r="K4104" s="8" t="n"/>
      <c r="L4104" s="7" t="inlineStr">
        <is>
          <t>SEM COTAÇÃO</t>
        </is>
      </c>
      <c r="M4104" s="8" t="n"/>
      <c r="N4104" s="14" t="n"/>
      <c r="O4104" s="7" t="inlineStr"/>
      <c r="P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/>
      <c r="K4105" s="8" t="n"/>
      <c r="L4105" s="7" t="inlineStr">
        <is>
          <t>SEM COTAÇÃO</t>
        </is>
      </c>
      <c r="M4105" s="8" t="n"/>
      <c r="N4105" s="14" t="n"/>
      <c r="O4105" s="7" t="inlineStr"/>
      <c r="P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/>
      <c r="K4106" s="8" t="n"/>
      <c r="L4106" s="7" t="inlineStr">
        <is>
          <t>SEM COTAÇÃO</t>
        </is>
      </c>
      <c r="M4106" s="8" t="n"/>
      <c r="N4106" s="14" t="n"/>
      <c r="O4106" s="7" t="inlineStr"/>
      <c r="P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/>
      <c r="K4107" s="8" t="n"/>
      <c r="L4107" s="7" t="inlineStr">
        <is>
          <t>SEM COTAÇÃO</t>
        </is>
      </c>
      <c r="M4107" s="8" t="n"/>
      <c r="N4107" s="14" t="n"/>
      <c r="O4107" s="7" t="inlineStr"/>
      <c r="P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/>
      <c r="K4108" s="8" t="n"/>
      <c r="L4108" s="7" t="inlineStr">
        <is>
          <t>SEM COTAÇÃO</t>
        </is>
      </c>
      <c r="M4108" s="8" t="n"/>
      <c r="N4108" s="14" t="n"/>
      <c r="O4108" s="7" t="inlineStr"/>
      <c r="P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/>
      <c r="K4109" s="8" t="n"/>
      <c r="L4109" s="7" t="inlineStr">
        <is>
          <t>SEM COTAÇÃO</t>
        </is>
      </c>
      <c r="M4109" s="8" t="n"/>
      <c r="N4109" s="14" t="n"/>
      <c r="O4109" s="7" t="inlineStr"/>
      <c r="P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/>
      <c r="K4110" s="8" t="n"/>
      <c r="L4110" s="7" t="inlineStr">
        <is>
          <t>SEM COTAÇÃO</t>
        </is>
      </c>
      <c r="M4110" s="8" t="n"/>
      <c r="N4110" s="14" t="n"/>
      <c r="O4110" s="7" t="inlineStr"/>
      <c r="P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/>
      <c r="K4111" s="8" t="n"/>
      <c r="L4111" s="7" t="inlineStr">
        <is>
          <t>SEM COTAÇÃO</t>
        </is>
      </c>
      <c r="M4111" s="8" t="n"/>
      <c r="N4111" s="14" t="n"/>
      <c r="O4111" s="7" t="inlineStr"/>
      <c r="P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/>
      <c r="K4112" s="8" t="n"/>
      <c r="L4112" s="7" t="inlineStr">
        <is>
          <t>SEM COTAÇÃO</t>
        </is>
      </c>
      <c r="M4112" s="8" t="n"/>
      <c r="N4112" s="14" t="n"/>
      <c r="O4112" s="7" t="inlineStr"/>
      <c r="P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/>
      <c r="K4113" s="8" t="n"/>
      <c r="L4113" s="7" t="inlineStr">
        <is>
          <t>SEM COTAÇÃO</t>
        </is>
      </c>
      <c r="M4113" s="8" t="n"/>
      <c r="N4113" s="14" t="n"/>
      <c r="O4113" s="7" t="inlineStr"/>
      <c r="P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/>
      <c r="K4114" s="8" t="n"/>
      <c r="L4114" s="7" t="inlineStr">
        <is>
          <t>SEM COTAÇÃO</t>
        </is>
      </c>
      <c r="M4114" s="8" t="n"/>
      <c r="N4114" s="14" t="n"/>
      <c r="O4114" s="7" t="inlineStr"/>
      <c r="P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/>
      <c r="K4115" s="8" t="n"/>
      <c r="L4115" s="7" t="inlineStr">
        <is>
          <t>SEM COTAÇÃO</t>
        </is>
      </c>
      <c r="M4115" s="8" t="n"/>
      <c r="N4115" s="14" t="n"/>
      <c r="O4115" s="7" t="inlineStr"/>
      <c r="P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/>
      <c r="K4116" s="8" t="n"/>
      <c r="L4116" s="7" t="inlineStr">
        <is>
          <t>SEM COTAÇÃO</t>
        </is>
      </c>
      <c r="M4116" s="8" t="n"/>
      <c r="N4116" s="14" t="n"/>
      <c r="O4116" s="7" t="inlineStr"/>
      <c r="P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/>
      <c r="K4117" s="8" t="n"/>
      <c r="L4117" s="7" t="inlineStr">
        <is>
          <t>SEM COTAÇÃO</t>
        </is>
      </c>
      <c r="M4117" s="8" t="n"/>
      <c r="N4117" s="14" t="n"/>
      <c r="O4117" s="7" t="inlineStr"/>
      <c r="P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/>
      <c r="K4118" s="8" t="n"/>
      <c r="L4118" s="7" t="inlineStr">
        <is>
          <t>SEM COTAÇÃO</t>
        </is>
      </c>
      <c r="M4118" s="8" t="n"/>
      <c r="N4118" s="14" t="n"/>
      <c r="O4118" s="7" t="inlineStr"/>
      <c r="P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/>
      <c r="K4119" s="8" t="n"/>
      <c r="L4119" s="7" t="inlineStr">
        <is>
          <t>SEM COTAÇÃO</t>
        </is>
      </c>
      <c r="M4119" s="8" t="n"/>
      <c r="N4119" s="14" t="n"/>
      <c r="O4119" s="7" t="inlineStr"/>
      <c r="P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/>
      <c r="K4120" s="8" t="n"/>
      <c r="L4120" s="7" t="inlineStr">
        <is>
          <t>SEM COTAÇÃO</t>
        </is>
      </c>
      <c r="M4120" s="8" t="n"/>
      <c r="N4120" s="14" t="n"/>
      <c r="O4120" s="7" t="inlineStr"/>
      <c r="P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/>
      <c r="K4121" s="8" t="n"/>
      <c r="L4121" s="7" t="inlineStr">
        <is>
          <t>SEM COTAÇÃO</t>
        </is>
      </c>
      <c r="M4121" s="8" t="n"/>
      <c r="N4121" s="14" t="n"/>
      <c r="O4121" s="7" t="inlineStr"/>
      <c r="P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/>
      <c r="K4122" s="8" t="n"/>
      <c r="L4122" s="7" t="inlineStr">
        <is>
          <t>SEM COTAÇÃO</t>
        </is>
      </c>
      <c r="M4122" s="8" t="n"/>
      <c r="N4122" s="14" t="n"/>
      <c r="O4122" s="7" t="inlineStr"/>
      <c r="P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/>
      <c r="K4123" s="8" t="n"/>
      <c r="L4123" s="7" t="inlineStr">
        <is>
          <t>SEM COTAÇÃO</t>
        </is>
      </c>
      <c r="M4123" s="8" t="n"/>
      <c r="N4123" s="14" t="n"/>
      <c r="O4123" s="7" t="inlineStr"/>
      <c r="P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/>
      <c r="K4124" s="8" t="n"/>
      <c r="L4124" s="7" t="inlineStr">
        <is>
          <t>SEM COTAÇÃO</t>
        </is>
      </c>
      <c r="M4124" s="8" t="n"/>
      <c r="N4124" s="14" t="n"/>
      <c r="O4124" s="7" t="inlineStr"/>
      <c r="P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/>
      <c r="K4125" s="8" t="n"/>
      <c r="L4125" s="7" t="inlineStr">
        <is>
          <t>SEM COTAÇÃO</t>
        </is>
      </c>
      <c r="M4125" s="8" t="n"/>
      <c r="N4125" s="14" t="n"/>
      <c r="O4125" s="7" t="inlineStr"/>
      <c r="P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/>
      <c r="K4126" s="8" t="n"/>
      <c r="L4126" s="7" t="inlineStr">
        <is>
          <t>SEM COTAÇÃO</t>
        </is>
      </c>
      <c r="M4126" s="8" t="n"/>
      <c r="N4126" s="14" t="n"/>
      <c r="O4126" s="7" t="inlineStr"/>
      <c r="P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/>
      <c r="K4127" s="8" t="n"/>
      <c r="L4127" s="7" t="inlineStr">
        <is>
          <t>SEM COTAÇÃO</t>
        </is>
      </c>
      <c r="M4127" s="8" t="n"/>
      <c r="N4127" s="14" t="n"/>
      <c r="O4127" s="7" t="inlineStr"/>
      <c r="P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/>
      <c r="K4128" s="8" t="n"/>
      <c r="L4128" s="7" t="inlineStr">
        <is>
          <t>SEM COTAÇÃO</t>
        </is>
      </c>
      <c r="M4128" s="8" t="n"/>
      <c r="N4128" s="14" t="n"/>
      <c r="O4128" s="7" t="inlineStr"/>
      <c r="P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/>
      <c r="K4129" s="8" t="n"/>
      <c r="L4129" s="7" t="inlineStr">
        <is>
          <t>SEM COTAÇÃO</t>
        </is>
      </c>
      <c r="M4129" s="8" t="n"/>
      <c r="N4129" s="14" t="n"/>
      <c r="O4129" s="7" t="inlineStr"/>
      <c r="P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/>
      <c r="K4130" s="8" t="n"/>
      <c r="L4130" s="7" t="inlineStr">
        <is>
          <t>SEM COTAÇÃO</t>
        </is>
      </c>
      <c r="M4130" s="8" t="n"/>
      <c r="N4130" s="14" t="n"/>
      <c r="O4130" s="7" t="inlineStr"/>
      <c r="P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/>
      <c r="K4131" s="8" t="n"/>
      <c r="L4131" s="7" t="inlineStr">
        <is>
          <t>SEM COTAÇÃO</t>
        </is>
      </c>
      <c r="M4131" s="8" t="n"/>
      <c r="N4131" s="14" t="n"/>
      <c r="O4131" s="7" t="inlineStr"/>
      <c r="P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/>
      <c r="K4132" s="8" t="n"/>
      <c r="L4132" s="7" t="inlineStr">
        <is>
          <t>SEM COTAÇÃO</t>
        </is>
      </c>
      <c r="M4132" s="8" t="n"/>
      <c r="N4132" s="14" t="n"/>
      <c r="O4132" s="7" t="inlineStr"/>
      <c r="P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/>
      <c r="K4133" s="8" t="n"/>
      <c r="L4133" s="7" t="inlineStr">
        <is>
          <t>SEM COTAÇÃO</t>
        </is>
      </c>
      <c r="M4133" s="8" t="n"/>
      <c r="N4133" s="14" t="n"/>
      <c r="O4133" s="7" t="inlineStr"/>
      <c r="P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/>
      <c r="K4134" s="8" t="n"/>
      <c r="L4134" s="7" t="inlineStr">
        <is>
          <t>SEM COTAÇÃO</t>
        </is>
      </c>
      <c r="M4134" s="8" t="n"/>
      <c r="N4134" s="14" t="n"/>
      <c r="O4134" s="7" t="inlineStr"/>
      <c r="P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/>
      <c r="K4135" s="8" t="n"/>
      <c r="L4135" s="7" t="inlineStr">
        <is>
          <t>SEM COTAÇÃO</t>
        </is>
      </c>
      <c r="M4135" s="8" t="n"/>
      <c r="N4135" s="14" t="n"/>
      <c r="O4135" s="7" t="inlineStr"/>
      <c r="P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/>
      <c r="K4136" s="8" t="n"/>
      <c r="L4136" s="7" t="inlineStr">
        <is>
          <t>SEM COTAÇÃO</t>
        </is>
      </c>
      <c r="M4136" s="8" t="n"/>
      <c r="N4136" s="14" t="n"/>
      <c r="O4136" s="7" t="inlineStr"/>
      <c r="P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7" t="inlineStr">
        <is>
          <t>SEM COTAÇÃO</t>
        </is>
      </c>
      <c r="M4137" s="8" t="n"/>
      <c r="N4137" s="14" t="n"/>
      <c r="O4137" s="7" t="inlineStr"/>
      <c r="P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7" t="inlineStr">
        <is>
          <t>SEM COTAÇÃO</t>
        </is>
      </c>
      <c r="M4138" s="8" t="n"/>
      <c r="N4138" s="14" t="n"/>
      <c r="O4138" s="7" t="inlineStr"/>
      <c r="P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7" t="inlineStr">
        <is>
          <t>SEM COTAÇÃO</t>
        </is>
      </c>
      <c r="M4139" s="8" t="n"/>
      <c r="N4139" s="14" t="n"/>
      <c r="O4139" s="7" t="inlineStr"/>
      <c r="P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7" t="inlineStr">
        <is>
          <t>SEM COTAÇÃO</t>
        </is>
      </c>
      <c r="M4140" s="8" t="n"/>
      <c r="N4140" s="14" t="n"/>
      <c r="O4140" s="7" t="inlineStr"/>
      <c r="P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7" t="inlineStr">
        <is>
          <t>SEM COTAÇÃO</t>
        </is>
      </c>
      <c r="M4141" s="8" t="n"/>
      <c r="N4141" s="14" t="n"/>
      <c r="O4141" s="7" t="inlineStr"/>
      <c r="P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/>
      <c r="K4142" s="8" t="n"/>
      <c r="L4142" s="7" t="inlineStr">
        <is>
          <t>SEM COTAÇÃO</t>
        </is>
      </c>
      <c r="M4142" s="8" t="n"/>
      <c r="N4142" s="14" t="n"/>
      <c r="O4142" s="7" t="inlineStr"/>
      <c r="P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/>
      <c r="K4143" s="8" t="n"/>
      <c r="L4143" s="7" t="inlineStr">
        <is>
          <t>SEM COTAÇÃO</t>
        </is>
      </c>
      <c r="M4143" s="8" t="n"/>
      <c r="N4143" s="14" t="n"/>
      <c r="O4143" s="7" t="inlineStr"/>
      <c r="P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/>
      <c r="K4144" s="8" t="n"/>
      <c r="L4144" s="7" t="inlineStr">
        <is>
          <t>SEM COTAÇÃO</t>
        </is>
      </c>
      <c r="M4144" s="8" t="n"/>
      <c r="N4144" s="14" t="n"/>
      <c r="O4144" s="7" t="inlineStr"/>
      <c r="P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/>
      <c r="K4145" s="8" t="n"/>
      <c r="L4145" s="7" t="inlineStr">
        <is>
          <t>SEM COTAÇÃO</t>
        </is>
      </c>
      <c r="M4145" s="8" t="n"/>
      <c r="N4145" s="14" t="n"/>
      <c r="O4145" s="7" t="inlineStr"/>
      <c r="P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/>
      <c r="K4146" s="8" t="n"/>
      <c r="L4146" s="7" t="inlineStr">
        <is>
          <t>SEM COTAÇÃO</t>
        </is>
      </c>
      <c r="M4146" s="8" t="n"/>
      <c r="N4146" s="14" t="n"/>
      <c r="O4146" s="7" t="inlineStr"/>
      <c r="P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/>
      <c r="K4147" s="8" t="n"/>
      <c r="L4147" s="7" t="inlineStr">
        <is>
          <t>SEM COTAÇÃO</t>
        </is>
      </c>
      <c r="M4147" s="8" t="n"/>
      <c r="N4147" s="14" t="n"/>
      <c r="O4147" s="7" t="inlineStr"/>
      <c r="P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/>
      <c r="K4148" s="8" t="n"/>
      <c r="L4148" s="7" t="inlineStr">
        <is>
          <t>SEM COTAÇÃO</t>
        </is>
      </c>
      <c r="M4148" s="8" t="n"/>
      <c r="N4148" s="14" t="n"/>
      <c r="O4148" s="7" t="inlineStr"/>
      <c r="P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/>
      <c r="K4149" s="8" t="n"/>
      <c r="L4149" s="7" t="inlineStr">
        <is>
          <t>SEM COTAÇÃO</t>
        </is>
      </c>
      <c r="M4149" s="8" t="n"/>
      <c r="N4149" s="14" t="n"/>
      <c r="O4149" s="7" t="inlineStr"/>
      <c r="P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/>
      <c r="K4150" s="8" t="n"/>
      <c r="L4150" s="7" t="inlineStr">
        <is>
          <t>SEM COTAÇÃO</t>
        </is>
      </c>
      <c r="M4150" s="8" t="n"/>
      <c r="N4150" s="14" t="n"/>
      <c r="O4150" s="7" t="inlineStr"/>
      <c r="P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/>
      <c r="K4151" s="8" t="n"/>
      <c r="L4151" s="7" t="inlineStr">
        <is>
          <t>SEM COTAÇÃO</t>
        </is>
      </c>
      <c r="M4151" s="8" t="n"/>
      <c r="N4151" s="14" t="n"/>
      <c r="O4151" s="7" t="inlineStr"/>
      <c r="P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/>
      <c r="K4152" s="8" t="n"/>
      <c r="L4152" s="7" t="inlineStr">
        <is>
          <t>SEM COTAÇÃO</t>
        </is>
      </c>
      <c r="M4152" s="8" t="n"/>
      <c r="N4152" s="14" t="n"/>
      <c r="O4152" s="7" t="inlineStr"/>
      <c r="P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/>
      <c r="K4153" s="8" t="n"/>
      <c r="L4153" s="7" t="inlineStr">
        <is>
          <t>SEM COTAÇÃO</t>
        </is>
      </c>
      <c r="M4153" s="8" t="n"/>
      <c r="N4153" s="14" t="n"/>
      <c r="O4153" s="7" t="inlineStr"/>
      <c r="P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/>
      <c r="K4154" s="8" t="n"/>
      <c r="L4154" s="7" t="inlineStr">
        <is>
          <t>SEM COTAÇÃO</t>
        </is>
      </c>
      <c r="M4154" s="8" t="n"/>
      <c r="N4154" s="14" t="n"/>
      <c r="O4154" s="7" t="inlineStr"/>
      <c r="P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/>
      <c r="K4155" s="8" t="n"/>
      <c r="L4155" s="7" t="inlineStr">
        <is>
          <t>SEM COTAÇÃO</t>
        </is>
      </c>
      <c r="M4155" s="8" t="n"/>
      <c r="N4155" s="14" t="n"/>
      <c r="O4155" s="7" t="inlineStr"/>
      <c r="P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/>
      <c r="K4156" s="8" t="n"/>
      <c r="L4156" s="7" t="inlineStr">
        <is>
          <t>SEM COTAÇÃO</t>
        </is>
      </c>
      <c r="M4156" s="8" t="n"/>
      <c r="N4156" s="14" t="n"/>
      <c r="O4156" s="7" t="inlineStr"/>
      <c r="P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/>
      <c r="K4157" s="8" t="n"/>
      <c r="L4157" s="7" t="inlineStr">
        <is>
          <t>SEM COTAÇÃO</t>
        </is>
      </c>
      <c r="M4157" s="8" t="n"/>
      <c r="N4157" s="14" t="n"/>
      <c r="O4157" s="7" t="inlineStr"/>
      <c r="P4157" s="7" t="inlineStr"/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/>
      <c r="K4158" s="8" t="n"/>
      <c r="L4158" s="7" t="inlineStr">
        <is>
          <t>SEM COTAÇÃO</t>
        </is>
      </c>
      <c r="M4158" s="8" t="n"/>
      <c r="N4158" s="14" t="n"/>
      <c r="O4158" s="7" t="inlineStr"/>
      <c r="P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/>
      <c r="K4159" s="8" t="n"/>
      <c r="L4159" s="7" t="inlineStr">
        <is>
          <t>SEM COTAÇÃO</t>
        </is>
      </c>
      <c r="M4159" s="8" t="n"/>
      <c r="N4159" s="14" t="n"/>
      <c r="O4159" s="7" t="inlineStr"/>
      <c r="P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/>
      <c r="K4160" s="8" t="n"/>
      <c r="L4160" s="7" t="inlineStr">
        <is>
          <t>SEM COTAÇÃO</t>
        </is>
      </c>
      <c r="M4160" s="8" t="n"/>
      <c r="N4160" s="14" t="n"/>
      <c r="O4160" s="7" t="inlineStr"/>
      <c r="P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/>
      <c r="K4161" s="8" t="n"/>
      <c r="L4161" s="7" t="inlineStr">
        <is>
          <t>SEM COTAÇÃO</t>
        </is>
      </c>
      <c r="M4161" s="8" t="n"/>
      <c r="N4161" s="14" t="n"/>
      <c r="O4161" s="7" t="inlineStr"/>
      <c r="P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/>
      <c r="K4162" s="8" t="n"/>
      <c r="L4162" s="7" t="inlineStr">
        <is>
          <t>SEM COTAÇÃO</t>
        </is>
      </c>
      <c r="M4162" s="8" t="n"/>
      <c r="N4162" s="14" t="n"/>
      <c r="O4162" s="7" t="inlineStr"/>
      <c r="P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/>
      <c r="K4163" s="8" t="n"/>
      <c r="L4163" s="7" t="inlineStr">
        <is>
          <t>SEM COTAÇÃO</t>
        </is>
      </c>
      <c r="M4163" s="8" t="n"/>
      <c r="N4163" s="14" t="n"/>
      <c r="O4163" s="7" t="inlineStr"/>
      <c r="P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/>
      <c r="K4164" s="8" t="n"/>
      <c r="L4164" s="7" t="inlineStr">
        <is>
          <t>SEM COTAÇÃO</t>
        </is>
      </c>
      <c r="M4164" s="8" t="n"/>
      <c r="N4164" s="14" t="n"/>
      <c r="O4164" s="7" t="inlineStr"/>
      <c r="P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/>
      <c r="K4165" s="8" t="n"/>
      <c r="L4165" s="7" t="inlineStr">
        <is>
          <t>SEM COTAÇÃO</t>
        </is>
      </c>
      <c r="M4165" s="8" t="n"/>
      <c r="N4165" s="14" t="n"/>
      <c r="O4165" s="7" t="inlineStr"/>
      <c r="P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/>
      <c r="K4166" s="8" t="n"/>
      <c r="L4166" s="7" t="inlineStr">
        <is>
          <t>SEM COTAÇÃO</t>
        </is>
      </c>
      <c r="M4166" s="8" t="n"/>
      <c r="N4166" s="14" t="n"/>
      <c r="O4166" s="7" t="inlineStr"/>
      <c r="P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/>
      <c r="K4167" s="8" t="n"/>
      <c r="L4167" s="7" t="inlineStr">
        <is>
          <t>SEM COTAÇÃO</t>
        </is>
      </c>
      <c r="M4167" s="8" t="n"/>
      <c r="N4167" s="14" t="n"/>
      <c r="O4167" s="7" t="inlineStr"/>
      <c r="P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/>
      <c r="K4168" s="8" t="n"/>
      <c r="L4168" s="7" t="inlineStr">
        <is>
          <t>SEM COTAÇÃO</t>
        </is>
      </c>
      <c r="M4168" s="8" t="n"/>
      <c r="N4168" s="14" t="n"/>
      <c r="O4168" s="7" t="inlineStr"/>
      <c r="P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/>
      <c r="K4169" s="8" t="n"/>
      <c r="L4169" s="7" t="inlineStr">
        <is>
          <t>SEM COTAÇÃO</t>
        </is>
      </c>
      <c r="M4169" s="8" t="n"/>
      <c r="N4169" s="14" t="n"/>
      <c r="O4169" s="7" t="inlineStr"/>
      <c r="P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/>
      <c r="K4170" s="8" t="n"/>
      <c r="L4170" s="7" t="inlineStr">
        <is>
          <t>SEM COTAÇÃO</t>
        </is>
      </c>
      <c r="M4170" s="8" t="n"/>
      <c r="N4170" s="14" t="n"/>
      <c r="O4170" s="7" t="inlineStr"/>
      <c r="P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/>
      <c r="K4171" s="8" t="n"/>
      <c r="L4171" s="7" t="inlineStr">
        <is>
          <t>SEM COTAÇÃO</t>
        </is>
      </c>
      <c r="M4171" s="8" t="n"/>
      <c r="N4171" s="14" t="n"/>
      <c r="O4171" s="7" t="inlineStr"/>
      <c r="P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/>
      <c r="K4172" s="8" t="n"/>
      <c r="L4172" s="7" t="inlineStr">
        <is>
          <t>SEM COTAÇÃO</t>
        </is>
      </c>
      <c r="M4172" s="8" t="n"/>
      <c r="N4172" s="14" t="n"/>
      <c r="O4172" s="7" t="inlineStr"/>
      <c r="P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/>
      <c r="K4173" s="8" t="n"/>
      <c r="L4173" s="7" t="inlineStr">
        <is>
          <t>SEM COTAÇÃO</t>
        </is>
      </c>
      <c r="M4173" s="8" t="n"/>
      <c r="N4173" s="14" t="n"/>
      <c r="O4173" s="7" t="inlineStr"/>
      <c r="P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/>
      <c r="K4174" s="8" t="n"/>
      <c r="L4174" s="7" t="inlineStr">
        <is>
          <t>SEM COTAÇÃO</t>
        </is>
      </c>
      <c r="M4174" s="8" t="n"/>
      <c r="N4174" s="14" t="n"/>
      <c r="O4174" s="7" t="inlineStr"/>
      <c r="P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/>
      <c r="K4175" s="8" t="n"/>
      <c r="L4175" s="7" t="inlineStr">
        <is>
          <t>SEM COTAÇÃO</t>
        </is>
      </c>
      <c r="M4175" s="8" t="n"/>
      <c r="N4175" s="14" t="n"/>
      <c r="O4175" s="7" t="inlineStr"/>
      <c r="P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/>
      <c r="K4176" s="8" t="n"/>
      <c r="L4176" s="7" t="inlineStr">
        <is>
          <t>SEM COTAÇÃO</t>
        </is>
      </c>
      <c r="M4176" s="8" t="n"/>
      <c r="N4176" s="14" t="n"/>
      <c r="O4176" s="7" t="inlineStr"/>
      <c r="P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/>
      <c r="K4177" s="8" t="n"/>
      <c r="L4177" s="7" t="inlineStr">
        <is>
          <t>SEM COTAÇÃO</t>
        </is>
      </c>
      <c r="M4177" s="8" t="n"/>
      <c r="N4177" s="14" t="n"/>
      <c r="O4177" s="7" t="inlineStr"/>
      <c r="P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/>
      <c r="K4178" s="8" t="n"/>
      <c r="L4178" s="7" t="inlineStr">
        <is>
          <t>SEM COTAÇÃO</t>
        </is>
      </c>
      <c r="M4178" s="8" t="n"/>
      <c r="N4178" s="14" t="n"/>
      <c r="O4178" s="7" t="inlineStr"/>
      <c r="P4178" s="7" t="inlineStr"/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/>
      <c r="K4179" s="8" t="n"/>
      <c r="L4179" s="7" t="inlineStr">
        <is>
          <t>SEM COTAÇÃO</t>
        </is>
      </c>
      <c r="M4179" s="8" t="n"/>
      <c r="N4179" s="14" t="n"/>
      <c r="O4179" s="7" t="inlineStr"/>
      <c r="P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/>
      <c r="K4180" s="8" t="n"/>
      <c r="L4180" s="7" t="inlineStr">
        <is>
          <t>SEM COTAÇÃO</t>
        </is>
      </c>
      <c r="M4180" s="8" t="n"/>
      <c r="N4180" s="14" t="n"/>
      <c r="O4180" s="7" t="inlineStr"/>
      <c r="P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/>
      <c r="K4181" s="8" t="n"/>
      <c r="L4181" s="7" t="inlineStr">
        <is>
          <t>SEM COTAÇÃO</t>
        </is>
      </c>
      <c r="M4181" s="8" t="n"/>
      <c r="N4181" s="14" t="n"/>
      <c r="O4181" s="7" t="inlineStr"/>
      <c r="P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/>
      <c r="K4182" s="8" t="n"/>
      <c r="L4182" s="7" t="inlineStr">
        <is>
          <t>SEM COTAÇÃO</t>
        </is>
      </c>
      <c r="M4182" s="8" t="n"/>
      <c r="N4182" s="14" t="n"/>
      <c r="O4182" s="7" t="inlineStr"/>
      <c r="P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/>
      <c r="K4183" s="8" t="n"/>
      <c r="L4183" s="7" t="inlineStr">
        <is>
          <t>SEM COTAÇÃO</t>
        </is>
      </c>
      <c r="M4183" s="8" t="n"/>
      <c r="N4183" s="14" t="n"/>
      <c r="O4183" s="7" t="inlineStr"/>
      <c r="P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/>
      <c r="K4184" s="8" t="n"/>
      <c r="L4184" s="7" t="inlineStr">
        <is>
          <t>SEM COTAÇÃO</t>
        </is>
      </c>
      <c r="M4184" s="8" t="n"/>
      <c r="N4184" s="14" t="n"/>
      <c r="O4184" s="7" t="inlineStr"/>
      <c r="P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/>
      <c r="K4185" s="8" t="n"/>
      <c r="L4185" s="7" t="inlineStr">
        <is>
          <t>SEM COTAÇÃO</t>
        </is>
      </c>
      <c r="M4185" s="8" t="n"/>
      <c r="N4185" s="14" t="n"/>
      <c r="O4185" s="7" t="inlineStr"/>
      <c r="P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/>
      <c r="K4186" s="8" t="n"/>
      <c r="L4186" s="7" t="inlineStr">
        <is>
          <t>SEM COTAÇÃO</t>
        </is>
      </c>
      <c r="M4186" s="8" t="n"/>
      <c r="N4186" s="14" t="n"/>
      <c r="O4186" s="7" t="inlineStr"/>
      <c r="P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/>
      <c r="K4187" s="8" t="n"/>
      <c r="L4187" s="7" t="inlineStr">
        <is>
          <t>SEM COTAÇÃO</t>
        </is>
      </c>
      <c r="M4187" s="8" t="n"/>
      <c r="N4187" s="14" t="n"/>
      <c r="O4187" s="7" t="inlineStr"/>
      <c r="P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15" t="n">
        <v>7.98</v>
      </c>
      <c r="K4188" s="8" t="n"/>
      <c r="L4188" s="7" t="inlineStr">
        <is>
          <t>DIMEC</t>
        </is>
      </c>
      <c r="M4188" s="8" t="n">
        <v>7.98</v>
      </c>
      <c r="N4188" s="14">
        <f>M4188/H4188-1</f>
        <v/>
      </c>
      <c r="O4188" s="16" t="inlineStr">
        <is>
          <t>ACIMA +3.9%</t>
        </is>
      </c>
      <c r="P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/>
      <c r="K4189" s="8" t="n"/>
      <c r="L4189" s="7" t="inlineStr">
        <is>
          <t>SEM COTAÇÃO</t>
        </is>
      </c>
      <c r="M4189" s="8" t="n"/>
      <c r="N4189" s="14" t="n"/>
      <c r="O4189" s="7" t="inlineStr"/>
      <c r="P4189" s="7" t="inlineStr"/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/>
      <c r="K4190" s="8" t="n"/>
      <c r="L4190" s="7" t="inlineStr">
        <is>
          <t>SEM COTAÇÃO</t>
        </is>
      </c>
      <c r="M4190" s="8" t="n"/>
      <c r="N4190" s="14" t="n"/>
      <c r="O4190" s="7" t="inlineStr"/>
      <c r="P4190" s="7" t="inlineStr"/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/>
      <c r="K4191" s="8" t="n"/>
      <c r="L4191" s="7" t="inlineStr">
        <is>
          <t>SEM COTAÇÃO</t>
        </is>
      </c>
      <c r="M4191" s="8" t="n"/>
      <c r="N4191" s="14" t="n"/>
      <c r="O4191" s="7" t="inlineStr"/>
      <c r="P4191" s="7" t="inlineStr"/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15" t="n">
        <v>2.97</v>
      </c>
      <c r="K4192" s="8" t="n"/>
      <c r="L4192" s="7" t="inlineStr">
        <is>
          <t>DIMEC</t>
        </is>
      </c>
      <c r="M4192" s="8" t="n">
        <v>2.97</v>
      </c>
      <c r="N4192" s="14">
        <f>M4192/H4192-1</f>
        <v/>
      </c>
      <c r="O4192" s="17" t="inlineStr">
        <is>
          <t>OK (≤ menor hist.)</t>
        </is>
      </c>
      <c r="P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/>
      <c r="K4193" s="8" t="n"/>
      <c r="L4193" s="7" t="inlineStr">
        <is>
          <t>SEM COTAÇÃO</t>
        </is>
      </c>
      <c r="M4193" s="8" t="n"/>
      <c r="N4193" s="14" t="n"/>
      <c r="O4193" s="7" t="inlineStr"/>
      <c r="P4193" s="7" t="inlineStr"/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/>
      <c r="K4194" s="8" t="n"/>
      <c r="L4194" s="7" t="inlineStr">
        <is>
          <t>SEM COTAÇÃO</t>
        </is>
      </c>
      <c r="M4194" s="8" t="n"/>
      <c r="N4194" s="14" t="n"/>
      <c r="O4194" s="7" t="inlineStr"/>
      <c r="P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/>
      <c r="K4195" s="8" t="n"/>
      <c r="L4195" s="7" t="inlineStr">
        <is>
          <t>SEM COTAÇÃO</t>
        </is>
      </c>
      <c r="M4195" s="8" t="n"/>
      <c r="N4195" s="14" t="n"/>
      <c r="O4195" s="7" t="inlineStr"/>
      <c r="P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/>
      <c r="K4196" s="8" t="n"/>
      <c r="L4196" s="7" t="inlineStr">
        <is>
          <t>SEM COTAÇÃO</t>
        </is>
      </c>
      <c r="M4196" s="8" t="n"/>
      <c r="N4196" s="14" t="n"/>
      <c r="O4196" s="7" t="inlineStr"/>
      <c r="P4196" s="7" t="inlineStr"/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/>
      <c r="K4197" s="8" t="n"/>
      <c r="L4197" s="7" t="inlineStr">
        <is>
          <t>SEM COTAÇÃO</t>
        </is>
      </c>
      <c r="M4197" s="8" t="n"/>
      <c r="N4197" s="14" t="n"/>
      <c r="O4197" s="7" t="inlineStr"/>
      <c r="P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/>
      <c r="K4198" s="8" t="n"/>
      <c r="L4198" s="7" t="inlineStr">
        <is>
          <t>SEM COTAÇÃO</t>
        </is>
      </c>
      <c r="M4198" s="8" t="n"/>
      <c r="N4198" s="14" t="n"/>
      <c r="O4198" s="7" t="inlineStr"/>
      <c r="P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/>
      <c r="K4199" s="8" t="n"/>
      <c r="L4199" s="7" t="inlineStr">
        <is>
          <t>SEM COTAÇÃO</t>
        </is>
      </c>
      <c r="M4199" s="8" t="n"/>
      <c r="N4199" s="14" t="n"/>
      <c r="O4199" s="7" t="inlineStr"/>
      <c r="P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/>
      <c r="K4200" s="8" t="n"/>
      <c r="L4200" s="7" t="inlineStr">
        <is>
          <t>SEM COTAÇÃO</t>
        </is>
      </c>
      <c r="M4200" s="8" t="n"/>
      <c r="N4200" s="14" t="n"/>
      <c r="O4200" s="7" t="inlineStr"/>
      <c r="P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/>
      <c r="K4201" s="8" t="n"/>
      <c r="L4201" s="7" t="inlineStr">
        <is>
          <t>SEM COTAÇÃO</t>
        </is>
      </c>
      <c r="M4201" s="8" t="n"/>
      <c r="N4201" s="14" t="n"/>
      <c r="O4201" s="7" t="inlineStr"/>
      <c r="P4201" s="7" t="inlineStr"/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/>
      <c r="K4202" s="8" t="n"/>
      <c r="L4202" s="7" t="inlineStr">
        <is>
          <t>SEM COTAÇÃO</t>
        </is>
      </c>
      <c r="M4202" s="8" t="n"/>
      <c r="N4202" s="14" t="n"/>
      <c r="O4202" s="7" t="inlineStr"/>
      <c r="P4202" s="7" t="inlineStr"/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15" t="n">
        <v>6.13</v>
      </c>
      <c r="K4203" s="8" t="n"/>
      <c r="L4203" s="7" t="inlineStr">
        <is>
          <t>DIMEC</t>
        </is>
      </c>
      <c r="M4203" s="8" t="n">
        <v>6.13</v>
      </c>
      <c r="N4203" s="14">
        <f>M4203/H4203-1</f>
        <v/>
      </c>
      <c r="O4203" s="16" t="inlineStr">
        <is>
          <t>ACIMA +5.9%</t>
        </is>
      </c>
      <c r="P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/>
      <c r="K4204" s="8" t="n"/>
      <c r="L4204" s="7" t="inlineStr">
        <is>
          <t>SEM COTAÇÃO</t>
        </is>
      </c>
      <c r="M4204" s="8" t="n"/>
      <c r="N4204" s="14" t="n"/>
      <c r="O4204" s="7" t="inlineStr"/>
      <c r="P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/>
      <c r="K4205" s="8" t="n"/>
      <c r="L4205" s="7" t="inlineStr">
        <is>
          <t>SEM COTAÇÃO</t>
        </is>
      </c>
      <c r="M4205" s="8" t="n"/>
      <c r="N4205" s="14" t="n"/>
      <c r="O4205" s="7" t="inlineStr"/>
      <c r="P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/>
      <c r="K4206" s="8" t="n"/>
      <c r="L4206" s="7" t="inlineStr">
        <is>
          <t>SEM COTAÇÃO</t>
        </is>
      </c>
      <c r="M4206" s="8" t="n"/>
      <c r="N4206" s="14" t="n"/>
      <c r="O4206" s="7" t="inlineStr"/>
      <c r="P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/>
      <c r="K4207" s="8" t="n"/>
      <c r="L4207" s="7" t="inlineStr">
        <is>
          <t>SEM COTAÇÃO</t>
        </is>
      </c>
      <c r="M4207" s="8" t="n"/>
      <c r="N4207" s="14" t="n"/>
      <c r="O4207" s="7" t="inlineStr"/>
      <c r="P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/>
      <c r="K4208" s="8" t="n"/>
      <c r="L4208" s="7" t="inlineStr">
        <is>
          <t>SEM COTAÇÃO</t>
        </is>
      </c>
      <c r="M4208" s="8" t="n"/>
      <c r="N4208" s="14" t="n"/>
      <c r="O4208" s="7" t="inlineStr"/>
      <c r="P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/>
      <c r="K4209" s="8" t="n"/>
      <c r="L4209" s="7" t="inlineStr">
        <is>
          <t>SEM COTAÇÃO</t>
        </is>
      </c>
      <c r="M4209" s="8" t="n"/>
      <c r="N4209" s="14" t="n"/>
      <c r="O4209" s="7" t="inlineStr"/>
      <c r="P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/>
      <c r="K4210" s="8" t="n"/>
      <c r="L4210" s="7" t="inlineStr">
        <is>
          <t>SEM COTAÇÃO</t>
        </is>
      </c>
      <c r="M4210" s="8" t="n"/>
      <c r="N4210" s="14" t="n"/>
      <c r="O4210" s="7" t="inlineStr"/>
      <c r="P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/>
      <c r="K4211" s="8" t="n"/>
      <c r="L4211" s="7" t="inlineStr">
        <is>
          <t>SEM COTAÇÃO</t>
        </is>
      </c>
      <c r="M4211" s="8" t="n"/>
      <c r="N4211" s="14" t="n"/>
      <c r="O4211" s="7" t="inlineStr"/>
      <c r="P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/>
      <c r="K4212" s="8" t="n"/>
      <c r="L4212" s="7" t="inlineStr">
        <is>
          <t>SEM COTAÇÃO</t>
        </is>
      </c>
      <c r="M4212" s="8" t="n"/>
      <c r="N4212" s="14" t="n"/>
      <c r="O4212" s="7" t="inlineStr"/>
      <c r="P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15" t="n">
        <v>3.585</v>
      </c>
      <c r="K4213" s="8" t="n"/>
      <c r="L4213" s="7" t="inlineStr">
        <is>
          <t>DIMEC</t>
        </is>
      </c>
      <c r="M4213" s="8" t="n">
        <v>3.585</v>
      </c>
      <c r="N4213" s="14">
        <f>M4213/H4213-1</f>
        <v/>
      </c>
      <c r="O4213" s="16" t="inlineStr">
        <is>
          <t>ACIMA +16.0%</t>
        </is>
      </c>
      <c r="P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/>
      <c r="K4214" s="8" t="n"/>
      <c r="L4214" s="7" t="inlineStr">
        <is>
          <t>SEM COTAÇÃO</t>
        </is>
      </c>
      <c r="M4214" s="8" t="n"/>
      <c r="N4214" s="14" t="n"/>
      <c r="O4214" s="7" t="inlineStr"/>
      <c r="P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15" t="n">
        <v>2.72</v>
      </c>
      <c r="K4215" s="8" t="n"/>
      <c r="L4215" s="7" t="inlineStr">
        <is>
          <t>DIMEC</t>
        </is>
      </c>
      <c r="M4215" s="8" t="n">
        <v>2.72</v>
      </c>
      <c r="N4215" s="14">
        <f>M4215/H4215-1</f>
        <v/>
      </c>
      <c r="O4215" s="16" t="inlineStr">
        <is>
          <t>ACIMA +1.1%</t>
        </is>
      </c>
      <c r="P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/>
      <c r="K4216" s="8" t="n"/>
      <c r="L4216" s="7" t="inlineStr">
        <is>
          <t>SEM COTAÇÃO</t>
        </is>
      </c>
      <c r="M4216" s="8" t="n"/>
      <c r="N4216" s="14" t="n"/>
      <c r="O4216" s="7" t="inlineStr"/>
      <c r="P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/>
      <c r="K4217" s="8" t="n"/>
      <c r="L4217" s="7" t="inlineStr">
        <is>
          <t>SEM COTAÇÃO</t>
        </is>
      </c>
      <c r="M4217" s="8" t="n"/>
      <c r="N4217" s="14" t="n"/>
      <c r="O4217" s="7" t="inlineStr"/>
      <c r="P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/>
      <c r="K4218" s="8" t="n"/>
      <c r="L4218" s="7" t="inlineStr">
        <is>
          <t>SEM COTAÇÃO</t>
        </is>
      </c>
      <c r="M4218" s="8" t="n"/>
      <c r="N4218" s="14" t="n"/>
      <c r="O4218" s="7" t="inlineStr"/>
      <c r="P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15" t="n">
        <v>6.67</v>
      </c>
      <c r="K4219" s="8" t="n"/>
      <c r="L4219" s="7" t="inlineStr">
        <is>
          <t>DIMEC</t>
        </is>
      </c>
      <c r="M4219" s="8" t="n">
        <v>6.67</v>
      </c>
      <c r="N4219" s="14">
        <f>M4219/H4219-1</f>
        <v/>
      </c>
      <c r="O4219" s="16" t="inlineStr">
        <is>
          <t>ACIMA +1.8%</t>
        </is>
      </c>
      <c r="P4219" s="7" t="inlineStr"/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/>
      <c r="K4220" s="8" t="n"/>
      <c r="L4220" s="7" t="inlineStr">
        <is>
          <t>SEM COTAÇÃO</t>
        </is>
      </c>
      <c r="M4220" s="8" t="n"/>
      <c r="N4220" s="14" t="n"/>
      <c r="O4220" s="7" t="inlineStr"/>
      <c r="P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/>
      <c r="K4221" s="8" t="n"/>
      <c r="L4221" s="7" t="inlineStr">
        <is>
          <t>SEM COTAÇÃO</t>
        </is>
      </c>
      <c r="M4221" s="8" t="n"/>
      <c r="N4221" s="14" t="n"/>
      <c r="O4221" s="7" t="inlineStr"/>
      <c r="P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/>
      <c r="K4222" s="15" t="n">
        <v>4.99</v>
      </c>
      <c r="L4222" s="7" t="inlineStr">
        <is>
          <t>PLUSFARMA</t>
        </is>
      </c>
      <c r="M4222" s="8" t="n">
        <v>4.99</v>
      </c>
      <c r="N4222" s="14">
        <f>M4222/H4222-1</f>
        <v/>
      </c>
      <c r="O4222" s="16" t="inlineStr">
        <is>
          <t>ACIMA +28.3%</t>
        </is>
      </c>
      <c r="P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15" t="n">
        <v>2.28</v>
      </c>
      <c r="K4223" s="8" t="n"/>
      <c r="L4223" s="7" t="inlineStr">
        <is>
          <t>DIMEC</t>
        </is>
      </c>
      <c r="M4223" s="8" t="n">
        <v>2.28</v>
      </c>
      <c r="N4223" s="14">
        <f>M4223/H4223-1</f>
        <v/>
      </c>
      <c r="O4223" s="16" t="inlineStr">
        <is>
          <t>ACIMA +0.4%</t>
        </is>
      </c>
      <c r="P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/>
      <c r="K4224" s="8" t="n"/>
      <c r="L4224" s="7" t="inlineStr">
        <is>
          <t>SEM COTAÇÃO</t>
        </is>
      </c>
      <c r="M4224" s="8" t="n"/>
      <c r="N4224" s="14" t="n"/>
      <c r="O4224" s="7" t="inlineStr"/>
      <c r="P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/>
      <c r="K4225" s="8" t="n"/>
      <c r="L4225" s="7" t="inlineStr">
        <is>
          <t>SEM COTAÇÃO</t>
        </is>
      </c>
      <c r="M4225" s="8" t="n"/>
      <c r="N4225" s="14" t="n"/>
      <c r="O4225" s="7" t="inlineStr"/>
      <c r="P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/>
      <c r="K4226" s="8" t="n"/>
      <c r="L4226" s="7" t="inlineStr">
        <is>
          <t>SEM COTAÇÃO</t>
        </is>
      </c>
      <c r="M4226" s="8" t="n"/>
      <c r="N4226" s="14" t="n"/>
      <c r="O4226" s="7" t="inlineStr"/>
      <c r="P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/>
      <c r="K4227" s="8" t="n"/>
      <c r="L4227" s="7" t="inlineStr">
        <is>
          <t>SEM COTAÇÃO</t>
        </is>
      </c>
      <c r="M4227" s="8" t="n"/>
      <c r="N4227" s="14" t="n"/>
      <c r="O4227" s="7" t="inlineStr"/>
      <c r="P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/>
      <c r="K4228" s="8" t="n"/>
      <c r="L4228" s="7" t="inlineStr">
        <is>
          <t>SEM COTAÇÃO</t>
        </is>
      </c>
      <c r="M4228" s="8" t="n"/>
      <c r="N4228" s="14" t="n"/>
      <c r="O4228" s="7" t="inlineStr"/>
      <c r="P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/>
      <c r="K4229" s="8" t="n"/>
      <c r="L4229" s="7" t="inlineStr">
        <is>
          <t>SEM COTAÇÃO</t>
        </is>
      </c>
      <c r="M4229" s="8" t="n"/>
      <c r="N4229" s="14" t="n"/>
      <c r="O4229" s="7" t="inlineStr"/>
      <c r="P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/>
      <c r="K4230" s="8" t="n"/>
      <c r="L4230" s="7" t="inlineStr">
        <is>
          <t>SEM COTAÇÃO</t>
        </is>
      </c>
      <c r="M4230" s="8" t="n"/>
      <c r="N4230" s="14" t="n"/>
      <c r="O4230" s="7" t="inlineStr"/>
      <c r="P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/>
      <c r="K4231" s="8" t="n"/>
      <c r="L4231" s="7" t="inlineStr">
        <is>
          <t>SEM COTAÇÃO</t>
        </is>
      </c>
      <c r="M4231" s="8" t="n"/>
      <c r="N4231" s="14" t="n"/>
      <c r="O4231" s="7" t="inlineStr"/>
      <c r="P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/>
      <c r="K4232" s="8" t="n"/>
      <c r="L4232" s="7" t="inlineStr">
        <is>
          <t>SEM COTAÇÃO</t>
        </is>
      </c>
      <c r="M4232" s="8" t="n"/>
      <c r="N4232" s="14" t="n"/>
      <c r="O4232" s="7" t="inlineStr"/>
      <c r="P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/>
      <c r="K4233" s="8" t="n"/>
      <c r="L4233" s="7" t="inlineStr">
        <is>
          <t>SEM COTAÇÃO</t>
        </is>
      </c>
      <c r="M4233" s="8" t="n"/>
      <c r="N4233" s="14" t="n"/>
      <c r="O4233" s="7" t="inlineStr"/>
      <c r="P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/>
      <c r="K4234" s="8" t="n"/>
      <c r="L4234" s="7" t="inlineStr">
        <is>
          <t>SEM COTAÇÃO</t>
        </is>
      </c>
      <c r="M4234" s="8" t="n"/>
      <c r="N4234" s="14" t="n"/>
      <c r="O4234" s="7" t="inlineStr"/>
      <c r="P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/>
      <c r="K4235" s="8" t="n"/>
      <c r="L4235" s="7" t="inlineStr">
        <is>
          <t>SEM COTAÇÃO</t>
        </is>
      </c>
      <c r="M4235" s="8" t="n"/>
      <c r="N4235" s="14" t="n"/>
      <c r="O4235" s="7" t="inlineStr"/>
      <c r="P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/>
      <c r="K4236" s="8" t="n"/>
      <c r="L4236" s="7" t="inlineStr">
        <is>
          <t>SEM COTAÇÃO</t>
        </is>
      </c>
      <c r="M4236" s="8" t="n"/>
      <c r="N4236" s="14" t="n"/>
      <c r="O4236" s="7" t="inlineStr"/>
      <c r="P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/>
      <c r="K4237" s="8" t="n"/>
      <c r="L4237" s="7" t="inlineStr">
        <is>
          <t>SEM COTAÇÃO</t>
        </is>
      </c>
      <c r="M4237" s="8" t="n"/>
      <c r="N4237" s="14" t="n"/>
      <c r="O4237" s="7" t="inlineStr"/>
      <c r="P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/>
      <c r="K4238" s="8" t="n"/>
      <c r="L4238" s="7" t="inlineStr">
        <is>
          <t>SEM COTAÇÃO</t>
        </is>
      </c>
      <c r="M4238" s="8" t="n"/>
      <c r="N4238" s="14" t="n"/>
      <c r="O4238" s="7" t="inlineStr"/>
      <c r="P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/>
      <c r="K4239" s="8" t="n"/>
      <c r="L4239" s="7" t="inlineStr">
        <is>
          <t>SEM COTAÇÃO</t>
        </is>
      </c>
      <c r="M4239" s="8" t="n"/>
      <c r="N4239" s="14" t="n"/>
      <c r="O4239" s="7" t="inlineStr"/>
      <c r="P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/>
      <c r="K4240" s="8" t="n"/>
      <c r="L4240" s="7" t="inlineStr">
        <is>
          <t>SEM COTAÇÃO</t>
        </is>
      </c>
      <c r="M4240" s="8" t="n"/>
      <c r="N4240" s="14" t="n"/>
      <c r="O4240" s="7" t="inlineStr"/>
      <c r="P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/>
      <c r="K4241" s="8" t="n"/>
      <c r="L4241" s="7" t="inlineStr">
        <is>
          <t>SEM COTAÇÃO</t>
        </is>
      </c>
      <c r="M4241" s="8" t="n"/>
      <c r="N4241" s="14" t="n"/>
      <c r="O4241" s="7" t="inlineStr"/>
      <c r="P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/>
      <c r="K4242" s="8" t="n"/>
      <c r="L4242" s="7" t="inlineStr">
        <is>
          <t>SEM COTAÇÃO</t>
        </is>
      </c>
      <c r="M4242" s="8" t="n"/>
      <c r="N4242" s="14" t="n"/>
      <c r="O4242" s="7" t="inlineStr"/>
      <c r="P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/>
      <c r="K4243" s="8" t="n"/>
      <c r="L4243" s="7" t="inlineStr">
        <is>
          <t>SEM COTAÇÃO</t>
        </is>
      </c>
      <c r="M4243" s="8" t="n"/>
      <c r="N4243" s="14" t="n"/>
      <c r="O4243" s="7" t="inlineStr"/>
      <c r="P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/>
      <c r="K4244" s="8" t="n"/>
      <c r="L4244" s="7" t="inlineStr">
        <is>
          <t>SEM COTAÇÃO</t>
        </is>
      </c>
      <c r="M4244" s="8" t="n"/>
      <c r="N4244" s="14" t="n"/>
      <c r="O4244" s="7" t="inlineStr"/>
      <c r="P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/>
      <c r="K4245" s="8" t="n"/>
      <c r="L4245" s="7" t="inlineStr">
        <is>
          <t>SEM COTAÇÃO</t>
        </is>
      </c>
      <c r="M4245" s="8" t="n"/>
      <c r="N4245" s="14" t="n"/>
      <c r="O4245" s="7" t="inlineStr"/>
      <c r="P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/>
      <c r="K4246" s="8" t="n"/>
      <c r="L4246" s="7" t="inlineStr">
        <is>
          <t>SEM COTAÇÃO</t>
        </is>
      </c>
      <c r="M4246" s="8" t="n"/>
      <c r="N4246" s="14" t="n"/>
      <c r="O4246" s="7" t="inlineStr"/>
      <c r="P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7" t="inlineStr">
        <is>
          <t>SEM COTAÇÃO</t>
        </is>
      </c>
      <c r="M4247" s="8" t="n"/>
      <c r="N4247" s="14" t="n"/>
      <c r="O4247" s="7" t="inlineStr"/>
      <c r="P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/>
      <c r="K4248" s="8" t="n"/>
      <c r="L4248" s="7" t="inlineStr">
        <is>
          <t>SEM COTAÇÃO</t>
        </is>
      </c>
      <c r="M4248" s="8" t="n"/>
      <c r="N4248" s="14" t="n"/>
      <c r="O4248" s="7" t="inlineStr"/>
      <c r="P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/>
      <c r="K4249" s="8" t="n"/>
      <c r="L4249" s="7" t="inlineStr">
        <is>
          <t>SEM COTAÇÃO</t>
        </is>
      </c>
      <c r="M4249" s="8" t="n"/>
      <c r="N4249" s="14" t="n"/>
      <c r="O4249" s="7" t="inlineStr"/>
      <c r="P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/>
      <c r="K4250" s="8" t="n"/>
      <c r="L4250" s="7" t="inlineStr">
        <is>
          <t>SEM COTAÇÃO</t>
        </is>
      </c>
      <c r="M4250" s="8" t="n"/>
      <c r="N4250" s="14" t="n"/>
      <c r="O4250" s="7" t="inlineStr"/>
      <c r="P4250" s="7" t="inlineStr"/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/>
      <c r="K4251" s="8" t="n"/>
      <c r="L4251" s="7" t="inlineStr">
        <is>
          <t>SEM COTAÇÃO</t>
        </is>
      </c>
      <c r="M4251" s="8" t="n"/>
      <c r="N4251" s="14" t="n"/>
      <c r="O4251" s="7" t="inlineStr"/>
      <c r="P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/>
      <c r="K4252" s="8" t="n"/>
      <c r="L4252" s="7" t="inlineStr">
        <is>
          <t>SEM COTAÇÃO</t>
        </is>
      </c>
      <c r="M4252" s="8" t="n"/>
      <c r="N4252" s="14" t="n"/>
      <c r="O4252" s="7" t="inlineStr"/>
      <c r="P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/>
      <c r="K4253" s="8" t="n"/>
      <c r="L4253" s="7" t="inlineStr">
        <is>
          <t>SEM COTAÇÃO</t>
        </is>
      </c>
      <c r="M4253" s="8" t="n"/>
      <c r="N4253" s="14" t="n"/>
      <c r="O4253" s="7" t="inlineStr"/>
      <c r="P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/>
      <c r="K4254" s="8" t="n"/>
      <c r="L4254" s="7" t="inlineStr">
        <is>
          <t>SEM COTAÇÃO</t>
        </is>
      </c>
      <c r="M4254" s="8" t="n"/>
      <c r="N4254" s="14" t="n"/>
      <c r="O4254" s="7" t="inlineStr"/>
      <c r="P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/>
      <c r="K4255" s="8" t="n"/>
      <c r="L4255" s="7" t="inlineStr">
        <is>
          <t>SEM COTAÇÃO</t>
        </is>
      </c>
      <c r="M4255" s="8" t="n"/>
      <c r="N4255" s="14" t="n"/>
      <c r="O4255" s="7" t="inlineStr"/>
      <c r="P4255" s="7" t="inlineStr"/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/>
      <c r="K4256" s="8" t="n"/>
      <c r="L4256" s="7" t="inlineStr">
        <is>
          <t>SEM COTAÇÃO</t>
        </is>
      </c>
      <c r="M4256" s="8" t="n"/>
      <c r="N4256" s="14" t="n"/>
      <c r="O4256" s="7" t="inlineStr"/>
      <c r="P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15" t="n">
        <v>0.01</v>
      </c>
      <c r="K4257" s="8" t="n"/>
      <c r="L4257" s="7" t="inlineStr">
        <is>
          <t>DIMEC</t>
        </is>
      </c>
      <c r="M4257" s="8" t="n">
        <v>0.01</v>
      </c>
      <c r="N4257" s="14">
        <f>M4257/H4257-1</f>
        <v/>
      </c>
      <c r="O4257" s="17" t="inlineStr">
        <is>
          <t>OK (≤ menor hist.)</t>
        </is>
      </c>
      <c r="P4257" s="7" t="inlineStr">
        <is>
          <t>DIMEC: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/>
      <c r="K4258" s="8" t="n"/>
      <c r="L4258" s="7" t="inlineStr">
        <is>
          <t>SEM COTAÇÃO</t>
        </is>
      </c>
      <c r="M4258" s="8" t="n"/>
      <c r="N4258" s="14" t="n"/>
      <c r="O4258" s="7" t="inlineStr"/>
      <c r="P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/>
      <c r="K4259" s="8" t="n"/>
      <c r="L4259" s="7" t="inlineStr">
        <is>
          <t>SEM COTAÇÃO</t>
        </is>
      </c>
      <c r="M4259" s="8" t="n"/>
      <c r="N4259" s="14" t="n"/>
      <c r="O4259" s="7" t="inlineStr"/>
      <c r="P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/>
      <c r="K4260" s="8" t="n"/>
      <c r="L4260" s="7" t="inlineStr">
        <is>
          <t>SEM COTAÇÃO</t>
        </is>
      </c>
      <c r="M4260" s="8" t="n"/>
      <c r="N4260" s="14" t="n"/>
      <c r="O4260" s="7" t="inlineStr"/>
      <c r="P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/>
      <c r="K4261" s="8" t="n"/>
      <c r="L4261" s="7" t="inlineStr">
        <is>
          <t>SEM COTAÇÃO</t>
        </is>
      </c>
      <c r="M4261" s="8" t="n"/>
      <c r="N4261" s="14" t="n"/>
      <c r="O4261" s="7" t="inlineStr"/>
      <c r="P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/>
      <c r="K4262" s="8" t="n"/>
      <c r="L4262" s="7" t="inlineStr">
        <is>
          <t>SEM COTAÇÃO</t>
        </is>
      </c>
      <c r="M4262" s="8" t="n"/>
      <c r="N4262" s="14" t="n"/>
      <c r="O4262" s="7" t="inlineStr"/>
      <c r="P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/>
      <c r="K4263" s="8" t="n"/>
      <c r="L4263" s="7" t="inlineStr">
        <is>
          <t>SEM COTAÇÃO</t>
        </is>
      </c>
      <c r="M4263" s="8" t="n"/>
      <c r="N4263" s="14" t="n"/>
      <c r="O4263" s="7" t="inlineStr"/>
      <c r="P4263" s="7" t="inlineStr"/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15" t="n">
        <v>4.04</v>
      </c>
      <c r="K4264" s="8" t="n"/>
      <c r="L4264" s="7" t="inlineStr">
        <is>
          <t>DIMEC</t>
        </is>
      </c>
      <c r="M4264" s="8" t="n">
        <v>4.04</v>
      </c>
      <c r="N4264" s="14">
        <f>M4264/H4264-1</f>
        <v/>
      </c>
      <c r="O4264" s="17" t="inlineStr">
        <is>
          <t>OK (≤ menor hist.)</t>
        </is>
      </c>
      <c r="P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15" t="n">
        <v>2.69</v>
      </c>
      <c r="K4265" s="8" t="n"/>
      <c r="L4265" s="7" t="inlineStr">
        <is>
          <t>DIMEC</t>
        </is>
      </c>
      <c r="M4265" s="8" t="n">
        <v>2.69</v>
      </c>
      <c r="N4265" s="14">
        <f>M4265/H4265-1</f>
        <v/>
      </c>
      <c r="O4265" s="17" t="inlineStr">
        <is>
          <t>OK (≤ menor hist.)</t>
        </is>
      </c>
      <c r="P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15" t="n">
        <v>4.37</v>
      </c>
      <c r="K4266" s="8" t="n"/>
      <c r="L4266" s="7" t="inlineStr">
        <is>
          <t>DIMEC</t>
        </is>
      </c>
      <c r="M4266" s="8" t="n">
        <v>4.37</v>
      </c>
      <c r="N4266" s="14">
        <f>M4266/H4266-1</f>
        <v/>
      </c>
      <c r="O4266" s="17" t="inlineStr">
        <is>
          <t>OK (≤ menor hist.)</t>
        </is>
      </c>
      <c r="P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/>
      <c r="K4267" s="8" t="n"/>
      <c r="L4267" s="7" t="inlineStr">
        <is>
          <t>SEM COTAÇÃO</t>
        </is>
      </c>
      <c r="M4267" s="8" t="n"/>
      <c r="N4267" s="14" t="n"/>
      <c r="O4267" s="7" t="inlineStr"/>
      <c r="P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15" t="n">
        <v>3.29</v>
      </c>
      <c r="K4268" s="8" t="n"/>
      <c r="L4268" s="7" t="inlineStr">
        <is>
          <t>DIMEC</t>
        </is>
      </c>
      <c r="M4268" s="8" t="n">
        <v>3.29</v>
      </c>
      <c r="N4268" s="14">
        <f>M4268/H4268-1</f>
        <v/>
      </c>
      <c r="O4268" s="16" t="inlineStr">
        <is>
          <t>ACIMA +3.8%</t>
        </is>
      </c>
      <c r="P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/>
      <c r="K4269" s="8" t="n"/>
      <c r="L4269" s="7" t="inlineStr">
        <is>
          <t>SEM COTAÇÃO</t>
        </is>
      </c>
      <c r="M4269" s="8" t="n"/>
      <c r="N4269" s="14" t="n"/>
      <c r="O4269" s="7" t="inlineStr"/>
      <c r="P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/>
      <c r="K4270" s="8" t="n"/>
      <c r="L4270" s="7" t="inlineStr">
        <is>
          <t>SEM COTAÇÃO</t>
        </is>
      </c>
      <c r="M4270" s="8" t="n"/>
      <c r="N4270" s="14" t="n"/>
      <c r="O4270" s="7" t="inlineStr"/>
      <c r="P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/>
      <c r="K4271" s="8" t="n"/>
      <c r="L4271" s="7" t="inlineStr">
        <is>
          <t>SEM COTAÇÃO</t>
        </is>
      </c>
      <c r="M4271" s="8" t="n"/>
      <c r="N4271" s="14" t="n"/>
      <c r="O4271" s="7" t="inlineStr"/>
      <c r="P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/>
      <c r="K4272" s="8" t="n"/>
      <c r="L4272" s="7" t="inlineStr">
        <is>
          <t>SEM COTAÇÃO</t>
        </is>
      </c>
      <c r="M4272" s="8" t="n"/>
      <c r="N4272" s="14" t="n"/>
      <c r="O4272" s="7" t="inlineStr"/>
      <c r="P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/>
      <c r="K4273" s="8" t="n"/>
      <c r="L4273" s="7" t="inlineStr">
        <is>
          <t>SEM COTAÇÃO</t>
        </is>
      </c>
      <c r="M4273" s="8" t="n"/>
      <c r="N4273" s="14" t="n"/>
      <c r="O4273" s="7" t="inlineStr"/>
      <c r="P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/>
      <c r="K4274" s="8" t="n"/>
      <c r="L4274" s="7" t="inlineStr">
        <is>
          <t>SEM COTAÇÃO</t>
        </is>
      </c>
      <c r="M4274" s="8" t="n"/>
      <c r="N4274" s="14" t="n"/>
      <c r="O4274" s="7" t="inlineStr"/>
      <c r="P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/>
      <c r="K4275" s="8" t="n"/>
      <c r="L4275" s="7" t="inlineStr">
        <is>
          <t>SEM COTAÇÃO</t>
        </is>
      </c>
      <c r="M4275" s="8" t="n"/>
      <c r="N4275" s="14" t="n"/>
      <c r="O4275" s="7" t="inlineStr"/>
      <c r="P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/>
      <c r="K4276" s="8" t="n"/>
      <c r="L4276" s="7" t="inlineStr">
        <is>
          <t>SEM COTAÇÃO</t>
        </is>
      </c>
      <c r="M4276" s="8" t="n"/>
      <c r="N4276" s="14" t="n"/>
      <c r="O4276" s="7" t="inlineStr"/>
      <c r="P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/>
      <c r="K4277" s="8" t="n"/>
      <c r="L4277" s="7" t="inlineStr">
        <is>
          <t>SEM COTAÇÃO</t>
        </is>
      </c>
      <c r="M4277" s="8" t="n"/>
      <c r="N4277" s="14" t="n"/>
      <c r="O4277" s="7" t="inlineStr"/>
      <c r="P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/>
      <c r="K4278" s="8" t="n"/>
      <c r="L4278" s="7" t="inlineStr">
        <is>
          <t>SEM COTAÇÃO</t>
        </is>
      </c>
      <c r="M4278" s="8" t="n"/>
      <c r="N4278" s="14" t="n"/>
      <c r="O4278" s="7" t="inlineStr"/>
      <c r="P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/>
      <c r="K4279" s="8" t="n"/>
      <c r="L4279" s="7" t="inlineStr">
        <is>
          <t>SEM COTAÇÃO</t>
        </is>
      </c>
      <c r="M4279" s="8" t="n"/>
      <c r="N4279" s="14" t="n"/>
      <c r="O4279" s="7" t="inlineStr"/>
      <c r="P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/>
      <c r="K4280" s="8" t="n"/>
      <c r="L4280" s="7" t="inlineStr">
        <is>
          <t>SEM COTAÇÃO</t>
        </is>
      </c>
      <c r="M4280" s="8" t="n"/>
      <c r="N4280" s="14" t="n"/>
      <c r="O4280" s="7" t="inlineStr"/>
      <c r="P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7" t="inlineStr">
        <is>
          <t>SEM COTAÇÃO</t>
        </is>
      </c>
      <c r="M4281" s="8" t="n"/>
      <c r="N4281" s="14" t="n"/>
      <c r="O4281" s="7" t="inlineStr"/>
      <c r="P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/>
      <c r="K4282" s="8" t="n"/>
      <c r="L4282" s="7" t="inlineStr">
        <is>
          <t>SEM COTAÇÃO</t>
        </is>
      </c>
      <c r="M4282" s="8" t="n"/>
      <c r="N4282" s="14" t="n"/>
      <c r="O4282" s="7" t="inlineStr"/>
      <c r="P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/>
      <c r="K4283" s="8" t="n"/>
      <c r="L4283" s="7" t="inlineStr">
        <is>
          <t>SEM COTAÇÃO</t>
        </is>
      </c>
      <c r="M4283" s="8" t="n"/>
      <c r="N4283" s="14" t="n"/>
      <c r="O4283" s="7" t="inlineStr"/>
      <c r="P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/>
      <c r="K4284" s="8" t="n"/>
      <c r="L4284" s="7" t="inlineStr">
        <is>
          <t>SEM COTAÇÃO</t>
        </is>
      </c>
      <c r="M4284" s="8" t="n"/>
      <c r="N4284" s="14" t="n"/>
      <c r="O4284" s="7" t="inlineStr"/>
      <c r="P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/>
      <c r="K4285" s="8" t="n"/>
      <c r="L4285" s="7" t="inlineStr">
        <is>
          <t>SEM COTAÇÃO</t>
        </is>
      </c>
      <c r="M4285" s="8" t="n"/>
      <c r="N4285" s="14" t="n"/>
      <c r="O4285" s="7" t="inlineStr"/>
      <c r="P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/>
      <c r="K4286" s="8" t="n"/>
      <c r="L4286" s="7" t="inlineStr">
        <is>
          <t>SEM COTAÇÃO</t>
        </is>
      </c>
      <c r="M4286" s="8" t="n"/>
      <c r="N4286" s="14" t="n"/>
      <c r="O4286" s="7" t="inlineStr"/>
      <c r="P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/>
      <c r="K4287" s="8" t="n"/>
      <c r="L4287" s="7" t="inlineStr">
        <is>
          <t>SEM COTAÇÃO</t>
        </is>
      </c>
      <c r="M4287" s="8" t="n"/>
      <c r="N4287" s="14" t="n"/>
      <c r="O4287" s="7" t="inlineStr"/>
      <c r="P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/>
      <c r="K4288" s="8" t="n"/>
      <c r="L4288" s="7" t="inlineStr">
        <is>
          <t>SEM COTAÇÃO</t>
        </is>
      </c>
      <c r="M4288" s="8" t="n"/>
      <c r="N4288" s="14" t="n"/>
      <c r="O4288" s="7" t="inlineStr"/>
      <c r="P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15" t="n">
        <v>3.69</v>
      </c>
      <c r="L4289" s="7" t="inlineStr">
        <is>
          <t>PLUSFARMA</t>
        </is>
      </c>
      <c r="M4289" s="8" t="n">
        <v>3.69</v>
      </c>
      <c r="N4289" s="14">
        <f>M4289/H4289-1</f>
        <v/>
      </c>
      <c r="O4289" s="17" t="inlineStr">
        <is>
          <t>OK (≤ menor hist.)</t>
        </is>
      </c>
      <c r="P4289" s="7" t="inlineStr"/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/>
      <c r="K4290" s="8" t="n"/>
      <c r="L4290" s="7" t="inlineStr">
        <is>
          <t>SEM COTAÇÃO</t>
        </is>
      </c>
      <c r="M4290" s="8" t="n"/>
      <c r="N4290" s="14" t="n"/>
      <c r="O4290" s="7" t="inlineStr"/>
      <c r="P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/>
      <c r="K4291" s="8" t="n"/>
      <c r="L4291" s="7" t="inlineStr">
        <is>
          <t>SEM COTAÇÃO</t>
        </is>
      </c>
      <c r="M4291" s="8" t="n"/>
      <c r="N4291" s="14" t="n"/>
      <c r="O4291" s="7" t="inlineStr"/>
      <c r="P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/>
      <c r="K4292" s="8" t="n"/>
      <c r="L4292" s="7" t="inlineStr">
        <is>
          <t>SEM COTAÇÃO</t>
        </is>
      </c>
      <c r="M4292" s="8" t="n"/>
      <c r="N4292" s="14" t="n"/>
      <c r="O4292" s="7" t="inlineStr"/>
      <c r="P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/>
      <c r="K4293" s="8" t="n"/>
      <c r="L4293" s="7" t="inlineStr">
        <is>
          <t>SEM COTAÇÃO</t>
        </is>
      </c>
      <c r="M4293" s="8" t="n"/>
      <c r="N4293" s="14" t="n"/>
      <c r="O4293" s="7" t="inlineStr"/>
      <c r="P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/>
      <c r="K4294" s="8" t="n"/>
      <c r="L4294" s="7" t="inlineStr">
        <is>
          <t>SEM COTAÇÃO</t>
        </is>
      </c>
      <c r="M4294" s="8" t="n"/>
      <c r="N4294" s="14" t="n"/>
      <c r="O4294" s="7" t="inlineStr"/>
      <c r="P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/>
      <c r="K4295" s="8" t="n"/>
      <c r="L4295" s="7" t="inlineStr">
        <is>
          <t>SEM COTAÇÃO</t>
        </is>
      </c>
      <c r="M4295" s="8" t="n"/>
      <c r="N4295" s="14" t="n"/>
      <c r="O4295" s="7" t="inlineStr"/>
      <c r="P4295" s="7" t="inlineStr"/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/>
      <c r="K4296" s="8" t="n"/>
      <c r="L4296" s="7" t="inlineStr">
        <is>
          <t>SEM COTAÇÃO</t>
        </is>
      </c>
      <c r="M4296" s="8" t="n"/>
      <c r="N4296" s="14" t="n"/>
      <c r="O4296" s="7" t="inlineStr"/>
      <c r="P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/>
      <c r="K4297" s="8" t="n"/>
      <c r="L4297" s="7" t="inlineStr">
        <is>
          <t>SEM COTAÇÃO</t>
        </is>
      </c>
      <c r="M4297" s="8" t="n"/>
      <c r="N4297" s="14" t="n"/>
      <c r="O4297" s="7" t="inlineStr"/>
      <c r="P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/>
      <c r="K4298" s="8" t="n"/>
      <c r="L4298" s="7" t="inlineStr">
        <is>
          <t>SEM COTAÇÃO</t>
        </is>
      </c>
      <c r="M4298" s="8" t="n"/>
      <c r="N4298" s="14" t="n"/>
      <c r="O4298" s="7" t="inlineStr"/>
      <c r="P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/>
      <c r="K4299" s="8" t="n"/>
      <c r="L4299" s="7" t="inlineStr">
        <is>
          <t>SEM COTAÇÃO</t>
        </is>
      </c>
      <c r="M4299" s="8" t="n"/>
      <c r="N4299" s="14" t="n"/>
      <c r="O4299" s="7" t="inlineStr"/>
      <c r="P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/>
      <c r="K4300" s="8" t="n"/>
      <c r="L4300" s="7" t="inlineStr">
        <is>
          <t>SEM COTAÇÃO</t>
        </is>
      </c>
      <c r="M4300" s="8" t="n"/>
      <c r="N4300" s="14" t="n"/>
      <c r="O4300" s="7" t="inlineStr"/>
      <c r="P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/>
      <c r="K4301" s="8" t="n"/>
      <c r="L4301" s="7" t="inlineStr">
        <is>
          <t>SEM COTAÇÃO</t>
        </is>
      </c>
      <c r="M4301" s="8" t="n"/>
      <c r="N4301" s="14" t="n"/>
      <c r="O4301" s="7" t="inlineStr"/>
      <c r="P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/>
      <c r="K4302" s="8" t="n"/>
      <c r="L4302" s="7" t="inlineStr">
        <is>
          <t>SEM COTAÇÃO</t>
        </is>
      </c>
      <c r="M4302" s="8" t="n"/>
      <c r="N4302" s="14" t="n"/>
      <c r="O4302" s="7" t="inlineStr"/>
      <c r="P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/>
      <c r="K4303" s="8" t="n"/>
      <c r="L4303" s="7" t="inlineStr">
        <is>
          <t>SEM COTAÇÃO</t>
        </is>
      </c>
      <c r="M4303" s="8" t="n"/>
      <c r="N4303" s="14" t="n"/>
      <c r="O4303" s="7" t="inlineStr"/>
      <c r="P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/>
      <c r="K4304" s="8" t="n"/>
      <c r="L4304" s="7" t="inlineStr">
        <is>
          <t>SEM COTAÇÃO</t>
        </is>
      </c>
      <c r="M4304" s="8" t="n"/>
      <c r="N4304" s="14" t="n"/>
      <c r="O4304" s="7" t="inlineStr"/>
      <c r="P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/>
      <c r="K4305" s="8" t="n"/>
      <c r="L4305" s="7" t="inlineStr">
        <is>
          <t>SEM COTAÇÃO</t>
        </is>
      </c>
      <c r="M4305" s="8" t="n"/>
      <c r="N4305" s="14" t="n"/>
      <c r="O4305" s="7" t="inlineStr"/>
      <c r="P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/>
      <c r="K4306" s="8" t="n"/>
      <c r="L4306" s="7" t="inlineStr">
        <is>
          <t>SEM COTAÇÃO</t>
        </is>
      </c>
      <c r="M4306" s="8" t="n"/>
      <c r="N4306" s="14" t="n"/>
      <c r="O4306" s="7" t="inlineStr"/>
      <c r="P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7" t="inlineStr">
        <is>
          <t>SEM COTAÇÃO</t>
        </is>
      </c>
      <c r="M4307" s="8" t="n"/>
      <c r="N4307" s="14" t="n"/>
      <c r="O4307" s="7" t="inlineStr"/>
      <c r="P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/>
      <c r="K4308" s="8" t="n"/>
      <c r="L4308" s="7" t="inlineStr">
        <is>
          <t>SEM COTAÇÃO</t>
        </is>
      </c>
      <c r="M4308" s="8" t="n"/>
      <c r="N4308" s="14" t="n"/>
      <c r="O4308" s="7" t="inlineStr"/>
      <c r="P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/>
      <c r="K4309" s="8" t="n"/>
      <c r="L4309" s="7" t="inlineStr">
        <is>
          <t>SEM COTAÇÃO</t>
        </is>
      </c>
      <c r="M4309" s="8" t="n"/>
      <c r="N4309" s="14" t="n"/>
      <c r="O4309" s="7" t="inlineStr"/>
      <c r="P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/>
      <c r="K4310" s="8" t="n"/>
      <c r="L4310" s="7" t="inlineStr">
        <is>
          <t>SEM COTAÇÃO</t>
        </is>
      </c>
      <c r="M4310" s="8" t="n"/>
      <c r="N4310" s="14" t="n"/>
      <c r="O4310" s="7" t="inlineStr"/>
      <c r="P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/>
      <c r="K4311" s="8" t="n"/>
      <c r="L4311" s="7" t="inlineStr">
        <is>
          <t>SEM COTAÇÃO</t>
        </is>
      </c>
      <c r="M4311" s="8" t="n"/>
      <c r="N4311" s="14" t="n"/>
      <c r="O4311" s="7" t="inlineStr"/>
      <c r="P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/>
      <c r="K4312" s="8" t="n"/>
      <c r="L4312" s="7" t="inlineStr">
        <is>
          <t>SEM COTAÇÃO</t>
        </is>
      </c>
      <c r="M4312" s="8" t="n"/>
      <c r="N4312" s="14" t="n"/>
      <c r="O4312" s="7" t="inlineStr"/>
      <c r="P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/>
      <c r="K4313" s="8" t="n"/>
      <c r="L4313" s="7" t="inlineStr">
        <is>
          <t>SEM COTAÇÃO</t>
        </is>
      </c>
      <c r="M4313" s="8" t="n"/>
      <c r="N4313" s="14" t="n"/>
      <c r="O4313" s="7" t="inlineStr"/>
      <c r="P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/>
      <c r="K4314" s="8" t="n"/>
      <c r="L4314" s="7" t="inlineStr">
        <is>
          <t>SEM COTAÇÃO</t>
        </is>
      </c>
      <c r="M4314" s="8" t="n"/>
      <c r="N4314" s="14" t="n"/>
      <c r="O4314" s="7" t="inlineStr"/>
      <c r="P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/>
      <c r="K4315" s="8" t="n"/>
      <c r="L4315" s="7" t="inlineStr">
        <is>
          <t>SEM COTAÇÃO</t>
        </is>
      </c>
      <c r="M4315" s="8" t="n"/>
      <c r="N4315" s="14" t="n"/>
      <c r="O4315" s="7" t="inlineStr"/>
      <c r="P4315" s="7" t="inlineStr"/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15" t="n">
        <v>4.26</v>
      </c>
      <c r="K4316" s="8" t="n"/>
      <c r="L4316" s="7" t="inlineStr">
        <is>
          <t>DIMEC</t>
        </is>
      </c>
      <c r="M4316" s="8" t="n">
        <v>4.26</v>
      </c>
      <c r="N4316" s="14">
        <f>M4316/H4316-1</f>
        <v/>
      </c>
      <c r="O4316" s="16" t="inlineStr">
        <is>
          <t>ACIMA +9.0%</t>
        </is>
      </c>
      <c r="P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15" t="n">
        <v>8.68</v>
      </c>
      <c r="K4317" s="8" t="n"/>
      <c r="L4317" s="7" t="inlineStr">
        <is>
          <t>DIMEC</t>
        </is>
      </c>
      <c r="M4317" s="8" t="n">
        <v>8.68</v>
      </c>
      <c r="N4317" s="14">
        <f>M4317/H4317-1</f>
        <v/>
      </c>
      <c r="O4317" s="16" t="inlineStr">
        <is>
          <t>ACIMA +9.2%</t>
        </is>
      </c>
      <c r="P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/>
      <c r="K4318" s="8" t="n"/>
      <c r="L4318" s="7" t="inlineStr">
        <is>
          <t>SEM COTAÇÃO</t>
        </is>
      </c>
      <c r="M4318" s="8" t="n"/>
      <c r="N4318" s="14" t="n"/>
      <c r="O4318" s="7" t="inlineStr"/>
      <c r="P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/>
      <c r="K4319" s="8" t="n"/>
      <c r="L4319" s="7" t="inlineStr">
        <is>
          <t>SEM COTAÇÃO</t>
        </is>
      </c>
      <c r="M4319" s="8" t="n"/>
      <c r="N4319" s="14" t="n"/>
      <c r="O4319" s="7" t="inlineStr"/>
      <c r="P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/>
      <c r="K4320" s="8" t="n"/>
      <c r="L4320" s="7" t="inlineStr">
        <is>
          <t>SEM COTAÇÃO</t>
        </is>
      </c>
      <c r="M4320" s="8" t="n"/>
      <c r="N4320" s="14" t="n"/>
      <c r="O4320" s="7" t="inlineStr"/>
      <c r="P4320" s="7" t="inlineStr"/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/>
      <c r="K4321" s="8" t="n"/>
      <c r="L4321" s="7" t="inlineStr">
        <is>
          <t>SEM COTAÇÃO</t>
        </is>
      </c>
      <c r="M4321" s="8" t="n"/>
      <c r="N4321" s="14" t="n"/>
      <c r="O4321" s="7" t="inlineStr"/>
      <c r="P4321" s="7" t="inlineStr"/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/>
      <c r="K4322" s="8" t="n"/>
      <c r="L4322" s="7" t="inlineStr">
        <is>
          <t>SEM COTAÇÃO</t>
        </is>
      </c>
      <c r="M4322" s="8" t="n"/>
      <c r="N4322" s="14" t="n"/>
      <c r="O4322" s="7" t="inlineStr"/>
      <c r="P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49.73</v>
      </c>
      <c r="K4323" s="15" t="n">
        <v>48.63</v>
      </c>
      <c r="L4323" s="7" t="inlineStr">
        <is>
          <t>PLUSFARMA</t>
        </is>
      </c>
      <c r="M4323" s="8" t="n">
        <v>48.63</v>
      </c>
      <c r="N4323" s="14">
        <f>M4323/H4323-1</f>
        <v/>
      </c>
      <c r="O4323" s="16" t="inlineStr">
        <is>
          <t>ACIMA +17.9%</t>
        </is>
      </c>
      <c r="P4323" s="7" t="inlineStr"/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/>
      <c r="K4324" s="8" t="n"/>
      <c r="L4324" s="7" t="inlineStr">
        <is>
          <t>SEM COTAÇÃO</t>
        </is>
      </c>
      <c r="M4324" s="8" t="n"/>
      <c r="N4324" s="14" t="n"/>
      <c r="O4324" s="7" t="inlineStr"/>
      <c r="P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/>
      <c r="K4325" s="8" t="n"/>
      <c r="L4325" s="7" t="inlineStr">
        <is>
          <t>SEM COTAÇÃO</t>
        </is>
      </c>
      <c r="M4325" s="8" t="n"/>
      <c r="N4325" s="14" t="n"/>
      <c r="O4325" s="7" t="inlineStr"/>
      <c r="P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/>
      <c r="K4326" s="8" t="n"/>
      <c r="L4326" s="7" t="inlineStr">
        <is>
          <t>SEM COTAÇÃO</t>
        </is>
      </c>
      <c r="M4326" s="8" t="n"/>
      <c r="N4326" s="14" t="n"/>
      <c r="O4326" s="7" t="inlineStr"/>
      <c r="P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/>
      <c r="K4327" s="8" t="n"/>
      <c r="L4327" s="7" t="inlineStr">
        <is>
          <t>SEM COTAÇÃO</t>
        </is>
      </c>
      <c r="M4327" s="8" t="n"/>
      <c r="N4327" s="14" t="n"/>
      <c r="O4327" s="7" t="inlineStr"/>
      <c r="P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/>
      <c r="K4328" s="8" t="n"/>
      <c r="L4328" s="7" t="inlineStr">
        <is>
          <t>SEM COTAÇÃO</t>
        </is>
      </c>
      <c r="M4328" s="8" t="n"/>
      <c r="N4328" s="14" t="n"/>
      <c r="O4328" s="7" t="inlineStr"/>
      <c r="P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/>
      <c r="K4329" s="8" t="n"/>
      <c r="L4329" s="7" t="inlineStr">
        <is>
          <t>SEM COTAÇÃO</t>
        </is>
      </c>
      <c r="M4329" s="8" t="n"/>
      <c r="N4329" s="14" t="n"/>
      <c r="O4329" s="7" t="inlineStr"/>
      <c r="P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/>
      <c r="K4330" s="8" t="n"/>
      <c r="L4330" s="7" t="inlineStr">
        <is>
          <t>SEM COTAÇÃO</t>
        </is>
      </c>
      <c r="M4330" s="8" t="n"/>
      <c r="N4330" s="14" t="n"/>
      <c r="O4330" s="7" t="inlineStr"/>
      <c r="P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/>
      <c r="K4331" s="8" t="n"/>
      <c r="L4331" s="7" t="inlineStr">
        <is>
          <t>SEM COTAÇÃO</t>
        </is>
      </c>
      <c r="M4331" s="8" t="n"/>
      <c r="N4331" s="14" t="n"/>
      <c r="O4331" s="7" t="inlineStr"/>
      <c r="P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7" t="inlineStr">
        <is>
          <t>SEM COTAÇÃO</t>
        </is>
      </c>
      <c r="M4332" s="8" t="n"/>
      <c r="N4332" s="14" t="n"/>
      <c r="O4332" s="7" t="inlineStr"/>
      <c r="P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15" t="n">
        <v>13.33</v>
      </c>
      <c r="K4333" s="8" t="n"/>
      <c r="L4333" s="7" t="inlineStr">
        <is>
          <t>DIMEC</t>
        </is>
      </c>
      <c r="M4333" s="8" t="n">
        <v>13.33</v>
      </c>
      <c r="N4333" s="14">
        <f>M4333/H4333-1</f>
        <v/>
      </c>
      <c r="O4333" s="16" t="inlineStr">
        <is>
          <t>ACIMA +6.1%</t>
        </is>
      </c>
      <c r="P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/>
      <c r="K4334" s="8" t="n"/>
      <c r="L4334" s="7" t="inlineStr">
        <is>
          <t>SEM COTAÇÃO</t>
        </is>
      </c>
      <c r="M4334" s="8" t="n"/>
      <c r="N4334" s="14" t="n"/>
      <c r="O4334" s="7" t="inlineStr"/>
      <c r="P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15" t="n">
        <v>11.88</v>
      </c>
      <c r="K4335" s="8" t="n"/>
      <c r="L4335" s="7" t="inlineStr">
        <is>
          <t>DIMEC</t>
        </is>
      </c>
      <c r="M4335" s="8" t="n">
        <v>11.88</v>
      </c>
      <c r="N4335" s="14">
        <f>M4335/H4335-1</f>
        <v/>
      </c>
      <c r="O4335" s="17" t="inlineStr">
        <is>
          <t>OK (≤ menor hist.)</t>
        </is>
      </c>
      <c r="P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/>
      <c r="K4336" s="8" t="n"/>
      <c r="L4336" s="7" t="inlineStr">
        <is>
          <t>SEM COTAÇÃO</t>
        </is>
      </c>
      <c r="M4336" s="8" t="n"/>
      <c r="N4336" s="14" t="n"/>
      <c r="O4336" s="7" t="inlineStr"/>
      <c r="P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/>
      <c r="K4337" s="8" t="n"/>
      <c r="L4337" s="7" t="inlineStr">
        <is>
          <t>SEM COTAÇÃO</t>
        </is>
      </c>
      <c r="M4337" s="8" t="n"/>
      <c r="N4337" s="14" t="n"/>
      <c r="O4337" s="7" t="inlineStr"/>
      <c r="P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15" t="n">
        <v>13.33</v>
      </c>
      <c r="K4338" s="8" t="n"/>
      <c r="L4338" s="7" t="inlineStr">
        <is>
          <t>DIMEC</t>
        </is>
      </c>
      <c r="M4338" s="8" t="n">
        <v>13.33</v>
      </c>
      <c r="N4338" s="14">
        <f>M4338/H4338-1</f>
        <v/>
      </c>
      <c r="O4338" s="16" t="inlineStr">
        <is>
          <t>ACIMA +5.9%</t>
        </is>
      </c>
      <c r="P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15" t="n">
        <v>13.33</v>
      </c>
      <c r="K4339" s="8" t="n"/>
      <c r="L4339" s="7" t="inlineStr">
        <is>
          <t>DIMEC</t>
        </is>
      </c>
      <c r="M4339" s="8" t="n">
        <v>13.33</v>
      </c>
      <c r="N4339" s="14">
        <f>M4339/H4339-1</f>
        <v/>
      </c>
      <c r="O4339" s="16" t="inlineStr">
        <is>
          <t>ACIMA +5.9%</t>
        </is>
      </c>
      <c r="P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15" t="n">
        <v>1.69</v>
      </c>
      <c r="K4340" s="8" t="n"/>
      <c r="L4340" s="7" t="inlineStr">
        <is>
          <t>DIMEC</t>
        </is>
      </c>
      <c r="M4340" s="8" t="n">
        <v>1.69</v>
      </c>
      <c r="N4340" s="14">
        <f>M4340/H4340-1</f>
        <v/>
      </c>
      <c r="O4340" s="17" t="inlineStr">
        <is>
          <t>OK (≤ menor hist.)</t>
        </is>
      </c>
      <c r="P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/>
      <c r="K4341" s="8" t="n"/>
      <c r="L4341" s="7" t="inlineStr">
        <is>
          <t>SEM COTAÇÃO</t>
        </is>
      </c>
      <c r="M4341" s="8" t="n"/>
      <c r="N4341" s="14" t="n"/>
      <c r="O4341" s="7" t="inlineStr"/>
      <c r="P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/>
      <c r="K4342" s="8" t="n"/>
      <c r="L4342" s="7" t="inlineStr">
        <is>
          <t>SEM COTAÇÃO</t>
        </is>
      </c>
      <c r="M4342" s="8" t="n"/>
      <c r="N4342" s="14" t="n"/>
      <c r="O4342" s="7" t="inlineStr"/>
      <c r="P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15" t="n">
        <v>1.28</v>
      </c>
      <c r="K4343" s="8" t="n"/>
      <c r="L4343" s="7" t="inlineStr">
        <is>
          <t>DIMEC</t>
        </is>
      </c>
      <c r="M4343" s="8" t="n">
        <v>1.28</v>
      </c>
      <c r="N4343" s="14">
        <f>M4343/H4343-1</f>
        <v/>
      </c>
      <c r="O4343" s="16" t="inlineStr">
        <is>
          <t>ACIMA +11.3%</t>
        </is>
      </c>
      <c r="P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15" t="n">
        <v>5.57</v>
      </c>
      <c r="K4344" s="8" t="n"/>
      <c r="L4344" s="7" t="inlineStr">
        <is>
          <t>DIMEC</t>
        </is>
      </c>
      <c r="M4344" s="8" t="n">
        <v>5.57</v>
      </c>
      <c r="N4344" s="14">
        <f>M4344/H4344-1</f>
        <v/>
      </c>
      <c r="O4344" s="16" t="inlineStr">
        <is>
          <t>ACIMA +13.4%</t>
        </is>
      </c>
      <c r="P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/>
      <c r="K4345" s="8" t="n"/>
      <c r="L4345" s="7" t="inlineStr">
        <is>
          <t>SEM COTAÇÃO</t>
        </is>
      </c>
      <c r="M4345" s="8" t="n"/>
      <c r="N4345" s="14" t="n"/>
      <c r="O4345" s="7" t="inlineStr"/>
      <c r="P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/>
      <c r="K4346" s="8" t="n"/>
      <c r="L4346" s="7" t="inlineStr">
        <is>
          <t>SEM COTAÇÃO</t>
        </is>
      </c>
      <c r="M4346" s="8" t="n"/>
      <c r="N4346" s="14" t="n"/>
      <c r="O4346" s="7" t="inlineStr"/>
      <c r="P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15" t="n">
        <v>1.35</v>
      </c>
      <c r="K4347" s="8" t="n"/>
      <c r="L4347" s="7" t="inlineStr">
        <is>
          <t>DIMEC</t>
        </is>
      </c>
      <c r="M4347" s="8" t="n">
        <v>1.35</v>
      </c>
      <c r="N4347" s="14">
        <f>M4347/H4347-1</f>
        <v/>
      </c>
      <c r="O4347" s="16" t="inlineStr">
        <is>
          <t>ACIMA +15.4%</t>
        </is>
      </c>
      <c r="P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/>
      <c r="K4348" s="8" t="n"/>
      <c r="L4348" s="7" t="inlineStr">
        <is>
          <t>SEM COTAÇÃO</t>
        </is>
      </c>
      <c r="M4348" s="8" t="n"/>
      <c r="N4348" s="14" t="n"/>
      <c r="O4348" s="7" t="inlineStr"/>
      <c r="P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/>
      <c r="K4349" s="8" t="n"/>
      <c r="L4349" s="7" t="inlineStr">
        <is>
          <t>SEM COTAÇÃO</t>
        </is>
      </c>
      <c r="M4349" s="8" t="n"/>
      <c r="N4349" s="14" t="n"/>
      <c r="O4349" s="7" t="inlineStr"/>
      <c r="P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/>
      <c r="K4350" s="8" t="n"/>
      <c r="L4350" s="7" t="inlineStr">
        <is>
          <t>SEM COTAÇÃO</t>
        </is>
      </c>
      <c r="M4350" s="8" t="n"/>
      <c r="N4350" s="14" t="n"/>
      <c r="O4350" s="7" t="inlineStr"/>
      <c r="P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15" t="n">
        <v>7.71</v>
      </c>
      <c r="K4351" s="8" t="n"/>
      <c r="L4351" s="7" t="inlineStr">
        <is>
          <t>DIMEC</t>
        </is>
      </c>
      <c r="M4351" s="8" t="n">
        <v>7.71</v>
      </c>
      <c r="N4351" s="14">
        <f>M4351/H4351-1</f>
        <v/>
      </c>
      <c r="O4351" s="17" t="inlineStr">
        <is>
          <t>OK (≤ menor hist.)</t>
        </is>
      </c>
      <c r="P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/>
      <c r="K4352" s="8" t="n"/>
      <c r="L4352" s="7" t="inlineStr">
        <is>
          <t>SEM COTAÇÃO</t>
        </is>
      </c>
      <c r="M4352" s="8" t="n"/>
      <c r="N4352" s="14" t="n"/>
      <c r="O4352" s="7" t="inlineStr"/>
      <c r="P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/>
      <c r="K4353" s="8" t="n"/>
      <c r="L4353" s="7" t="inlineStr">
        <is>
          <t>SEM COTAÇÃO</t>
        </is>
      </c>
      <c r="M4353" s="8" t="n"/>
      <c r="N4353" s="14" t="n"/>
      <c r="O4353" s="7" t="inlineStr"/>
      <c r="P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15" t="n">
        <v>1.6648</v>
      </c>
      <c r="K4354" s="8" t="n"/>
      <c r="L4354" s="7" t="inlineStr">
        <is>
          <t>DIMEC</t>
        </is>
      </c>
      <c r="M4354" s="8" t="n">
        <v>1.6648</v>
      </c>
      <c r="N4354" s="14">
        <f>M4354/H4354-1</f>
        <v/>
      </c>
      <c r="O4354" s="16" t="inlineStr">
        <is>
          <t>ACIMA +12.5%</t>
        </is>
      </c>
      <c r="P4354" s="7" t="inlineStr">
        <is>
          <t>DIMEC: 1 emb = 25 un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15" t="n">
        <v>4.372</v>
      </c>
      <c r="K4355" s="8" t="n">
        <v>44.75</v>
      </c>
      <c r="L4355" s="7" t="inlineStr">
        <is>
          <t>DIMEC</t>
        </is>
      </c>
      <c r="M4355" s="8" t="n">
        <v>4.372</v>
      </c>
      <c r="N4355" s="14">
        <f>M4355/H4355-1</f>
        <v/>
      </c>
      <c r="O4355" s="16" t="inlineStr">
        <is>
          <t>ACIMA +18.5%</t>
        </is>
      </c>
      <c r="P4355" s="7" t="inlineStr">
        <is>
          <t>DIMEC: 1 emb = 10 un; PLUSFARMA: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/>
      <c r="K4356" s="8" t="n"/>
      <c r="L4356" s="7" t="inlineStr">
        <is>
          <t>SEM COTAÇÃO</t>
        </is>
      </c>
      <c r="M4356" s="8" t="n"/>
      <c r="N4356" s="14" t="n"/>
      <c r="O4356" s="7" t="inlineStr"/>
      <c r="P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/>
      <c r="K4357" s="8" t="n"/>
      <c r="L4357" s="7" t="inlineStr">
        <is>
          <t>SEM COTAÇÃO</t>
        </is>
      </c>
      <c r="M4357" s="8" t="n"/>
      <c r="N4357" s="14" t="n"/>
      <c r="O4357" s="7" t="inlineStr"/>
      <c r="P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15" t="n">
        <v>13.89</v>
      </c>
      <c r="K4358" s="8" t="n"/>
      <c r="L4358" s="7" t="inlineStr">
        <is>
          <t>DIMEC</t>
        </is>
      </c>
      <c r="M4358" s="8" t="n">
        <v>13.89</v>
      </c>
      <c r="N4358" s="14">
        <f>M4358/H4358-1</f>
        <v/>
      </c>
      <c r="O4358" s="16" t="inlineStr">
        <is>
          <t>ACIMA +4.0%</t>
        </is>
      </c>
      <c r="P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25.17</v>
      </c>
      <c r="K4359" s="15" t="n">
        <v>24.85</v>
      </c>
      <c r="L4359" s="7" t="inlineStr">
        <is>
          <t>PLUSFARMA</t>
        </is>
      </c>
      <c r="M4359" s="8" t="n">
        <v>24.85</v>
      </c>
      <c r="N4359" s="14">
        <f>M4359/H4359-1</f>
        <v/>
      </c>
      <c r="O4359" s="17" t="inlineStr">
        <is>
          <t>OK (≤ últ. compra)</t>
        </is>
      </c>
      <c r="P4359" s="7" t="inlineStr"/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/>
      <c r="K4360" s="8" t="n"/>
      <c r="L4360" s="7" t="inlineStr">
        <is>
          <t>SEM COTAÇÃO</t>
        </is>
      </c>
      <c r="M4360" s="8" t="n"/>
      <c r="N4360" s="14" t="n"/>
      <c r="O4360" s="7" t="inlineStr"/>
      <c r="P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/>
      <c r="K4361" s="8" t="n"/>
      <c r="L4361" s="7" t="inlineStr">
        <is>
          <t>SEM COTAÇÃO</t>
        </is>
      </c>
      <c r="M4361" s="8" t="n"/>
      <c r="N4361" s="14" t="n"/>
      <c r="O4361" s="7" t="inlineStr"/>
      <c r="P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/>
      <c r="K4362" s="8" t="n"/>
      <c r="L4362" s="7" t="inlineStr">
        <is>
          <t>SEM COTAÇÃO</t>
        </is>
      </c>
      <c r="M4362" s="8" t="n"/>
      <c r="N4362" s="14" t="n"/>
      <c r="O4362" s="7" t="inlineStr"/>
      <c r="P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/>
      <c r="K4363" s="8" t="n"/>
      <c r="L4363" s="7" t="inlineStr">
        <is>
          <t>SEM COTAÇÃO</t>
        </is>
      </c>
      <c r="M4363" s="8" t="n"/>
      <c r="N4363" s="14" t="n"/>
      <c r="O4363" s="7" t="inlineStr"/>
      <c r="P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/>
      <c r="K4364" s="8" t="n"/>
      <c r="L4364" s="7" t="inlineStr">
        <is>
          <t>SEM COTAÇÃO</t>
        </is>
      </c>
      <c r="M4364" s="8" t="n"/>
      <c r="N4364" s="14" t="n"/>
      <c r="O4364" s="7" t="inlineStr"/>
      <c r="P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7" t="inlineStr">
        <is>
          <t>SEM COTAÇÃO</t>
        </is>
      </c>
      <c r="M4365" s="8" t="n"/>
      <c r="N4365" s="14" t="n"/>
      <c r="O4365" s="7" t="inlineStr"/>
      <c r="P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/>
      <c r="K4366" s="8" t="n"/>
      <c r="L4366" s="7" t="inlineStr">
        <is>
          <t>SEM COTAÇÃO</t>
        </is>
      </c>
      <c r="M4366" s="8" t="n"/>
      <c r="N4366" s="14" t="n"/>
      <c r="O4366" s="7" t="inlineStr"/>
      <c r="P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/>
      <c r="K4367" s="8" t="n"/>
      <c r="L4367" s="7" t="inlineStr">
        <is>
          <t>SEM COTAÇÃO</t>
        </is>
      </c>
      <c r="M4367" s="8" t="n"/>
      <c r="N4367" s="14" t="n"/>
      <c r="O4367" s="7" t="inlineStr"/>
      <c r="P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/>
      <c r="K4368" s="8" t="n"/>
      <c r="L4368" s="7" t="inlineStr">
        <is>
          <t>SEM COTAÇÃO</t>
        </is>
      </c>
      <c r="M4368" s="8" t="n"/>
      <c r="N4368" s="14" t="n"/>
      <c r="O4368" s="7" t="inlineStr"/>
      <c r="P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/>
      <c r="K4369" s="8" t="n"/>
      <c r="L4369" s="7" t="inlineStr">
        <is>
          <t>SEM COTAÇÃO</t>
        </is>
      </c>
      <c r="M4369" s="8" t="n"/>
      <c r="N4369" s="14" t="n"/>
      <c r="O4369" s="7" t="inlineStr"/>
      <c r="P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/>
      <c r="K4370" s="8" t="n"/>
      <c r="L4370" s="7" t="inlineStr">
        <is>
          <t>SEM COTAÇÃO</t>
        </is>
      </c>
      <c r="M4370" s="8" t="n"/>
      <c r="N4370" s="14" t="n"/>
      <c r="O4370" s="7" t="inlineStr"/>
      <c r="P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/>
      <c r="K4371" s="8" t="n"/>
      <c r="L4371" s="7" t="inlineStr">
        <is>
          <t>SEM COTAÇÃO</t>
        </is>
      </c>
      <c r="M4371" s="8" t="n"/>
      <c r="N4371" s="14" t="n"/>
      <c r="O4371" s="7" t="inlineStr"/>
      <c r="P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/>
      <c r="K4372" s="8" t="n"/>
      <c r="L4372" s="7" t="inlineStr">
        <is>
          <t>SEM COTAÇÃO</t>
        </is>
      </c>
      <c r="M4372" s="8" t="n"/>
      <c r="N4372" s="14" t="n"/>
      <c r="O4372" s="7" t="inlineStr"/>
      <c r="P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/>
      <c r="K4373" s="8" t="n"/>
      <c r="L4373" s="7" t="inlineStr">
        <is>
          <t>SEM COTAÇÃO</t>
        </is>
      </c>
      <c r="M4373" s="8" t="n"/>
      <c r="N4373" s="14" t="n"/>
      <c r="O4373" s="7" t="inlineStr"/>
      <c r="P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/>
      <c r="K4374" s="8" t="n"/>
      <c r="L4374" s="7" t="inlineStr">
        <is>
          <t>SEM COTAÇÃO</t>
        </is>
      </c>
      <c r="M4374" s="8" t="n"/>
      <c r="N4374" s="14" t="n"/>
      <c r="O4374" s="7" t="inlineStr"/>
      <c r="P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/>
      <c r="K4375" s="8" t="n"/>
      <c r="L4375" s="7" t="inlineStr">
        <is>
          <t>SEM COTAÇÃO</t>
        </is>
      </c>
      <c r="M4375" s="8" t="n"/>
      <c r="N4375" s="14" t="n"/>
      <c r="O4375" s="7" t="inlineStr"/>
      <c r="P4375" s="7" t="inlineStr"/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/>
      <c r="K4376" s="8" t="n"/>
      <c r="L4376" s="7" t="inlineStr">
        <is>
          <t>SEM COTAÇÃO</t>
        </is>
      </c>
      <c r="M4376" s="8" t="n"/>
      <c r="N4376" s="14" t="n"/>
      <c r="O4376" s="7" t="inlineStr"/>
      <c r="P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/>
      <c r="K4377" s="8" t="n"/>
      <c r="L4377" s="7" t="inlineStr">
        <is>
          <t>SEM COTAÇÃO</t>
        </is>
      </c>
      <c r="M4377" s="8" t="n"/>
      <c r="N4377" s="14" t="n"/>
      <c r="O4377" s="7" t="inlineStr"/>
      <c r="P4377" s="7" t="inlineStr"/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/>
      <c r="K4378" s="8" t="n"/>
      <c r="L4378" s="7" t="inlineStr">
        <is>
          <t>SEM COTAÇÃO</t>
        </is>
      </c>
      <c r="M4378" s="8" t="n"/>
      <c r="N4378" s="14" t="n"/>
      <c r="O4378" s="7" t="inlineStr"/>
      <c r="P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/>
      <c r="K4379" s="8" t="n"/>
      <c r="L4379" s="7" t="inlineStr">
        <is>
          <t>SEM COTAÇÃO</t>
        </is>
      </c>
      <c r="M4379" s="8" t="n"/>
      <c r="N4379" s="14" t="n"/>
      <c r="O4379" s="7" t="inlineStr"/>
      <c r="P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/>
      <c r="K4380" s="8" t="n"/>
      <c r="L4380" s="7" t="inlineStr">
        <is>
          <t>SEM COTAÇÃO</t>
        </is>
      </c>
      <c r="M4380" s="8" t="n"/>
      <c r="N4380" s="14" t="n"/>
      <c r="O4380" s="7" t="inlineStr"/>
      <c r="P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/>
      <c r="K4381" s="8" t="n"/>
      <c r="L4381" s="7" t="inlineStr">
        <is>
          <t>SEM COTAÇÃO</t>
        </is>
      </c>
      <c r="M4381" s="8" t="n"/>
      <c r="N4381" s="14" t="n"/>
      <c r="O4381" s="7" t="inlineStr"/>
      <c r="P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/>
      <c r="K4382" s="8" t="n"/>
      <c r="L4382" s="7" t="inlineStr">
        <is>
          <t>SEM COTAÇÃO</t>
        </is>
      </c>
      <c r="M4382" s="8" t="n"/>
      <c r="N4382" s="14" t="n"/>
      <c r="O4382" s="7" t="inlineStr"/>
      <c r="P4382" s="7" t="inlineStr"/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/>
      <c r="K4383" s="8" t="n"/>
      <c r="L4383" s="7" t="inlineStr">
        <is>
          <t>SEM COTAÇÃO</t>
        </is>
      </c>
      <c r="M4383" s="8" t="n"/>
      <c r="N4383" s="14" t="n"/>
      <c r="O4383" s="7" t="inlineStr"/>
      <c r="P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/>
      <c r="K4384" s="8" t="n"/>
      <c r="L4384" s="7" t="inlineStr">
        <is>
          <t>SEM COTAÇÃO</t>
        </is>
      </c>
      <c r="M4384" s="8" t="n"/>
      <c r="N4384" s="14" t="n"/>
      <c r="O4384" s="7" t="inlineStr"/>
      <c r="P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/>
      <c r="K4385" s="8" t="n"/>
      <c r="L4385" s="7" t="inlineStr">
        <is>
          <t>SEM COTAÇÃO</t>
        </is>
      </c>
      <c r="M4385" s="8" t="n"/>
      <c r="N4385" s="14" t="n"/>
      <c r="O4385" s="7" t="inlineStr"/>
      <c r="P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/>
      <c r="K4386" s="8" t="n"/>
      <c r="L4386" s="7" t="inlineStr">
        <is>
          <t>SEM COTAÇÃO</t>
        </is>
      </c>
      <c r="M4386" s="8" t="n"/>
      <c r="N4386" s="14" t="n"/>
      <c r="O4386" s="7" t="inlineStr"/>
      <c r="P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/>
      <c r="K4387" s="8" t="n"/>
      <c r="L4387" s="7" t="inlineStr">
        <is>
          <t>SEM COTAÇÃO</t>
        </is>
      </c>
      <c r="M4387" s="8" t="n"/>
      <c r="N4387" s="14" t="n"/>
      <c r="O4387" s="7" t="inlineStr"/>
      <c r="P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/>
      <c r="K4388" s="8" t="n"/>
      <c r="L4388" s="7" t="inlineStr">
        <is>
          <t>SEM COTAÇÃO</t>
        </is>
      </c>
      <c r="M4388" s="8" t="n"/>
      <c r="N4388" s="14" t="n"/>
      <c r="O4388" s="7" t="inlineStr"/>
      <c r="P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/>
      <c r="K4389" s="8" t="n"/>
      <c r="L4389" s="7" t="inlineStr">
        <is>
          <t>SEM COTAÇÃO</t>
        </is>
      </c>
      <c r="M4389" s="8" t="n"/>
      <c r="N4389" s="14" t="n"/>
      <c r="O4389" s="7" t="inlineStr"/>
      <c r="P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/>
      <c r="K4390" s="8" t="n"/>
      <c r="L4390" s="7" t="inlineStr">
        <is>
          <t>SEM COTAÇÃO</t>
        </is>
      </c>
      <c r="M4390" s="8" t="n"/>
      <c r="N4390" s="14" t="n"/>
      <c r="O4390" s="7" t="inlineStr"/>
      <c r="P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/>
      <c r="K4391" s="8" t="n"/>
      <c r="L4391" s="7" t="inlineStr">
        <is>
          <t>SEM COTAÇÃO</t>
        </is>
      </c>
      <c r="M4391" s="8" t="n"/>
      <c r="N4391" s="14" t="n"/>
      <c r="O4391" s="7" t="inlineStr"/>
      <c r="P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/>
      <c r="K4392" s="8" t="n"/>
      <c r="L4392" s="7" t="inlineStr">
        <is>
          <t>SEM COTAÇÃO</t>
        </is>
      </c>
      <c r="M4392" s="8" t="n"/>
      <c r="N4392" s="14" t="n"/>
      <c r="O4392" s="7" t="inlineStr"/>
      <c r="P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/>
      <c r="K4393" s="8" t="n"/>
      <c r="L4393" s="7" t="inlineStr">
        <is>
          <t>SEM COTAÇÃO</t>
        </is>
      </c>
      <c r="M4393" s="8" t="n"/>
      <c r="N4393" s="14" t="n"/>
      <c r="O4393" s="7" t="inlineStr"/>
      <c r="P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/>
      <c r="K4394" s="8" t="n"/>
      <c r="L4394" s="7" t="inlineStr">
        <is>
          <t>SEM COTAÇÃO</t>
        </is>
      </c>
      <c r="M4394" s="8" t="n"/>
      <c r="N4394" s="14" t="n"/>
      <c r="O4394" s="7" t="inlineStr"/>
      <c r="P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/>
      <c r="K4395" s="8" t="n"/>
      <c r="L4395" s="7" t="inlineStr">
        <is>
          <t>SEM COTAÇÃO</t>
        </is>
      </c>
      <c r="M4395" s="8" t="n"/>
      <c r="N4395" s="14" t="n"/>
      <c r="O4395" s="7" t="inlineStr"/>
      <c r="P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/>
      <c r="K4396" s="8" t="n"/>
      <c r="L4396" s="7" t="inlineStr">
        <is>
          <t>SEM COTAÇÃO</t>
        </is>
      </c>
      <c r="M4396" s="8" t="n"/>
      <c r="N4396" s="14" t="n"/>
      <c r="O4396" s="7" t="inlineStr"/>
      <c r="P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/>
      <c r="K4397" s="8" t="n"/>
      <c r="L4397" s="7" t="inlineStr">
        <is>
          <t>SEM COTAÇÃO</t>
        </is>
      </c>
      <c r="M4397" s="8" t="n"/>
      <c r="N4397" s="14" t="n"/>
      <c r="O4397" s="7" t="inlineStr"/>
      <c r="P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/>
      <c r="K4398" s="8" t="n"/>
      <c r="L4398" s="7" t="inlineStr">
        <is>
          <t>SEM COTAÇÃO</t>
        </is>
      </c>
      <c r="M4398" s="8" t="n"/>
      <c r="N4398" s="14" t="n"/>
      <c r="O4398" s="7" t="inlineStr"/>
      <c r="P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/>
      <c r="K4399" s="8" t="n"/>
      <c r="L4399" s="7" t="inlineStr">
        <is>
          <t>SEM COTAÇÃO</t>
        </is>
      </c>
      <c r="M4399" s="8" t="n"/>
      <c r="N4399" s="14" t="n"/>
      <c r="O4399" s="7" t="inlineStr"/>
      <c r="P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/>
      <c r="K4400" s="8" t="n"/>
      <c r="L4400" s="7" t="inlineStr">
        <is>
          <t>SEM COTAÇÃO</t>
        </is>
      </c>
      <c r="M4400" s="8" t="n"/>
      <c r="N4400" s="14" t="n"/>
      <c r="O4400" s="7" t="inlineStr"/>
      <c r="P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/>
      <c r="K4401" s="8" t="n"/>
      <c r="L4401" s="7" t="inlineStr">
        <is>
          <t>SEM COTAÇÃO</t>
        </is>
      </c>
      <c r="M4401" s="8" t="n"/>
      <c r="N4401" s="14" t="n"/>
      <c r="O4401" s="7" t="inlineStr"/>
      <c r="P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/>
      <c r="K4402" s="8" t="n"/>
      <c r="L4402" s="7" t="inlineStr">
        <is>
          <t>SEM COTAÇÃO</t>
        </is>
      </c>
      <c r="M4402" s="8" t="n"/>
      <c r="N4402" s="14" t="n"/>
      <c r="O4402" s="7" t="inlineStr"/>
      <c r="P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/>
      <c r="K4403" s="8" t="n"/>
      <c r="L4403" s="7" t="inlineStr">
        <is>
          <t>SEM COTAÇÃO</t>
        </is>
      </c>
      <c r="M4403" s="8" t="n"/>
      <c r="N4403" s="14" t="n"/>
      <c r="O4403" s="7" t="inlineStr"/>
      <c r="P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/>
      <c r="K4404" s="8" t="n"/>
      <c r="L4404" s="7" t="inlineStr">
        <is>
          <t>SEM COTAÇÃO</t>
        </is>
      </c>
      <c r="M4404" s="8" t="n"/>
      <c r="N4404" s="14" t="n"/>
      <c r="O4404" s="7" t="inlineStr"/>
      <c r="P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/>
      <c r="K4405" s="8" t="n"/>
      <c r="L4405" s="7" t="inlineStr">
        <is>
          <t>SEM COTAÇÃO</t>
        </is>
      </c>
      <c r="M4405" s="8" t="n"/>
      <c r="N4405" s="14" t="n"/>
      <c r="O4405" s="7" t="inlineStr"/>
      <c r="P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/>
      <c r="K4406" s="8" t="n"/>
      <c r="L4406" s="7" t="inlineStr">
        <is>
          <t>SEM COTAÇÃO</t>
        </is>
      </c>
      <c r="M4406" s="8" t="n"/>
      <c r="N4406" s="14" t="n"/>
      <c r="O4406" s="7" t="inlineStr"/>
      <c r="P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/>
      <c r="K4407" s="8" t="n"/>
      <c r="L4407" s="7" t="inlineStr">
        <is>
          <t>SEM COTAÇÃO</t>
        </is>
      </c>
      <c r="M4407" s="8" t="n"/>
      <c r="N4407" s="14" t="n"/>
      <c r="O4407" s="7" t="inlineStr"/>
      <c r="P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/>
      <c r="K4408" s="8" t="n"/>
      <c r="L4408" s="7" t="inlineStr">
        <is>
          <t>SEM COTAÇÃO</t>
        </is>
      </c>
      <c r="M4408" s="8" t="n"/>
      <c r="N4408" s="14" t="n"/>
      <c r="O4408" s="7" t="inlineStr"/>
      <c r="P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/>
      <c r="K4409" s="8" t="n"/>
      <c r="L4409" s="7" t="inlineStr">
        <is>
          <t>SEM COTAÇÃO</t>
        </is>
      </c>
      <c r="M4409" s="8" t="n"/>
      <c r="N4409" s="14" t="n"/>
      <c r="O4409" s="7" t="inlineStr"/>
      <c r="P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15" t="n">
        <v>4.31</v>
      </c>
      <c r="K4410" s="8" t="n"/>
      <c r="L4410" s="7" t="inlineStr">
        <is>
          <t>DIMEC</t>
        </is>
      </c>
      <c r="M4410" s="8" t="n">
        <v>4.31</v>
      </c>
      <c r="N4410" s="14">
        <f>M4410/H4410-1</f>
        <v/>
      </c>
      <c r="O4410" s="17" t="inlineStr">
        <is>
          <t>OK (≤ menor hist.)</t>
        </is>
      </c>
      <c r="P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/>
      <c r="K4411" s="8" t="n"/>
      <c r="L4411" s="7" t="inlineStr">
        <is>
          <t>SEM COTAÇÃO</t>
        </is>
      </c>
      <c r="M4411" s="8" t="n"/>
      <c r="N4411" s="14" t="n"/>
      <c r="O4411" s="7" t="inlineStr"/>
      <c r="P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/>
      <c r="K4412" s="8" t="n"/>
      <c r="L4412" s="7" t="inlineStr">
        <is>
          <t>SEM COTAÇÃO</t>
        </is>
      </c>
      <c r="M4412" s="8" t="n"/>
      <c r="N4412" s="14" t="n"/>
      <c r="O4412" s="7" t="inlineStr"/>
      <c r="P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/>
      <c r="K4413" s="8" t="n"/>
      <c r="L4413" s="7" t="inlineStr">
        <is>
          <t>SEM COTAÇÃO</t>
        </is>
      </c>
      <c r="M4413" s="8" t="n"/>
      <c r="N4413" s="14" t="n"/>
      <c r="O4413" s="7" t="inlineStr"/>
      <c r="P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/>
      <c r="K4414" s="8" t="n"/>
      <c r="L4414" s="7" t="inlineStr">
        <is>
          <t>SEM COTAÇÃO</t>
        </is>
      </c>
      <c r="M4414" s="8" t="n"/>
      <c r="N4414" s="14" t="n"/>
      <c r="O4414" s="7" t="inlineStr"/>
      <c r="P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15" t="n">
        <v>51.3</v>
      </c>
      <c r="K4415" s="8" t="n"/>
      <c r="L4415" s="7" t="inlineStr">
        <is>
          <t>DIMEC</t>
        </is>
      </c>
      <c r="M4415" s="8" t="n">
        <v>51.3</v>
      </c>
      <c r="N4415" s="14">
        <f>M4415/H4415-1</f>
        <v/>
      </c>
      <c r="O4415" s="16" t="inlineStr">
        <is>
          <t>ACIMA +10.5%</t>
        </is>
      </c>
      <c r="P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/>
      <c r="K4416" s="15" t="n">
        <v>29.9</v>
      </c>
      <c r="L4416" s="7" t="inlineStr">
        <is>
          <t>PLUSFARMA</t>
        </is>
      </c>
      <c r="M4416" s="8" t="n">
        <v>29.9</v>
      </c>
      <c r="N4416" s="14">
        <f>M4416/H4416-1</f>
        <v/>
      </c>
      <c r="O4416" s="17" t="inlineStr">
        <is>
          <t>OK (≤ menor hist.)</t>
        </is>
      </c>
      <c r="P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15" t="n">
        <v>67.45999999999999</v>
      </c>
      <c r="K4417" s="8" t="n"/>
      <c r="L4417" s="7" t="inlineStr">
        <is>
          <t>DIMEC</t>
        </is>
      </c>
      <c r="M4417" s="8" t="n">
        <v>67.45999999999999</v>
      </c>
      <c r="N4417" s="14">
        <f>M4417/H4417-1</f>
        <v/>
      </c>
      <c r="O4417" s="16" t="inlineStr">
        <is>
          <t>ACIMA +30.7%</t>
        </is>
      </c>
      <c r="P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/>
      <c r="K4418" s="8" t="n"/>
      <c r="L4418" s="7" t="inlineStr">
        <is>
          <t>SEM COTAÇÃO</t>
        </is>
      </c>
      <c r="M4418" s="8" t="n"/>
      <c r="N4418" s="14" t="n"/>
      <c r="O4418" s="7" t="inlineStr"/>
      <c r="P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/>
      <c r="K4419" s="8" t="n"/>
      <c r="L4419" s="7" t="inlineStr">
        <is>
          <t>SEM COTAÇÃO</t>
        </is>
      </c>
      <c r="M4419" s="8" t="n"/>
      <c r="N4419" s="14" t="n"/>
      <c r="O4419" s="7" t="inlineStr"/>
      <c r="P4419" s="7" t="inlineStr"/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/>
      <c r="K4420" s="8" t="n"/>
      <c r="L4420" s="7" t="inlineStr">
        <is>
          <t>SEM COTAÇÃO</t>
        </is>
      </c>
      <c r="M4420" s="8" t="n"/>
      <c r="N4420" s="14" t="n"/>
      <c r="O4420" s="7" t="inlineStr"/>
      <c r="P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/>
      <c r="K4421" s="8" t="n"/>
      <c r="L4421" s="7" t="inlineStr">
        <is>
          <t>SEM COTAÇÃO</t>
        </is>
      </c>
      <c r="M4421" s="8" t="n"/>
      <c r="N4421" s="14" t="n"/>
      <c r="O4421" s="7" t="inlineStr"/>
      <c r="P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/>
      <c r="K4422" s="8" t="n"/>
      <c r="L4422" s="7" t="inlineStr">
        <is>
          <t>SEM COTAÇÃO</t>
        </is>
      </c>
      <c r="M4422" s="8" t="n"/>
      <c r="N4422" s="14" t="n"/>
      <c r="O4422" s="7" t="inlineStr"/>
      <c r="P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/>
      <c r="K4423" s="8" t="n"/>
      <c r="L4423" s="7" t="inlineStr">
        <is>
          <t>SEM COTAÇÃO</t>
        </is>
      </c>
      <c r="M4423" s="8" t="n"/>
      <c r="N4423" s="14" t="n"/>
      <c r="O4423" s="7" t="inlineStr"/>
      <c r="P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/>
      <c r="K4424" s="8" t="n"/>
      <c r="L4424" s="7" t="inlineStr">
        <is>
          <t>SEM COTAÇÃO</t>
        </is>
      </c>
      <c r="M4424" s="8" t="n"/>
      <c r="N4424" s="14" t="n"/>
      <c r="O4424" s="7" t="inlineStr"/>
      <c r="P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/>
      <c r="K4425" s="8" t="n"/>
      <c r="L4425" s="7" t="inlineStr">
        <is>
          <t>SEM COTAÇÃO</t>
        </is>
      </c>
      <c r="M4425" s="8" t="n"/>
      <c r="N4425" s="14" t="n"/>
      <c r="O4425" s="7" t="inlineStr"/>
      <c r="P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/>
      <c r="K4426" s="8" t="n"/>
      <c r="L4426" s="7" t="inlineStr">
        <is>
          <t>SEM COTAÇÃO</t>
        </is>
      </c>
      <c r="M4426" s="8" t="n"/>
      <c r="N4426" s="14" t="n"/>
      <c r="O4426" s="7" t="inlineStr"/>
      <c r="P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/>
      <c r="K4427" s="8" t="n"/>
      <c r="L4427" s="7" t="inlineStr">
        <is>
          <t>SEM COTAÇÃO</t>
        </is>
      </c>
      <c r="M4427" s="8" t="n"/>
      <c r="N4427" s="14" t="n"/>
      <c r="O4427" s="7" t="inlineStr"/>
      <c r="P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/>
      <c r="K4428" s="8" t="n"/>
      <c r="L4428" s="7" t="inlineStr">
        <is>
          <t>SEM COTAÇÃO</t>
        </is>
      </c>
      <c r="M4428" s="8" t="n"/>
      <c r="N4428" s="14" t="n"/>
      <c r="O4428" s="7" t="inlineStr"/>
      <c r="P4428" s="7" t="inlineStr"/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/>
      <c r="K4429" s="8" t="n"/>
      <c r="L4429" s="7" t="inlineStr">
        <is>
          <t>SEM COTAÇÃO</t>
        </is>
      </c>
      <c r="M4429" s="8" t="n"/>
      <c r="N4429" s="14" t="n"/>
      <c r="O4429" s="7" t="inlineStr"/>
      <c r="P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/>
      <c r="K4430" s="8" t="n"/>
      <c r="L4430" s="7" t="inlineStr">
        <is>
          <t>SEM COTAÇÃO</t>
        </is>
      </c>
      <c r="M4430" s="8" t="n"/>
      <c r="N4430" s="14" t="n"/>
      <c r="O4430" s="7" t="inlineStr"/>
      <c r="P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/>
      <c r="K4431" s="8" t="n"/>
      <c r="L4431" s="7" t="inlineStr">
        <is>
          <t>SEM COTAÇÃO</t>
        </is>
      </c>
      <c r="M4431" s="8" t="n"/>
      <c r="N4431" s="14" t="n"/>
      <c r="O4431" s="7" t="inlineStr"/>
      <c r="P4431" s="7" t="inlineStr"/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/>
      <c r="K4432" s="8" t="n"/>
      <c r="L4432" s="7" t="inlineStr">
        <is>
          <t>SEM COTAÇÃO</t>
        </is>
      </c>
      <c r="M4432" s="8" t="n"/>
      <c r="N4432" s="14" t="n"/>
      <c r="O4432" s="7" t="inlineStr"/>
      <c r="P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/>
      <c r="K4433" s="8" t="n"/>
      <c r="L4433" s="7" t="inlineStr">
        <is>
          <t>SEM COTAÇÃO</t>
        </is>
      </c>
      <c r="M4433" s="8" t="n"/>
      <c r="N4433" s="14" t="n"/>
      <c r="O4433" s="7" t="inlineStr"/>
      <c r="P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/>
      <c r="K4434" s="8" t="n"/>
      <c r="L4434" s="7" t="inlineStr">
        <is>
          <t>SEM COTAÇÃO</t>
        </is>
      </c>
      <c r="M4434" s="8" t="n"/>
      <c r="N4434" s="14" t="n"/>
      <c r="O4434" s="7" t="inlineStr"/>
      <c r="P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/>
      <c r="K4435" s="8" t="n"/>
      <c r="L4435" s="7" t="inlineStr">
        <is>
          <t>SEM COTAÇÃO</t>
        </is>
      </c>
      <c r="M4435" s="8" t="n"/>
      <c r="N4435" s="14" t="n"/>
      <c r="O4435" s="7" t="inlineStr"/>
      <c r="P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/>
      <c r="K4436" s="8" t="n"/>
      <c r="L4436" s="7" t="inlineStr">
        <is>
          <t>SEM COTAÇÃO</t>
        </is>
      </c>
      <c r="M4436" s="8" t="n"/>
      <c r="N4436" s="14" t="n"/>
      <c r="O4436" s="7" t="inlineStr"/>
      <c r="P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/>
      <c r="K4437" s="8" t="n"/>
      <c r="L4437" s="7" t="inlineStr">
        <is>
          <t>SEM COTAÇÃO</t>
        </is>
      </c>
      <c r="M4437" s="8" t="n"/>
      <c r="N4437" s="14" t="n"/>
      <c r="O4437" s="7" t="inlineStr"/>
      <c r="P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/>
      <c r="K4438" s="8" t="n"/>
      <c r="L4438" s="7" t="inlineStr">
        <is>
          <t>SEM COTAÇÃO</t>
        </is>
      </c>
      <c r="M4438" s="8" t="n"/>
      <c r="N4438" s="14" t="n"/>
      <c r="O4438" s="7" t="inlineStr"/>
      <c r="P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/>
      <c r="K4439" s="8" t="n"/>
      <c r="L4439" s="7" t="inlineStr">
        <is>
          <t>SEM COTAÇÃO</t>
        </is>
      </c>
      <c r="M4439" s="8" t="n"/>
      <c r="N4439" s="14" t="n"/>
      <c r="O4439" s="7" t="inlineStr"/>
      <c r="P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/>
      <c r="K4440" s="8" t="n"/>
      <c r="L4440" s="7" t="inlineStr">
        <is>
          <t>SEM COTAÇÃO</t>
        </is>
      </c>
      <c r="M4440" s="8" t="n"/>
      <c r="N4440" s="14" t="n"/>
      <c r="O4440" s="7" t="inlineStr"/>
      <c r="P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/>
      <c r="K4441" s="8" t="n"/>
      <c r="L4441" s="7" t="inlineStr">
        <is>
          <t>SEM COTAÇÃO</t>
        </is>
      </c>
      <c r="M4441" s="8" t="n"/>
      <c r="N4441" s="14" t="n"/>
      <c r="O4441" s="7" t="inlineStr"/>
      <c r="P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/>
      <c r="K4442" s="8" t="n"/>
      <c r="L4442" s="7" t="inlineStr">
        <is>
          <t>SEM COTAÇÃO</t>
        </is>
      </c>
      <c r="M4442" s="8" t="n"/>
      <c r="N4442" s="14" t="n"/>
      <c r="O4442" s="7" t="inlineStr"/>
      <c r="P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/>
      <c r="K4443" s="8" t="n"/>
      <c r="L4443" s="7" t="inlineStr">
        <is>
          <t>SEM COTAÇÃO</t>
        </is>
      </c>
      <c r="M4443" s="8" t="n"/>
      <c r="N4443" s="14" t="n"/>
      <c r="O4443" s="7" t="inlineStr"/>
      <c r="P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7" t="inlineStr">
        <is>
          <t>SEM COTAÇÃO</t>
        </is>
      </c>
      <c r="M4444" s="8" t="n"/>
      <c r="N4444" s="14" t="n"/>
      <c r="O4444" s="7" t="inlineStr"/>
      <c r="P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/>
      <c r="K4445" s="8" t="n"/>
      <c r="L4445" s="7" t="inlineStr">
        <is>
          <t>SEM COTAÇÃO</t>
        </is>
      </c>
      <c r="M4445" s="8" t="n"/>
      <c r="N4445" s="14" t="n"/>
      <c r="O4445" s="7" t="inlineStr"/>
      <c r="P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/>
      <c r="K4446" s="8" t="n"/>
      <c r="L4446" s="7" t="inlineStr">
        <is>
          <t>SEM COTAÇÃO</t>
        </is>
      </c>
      <c r="M4446" s="8" t="n"/>
      <c r="N4446" s="14" t="n"/>
      <c r="O4446" s="7" t="inlineStr"/>
      <c r="P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/>
      <c r="K4447" s="8" t="n"/>
      <c r="L4447" s="7" t="inlineStr">
        <is>
          <t>SEM COTAÇÃO</t>
        </is>
      </c>
      <c r="M4447" s="8" t="n"/>
      <c r="N4447" s="14" t="n"/>
      <c r="O4447" s="7" t="inlineStr"/>
      <c r="P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/>
      <c r="K4448" s="8" t="n"/>
      <c r="L4448" s="7" t="inlineStr">
        <is>
          <t>SEM COTAÇÃO</t>
        </is>
      </c>
      <c r="M4448" s="8" t="n"/>
      <c r="N4448" s="14" t="n"/>
      <c r="O4448" s="7" t="inlineStr"/>
      <c r="P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/>
      <c r="K4449" s="8" t="n"/>
      <c r="L4449" s="7" t="inlineStr">
        <is>
          <t>SEM COTAÇÃO</t>
        </is>
      </c>
      <c r="M4449" s="8" t="n"/>
      <c r="N4449" s="14" t="n"/>
      <c r="O4449" s="7" t="inlineStr"/>
      <c r="P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/>
      <c r="K4450" s="8" t="n"/>
      <c r="L4450" s="7" t="inlineStr">
        <is>
          <t>SEM COTAÇÃO</t>
        </is>
      </c>
      <c r="M4450" s="8" t="n"/>
      <c r="N4450" s="14" t="n"/>
      <c r="O4450" s="7" t="inlineStr"/>
      <c r="P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/>
      <c r="K4451" s="8" t="n"/>
      <c r="L4451" s="7" t="inlineStr">
        <is>
          <t>SEM COTAÇÃO</t>
        </is>
      </c>
      <c r="M4451" s="8" t="n"/>
      <c r="N4451" s="14" t="n"/>
      <c r="O4451" s="7" t="inlineStr"/>
      <c r="P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/>
      <c r="K4452" s="8" t="n"/>
      <c r="L4452" s="7" t="inlineStr">
        <is>
          <t>SEM COTAÇÃO</t>
        </is>
      </c>
      <c r="M4452" s="8" t="n"/>
      <c r="N4452" s="14" t="n"/>
      <c r="O4452" s="7" t="inlineStr"/>
      <c r="P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/>
      <c r="K4453" s="8" t="n"/>
      <c r="L4453" s="7" t="inlineStr">
        <is>
          <t>SEM COTAÇÃO</t>
        </is>
      </c>
      <c r="M4453" s="8" t="n"/>
      <c r="N4453" s="14" t="n"/>
      <c r="O4453" s="7" t="inlineStr"/>
      <c r="P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/>
      <c r="K4454" s="8" t="n"/>
      <c r="L4454" s="7" t="inlineStr">
        <is>
          <t>SEM COTAÇÃO</t>
        </is>
      </c>
      <c r="M4454" s="8" t="n"/>
      <c r="N4454" s="14" t="n"/>
      <c r="O4454" s="7" t="inlineStr"/>
      <c r="P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/>
      <c r="K4455" s="8" t="n"/>
      <c r="L4455" s="7" t="inlineStr">
        <is>
          <t>SEM COTAÇÃO</t>
        </is>
      </c>
      <c r="M4455" s="8" t="n"/>
      <c r="N4455" s="14" t="n"/>
      <c r="O4455" s="7" t="inlineStr"/>
      <c r="P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15" t="n">
        <v>35.81</v>
      </c>
      <c r="K4456" s="8" t="n"/>
      <c r="L4456" s="7" t="inlineStr">
        <is>
          <t>DIMEC</t>
        </is>
      </c>
      <c r="M4456" s="8" t="n">
        <v>35.81</v>
      </c>
      <c r="N4456" s="14">
        <f>M4456/H4456-1</f>
        <v/>
      </c>
      <c r="O4456" s="17" t="inlineStr">
        <is>
          <t>OK (≤ menor hist.)</t>
        </is>
      </c>
      <c r="P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/>
      <c r="K4457" s="8" t="n"/>
      <c r="L4457" s="7" t="inlineStr">
        <is>
          <t>SEM COTAÇÃO</t>
        </is>
      </c>
      <c r="M4457" s="8" t="n"/>
      <c r="N4457" s="14" t="n"/>
      <c r="O4457" s="7" t="inlineStr"/>
      <c r="P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/>
      <c r="K4458" s="8" t="n"/>
      <c r="L4458" s="7" t="inlineStr">
        <is>
          <t>SEM COTAÇÃO</t>
        </is>
      </c>
      <c r="M4458" s="8" t="n"/>
      <c r="N4458" s="14" t="n"/>
      <c r="O4458" s="7" t="inlineStr"/>
      <c r="P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/>
      <c r="K4459" s="8" t="n"/>
      <c r="L4459" s="7" t="inlineStr">
        <is>
          <t>SEM COTAÇÃO</t>
        </is>
      </c>
      <c r="M4459" s="8" t="n"/>
      <c r="N4459" s="14" t="n"/>
      <c r="O4459" s="7" t="inlineStr"/>
      <c r="P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/>
      <c r="K4460" s="8" t="n"/>
      <c r="L4460" s="7" t="inlineStr">
        <is>
          <t>SEM COTAÇÃO</t>
        </is>
      </c>
      <c r="M4460" s="8" t="n"/>
      <c r="N4460" s="14" t="n"/>
      <c r="O4460" s="7" t="inlineStr"/>
      <c r="P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/>
      <c r="K4461" s="8" t="n"/>
      <c r="L4461" s="7" t="inlineStr">
        <is>
          <t>SEM COTAÇÃO</t>
        </is>
      </c>
      <c r="M4461" s="8" t="n"/>
      <c r="N4461" s="14" t="n"/>
      <c r="O4461" s="7" t="inlineStr"/>
      <c r="P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/>
      <c r="K4462" s="8" t="n"/>
      <c r="L4462" s="7" t="inlineStr">
        <is>
          <t>SEM COTAÇÃO</t>
        </is>
      </c>
      <c r="M4462" s="8" t="n"/>
      <c r="N4462" s="14" t="n"/>
      <c r="O4462" s="7" t="inlineStr"/>
      <c r="P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/>
      <c r="K4463" s="8" t="n"/>
      <c r="L4463" s="7" t="inlineStr">
        <is>
          <t>SEM COTAÇÃO</t>
        </is>
      </c>
      <c r="M4463" s="8" t="n"/>
      <c r="N4463" s="14" t="n"/>
      <c r="O4463" s="7" t="inlineStr"/>
      <c r="P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/>
      <c r="K4464" s="8" t="n"/>
      <c r="L4464" s="7" t="inlineStr">
        <is>
          <t>SEM COTAÇÃO</t>
        </is>
      </c>
      <c r="M4464" s="8" t="n"/>
      <c r="N4464" s="14" t="n"/>
      <c r="O4464" s="7" t="inlineStr"/>
      <c r="P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/>
      <c r="K4465" s="8" t="n"/>
      <c r="L4465" s="7" t="inlineStr">
        <is>
          <t>SEM COTAÇÃO</t>
        </is>
      </c>
      <c r="M4465" s="8" t="n"/>
      <c r="N4465" s="14" t="n"/>
      <c r="O4465" s="7" t="inlineStr"/>
      <c r="P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/>
      <c r="K4466" s="8" t="n"/>
      <c r="L4466" s="7" t="inlineStr">
        <is>
          <t>SEM COTAÇÃO</t>
        </is>
      </c>
      <c r="M4466" s="8" t="n"/>
      <c r="N4466" s="14" t="n"/>
      <c r="O4466" s="7" t="inlineStr"/>
      <c r="P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/>
      <c r="K4467" s="8" t="n"/>
      <c r="L4467" s="7" t="inlineStr">
        <is>
          <t>SEM COTAÇÃO</t>
        </is>
      </c>
      <c r="M4467" s="8" t="n"/>
      <c r="N4467" s="14" t="n"/>
      <c r="O4467" s="7" t="inlineStr"/>
      <c r="P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/>
      <c r="K4468" s="8" t="n"/>
      <c r="L4468" s="7" t="inlineStr">
        <is>
          <t>SEM COTAÇÃO</t>
        </is>
      </c>
      <c r="M4468" s="8" t="n"/>
      <c r="N4468" s="14" t="n"/>
      <c r="O4468" s="7" t="inlineStr"/>
      <c r="P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/>
      <c r="K4469" s="8" t="n"/>
      <c r="L4469" s="7" t="inlineStr">
        <is>
          <t>SEM COTAÇÃO</t>
        </is>
      </c>
      <c r="M4469" s="8" t="n"/>
      <c r="N4469" s="14" t="n"/>
      <c r="O4469" s="7" t="inlineStr"/>
      <c r="P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/>
      <c r="K4470" s="8" t="n"/>
      <c r="L4470" s="7" t="inlineStr">
        <is>
          <t>SEM COTAÇÃO</t>
        </is>
      </c>
      <c r="M4470" s="8" t="n"/>
      <c r="N4470" s="14" t="n"/>
      <c r="O4470" s="7" t="inlineStr"/>
      <c r="P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/>
      <c r="K4471" s="8" t="n"/>
      <c r="L4471" s="7" t="inlineStr">
        <is>
          <t>SEM COTAÇÃO</t>
        </is>
      </c>
      <c r="M4471" s="8" t="n"/>
      <c r="N4471" s="14" t="n"/>
      <c r="O4471" s="7" t="inlineStr"/>
      <c r="P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/>
      <c r="K4472" s="8" t="n"/>
      <c r="L4472" s="7" t="inlineStr">
        <is>
          <t>SEM COTAÇÃO</t>
        </is>
      </c>
      <c r="M4472" s="8" t="n"/>
      <c r="N4472" s="14" t="n"/>
      <c r="O4472" s="7" t="inlineStr"/>
      <c r="P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/>
      <c r="K4473" s="8" t="n"/>
      <c r="L4473" s="7" t="inlineStr">
        <is>
          <t>SEM COTAÇÃO</t>
        </is>
      </c>
      <c r="M4473" s="8" t="n"/>
      <c r="N4473" s="14" t="n"/>
      <c r="O4473" s="7" t="inlineStr"/>
      <c r="P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/>
      <c r="K4474" s="8" t="n"/>
      <c r="L4474" s="7" t="inlineStr">
        <is>
          <t>SEM COTAÇÃO</t>
        </is>
      </c>
      <c r="M4474" s="8" t="n"/>
      <c r="N4474" s="14" t="n"/>
      <c r="O4474" s="7" t="inlineStr"/>
      <c r="P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/>
      <c r="K4475" s="8" t="n"/>
      <c r="L4475" s="7" t="inlineStr">
        <is>
          <t>SEM COTAÇÃO</t>
        </is>
      </c>
      <c r="M4475" s="8" t="n"/>
      <c r="N4475" s="14" t="n"/>
      <c r="O4475" s="7" t="inlineStr"/>
      <c r="P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/>
      <c r="K4476" s="8" t="n"/>
      <c r="L4476" s="7" t="inlineStr">
        <is>
          <t>SEM COTAÇÃO</t>
        </is>
      </c>
      <c r="M4476" s="8" t="n"/>
      <c r="N4476" s="14" t="n"/>
      <c r="O4476" s="7" t="inlineStr"/>
      <c r="P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/>
      <c r="K4477" s="8" t="n"/>
      <c r="L4477" s="7" t="inlineStr">
        <is>
          <t>SEM COTAÇÃO</t>
        </is>
      </c>
      <c r="M4477" s="8" t="n"/>
      <c r="N4477" s="14" t="n"/>
      <c r="O4477" s="7" t="inlineStr"/>
      <c r="P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/>
      <c r="K4478" s="8" t="n"/>
      <c r="L4478" s="7" t="inlineStr">
        <is>
          <t>SEM COTAÇÃO</t>
        </is>
      </c>
      <c r="M4478" s="8" t="n"/>
      <c r="N4478" s="14" t="n"/>
      <c r="O4478" s="7" t="inlineStr"/>
      <c r="P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15" t="n">
        <v>22.59</v>
      </c>
      <c r="K4479" s="8" t="n"/>
      <c r="L4479" s="7" t="inlineStr">
        <is>
          <t>DIMEC</t>
        </is>
      </c>
      <c r="M4479" s="8" t="n">
        <v>22.59</v>
      </c>
      <c r="N4479" s="14">
        <f>M4479/H4479-1</f>
        <v/>
      </c>
      <c r="O4479" s="16" t="inlineStr">
        <is>
          <t>ACIMA +37.9%</t>
        </is>
      </c>
      <c r="P4479" s="7" t="inlineStr"/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/>
      <c r="K4480" s="8" t="n"/>
      <c r="L4480" s="7" t="inlineStr">
        <is>
          <t>SEM COTAÇÃO</t>
        </is>
      </c>
      <c r="M4480" s="8" t="n"/>
      <c r="N4480" s="14" t="n"/>
      <c r="O4480" s="7" t="inlineStr"/>
      <c r="P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/>
      <c r="K4481" s="8" t="n"/>
      <c r="L4481" s="7" t="inlineStr">
        <is>
          <t>SEM COTAÇÃO</t>
        </is>
      </c>
      <c r="M4481" s="8" t="n"/>
      <c r="N4481" s="14" t="n"/>
      <c r="O4481" s="7" t="inlineStr"/>
      <c r="P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/>
      <c r="K4482" s="8" t="n"/>
      <c r="L4482" s="7" t="inlineStr">
        <is>
          <t>SEM COTAÇÃO</t>
        </is>
      </c>
      <c r="M4482" s="8" t="n"/>
      <c r="N4482" s="14" t="n"/>
      <c r="O4482" s="7" t="inlineStr"/>
      <c r="P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/>
      <c r="K4483" s="8" t="n"/>
      <c r="L4483" s="7" t="inlineStr">
        <is>
          <t>SEM COTAÇÃO</t>
        </is>
      </c>
      <c r="M4483" s="8" t="n"/>
      <c r="N4483" s="14" t="n"/>
      <c r="O4483" s="7" t="inlineStr"/>
      <c r="P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/>
      <c r="K4484" s="8" t="n"/>
      <c r="L4484" s="7" t="inlineStr">
        <is>
          <t>SEM COTAÇÃO</t>
        </is>
      </c>
      <c r="M4484" s="8" t="n"/>
      <c r="N4484" s="14" t="n"/>
      <c r="O4484" s="7" t="inlineStr"/>
      <c r="P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/>
      <c r="K4485" s="8" t="n"/>
      <c r="L4485" s="7" t="inlineStr">
        <is>
          <t>SEM COTAÇÃO</t>
        </is>
      </c>
      <c r="M4485" s="8" t="n"/>
      <c r="N4485" s="14" t="n"/>
      <c r="O4485" s="7" t="inlineStr"/>
      <c r="P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/>
      <c r="K4486" s="8" t="n"/>
      <c r="L4486" s="7" t="inlineStr">
        <is>
          <t>SEM COTAÇÃO</t>
        </is>
      </c>
      <c r="M4486" s="8" t="n"/>
      <c r="N4486" s="14" t="n"/>
      <c r="O4486" s="7" t="inlineStr"/>
      <c r="P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/>
      <c r="K4487" s="8" t="n"/>
      <c r="L4487" s="7" t="inlineStr">
        <is>
          <t>SEM COTAÇÃO</t>
        </is>
      </c>
      <c r="M4487" s="8" t="n"/>
      <c r="N4487" s="14" t="n"/>
      <c r="O4487" s="7" t="inlineStr"/>
      <c r="P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/>
      <c r="K4488" s="8" t="n"/>
      <c r="L4488" s="7" t="inlineStr">
        <is>
          <t>SEM COTAÇÃO</t>
        </is>
      </c>
      <c r="M4488" s="8" t="n"/>
      <c r="N4488" s="14" t="n"/>
      <c r="O4488" s="7" t="inlineStr"/>
      <c r="P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/>
      <c r="K4489" s="8" t="n"/>
      <c r="L4489" s="7" t="inlineStr">
        <is>
          <t>SEM COTAÇÃO</t>
        </is>
      </c>
      <c r="M4489" s="8" t="n"/>
      <c r="N4489" s="14" t="n"/>
      <c r="O4489" s="7" t="inlineStr"/>
      <c r="P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/>
      <c r="K4490" s="8" t="n"/>
      <c r="L4490" s="7" t="inlineStr">
        <is>
          <t>SEM COTAÇÃO</t>
        </is>
      </c>
      <c r="M4490" s="8" t="n"/>
      <c r="N4490" s="14" t="n"/>
      <c r="O4490" s="7" t="inlineStr"/>
      <c r="P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/>
      <c r="K4491" s="8" t="n"/>
      <c r="L4491" s="7" t="inlineStr">
        <is>
          <t>SEM COTAÇÃO</t>
        </is>
      </c>
      <c r="M4491" s="8" t="n"/>
      <c r="N4491" s="14" t="n"/>
      <c r="O4491" s="7" t="inlineStr"/>
      <c r="P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/>
      <c r="K4492" s="8" t="n"/>
      <c r="L4492" s="7" t="inlineStr">
        <is>
          <t>SEM COTAÇÃO</t>
        </is>
      </c>
      <c r="M4492" s="8" t="n"/>
      <c r="N4492" s="14" t="n"/>
      <c r="O4492" s="7" t="inlineStr"/>
      <c r="P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/>
      <c r="K4493" s="8" t="n"/>
      <c r="L4493" s="7" t="inlineStr">
        <is>
          <t>SEM COTAÇÃO</t>
        </is>
      </c>
      <c r="M4493" s="8" t="n"/>
      <c r="N4493" s="14" t="n"/>
      <c r="O4493" s="7" t="inlineStr"/>
      <c r="P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/>
      <c r="K4494" s="8" t="n"/>
      <c r="L4494" s="7" t="inlineStr">
        <is>
          <t>SEM COTAÇÃO</t>
        </is>
      </c>
      <c r="M4494" s="8" t="n"/>
      <c r="N4494" s="14" t="n"/>
      <c r="O4494" s="7" t="inlineStr"/>
      <c r="P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/>
      <c r="K4495" s="8" t="n"/>
      <c r="L4495" s="7" t="inlineStr">
        <is>
          <t>SEM COTAÇÃO</t>
        </is>
      </c>
      <c r="M4495" s="8" t="n"/>
      <c r="N4495" s="14" t="n"/>
      <c r="O4495" s="7" t="inlineStr"/>
      <c r="P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/>
      <c r="K4496" s="8" t="n"/>
      <c r="L4496" s="7" t="inlineStr">
        <is>
          <t>SEM COTAÇÃO</t>
        </is>
      </c>
      <c r="M4496" s="8" t="n"/>
      <c r="N4496" s="14" t="n"/>
      <c r="O4496" s="7" t="inlineStr"/>
      <c r="P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/>
      <c r="K4497" s="8" t="n"/>
      <c r="L4497" s="7" t="inlineStr">
        <is>
          <t>SEM COTAÇÃO</t>
        </is>
      </c>
      <c r="M4497" s="8" t="n"/>
      <c r="N4497" s="14" t="n"/>
      <c r="O4497" s="7" t="inlineStr"/>
      <c r="P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/>
      <c r="K4498" s="8" t="n"/>
      <c r="L4498" s="7" t="inlineStr">
        <is>
          <t>SEM COTAÇÃO</t>
        </is>
      </c>
      <c r="M4498" s="8" t="n"/>
      <c r="N4498" s="14" t="n"/>
      <c r="O4498" s="7" t="inlineStr"/>
      <c r="P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/>
      <c r="K4499" s="8" t="n"/>
      <c r="L4499" s="7" t="inlineStr">
        <is>
          <t>SEM COTAÇÃO</t>
        </is>
      </c>
      <c r="M4499" s="8" t="n"/>
      <c r="N4499" s="14" t="n"/>
      <c r="O4499" s="7" t="inlineStr"/>
      <c r="P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/>
      <c r="K4500" s="8" t="n"/>
      <c r="L4500" s="7" t="inlineStr">
        <is>
          <t>SEM COTAÇÃO</t>
        </is>
      </c>
      <c r="M4500" s="8" t="n"/>
      <c r="N4500" s="14" t="n"/>
      <c r="O4500" s="7" t="inlineStr"/>
      <c r="P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15" t="n">
        <v>1.4775</v>
      </c>
      <c r="K4501" s="8" t="n"/>
      <c r="L4501" s="7" t="inlineStr">
        <is>
          <t>DIMEC</t>
        </is>
      </c>
      <c r="M4501" s="8" t="n">
        <v>1.4775</v>
      </c>
      <c r="N4501" s="14">
        <f>M4501/H4501-1</f>
        <v/>
      </c>
      <c r="O4501" s="17" t="inlineStr">
        <is>
          <t>OK (≤ menor hist.)</t>
        </is>
      </c>
      <c r="P4501" s="7" t="inlineStr">
        <is>
          <t>DIMEC: 1 emb = 20 un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/>
      <c r="K4502" s="8" t="n"/>
      <c r="L4502" s="7" t="inlineStr">
        <is>
          <t>SEM COTAÇÃO</t>
        </is>
      </c>
      <c r="M4502" s="8" t="n"/>
      <c r="N4502" s="14" t="n"/>
      <c r="O4502" s="7" t="inlineStr"/>
      <c r="P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/>
      <c r="K4503" s="8" t="n"/>
      <c r="L4503" s="7" t="inlineStr">
        <is>
          <t>SEM COTAÇÃO</t>
        </is>
      </c>
      <c r="M4503" s="8" t="n"/>
      <c r="N4503" s="14" t="n"/>
      <c r="O4503" s="7" t="inlineStr"/>
      <c r="P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/>
      <c r="K4504" s="8" t="n"/>
      <c r="L4504" s="7" t="inlineStr">
        <is>
          <t>SEM COTAÇÃO</t>
        </is>
      </c>
      <c r="M4504" s="8" t="n"/>
      <c r="N4504" s="14" t="n"/>
      <c r="O4504" s="7" t="inlineStr"/>
      <c r="P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/>
      <c r="K4505" s="8" t="n"/>
      <c r="L4505" s="7" t="inlineStr">
        <is>
          <t>SEM COTAÇÃO</t>
        </is>
      </c>
      <c r="M4505" s="8" t="n"/>
      <c r="N4505" s="14" t="n"/>
      <c r="O4505" s="7" t="inlineStr"/>
      <c r="P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/>
      <c r="K4506" s="8" t="n"/>
      <c r="L4506" s="7" t="inlineStr">
        <is>
          <t>SEM COTAÇÃO</t>
        </is>
      </c>
      <c r="M4506" s="8" t="n"/>
      <c r="N4506" s="14" t="n"/>
      <c r="O4506" s="7" t="inlineStr"/>
      <c r="P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/>
      <c r="K4507" s="8" t="n"/>
      <c r="L4507" s="7" t="inlineStr">
        <is>
          <t>SEM COTAÇÃO</t>
        </is>
      </c>
      <c r="M4507" s="8" t="n"/>
      <c r="N4507" s="14" t="n"/>
      <c r="O4507" s="7" t="inlineStr"/>
      <c r="P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/>
      <c r="K4508" s="8" t="n"/>
      <c r="L4508" s="7" t="inlineStr">
        <is>
          <t>SEM COTAÇÃO</t>
        </is>
      </c>
      <c r="M4508" s="8" t="n"/>
      <c r="N4508" s="14" t="n"/>
      <c r="O4508" s="7" t="inlineStr"/>
      <c r="P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/>
      <c r="K4509" s="8" t="n"/>
      <c r="L4509" s="7" t="inlineStr">
        <is>
          <t>SEM COTAÇÃO</t>
        </is>
      </c>
      <c r="M4509" s="8" t="n"/>
      <c r="N4509" s="14" t="n"/>
      <c r="O4509" s="7" t="inlineStr"/>
      <c r="P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/>
      <c r="K4510" s="8" t="n"/>
      <c r="L4510" s="7" t="inlineStr">
        <is>
          <t>SEM COTAÇÃO</t>
        </is>
      </c>
      <c r="M4510" s="8" t="n"/>
      <c r="N4510" s="14" t="n"/>
      <c r="O4510" s="7" t="inlineStr"/>
      <c r="P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/>
      <c r="K4511" s="8" t="n"/>
      <c r="L4511" s="7" t="inlineStr">
        <is>
          <t>SEM COTAÇÃO</t>
        </is>
      </c>
      <c r="M4511" s="8" t="n"/>
      <c r="N4511" s="14" t="n"/>
      <c r="O4511" s="7" t="inlineStr"/>
      <c r="P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15" t="n">
        <v>13.08</v>
      </c>
      <c r="K4512" s="8" t="n"/>
      <c r="L4512" s="7" t="inlineStr">
        <is>
          <t>DIMEC</t>
        </is>
      </c>
      <c r="M4512" s="8" t="n">
        <v>13.08</v>
      </c>
      <c r="N4512" s="14">
        <f>M4512/H4512-1</f>
        <v/>
      </c>
      <c r="O4512" s="17" t="inlineStr">
        <is>
          <t>OK (≤ últ. compra)</t>
        </is>
      </c>
      <c r="P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/>
      <c r="K4513" s="8" t="n"/>
      <c r="L4513" s="7" t="inlineStr">
        <is>
          <t>SEM COTAÇÃO</t>
        </is>
      </c>
      <c r="M4513" s="8" t="n"/>
      <c r="N4513" s="14" t="n"/>
      <c r="O4513" s="7" t="inlineStr"/>
      <c r="P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/>
      <c r="K4514" s="8" t="n"/>
      <c r="L4514" s="7" t="inlineStr">
        <is>
          <t>SEM COTAÇÃO</t>
        </is>
      </c>
      <c r="M4514" s="8" t="n"/>
      <c r="N4514" s="14" t="n"/>
      <c r="O4514" s="7" t="inlineStr"/>
      <c r="P4514" s="7" t="inlineStr"/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/>
      <c r="K4515" s="8" t="n"/>
      <c r="L4515" s="7" t="inlineStr">
        <is>
          <t>SEM COTAÇÃO</t>
        </is>
      </c>
      <c r="M4515" s="8" t="n"/>
      <c r="N4515" s="14" t="n"/>
      <c r="O4515" s="7" t="inlineStr"/>
      <c r="P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/>
      <c r="K4516" s="8" t="n"/>
      <c r="L4516" s="7" t="inlineStr">
        <is>
          <t>SEM COTAÇÃO</t>
        </is>
      </c>
      <c r="M4516" s="8" t="n"/>
      <c r="N4516" s="14" t="n"/>
      <c r="O4516" s="7" t="inlineStr"/>
      <c r="P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/>
      <c r="K4517" s="8" t="n"/>
      <c r="L4517" s="7" t="inlineStr">
        <is>
          <t>SEM COTAÇÃO</t>
        </is>
      </c>
      <c r="M4517" s="8" t="n"/>
      <c r="N4517" s="14" t="n"/>
      <c r="O4517" s="7" t="inlineStr"/>
      <c r="P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/>
      <c r="K4518" s="8" t="n"/>
      <c r="L4518" s="7" t="inlineStr">
        <is>
          <t>SEM COTAÇÃO</t>
        </is>
      </c>
      <c r="M4518" s="8" t="n"/>
      <c r="N4518" s="14" t="n"/>
      <c r="O4518" s="7" t="inlineStr"/>
      <c r="P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/>
      <c r="K4519" s="8" t="n"/>
      <c r="L4519" s="7" t="inlineStr">
        <is>
          <t>SEM COTAÇÃO</t>
        </is>
      </c>
      <c r="M4519" s="8" t="n"/>
      <c r="N4519" s="14" t="n"/>
      <c r="O4519" s="7" t="inlineStr"/>
      <c r="P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/>
      <c r="K4520" s="8" t="n"/>
      <c r="L4520" s="7" t="inlineStr">
        <is>
          <t>SEM COTAÇÃO</t>
        </is>
      </c>
      <c r="M4520" s="8" t="n"/>
      <c r="N4520" s="14" t="n"/>
      <c r="O4520" s="7" t="inlineStr"/>
      <c r="P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/>
      <c r="K4521" s="8" t="n"/>
      <c r="L4521" s="7" t="inlineStr">
        <is>
          <t>SEM COTAÇÃO</t>
        </is>
      </c>
      <c r="M4521" s="8" t="n"/>
      <c r="N4521" s="14" t="n"/>
      <c r="O4521" s="7" t="inlineStr"/>
      <c r="P4521" s="7" t="inlineStr"/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/>
      <c r="K4522" s="8" t="n"/>
      <c r="L4522" s="7" t="inlineStr">
        <is>
          <t>SEM COTAÇÃO</t>
        </is>
      </c>
      <c r="M4522" s="8" t="n"/>
      <c r="N4522" s="14" t="n"/>
      <c r="O4522" s="7" t="inlineStr"/>
      <c r="P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/>
      <c r="K4523" s="8" t="n"/>
      <c r="L4523" s="7" t="inlineStr">
        <is>
          <t>SEM COTAÇÃO</t>
        </is>
      </c>
      <c r="M4523" s="8" t="n"/>
      <c r="N4523" s="14" t="n"/>
      <c r="O4523" s="7" t="inlineStr"/>
      <c r="P4523" s="7" t="inlineStr"/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/>
      <c r="K4524" s="8" t="n"/>
      <c r="L4524" s="7" t="inlineStr">
        <is>
          <t>SEM COTAÇÃO</t>
        </is>
      </c>
      <c r="M4524" s="8" t="n"/>
      <c r="N4524" s="14" t="n"/>
      <c r="O4524" s="7" t="inlineStr"/>
      <c r="P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/>
      <c r="K4525" s="8" t="n"/>
      <c r="L4525" s="7" t="inlineStr">
        <is>
          <t>SEM COTAÇÃO</t>
        </is>
      </c>
      <c r="M4525" s="8" t="n"/>
      <c r="N4525" s="14" t="n"/>
      <c r="O4525" s="7" t="inlineStr"/>
      <c r="P4525" s="7" t="inlineStr"/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15" t="n">
        <v>25.05</v>
      </c>
      <c r="L4526" s="7" t="inlineStr">
        <is>
          <t>PLUSFARMA</t>
        </is>
      </c>
      <c r="M4526" s="8" t="n">
        <v>25.05</v>
      </c>
      <c r="N4526" s="14">
        <f>M4526/H4526-1</f>
        <v/>
      </c>
      <c r="O4526" s="17" t="inlineStr">
        <is>
          <t>OK (≤ menor hist.)</t>
        </is>
      </c>
      <c r="P4526" s="7" t="inlineStr"/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/>
      <c r="K4527" s="8" t="n"/>
      <c r="L4527" s="7" t="inlineStr">
        <is>
          <t>SEM COTAÇÃO</t>
        </is>
      </c>
      <c r="M4527" s="8" t="n"/>
      <c r="N4527" s="14" t="n"/>
      <c r="O4527" s="7" t="inlineStr"/>
      <c r="P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/>
      <c r="K4528" s="8" t="n"/>
      <c r="L4528" s="7" t="inlineStr">
        <is>
          <t>SEM COTAÇÃO</t>
        </is>
      </c>
      <c r="M4528" s="8" t="n"/>
      <c r="N4528" s="14" t="n"/>
      <c r="O4528" s="7" t="inlineStr"/>
      <c r="P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15" t="n">
        <v>5.68</v>
      </c>
      <c r="K4529" s="8" t="n"/>
      <c r="L4529" s="7" t="inlineStr">
        <is>
          <t>DIMEC</t>
        </is>
      </c>
      <c r="M4529" s="8" t="n">
        <v>5.68</v>
      </c>
      <c r="N4529" s="14">
        <f>M4529/H4529-1</f>
        <v/>
      </c>
      <c r="O4529" s="16" t="inlineStr">
        <is>
          <t>ACIMA +7.4%</t>
        </is>
      </c>
      <c r="P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15" t="n">
        <v>5.57</v>
      </c>
      <c r="K4530" s="8" t="n"/>
      <c r="L4530" s="7" t="inlineStr">
        <is>
          <t>DIMEC</t>
        </is>
      </c>
      <c r="M4530" s="8" t="n">
        <v>5.57</v>
      </c>
      <c r="N4530" s="14">
        <f>M4530/H4530-1</f>
        <v/>
      </c>
      <c r="O4530" s="16" t="inlineStr">
        <is>
          <t>ACIMA +27.8%</t>
        </is>
      </c>
      <c r="P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15" t="n">
        <v>5.26</v>
      </c>
      <c r="K4531" s="8" t="n"/>
      <c r="L4531" s="7" t="inlineStr">
        <is>
          <t>DIMEC</t>
        </is>
      </c>
      <c r="M4531" s="8" t="n">
        <v>5.26</v>
      </c>
      <c r="N4531" s="14">
        <f>M4531/H4531-1</f>
        <v/>
      </c>
      <c r="O4531" s="17" t="inlineStr">
        <is>
          <t>OK (≤ últ. compra)</t>
        </is>
      </c>
      <c r="P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15" t="n">
        <v>4.78</v>
      </c>
      <c r="K4532" s="8" t="n"/>
      <c r="L4532" s="7" t="inlineStr">
        <is>
          <t>DIMEC</t>
        </is>
      </c>
      <c r="M4532" s="8" t="n">
        <v>4.78</v>
      </c>
      <c r="N4532" s="14">
        <f>M4532/H4532-1</f>
        <v/>
      </c>
      <c r="O4532" s="16" t="inlineStr">
        <is>
          <t>ACIMA +6.7%</t>
        </is>
      </c>
      <c r="P4532" s="7" t="inlineStr"/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15" t="n">
        <v>0.49875</v>
      </c>
      <c r="K4533" s="8" t="n"/>
      <c r="L4533" s="7" t="inlineStr">
        <is>
          <t>DIMEC</t>
        </is>
      </c>
      <c r="M4533" s="8" t="n">
        <v>0.49875</v>
      </c>
      <c r="N4533" s="14">
        <f>M4533/H4533-1</f>
        <v/>
      </c>
      <c r="O4533" s="17" t="inlineStr">
        <is>
          <t>OK (≤ menor hist.)</t>
        </is>
      </c>
      <c r="P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/>
      <c r="K4534" s="8" t="n"/>
      <c r="L4534" s="7" t="inlineStr">
        <is>
          <t>SEM COTAÇÃO</t>
        </is>
      </c>
      <c r="M4534" s="8" t="n"/>
      <c r="N4534" s="14" t="n"/>
      <c r="O4534" s="7" t="inlineStr"/>
      <c r="P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/>
      <c r="K4535" s="8" t="n"/>
      <c r="L4535" s="7" t="inlineStr">
        <is>
          <t>SEM COTAÇÃO</t>
        </is>
      </c>
      <c r="M4535" s="8" t="n"/>
      <c r="N4535" s="14" t="n"/>
      <c r="O4535" s="7" t="inlineStr"/>
      <c r="P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/>
      <c r="K4536" s="8" t="n"/>
      <c r="L4536" s="7" t="inlineStr">
        <is>
          <t>SEM COTAÇÃO</t>
        </is>
      </c>
      <c r="M4536" s="8" t="n"/>
      <c r="N4536" s="14" t="n"/>
      <c r="O4536" s="7" t="inlineStr"/>
      <c r="P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/>
      <c r="K4537" s="8" t="n"/>
      <c r="L4537" s="7" t="inlineStr">
        <is>
          <t>SEM COTAÇÃO</t>
        </is>
      </c>
      <c r="M4537" s="8" t="n"/>
      <c r="N4537" s="14" t="n"/>
      <c r="O4537" s="7" t="inlineStr"/>
      <c r="P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/>
      <c r="K4538" s="8" t="n"/>
      <c r="L4538" s="7" t="inlineStr">
        <is>
          <t>SEM COTAÇÃO</t>
        </is>
      </c>
      <c r="M4538" s="8" t="n"/>
      <c r="N4538" s="14" t="n"/>
      <c r="O4538" s="7" t="inlineStr"/>
      <c r="P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/>
      <c r="K4539" s="8" t="n"/>
      <c r="L4539" s="7" t="inlineStr">
        <is>
          <t>SEM COTAÇÃO</t>
        </is>
      </c>
      <c r="M4539" s="8" t="n"/>
      <c r="N4539" s="14" t="n"/>
      <c r="O4539" s="7" t="inlineStr"/>
      <c r="P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7" t="inlineStr">
        <is>
          <t>SEM COTAÇÃO</t>
        </is>
      </c>
      <c r="M4540" s="8" t="n"/>
      <c r="N4540" s="14" t="n"/>
      <c r="O4540" s="7" t="inlineStr"/>
      <c r="P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/>
      <c r="K4541" s="8" t="n"/>
      <c r="L4541" s="7" t="inlineStr">
        <is>
          <t>SEM COTAÇÃO</t>
        </is>
      </c>
      <c r="M4541" s="8" t="n"/>
      <c r="N4541" s="14" t="n"/>
      <c r="O4541" s="7" t="inlineStr"/>
      <c r="P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/>
      <c r="K4542" s="8" t="n"/>
      <c r="L4542" s="7" t="inlineStr">
        <is>
          <t>SEM COTAÇÃO</t>
        </is>
      </c>
      <c r="M4542" s="8" t="n"/>
      <c r="N4542" s="14" t="n"/>
      <c r="O4542" s="7" t="inlineStr"/>
      <c r="P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/>
      <c r="K4543" s="8" t="n"/>
      <c r="L4543" s="7" t="inlineStr">
        <is>
          <t>SEM COTAÇÃO</t>
        </is>
      </c>
      <c r="M4543" s="8" t="n"/>
      <c r="N4543" s="14" t="n"/>
      <c r="O4543" s="7" t="inlineStr"/>
      <c r="P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/>
      <c r="K4544" s="8" t="n"/>
      <c r="L4544" s="7" t="inlineStr">
        <is>
          <t>SEM COTAÇÃO</t>
        </is>
      </c>
      <c r="M4544" s="8" t="n"/>
      <c r="N4544" s="14" t="n"/>
      <c r="O4544" s="7" t="inlineStr"/>
      <c r="P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/>
      <c r="K4545" s="8" t="n"/>
      <c r="L4545" s="7" t="inlineStr">
        <is>
          <t>SEM COTAÇÃO</t>
        </is>
      </c>
      <c r="M4545" s="8" t="n"/>
      <c r="N4545" s="14" t="n"/>
      <c r="O4545" s="7" t="inlineStr"/>
      <c r="P4545" s="7" t="inlineStr"/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7" t="inlineStr">
        <is>
          <t>SEM COTAÇÃO</t>
        </is>
      </c>
      <c r="M4546" s="8" t="n"/>
      <c r="N4546" s="14" t="n"/>
      <c r="O4546" s="7" t="inlineStr"/>
      <c r="P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/>
      <c r="K4547" s="8" t="n"/>
      <c r="L4547" s="7" t="inlineStr">
        <is>
          <t>SEM COTAÇÃO</t>
        </is>
      </c>
      <c r="M4547" s="8" t="n"/>
      <c r="N4547" s="14" t="n"/>
      <c r="O4547" s="7" t="inlineStr"/>
      <c r="P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/>
      <c r="K4548" s="8" t="n"/>
      <c r="L4548" s="7" t="inlineStr">
        <is>
          <t>SEM COTAÇÃO</t>
        </is>
      </c>
      <c r="M4548" s="8" t="n"/>
      <c r="N4548" s="14" t="n"/>
      <c r="O4548" s="7" t="inlineStr"/>
      <c r="P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/>
      <c r="K4549" s="8" t="n"/>
      <c r="L4549" s="7" t="inlineStr">
        <is>
          <t>SEM COTAÇÃO</t>
        </is>
      </c>
      <c r="M4549" s="8" t="n"/>
      <c r="N4549" s="14" t="n"/>
      <c r="O4549" s="7" t="inlineStr"/>
      <c r="P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/>
      <c r="K4550" s="8" t="n"/>
      <c r="L4550" s="7" t="inlineStr">
        <is>
          <t>SEM COTAÇÃO</t>
        </is>
      </c>
      <c r="M4550" s="8" t="n"/>
      <c r="N4550" s="14" t="n"/>
      <c r="O4550" s="7" t="inlineStr"/>
      <c r="P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/>
      <c r="K4551" s="8" t="n"/>
      <c r="L4551" s="7" t="inlineStr">
        <is>
          <t>SEM COTAÇÃO</t>
        </is>
      </c>
      <c r="M4551" s="8" t="n"/>
      <c r="N4551" s="14" t="n"/>
      <c r="O4551" s="7" t="inlineStr"/>
      <c r="P4551" s="7" t="inlineStr"/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/>
      <c r="K4552" s="8" t="n"/>
      <c r="L4552" s="7" t="inlineStr">
        <is>
          <t>SEM COTAÇÃO</t>
        </is>
      </c>
      <c r="M4552" s="8" t="n"/>
      <c r="N4552" s="14" t="n"/>
      <c r="O4552" s="7" t="inlineStr"/>
      <c r="P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/>
      <c r="K4553" s="8" t="n"/>
      <c r="L4553" s="7" t="inlineStr">
        <is>
          <t>SEM COTAÇÃO</t>
        </is>
      </c>
      <c r="M4553" s="8" t="n"/>
      <c r="N4553" s="14" t="n"/>
      <c r="O4553" s="7" t="inlineStr"/>
      <c r="P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/>
      <c r="K4554" s="8" t="n"/>
      <c r="L4554" s="7" t="inlineStr">
        <is>
          <t>SEM COTAÇÃO</t>
        </is>
      </c>
      <c r="M4554" s="8" t="n"/>
      <c r="N4554" s="14" t="n"/>
      <c r="O4554" s="7" t="inlineStr"/>
      <c r="P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/>
      <c r="K4555" s="8" t="n"/>
      <c r="L4555" s="7" t="inlineStr">
        <is>
          <t>SEM COTAÇÃO</t>
        </is>
      </c>
      <c r="M4555" s="8" t="n"/>
      <c r="N4555" s="14" t="n"/>
      <c r="O4555" s="7" t="inlineStr"/>
      <c r="P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/>
      <c r="K4556" s="8" t="n"/>
      <c r="L4556" s="7" t="inlineStr">
        <is>
          <t>SEM COTAÇÃO</t>
        </is>
      </c>
      <c r="M4556" s="8" t="n"/>
      <c r="N4556" s="14" t="n"/>
      <c r="O4556" s="7" t="inlineStr"/>
      <c r="P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15" t="n">
        <v>18.94</v>
      </c>
      <c r="K4557" s="8" t="n"/>
      <c r="L4557" s="7" t="inlineStr">
        <is>
          <t>DIMEC</t>
        </is>
      </c>
      <c r="M4557" s="8" t="n">
        <v>18.94</v>
      </c>
      <c r="N4557" s="14">
        <f>M4557/H4557-1</f>
        <v/>
      </c>
      <c r="O4557" s="17" t="inlineStr">
        <is>
          <t>OK (≤ menor hist.)</t>
        </is>
      </c>
      <c r="P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/>
      <c r="K4558" s="8" t="n"/>
      <c r="L4558" s="7" t="inlineStr">
        <is>
          <t>SEM COTAÇÃO</t>
        </is>
      </c>
      <c r="M4558" s="8" t="n"/>
      <c r="N4558" s="14" t="n"/>
      <c r="O4558" s="7" t="inlineStr"/>
      <c r="P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/>
      <c r="K4559" s="8" t="n"/>
      <c r="L4559" s="7" t="inlineStr">
        <is>
          <t>SEM COTAÇÃO</t>
        </is>
      </c>
      <c r="M4559" s="8" t="n"/>
      <c r="N4559" s="14" t="n"/>
      <c r="O4559" s="7" t="inlineStr"/>
      <c r="P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/>
      <c r="K4560" s="8" t="n"/>
      <c r="L4560" s="7" t="inlineStr">
        <is>
          <t>SEM COTAÇÃO</t>
        </is>
      </c>
      <c r="M4560" s="8" t="n"/>
      <c r="N4560" s="14" t="n"/>
      <c r="O4560" s="7" t="inlineStr"/>
      <c r="P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7" t="inlineStr">
        <is>
          <t>SEM COTAÇÃO</t>
        </is>
      </c>
      <c r="M4561" s="8" t="n"/>
      <c r="N4561" s="14" t="n"/>
      <c r="O4561" s="7" t="inlineStr"/>
      <c r="P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/>
      <c r="K4562" s="8" t="n"/>
      <c r="L4562" s="7" t="inlineStr">
        <is>
          <t>SEM COTAÇÃO</t>
        </is>
      </c>
      <c r="M4562" s="8" t="n"/>
      <c r="N4562" s="14" t="n"/>
      <c r="O4562" s="7" t="inlineStr"/>
      <c r="P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/>
      <c r="K4563" s="8" t="n"/>
      <c r="L4563" s="7" t="inlineStr">
        <is>
          <t>SEM COTAÇÃO</t>
        </is>
      </c>
      <c r="M4563" s="8" t="n"/>
      <c r="N4563" s="14" t="n"/>
      <c r="O4563" s="7" t="inlineStr"/>
      <c r="P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/>
      <c r="K4564" s="8" t="n"/>
      <c r="L4564" s="7" t="inlineStr">
        <is>
          <t>SEM COTAÇÃO</t>
        </is>
      </c>
      <c r="M4564" s="8" t="n"/>
      <c r="N4564" s="14" t="n"/>
      <c r="O4564" s="7" t="inlineStr"/>
      <c r="P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/>
      <c r="K4565" s="8" t="n"/>
      <c r="L4565" s="7" t="inlineStr">
        <is>
          <t>SEM COTAÇÃO</t>
        </is>
      </c>
      <c r="M4565" s="8" t="n"/>
      <c r="N4565" s="14" t="n"/>
      <c r="O4565" s="7" t="inlineStr"/>
      <c r="P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/>
      <c r="K4566" s="8" t="n"/>
      <c r="L4566" s="7" t="inlineStr">
        <is>
          <t>SEM COTAÇÃO</t>
        </is>
      </c>
      <c r="M4566" s="8" t="n"/>
      <c r="N4566" s="14" t="n"/>
      <c r="O4566" s="7" t="inlineStr"/>
      <c r="P4566" s="7" t="inlineStr"/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/>
      <c r="K4567" s="8" t="n"/>
      <c r="L4567" s="7" t="inlineStr">
        <is>
          <t>SEM COTAÇÃO</t>
        </is>
      </c>
      <c r="M4567" s="8" t="n"/>
      <c r="N4567" s="14" t="n"/>
      <c r="O4567" s="7" t="inlineStr"/>
      <c r="P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/>
      <c r="K4568" s="8" t="n"/>
      <c r="L4568" s="7" t="inlineStr">
        <is>
          <t>SEM COTAÇÃO</t>
        </is>
      </c>
      <c r="M4568" s="8" t="n"/>
      <c r="N4568" s="14" t="n"/>
      <c r="O4568" s="7" t="inlineStr"/>
      <c r="P4568" s="7" t="inlineStr"/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/>
      <c r="K4569" s="8" t="n"/>
      <c r="L4569" s="7" t="inlineStr">
        <is>
          <t>SEM COTAÇÃO</t>
        </is>
      </c>
      <c r="M4569" s="8" t="n"/>
      <c r="N4569" s="14" t="n"/>
      <c r="O4569" s="7" t="inlineStr"/>
      <c r="P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/>
      <c r="K4570" s="8" t="n"/>
      <c r="L4570" s="7" t="inlineStr">
        <is>
          <t>SEM COTAÇÃO</t>
        </is>
      </c>
      <c r="M4570" s="8" t="n"/>
      <c r="N4570" s="14" t="n"/>
      <c r="O4570" s="7" t="inlineStr"/>
      <c r="P4570" s="7" t="inlineStr"/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/>
      <c r="K4571" s="8" t="n"/>
      <c r="L4571" s="7" t="inlineStr">
        <is>
          <t>SEM COTAÇÃO</t>
        </is>
      </c>
      <c r="M4571" s="8" t="n"/>
      <c r="N4571" s="14" t="n"/>
      <c r="O4571" s="7" t="inlineStr"/>
      <c r="P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/>
      <c r="K4572" s="8" t="n"/>
      <c r="L4572" s="7" t="inlineStr">
        <is>
          <t>SEM COTAÇÃO</t>
        </is>
      </c>
      <c r="M4572" s="8" t="n"/>
      <c r="N4572" s="14" t="n"/>
      <c r="O4572" s="7" t="inlineStr"/>
      <c r="P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/>
      <c r="K4573" s="8" t="n"/>
      <c r="L4573" s="7" t="inlineStr">
        <is>
          <t>SEM COTAÇÃO</t>
        </is>
      </c>
      <c r="M4573" s="8" t="n"/>
      <c r="N4573" s="14" t="n"/>
      <c r="O4573" s="7" t="inlineStr"/>
      <c r="P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/>
      <c r="K4574" s="8" t="n"/>
      <c r="L4574" s="7" t="inlineStr">
        <is>
          <t>SEM COTAÇÃO</t>
        </is>
      </c>
      <c r="M4574" s="8" t="n"/>
      <c r="N4574" s="14" t="n"/>
      <c r="O4574" s="7" t="inlineStr"/>
      <c r="P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/>
      <c r="K4575" s="8" t="n"/>
      <c r="L4575" s="7" t="inlineStr">
        <is>
          <t>SEM COTAÇÃO</t>
        </is>
      </c>
      <c r="M4575" s="8" t="n"/>
      <c r="N4575" s="14" t="n"/>
      <c r="O4575" s="7" t="inlineStr"/>
      <c r="P4575" s="7" t="inlineStr"/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/>
      <c r="K4576" s="8" t="n"/>
      <c r="L4576" s="7" t="inlineStr">
        <is>
          <t>SEM COTAÇÃO</t>
        </is>
      </c>
      <c r="M4576" s="8" t="n"/>
      <c r="N4576" s="14" t="n"/>
      <c r="O4576" s="7" t="inlineStr"/>
      <c r="P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/>
      <c r="K4577" s="8" t="n"/>
      <c r="L4577" s="7" t="inlineStr">
        <is>
          <t>SEM COTAÇÃO</t>
        </is>
      </c>
      <c r="M4577" s="8" t="n"/>
      <c r="N4577" s="14" t="n"/>
      <c r="O4577" s="7" t="inlineStr"/>
      <c r="P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/>
      <c r="K4578" s="8" t="n"/>
      <c r="L4578" s="7" t="inlineStr">
        <is>
          <t>SEM COTAÇÃO</t>
        </is>
      </c>
      <c r="M4578" s="8" t="n"/>
      <c r="N4578" s="14" t="n"/>
      <c r="O4578" s="7" t="inlineStr"/>
      <c r="P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/>
      <c r="K4579" s="8" t="n"/>
      <c r="L4579" s="7" t="inlineStr">
        <is>
          <t>SEM COTAÇÃO</t>
        </is>
      </c>
      <c r="M4579" s="8" t="n"/>
      <c r="N4579" s="14" t="n"/>
      <c r="O4579" s="7" t="inlineStr"/>
      <c r="P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/>
      <c r="K4580" s="8" t="n"/>
      <c r="L4580" s="7" t="inlineStr">
        <is>
          <t>SEM COTAÇÃO</t>
        </is>
      </c>
      <c r="M4580" s="8" t="n"/>
      <c r="N4580" s="14" t="n"/>
      <c r="O4580" s="7" t="inlineStr"/>
      <c r="P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/>
      <c r="K4581" s="8" t="n"/>
      <c r="L4581" s="7" t="inlineStr">
        <is>
          <t>SEM COTAÇÃO</t>
        </is>
      </c>
      <c r="M4581" s="8" t="n"/>
      <c r="N4581" s="14" t="n"/>
      <c r="O4581" s="7" t="inlineStr"/>
      <c r="P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/>
      <c r="K4582" s="8" t="n"/>
      <c r="L4582" s="7" t="inlineStr">
        <is>
          <t>SEM COTAÇÃO</t>
        </is>
      </c>
      <c r="M4582" s="8" t="n"/>
      <c r="N4582" s="14" t="n"/>
      <c r="O4582" s="7" t="inlineStr"/>
      <c r="P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/>
      <c r="K4583" s="8" t="n"/>
      <c r="L4583" s="7" t="inlineStr">
        <is>
          <t>SEM COTAÇÃO</t>
        </is>
      </c>
      <c r="M4583" s="8" t="n"/>
      <c r="N4583" s="14" t="n"/>
      <c r="O4583" s="7" t="inlineStr"/>
      <c r="P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/>
      <c r="K4584" s="8" t="n"/>
      <c r="L4584" s="7" t="inlineStr">
        <is>
          <t>SEM COTAÇÃO</t>
        </is>
      </c>
      <c r="M4584" s="8" t="n"/>
      <c r="N4584" s="14" t="n"/>
      <c r="O4584" s="7" t="inlineStr"/>
      <c r="P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/>
      <c r="K4585" s="8" t="n"/>
      <c r="L4585" s="7" t="inlineStr">
        <is>
          <t>SEM COTAÇÃO</t>
        </is>
      </c>
      <c r="M4585" s="8" t="n"/>
      <c r="N4585" s="14" t="n"/>
      <c r="O4585" s="7" t="inlineStr"/>
      <c r="P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/>
      <c r="K4586" s="8" t="n"/>
      <c r="L4586" s="7" t="inlineStr">
        <is>
          <t>SEM COTAÇÃO</t>
        </is>
      </c>
      <c r="M4586" s="8" t="n"/>
      <c r="N4586" s="14" t="n"/>
      <c r="O4586" s="7" t="inlineStr"/>
      <c r="P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/>
      <c r="K4587" s="15" t="n">
        <v>35.43</v>
      </c>
      <c r="L4587" s="7" t="inlineStr">
        <is>
          <t>PLUSFARMA</t>
        </is>
      </c>
      <c r="M4587" s="8" t="n">
        <v>35.43</v>
      </c>
      <c r="N4587" s="14">
        <f>M4587/H4587-1</f>
        <v/>
      </c>
      <c r="O4587" s="16" t="inlineStr">
        <is>
          <t>ACIMA +21.0%</t>
        </is>
      </c>
      <c r="P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27.09</v>
      </c>
      <c r="K4588" s="15" t="n">
        <v>26.49</v>
      </c>
      <c r="L4588" s="7" t="inlineStr">
        <is>
          <t>PLUSFARMA</t>
        </is>
      </c>
      <c r="M4588" s="8" t="n">
        <v>26.49</v>
      </c>
      <c r="N4588" s="14">
        <f>M4588/H4588-1</f>
        <v/>
      </c>
      <c r="O4588" s="16" t="inlineStr">
        <is>
          <t>ACIMA +20.5%</t>
        </is>
      </c>
      <c r="P4588" s="7" t="inlineStr"/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15" t="n">
        <v>17.54</v>
      </c>
      <c r="K4589" s="8" t="n">
        <v>18.43</v>
      </c>
      <c r="L4589" s="7" t="inlineStr">
        <is>
          <t>DIMEC</t>
        </is>
      </c>
      <c r="M4589" s="8" t="n">
        <v>17.54</v>
      </c>
      <c r="N4589" s="14">
        <f>M4589/H4589-1</f>
        <v/>
      </c>
      <c r="O4589" s="16" t="inlineStr">
        <is>
          <t>ACIMA +38.2%</t>
        </is>
      </c>
      <c r="P4589" s="7" t="inlineStr"/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15" t="n">
        <v>23.22</v>
      </c>
      <c r="K4590" s="8" t="n">
        <v>28.44</v>
      </c>
      <c r="L4590" s="7" t="inlineStr">
        <is>
          <t>DIMEC</t>
        </is>
      </c>
      <c r="M4590" s="8" t="n">
        <v>23.22</v>
      </c>
      <c r="N4590" s="14">
        <f>M4590/H4590-1</f>
        <v/>
      </c>
      <c r="O4590" s="16" t="inlineStr">
        <is>
          <t>ACIMA +18.6%</t>
        </is>
      </c>
      <c r="P4590" s="7" t="inlineStr"/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15" t="n">
        <v>13.39</v>
      </c>
      <c r="K4591" s="8" t="n">
        <v>15.89</v>
      </c>
      <c r="L4591" s="7" t="inlineStr">
        <is>
          <t>DIMEC</t>
        </is>
      </c>
      <c r="M4591" s="8" t="n">
        <v>13.39</v>
      </c>
      <c r="N4591" s="14">
        <f>M4591/H4591-1</f>
        <v/>
      </c>
      <c r="O4591" s="17" t="inlineStr">
        <is>
          <t>OK (≤ últ. compra)</t>
        </is>
      </c>
      <c r="P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/>
      <c r="K4592" s="8" t="n"/>
      <c r="L4592" s="7" t="inlineStr">
        <is>
          <t>SEM COTAÇÃO</t>
        </is>
      </c>
      <c r="M4592" s="8" t="n"/>
      <c r="N4592" s="14" t="n"/>
      <c r="O4592" s="7" t="inlineStr"/>
      <c r="P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/>
      <c r="K4593" s="8" t="n"/>
      <c r="L4593" s="7" t="inlineStr">
        <is>
          <t>SEM COTAÇÃO</t>
        </is>
      </c>
      <c r="M4593" s="8" t="n"/>
      <c r="N4593" s="14" t="n"/>
      <c r="O4593" s="7" t="inlineStr"/>
      <c r="P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/>
      <c r="K4594" s="8" t="n"/>
      <c r="L4594" s="7" t="inlineStr">
        <is>
          <t>SEM COTAÇÃO</t>
        </is>
      </c>
      <c r="M4594" s="8" t="n"/>
      <c r="N4594" s="14" t="n"/>
      <c r="O4594" s="7" t="inlineStr"/>
      <c r="P4594" s="7" t="inlineStr"/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/>
      <c r="K4595" s="15" t="n">
        <v>31.11</v>
      </c>
      <c r="L4595" s="7" t="inlineStr">
        <is>
          <t>PLUSFARMA</t>
        </is>
      </c>
      <c r="M4595" s="8" t="n">
        <v>31.11</v>
      </c>
      <c r="N4595" s="14">
        <f>M4595/H4595-1</f>
        <v/>
      </c>
      <c r="O4595" s="16" t="inlineStr">
        <is>
          <t>ACIMA +19.7%</t>
        </is>
      </c>
      <c r="P4595" s="7" t="inlineStr"/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16.57</v>
      </c>
      <c r="K4596" s="15" t="n">
        <v>16.22</v>
      </c>
      <c r="L4596" s="7" t="inlineStr">
        <is>
          <t>PLUSFARMA</t>
        </is>
      </c>
      <c r="M4596" s="8" t="n">
        <v>16.22</v>
      </c>
      <c r="N4596" s="14">
        <f>M4596/H4596-1</f>
        <v/>
      </c>
      <c r="O4596" s="16" t="inlineStr">
        <is>
          <t>ACIMA +16.3%</t>
        </is>
      </c>
      <c r="P4596" s="7" t="inlineStr"/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16.03</v>
      </c>
      <c r="K4597" s="15" t="n">
        <v>15.73</v>
      </c>
      <c r="L4597" s="7" t="inlineStr">
        <is>
          <t>PLUSFARMA</t>
        </is>
      </c>
      <c r="M4597" s="8" t="n">
        <v>15.73</v>
      </c>
      <c r="N4597" s="14">
        <f>M4597/H4597-1</f>
        <v/>
      </c>
      <c r="O4597" s="16" t="inlineStr">
        <is>
          <t>ACIMA +15.0%</t>
        </is>
      </c>
      <c r="P4597" s="7" t="inlineStr"/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/>
      <c r="K4598" s="15" t="n">
        <v>23.44</v>
      </c>
      <c r="L4598" s="7" t="inlineStr">
        <is>
          <t>PLUSFARMA</t>
        </is>
      </c>
      <c r="M4598" s="8" t="n">
        <v>23.44</v>
      </c>
      <c r="N4598" s="14">
        <f>M4598/H4598-1</f>
        <v/>
      </c>
      <c r="O4598" s="16" t="inlineStr">
        <is>
          <t>ACIMA +23.6%</t>
        </is>
      </c>
      <c r="P4598" s="7" t="inlineStr"/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/>
      <c r="K4599" s="8" t="n"/>
      <c r="L4599" s="7" t="inlineStr">
        <is>
          <t>SEM COTAÇÃO</t>
        </is>
      </c>
      <c r="M4599" s="8" t="n"/>
      <c r="N4599" s="14" t="n"/>
      <c r="O4599" s="7" t="inlineStr"/>
      <c r="P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/>
      <c r="K4600" s="8" t="n"/>
      <c r="L4600" s="7" t="inlineStr">
        <is>
          <t>SEM COTAÇÃO</t>
        </is>
      </c>
      <c r="M4600" s="8" t="n"/>
      <c r="N4600" s="14" t="n"/>
      <c r="O4600" s="7" t="inlineStr"/>
      <c r="P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/>
      <c r="K4601" s="8" t="n"/>
      <c r="L4601" s="7" t="inlineStr">
        <is>
          <t>SEM COTAÇÃO</t>
        </is>
      </c>
      <c r="M4601" s="8" t="n"/>
      <c r="N4601" s="14" t="n"/>
      <c r="O4601" s="7" t="inlineStr"/>
      <c r="P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7" t="inlineStr">
        <is>
          <t>SEM COTAÇÃO</t>
        </is>
      </c>
      <c r="M4602" s="8" t="n"/>
      <c r="N4602" s="14" t="n"/>
      <c r="O4602" s="7" t="inlineStr"/>
      <c r="P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/>
      <c r="K4603" s="8" t="n"/>
      <c r="L4603" s="7" t="inlineStr">
        <is>
          <t>SEM COTAÇÃO</t>
        </is>
      </c>
      <c r="M4603" s="8" t="n"/>
      <c r="N4603" s="14" t="n"/>
      <c r="O4603" s="7" t="inlineStr"/>
      <c r="P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/>
      <c r="K4604" s="8" t="n"/>
      <c r="L4604" s="7" t="inlineStr">
        <is>
          <t>SEM COTAÇÃO</t>
        </is>
      </c>
      <c r="M4604" s="8" t="n"/>
      <c r="N4604" s="14" t="n"/>
      <c r="O4604" s="7" t="inlineStr"/>
      <c r="P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/>
      <c r="K4605" s="8" t="n"/>
      <c r="L4605" s="7" t="inlineStr">
        <is>
          <t>SEM COTAÇÃO</t>
        </is>
      </c>
      <c r="M4605" s="8" t="n"/>
      <c r="N4605" s="14" t="n"/>
      <c r="O4605" s="7" t="inlineStr"/>
      <c r="P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/>
      <c r="K4606" s="8" t="n"/>
      <c r="L4606" s="7" t="inlineStr">
        <is>
          <t>SEM COTAÇÃO</t>
        </is>
      </c>
      <c r="M4606" s="8" t="n"/>
      <c r="N4606" s="14" t="n"/>
      <c r="O4606" s="7" t="inlineStr"/>
      <c r="P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/>
      <c r="K4607" s="8" t="n"/>
      <c r="L4607" s="7" t="inlineStr">
        <is>
          <t>SEM COTAÇÃO</t>
        </is>
      </c>
      <c r="M4607" s="8" t="n"/>
      <c r="N4607" s="14" t="n"/>
      <c r="O4607" s="7" t="inlineStr"/>
      <c r="P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15" t="n">
        <v>5.39</v>
      </c>
      <c r="K4608" s="8" t="n"/>
      <c r="L4608" s="7" t="inlineStr">
        <is>
          <t>DIMEC</t>
        </is>
      </c>
      <c r="M4608" s="8" t="n">
        <v>5.39</v>
      </c>
      <c r="N4608" s="14">
        <f>M4608/H4608-1</f>
        <v/>
      </c>
      <c r="O4608" s="16" t="inlineStr">
        <is>
          <t>ACIMA +17.7%</t>
        </is>
      </c>
      <c r="P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15" t="n">
        <v>14.84</v>
      </c>
      <c r="K4609" s="8" t="n"/>
      <c r="L4609" s="7" t="inlineStr">
        <is>
          <t>DIMEC</t>
        </is>
      </c>
      <c r="M4609" s="8" t="n">
        <v>14.84</v>
      </c>
      <c r="N4609" s="14">
        <f>M4609/H4609-1</f>
        <v/>
      </c>
      <c r="O4609" s="17" t="inlineStr">
        <is>
          <t>OK (≤ menor hist.)</t>
        </is>
      </c>
      <c r="P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/>
      <c r="K4610" s="8" t="n"/>
      <c r="L4610" s="7" t="inlineStr">
        <is>
          <t>SEM COTAÇÃO</t>
        </is>
      </c>
      <c r="M4610" s="8" t="n"/>
      <c r="N4610" s="14" t="n"/>
      <c r="O4610" s="7" t="inlineStr"/>
      <c r="P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/>
      <c r="K4611" s="8" t="n"/>
      <c r="L4611" s="7" t="inlineStr">
        <is>
          <t>SEM COTAÇÃO</t>
        </is>
      </c>
      <c r="M4611" s="8" t="n"/>
      <c r="N4611" s="14" t="n"/>
      <c r="O4611" s="7" t="inlineStr"/>
      <c r="P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15" t="n">
        <v>11.73</v>
      </c>
      <c r="K4612" s="8" t="n"/>
      <c r="L4612" s="7" t="inlineStr">
        <is>
          <t>DIMEC</t>
        </is>
      </c>
      <c r="M4612" s="8" t="n">
        <v>11.73</v>
      </c>
      <c r="N4612" s="14">
        <f>M4612/H4612-1</f>
        <v/>
      </c>
      <c r="O4612" s="16" t="inlineStr">
        <is>
          <t>ACIMA +8.7%</t>
        </is>
      </c>
      <c r="P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/>
      <c r="K4613" s="8" t="n"/>
      <c r="L4613" s="7" t="inlineStr">
        <is>
          <t>SEM COTAÇÃO</t>
        </is>
      </c>
      <c r="M4613" s="8" t="n"/>
      <c r="N4613" s="14" t="n"/>
      <c r="O4613" s="7" t="inlineStr"/>
      <c r="P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/>
      <c r="K4614" s="8" t="n"/>
      <c r="L4614" s="7" t="inlineStr">
        <is>
          <t>SEM COTAÇÃO</t>
        </is>
      </c>
      <c r="M4614" s="8" t="n"/>
      <c r="N4614" s="14" t="n"/>
      <c r="O4614" s="7" t="inlineStr"/>
      <c r="P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/>
      <c r="K4615" s="8" t="n"/>
      <c r="L4615" s="7" t="inlineStr">
        <is>
          <t>SEM COTAÇÃO</t>
        </is>
      </c>
      <c r="M4615" s="8" t="n"/>
      <c r="N4615" s="14" t="n"/>
      <c r="O4615" s="7" t="inlineStr"/>
      <c r="P4615" s="7" t="inlineStr"/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15" t="n">
        <v>7.31</v>
      </c>
      <c r="K4616" s="8" t="n"/>
      <c r="L4616" s="7" t="inlineStr">
        <is>
          <t>DIMEC</t>
        </is>
      </c>
      <c r="M4616" s="8" t="n">
        <v>7.31</v>
      </c>
      <c r="N4616" s="14">
        <f>M4616/H4616-1</f>
        <v/>
      </c>
      <c r="O4616" s="16" t="inlineStr">
        <is>
          <t>ACIMA +0.3%</t>
        </is>
      </c>
      <c r="P4616" s="7" t="inlineStr"/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/>
      <c r="K4617" s="8" t="n"/>
      <c r="L4617" s="7" t="inlineStr">
        <is>
          <t>SEM COTAÇÃO</t>
        </is>
      </c>
      <c r="M4617" s="8" t="n"/>
      <c r="N4617" s="14" t="n"/>
      <c r="O4617" s="7" t="inlineStr"/>
      <c r="P4617" s="7" t="inlineStr"/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/>
      <c r="K4618" s="8" t="n"/>
      <c r="L4618" s="7" t="inlineStr">
        <is>
          <t>SEM COTAÇÃO</t>
        </is>
      </c>
      <c r="M4618" s="8" t="n"/>
      <c r="N4618" s="14" t="n"/>
      <c r="O4618" s="7" t="inlineStr"/>
      <c r="P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/>
      <c r="K4619" s="8" t="n"/>
      <c r="L4619" s="7" t="inlineStr">
        <is>
          <t>SEM COTAÇÃO</t>
        </is>
      </c>
      <c r="M4619" s="8" t="n"/>
      <c r="N4619" s="14" t="n"/>
      <c r="O4619" s="7" t="inlineStr"/>
      <c r="P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/>
      <c r="K4620" s="8" t="n"/>
      <c r="L4620" s="7" t="inlineStr">
        <is>
          <t>SEM COTAÇÃO</t>
        </is>
      </c>
      <c r="M4620" s="8" t="n"/>
      <c r="N4620" s="14" t="n"/>
      <c r="O4620" s="7" t="inlineStr"/>
      <c r="P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/>
      <c r="K4621" s="8" t="n"/>
      <c r="L4621" s="7" t="inlineStr">
        <is>
          <t>SEM COTAÇÃO</t>
        </is>
      </c>
      <c r="M4621" s="8" t="n"/>
      <c r="N4621" s="14" t="n"/>
      <c r="O4621" s="7" t="inlineStr"/>
      <c r="P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/>
      <c r="K4622" s="8" t="n"/>
      <c r="L4622" s="7" t="inlineStr">
        <is>
          <t>SEM COTAÇÃO</t>
        </is>
      </c>
      <c r="M4622" s="8" t="n"/>
      <c r="N4622" s="14" t="n"/>
      <c r="O4622" s="7" t="inlineStr"/>
      <c r="P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/>
      <c r="K4623" s="8" t="n"/>
      <c r="L4623" s="7" t="inlineStr">
        <is>
          <t>SEM COTAÇÃO</t>
        </is>
      </c>
      <c r="M4623" s="8" t="n"/>
      <c r="N4623" s="14" t="n"/>
      <c r="O4623" s="7" t="inlineStr"/>
      <c r="P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/>
      <c r="K4624" s="8" t="n"/>
      <c r="L4624" s="7" t="inlineStr">
        <is>
          <t>SEM COTAÇÃO</t>
        </is>
      </c>
      <c r="M4624" s="8" t="n"/>
      <c r="N4624" s="14" t="n"/>
      <c r="O4624" s="7" t="inlineStr"/>
      <c r="P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/>
      <c r="K4625" s="8" t="n"/>
      <c r="L4625" s="7" t="inlineStr">
        <is>
          <t>SEM COTAÇÃO</t>
        </is>
      </c>
      <c r="M4625" s="8" t="n"/>
      <c r="N4625" s="14" t="n"/>
      <c r="O4625" s="7" t="inlineStr"/>
      <c r="P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/>
      <c r="K4626" s="8" t="n"/>
      <c r="L4626" s="7" t="inlineStr">
        <is>
          <t>SEM COTAÇÃO</t>
        </is>
      </c>
      <c r="M4626" s="8" t="n"/>
      <c r="N4626" s="14" t="n"/>
      <c r="O4626" s="7" t="inlineStr"/>
      <c r="P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/>
      <c r="K4627" s="8" t="n"/>
      <c r="L4627" s="7" t="inlineStr">
        <is>
          <t>SEM COTAÇÃO</t>
        </is>
      </c>
      <c r="M4627" s="8" t="n"/>
      <c r="N4627" s="14" t="n"/>
      <c r="O4627" s="7" t="inlineStr"/>
      <c r="P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/>
      <c r="K4628" s="8" t="n"/>
      <c r="L4628" s="7" t="inlineStr">
        <is>
          <t>SEM COTAÇÃO</t>
        </is>
      </c>
      <c r="M4628" s="8" t="n"/>
      <c r="N4628" s="14" t="n"/>
      <c r="O4628" s="7" t="inlineStr"/>
      <c r="P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/>
      <c r="K4629" s="8" t="n"/>
      <c r="L4629" s="7" t="inlineStr">
        <is>
          <t>SEM COTAÇÃO</t>
        </is>
      </c>
      <c r="M4629" s="8" t="n"/>
      <c r="N4629" s="14" t="n"/>
      <c r="O4629" s="7" t="inlineStr"/>
      <c r="P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/>
      <c r="K4630" s="8" t="n"/>
      <c r="L4630" s="7" t="inlineStr">
        <is>
          <t>SEM COTAÇÃO</t>
        </is>
      </c>
      <c r="M4630" s="8" t="n"/>
      <c r="N4630" s="14" t="n"/>
      <c r="O4630" s="7" t="inlineStr"/>
      <c r="P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/>
      <c r="K4631" s="8" t="n"/>
      <c r="L4631" s="7" t="inlineStr">
        <is>
          <t>SEM COTAÇÃO</t>
        </is>
      </c>
      <c r="M4631" s="8" t="n"/>
      <c r="N4631" s="14" t="n"/>
      <c r="O4631" s="7" t="inlineStr"/>
      <c r="P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/>
      <c r="K4632" s="8" t="n"/>
      <c r="L4632" s="7" t="inlineStr">
        <is>
          <t>SEM COTAÇÃO</t>
        </is>
      </c>
      <c r="M4632" s="8" t="n"/>
      <c r="N4632" s="14" t="n"/>
      <c r="O4632" s="7" t="inlineStr"/>
      <c r="P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/>
      <c r="K4633" s="8" t="n"/>
      <c r="L4633" s="7" t="inlineStr">
        <is>
          <t>SEM COTAÇÃO</t>
        </is>
      </c>
      <c r="M4633" s="8" t="n"/>
      <c r="N4633" s="14" t="n"/>
      <c r="O4633" s="7" t="inlineStr"/>
      <c r="P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/>
      <c r="K4634" s="8" t="n"/>
      <c r="L4634" s="7" t="inlineStr">
        <is>
          <t>SEM COTAÇÃO</t>
        </is>
      </c>
      <c r="M4634" s="8" t="n"/>
      <c r="N4634" s="14" t="n"/>
      <c r="O4634" s="7" t="inlineStr"/>
      <c r="P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/>
      <c r="K4635" s="8" t="n"/>
      <c r="L4635" s="7" t="inlineStr">
        <is>
          <t>SEM COTAÇÃO</t>
        </is>
      </c>
      <c r="M4635" s="8" t="n"/>
      <c r="N4635" s="14" t="n"/>
      <c r="O4635" s="7" t="inlineStr"/>
      <c r="P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/>
      <c r="K4636" s="8" t="n"/>
      <c r="L4636" s="7" t="inlineStr">
        <is>
          <t>SEM COTAÇÃO</t>
        </is>
      </c>
      <c r="M4636" s="8" t="n"/>
      <c r="N4636" s="14" t="n"/>
      <c r="O4636" s="7" t="inlineStr"/>
      <c r="P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/>
      <c r="K4637" s="8" t="n"/>
      <c r="L4637" s="7" t="inlineStr">
        <is>
          <t>SEM COTAÇÃO</t>
        </is>
      </c>
      <c r="M4637" s="8" t="n"/>
      <c r="N4637" s="14" t="n"/>
      <c r="O4637" s="7" t="inlineStr"/>
      <c r="P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/>
      <c r="K4638" s="8" t="n"/>
      <c r="L4638" s="7" t="inlineStr">
        <is>
          <t>SEM COTAÇÃO</t>
        </is>
      </c>
      <c r="M4638" s="8" t="n"/>
      <c r="N4638" s="14" t="n"/>
      <c r="O4638" s="7" t="inlineStr"/>
      <c r="P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/>
      <c r="K4639" s="8" t="n"/>
      <c r="L4639" s="7" t="inlineStr">
        <is>
          <t>SEM COTAÇÃO</t>
        </is>
      </c>
      <c r="M4639" s="8" t="n"/>
      <c r="N4639" s="14" t="n"/>
      <c r="O4639" s="7" t="inlineStr"/>
      <c r="P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/>
      <c r="K4640" s="8" t="n"/>
      <c r="L4640" s="7" t="inlineStr">
        <is>
          <t>SEM COTAÇÃO</t>
        </is>
      </c>
      <c r="M4640" s="8" t="n"/>
      <c r="N4640" s="14" t="n"/>
      <c r="O4640" s="7" t="inlineStr"/>
      <c r="P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/>
      <c r="K4641" s="8" t="n"/>
      <c r="L4641" s="7" t="inlineStr">
        <is>
          <t>SEM COTAÇÃO</t>
        </is>
      </c>
      <c r="M4641" s="8" t="n"/>
      <c r="N4641" s="14" t="n"/>
      <c r="O4641" s="7" t="inlineStr"/>
      <c r="P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/>
      <c r="K4642" s="8" t="n"/>
      <c r="L4642" s="7" t="inlineStr">
        <is>
          <t>SEM COTAÇÃO</t>
        </is>
      </c>
      <c r="M4642" s="8" t="n"/>
      <c r="N4642" s="14" t="n"/>
      <c r="O4642" s="7" t="inlineStr"/>
      <c r="P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/>
      <c r="K4643" s="8" t="n"/>
      <c r="L4643" s="7" t="inlineStr">
        <is>
          <t>SEM COTAÇÃO</t>
        </is>
      </c>
      <c r="M4643" s="8" t="n"/>
      <c r="N4643" s="14" t="n"/>
      <c r="O4643" s="7" t="inlineStr"/>
      <c r="P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/>
      <c r="K4644" s="8" t="n"/>
      <c r="L4644" s="7" t="inlineStr">
        <is>
          <t>SEM COTAÇÃO</t>
        </is>
      </c>
      <c r="M4644" s="8" t="n"/>
      <c r="N4644" s="14" t="n"/>
      <c r="O4644" s="7" t="inlineStr"/>
      <c r="P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/>
      <c r="K4645" s="8" t="n"/>
      <c r="L4645" s="7" t="inlineStr">
        <is>
          <t>SEM COTAÇÃO</t>
        </is>
      </c>
      <c r="M4645" s="8" t="n"/>
      <c r="N4645" s="14" t="n"/>
      <c r="O4645" s="7" t="inlineStr"/>
      <c r="P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/>
      <c r="K4646" s="8" t="n"/>
      <c r="L4646" s="7" t="inlineStr">
        <is>
          <t>SEM COTAÇÃO</t>
        </is>
      </c>
      <c r="M4646" s="8" t="n"/>
      <c r="N4646" s="14" t="n"/>
      <c r="O4646" s="7" t="inlineStr"/>
      <c r="P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/>
      <c r="K4647" s="8" t="n"/>
      <c r="L4647" s="7" t="inlineStr">
        <is>
          <t>SEM COTAÇÃO</t>
        </is>
      </c>
      <c r="M4647" s="8" t="n"/>
      <c r="N4647" s="14" t="n"/>
      <c r="O4647" s="7" t="inlineStr"/>
      <c r="P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/>
      <c r="K4648" s="8" t="n"/>
      <c r="L4648" s="7" t="inlineStr">
        <is>
          <t>SEM COTAÇÃO</t>
        </is>
      </c>
      <c r="M4648" s="8" t="n"/>
      <c r="N4648" s="14" t="n"/>
      <c r="O4648" s="7" t="inlineStr"/>
      <c r="P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/>
      <c r="K4649" s="8" t="n"/>
      <c r="L4649" s="7" t="inlineStr">
        <is>
          <t>SEM COTAÇÃO</t>
        </is>
      </c>
      <c r="M4649" s="8" t="n"/>
      <c r="N4649" s="14" t="n"/>
      <c r="O4649" s="7" t="inlineStr"/>
      <c r="P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/>
      <c r="K4650" s="8" t="n"/>
      <c r="L4650" s="7" t="inlineStr">
        <is>
          <t>SEM COTAÇÃO</t>
        </is>
      </c>
      <c r="M4650" s="8" t="n"/>
      <c r="N4650" s="14" t="n"/>
      <c r="O4650" s="7" t="inlineStr"/>
      <c r="P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/>
      <c r="K4651" s="8" t="n"/>
      <c r="L4651" s="7" t="inlineStr">
        <is>
          <t>SEM COTAÇÃO</t>
        </is>
      </c>
      <c r="M4651" s="8" t="n"/>
      <c r="N4651" s="14" t="n"/>
      <c r="O4651" s="7" t="inlineStr"/>
      <c r="P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/>
      <c r="K4652" s="8" t="n"/>
      <c r="L4652" s="7" t="inlineStr">
        <is>
          <t>SEM COTAÇÃO</t>
        </is>
      </c>
      <c r="M4652" s="8" t="n"/>
      <c r="N4652" s="14" t="n"/>
      <c r="O4652" s="7" t="inlineStr"/>
      <c r="P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/>
      <c r="K4653" s="8" t="n"/>
      <c r="L4653" s="7" t="inlineStr">
        <is>
          <t>SEM COTAÇÃO</t>
        </is>
      </c>
      <c r="M4653" s="8" t="n"/>
      <c r="N4653" s="14" t="n"/>
      <c r="O4653" s="7" t="inlineStr"/>
      <c r="P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/>
      <c r="K4654" s="8" t="n"/>
      <c r="L4654" s="7" t="inlineStr">
        <is>
          <t>SEM COTAÇÃO</t>
        </is>
      </c>
      <c r="M4654" s="8" t="n"/>
      <c r="N4654" s="14" t="n"/>
      <c r="O4654" s="7" t="inlineStr"/>
      <c r="P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/>
      <c r="K4655" s="8" t="n"/>
      <c r="L4655" s="7" t="inlineStr">
        <is>
          <t>SEM COTAÇÃO</t>
        </is>
      </c>
      <c r="M4655" s="8" t="n"/>
      <c r="N4655" s="14" t="n"/>
      <c r="O4655" s="7" t="inlineStr"/>
      <c r="P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/>
      <c r="K4656" s="8" t="n"/>
      <c r="L4656" s="7" t="inlineStr">
        <is>
          <t>SEM COTAÇÃO</t>
        </is>
      </c>
      <c r="M4656" s="8" t="n"/>
      <c r="N4656" s="14" t="n"/>
      <c r="O4656" s="7" t="inlineStr"/>
      <c r="P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/>
      <c r="K4657" s="8" t="n"/>
      <c r="L4657" s="7" t="inlineStr">
        <is>
          <t>SEM COTAÇÃO</t>
        </is>
      </c>
      <c r="M4657" s="8" t="n"/>
      <c r="N4657" s="14" t="n"/>
      <c r="O4657" s="7" t="inlineStr"/>
      <c r="P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/>
      <c r="K4658" s="8" t="n"/>
      <c r="L4658" s="7" t="inlineStr">
        <is>
          <t>SEM COTAÇÃO</t>
        </is>
      </c>
      <c r="M4658" s="8" t="n"/>
      <c r="N4658" s="14" t="n"/>
      <c r="O4658" s="7" t="inlineStr"/>
      <c r="P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/>
      <c r="K4659" s="8" t="n"/>
      <c r="L4659" s="7" t="inlineStr">
        <is>
          <t>SEM COTAÇÃO</t>
        </is>
      </c>
      <c r="M4659" s="8" t="n"/>
      <c r="N4659" s="14" t="n"/>
      <c r="O4659" s="7" t="inlineStr"/>
      <c r="P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/>
      <c r="K4660" s="8" t="n"/>
      <c r="L4660" s="7" t="inlineStr">
        <is>
          <t>SEM COTAÇÃO</t>
        </is>
      </c>
      <c r="M4660" s="8" t="n"/>
      <c r="N4660" s="14" t="n"/>
      <c r="O4660" s="7" t="inlineStr"/>
      <c r="P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/>
      <c r="K4661" s="8" t="n"/>
      <c r="L4661" s="7" t="inlineStr">
        <is>
          <t>SEM COTAÇÃO</t>
        </is>
      </c>
      <c r="M4661" s="8" t="n"/>
      <c r="N4661" s="14" t="n"/>
      <c r="O4661" s="7" t="inlineStr"/>
      <c r="P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/>
      <c r="K4662" s="8" t="n"/>
      <c r="L4662" s="7" t="inlineStr">
        <is>
          <t>SEM COTAÇÃO</t>
        </is>
      </c>
      <c r="M4662" s="8" t="n"/>
      <c r="N4662" s="14" t="n"/>
      <c r="O4662" s="7" t="inlineStr"/>
      <c r="P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/>
      <c r="K4663" s="8" t="n"/>
      <c r="L4663" s="7" t="inlineStr">
        <is>
          <t>SEM COTAÇÃO</t>
        </is>
      </c>
      <c r="M4663" s="8" t="n"/>
      <c r="N4663" s="14" t="n"/>
      <c r="O4663" s="7" t="inlineStr"/>
      <c r="P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/>
      <c r="K4664" s="8" t="n"/>
      <c r="L4664" s="7" t="inlineStr">
        <is>
          <t>SEM COTAÇÃO</t>
        </is>
      </c>
      <c r="M4664" s="8" t="n"/>
      <c r="N4664" s="14" t="n"/>
      <c r="O4664" s="7" t="inlineStr"/>
      <c r="P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/>
      <c r="K4665" s="8" t="n"/>
      <c r="L4665" s="7" t="inlineStr">
        <is>
          <t>SEM COTAÇÃO</t>
        </is>
      </c>
      <c r="M4665" s="8" t="n"/>
      <c r="N4665" s="14" t="n"/>
      <c r="O4665" s="7" t="inlineStr"/>
      <c r="P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/>
      <c r="K4666" s="8" t="n"/>
      <c r="L4666" s="7" t="inlineStr">
        <is>
          <t>SEM COTAÇÃO</t>
        </is>
      </c>
      <c r="M4666" s="8" t="n"/>
      <c r="N4666" s="14" t="n"/>
      <c r="O4666" s="7" t="inlineStr"/>
      <c r="P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/>
      <c r="K4667" s="8" t="n"/>
      <c r="L4667" s="7" t="inlineStr">
        <is>
          <t>SEM COTAÇÃO</t>
        </is>
      </c>
      <c r="M4667" s="8" t="n"/>
      <c r="N4667" s="14" t="n"/>
      <c r="O4667" s="7" t="inlineStr"/>
      <c r="P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/>
      <c r="K4668" s="8" t="n"/>
      <c r="L4668" s="7" t="inlineStr">
        <is>
          <t>SEM COTAÇÃO</t>
        </is>
      </c>
      <c r="M4668" s="8" t="n"/>
      <c r="N4668" s="14" t="n"/>
      <c r="O4668" s="7" t="inlineStr"/>
      <c r="P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/>
      <c r="K4669" s="8" t="n"/>
      <c r="L4669" s="7" t="inlineStr">
        <is>
          <t>SEM COTAÇÃO</t>
        </is>
      </c>
      <c r="M4669" s="8" t="n"/>
      <c r="N4669" s="14" t="n"/>
      <c r="O4669" s="7" t="inlineStr"/>
      <c r="P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/>
      <c r="K4670" s="8" t="n"/>
      <c r="L4670" s="7" t="inlineStr">
        <is>
          <t>SEM COTAÇÃO</t>
        </is>
      </c>
      <c r="M4670" s="8" t="n"/>
      <c r="N4670" s="14" t="n"/>
      <c r="O4670" s="7" t="inlineStr"/>
      <c r="P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/>
      <c r="K4671" s="8" t="n"/>
      <c r="L4671" s="7" t="inlineStr">
        <is>
          <t>SEM COTAÇÃO</t>
        </is>
      </c>
      <c r="M4671" s="8" t="n"/>
      <c r="N4671" s="14" t="n"/>
      <c r="O4671" s="7" t="inlineStr"/>
      <c r="P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/>
      <c r="K4672" s="8" t="n"/>
      <c r="L4672" s="7" t="inlineStr">
        <is>
          <t>SEM COTAÇÃO</t>
        </is>
      </c>
      <c r="M4672" s="8" t="n"/>
      <c r="N4672" s="14" t="n"/>
      <c r="O4672" s="7" t="inlineStr"/>
      <c r="P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/>
      <c r="K4673" s="8" t="n"/>
      <c r="L4673" s="7" t="inlineStr">
        <is>
          <t>SEM COTAÇÃO</t>
        </is>
      </c>
      <c r="M4673" s="8" t="n"/>
      <c r="N4673" s="14" t="n"/>
      <c r="O4673" s="7" t="inlineStr"/>
      <c r="P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/>
      <c r="K4674" s="8" t="n"/>
      <c r="L4674" s="7" t="inlineStr">
        <is>
          <t>SEM COTAÇÃO</t>
        </is>
      </c>
      <c r="M4674" s="8" t="n"/>
      <c r="N4674" s="14" t="n"/>
      <c r="O4674" s="7" t="inlineStr"/>
      <c r="P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/>
      <c r="K4675" s="8" t="n"/>
      <c r="L4675" s="7" t="inlineStr">
        <is>
          <t>SEM COTAÇÃO</t>
        </is>
      </c>
      <c r="M4675" s="8" t="n"/>
      <c r="N4675" s="14" t="n"/>
      <c r="O4675" s="7" t="inlineStr"/>
      <c r="P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/>
      <c r="K4676" s="8" t="n"/>
      <c r="L4676" s="7" t="inlineStr">
        <is>
          <t>SEM COTAÇÃO</t>
        </is>
      </c>
      <c r="M4676" s="8" t="n"/>
      <c r="N4676" s="14" t="n"/>
      <c r="O4676" s="7" t="inlineStr"/>
      <c r="P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/>
      <c r="K4677" s="8" t="n"/>
      <c r="L4677" s="7" t="inlineStr">
        <is>
          <t>SEM COTAÇÃO</t>
        </is>
      </c>
      <c r="M4677" s="8" t="n"/>
      <c r="N4677" s="14" t="n"/>
      <c r="O4677" s="7" t="inlineStr"/>
      <c r="P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/>
      <c r="K4678" s="8" t="n"/>
      <c r="L4678" s="7" t="inlineStr">
        <is>
          <t>SEM COTAÇÃO</t>
        </is>
      </c>
      <c r="M4678" s="8" t="n"/>
      <c r="N4678" s="14" t="n"/>
      <c r="O4678" s="7" t="inlineStr"/>
      <c r="P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/>
      <c r="K4679" s="8" t="n"/>
      <c r="L4679" s="7" t="inlineStr">
        <is>
          <t>SEM COTAÇÃO</t>
        </is>
      </c>
      <c r="M4679" s="8" t="n"/>
      <c r="N4679" s="14" t="n"/>
      <c r="O4679" s="7" t="inlineStr"/>
      <c r="P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/>
      <c r="K4680" s="8" t="n"/>
      <c r="L4680" s="7" t="inlineStr">
        <is>
          <t>SEM COTAÇÃO</t>
        </is>
      </c>
      <c r="M4680" s="8" t="n"/>
      <c r="N4680" s="14" t="n"/>
      <c r="O4680" s="7" t="inlineStr"/>
      <c r="P4680" s="7" t="inlineStr"/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/>
      <c r="K4681" s="8" t="n"/>
      <c r="L4681" s="7" t="inlineStr">
        <is>
          <t>SEM COTAÇÃO</t>
        </is>
      </c>
      <c r="M4681" s="8" t="n"/>
      <c r="N4681" s="14" t="n"/>
      <c r="O4681" s="7" t="inlineStr"/>
      <c r="P4681" s="7" t="inlineStr"/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/>
      <c r="K4682" s="8" t="n"/>
      <c r="L4682" s="7" t="inlineStr">
        <is>
          <t>SEM COTAÇÃO</t>
        </is>
      </c>
      <c r="M4682" s="8" t="n"/>
      <c r="N4682" s="14" t="n"/>
      <c r="O4682" s="7" t="inlineStr"/>
      <c r="P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/>
      <c r="K4683" s="8" t="n"/>
      <c r="L4683" s="7" t="inlineStr">
        <is>
          <t>SEM COTAÇÃO</t>
        </is>
      </c>
      <c r="M4683" s="8" t="n"/>
      <c r="N4683" s="14" t="n"/>
      <c r="O4683" s="7" t="inlineStr"/>
      <c r="P4683" s="7" t="inlineStr"/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/>
      <c r="K4684" s="8" t="n"/>
      <c r="L4684" s="7" t="inlineStr">
        <is>
          <t>SEM COTAÇÃO</t>
        </is>
      </c>
      <c r="M4684" s="8" t="n"/>
      <c r="N4684" s="14" t="n"/>
      <c r="O4684" s="7" t="inlineStr"/>
      <c r="P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/>
      <c r="K4685" s="8" t="n"/>
      <c r="L4685" s="7" t="inlineStr">
        <is>
          <t>SEM COTAÇÃO</t>
        </is>
      </c>
      <c r="M4685" s="8" t="n"/>
      <c r="N4685" s="14" t="n"/>
      <c r="O4685" s="7" t="inlineStr"/>
      <c r="P4685" s="7" t="inlineStr"/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/>
      <c r="K4686" s="8" t="n"/>
      <c r="L4686" s="7" t="inlineStr">
        <is>
          <t>SEM COTAÇÃO</t>
        </is>
      </c>
      <c r="M4686" s="8" t="n"/>
      <c r="N4686" s="14" t="n"/>
      <c r="O4686" s="7" t="inlineStr"/>
      <c r="P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/>
      <c r="K4687" s="8" t="n"/>
      <c r="L4687" s="7" t="inlineStr">
        <is>
          <t>SEM COTAÇÃO</t>
        </is>
      </c>
      <c r="M4687" s="8" t="n"/>
      <c r="N4687" s="14" t="n"/>
      <c r="O4687" s="7" t="inlineStr"/>
      <c r="P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441</v>
      </c>
      <c r="B2" s="7" t="inlineStr">
        <is>
          <t>4853</t>
        </is>
      </c>
      <c r="C2" s="12" t="inlineStr">
        <is>
          <t>7896422513173</t>
        </is>
      </c>
      <c r="D2" s="7" t="inlineStr">
        <is>
          <t>- DOMPERIDONA 1MG/ML SUS OR FR 100ML+PIPET DOS</t>
        </is>
      </c>
      <c r="E2" s="13" t="n">
        <v>1</v>
      </c>
      <c r="F2" s="13" t="n">
        <v>3</v>
      </c>
      <c r="G2" s="13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14">
        <f>J2/K2-1</f>
        <v/>
      </c>
      <c r="N2" s="7" t="inlineStr">
        <is>
          <t>ACIMA +30.2%</t>
        </is>
      </c>
      <c r="O2" s="7" t="inlineStr"/>
    </row>
    <row r="3">
      <c r="A3" s="7" t="n">
        <v>634551</v>
      </c>
      <c r="B3" s="7" t="inlineStr">
        <is>
          <t>9626</t>
        </is>
      </c>
      <c r="C3" s="12" t="inlineStr">
        <is>
          <t>7895143226942</t>
        </is>
      </c>
      <c r="D3" s="7" t="inlineStr">
        <is>
          <t>5MAG 500MG 60CAPS QUALYNUTRI</t>
        </is>
      </c>
      <c r="E3" s="13" t="n">
        <v>1</v>
      </c>
      <c r="F3" s="13" t="n">
        <v>2</v>
      </c>
      <c r="G3" s="13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638981</v>
      </c>
      <c r="B4" s="7" t="inlineStr">
        <is>
          <t>7634</t>
        </is>
      </c>
      <c r="C4" s="12" t="inlineStr">
        <is>
          <t>7894164009008</t>
        </is>
      </c>
      <c r="D4" s="7" t="inlineStr">
        <is>
          <t>ABIDOR CRIANCA 32G 60ML SUS.</t>
        </is>
      </c>
      <c r="E4" s="13" t="n">
        <v>1</v>
      </c>
      <c r="F4" s="13" t="n">
        <v>4</v>
      </c>
      <c r="G4" s="13" t="n">
        <v>4</v>
      </c>
      <c r="H4" s="8" t="n">
        <v>6.4</v>
      </c>
      <c r="I4" s="8">
        <f>G4*H4</f>
        <v/>
      </c>
      <c r="J4" s="8">
        <f>H4/E4</f>
        <v/>
      </c>
      <c r="K4" s="8" t="n">
        <v>5.65</v>
      </c>
      <c r="L4" s="8" t="n">
        <v>5.65</v>
      </c>
      <c r="M4" s="14">
        <f>J4/K4-1</f>
        <v/>
      </c>
      <c r="N4" s="7" t="inlineStr">
        <is>
          <t>ACIMA +13.3%</t>
        </is>
      </c>
      <c r="O4" s="7" t="inlineStr"/>
    </row>
    <row r="5">
      <c r="A5" s="7" t="n">
        <v>2081</v>
      </c>
      <c r="B5" s="7" t="inlineStr">
        <is>
          <t>8910</t>
        </is>
      </c>
      <c r="C5" s="12" t="inlineStr">
        <is>
          <t>7899620912731</t>
        </is>
      </c>
      <c r="D5" s="7" t="inlineStr">
        <is>
          <t>ACEBROFILINA 10MG/ML XPE FR 120ML+COP MED</t>
        </is>
      </c>
      <c r="E5" s="13" t="n">
        <v>1</v>
      </c>
      <c r="F5" s="13" t="n">
        <v>2</v>
      </c>
      <c r="G5" s="13" t="n">
        <v>2</v>
      </c>
      <c r="H5" s="8" t="n">
        <v>7.03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14">
        <f>J5/K5-1</f>
        <v/>
      </c>
      <c r="N5" s="7" t="inlineStr">
        <is>
          <t>ACIMA +0.3%</t>
        </is>
      </c>
      <c r="O5" s="7" t="inlineStr"/>
    </row>
    <row r="6">
      <c r="A6" s="7" t="n">
        <v>403321</v>
      </c>
      <c r="B6" s="7" t="inlineStr">
        <is>
          <t>866</t>
        </is>
      </c>
      <c r="C6" s="12" t="inlineStr">
        <is>
          <t>7893454300115</t>
        </is>
      </c>
      <c r="D6" s="7" t="inlineStr">
        <is>
          <t>ACERATUM SOL FR 10ML</t>
        </is>
      </c>
      <c r="E6" s="13" t="n">
        <v>1</v>
      </c>
      <c r="F6" s="13" t="n">
        <v>1</v>
      </c>
      <c r="G6" s="13" t="n">
        <v>1</v>
      </c>
      <c r="H6" s="8" t="n">
        <v>11.39</v>
      </c>
      <c r="I6" s="8">
        <f>G6*H6</f>
        <v/>
      </c>
      <c r="J6" s="8">
        <f>H6/E6</f>
        <v/>
      </c>
      <c r="K6" s="8" t="n">
        <v>13.04</v>
      </c>
      <c r="L6" s="8" t="n">
        <v>13.04</v>
      </c>
      <c r="M6" s="14">
        <f>J6/K6-1</f>
        <v/>
      </c>
      <c r="N6" s="7" t="inlineStr">
        <is>
          <t>OK (≤ menor hist.)</t>
        </is>
      </c>
      <c r="O6" s="7" t="inlineStr"/>
    </row>
    <row r="7">
      <c r="A7" s="7" t="n">
        <v>14301</v>
      </c>
      <c r="B7" s="7" t="inlineStr">
        <is>
          <t>2509</t>
        </is>
      </c>
      <c r="C7" s="12" t="inlineStr">
        <is>
          <t>7898122913772</t>
        </is>
      </c>
      <c r="D7" s="7" t="inlineStr">
        <is>
          <t>ACIDO ASCORBICO (VIT C) HYPOFARMA 100 MG/ML SOL INJ IV/IM CX 100 AMP VD AMB X 5 ML (EMB HOSP)</t>
        </is>
      </c>
      <c r="E7" s="13" t="n">
        <v>1</v>
      </c>
      <c r="F7" s="13" t="n">
        <v>1</v>
      </c>
      <c r="G7" s="13" t="n">
        <v>1</v>
      </c>
      <c r="H7" s="8" t="n">
        <v>103.59</v>
      </c>
      <c r="I7" s="8">
        <f>G7*H7</f>
        <v/>
      </c>
      <c r="J7" s="8">
        <f>H7/E7</f>
        <v/>
      </c>
      <c r="K7" s="8" t="n">
        <v>117</v>
      </c>
      <c r="L7" s="8" t="n">
        <v>117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1463</v>
      </c>
      <c r="B8" s="7" t="inlineStr">
        <is>
          <t>2194</t>
        </is>
      </c>
      <c r="C8" s="12" t="inlineStr">
        <is>
          <t>7898277713739</t>
        </is>
      </c>
      <c r="D8" s="7" t="inlineStr">
        <is>
          <t>AFT RUB 30ML SPRAY BUCAL</t>
        </is>
      </c>
      <c r="E8" s="13" t="n">
        <v>1</v>
      </c>
      <c r="F8" s="13" t="n">
        <v>1</v>
      </c>
      <c r="G8" s="13" t="n">
        <v>1</v>
      </c>
      <c r="H8" s="8" t="n">
        <v>8.09</v>
      </c>
      <c r="I8" s="8">
        <f>G8*H8</f>
        <v/>
      </c>
      <c r="J8" s="8">
        <f>H8/E8</f>
        <v/>
      </c>
      <c r="K8" s="8" t="n">
        <v>8.09</v>
      </c>
      <c r="L8" s="8" t="n">
        <v>8.09</v>
      </c>
      <c r="M8" s="14">
        <f>J8/K8-1</f>
        <v/>
      </c>
      <c r="N8" s="7" t="inlineStr">
        <is>
          <t>OK (≤ menor hist.)</t>
        </is>
      </c>
      <c r="O8" s="7" t="inlineStr"/>
    </row>
    <row r="9">
      <c r="A9" s="7" t="n">
        <v>538041</v>
      </c>
      <c r="B9" s="7" t="inlineStr">
        <is>
          <t>4782</t>
        </is>
      </c>
      <c r="C9" s="12" t="inlineStr">
        <is>
          <t>7894164005208</t>
        </is>
      </c>
      <c r="D9" s="7" t="inlineStr">
        <is>
          <t>AFTANAX 100MG/ML SPRAY 25ML</t>
        </is>
      </c>
      <c r="E9" s="13" t="n">
        <v>1</v>
      </c>
      <c r="F9" s="13" t="n">
        <v>1</v>
      </c>
      <c r="G9" s="13" t="n">
        <v>1</v>
      </c>
      <c r="H9" s="8" t="n">
        <v>12.35</v>
      </c>
      <c r="I9" s="8">
        <f>G9*H9</f>
        <v/>
      </c>
      <c r="J9" s="8">
        <f>H9/E9</f>
        <v/>
      </c>
      <c r="K9" s="8" t="n">
        <v>12.35</v>
      </c>
      <c r="L9" s="8" t="n">
        <v>12.35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532121</v>
      </c>
      <c r="B10" s="7" t="inlineStr">
        <is>
          <t>137</t>
        </is>
      </c>
      <c r="C10" s="12" t="inlineStr">
        <is>
          <t>7898031310082</t>
        </is>
      </c>
      <c r="D10" s="7" t="inlineStr">
        <is>
          <t>AGUA BORICADA 3% 100ML</t>
        </is>
      </c>
      <c r="E10" s="13" t="n">
        <v>1</v>
      </c>
      <c r="F10" s="13" t="n">
        <v>1</v>
      </c>
      <c r="G10" s="13" t="n">
        <v>1</v>
      </c>
      <c r="H10" s="8" t="n">
        <v>2.69</v>
      </c>
      <c r="I10" s="8">
        <f>G10*H10</f>
        <v/>
      </c>
      <c r="J10" s="8">
        <f>H10/E10</f>
        <v/>
      </c>
      <c r="K10" s="8" t="n">
        <v>2.49</v>
      </c>
      <c r="L10" s="8" t="n">
        <v>2.49</v>
      </c>
      <c r="M10" s="14">
        <f>J10/K10-1</f>
        <v/>
      </c>
      <c r="N10" s="7" t="inlineStr">
        <is>
          <t>ACIMA +8.0%</t>
        </is>
      </c>
      <c r="O10" s="7" t="inlineStr"/>
    </row>
    <row r="11">
      <c r="A11" s="7" t="n">
        <v>541181</v>
      </c>
      <c r="B11" s="7" t="inlineStr">
        <is>
          <t>1251</t>
        </is>
      </c>
      <c r="C11" s="12" t="inlineStr">
        <is>
          <t>7898048691419</t>
        </is>
      </c>
      <c r="D11" s="7" t="inlineStr">
        <is>
          <t>AGUA FLOR DE LARANJEIRA 100ML</t>
        </is>
      </c>
      <c r="E11" s="13" t="n">
        <v>1</v>
      </c>
      <c r="F11" s="13" t="n">
        <v>2</v>
      </c>
      <c r="G11" s="13" t="n">
        <v>2</v>
      </c>
      <c r="H11" s="8" t="n">
        <v>5.06</v>
      </c>
      <c r="I11" s="8">
        <f>G11*H11</f>
        <v/>
      </c>
      <c r="J11" s="8">
        <f>H11/E11</f>
        <v/>
      </c>
      <c r="K11" s="8" t="n">
        <v>5.06</v>
      </c>
      <c r="L11" s="8" t="n">
        <v>5.06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618971</v>
      </c>
      <c r="B12" s="7" t="inlineStr">
        <is>
          <t>324</t>
        </is>
      </c>
      <c r="C12" s="12" t="inlineStr">
        <is>
          <t>7898048690771</t>
        </is>
      </c>
      <c r="D12" s="7" t="inlineStr">
        <is>
          <t>AGUA INGLESA 450ML (CINCHONA OFFICINALI)</t>
        </is>
      </c>
      <c r="E12" s="13" t="n">
        <v>1</v>
      </c>
      <c r="F12" s="13" t="n">
        <v>7</v>
      </c>
      <c r="G12" s="13" t="n">
        <v>7</v>
      </c>
      <c r="H12" s="8" t="n">
        <v>10.73</v>
      </c>
      <c r="I12" s="8">
        <f>G12*H12</f>
        <v/>
      </c>
      <c r="J12" s="8">
        <f>H12/E12</f>
        <v/>
      </c>
      <c r="K12" s="8" t="n">
        <v>11.95</v>
      </c>
      <c r="L12" s="8" t="n">
        <v>10.05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647221</v>
      </c>
      <c r="B13" s="7" t="inlineStr">
        <is>
          <t>685</t>
        </is>
      </c>
      <c r="C13" s="12" t="inlineStr">
        <is>
          <t>7896023705397</t>
        </is>
      </c>
      <c r="D13" s="7" t="inlineStr">
        <is>
          <t>AGUA INGLESA 500ML</t>
        </is>
      </c>
      <c r="E13" s="13" t="n">
        <v>1</v>
      </c>
      <c r="F13" s="13" t="n">
        <v>3</v>
      </c>
      <c r="G13" s="13" t="n">
        <v>3</v>
      </c>
      <c r="H13" s="8" t="n">
        <v>22.17</v>
      </c>
      <c r="I13" s="8">
        <f>G13*H13</f>
        <v/>
      </c>
      <c r="J13" s="8">
        <f>H13/E13</f>
        <v/>
      </c>
      <c r="K13" s="8" t="n">
        <v>22.12</v>
      </c>
      <c r="L13" s="8" t="n">
        <v>22.12</v>
      </c>
      <c r="M13" s="14">
        <f>J13/K13-1</f>
        <v/>
      </c>
      <c r="N13" s="7" t="inlineStr">
        <is>
          <t>ACIMA +0.2%</t>
        </is>
      </c>
      <c r="O13" s="7" t="inlineStr"/>
    </row>
    <row r="14">
      <c r="A14" s="7" t="n">
        <v>584341</v>
      </c>
      <c r="B14" s="7" t="inlineStr">
        <is>
          <t>2382</t>
        </is>
      </c>
      <c r="C14" s="12" t="inlineStr">
        <is>
          <t>7897732606234</t>
        </is>
      </c>
      <c r="D14" s="7" t="inlineStr">
        <is>
          <t>AGUA INGLESA SOBRAL COMPOSTA 430ML (SBR)</t>
        </is>
      </c>
      <c r="E14" s="13" t="n">
        <v>1</v>
      </c>
      <c r="F14" s="13" t="n">
        <v>22</v>
      </c>
      <c r="G14" s="13" t="n">
        <v>22</v>
      </c>
      <c r="H14" s="8" t="n">
        <v>14.39</v>
      </c>
      <c r="I14" s="8">
        <f>G14*H14</f>
        <v/>
      </c>
      <c r="J14" s="8">
        <f>H14/E14</f>
        <v/>
      </c>
      <c r="K14" s="8" t="n">
        <v>11.36</v>
      </c>
      <c r="L14" s="8" t="n">
        <v>11.36</v>
      </c>
      <c r="M14" s="14">
        <f>J14/K14-1</f>
        <v/>
      </c>
      <c r="N14" s="7" t="inlineStr">
        <is>
          <t>ACIMA +26.7%</t>
        </is>
      </c>
      <c r="O14" s="7" t="inlineStr"/>
    </row>
    <row r="15">
      <c r="A15" s="7" t="n">
        <v>532161</v>
      </c>
      <c r="B15" s="7" t="inlineStr">
        <is>
          <t>1467</t>
        </is>
      </c>
      <c r="C15" s="12" t="inlineStr">
        <is>
          <t>7898031310587</t>
        </is>
      </c>
      <c r="D15" s="7" t="inlineStr">
        <is>
          <t>AGUA OXIGENADA ALMOT. 10 VOL. 100ML</t>
        </is>
      </c>
      <c r="E15" s="13" t="n">
        <v>1</v>
      </c>
      <c r="F15" s="13" t="n">
        <v>45</v>
      </c>
      <c r="G15" s="13" t="n">
        <v>45</v>
      </c>
      <c r="H15" s="8" t="n">
        <v>2.69</v>
      </c>
      <c r="I15" s="8">
        <f>G15*H15</f>
        <v/>
      </c>
      <c r="J15" s="8">
        <f>H15/E15</f>
        <v/>
      </c>
      <c r="K15" s="8" t="n">
        <v>2.35</v>
      </c>
      <c r="L15" s="8" t="n">
        <v>2.18</v>
      </c>
      <c r="M15" s="14">
        <f>J15/K15-1</f>
        <v/>
      </c>
      <c r="N15" s="7" t="inlineStr">
        <is>
          <t>ACIMA +14.5%</t>
        </is>
      </c>
      <c r="O15" s="7" t="inlineStr"/>
    </row>
    <row r="16">
      <c r="A16" s="7" t="n">
        <v>534761</v>
      </c>
      <c r="B16" s="7" t="inlineStr">
        <is>
          <t>2970</t>
        </is>
      </c>
      <c r="C16" s="12" t="inlineStr">
        <is>
          <t>7896902210905</t>
        </is>
      </c>
      <c r="D16" s="7" t="inlineStr">
        <is>
          <t>AGUA OXIGENADA CREMOSA - AMONIA 100ML</t>
        </is>
      </c>
      <c r="E16" s="13" t="n">
        <v>1</v>
      </c>
      <c r="F16" s="13" t="n">
        <v>2</v>
      </c>
      <c r="G16" s="13" t="n">
        <v>2</v>
      </c>
      <c r="H16" s="8" t="n">
        <v>2.42</v>
      </c>
      <c r="I16" s="8">
        <f>G16*H16</f>
        <v/>
      </c>
      <c r="J16" s="8">
        <f>H16/E16</f>
        <v/>
      </c>
      <c r="K16" s="8" t="n">
        <v>1.95</v>
      </c>
      <c r="L16" s="8" t="n">
        <v>1.95</v>
      </c>
      <c r="M16" s="14">
        <f>J16/K16-1</f>
        <v/>
      </c>
      <c r="N16" s="7" t="inlineStr">
        <is>
          <t>ACIMA +24.1%</t>
        </is>
      </c>
      <c r="O16" s="7" t="inlineStr"/>
    </row>
    <row r="17">
      <c r="A17" s="7" t="n">
        <v>547721</v>
      </c>
      <c r="B17" s="7" t="inlineStr">
        <is>
          <t>320</t>
        </is>
      </c>
      <c r="C17" s="12" t="inlineStr">
        <is>
          <t>7896902211544</t>
        </is>
      </c>
      <c r="D17" s="7" t="inlineStr">
        <is>
          <t>AGUA OXIGENADA VOL10</t>
        </is>
      </c>
      <c r="E17" s="13" t="n">
        <v>1</v>
      </c>
      <c r="F17" s="13" t="n">
        <v>39</v>
      </c>
      <c r="G17" s="13" t="n">
        <v>39</v>
      </c>
      <c r="H17" s="8" t="n">
        <v>2.4</v>
      </c>
      <c r="I17" s="8">
        <f>G17*H17</f>
        <v/>
      </c>
      <c r="J17" s="8">
        <f>H17/E17</f>
        <v/>
      </c>
      <c r="K17" s="8" t="n">
        <v>2.37</v>
      </c>
      <c r="L17" s="8" t="n">
        <v>1.9</v>
      </c>
      <c r="M17" s="14">
        <f>J17/K17-1</f>
        <v/>
      </c>
      <c r="N17" s="7" t="inlineStr">
        <is>
          <t>ACIMA +1.3%</t>
        </is>
      </c>
      <c r="O17" s="7" t="inlineStr"/>
    </row>
    <row r="18">
      <c r="A18" s="7" t="n">
        <v>651171</v>
      </c>
      <c r="B18" s="7" t="inlineStr">
        <is>
          <t>4245</t>
        </is>
      </c>
      <c r="C18" s="12" t="inlineStr">
        <is>
          <t>7898048690900</t>
        </is>
      </c>
      <c r="D18" s="7" t="inlineStr">
        <is>
          <t>AGUARDENTE ALEMA JALAPA 200ML</t>
        </is>
      </c>
      <c r="E18" s="13" t="n">
        <v>1</v>
      </c>
      <c r="F18" s="13" t="n">
        <v>1</v>
      </c>
      <c r="G18" s="13" t="n">
        <v>1</v>
      </c>
      <c r="H18" s="8" t="n">
        <v>8.119999999999999</v>
      </c>
      <c r="I18" s="8">
        <f>G18*H18</f>
        <v/>
      </c>
      <c r="J18" s="8">
        <f>H18/E18</f>
        <v/>
      </c>
      <c r="K18" s="8" t="n">
        <v>8.09</v>
      </c>
      <c r="L18" s="8" t="n">
        <v>8.09</v>
      </c>
      <c r="M18" s="14">
        <f>J18/K18-1</f>
        <v/>
      </c>
      <c r="N18" s="7" t="inlineStr">
        <is>
          <t>ACIMA +0.4%</t>
        </is>
      </c>
      <c r="O18" s="7" t="inlineStr"/>
    </row>
    <row r="19">
      <c r="A19" s="7" t="n">
        <v>532201</v>
      </c>
      <c r="B19" s="7" t="inlineStr">
        <is>
          <t>854</t>
        </is>
      </c>
      <c r="C19" s="12" t="inlineStr">
        <is>
          <t>7898048690887</t>
        </is>
      </c>
      <c r="D19" s="7" t="inlineStr">
        <is>
          <t>AGUARDENTE ALEMA JALAPA D1 30ML</t>
        </is>
      </c>
      <c r="E19" s="13" t="n">
        <v>1</v>
      </c>
      <c r="F19" s="13" t="n">
        <v>3</v>
      </c>
      <c r="G19" s="13" t="n">
        <v>3</v>
      </c>
      <c r="H19" s="8" t="n">
        <v>2.4</v>
      </c>
      <c r="I19" s="8">
        <f>G19*H19</f>
        <v/>
      </c>
      <c r="J19" s="8">
        <f>H19/E19</f>
        <v/>
      </c>
      <c r="K19" s="8" t="n">
        <v>2.4</v>
      </c>
      <c r="L19" s="8" t="n">
        <v>2.38</v>
      </c>
      <c r="M19" s="14">
        <f>J19/K19-1</f>
        <v/>
      </c>
      <c r="N19" s="7" t="inlineStr">
        <is>
          <t>OK (≤ últ. compra)</t>
        </is>
      </c>
      <c r="O19" s="7" t="inlineStr"/>
    </row>
    <row r="20">
      <c r="A20" s="7" t="n">
        <v>578621</v>
      </c>
      <c r="B20" s="7" t="inlineStr">
        <is>
          <t>505</t>
        </is>
      </c>
      <c r="C20" s="12" t="inlineStr">
        <is>
          <t>7899780159182</t>
        </is>
      </c>
      <c r="D20" s="7" t="inlineStr">
        <is>
          <t>AGULHA 30X0,7 DESC. WILTEX</t>
        </is>
      </c>
      <c r="E20" s="13" t="n">
        <v>100</v>
      </c>
      <c r="F20" s="13" t="n">
        <v>1</v>
      </c>
      <c r="G20" s="13" t="n">
        <v>1</v>
      </c>
      <c r="H20" s="8" t="n">
        <v>11.6</v>
      </c>
      <c r="I20" s="8">
        <f>G20*H20</f>
        <v/>
      </c>
      <c r="J20" s="8">
        <f>H20/E20</f>
        <v/>
      </c>
      <c r="K20" s="8" t="n">
        <v>0.1234</v>
      </c>
      <c r="L20" s="8" t="n">
        <v>0.1234</v>
      </c>
      <c r="M20" s="14">
        <f>J20/K20-1</f>
        <v/>
      </c>
      <c r="N20" s="7" t="inlineStr">
        <is>
          <t>OK (≤ menor hist.)</t>
        </is>
      </c>
      <c r="O20" s="7" t="inlineStr">
        <is>
          <t>1 emb = 100 un</t>
        </is>
      </c>
    </row>
    <row r="21">
      <c r="A21" s="7" t="n">
        <v>553701</v>
      </c>
      <c r="B21" s="7" t="inlineStr">
        <is>
          <t>503</t>
        </is>
      </c>
      <c r="C21" s="12" t="inlineStr">
        <is>
          <t>78936263</t>
        </is>
      </c>
      <c r="D21" s="7" t="inlineStr">
        <is>
          <t>AGULHA 30X8 WILTEX</t>
        </is>
      </c>
      <c r="E21" s="13" t="n">
        <v>100</v>
      </c>
      <c r="F21" s="13" t="n">
        <v>3</v>
      </c>
      <c r="G21" s="13" t="n">
        <v>1</v>
      </c>
      <c r="H21" s="8" t="n">
        <v>11.42</v>
      </c>
      <c r="I21" s="8">
        <f>G21*H21</f>
        <v/>
      </c>
      <c r="J21" s="8">
        <f>H21/E21</f>
        <v/>
      </c>
      <c r="K21" s="8" t="n">
        <v>0.15</v>
      </c>
      <c r="L21" s="8" t="n">
        <v>0.15</v>
      </c>
      <c r="M21" s="14">
        <f>J21/K21-1</f>
        <v/>
      </c>
      <c r="N21" s="7" t="inlineStr">
        <is>
          <t>OK (≤ menor hist.)</t>
        </is>
      </c>
      <c r="O21" s="7" t="inlineStr">
        <is>
          <t>1 emb = 100 un</t>
        </is>
      </c>
    </row>
    <row r="22">
      <c r="A22" s="7" t="n">
        <v>532221</v>
      </c>
      <c r="B22" s="7" t="inlineStr">
        <is>
          <t>7101</t>
        </is>
      </c>
      <c r="C22" s="12" t="inlineStr">
        <is>
          <t>7898031311010</t>
        </is>
      </c>
      <c r="D22" s="7" t="inlineStr">
        <is>
          <t>ALCOOL 70% SPRAY 50 ML</t>
        </is>
      </c>
      <c r="E22" s="13" t="n">
        <v>1</v>
      </c>
      <c r="F22" s="13" t="n">
        <v>15</v>
      </c>
      <c r="G22" s="13" t="n">
        <v>15</v>
      </c>
      <c r="H22" s="8" t="n">
        <v>4.24</v>
      </c>
      <c r="I22" s="8">
        <f>G22*H22</f>
        <v/>
      </c>
      <c r="J22" s="8">
        <f>H22/E22</f>
        <v/>
      </c>
      <c r="K22" s="8" t="n">
        <v>4.01</v>
      </c>
      <c r="L22" s="8" t="n">
        <v>4.01</v>
      </c>
      <c r="M22" s="14">
        <f>J22/K22-1</f>
        <v/>
      </c>
      <c r="N22" s="7" t="inlineStr">
        <is>
          <t>ACIMA +5.7%</t>
        </is>
      </c>
      <c r="O22" s="7" t="inlineStr"/>
    </row>
    <row r="23">
      <c r="A23" s="7" t="n">
        <v>559941</v>
      </c>
      <c r="B23" s="7" t="inlineStr">
        <is>
          <t>5030</t>
        </is>
      </c>
      <c r="C23" s="12" t="inlineStr">
        <is>
          <t>7898179710775</t>
        </is>
      </c>
      <c r="D23" s="7" t="inlineStr">
        <is>
          <t>ALCOOL ETILICO 50ML</t>
        </is>
      </c>
      <c r="E23" s="13" t="n">
        <v>1</v>
      </c>
      <c r="F23" s="13" t="n">
        <v>7</v>
      </c>
      <c r="G23" s="13" t="n">
        <v>7</v>
      </c>
      <c r="H23" s="8" t="n">
        <v>2.43</v>
      </c>
      <c r="I23" s="8">
        <f>G23*H23</f>
        <v/>
      </c>
      <c r="J23" s="8">
        <f>H23/E23</f>
        <v/>
      </c>
      <c r="K23" s="8" t="n">
        <v>2.11</v>
      </c>
      <c r="L23" s="8" t="n">
        <v>2.11</v>
      </c>
      <c r="M23" s="14">
        <f>J23/K23-1</f>
        <v/>
      </c>
      <c r="N23" s="7" t="inlineStr">
        <is>
          <t>ACIMA +15.2%</t>
        </is>
      </c>
      <c r="O23" s="7" t="inlineStr"/>
    </row>
    <row r="24">
      <c r="A24" s="7" t="n">
        <v>4353</v>
      </c>
      <c r="B24" s="7" t="inlineStr">
        <is>
          <t>1959</t>
        </is>
      </c>
      <c r="C24" s="12" t="inlineStr">
        <is>
          <t>7898582292257</t>
        </is>
      </c>
      <c r="D24" s="7" t="inlineStr">
        <is>
          <t>ALCOOL GEL 60ML UNIPROTEGE</t>
        </is>
      </c>
      <c r="E24" s="13" t="n">
        <v>1</v>
      </c>
      <c r="F24" s="13" t="n">
        <v>4</v>
      </c>
      <c r="G24" s="13" t="n">
        <v>4</v>
      </c>
      <c r="H24" s="8" t="n">
        <v>5.17</v>
      </c>
      <c r="I24" s="8">
        <f>G24*H24</f>
        <v/>
      </c>
      <c r="J24" s="8">
        <f>H24/E24</f>
        <v/>
      </c>
      <c r="K24" s="8" t="n">
        <v>4.51</v>
      </c>
      <c r="L24" s="8" t="n">
        <v>4.51</v>
      </c>
      <c r="M24" s="14">
        <f>J24/K24-1</f>
        <v/>
      </c>
      <c r="N24" s="7" t="inlineStr">
        <is>
          <t>ACIMA +14.6%</t>
        </is>
      </c>
      <c r="O24" s="7" t="inlineStr"/>
    </row>
    <row r="25">
      <c r="A25" s="7" t="n">
        <v>571901</v>
      </c>
      <c r="B25" s="7" t="inlineStr">
        <is>
          <t>9310</t>
        </is>
      </c>
      <c r="C25" s="12" t="inlineStr">
        <is>
          <t>7898582291694</t>
        </is>
      </c>
      <c r="D25" s="7" t="inlineStr">
        <is>
          <t>ALCOOL GEL 70% PERFUMAD COM MICROES 60ML</t>
        </is>
      </c>
      <c r="E25" s="13" t="n">
        <v>1</v>
      </c>
      <c r="F25" s="13" t="n">
        <v>4</v>
      </c>
      <c r="G25" s="13" t="n">
        <v>4</v>
      </c>
      <c r="H25" s="8" t="n">
        <v>5.6</v>
      </c>
      <c r="I25" s="8">
        <f>G25*H25</f>
        <v/>
      </c>
      <c r="J25" s="8">
        <f>H25/E25</f>
        <v/>
      </c>
      <c r="K25" s="8" t="n">
        <v>5.59</v>
      </c>
      <c r="L25" s="8" t="n">
        <v>5.39</v>
      </c>
      <c r="M25" s="14">
        <f>J25/K25-1</f>
        <v/>
      </c>
      <c r="N25" s="7" t="inlineStr">
        <is>
          <t>ACIMA +0.2%</t>
        </is>
      </c>
      <c r="O25" s="7" t="inlineStr"/>
    </row>
    <row r="26">
      <c r="A26" s="7" t="n">
        <v>532241</v>
      </c>
      <c r="B26" s="7" t="inlineStr">
        <is>
          <t>141</t>
        </is>
      </c>
      <c r="C26" s="12" t="inlineStr">
        <is>
          <t>7898031310198</t>
        </is>
      </c>
      <c r="D26" s="7" t="inlineStr">
        <is>
          <t>ALCOOL IODADO 1% 100ML</t>
        </is>
      </c>
      <c r="E26" s="13" t="n">
        <v>1</v>
      </c>
      <c r="F26" s="13" t="n">
        <v>11</v>
      </c>
      <c r="G26" s="13" t="n">
        <v>11</v>
      </c>
      <c r="H26" s="8" t="n">
        <v>4.17</v>
      </c>
      <c r="I26" s="8">
        <f>G26*H26</f>
        <v/>
      </c>
      <c r="J26" s="8">
        <f>H26/E26</f>
        <v/>
      </c>
      <c r="K26" s="8" t="n">
        <v>3.91</v>
      </c>
      <c r="L26" s="8" t="n">
        <v>3.66</v>
      </c>
      <c r="M26" s="14">
        <f>J26/K26-1</f>
        <v/>
      </c>
      <c r="N26" s="7" t="inlineStr">
        <is>
          <t>ACIMA +6.6%</t>
        </is>
      </c>
      <c r="O26" s="7" t="inlineStr"/>
    </row>
    <row r="27">
      <c r="A27" s="7" t="n">
        <v>331061</v>
      </c>
      <c r="B27" s="7" t="inlineStr">
        <is>
          <t>1521</t>
        </is>
      </c>
      <c r="C27" s="12" t="inlineStr">
        <is>
          <t>7896523209715</t>
        </is>
      </c>
      <c r="D27" s="7" t="inlineStr">
        <is>
          <t>ALERGOMINE 10MG/G CREME BG 30G</t>
        </is>
      </c>
      <c r="E27" s="13" t="n">
        <v>1</v>
      </c>
      <c r="F27" s="13" t="n">
        <v>5</v>
      </c>
      <c r="G27" s="13" t="n">
        <v>5</v>
      </c>
      <c r="H27" s="8" t="n">
        <v>6.55</v>
      </c>
      <c r="I27" s="8">
        <f>G27*H27</f>
        <v/>
      </c>
      <c r="J27" s="8">
        <f>H27/E27</f>
        <v/>
      </c>
      <c r="K27" s="8" t="n">
        <v>6.89</v>
      </c>
      <c r="L27" s="8" t="n">
        <v>6.89</v>
      </c>
      <c r="M27" s="14">
        <f>J27/K27-1</f>
        <v/>
      </c>
      <c r="N27" s="7" t="inlineStr">
        <is>
          <t>OK (≤ menor hist.)</t>
        </is>
      </c>
      <c r="O27" s="7" t="inlineStr"/>
    </row>
    <row r="28">
      <c r="A28" s="7" t="n">
        <v>562421</v>
      </c>
      <c r="B28" s="7" t="inlineStr">
        <is>
          <t>812</t>
        </is>
      </c>
      <c r="C28" s="12" t="inlineStr">
        <is>
          <t>7894488000019</t>
        </is>
      </c>
      <c r="D28" s="7" t="inlineStr">
        <is>
          <t>ALGODAO SPARTERX MULTIUSO 25G</t>
        </is>
      </c>
      <c r="E28" s="13" t="n">
        <v>1</v>
      </c>
      <c r="F28" s="13" t="n">
        <v>25</v>
      </c>
      <c r="G28" s="13" t="n">
        <v>25</v>
      </c>
      <c r="H28" s="8" t="n">
        <v>1.09</v>
      </c>
      <c r="I28" s="8">
        <f>G28*H28</f>
        <v/>
      </c>
      <c r="J28" s="8">
        <f>H28/E28</f>
        <v/>
      </c>
      <c r="K28" s="8" t="n">
        <v>1.09</v>
      </c>
      <c r="L28" s="8" t="n">
        <v>1.09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4373</v>
      </c>
      <c r="B29" s="7" t="inlineStr">
        <is>
          <t>5181</t>
        </is>
      </c>
      <c r="C29" s="12" t="inlineStr">
        <is>
          <t>7896186003316</t>
        </is>
      </c>
      <c r="D29" s="7" t="inlineStr">
        <is>
          <t>ALIVIK 40G POTE</t>
        </is>
      </c>
      <c r="E29" s="13" t="n">
        <v>1</v>
      </c>
      <c r="F29" s="13" t="n">
        <v>5</v>
      </c>
      <c r="G29" s="13" t="n">
        <v>5</v>
      </c>
      <c r="H29" s="8" t="n">
        <v>8.02</v>
      </c>
      <c r="I29" s="8">
        <f>G29*H29</f>
        <v/>
      </c>
      <c r="J29" s="8">
        <f>H29/E29</f>
        <v/>
      </c>
      <c r="K29" s="8" t="n">
        <v>6.52</v>
      </c>
      <c r="L29" s="8" t="n">
        <v>6.52</v>
      </c>
      <c r="M29" s="14">
        <f>J29/K29-1</f>
        <v/>
      </c>
      <c r="N29" s="7" t="inlineStr">
        <is>
          <t>ACIMA +23.0%</t>
        </is>
      </c>
      <c r="O29" s="7" t="inlineStr"/>
    </row>
    <row r="30">
      <c r="A30" s="7" t="n">
        <v>29321</v>
      </c>
      <c r="B30" s="7" t="inlineStr">
        <is>
          <t>161</t>
        </is>
      </c>
      <c r="C30" s="12" t="inlineStr">
        <is>
          <t>7896422516921</t>
        </is>
      </c>
      <c r="D30" s="7" t="inlineStr">
        <is>
          <t>ALOPURINOL 100MG CX 30 COMP</t>
        </is>
      </c>
      <c r="E30" s="13" t="n">
        <v>1</v>
      </c>
      <c r="F30" s="13" t="n">
        <v>1</v>
      </c>
      <c r="G30" s="13" t="n">
        <v>1</v>
      </c>
      <c r="H30" s="8" t="n">
        <v>4.85</v>
      </c>
      <c r="I30" s="8">
        <f>G30*H30</f>
        <v/>
      </c>
      <c r="J30" s="8">
        <f>H30/E30</f>
        <v/>
      </c>
      <c r="K30" s="8" t="n">
        <v>4.0675</v>
      </c>
      <c r="L30" s="8" t="n">
        <v>3.83</v>
      </c>
      <c r="M30" s="14">
        <f>J30/K30-1</f>
        <v/>
      </c>
      <c r="N30" s="7" t="inlineStr">
        <is>
          <t>ACIMA +19.2%</t>
        </is>
      </c>
      <c r="O30" s="7" t="inlineStr"/>
    </row>
    <row r="31">
      <c r="A31" s="7" t="n">
        <v>122441</v>
      </c>
      <c r="B31" s="7" t="inlineStr">
        <is>
          <t>111</t>
        </is>
      </c>
      <c r="C31" s="12" t="inlineStr">
        <is>
          <t>7898100243143</t>
        </is>
      </c>
      <c r="D31" s="7" t="inlineStr">
        <is>
          <t>AMBROL 15MG/5ML XPE FR 100ML PED</t>
        </is>
      </c>
      <c r="E31" s="13" t="n">
        <v>1</v>
      </c>
      <c r="F31" s="13" t="n">
        <v>16</v>
      </c>
      <c r="G31" s="13" t="n">
        <v>16</v>
      </c>
      <c r="H31" s="8" t="n">
        <v>4.69</v>
      </c>
      <c r="I31" s="8">
        <f>G31*H31</f>
        <v/>
      </c>
      <c r="J31" s="8">
        <f>H31/E31</f>
        <v/>
      </c>
      <c r="K31" s="8" t="n">
        <v>3.69</v>
      </c>
      <c r="L31" s="8" t="n">
        <v>3.69</v>
      </c>
      <c r="M31" s="14">
        <f>J31/K31-1</f>
        <v/>
      </c>
      <c r="N31" s="7" t="inlineStr">
        <is>
          <t>ACIMA +27.1%</t>
        </is>
      </c>
      <c r="O31" s="7" t="inlineStr"/>
    </row>
    <row r="32">
      <c r="A32" s="7" t="n">
        <v>122461</v>
      </c>
      <c r="B32" s="7" t="inlineStr">
        <is>
          <t>110</t>
        </is>
      </c>
      <c r="C32" s="12" t="inlineStr">
        <is>
          <t>7898100243150</t>
        </is>
      </c>
      <c r="D32" s="7" t="inlineStr">
        <is>
          <t>AMBROL 30MG/5ML XPE FR 100ML ADU</t>
        </is>
      </c>
      <c r="E32" s="13" t="n">
        <v>1</v>
      </c>
      <c r="F32" s="13" t="n">
        <v>70</v>
      </c>
      <c r="G32" s="13" t="n">
        <v>70</v>
      </c>
      <c r="H32" s="8" t="n">
        <v>4.71</v>
      </c>
      <c r="I32" s="8">
        <f>G32*H32</f>
        <v/>
      </c>
      <c r="J32" s="8">
        <f>H32/E32</f>
        <v/>
      </c>
      <c r="K32" s="8" t="n">
        <v>4.68</v>
      </c>
      <c r="L32" s="8" t="n">
        <v>3.69</v>
      </c>
      <c r="M32" s="14">
        <f>J32/K32-1</f>
        <v/>
      </c>
      <c r="N32" s="7" t="inlineStr">
        <is>
          <t>ACIMA +0.6%</t>
        </is>
      </c>
      <c r="O32" s="7" t="inlineStr"/>
    </row>
    <row r="33">
      <c r="A33" s="7" t="n">
        <v>533061</v>
      </c>
      <c r="B33" s="7" t="inlineStr">
        <is>
          <t>6555</t>
        </is>
      </c>
      <c r="C33" s="12" t="inlineStr">
        <is>
          <t>7899620915091</t>
        </is>
      </c>
      <c r="D33" s="7" t="inlineStr">
        <is>
          <t>APETISINA BC 240ML MORANGO</t>
        </is>
      </c>
      <c r="E33" s="13" t="n">
        <v>1</v>
      </c>
      <c r="F33" s="13" t="n">
        <v>5</v>
      </c>
      <c r="G33" s="13" t="n">
        <v>5</v>
      </c>
      <c r="H33" s="8" t="n">
        <v>5.49</v>
      </c>
      <c r="I33" s="8">
        <f>G33*H33</f>
        <v/>
      </c>
      <c r="J33" s="8">
        <f>H33/E33</f>
        <v/>
      </c>
      <c r="K33" s="8" t="n">
        <v>4.35</v>
      </c>
      <c r="L33" s="8" t="n">
        <v>4.35</v>
      </c>
      <c r="M33" s="14">
        <f>J33/K33-1</f>
        <v/>
      </c>
      <c r="N33" s="7" t="inlineStr">
        <is>
          <t>ACIMA +26.2%</t>
        </is>
      </c>
      <c r="O33" s="7" t="inlineStr"/>
    </row>
    <row r="34">
      <c r="A34" s="7" t="n">
        <v>547741</v>
      </c>
      <c r="B34" s="7" t="inlineStr">
        <is>
          <t>2609</t>
        </is>
      </c>
      <c r="C34" s="12" t="inlineStr">
        <is>
          <t>7899620910584</t>
        </is>
      </c>
      <c r="D34" s="7" t="inlineStr">
        <is>
          <t>APETISINA BC 240ML UVA</t>
        </is>
      </c>
      <c r="E34" s="13" t="n">
        <v>1</v>
      </c>
      <c r="F34" s="13" t="n">
        <v>4</v>
      </c>
      <c r="G34" s="13" t="n">
        <v>4</v>
      </c>
      <c r="H34" s="8" t="n">
        <v>5.49</v>
      </c>
      <c r="I34" s="8">
        <f>G34*H34</f>
        <v/>
      </c>
      <c r="J34" s="8">
        <f>H34/E34</f>
        <v/>
      </c>
      <c r="K34" s="8" t="n">
        <v>5.48</v>
      </c>
      <c r="L34" s="8" t="n">
        <v>4.8</v>
      </c>
      <c r="M34" s="14">
        <f>J34/K34-1</f>
        <v/>
      </c>
      <c r="N34" s="7" t="inlineStr">
        <is>
          <t>ACIMA +0.2%</t>
        </is>
      </c>
      <c r="O34" s="7" t="inlineStr"/>
    </row>
    <row r="35">
      <c r="A35" s="7" t="n">
        <v>5503</v>
      </c>
      <c r="B35" s="7" t="inlineStr">
        <is>
          <t>9627</t>
        </is>
      </c>
      <c r="C35" s="12" t="inlineStr">
        <is>
          <t>7898767760922</t>
        </is>
      </c>
      <c r="D35" s="7" t="inlineStr">
        <is>
          <t>ARTRIFLEX 40MG C/60 CPS</t>
        </is>
      </c>
      <c r="E35" s="13" t="n">
        <v>1</v>
      </c>
      <c r="F35" s="13" t="n">
        <v>1</v>
      </c>
      <c r="G35" s="13" t="n">
        <v>1</v>
      </c>
      <c r="H35" s="8" t="n">
        <v>42.39</v>
      </c>
      <c r="I35" s="8">
        <f>G35*H35</f>
        <v/>
      </c>
      <c r="J35" s="8">
        <f>H35/E35</f>
        <v/>
      </c>
      <c r="K35" s="8" t="n">
        <v>26.99</v>
      </c>
      <c r="L35" s="8" t="n">
        <v>26.99</v>
      </c>
      <c r="M35" s="14">
        <f>J35/K35-1</f>
        <v/>
      </c>
      <c r="N35" s="7" t="inlineStr">
        <is>
          <t>ACIMA +57.1%</t>
        </is>
      </c>
      <c r="O35" s="7" t="inlineStr"/>
    </row>
    <row r="36">
      <c r="A36" s="7" t="n">
        <v>339181</v>
      </c>
      <c r="B36" s="7" t="inlineStr">
        <is>
          <t>9</t>
        </is>
      </c>
      <c r="C36" s="12" t="inlineStr">
        <is>
          <t>7898216360581</t>
        </is>
      </c>
      <c r="D36" s="7" t="inlineStr">
        <is>
          <t>ARTRITEC 7,5MG CX 10 COMP</t>
        </is>
      </c>
      <c r="E36" s="13" t="n">
        <v>1</v>
      </c>
      <c r="F36" s="13" t="n">
        <v>2</v>
      </c>
      <c r="G36" s="13" t="n">
        <v>2</v>
      </c>
      <c r="H36" s="8" t="n">
        <v>3.3</v>
      </c>
      <c r="I36" s="8">
        <f>G36*H36</f>
        <v/>
      </c>
      <c r="J36" s="8">
        <f>H36/E36</f>
        <v/>
      </c>
      <c r="K36" s="8" t="n">
        <v>3.22</v>
      </c>
      <c r="L36" s="8" t="n">
        <v>3.22</v>
      </c>
      <c r="M36" s="14">
        <f>J36/K36-1</f>
        <v/>
      </c>
      <c r="N36" s="7" t="inlineStr">
        <is>
          <t>ACIMA +2.5%</t>
        </is>
      </c>
      <c r="O36" s="7" t="inlineStr"/>
    </row>
    <row r="37">
      <c r="A37" s="7" t="n">
        <v>3443</v>
      </c>
      <c r="B37" s="7" t="inlineStr">
        <is>
          <t>6415</t>
        </is>
      </c>
      <c r="C37" s="12" t="inlineStr">
        <is>
          <t>7898108641323</t>
        </is>
      </c>
      <c r="D37" s="7" t="inlineStr">
        <is>
          <t>ATADURA DE CREPE 06CM C/12 UND</t>
        </is>
      </c>
      <c r="E37" s="13" t="n">
        <v>1</v>
      </c>
      <c r="F37" s="13" t="n">
        <v>1</v>
      </c>
      <c r="G37" s="13" t="n">
        <v>1</v>
      </c>
      <c r="H37" s="8" t="n">
        <v>1.24</v>
      </c>
      <c r="I37" s="8">
        <f>G37*H37</f>
        <v/>
      </c>
      <c r="J37" s="8">
        <f>H37/E37</f>
        <v/>
      </c>
      <c r="K37" s="8" t="n">
        <v>12.54</v>
      </c>
      <c r="L37" s="8" t="n">
        <v>12.54</v>
      </c>
      <c r="M37" s="14">
        <f>J37/K37-1</f>
        <v/>
      </c>
      <c r="N37" s="7" t="inlineStr">
        <is>
          <t>OK (≤ menor hist.)</t>
        </is>
      </c>
      <c r="O37" s="7" t="inlineStr">
        <is>
          <t>conferir emb.</t>
        </is>
      </c>
    </row>
    <row r="38">
      <c r="A38" s="7" t="n">
        <v>597791</v>
      </c>
      <c r="B38" s="7" t="inlineStr">
        <is>
          <t>7705</t>
        </is>
      </c>
      <c r="C38" s="12" t="inlineStr">
        <is>
          <t>7898933598625</t>
        </is>
      </c>
      <c r="D38" s="7" t="inlineStr">
        <is>
          <t>ATADURA DE CREPE 06CM UND</t>
        </is>
      </c>
      <c r="E38" s="13" t="n">
        <v>12</v>
      </c>
      <c r="F38" s="13" t="n">
        <v>7</v>
      </c>
      <c r="G38" s="13" t="n">
        <v>1</v>
      </c>
      <c r="H38" s="8" t="n">
        <v>5.25</v>
      </c>
      <c r="I38" s="8">
        <f>G38*H38</f>
        <v/>
      </c>
      <c r="J38" s="8">
        <f>H38/E38</f>
        <v/>
      </c>
      <c r="K38" s="8" t="n">
        <v>0.4992</v>
      </c>
      <c r="L38" s="8" t="n">
        <v>0.4992</v>
      </c>
      <c r="M38" s="14">
        <f>J38/K38-1</f>
        <v/>
      </c>
      <c r="N38" s="7" t="inlineStr">
        <is>
          <t>OK (≤ menor hist.)</t>
        </is>
      </c>
      <c r="O38" s="7" t="inlineStr">
        <is>
          <t>1 emb = 12 un</t>
        </is>
      </c>
    </row>
    <row r="39">
      <c r="A39" s="7" t="n">
        <v>621511</v>
      </c>
      <c r="B39" s="7" t="inlineStr">
        <is>
          <t>7648</t>
        </is>
      </c>
      <c r="C39" s="12" t="inlineStr">
        <is>
          <t>7898933598816</t>
        </is>
      </c>
      <c r="D39" s="7" t="inlineStr">
        <is>
          <t>ATADURA DE CREPE 10CM 13 FIOS TEXPHARMA</t>
        </is>
      </c>
      <c r="E39" s="13" t="n">
        <v>12</v>
      </c>
      <c r="F39" s="13" t="n">
        <v>12</v>
      </c>
      <c r="G39" s="13" t="n">
        <v>1</v>
      </c>
      <c r="H39" s="8" t="n">
        <v>6.53</v>
      </c>
      <c r="I39" s="8">
        <f>G39*H39</f>
        <v/>
      </c>
      <c r="J39" s="8">
        <f>H39/E39</f>
        <v/>
      </c>
      <c r="K39" s="8" t="n">
        <v>0.8325</v>
      </c>
      <c r="L39" s="8" t="n">
        <v>0.8325</v>
      </c>
      <c r="M39" s="14">
        <f>J39/K39-1</f>
        <v/>
      </c>
      <c r="N39" s="7" t="inlineStr">
        <is>
          <t>OK (≤ menor hist.)</t>
        </is>
      </c>
      <c r="O39" s="7" t="inlineStr">
        <is>
          <t>1 emb = 12 un</t>
        </is>
      </c>
    </row>
    <row r="40">
      <c r="A40" s="7" t="n">
        <v>623471</v>
      </c>
      <c r="B40" s="7" t="inlineStr">
        <is>
          <t>7553</t>
        </is>
      </c>
      <c r="C40" s="12" t="inlineStr">
        <is>
          <t>7898933598755</t>
        </is>
      </c>
      <c r="D40" s="7" t="inlineStr">
        <is>
          <t>ATADURA DE CREPE 15CM C/12 UND</t>
        </is>
      </c>
      <c r="E40" s="13" t="n">
        <v>12</v>
      </c>
      <c r="F40" s="13" t="n">
        <v>11</v>
      </c>
      <c r="G40" s="13" t="n">
        <v>1</v>
      </c>
      <c r="H40" s="8" t="n">
        <v>9.82</v>
      </c>
      <c r="I40" s="8">
        <f>G40*H40</f>
        <v/>
      </c>
      <c r="J40" s="8">
        <f>H40/E40</f>
        <v/>
      </c>
      <c r="K40" s="8" t="n">
        <v>1.2492</v>
      </c>
      <c r="L40" s="8" t="n">
        <v>1.1658</v>
      </c>
      <c r="M40" s="14">
        <f>J40/K40-1</f>
        <v/>
      </c>
      <c r="N40" s="7" t="inlineStr">
        <is>
          <t>OK (≤ menor hist.)</t>
        </is>
      </c>
      <c r="O40" s="7" t="inlineStr">
        <is>
          <t>1 emb = 12 un</t>
        </is>
      </c>
    </row>
    <row r="41">
      <c r="A41" s="7" t="n">
        <v>623481</v>
      </c>
      <c r="B41" s="7" t="inlineStr">
        <is>
          <t>7706</t>
        </is>
      </c>
      <c r="C41" s="12" t="inlineStr">
        <is>
          <t>7898933598847</t>
        </is>
      </c>
      <c r="D41" s="7" t="inlineStr">
        <is>
          <t>ATADURA DE CREPE 20CM 13 FIOS TEXPHARMA</t>
        </is>
      </c>
      <c r="E41" s="13" t="n">
        <v>12</v>
      </c>
      <c r="F41" s="13" t="n">
        <v>1</v>
      </c>
      <c r="G41" s="13" t="n">
        <v>1</v>
      </c>
      <c r="H41" s="8" t="n">
        <v>13.08</v>
      </c>
      <c r="I41" s="8">
        <f>G41*H41</f>
        <v/>
      </c>
      <c r="J41" s="8">
        <f>H41/E41</f>
        <v/>
      </c>
      <c r="K41" s="8" t="n">
        <v>1.6658</v>
      </c>
      <c r="L41" s="8" t="n">
        <v>1.6658</v>
      </c>
      <c r="M41" s="14">
        <f>J41/K41-1</f>
        <v/>
      </c>
      <c r="N41" s="7" t="inlineStr">
        <is>
          <t>OK (≤ menor hist.)</t>
        </is>
      </c>
      <c r="O41" s="7" t="inlineStr">
        <is>
          <t>1 emb = 12 un</t>
        </is>
      </c>
    </row>
    <row r="42">
      <c r="A42" s="7" t="n">
        <v>613211</v>
      </c>
      <c r="B42" s="7" t="inlineStr">
        <is>
          <t>7710</t>
        </is>
      </c>
      <c r="C42" s="12" t="inlineStr">
        <is>
          <t>7898933598786</t>
        </is>
      </c>
      <c r="D42" s="7" t="inlineStr">
        <is>
          <t>ATADURA DE CREPE 30CM C/12 UND</t>
        </is>
      </c>
      <c r="E42" s="13" t="n">
        <v>12</v>
      </c>
      <c r="F42" s="13" t="n">
        <v>3</v>
      </c>
      <c r="G42" s="13" t="n">
        <v>1</v>
      </c>
      <c r="H42" s="8" t="n">
        <v>19.67</v>
      </c>
      <c r="I42" s="8">
        <f>G42*H42</f>
        <v/>
      </c>
      <c r="J42" s="8">
        <f>H42/E42</f>
        <v/>
      </c>
      <c r="K42" s="8" t="n">
        <v>2.1658</v>
      </c>
      <c r="L42" s="8" t="n">
        <v>2.1658</v>
      </c>
      <c r="M42" s="14">
        <f>J42/K42-1</f>
        <v/>
      </c>
      <c r="N42" s="7" t="inlineStr">
        <is>
          <t>OK (≤ menor hist.)</t>
        </is>
      </c>
      <c r="O42" s="7" t="inlineStr">
        <is>
          <t>1 emb = 12 un</t>
        </is>
      </c>
    </row>
    <row r="43">
      <c r="A43" s="7" t="n">
        <v>653621</v>
      </c>
      <c r="B43" s="7" t="inlineStr">
        <is>
          <t>10682</t>
        </is>
      </c>
      <c r="C43" s="12" t="inlineStr">
        <is>
          <t>7898108642108</t>
        </is>
      </c>
      <c r="D43" s="7" t="inlineStr">
        <is>
          <t>ATADURA DE CREPE MICKEY 12CM</t>
        </is>
      </c>
      <c r="E43" s="13" t="n">
        <v>1</v>
      </c>
      <c r="F43" s="13" t="n">
        <v>2</v>
      </c>
      <c r="G43" s="13" t="n">
        <v>2</v>
      </c>
      <c r="H43" s="8" t="n">
        <v>2.66</v>
      </c>
      <c r="I43" s="8">
        <f>G43*H43</f>
        <v/>
      </c>
      <c r="J43" s="8">
        <f>H43/E43</f>
        <v/>
      </c>
      <c r="K43" s="8" t="n">
        <v>2.53</v>
      </c>
      <c r="L43" s="8" t="n">
        <v>2.51</v>
      </c>
      <c r="M43" s="14">
        <f>J43/K43-1</f>
        <v/>
      </c>
      <c r="N43" s="7" t="inlineStr">
        <is>
          <t>ACIMA +5.1%</t>
        </is>
      </c>
      <c r="O43" s="7" t="inlineStr"/>
    </row>
    <row r="44">
      <c r="A44" s="7" t="n">
        <v>661601</v>
      </c>
      <c r="B44" s="7" t="inlineStr">
        <is>
          <t>224</t>
        </is>
      </c>
      <c r="C44" s="12" t="inlineStr">
        <is>
          <t>7898108641347</t>
        </is>
      </c>
      <c r="D44" s="7" t="inlineStr">
        <is>
          <t>ATADURA DE CREPE SANF 12CMX1,80M</t>
        </is>
      </c>
      <c r="E44" s="13" t="n">
        <v>1</v>
      </c>
      <c r="F44" s="13" t="n">
        <v>2</v>
      </c>
      <c r="G44" s="13" t="n">
        <v>2</v>
      </c>
      <c r="H44" s="8" t="n">
        <v>2.33</v>
      </c>
      <c r="I44" s="8">
        <f>G44*H44</f>
        <v/>
      </c>
      <c r="J44" s="8">
        <f>H44/E44</f>
        <v/>
      </c>
      <c r="K44" s="8" t="n">
        <v>2.23</v>
      </c>
      <c r="L44" s="8" t="n">
        <v>2.23</v>
      </c>
      <c r="M44" s="14">
        <f>J44/K44-1</f>
        <v/>
      </c>
      <c r="N44" s="7" t="inlineStr">
        <is>
          <t>ACIMA +4.5%</t>
        </is>
      </c>
      <c r="O44" s="7" t="inlineStr"/>
    </row>
    <row r="45">
      <c r="A45" s="7" t="n">
        <v>648271</v>
      </c>
      <c r="B45" s="7" t="inlineStr">
        <is>
          <t>225</t>
        </is>
      </c>
      <c r="C45" s="12" t="inlineStr">
        <is>
          <t>7898108641354</t>
        </is>
      </c>
      <c r="D45" s="7" t="inlineStr">
        <is>
          <t>ATADURA DE CREPE SANF 15CMX1,80M</t>
        </is>
      </c>
      <c r="E45" s="13" t="n">
        <v>1</v>
      </c>
      <c r="F45" s="13" t="n">
        <v>1</v>
      </c>
      <c r="G45" s="13" t="n">
        <v>1</v>
      </c>
      <c r="H45" s="8" t="n">
        <v>3.07</v>
      </c>
      <c r="I45" s="8">
        <f>G45*H45</f>
        <v/>
      </c>
      <c r="J45" s="8">
        <f>H45/E45</f>
        <v/>
      </c>
      <c r="K45" s="8" t="n">
        <v>2.6808</v>
      </c>
      <c r="L45" s="8" t="n">
        <v>2.6808</v>
      </c>
      <c r="M45" s="14">
        <f>J45/K45-1</f>
        <v/>
      </c>
      <c r="N45" s="7" t="inlineStr">
        <is>
          <t>ACIMA +14.5%</t>
        </is>
      </c>
      <c r="O45" s="7" t="inlineStr"/>
    </row>
    <row r="46">
      <c r="A46" s="7" t="n">
        <v>648171</v>
      </c>
      <c r="B46" s="7" t="inlineStr">
        <is>
          <t>8460</t>
        </is>
      </c>
      <c r="C46" s="12" t="inlineStr">
        <is>
          <t>7908007905478</t>
        </is>
      </c>
      <c r="D46" s="7" t="inlineStr">
        <is>
          <t>AUTOTESTE COVID-19 AG (TESTE RAPIDO)</t>
        </is>
      </c>
      <c r="E46" s="13" t="n">
        <v>1</v>
      </c>
      <c r="F46" s="13" t="n">
        <v>1</v>
      </c>
      <c r="G46" s="13" t="n">
        <v>1</v>
      </c>
      <c r="H46" s="8" t="n">
        <v>8.289999999999999</v>
      </c>
      <c r="I46" s="8">
        <f>G46*H46</f>
        <v/>
      </c>
      <c r="J46" s="8">
        <f>H46/E46</f>
        <v/>
      </c>
      <c r="K46" s="8" t="n">
        <v>10.7</v>
      </c>
      <c r="L46" s="8" t="n">
        <v>10.7</v>
      </c>
      <c r="M46" s="14">
        <f>J46/K46-1</f>
        <v/>
      </c>
      <c r="N46" s="7" t="inlineStr">
        <is>
          <t>OK (≤ menor hist.)</t>
        </is>
      </c>
      <c r="O46" s="7" t="inlineStr"/>
    </row>
    <row r="47">
      <c r="A47" s="7" t="n">
        <v>3143</v>
      </c>
      <c r="B47" s="7" t="inlineStr">
        <is>
          <t>165</t>
        </is>
      </c>
      <c r="C47" s="12" t="inlineStr">
        <is>
          <t>7898031310259</t>
        </is>
      </c>
      <c r="D47" s="7" t="inlineStr">
        <is>
          <t>AZEITE DOCE 30ML</t>
        </is>
      </c>
      <c r="E47" s="13" t="n">
        <v>1</v>
      </c>
      <c r="F47" s="13" t="n">
        <v>1</v>
      </c>
      <c r="G47" s="13" t="n">
        <v>1</v>
      </c>
      <c r="H47" s="8" t="n">
        <v>3.6</v>
      </c>
      <c r="I47" s="8">
        <f>G47*H47</f>
        <v/>
      </c>
      <c r="J47" s="8">
        <f>H47/E47</f>
        <v/>
      </c>
      <c r="K47" s="8" t="n">
        <v>3.54</v>
      </c>
      <c r="L47" s="8" t="n">
        <v>3.54</v>
      </c>
      <c r="M47" s="14">
        <f>J47/K47-1</f>
        <v/>
      </c>
      <c r="N47" s="7" t="inlineStr">
        <is>
          <t>ACIMA +1.7%</t>
        </is>
      </c>
      <c r="O47" s="7" t="inlineStr"/>
    </row>
    <row r="48">
      <c r="A48" s="7" t="n">
        <v>46141</v>
      </c>
      <c r="B48" s="7" t="inlineStr">
        <is>
          <t>2051</t>
        </is>
      </c>
      <c r="C48" s="12" t="inlineStr">
        <is>
          <t>7898060132518</t>
        </is>
      </c>
      <c r="D48" s="7" t="inlineStr">
        <is>
          <t>AZITROMICINA 500MG CX 5 COMP</t>
        </is>
      </c>
      <c r="E48" s="13" t="n">
        <v>1</v>
      </c>
      <c r="F48" s="13" t="n">
        <v>1</v>
      </c>
      <c r="G48" s="13" t="n">
        <v>1</v>
      </c>
      <c r="H48" s="8" t="n">
        <v>6.44</v>
      </c>
      <c r="I48" s="8">
        <f>G48*H48</f>
        <v/>
      </c>
      <c r="J48" s="8">
        <f>H48/E48</f>
        <v/>
      </c>
      <c r="K48" s="8" t="n">
        <v>5.86</v>
      </c>
      <c r="L48" s="8" t="n">
        <v>5.86</v>
      </c>
      <c r="M48" s="14">
        <f>J48/K48-1</f>
        <v/>
      </c>
      <c r="N48" s="7" t="inlineStr">
        <is>
          <t>ACIMA +9.9%</t>
        </is>
      </c>
      <c r="O48" s="7" t="inlineStr"/>
    </row>
    <row r="49">
      <c r="A49" s="7" t="n">
        <v>47221</v>
      </c>
      <c r="B49" s="7" t="inlineStr">
        <is>
          <t>4650</t>
        </is>
      </c>
      <c r="C49" s="12" t="inlineStr">
        <is>
          <t>7898216365708</t>
        </is>
      </c>
      <c r="D49" s="7" t="inlineStr">
        <is>
          <t>AZITROMICINA DI-HIDRATADA 500MG CX 5 COMP REV</t>
        </is>
      </c>
      <c r="E49" s="13" t="n">
        <v>1</v>
      </c>
      <c r="F49" s="13" t="n">
        <v>18</v>
      </c>
      <c r="G49" s="13" t="n">
        <v>18</v>
      </c>
      <c r="H49" s="8" t="n">
        <v>6</v>
      </c>
      <c r="I49" s="8">
        <f>G49*H49</f>
        <v/>
      </c>
      <c r="J49" s="8">
        <f>H49/E49</f>
        <v/>
      </c>
      <c r="K49" s="8" t="n">
        <v>5.78</v>
      </c>
      <c r="L49" s="8" t="n">
        <v>5.78</v>
      </c>
      <c r="M49" s="14">
        <f>J49/K49-1</f>
        <v/>
      </c>
      <c r="N49" s="7" t="inlineStr">
        <is>
          <t>ACIMA +3.8%</t>
        </is>
      </c>
      <c r="O49" s="7" t="inlineStr"/>
    </row>
    <row r="50">
      <c r="A50" s="7" t="n">
        <v>48221</v>
      </c>
      <c r="B50" s="7" t="inlineStr">
        <is>
          <t>4</t>
        </is>
      </c>
      <c r="C50" s="12" t="inlineStr">
        <is>
          <t>7898216360123</t>
        </is>
      </c>
      <c r="D50" s="7" t="inlineStr">
        <is>
          <t>AZITROPHAR 500MG CX 3 COM REV</t>
        </is>
      </c>
      <c r="E50" s="13" t="n">
        <v>1</v>
      </c>
      <c r="F50" s="13" t="n">
        <v>3</v>
      </c>
      <c r="G50" s="13" t="n">
        <v>3</v>
      </c>
      <c r="H50" s="8" t="n">
        <v>3.91</v>
      </c>
      <c r="I50" s="8">
        <f>G50*H50</f>
        <v/>
      </c>
      <c r="J50" s="8">
        <f>H50/E50</f>
        <v/>
      </c>
      <c r="K50" s="8" t="n">
        <v>3.63</v>
      </c>
      <c r="L50" s="8" t="n">
        <v>3.63</v>
      </c>
      <c r="M50" s="14">
        <f>J50/K50-1</f>
        <v/>
      </c>
      <c r="N50" s="7" t="inlineStr">
        <is>
          <t>ACIMA +7.7%</t>
        </is>
      </c>
      <c r="O50" s="7" t="inlineStr"/>
    </row>
    <row r="51">
      <c r="A51" s="7" t="n">
        <v>47701</v>
      </c>
      <c r="B51" s="7" t="inlineStr">
        <is>
          <t>6</t>
        </is>
      </c>
      <c r="C51" s="12" t="inlineStr">
        <is>
          <t>7898216364510</t>
        </is>
      </c>
      <c r="D51" s="7" t="inlineStr">
        <is>
          <t>AZITROPHAR 600MG PO SUS OR FR 15ML + SER DOS 5ML</t>
        </is>
      </c>
      <c r="E51" s="13" t="n">
        <v>1</v>
      </c>
      <c r="F51" s="13" t="n">
        <v>6</v>
      </c>
      <c r="G51" s="13" t="n">
        <v>6</v>
      </c>
      <c r="H51" s="8" t="n">
        <v>14.499</v>
      </c>
      <c r="I51" s="8">
        <f>G51*H51</f>
        <v/>
      </c>
      <c r="J51" s="8">
        <f>H51/E51</f>
        <v/>
      </c>
      <c r="K51" s="8" t="n">
        <v>13.96</v>
      </c>
      <c r="L51" s="8" t="n">
        <v>13.96</v>
      </c>
      <c r="M51" s="14">
        <f>J51/K51-1</f>
        <v/>
      </c>
      <c r="N51" s="7" t="inlineStr">
        <is>
          <t>ACIMA +3.9%</t>
        </is>
      </c>
      <c r="O51" s="7" t="inlineStr"/>
    </row>
    <row r="52">
      <c r="A52" s="7" t="n">
        <v>533001</v>
      </c>
      <c r="B52" s="7" t="inlineStr">
        <is>
          <t>1371</t>
        </is>
      </c>
      <c r="C52" s="12" t="inlineStr">
        <is>
          <t>7896523223223</t>
        </is>
      </c>
      <c r="D52" s="7" t="inlineStr">
        <is>
          <t>BABYMED MENINO 45G POMADA</t>
        </is>
      </c>
      <c r="E52" s="13" t="n">
        <v>1</v>
      </c>
      <c r="F52" s="13" t="n">
        <v>11</v>
      </c>
      <c r="G52" s="13" t="n">
        <v>11</v>
      </c>
      <c r="H52" s="8" t="n">
        <v>6.74</v>
      </c>
      <c r="I52" s="8">
        <f>G52*H52</f>
        <v/>
      </c>
      <c r="J52" s="8">
        <f>H52/E52</f>
        <v/>
      </c>
      <c r="K52" s="8" t="n">
        <v>4.99</v>
      </c>
      <c r="L52" s="8" t="n">
        <v>4.99</v>
      </c>
      <c r="M52" s="14">
        <f>J52/K52-1</f>
        <v/>
      </c>
      <c r="N52" s="7" t="inlineStr">
        <is>
          <t>ACIMA +35.1%</t>
        </is>
      </c>
      <c r="O52" s="7" t="inlineStr"/>
    </row>
    <row r="53">
      <c r="A53" s="7" t="n">
        <v>606841</v>
      </c>
      <c r="B53" s="7" t="inlineStr">
        <is>
          <t>1619</t>
        </is>
      </c>
      <c r="C53" s="12" t="inlineStr">
        <is>
          <t>7896148500259</t>
        </is>
      </c>
      <c r="D53" s="7" t="inlineStr">
        <is>
          <t>BALAS DE FITOMELITO 37G (FIT)</t>
        </is>
      </c>
      <c r="E53" s="13" t="n">
        <v>1</v>
      </c>
      <c r="F53" s="13" t="n">
        <v>11</v>
      </c>
      <c r="G53" s="13" t="n">
        <v>11</v>
      </c>
      <c r="H53" s="8" t="n">
        <v>4.47</v>
      </c>
      <c r="I53" s="8">
        <f>G53*H53</f>
        <v/>
      </c>
      <c r="J53" s="8">
        <f>H53/E53</f>
        <v/>
      </c>
      <c r="K53" s="8" t="n">
        <v>3.68</v>
      </c>
      <c r="L53" s="8" t="n">
        <v>3.68</v>
      </c>
      <c r="M53" s="14">
        <f>J53/K53-1</f>
        <v/>
      </c>
      <c r="N53" s="7" t="inlineStr">
        <is>
          <t>ACIMA +21.5%</t>
        </is>
      </c>
      <c r="O53" s="7" t="inlineStr"/>
    </row>
    <row r="54">
      <c r="A54" s="7" t="n">
        <v>541321</v>
      </c>
      <c r="B54" s="7" t="inlineStr">
        <is>
          <t>10510</t>
        </is>
      </c>
      <c r="C54" s="12" t="inlineStr">
        <is>
          <t>7898563802468</t>
        </is>
      </c>
      <c r="D54" s="7" t="inlineStr">
        <is>
          <t>BATOM DE CACAU UN</t>
        </is>
      </c>
      <c r="E54" s="13" t="n">
        <v>1</v>
      </c>
      <c r="F54" s="13" t="n">
        <v>1</v>
      </c>
      <c r="G54" s="13" t="n">
        <v>1</v>
      </c>
      <c r="H54" s="8" t="n">
        <v>1.61</v>
      </c>
      <c r="I54" s="8">
        <f>G54*H54</f>
        <v/>
      </c>
      <c r="J54" s="8">
        <f>H54/E54</f>
        <v/>
      </c>
      <c r="K54" s="8" t="n">
        <v>1.61</v>
      </c>
      <c r="L54" s="8" t="n">
        <v>1.61</v>
      </c>
      <c r="M54" s="14">
        <f>J54/K54-1</f>
        <v/>
      </c>
      <c r="N54" s="7" t="inlineStr">
        <is>
          <t>OK (≤ menor hist.)</t>
        </is>
      </c>
      <c r="O54" s="7" t="inlineStr"/>
    </row>
    <row r="55">
      <c r="A55" s="7" t="n">
        <v>590701</v>
      </c>
      <c r="B55" s="7" t="inlineStr">
        <is>
          <t>3079</t>
        </is>
      </c>
      <c r="C55" s="12" t="inlineStr">
        <is>
          <t>7898031310075</t>
        </is>
      </c>
      <c r="D55" s="7" t="inlineStr">
        <is>
          <t>BAZELIN 10G UN</t>
        </is>
      </c>
      <c r="E55" s="13" t="n">
        <v>1</v>
      </c>
      <c r="F55" s="13" t="n">
        <v>1</v>
      </c>
      <c r="G55" s="13" t="n">
        <v>1</v>
      </c>
      <c r="H55" s="8" t="n">
        <v>3.81</v>
      </c>
      <c r="I55" s="8">
        <f>G55*H55</f>
        <v/>
      </c>
      <c r="J55" s="8">
        <f>H55/E55</f>
        <v/>
      </c>
      <c r="K55" s="8" t="n">
        <v>3.79</v>
      </c>
      <c r="L55" s="8" t="n">
        <v>3.79</v>
      </c>
      <c r="M55" s="14">
        <f>J55/K55-1</f>
        <v/>
      </c>
      <c r="N55" s="7" t="inlineStr">
        <is>
          <t>ACIMA +0.5%</t>
        </is>
      </c>
      <c r="O55" s="7" t="inlineStr"/>
    </row>
    <row r="56">
      <c r="A56" s="7" t="n">
        <v>446981</v>
      </c>
      <c r="B56" s="7" t="inlineStr">
        <is>
          <t>508</t>
        </is>
      </c>
      <c r="C56" s="12" t="inlineStr">
        <is>
          <t>7897917000260</t>
        </is>
      </c>
      <c r="D56" s="7" t="inlineStr">
        <is>
          <t>BELFACTRIM 400+80MG CX 20 COMP</t>
        </is>
      </c>
      <c r="E56" s="13" t="n">
        <v>1</v>
      </c>
      <c r="F56" s="13" t="n">
        <v>2</v>
      </c>
      <c r="G56" s="13" t="n">
        <v>2</v>
      </c>
      <c r="H56" s="8" t="n">
        <v>6.3</v>
      </c>
      <c r="I56" s="8">
        <f>G56*H56</f>
        <v/>
      </c>
      <c r="J56" s="8">
        <f>H56/E56</f>
        <v/>
      </c>
      <c r="K56" s="8" t="n">
        <v>5.42</v>
      </c>
      <c r="L56" s="8" t="n">
        <v>5.42</v>
      </c>
      <c r="M56" s="14">
        <f>J56/K56-1</f>
        <v/>
      </c>
      <c r="N56" s="7" t="inlineStr">
        <is>
          <t>ACIMA +16.2%</t>
        </is>
      </c>
      <c r="O56" s="7" t="inlineStr"/>
    </row>
    <row r="57">
      <c r="A57" s="7" t="n">
        <v>212561</v>
      </c>
      <c r="B57" s="7" t="inlineStr">
        <is>
          <t>181</t>
        </is>
      </c>
      <c r="C57" s="12" t="inlineStr">
        <is>
          <t>7897917001465</t>
        </is>
      </c>
      <c r="D57" s="7" t="inlineStr">
        <is>
          <t>BELFAREN 50MG CX 20 COMP</t>
        </is>
      </c>
      <c r="E57" s="13" t="n">
        <v>1</v>
      </c>
      <c r="F57" s="13" t="n">
        <v>2</v>
      </c>
      <c r="G57" s="13" t="n">
        <v>2</v>
      </c>
      <c r="H57" s="8" t="n">
        <v>1.78</v>
      </c>
      <c r="I57" s="8">
        <f>G57*H57</f>
        <v/>
      </c>
      <c r="J57" s="8">
        <f>H57/E57</f>
        <v/>
      </c>
      <c r="K57" s="8" t="n">
        <v>1.62</v>
      </c>
      <c r="L57" s="8" t="n">
        <v>1.62</v>
      </c>
      <c r="M57" s="14">
        <f>J57/K57-1</f>
        <v/>
      </c>
      <c r="N57" s="7" t="inlineStr">
        <is>
          <t>ACIMA +9.9%</t>
        </is>
      </c>
      <c r="O57" s="7" t="inlineStr"/>
    </row>
    <row r="58">
      <c r="A58" s="7" t="n">
        <v>210461</v>
      </c>
      <c r="B58" s="7" t="inlineStr">
        <is>
          <t>9611</t>
        </is>
      </c>
      <c r="C58" s="12" t="inlineStr">
        <is>
          <t>7896004800400</t>
        </is>
      </c>
      <c r="D58" s="7" t="inlineStr">
        <is>
          <t>BENEVRAN CX 20 DRG</t>
        </is>
      </c>
      <c r="E58" s="13" t="n">
        <v>1</v>
      </c>
      <c r="F58" s="13" t="n">
        <v>31</v>
      </c>
      <c r="G58" s="13" t="n">
        <v>31</v>
      </c>
      <c r="H58" s="8" t="n">
        <v>2.34</v>
      </c>
      <c r="I58" s="8">
        <f>G58*H58</f>
        <v/>
      </c>
      <c r="J58" s="8">
        <f>H58/E58</f>
        <v/>
      </c>
      <c r="K58" s="8" t="n">
        <v>2.34</v>
      </c>
      <c r="L58" s="8" t="n">
        <v>2.34</v>
      </c>
      <c r="M58" s="14">
        <f>J58/K58-1</f>
        <v/>
      </c>
      <c r="N58" s="7" t="inlineStr">
        <is>
          <t>OK (≤ menor hist.)</t>
        </is>
      </c>
      <c r="O58" s="7" t="inlineStr"/>
    </row>
    <row r="59">
      <c r="A59" s="7" t="n">
        <v>49581</v>
      </c>
      <c r="B59" s="7" t="inlineStr">
        <is>
          <t>453</t>
        </is>
      </c>
      <c r="C59" s="12" t="inlineStr">
        <is>
          <t>7898014560077</t>
        </is>
      </c>
      <c r="D59" s="7" t="inlineStr">
        <is>
          <t>BENZODERM 100 MG/G SAB CT FIL PP X 60 G</t>
        </is>
      </c>
      <c r="E59" s="13" t="n">
        <v>1</v>
      </c>
      <c r="F59" s="13" t="n">
        <v>1</v>
      </c>
      <c r="G59" s="13" t="n">
        <v>1</v>
      </c>
      <c r="H59" s="8" t="n">
        <v>6.59</v>
      </c>
      <c r="I59" s="8">
        <f>G59*H59</f>
        <v/>
      </c>
      <c r="J59" s="8">
        <f>H59/E59</f>
        <v/>
      </c>
      <c r="K59" s="8" t="n">
        <v>6.59</v>
      </c>
      <c r="L59" s="8" t="n">
        <v>6.59</v>
      </c>
      <c r="M59" s="14">
        <f>J59/K59-1</f>
        <v/>
      </c>
      <c r="N59" s="7" t="inlineStr">
        <is>
          <t>OK (≤ menor hist.)</t>
        </is>
      </c>
      <c r="O59" s="7" t="inlineStr"/>
    </row>
    <row r="60">
      <c r="A60" s="7" t="n">
        <v>50061</v>
      </c>
      <c r="B60" s="7" t="inlineStr">
        <is>
          <t>5589</t>
        </is>
      </c>
      <c r="C60" s="12" t="inlineStr">
        <is>
          <t>7897917000994</t>
        </is>
      </c>
      <c r="D60" s="7" t="inlineStr">
        <is>
          <t>BENZOILMETRONIDAZOL 40MG/ML SUS OR FR 100ML+COP MED</t>
        </is>
      </c>
      <c r="E60" s="13" t="n">
        <v>1</v>
      </c>
      <c r="F60" s="13" t="n">
        <v>10</v>
      </c>
      <c r="G60" s="13" t="n">
        <v>10</v>
      </c>
      <c r="H60" s="8" t="n">
        <v>9.83</v>
      </c>
      <c r="I60" s="8">
        <f>G60*H60</f>
        <v/>
      </c>
      <c r="J60" s="8">
        <f>H60/E60</f>
        <v/>
      </c>
      <c r="K60" s="8" t="n">
        <v>8.84</v>
      </c>
      <c r="L60" s="8" t="n">
        <v>8.84</v>
      </c>
      <c r="M60" s="14">
        <f>J60/K60-1</f>
        <v/>
      </c>
      <c r="N60" s="7" t="inlineStr">
        <is>
          <t>ACIMA +11.2%</t>
        </is>
      </c>
      <c r="O60" s="7" t="inlineStr"/>
    </row>
    <row r="61">
      <c r="A61" s="7" t="n">
        <v>208141</v>
      </c>
      <c r="B61" s="7" t="inlineStr">
        <is>
          <t>1357</t>
        </is>
      </c>
      <c r="C61" s="12" t="inlineStr">
        <is>
          <t>7896523210797</t>
        </is>
      </c>
      <c r="D61" s="7" t="inlineStr">
        <is>
          <t>BEPANTRIZ 50MG/G POM DERM BG 30G</t>
        </is>
      </c>
      <c r="E61" s="13" t="n">
        <v>1</v>
      </c>
      <c r="F61" s="13" t="n">
        <v>9</v>
      </c>
      <c r="G61" s="13" t="n">
        <v>9</v>
      </c>
      <c r="H61" s="8" t="n">
        <v>7.43</v>
      </c>
      <c r="I61" s="8">
        <f>G61*H61</f>
        <v/>
      </c>
      <c r="J61" s="8">
        <f>H61/E61</f>
        <v/>
      </c>
      <c r="K61" s="8" t="n">
        <v>6.49</v>
      </c>
      <c r="L61" s="8" t="n">
        <v>6.49</v>
      </c>
      <c r="M61" s="14">
        <f>J61/K61-1</f>
        <v/>
      </c>
      <c r="N61" s="7" t="inlineStr">
        <is>
          <t>ACIMA +14.5%</t>
        </is>
      </c>
      <c r="O61" s="7" t="inlineStr"/>
    </row>
    <row r="62">
      <c r="A62" s="7" t="n">
        <v>538061</v>
      </c>
      <c r="B62" s="7" t="inlineStr">
        <is>
          <t>143</t>
        </is>
      </c>
      <c r="C62" s="12" t="inlineStr">
        <is>
          <t>7898031310303</t>
        </is>
      </c>
      <c r="D62" s="7" t="inlineStr">
        <is>
          <t>BICARBONATO DE SODIO 100G</t>
        </is>
      </c>
      <c r="E62" s="13" t="n">
        <v>1</v>
      </c>
      <c r="F62" s="13" t="n">
        <v>24</v>
      </c>
      <c r="G62" s="13" t="n">
        <v>24</v>
      </c>
      <c r="H62" s="8" t="n">
        <v>3.23</v>
      </c>
      <c r="I62" s="8">
        <f>G62*H62</f>
        <v/>
      </c>
      <c r="J62" s="8">
        <f>H62/E62</f>
        <v/>
      </c>
      <c r="K62" s="8" t="n">
        <v>3.05</v>
      </c>
      <c r="L62" s="8" t="n">
        <v>3.05</v>
      </c>
      <c r="M62" s="14">
        <f>J62/K62-1</f>
        <v/>
      </c>
      <c r="N62" s="7" t="inlineStr">
        <is>
          <t>ACIMA +5.9%</t>
        </is>
      </c>
      <c r="O62" s="7" t="inlineStr"/>
    </row>
    <row r="63">
      <c r="A63" s="7" t="n">
        <v>619101</v>
      </c>
      <c r="B63" s="7" t="inlineStr">
        <is>
          <t>8452</t>
        </is>
      </c>
      <c r="C63" s="12" t="inlineStr">
        <is>
          <t>7898953484243</t>
        </is>
      </c>
      <c r="D63" s="7" t="inlineStr">
        <is>
          <t>BICO P/ SERINGA DE LAVAGEN NASAL C/2</t>
        </is>
      </c>
      <c r="E63" s="13" t="n">
        <v>1</v>
      </c>
      <c r="F63" s="13" t="n">
        <v>7</v>
      </c>
      <c r="G63" s="13" t="n">
        <v>7</v>
      </c>
      <c r="H63" s="8" t="n">
        <v>4.3</v>
      </c>
      <c r="I63" s="8">
        <f>G63*H63</f>
        <v/>
      </c>
      <c r="J63" s="8">
        <f>H63/E63</f>
        <v/>
      </c>
      <c r="K63" s="8" t="n">
        <v>4.3</v>
      </c>
      <c r="L63" s="8" t="n">
        <v>4.3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3893</v>
      </c>
      <c r="B64" s="7" t="inlineStr">
        <is>
          <t>7444</t>
        </is>
      </c>
      <c r="C64" s="12" t="inlineStr">
        <is>
          <t>7908414448933</t>
        </is>
      </c>
      <c r="D64" s="7" t="inlineStr">
        <is>
          <t>BOLSA TERMICA GEL AZUL HC353</t>
        </is>
      </c>
      <c r="E64" s="13" t="n">
        <v>1</v>
      </c>
      <c r="F64" s="13" t="n">
        <v>6</v>
      </c>
      <c r="G64" s="13" t="n">
        <v>6</v>
      </c>
      <c r="H64" s="8" t="n">
        <v>12.92</v>
      </c>
      <c r="I64" s="8">
        <f>G64*H64</f>
        <v/>
      </c>
      <c r="J64" s="8">
        <f>H64/E64</f>
        <v/>
      </c>
      <c r="K64" s="8" t="n">
        <v>12.92</v>
      </c>
      <c r="L64" s="8" t="n">
        <v>12.92</v>
      </c>
      <c r="M64" s="14">
        <f>J64/K64-1</f>
        <v/>
      </c>
      <c r="N64" s="7" t="inlineStr">
        <is>
          <t>OK (≤ menor hist.)</t>
        </is>
      </c>
      <c r="O64" s="7" t="inlineStr"/>
    </row>
    <row r="65">
      <c r="A65" s="7" t="n">
        <v>674321</v>
      </c>
      <c r="B65" s="7" t="inlineStr">
        <is>
          <t>9959</t>
        </is>
      </c>
      <c r="C65" s="12" t="inlineStr">
        <is>
          <t>7898975719040</t>
        </is>
      </c>
      <c r="D65" s="7" t="inlineStr">
        <is>
          <t>BOLSA TERMICA GEL QUENTE OU FRIO GRANDE</t>
        </is>
      </c>
      <c r="E65" s="13" t="n">
        <v>1</v>
      </c>
      <c r="F65" s="13" t="n">
        <v>1</v>
      </c>
      <c r="G65" s="13" t="n">
        <v>1</v>
      </c>
      <c r="H65" s="8" t="n">
        <v>10.63</v>
      </c>
      <c r="I65" s="8">
        <f>G65*H65</f>
        <v/>
      </c>
      <c r="J65" s="8">
        <f>H65/E65</f>
        <v/>
      </c>
      <c r="K65" s="8" t="n">
        <v>10.63</v>
      </c>
      <c r="L65" s="8" t="n">
        <v>10.63</v>
      </c>
      <c r="M65" s="14">
        <f>J65/K65-1</f>
        <v/>
      </c>
      <c r="N65" s="7" t="inlineStr">
        <is>
          <t>OK (≤ menor hist.)</t>
        </is>
      </c>
      <c r="O65" s="7" t="inlineStr"/>
    </row>
    <row r="66">
      <c r="A66" s="7" t="n">
        <v>194</v>
      </c>
      <c r="B66" s="7" t="inlineStr">
        <is>
          <t>10651</t>
        </is>
      </c>
      <c r="C66" s="12" t="inlineStr">
        <is>
          <t>7894164010264</t>
        </is>
      </c>
      <c r="D66" s="7" t="inlineStr">
        <is>
          <t>BROMOPRIDA 4MG/ML 20ML</t>
        </is>
      </c>
      <c r="E66" s="13" t="n">
        <v>1</v>
      </c>
      <c r="F66" s="13" t="n">
        <v>2</v>
      </c>
      <c r="G66" s="13" t="n">
        <v>2</v>
      </c>
      <c r="H66" s="8" t="n">
        <v>3.58</v>
      </c>
      <c r="I66" s="8">
        <f>G66*H66</f>
        <v/>
      </c>
      <c r="J66" s="8">
        <f>H66/E66</f>
        <v/>
      </c>
      <c r="K66" s="8" t="n">
        <v>3.58</v>
      </c>
      <c r="L66" s="8" t="n">
        <v>3.58</v>
      </c>
      <c r="M66" s="14">
        <f>J66/K66-1</f>
        <v/>
      </c>
      <c r="N66" s="7" t="inlineStr">
        <is>
          <t>OK (≤ menor hist.)</t>
        </is>
      </c>
      <c r="O66" s="7" t="inlineStr"/>
    </row>
    <row r="67">
      <c r="A67" s="7" t="n">
        <v>294981</v>
      </c>
      <c r="B67" s="7" t="inlineStr">
        <is>
          <t>1553</t>
        </is>
      </c>
      <c r="C67" s="12" t="inlineStr">
        <is>
          <t>7896472513284</t>
        </is>
      </c>
      <c r="D67" s="7" t="inlineStr">
        <is>
          <t>BUPROVIL 300MG CX 20 COMP</t>
        </is>
      </c>
      <c r="E67" s="13" t="n">
        <v>1</v>
      </c>
      <c r="F67" s="13" t="n">
        <v>1</v>
      </c>
      <c r="G67" s="13" t="n">
        <v>1</v>
      </c>
      <c r="H67" s="8" t="n">
        <v>5.63</v>
      </c>
      <c r="I67" s="8">
        <f>G67*H67</f>
        <v/>
      </c>
      <c r="J67" s="8">
        <f>H67/E67</f>
        <v/>
      </c>
      <c r="K67" s="8" t="n">
        <v>5.63</v>
      </c>
      <c r="L67" s="8" t="n">
        <v>5.63</v>
      </c>
      <c r="M67" s="14">
        <f>J67/K67-1</f>
        <v/>
      </c>
      <c r="N67" s="7" t="inlineStr">
        <is>
          <t>OK (≤ menor hist.)</t>
        </is>
      </c>
      <c r="O67" s="7" t="inlineStr"/>
    </row>
    <row r="68">
      <c r="A68" s="7" t="n">
        <v>596481</v>
      </c>
      <c r="B68" s="7" t="inlineStr">
        <is>
          <t>5564</t>
        </is>
      </c>
      <c r="C68" s="12" t="inlineStr">
        <is>
          <t>7894164005260</t>
        </is>
      </c>
      <c r="D68" s="7" t="inlineStr">
        <is>
          <t>CALOFIM 5ML SOL (AIRELA)</t>
        </is>
      </c>
      <c r="E68" s="13" t="n">
        <v>1</v>
      </c>
      <c r="F68" s="13" t="n">
        <v>8</v>
      </c>
      <c r="G68" s="13" t="n">
        <v>8</v>
      </c>
      <c r="H68" s="8" t="n">
        <v>8.9</v>
      </c>
      <c r="I68" s="8">
        <f>G68*H68</f>
        <v/>
      </c>
      <c r="J68" s="8">
        <f>H68/E68</f>
        <v/>
      </c>
      <c r="K68" s="8" t="n">
        <v>8.56</v>
      </c>
      <c r="L68" s="8" t="n">
        <v>8.48</v>
      </c>
      <c r="M68" s="14">
        <f>J68/K68-1</f>
        <v/>
      </c>
      <c r="N68" s="7" t="inlineStr">
        <is>
          <t>ACIMA +4.0%</t>
        </is>
      </c>
      <c r="O68" s="7" t="inlineStr"/>
    </row>
    <row r="69">
      <c r="A69" s="7" t="n">
        <v>74721</v>
      </c>
      <c r="B69" s="7" t="inlineStr">
        <is>
          <t>1128</t>
        </is>
      </c>
      <c r="C69" s="12" t="inlineStr">
        <is>
          <t>7899620910164</t>
        </is>
      </c>
      <c r="D69" s="7" t="inlineStr">
        <is>
          <t>CAPTOPRIL 50MG CX 30 COMP</t>
        </is>
      </c>
      <c r="E69" s="13" t="n">
        <v>1</v>
      </c>
      <c r="F69" s="13" t="n">
        <v>3</v>
      </c>
      <c r="G69" s="13" t="n">
        <v>3</v>
      </c>
      <c r="H69" s="8" t="n">
        <v>4.04</v>
      </c>
      <c r="I69" s="8">
        <f>G69*H69</f>
        <v/>
      </c>
      <c r="J69" s="8">
        <f>H69/E69</f>
        <v/>
      </c>
      <c r="K69" s="8" t="n">
        <v>4.04</v>
      </c>
      <c r="L69" s="8" t="n">
        <v>4.04</v>
      </c>
      <c r="M69" s="14">
        <f>J69/K69-1</f>
        <v/>
      </c>
      <c r="N69" s="7" t="inlineStr">
        <is>
          <t>OK (≤ menor hist.)</t>
        </is>
      </c>
      <c r="O69" s="7" t="inlineStr"/>
    </row>
    <row r="70">
      <c r="A70" s="7" t="n">
        <v>84281</v>
      </c>
      <c r="B70" s="7" t="inlineStr">
        <is>
          <t>2273</t>
        </is>
      </c>
      <c r="C70" s="12" t="inlineStr">
        <is>
          <t>7895296261036</t>
        </is>
      </c>
      <c r="D70" s="7" t="inlineStr">
        <is>
          <t>CARDBET 3,125MG CX 30 COMP</t>
        </is>
      </c>
      <c r="E70" s="13" t="n">
        <v>1</v>
      </c>
      <c r="F70" s="13" t="n">
        <v>3</v>
      </c>
      <c r="G70" s="13" t="n">
        <v>3</v>
      </c>
      <c r="H70" s="8" t="n">
        <v>3.62</v>
      </c>
      <c r="I70" s="8">
        <f>G70*H70</f>
        <v/>
      </c>
      <c r="J70" s="8">
        <f>H70/E70</f>
        <v/>
      </c>
      <c r="K70" s="8" t="n">
        <v>3</v>
      </c>
      <c r="L70" s="8" t="n">
        <v>3</v>
      </c>
      <c r="M70" s="14">
        <f>J70/K70-1</f>
        <v/>
      </c>
      <c r="N70" s="7" t="inlineStr">
        <is>
          <t>ACIMA +20.7%</t>
        </is>
      </c>
      <c r="O70" s="7" t="inlineStr"/>
    </row>
    <row r="71">
      <c r="A71" s="7" t="n">
        <v>86481</v>
      </c>
      <c r="B71" s="7" t="inlineStr">
        <is>
          <t>1669</t>
        </is>
      </c>
      <c r="C71" s="12" t="inlineStr">
        <is>
          <t>7896004718309</t>
        </is>
      </c>
      <c r="D71" s="7" t="inlineStr">
        <is>
          <t>CEDROXIL 500MG CX 8 CAP</t>
        </is>
      </c>
      <c r="E71" s="13" t="n">
        <v>1</v>
      </c>
      <c r="F71" s="13" t="n">
        <v>1</v>
      </c>
      <c r="G71" s="13" t="n">
        <v>1</v>
      </c>
      <c r="H71" s="8" t="n">
        <v>9.789999999999999</v>
      </c>
      <c r="I71" s="8">
        <f>G71*H71</f>
        <v/>
      </c>
      <c r="J71" s="8">
        <f>H71/E71</f>
        <v/>
      </c>
      <c r="K71" s="8" t="n">
        <v>9.4</v>
      </c>
      <c r="L71" s="8" t="n">
        <v>9.35</v>
      </c>
      <c r="M71" s="14">
        <f>J71/K71-1</f>
        <v/>
      </c>
      <c r="N71" s="7" t="inlineStr">
        <is>
          <t>ACIMA +4.1%</t>
        </is>
      </c>
      <c r="O71" s="7" t="inlineStr"/>
    </row>
    <row r="72">
      <c r="A72" s="7" t="n">
        <v>630661</v>
      </c>
      <c r="B72" s="7" t="inlineStr">
        <is>
          <t>8333</t>
        </is>
      </c>
      <c r="C72" s="12" t="inlineStr">
        <is>
          <t>7896920304556</t>
        </is>
      </c>
      <c r="D72" s="7" t="inlineStr">
        <is>
          <t>CENTROMAX A Z 60 CAPS</t>
        </is>
      </c>
      <c r="E72" s="13" t="n">
        <v>1</v>
      </c>
      <c r="F72" s="13" t="n">
        <v>1</v>
      </c>
      <c r="G72" s="13" t="n">
        <v>1</v>
      </c>
      <c r="H72" s="8" t="n">
        <v>28.48981</v>
      </c>
      <c r="I72" s="8">
        <f>G72*H72</f>
        <v/>
      </c>
      <c r="J72" s="8">
        <f>H72/E72</f>
        <v/>
      </c>
      <c r="K72" s="8" t="n">
        <v>26.85</v>
      </c>
      <c r="L72" s="8" t="n">
        <v>26.85</v>
      </c>
      <c r="M72" s="14">
        <f>J72/K72-1</f>
        <v/>
      </c>
      <c r="N72" s="7" t="inlineStr">
        <is>
          <t>ACIMA +6.1%</t>
        </is>
      </c>
      <c r="O72" s="7" t="inlineStr"/>
    </row>
    <row r="73">
      <c r="A73" s="7" t="n">
        <v>1301</v>
      </c>
      <c r="B73" s="7" t="inlineStr">
        <is>
          <t>372</t>
        </is>
      </c>
      <c r="C73" s="12" t="inlineStr">
        <is>
          <t>7893454100647</t>
        </is>
      </c>
      <c r="D73" s="7" t="inlineStr">
        <is>
          <t>CETOBETA 20+0,64+2,5MG/G POM BG 30G</t>
        </is>
      </c>
      <c r="E73" s="13" t="n">
        <v>1</v>
      </c>
      <c r="F73" s="13" t="n">
        <v>21</v>
      </c>
      <c r="G73" s="13" t="n">
        <v>21</v>
      </c>
      <c r="H73" s="8" t="n">
        <v>8.76</v>
      </c>
      <c r="I73" s="8">
        <f>G73*H73</f>
        <v/>
      </c>
      <c r="J73" s="8">
        <f>H73/E73</f>
        <v/>
      </c>
      <c r="K73" s="8" t="n">
        <v>8</v>
      </c>
      <c r="L73" s="8" t="n">
        <v>7.69</v>
      </c>
      <c r="M73" s="14">
        <f>J73/K73-1</f>
        <v/>
      </c>
      <c r="N73" s="7" t="inlineStr">
        <is>
          <t>ACIMA +9.5%</t>
        </is>
      </c>
      <c r="O73" s="7" t="inlineStr"/>
    </row>
    <row r="74">
      <c r="A74" s="7" t="n">
        <v>92221</v>
      </c>
      <c r="B74" s="7" t="inlineStr">
        <is>
          <t>3542</t>
        </is>
      </c>
      <c r="C74" s="12" t="inlineStr">
        <is>
          <t>7899620911352</t>
        </is>
      </c>
      <c r="D74" s="7" t="inlineStr">
        <is>
          <t>CETOCONAZOL 200MG CX 10 COMP</t>
        </is>
      </c>
      <c r="E74" s="13" t="n">
        <v>1</v>
      </c>
      <c r="F74" s="13" t="n">
        <v>2</v>
      </c>
      <c r="G74" s="13" t="n">
        <v>2</v>
      </c>
      <c r="H74" s="8" t="n">
        <v>4.28</v>
      </c>
      <c r="I74" s="8">
        <f>G74*H74</f>
        <v/>
      </c>
      <c r="J74" s="8">
        <f>H74/E74</f>
        <v/>
      </c>
      <c r="K74" s="8" t="n">
        <v>4.1</v>
      </c>
      <c r="L74" s="8" t="n">
        <v>4.1</v>
      </c>
      <c r="M74" s="14">
        <f>J74/K74-1</f>
        <v/>
      </c>
      <c r="N74" s="7" t="inlineStr">
        <is>
          <t>ACIMA +4.4%</t>
        </is>
      </c>
      <c r="O74" s="7" t="inlineStr"/>
    </row>
    <row r="75">
      <c r="A75" s="7" t="n">
        <v>92021</v>
      </c>
      <c r="B75" s="7" t="inlineStr">
        <is>
          <t>234</t>
        </is>
      </c>
      <c r="C75" s="12" t="inlineStr">
        <is>
          <t>7898216367535</t>
        </is>
      </c>
      <c r="D75" s="7" t="inlineStr">
        <is>
          <t>CETOCONAZOL 200MG CX 10 COMP</t>
        </is>
      </c>
      <c r="E75" s="13" t="n">
        <v>1</v>
      </c>
      <c r="F75" s="13" t="n">
        <v>4</v>
      </c>
      <c r="G75" s="13" t="n">
        <v>4</v>
      </c>
      <c r="H75" s="8" t="n">
        <v>6.16</v>
      </c>
      <c r="I75" s="8">
        <f>G75*H75</f>
        <v/>
      </c>
      <c r="J75" s="8">
        <f>H75/E75</f>
        <v/>
      </c>
      <c r="K75" s="8" t="n">
        <v>4.81</v>
      </c>
      <c r="L75" s="8" t="n">
        <v>4.81</v>
      </c>
      <c r="M75" s="14">
        <f>J75/K75-1</f>
        <v/>
      </c>
      <c r="N75" s="7" t="inlineStr">
        <is>
          <t>ACIMA +28.1%</t>
        </is>
      </c>
      <c r="O75" s="7" t="inlineStr"/>
    </row>
    <row r="76">
      <c r="A76" s="7" t="n">
        <v>96181</v>
      </c>
      <c r="B76" s="7" t="inlineStr">
        <is>
          <t>4848</t>
        </is>
      </c>
      <c r="C76" s="12" t="inlineStr">
        <is>
          <t>7896422507295</t>
        </is>
      </c>
      <c r="D76" s="7" t="inlineStr">
        <is>
          <t>CETOPROFENO 100MG CX 20 COMP</t>
        </is>
      </c>
      <c r="E76" s="13" t="n">
        <v>1</v>
      </c>
      <c r="F76" s="13" t="n">
        <v>36</v>
      </c>
      <c r="G76" s="13" t="n">
        <v>36</v>
      </c>
      <c r="H76" s="8" t="n">
        <v>22.49</v>
      </c>
      <c r="I76" s="8">
        <f>G76*H76</f>
        <v/>
      </c>
      <c r="J76" s="8">
        <f>H76/E76</f>
        <v/>
      </c>
      <c r="K76" s="8" t="n">
        <v>20.1267</v>
      </c>
      <c r="L76" s="8" t="n">
        <v>17.7656</v>
      </c>
      <c r="M76" s="14">
        <f>J76/K76-1</f>
        <v/>
      </c>
      <c r="N76" s="7" t="inlineStr">
        <is>
          <t>ACIMA +11.7%</t>
        </is>
      </c>
      <c r="O76" s="7" t="inlineStr"/>
    </row>
    <row r="77">
      <c r="A77" s="7" t="n">
        <v>95101</v>
      </c>
      <c r="B77" s="7" t="inlineStr">
        <is>
          <t>4849</t>
        </is>
      </c>
      <c r="C77" s="12" t="inlineStr">
        <is>
          <t>7891058002961</t>
        </is>
      </c>
      <c r="D77" s="7" t="inlineStr">
        <is>
          <t>CETOPROFENO 150MG CX 10 COMP REV LIB PROL</t>
        </is>
      </c>
      <c r="E77" s="13" t="n">
        <v>1</v>
      </c>
      <c r="F77" s="13" t="n">
        <v>153</v>
      </c>
      <c r="G77" s="13" t="n">
        <v>153</v>
      </c>
      <c r="H77" s="8" t="n">
        <v>5.99</v>
      </c>
      <c r="I77" s="8">
        <f>G77*H77</f>
        <v/>
      </c>
      <c r="J77" s="8">
        <f>H77/E77</f>
        <v/>
      </c>
      <c r="K77" s="8" t="n">
        <v>5.1338</v>
      </c>
      <c r="L77" s="8" t="n">
        <v>5.1338</v>
      </c>
      <c r="M77" s="14">
        <f>J77/K77-1</f>
        <v/>
      </c>
      <c r="N77" s="7" t="inlineStr">
        <is>
          <t>ACIMA +16.7%</t>
        </is>
      </c>
      <c r="O77" s="7" t="inlineStr"/>
    </row>
    <row r="78">
      <c r="A78" s="7" t="n">
        <v>95121</v>
      </c>
      <c r="B78" s="7" t="inlineStr">
        <is>
          <t>4850</t>
        </is>
      </c>
      <c r="C78" s="12" t="inlineStr">
        <is>
          <t>7896422507349</t>
        </is>
      </c>
      <c r="D78" s="7" t="inlineStr">
        <is>
          <t>CETOPROFENO 50MG CX 24 CAP</t>
        </is>
      </c>
      <c r="E78" s="13" t="n">
        <v>1</v>
      </c>
      <c r="F78" s="13" t="n">
        <v>1</v>
      </c>
      <c r="G78" s="13" t="n">
        <v>1</v>
      </c>
      <c r="H78" s="8" t="n">
        <v>10.49</v>
      </c>
      <c r="I78" s="8">
        <f>G78*H78</f>
        <v/>
      </c>
      <c r="J78" s="8">
        <f>H78/E78</f>
        <v/>
      </c>
      <c r="K78" s="8" t="n">
        <v>8.57</v>
      </c>
      <c r="L78" s="8" t="n">
        <v>7.375</v>
      </c>
      <c r="M78" s="14">
        <f>J78/K78-1</f>
        <v/>
      </c>
      <c r="N78" s="7" t="inlineStr">
        <is>
          <t>ACIMA +22.4%</t>
        </is>
      </c>
      <c r="O78" s="7" t="inlineStr"/>
    </row>
    <row r="79">
      <c r="A79" s="7" t="n">
        <v>608881</v>
      </c>
      <c r="B79" s="7" t="inlineStr">
        <is>
          <t>5415</t>
        </is>
      </c>
      <c r="C79" s="12" t="inlineStr">
        <is>
          <t>7898108640678</t>
        </is>
      </c>
      <c r="D79" s="7" t="inlineStr">
        <is>
          <t>CICATRISAN CURATIVO 10UN MICROPOROSO</t>
        </is>
      </c>
      <c r="E79" s="13" t="n">
        <v>1</v>
      </c>
      <c r="F79" s="13" t="n">
        <v>7</v>
      </c>
      <c r="G79" s="13" t="n">
        <v>7</v>
      </c>
      <c r="H79" s="8" t="n">
        <v>2.01</v>
      </c>
      <c r="I79" s="8">
        <f>G79*H79</f>
        <v/>
      </c>
      <c r="J79" s="8">
        <f>H79/E79</f>
        <v/>
      </c>
      <c r="K79" s="8" t="n">
        <v>1.96</v>
      </c>
      <c r="L79" s="8" t="n">
        <v>1.68</v>
      </c>
      <c r="M79" s="14">
        <f>J79/K79-1</f>
        <v/>
      </c>
      <c r="N79" s="7" t="inlineStr">
        <is>
          <t>ACIMA +2.6%</t>
        </is>
      </c>
      <c r="O79" s="7" t="inlineStr"/>
    </row>
    <row r="80">
      <c r="A80" s="7" t="n">
        <v>98201</v>
      </c>
      <c r="B80" s="7" t="inlineStr">
        <is>
          <t>9995</t>
        </is>
      </c>
      <c r="C80" s="12" t="inlineStr">
        <is>
          <t>7896422512169</t>
        </is>
      </c>
      <c r="D80" s="7" t="inlineStr">
        <is>
          <t>CICLOPIROX OLAMINA 10MG CREME DERM BG 20G</t>
        </is>
      </c>
      <c r="E80" s="13" t="n">
        <v>1</v>
      </c>
      <c r="F80" s="13" t="n">
        <v>1</v>
      </c>
      <c r="G80" s="13" t="n">
        <v>1</v>
      </c>
      <c r="H80" s="8" t="n">
        <v>12.91</v>
      </c>
      <c r="I80" s="8">
        <f>G80*H80</f>
        <v/>
      </c>
      <c r="J80" s="8">
        <f>H80/E80</f>
        <v/>
      </c>
      <c r="K80" s="8" t="n">
        <v>9.56</v>
      </c>
      <c r="L80" s="8" t="n">
        <v>9.19</v>
      </c>
      <c r="M80" s="14">
        <f>J80/K80-1</f>
        <v/>
      </c>
      <c r="N80" s="7" t="inlineStr">
        <is>
          <t>ACIMA +35.0%</t>
        </is>
      </c>
      <c r="O80" s="7" t="inlineStr"/>
    </row>
    <row r="81">
      <c r="A81" s="7" t="n">
        <v>127321</v>
      </c>
      <c r="B81" s="7" t="inlineStr">
        <is>
          <t>1135</t>
        </is>
      </c>
      <c r="C81" s="12" t="inlineStr">
        <is>
          <t>7896523216454</t>
        </is>
      </c>
      <c r="D81" s="7" t="inlineStr">
        <is>
          <t>CIFLOGEX 3,0MG CX 12 PAST SB LARANJA</t>
        </is>
      </c>
      <c r="E81" s="13" t="n">
        <v>1</v>
      </c>
      <c r="F81" s="13" t="n">
        <v>7</v>
      </c>
      <c r="G81" s="13" t="n">
        <v>7</v>
      </c>
      <c r="H81" s="8" t="n">
        <v>9.44</v>
      </c>
      <c r="I81" s="8">
        <f>G81*H81</f>
        <v/>
      </c>
      <c r="J81" s="8">
        <f>H81/E81</f>
        <v/>
      </c>
      <c r="K81" s="8" t="n">
        <v>7.49</v>
      </c>
      <c r="L81" s="8" t="n">
        <v>7.49</v>
      </c>
      <c r="M81" s="14">
        <f>J81/K81-1</f>
        <v/>
      </c>
      <c r="N81" s="7" t="inlineStr">
        <is>
          <t>ACIMA +26.0%</t>
        </is>
      </c>
      <c r="O81" s="7" t="inlineStr"/>
    </row>
    <row r="82">
      <c r="A82" s="7" t="n">
        <v>108901</v>
      </c>
      <c r="B82" s="7" t="inlineStr">
        <is>
          <t>6973</t>
        </is>
      </c>
      <c r="C82" s="12" t="inlineStr">
        <is>
          <t>7898216363445</t>
        </is>
      </c>
      <c r="D82" s="7" t="inlineStr">
        <is>
          <t>CLARITROMICINA 500MG CX 14 COMP REV</t>
        </is>
      </c>
      <c r="E82" s="13" t="n">
        <v>1</v>
      </c>
      <c r="F82" s="13" t="n">
        <v>7</v>
      </c>
      <c r="G82" s="13" t="n">
        <v>7</v>
      </c>
      <c r="H82" s="8" t="n">
        <v>45.8</v>
      </c>
      <c r="I82" s="8">
        <f>G82*H82</f>
        <v/>
      </c>
      <c r="J82" s="8">
        <f>H82/E82</f>
        <v/>
      </c>
      <c r="K82" s="8" t="n">
        <v>64.98999999999999</v>
      </c>
      <c r="L82" s="8" t="n">
        <v>43.94</v>
      </c>
      <c r="M82" s="14">
        <f>J82/K82-1</f>
        <v/>
      </c>
      <c r="N82" s="7" t="inlineStr">
        <is>
          <t>OK (≤ últ. compra)</t>
        </is>
      </c>
      <c r="O82" s="7" t="inlineStr"/>
    </row>
    <row r="83">
      <c r="A83" s="7" t="n">
        <v>1103</v>
      </c>
      <c r="B83" s="7" t="inlineStr">
        <is>
          <t>8359</t>
        </is>
      </c>
      <c r="C83" s="12" t="inlineStr">
        <is>
          <t>7898216361267</t>
        </is>
      </c>
      <c r="D83" s="7" t="inlineStr">
        <is>
          <t>CLARITROMICINA 500MG CX 7 COMP REV</t>
        </is>
      </c>
      <c r="E83" s="13" t="n">
        <v>1</v>
      </c>
      <c r="F83" s="13" t="n">
        <v>5</v>
      </c>
      <c r="G83" s="13" t="n">
        <v>5</v>
      </c>
      <c r="H83" s="8" t="n">
        <v>25.38</v>
      </c>
      <c r="I83" s="8">
        <f>G83*H83</f>
        <v/>
      </c>
      <c r="J83" s="8">
        <f>H83/E83</f>
        <v/>
      </c>
      <c r="K83" s="8" t="n">
        <v>31.9</v>
      </c>
      <c r="L83" s="8" t="n">
        <v>23.13</v>
      </c>
      <c r="M83" s="14">
        <f>J83/K83-1</f>
        <v/>
      </c>
      <c r="N83" s="7" t="inlineStr">
        <is>
          <t>OK (≤ últ. compra)</t>
        </is>
      </c>
      <c r="O83" s="7" t="inlineStr"/>
    </row>
    <row r="84">
      <c r="A84" s="7" t="n">
        <v>646641</v>
      </c>
      <c r="B84" s="7" t="inlineStr">
        <is>
          <t>8003</t>
        </is>
      </c>
      <c r="C84" s="12" t="inlineStr">
        <is>
          <t>7898048690405</t>
        </is>
      </c>
      <c r="D84" s="7" t="inlineStr">
        <is>
          <t>CLORETO DE MAGNESIO P.A 600MG C/60 CPR</t>
        </is>
      </c>
      <c r="E84" s="13" t="n">
        <v>1</v>
      </c>
      <c r="F84" s="13" t="n">
        <v>5</v>
      </c>
      <c r="G84" s="13" t="n">
        <v>5</v>
      </c>
      <c r="H84" s="8" t="n">
        <v>9.18</v>
      </c>
      <c r="I84" s="8">
        <f>G84*H84</f>
        <v/>
      </c>
      <c r="J84" s="8">
        <f>H84/E84</f>
        <v/>
      </c>
      <c r="K84" s="8" t="n">
        <v>8.9</v>
      </c>
      <c r="L84" s="8" t="n">
        <v>8.9</v>
      </c>
      <c r="M84" s="14">
        <f>J84/K84-1</f>
        <v/>
      </c>
      <c r="N84" s="7" t="inlineStr">
        <is>
          <t>ACIMA +3.1%</t>
        </is>
      </c>
      <c r="O84" s="7" t="inlineStr"/>
    </row>
    <row r="85">
      <c r="A85" s="7" t="n">
        <v>560161</v>
      </c>
      <c r="B85" s="7" t="inlineStr">
        <is>
          <t>147</t>
        </is>
      </c>
      <c r="C85" s="12" t="inlineStr">
        <is>
          <t>7898031310365</t>
        </is>
      </c>
      <c r="D85" s="7" t="inlineStr">
        <is>
          <t>CLORETO DE MAGNESIO PA 33G</t>
        </is>
      </c>
      <c r="E85" s="13" t="n">
        <v>1</v>
      </c>
      <c r="F85" s="13" t="n">
        <v>1</v>
      </c>
      <c r="G85" s="13" t="n">
        <v>1</v>
      </c>
      <c r="H85" s="8" t="n">
        <v>5.39</v>
      </c>
      <c r="I85" s="8">
        <f>G85*H85</f>
        <v/>
      </c>
      <c r="J85" s="8">
        <f>H85/E85</f>
        <v/>
      </c>
      <c r="K85" s="8" t="n">
        <v>4.93</v>
      </c>
      <c r="L85" s="8" t="n">
        <v>4.93</v>
      </c>
      <c r="M85" s="14">
        <f>J85/K85-1</f>
        <v/>
      </c>
      <c r="N85" s="7" t="inlineStr">
        <is>
          <t>ACIMA +9.3%</t>
        </is>
      </c>
      <c r="O85" s="7" t="inlineStr"/>
    </row>
    <row r="86">
      <c r="A86" s="7" t="n">
        <v>619951</v>
      </c>
      <c r="B86" s="7" t="inlineStr">
        <is>
          <t>1332</t>
        </is>
      </c>
      <c r="C86" s="12" t="inlineStr">
        <is>
          <t>7898031310853</t>
        </is>
      </c>
      <c r="D86" s="7" t="inlineStr">
        <is>
          <t>CLORETO DE MAGNESIO PA 500MG C/60 CPS</t>
        </is>
      </c>
      <c r="E86" s="13" t="n">
        <v>1</v>
      </c>
      <c r="F86" s="13" t="n">
        <v>6</v>
      </c>
      <c r="G86" s="13" t="n">
        <v>6</v>
      </c>
      <c r="H86" s="8" t="n">
        <v>13.61</v>
      </c>
      <c r="I86" s="8">
        <f>G86*H86</f>
        <v/>
      </c>
      <c r="J86" s="8">
        <f>H86/E86</f>
        <v/>
      </c>
      <c r="K86" s="8" t="n">
        <v>13.61</v>
      </c>
      <c r="L86" s="8" t="n">
        <v>13.61</v>
      </c>
      <c r="M86" s="14">
        <f>J86/K86-1</f>
        <v/>
      </c>
      <c r="N86" s="7" t="inlineStr">
        <is>
          <t>OK (≤ menor hist.)</t>
        </is>
      </c>
      <c r="O86" s="7" t="inlineStr"/>
    </row>
    <row r="87">
      <c r="A87" s="7" t="n">
        <v>124681</v>
      </c>
      <c r="B87" s="7" t="inlineStr">
        <is>
          <t>9911</t>
        </is>
      </c>
      <c r="C87" s="12" t="inlineStr">
        <is>
          <t>7891058001681</t>
        </is>
      </c>
      <c r="D87" s="7" t="inlineStr">
        <is>
          <t>CLORIDRATO DE AMIODARONA 200MG CX 30 COMP</t>
        </is>
      </c>
      <c r="E87" s="13" t="n">
        <v>1</v>
      </c>
      <c r="F87" s="13" t="n">
        <v>1</v>
      </c>
      <c r="G87" s="13" t="n">
        <v>1</v>
      </c>
      <c r="H87" s="8" t="n">
        <v>20.44</v>
      </c>
      <c r="I87" s="8">
        <f>G87*H87</f>
        <v/>
      </c>
      <c r="J87" s="8">
        <f>H87/E87</f>
        <v/>
      </c>
      <c r="K87" s="8" t="n">
        <v>16.4233</v>
      </c>
      <c r="L87" s="8" t="n">
        <v>13.6767</v>
      </c>
      <c r="M87" s="14">
        <f>J87/K87-1</f>
        <v/>
      </c>
      <c r="N87" s="7" t="inlineStr">
        <is>
          <t>ACIMA +24.5%</t>
        </is>
      </c>
      <c r="O87" s="7" t="inlineStr"/>
    </row>
    <row r="88">
      <c r="A88" s="7" t="n">
        <v>132801</v>
      </c>
      <c r="B88" s="7" t="inlineStr">
        <is>
          <t>2260</t>
        </is>
      </c>
      <c r="C88" s="12" t="inlineStr">
        <is>
          <t>7896523214641</t>
        </is>
      </c>
      <c r="D88" s="7" t="inlineStr">
        <is>
          <t>CLORIDRATO DE CICLOBENZAPRINA 10MG CX 15 COMP REV</t>
        </is>
      </c>
      <c r="E88" s="13" t="n">
        <v>1</v>
      </c>
      <c r="F88" s="13" t="n">
        <v>34</v>
      </c>
      <c r="G88" s="13" t="n">
        <v>34</v>
      </c>
      <c r="H88" s="8" t="n">
        <v>2.63</v>
      </c>
      <c r="I88" s="8">
        <f>G88*H88</f>
        <v/>
      </c>
      <c r="J88" s="8">
        <f>H88/E88</f>
        <v/>
      </c>
      <c r="K88" s="8" t="n">
        <v>2.63</v>
      </c>
      <c r="L88" s="8" t="n">
        <v>2.49</v>
      </c>
      <c r="M88" s="14">
        <f>J88/K88-1</f>
        <v/>
      </c>
      <c r="N88" s="7" t="inlineStr">
        <is>
          <t>OK (≤ últ. compra)</t>
        </is>
      </c>
      <c r="O88" s="7" t="inlineStr"/>
    </row>
    <row r="89">
      <c r="A89" s="7" t="n">
        <v>134601</v>
      </c>
      <c r="B89" s="7" t="inlineStr">
        <is>
          <t>6559</t>
        </is>
      </c>
      <c r="C89" s="12" t="inlineStr">
        <is>
          <t>7898060139951</t>
        </is>
      </c>
      <c r="D89" s="7" t="inlineStr">
        <is>
          <t>CLORIDRATO DE CICLOBENZAPRINA 10MG CX 30 COMP REV</t>
        </is>
      </c>
      <c r="E89" s="13" t="n">
        <v>1</v>
      </c>
      <c r="F89" s="13" t="n">
        <v>4</v>
      </c>
      <c r="G89" s="13" t="n">
        <v>4</v>
      </c>
      <c r="H89" s="8" t="n">
        <v>5.58</v>
      </c>
      <c r="I89" s="8">
        <f>G89*H89</f>
        <v/>
      </c>
      <c r="J89" s="8">
        <f>H89/E89</f>
        <v/>
      </c>
      <c r="K89" s="8" t="n">
        <v>5.48</v>
      </c>
      <c r="L89" s="8" t="n">
        <v>5.48</v>
      </c>
      <c r="M89" s="14">
        <f>J89/K89-1</f>
        <v/>
      </c>
      <c r="N89" s="7" t="inlineStr">
        <is>
          <t>ACIMA +1.8%</t>
        </is>
      </c>
      <c r="O89" s="7" t="inlineStr"/>
    </row>
    <row r="90">
      <c r="A90" s="7" t="n">
        <v>4093</v>
      </c>
      <c r="B90" s="7" t="inlineStr">
        <is>
          <t>9491</t>
        </is>
      </c>
      <c r="C90" s="12" t="inlineStr">
        <is>
          <t>7899095204188</t>
        </is>
      </c>
      <c r="D90" s="7" t="inlineStr">
        <is>
          <t>CLORIDRATO DE CICLOBENZAPRINA 5MG C/15 CPR</t>
        </is>
      </c>
      <c r="E90" s="13" t="n">
        <v>1</v>
      </c>
      <c r="F90" s="13" t="n">
        <v>2</v>
      </c>
      <c r="G90" s="13" t="n">
        <v>2</v>
      </c>
      <c r="H90" s="8" t="n">
        <v>4.25</v>
      </c>
      <c r="I90" s="8">
        <f>G90*H90</f>
        <v/>
      </c>
      <c r="J90" s="8">
        <f>H90/E90</f>
        <v/>
      </c>
      <c r="K90" s="8" t="n">
        <v>3.36</v>
      </c>
      <c r="L90" s="8" t="n">
        <v>3.36</v>
      </c>
      <c r="M90" s="14">
        <f>J90/K90-1</f>
        <v/>
      </c>
      <c r="N90" s="7" t="inlineStr">
        <is>
          <t>ACIMA +26.5%</t>
        </is>
      </c>
      <c r="O90" s="7" t="inlineStr"/>
    </row>
    <row r="91">
      <c r="A91" s="7" t="n">
        <v>134661</v>
      </c>
      <c r="B91" s="7" t="inlineStr">
        <is>
          <t>5401</t>
        </is>
      </c>
      <c r="C91" s="12" t="inlineStr">
        <is>
          <t>7898060139913</t>
        </is>
      </c>
      <c r="D91" s="7" t="inlineStr">
        <is>
          <t>CLORIDRATO DE CICLOBENZAPRINA 5MG CX 15 COMP REV</t>
        </is>
      </c>
      <c r="E91" s="13" t="n">
        <v>1</v>
      </c>
      <c r="F91" s="13" t="n">
        <v>1</v>
      </c>
      <c r="G91" s="13" t="n">
        <v>1</v>
      </c>
      <c r="H91" s="8" t="n">
        <v>2.55</v>
      </c>
      <c r="I91" s="8">
        <f>G91*H91</f>
        <v/>
      </c>
      <c r="J91" s="8">
        <f>H91/E91</f>
        <v/>
      </c>
      <c r="K91" s="8" t="n">
        <v>2.53</v>
      </c>
      <c r="L91" s="8" t="n">
        <v>2.53</v>
      </c>
      <c r="M91" s="14">
        <f>J91/K91-1</f>
        <v/>
      </c>
      <c r="N91" s="7" t="inlineStr">
        <is>
          <t>ACIMA +0.8%</t>
        </is>
      </c>
      <c r="O91" s="7" t="inlineStr"/>
    </row>
    <row r="92">
      <c r="A92" s="7" t="n">
        <v>135981</v>
      </c>
      <c r="B92" s="7" t="inlineStr">
        <is>
          <t>2006</t>
        </is>
      </c>
      <c r="C92" s="12" t="inlineStr">
        <is>
          <t>7898216360185</t>
        </is>
      </c>
      <c r="D92" s="7" t="inlineStr">
        <is>
          <t>CLORIDRATO DE CIPROFLOXACINO 500MG CX 14 COMP REV</t>
        </is>
      </c>
      <c r="E92" s="13" t="n">
        <v>1</v>
      </c>
      <c r="F92" s="13" t="n">
        <v>14</v>
      </c>
      <c r="G92" s="13" t="n">
        <v>14</v>
      </c>
      <c r="H92" s="8" t="n">
        <v>6.43</v>
      </c>
      <c r="I92" s="8">
        <f>G92*H92</f>
        <v/>
      </c>
      <c r="J92" s="8">
        <f>H92/E92</f>
        <v/>
      </c>
      <c r="K92" s="8" t="n">
        <v>6.19</v>
      </c>
      <c r="L92" s="8" t="n">
        <v>5.99</v>
      </c>
      <c r="M92" s="14">
        <f>J92/K92-1</f>
        <v/>
      </c>
      <c r="N92" s="7" t="inlineStr">
        <is>
          <t>ACIMA +3.9%</t>
        </is>
      </c>
      <c r="O92" s="7" t="inlineStr"/>
    </row>
    <row r="93">
      <c r="A93" s="7" t="n">
        <v>136261</v>
      </c>
      <c r="B93" s="7" t="inlineStr">
        <is>
          <t>418</t>
        </is>
      </c>
      <c r="C93" s="12" t="inlineStr">
        <is>
          <t>7898060131399</t>
        </is>
      </c>
      <c r="D93" s="7" t="inlineStr">
        <is>
          <t>CLORIDRATO DE CIPROFLOXACINO 500MG CX 14 COMP REV</t>
        </is>
      </c>
      <c r="E93" s="13" t="n">
        <v>1</v>
      </c>
      <c r="F93" s="13" t="n">
        <v>1</v>
      </c>
      <c r="G93" s="13" t="n">
        <v>1</v>
      </c>
      <c r="H93" s="8" t="n">
        <v>7.42</v>
      </c>
      <c r="I93" s="8">
        <f>G93*H93</f>
        <v/>
      </c>
      <c r="J93" s="8">
        <f>H93/E93</f>
        <v/>
      </c>
      <c r="K93" s="8" t="n">
        <v>5.99</v>
      </c>
      <c r="L93" s="8" t="n">
        <v>5.99</v>
      </c>
      <c r="M93" s="14">
        <f>J93/K93-1</f>
        <v/>
      </c>
      <c r="N93" s="7" t="inlineStr">
        <is>
          <t>ACIMA +23.9%</t>
        </is>
      </c>
      <c r="O93" s="7" t="inlineStr"/>
    </row>
    <row r="94">
      <c r="A94" s="7" t="n">
        <v>142821</v>
      </c>
      <c r="B94" s="7" t="inlineStr">
        <is>
          <t>5936</t>
        </is>
      </c>
      <c r="C94" s="12" t="inlineStr">
        <is>
          <t>7895296186018</t>
        </is>
      </c>
      <c r="D94" s="7" t="inlineStr">
        <is>
          <t>CLORIDRATO DE DORZOLAMIDA 20MG/ML FR X 5ML</t>
        </is>
      </c>
      <c r="E94" s="13" t="n">
        <v>1</v>
      </c>
      <c r="F94" s="13" t="n">
        <v>2</v>
      </c>
      <c r="G94" s="13" t="n">
        <v>2</v>
      </c>
      <c r="H94" s="8" t="n">
        <v>46.94</v>
      </c>
      <c r="I94" s="8">
        <f>G94*H94</f>
        <v/>
      </c>
      <c r="J94" s="8">
        <f>H94/E94</f>
        <v/>
      </c>
      <c r="K94" s="8" t="n">
        <v>29.87</v>
      </c>
      <c r="L94" s="8" t="n">
        <v>29.87</v>
      </c>
      <c r="M94" s="14">
        <f>J94/K94-1</f>
        <v/>
      </c>
      <c r="N94" s="7" t="inlineStr">
        <is>
          <t>ACIMA +57.1%</t>
        </is>
      </c>
      <c r="O94" s="7" t="inlineStr"/>
    </row>
    <row r="95">
      <c r="A95" s="7" t="n">
        <v>146661</v>
      </c>
      <c r="B95" s="7" t="inlineStr">
        <is>
          <t>4270</t>
        </is>
      </c>
      <c r="C95" s="12" t="inlineStr">
        <is>
          <t>7896523220239</t>
        </is>
      </c>
      <c r="D95" s="7" t="inlineStr">
        <is>
          <t>CLORIDRATO DE FEXOFENADINA 60MG CX 10 COMP REV</t>
        </is>
      </c>
      <c r="E95" s="13" t="n">
        <v>1</v>
      </c>
      <c r="F95" s="13" t="n">
        <v>3</v>
      </c>
      <c r="G95" s="13" t="n">
        <v>3</v>
      </c>
      <c r="H95" s="8" t="n">
        <v>8.4</v>
      </c>
      <c r="I95" s="8">
        <f>G95*H95</f>
        <v/>
      </c>
      <c r="J95" s="8">
        <f>H95/E95</f>
        <v/>
      </c>
      <c r="K95" s="8" t="n">
        <v>6.69</v>
      </c>
      <c r="L95" s="8" t="n">
        <v>6.18</v>
      </c>
      <c r="M95" s="14">
        <f>J95/K95-1</f>
        <v/>
      </c>
      <c r="N95" s="7" t="inlineStr">
        <is>
          <t>ACIMA +25.6%</t>
        </is>
      </c>
      <c r="O95" s="7" t="inlineStr"/>
    </row>
    <row r="96">
      <c r="A96" s="7" t="n">
        <v>152261</v>
      </c>
      <c r="B96" s="7" t="inlineStr">
        <is>
          <t>6524</t>
        </is>
      </c>
      <c r="C96" s="12" t="inlineStr">
        <is>
          <t>7898216360864</t>
        </is>
      </c>
      <c r="D96" s="7" t="inlineStr">
        <is>
          <t>CLORIDRATO DE LIDOCAINA 20MG/G GELEIA BG 30G</t>
        </is>
      </c>
      <c r="E96" s="13" t="n">
        <v>1</v>
      </c>
      <c r="F96" s="13" t="n">
        <v>1</v>
      </c>
      <c r="G96" s="13" t="n">
        <v>1</v>
      </c>
      <c r="H96" s="8" t="n">
        <v>8.949999999999999</v>
      </c>
      <c r="I96" s="8">
        <f>G96*H96</f>
        <v/>
      </c>
      <c r="J96" s="8">
        <f>H96/E96</f>
        <v/>
      </c>
      <c r="K96" s="8" t="n">
        <v>8.93</v>
      </c>
      <c r="L96" s="8" t="n">
        <v>8.77</v>
      </c>
      <c r="M96" s="14">
        <f>J96/K96-1</f>
        <v/>
      </c>
      <c r="N96" s="7" t="inlineStr">
        <is>
          <t>ACIMA +0.2%</t>
        </is>
      </c>
      <c r="O96" s="7" t="inlineStr"/>
    </row>
    <row r="97">
      <c r="A97" s="7" t="n">
        <v>323981</v>
      </c>
      <c r="B97" s="7" t="inlineStr">
        <is>
          <t>3580</t>
        </is>
      </c>
      <c r="C97" s="12" t="inlineStr">
        <is>
          <t>7898060132600</t>
        </is>
      </c>
      <c r="D97" s="7" t="inlineStr">
        <is>
          <t>CLORIDRATO DE LOPERAMIDA 2MG CX 12 COMP</t>
        </is>
      </c>
      <c r="E97" s="13" t="n">
        <v>1</v>
      </c>
      <c r="F97" s="13" t="n">
        <v>19</v>
      </c>
      <c r="G97" s="13" t="n">
        <v>19</v>
      </c>
      <c r="H97" s="8" t="n">
        <v>2.08</v>
      </c>
      <c r="I97" s="8">
        <f>G97*H97</f>
        <v/>
      </c>
      <c r="J97" s="8">
        <f>H97/E97</f>
        <v/>
      </c>
      <c r="K97" s="8" t="n">
        <v>2.02</v>
      </c>
      <c r="L97" s="8" t="n">
        <v>2.02</v>
      </c>
      <c r="M97" s="14">
        <f>J97/K97-1</f>
        <v/>
      </c>
      <c r="N97" s="7" t="inlineStr">
        <is>
          <t>ACIMA +3.0%</t>
        </is>
      </c>
      <c r="O97" s="7" t="inlineStr"/>
    </row>
    <row r="98">
      <c r="A98" s="7" t="n">
        <v>511621</v>
      </c>
      <c r="B98" s="7" t="inlineStr">
        <is>
          <t>8223</t>
        </is>
      </c>
      <c r="C98" s="12" t="inlineStr">
        <is>
          <t>7897917005708</t>
        </is>
      </c>
      <c r="D98" s="7" t="inlineStr">
        <is>
          <t>CLORIDRATO DE METOCLOPRAMIDA 10MG CX 20 COMP</t>
        </is>
      </c>
      <c r="E98" s="13" t="n">
        <v>1</v>
      </c>
      <c r="F98" s="13" t="n">
        <v>1</v>
      </c>
      <c r="G98" s="13" t="n">
        <v>1</v>
      </c>
      <c r="H98" s="8" t="n">
        <v>3.2</v>
      </c>
      <c r="I98" s="8">
        <f>G98*H98</f>
        <v/>
      </c>
      <c r="J98" s="8">
        <f>H98/E98</f>
        <v/>
      </c>
      <c r="K98" s="8" t="n">
        <v>3.2</v>
      </c>
      <c r="L98" s="8" t="n">
        <v>3.2</v>
      </c>
      <c r="M98" s="14">
        <f>J98/K98-1</f>
        <v/>
      </c>
      <c r="N98" s="7" t="inlineStr">
        <is>
          <t>OK (≤ menor hist.)</t>
        </is>
      </c>
      <c r="O98" s="7" t="inlineStr"/>
    </row>
    <row r="99">
      <c r="A99" s="7" t="n">
        <v>171281</v>
      </c>
      <c r="B99" s="7" t="inlineStr">
        <is>
          <t>63</t>
        </is>
      </c>
      <c r="C99" s="12" t="inlineStr">
        <is>
          <t>7898216362431</t>
        </is>
      </c>
      <c r="D99" s="7" t="inlineStr">
        <is>
          <t>CLORIDRATO DE PROPANOLOL 40MG CX 30 COMP</t>
        </is>
      </c>
      <c r="E99" s="13" t="n">
        <v>1</v>
      </c>
      <c r="F99" s="13" t="n">
        <v>4</v>
      </c>
      <c r="G99" s="13" t="n">
        <v>4</v>
      </c>
      <c r="H99" s="8" t="n">
        <v>2.23</v>
      </c>
      <c r="I99" s="8">
        <f>G99*H99</f>
        <v/>
      </c>
      <c r="J99" s="8">
        <f>H99/E99</f>
        <v/>
      </c>
      <c r="K99" s="8" t="n">
        <v>2.12</v>
      </c>
      <c r="L99" s="8" t="n">
        <v>2.12</v>
      </c>
      <c r="M99" s="14">
        <f>J99/K99-1</f>
        <v/>
      </c>
      <c r="N99" s="7" t="inlineStr">
        <is>
          <t>ACIMA +5.2%</t>
        </is>
      </c>
      <c r="O99" s="7" t="inlineStr"/>
    </row>
    <row r="100">
      <c r="A100" s="7" t="n">
        <v>189601</v>
      </c>
      <c r="B100" s="7" t="inlineStr">
        <is>
          <t>9914</t>
        </is>
      </c>
      <c r="C100" s="12" t="inlineStr">
        <is>
          <t>7896422506427</t>
        </is>
      </c>
      <c r="D100" s="7" t="inlineStr">
        <is>
          <t>CLOTRIMAZOL 10MG CREM VAG BG 35G+6APLIC</t>
        </is>
      </c>
      <c r="E100" s="13" t="n">
        <v>1</v>
      </c>
      <c r="F100" s="13" t="n">
        <v>7</v>
      </c>
      <c r="G100" s="13" t="n">
        <v>7</v>
      </c>
      <c r="H100" s="8" t="n">
        <v>17.18</v>
      </c>
      <c r="I100" s="8">
        <f>G100*H100</f>
        <v/>
      </c>
      <c r="J100" s="8">
        <f>H100/E100</f>
        <v/>
      </c>
      <c r="K100" s="8" t="n">
        <v>15.376</v>
      </c>
      <c r="L100" s="8" t="n">
        <v>13.0614</v>
      </c>
      <c r="M100" s="14">
        <f>J100/K100-1</f>
        <v/>
      </c>
      <c r="N100" s="7" t="inlineStr">
        <is>
          <t>ACIMA +11.7%</t>
        </is>
      </c>
      <c r="O100" s="7" t="inlineStr"/>
    </row>
    <row r="101">
      <c r="A101" s="7" t="n">
        <v>189641</v>
      </c>
      <c r="B101" s="7" t="inlineStr">
        <is>
          <t>9898</t>
        </is>
      </c>
      <c r="C101" s="12" t="inlineStr">
        <is>
          <t>7896422506434</t>
        </is>
      </c>
      <c r="D101" s="7" t="inlineStr">
        <is>
          <t>CLOTRIMAZOL 20MG CREM VAG BG 20G+3APLIC</t>
        </is>
      </c>
      <c r="E101" s="13" t="n">
        <v>1</v>
      </c>
      <c r="F101" s="13" t="n">
        <v>7</v>
      </c>
      <c r="G101" s="13" t="n">
        <v>7</v>
      </c>
      <c r="H101" s="8" t="n">
        <v>17</v>
      </c>
      <c r="I101" s="8">
        <f>G101*H101</f>
        <v/>
      </c>
      <c r="J101" s="8">
        <f>H101/E101</f>
        <v/>
      </c>
      <c r="K101" s="8" t="n">
        <v>13.045</v>
      </c>
      <c r="L101" s="8" t="n">
        <v>13.045</v>
      </c>
      <c r="M101" s="14">
        <f>J101/K101-1</f>
        <v/>
      </c>
      <c r="N101" s="7" t="inlineStr">
        <is>
          <t>ACIMA +30.3%</t>
        </is>
      </c>
      <c r="O101" s="7" t="inlineStr"/>
    </row>
    <row r="102">
      <c r="A102" s="7" t="n">
        <v>189681</v>
      </c>
      <c r="B102" s="7" t="inlineStr">
        <is>
          <t>8235</t>
        </is>
      </c>
      <c r="C102" s="12" t="inlineStr">
        <is>
          <t>7896422504812</t>
        </is>
      </c>
      <c r="D102" s="7" t="inlineStr">
        <is>
          <t>CLOTRIMAZOL CREM DERM BG 20G</t>
        </is>
      </c>
      <c r="E102" s="13" t="n">
        <v>1</v>
      </c>
      <c r="F102" s="13" t="n">
        <v>6</v>
      </c>
      <c r="G102" s="13" t="n">
        <v>6</v>
      </c>
      <c r="H102" s="8" t="n">
        <v>5.44</v>
      </c>
      <c r="I102" s="8">
        <f>G102*H102</f>
        <v/>
      </c>
      <c r="J102" s="8">
        <f>H102/E102</f>
        <v/>
      </c>
      <c r="K102" s="8" t="n">
        <v>4.1567</v>
      </c>
      <c r="L102" s="8" t="n">
        <v>4.1567</v>
      </c>
      <c r="M102" s="14">
        <f>J102/K102-1</f>
        <v/>
      </c>
      <c r="N102" s="7" t="inlineStr">
        <is>
          <t>ACIMA +30.9%</t>
        </is>
      </c>
      <c r="O102" s="7" t="inlineStr"/>
    </row>
    <row r="103">
      <c r="A103" s="7" t="n">
        <v>570701</v>
      </c>
      <c r="B103" s="7" t="inlineStr">
        <is>
          <t>6994</t>
        </is>
      </c>
      <c r="C103" s="12" t="inlineStr">
        <is>
          <t>7898953484014</t>
        </is>
      </c>
      <c r="D103" s="7" t="inlineStr">
        <is>
          <t>COLETOR UNIV.BRANCO 80ML TAMPA VERDE</t>
        </is>
      </c>
      <c r="E103" s="13" t="n">
        <v>1</v>
      </c>
      <c r="F103" s="13" t="n">
        <v>113</v>
      </c>
      <c r="G103" s="13" t="n">
        <v>113</v>
      </c>
      <c r="H103" s="8" t="n">
        <v>0.6</v>
      </c>
      <c r="I103" s="8">
        <f>G103*H103</f>
        <v/>
      </c>
      <c r="J103" s="8">
        <f>H103/E103</f>
        <v/>
      </c>
      <c r="K103" s="8" t="n">
        <v>0.54</v>
      </c>
      <c r="L103" s="8" t="n">
        <v>0.54</v>
      </c>
      <c r="M103" s="14">
        <f>J103/K103-1</f>
        <v/>
      </c>
      <c r="N103" s="7" t="inlineStr">
        <is>
          <t>ACIMA +11.1%</t>
        </is>
      </c>
      <c r="O103" s="7" t="inlineStr"/>
    </row>
    <row r="104">
      <c r="A104" s="7" t="n">
        <v>661121</v>
      </c>
      <c r="B104" s="7" t="inlineStr">
        <is>
          <t>8069</t>
        </is>
      </c>
      <c r="C104" s="12" t="inlineStr">
        <is>
          <t>7897146650021</t>
        </is>
      </c>
      <c r="D104" s="7" t="inlineStr">
        <is>
          <t>COMPLEXO B C/100 CPR.</t>
        </is>
      </c>
      <c r="E104" s="13" t="n">
        <v>1</v>
      </c>
      <c r="F104" s="13" t="n">
        <v>1</v>
      </c>
      <c r="G104" s="13" t="n">
        <v>1</v>
      </c>
      <c r="H104" s="8" t="n">
        <v>7.97</v>
      </c>
      <c r="I104" s="8">
        <f>G104*H104</f>
        <v/>
      </c>
      <c r="J104" s="8">
        <f>H104/E104</f>
        <v/>
      </c>
      <c r="K104" s="8" t="n">
        <v>7.97</v>
      </c>
      <c r="L104" s="8" t="n">
        <v>7.97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608751</v>
      </c>
      <c r="B105" s="7" t="inlineStr">
        <is>
          <t>795</t>
        </is>
      </c>
      <c r="C105" s="12" t="inlineStr">
        <is>
          <t>7897146600200</t>
        </is>
      </c>
      <c r="D105" s="7" t="inlineStr">
        <is>
          <t>COMPLEXO B C/30 CPR</t>
        </is>
      </c>
      <c r="E105" s="13" t="n">
        <v>1</v>
      </c>
      <c r="F105" s="13" t="n">
        <v>1</v>
      </c>
      <c r="G105" s="13" t="n">
        <v>1</v>
      </c>
      <c r="H105" s="8" t="n">
        <v>3.38</v>
      </c>
      <c r="I105" s="8">
        <f>G105*H105</f>
        <v/>
      </c>
      <c r="J105" s="8">
        <f>H105/E105</f>
        <v/>
      </c>
      <c r="K105" s="8" t="n">
        <v>3.38</v>
      </c>
      <c r="L105" s="8" t="n">
        <v>3.38</v>
      </c>
      <c r="M105" s="14">
        <f>J105/K105-1</f>
        <v/>
      </c>
      <c r="N105" s="7" t="inlineStr">
        <is>
          <t>OK (≤ menor hist.)</t>
        </is>
      </c>
      <c r="O105" s="7" t="inlineStr"/>
    </row>
    <row r="106">
      <c r="A106" s="7" t="n">
        <v>602191</v>
      </c>
      <c r="B106" s="7" t="inlineStr">
        <is>
          <t>2195</t>
        </is>
      </c>
      <c r="C106" s="12" t="inlineStr">
        <is>
          <t>7898277713258</t>
        </is>
      </c>
      <c r="D106" s="7" t="inlineStr">
        <is>
          <t>COMPLEXO B C/50 COMP REV (ARTE NATIVA)</t>
        </is>
      </c>
      <c r="E106" s="13" t="n">
        <v>1</v>
      </c>
      <c r="F106" s="13" t="n">
        <v>5</v>
      </c>
      <c r="G106" s="13" t="n">
        <v>5</v>
      </c>
      <c r="H106" s="8" t="n">
        <v>5.82</v>
      </c>
      <c r="I106" s="8">
        <f>G106*H106</f>
        <v/>
      </c>
      <c r="J106" s="8">
        <f>H106/E106</f>
        <v/>
      </c>
      <c r="K106" s="8" t="n">
        <v>5.75</v>
      </c>
      <c r="L106" s="8" t="n">
        <v>5.75</v>
      </c>
      <c r="M106" s="14">
        <f>J106/K106-1</f>
        <v/>
      </c>
      <c r="N106" s="7" t="inlineStr">
        <is>
          <t>ACIMA +1.2%</t>
        </is>
      </c>
      <c r="O106" s="7" t="inlineStr"/>
    </row>
    <row r="107">
      <c r="A107" s="7" t="n">
        <v>592581</v>
      </c>
      <c r="B107" s="7" t="inlineStr">
        <is>
          <t>7632</t>
        </is>
      </c>
      <c r="C107" s="12" t="inlineStr">
        <is>
          <t>7897146600064</t>
        </is>
      </c>
      <c r="D107" s="7" t="inlineStr">
        <is>
          <t>COMPLEXO B C/50 CPR</t>
        </is>
      </c>
      <c r="E107" s="13" t="n">
        <v>1</v>
      </c>
      <c r="F107" s="13" t="n">
        <v>4</v>
      </c>
      <c r="G107" s="13" t="n">
        <v>4</v>
      </c>
      <c r="H107" s="8" t="n">
        <v>5</v>
      </c>
      <c r="I107" s="8">
        <f>G107*H107</f>
        <v/>
      </c>
      <c r="J107" s="8">
        <f>H107/E107</f>
        <v/>
      </c>
      <c r="K107" s="8" t="n">
        <v>5</v>
      </c>
      <c r="L107" s="8" t="n">
        <v>5</v>
      </c>
      <c r="M107" s="14">
        <f>J107/K107-1</f>
        <v/>
      </c>
      <c r="N107" s="7" t="inlineStr">
        <is>
          <t>OK (≤ menor hist.)</t>
        </is>
      </c>
      <c r="O107" s="7" t="inlineStr"/>
    </row>
    <row r="108">
      <c r="A108" s="7" t="n">
        <v>541341</v>
      </c>
      <c r="B108" s="7" t="inlineStr">
        <is>
          <t>5033</t>
        </is>
      </c>
      <c r="C108" s="12" t="inlineStr">
        <is>
          <t>7898964832156</t>
        </is>
      </c>
      <c r="D108" s="7" t="inlineStr">
        <is>
          <t>COMPLEXO B C/60COMP.</t>
        </is>
      </c>
      <c r="E108" s="13" t="n">
        <v>1</v>
      </c>
      <c r="F108" s="13" t="n">
        <v>10</v>
      </c>
      <c r="G108" s="13" t="n">
        <v>10</v>
      </c>
      <c r="H108" s="8" t="n">
        <v>5.24</v>
      </c>
      <c r="I108" s="8">
        <f>G108*H108</f>
        <v/>
      </c>
      <c r="J108" s="8">
        <f>H108/E108</f>
        <v/>
      </c>
      <c r="K108" s="8" t="n">
        <v>5.24</v>
      </c>
      <c r="L108" s="8" t="n">
        <v>5.13</v>
      </c>
      <c r="M108" s="14">
        <f>J108/K108-1</f>
        <v/>
      </c>
      <c r="N108" s="7" t="inlineStr">
        <is>
          <t>OK (≤ últ. compra)</t>
        </is>
      </c>
      <c r="O108" s="7" t="inlineStr"/>
    </row>
    <row r="109">
      <c r="A109" s="7" t="n">
        <v>581021</v>
      </c>
      <c r="B109" s="7" t="inlineStr">
        <is>
          <t>3494</t>
        </is>
      </c>
      <c r="C109" s="12" t="inlineStr">
        <is>
          <t>7898277713333</t>
        </is>
      </c>
      <c r="D109" s="7" t="inlineStr">
        <is>
          <t>COMPLEXO B SOL ORAL 100ML (POLIVITAMINAS</t>
        </is>
      </c>
      <c r="E109" s="13" t="n">
        <v>1</v>
      </c>
      <c r="F109" s="13" t="n">
        <v>3</v>
      </c>
      <c r="G109" s="13" t="n">
        <v>3</v>
      </c>
      <c r="H109" s="8" t="n">
        <v>3.9</v>
      </c>
      <c r="I109" s="8">
        <f>G109*H109</f>
        <v/>
      </c>
      <c r="J109" s="8">
        <f>H109/E109</f>
        <v/>
      </c>
      <c r="K109" s="8" t="n">
        <v>3.9</v>
      </c>
      <c r="L109" s="8" t="n">
        <v>3.9</v>
      </c>
      <c r="M109" s="14">
        <f>J109/K109-1</f>
        <v/>
      </c>
      <c r="N109" s="7" t="inlineStr">
        <is>
          <t>OK (≤ menor hist.)</t>
        </is>
      </c>
      <c r="O109" s="7" t="inlineStr"/>
    </row>
    <row r="110">
      <c r="A110" s="7" t="n">
        <v>556101</v>
      </c>
      <c r="B110" s="7" t="inlineStr">
        <is>
          <t>6037</t>
        </is>
      </c>
      <c r="C110" s="12" t="inlineStr">
        <is>
          <t>7898668060152</t>
        </is>
      </c>
      <c r="D110" s="7" t="inlineStr">
        <is>
          <t>COMPRESSA GAZE 11 FIOS C/10 UND LIVIA</t>
        </is>
      </c>
      <c r="E110" s="13" t="n">
        <v>1</v>
      </c>
      <c r="F110" s="13" t="n">
        <v>347</v>
      </c>
      <c r="G110" s="13" t="n">
        <v>347</v>
      </c>
      <c r="H110" s="8" t="n">
        <v>0.55</v>
      </c>
      <c r="I110" s="8">
        <f>G110*H110</f>
        <v/>
      </c>
      <c r="J110" s="8">
        <f>H110/E110</f>
        <v/>
      </c>
      <c r="K110" s="8" t="n">
        <v>0.55</v>
      </c>
      <c r="L110" s="8" t="n">
        <v>0.1</v>
      </c>
      <c r="M110" s="14">
        <f>J110/K110-1</f>
        <v/>
      </c>
      <c r="N110" s="7" t="inlineStr">
        <is>
          <t>OK (≤ últ. compra)</t>
        </is>
      </c>
      <c r="O110" s="7" t="inlineStr"/>
    </row>
    <row r="111">
      <c r="A111" s="7" t="n">
        <v>593361</v>
      </c>
      <c r="B111" s="7" t="inlineStr">
        <is>
          <t>5571</t>
        </is>
      </c>
      <c r="C111" s="12" t="inlineStr">
        <is>
          <t>7898933598168</t>
        </is>
      </c>
      <c r="D111" s="7" t="inlineStr">
        <is>
          <t>COMPRESSA GAZE 13 FIOS C/10 UN TEXPHARMA</t>
        </is>
      </c>
      <c r="E111" s="13" t="n">
        <v>1</v>
      </c>
      <c r="F111" s="13" t="n">
        <v>144</v>
      </c>
      <c r="G111" s="13" t="n">
        <v>144</v>
      </c>
      <c r="H111" s="8" t="n">
        <v>0.59</v>
      </c>
      <c r="I111" s="8">
        <f>G111*H111</f>
        <v/>
      </c>
      <c r="J111" s="8">
        <f>H111/E111</f>
        <v/>
      </c>
      <c r="K111" s="8" t="n">
        <v>0.1</v>
      </c>
      <c r="L111" s="8" t="n">
        <v>0.1</v>
      </c>
      <c r="M111" s="14">
        <f>J111/K111-1</f>
        <v/>
      </c>
      <c r="N111" s="7" t="inlineStr">
        <is>
          <t>ACIMA +490.0%</t>
        </is>
      </c>
      <c r="O111" s="7" t="inlineStr">
        <is>
          <t>conferir emb.</t>
        </is>
      </c>
    </row>
    <row r="112">
      <c r="A112" s="7" t="n">
        <v>538361</v>
      </c>
      <c r="B112" s="7" t="inlineStr">
        <is>
          <t>4382</t>
        </is>
      </c>
      <c r="C112" s="12" t="inlineStr">
        <is>
          <t>7898668060190</t>
        </is>
      </c>
      <c r="D112" s="7" t="inlineStr">
        <is>
          <t>COMPRESSA GAZE 13 FIOS C/10 UND LIVIA</t>
        </is>
      </c>
      <c r="E112" s="13" t="n">
        <v>1</v>
      </c>
      <c r="F112" s="13" t="n">
        <v>368</v>
      </c>
      <c r="G112" s="13" t="n">
        <v>368</v>
      </c>
      <c r="H112" s="8" t="n">
        <v>0.58</v>
      </c>
      <c r="I112" s="8">
        <f>G112*H112</f>
        <v/>
      </c>
      <c r="J112" s="8">
        <f>H112/E112</f>
        <v/>
      </c>
      <c r="K112" s="8" t="n">
        <v>0.58</v>
      </c>
      <c r="L112" s="8" t="n">
        <v>0.1</v>
      </c>
      <c r="M112" s="14">
        <f>J112/K112-1</f>
        <v/>
      </c>
      <c r="N112" s="7" t="inlineStr">
        <is>
          <t>OK (≤ últ. compra)</t>
        </is>
      </c>
      <c r="O112" s="7" t="inlineStr"/>
    </row>
    <row r="113">
      <c r="A113" s="7" t="n">
        <v>92041</v>
      </c>
      <c r="B113" s="7" t="inlineStr">
        <is>
          <t>1197</t>
        </is>
      </c>
      <c r="C113" s="12" t="inlineStr">
        <is>
          <t>7898100241279</t>
        </is>
      </c>
      <c r="D113" s="7" t="inlineStr">
        <is>
          <t>CONAZOL 20MG/G CREME BG 20G</t>
        </is>
      </c>
      <c r="E113" s="13" t="n">
        <v>1</v>
      </c>
      <c r="F113" s="13" t="n">
        <v>7</v>
      </c>
      <c r="G113" s="13" t="n">
        <v>7</v>
      </c>
      <c r="H113" s="8" t="n">
        <v>4.3</v>
      </c>
      <c r="I113" s="8">
        <f>G113*H113</f>
        <v/>
      </c>
      <c r="J113" s="8">
        <f>H113/E113</f>
        <v/>
      </c>
      <c r="K113" s="8" t="n">
        <v>3.69</v>
      </c>
      <c r="L113" s="8" t="n">
        <v>3.69</v>
      </c>
      <c r="M113" s="14">
        <f>J113/K113-1</f>
        <v/>
      </c>
      <c r="N113" s="7" t="inlineStr">
        <is>
          <t>ACIMA +16.5%</t>
        </is>
      </c>
      <c r="O113" s="7" t="inlineStr"/>
    </row>
    <row r="114">
      <c r="A114" s="7" t="n">
        <v>620061</v>
      </c>
      <c r="B114" s="7" t="inlineStr">
        <is>
          <t>9825</t>
        </is>
      </c>
      <c r="C114" s="12" t="inlineStr">
        <is>
          <t>7898136150446</t>
        </is>
      </c>
      <c r="D114" s="7" t="inlineStr">
        <is>
          <t>CURATIVO ADESIVO NATHY TRANSPARENTE 10UN</t>
        </is>
      </c>
      <c r="E114" s="13" t="n">
        <v>1</v>
      </c>
      <c r="F114" s="13" t="n">
        <v>2</v>
      </c>
      <c r="G114" s="13" t="n">
        <v>2</v>
      </c>
      <c r="H114" s="8" t="n">
        <v>1.42</v>
      </c>
      <c r="I114" s="8">
        <f>G114*H114</f>
        <v/>
      </c>
      <c r="J114" s="8">
        <f>H114/E114</f>
        <v/>
      </c>
      <c r="K114" s="8" t="n">
        <v>1.91</v>
      </c>
      <c r="L114" s="8" t="n">
        <v>1.91</v>
      </c>
      <c r="M114" s="14">
        <f>J114/K114-1</f>
        <v/>
      </c>
      <c r="N114" s="7" t="inlineStr">
        <is>
          <t>OK (≤ menor hist.)</t>
        </is>
      </c>
      <c r="O114" s="7" t="inlineStr"/>
    </row>
    <row r="115">
      <c r="A115" s="7" t="n">
        <v>630671</v>
      </c>
      <c r="B115" s="7" t="inlineStr">
        <is>
          <t>3472</t>
        </is>
      </c>
      <c r="C115" s="12" t="inlineStr">
        <is>
          <t>7898108640746</t>
        </is>
      </c>
      <c r="D115" s="7" t="inlineStr">
        <is>
          <t>CURATIVO CICATRISAN KURA DODOI CX 20 UND</t>
        </is>
      </c>
      <c r="E115" s="13" t="n">
        <v>1</v>
      </c>
      <c r="F115" s="13" t="n">
        <v>4</v>
      </c>
      <c r="G115" s="13" t="n">
        <v>4</v>
      </c>
      <c r="H115" s="8" t="n">
        <v>5.42</v>
      </c>
      <c r="I115" s="8">
        <f>G115*H115</f>
        <v/>
      </c>
      <c r="J115" s="8">
        <f>H115/E115</f>
        <v/>
      </c>
      <c r="K115" s="8" t="n">
        <v>5.42</v>
      </c>
      <c r="L115" s="8" t="n">
        <v>5.42</v>
      </c>
      <c r="M115" s="14">
        <f>J115/K115-1</f>
        <v/>
      </c>
      <c r="N115" s="7" t="inlineStr">
        <is>
          <t>OK (≤ menor hist.)</t>
        </is>
      </c>
      <c r="O115" s="7" t="inlineStr"/>
    </row>
    <row r="116">
      <c r="A116" s="7" t="n">
        <v>3243</v>
      </c>
      <c r="B116" s="7" t="inlineStr">
        <is>
          <t>3468</t>
        </is>
      </c>
      <c r="C116" s="12" t="inlineStr">
        <is>
          <t>7898108640791</t>
        </is>
      </c>
      <c r="D116" s="7" t="inlineStr">
        <is>
          <t>CURATIVO HIDROCOLOIDE SANCARE C/24 UND</t>
        </is>
      </c>
      <c r="E116" s="13" t="n">
        <v>1</v>
      </c>
      <c r="F116" s="13" t="n">
        <v>5</v>
      </c>
      <c r="G116" s="13" t="n">
        <v>5</v>
      </c>
      <c r="H116" s="8" t="n">
        <v>17.17</v>
      </c>
      <c r="I116" s="8">
        <f>G116*H116</f>
        <v/>
      </c>
      <c r="J116" s="8">
        <f>H116/E116</f>
        <v/>
      </c>
      <c r="K116" s="8" t="n">
        <v>14.93</v>
      </c>
      <c r="L116" s="8" t="n">
        <v>14.93</v>
      </c>
      <c r="M116" s="14">
        <f>J116/K116-1</f>
        <v/>
      </c>
      <c r="N116" s="7" t="inlineStr">
        <is>
          <t>ACIMA +15.0%</t>
        </is>
      </c>
      <c r="O116" s="7" t="inlineStr"/>
    </row>
    <row r="117">
      <c r="A117" s="7" t="n">
        <v>656461</v>
      </c>
      <c r="B117" s="7" t="inlineStr">
        <is>
          <t>9828</t>
        </is>
      </c>
      <c r="C117" s="12" t="inlineStr">
        <is>
          <t>7898136150620</t>
        </is>
      </c>
      <c r="D117" s="7" t="inlineStr">
        <is>
          <t>CURATIVO NATHY C/35UN BEGE</t>
        </is>
      </c>
      <c r="E117" s="13" t="n">
        <v>1</v>
      </c>
      <c r="F117" s="13" t="n">
        <v>22</v>
      </c>
      <c r="G117" s="13" t="n">
        <v>22</v>
      </c>
      <c r="H117" s="8" t="n">
        <v>3.25</v>
      </c>
      <c r="I117" s="8">
        <f>G117*H117</f>
        <v/>
      </c>
      <c r="J117" s="8">
        <f>H117/E117</f>
        <v/>
      </c>
      <c r="K117" s="8" t="n">
        <v>3.25</v>
      </c>
      <c r="L117" s="8" t="n">
        <v>3.25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666411</v>
      </c>
      <c r="B118" s="7" t="inlineStr">
        <is>
          <t>10130</t>
        </is>
      </c>
      <c r="C118" s="12" t="inlineStr">
        <is>
          <t>7896862994372</t>
        </is>
      </c>
      <c r="D118" s="7" t="inlineStr">
        <is>
          <t>DAPAGLIFLOZINA 10MG COM REV CX 30 COMP</t>
        </is>
      </c>
      <c r="E118" s="13" t="n">
        <v>1</v>
      </c>
      <c r="F118" s="13" t="n">
        <v>2</v>
      </c>
      <c r="G118" s="13" t="n">
        <v>2</v>
      </c>
      <c r="H118" s="8" t="n">
        <v>44.99</v>
      </c>
      <c r="I118" s="8">
        <f>G118*H118</f>
        <v/>
      </c>
      <c r="J118" s="8">
        <f>H118/E118</f>
        <v/>
      </c>
      <c r="K118" s="8" t="n">
        <v>48.25</v>
      </c>
      <c r="L118" s="8" t="n">
        <v>48.25</v>
      </c>
      <c r="M118" s="14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354681</v>
      </c>
      <c r="B119" s="7" t="inlineStr">
        <is>
          <t>1363</t>
        </is>
      </c>
      <c r="C119" s="12" t="inlineStr">
        <is>
          <t>7893736010220</t>
        </is>
      </c>
      <c r="D119" s="7" t="inlineStr">
        <is>
          <t>DERMOBAN 20MG CREME DERM BG 15G</t>
        </is>
      </c>
      <c r="E119" s="13" t="n">
        <v>1</v>
      </c>
      <c r="F119" s="13" t="n">
        <v>10</v>
      </c>
      <c r="G119" s="13" t="n">
        <v>10</v>
      </c>
      <c r="H119" s="8" t="n">
        <v>25.99</v>
      </c>
      <c r="I119" s="8">
        <f>G119*H119</f>
        <v/>
      </c>
      <c r="J119" s="8">
        <f>H119/E119</f>
        <v/>
      </c>
      <c r="K119" s="8" t="n">
        <v>32.99</v>
      </c>
      <c r="L119" s="8" t="n">
        <v>25.01</v>
      </c>
      <c r="M119" s="14">
        <f>J119/K119-1</f>
        <v/>
      </c>
      <c r="N119" s="7" t="inlineStr">
        <is>
          <t>OK (≤ últ. compra)</t>
        </is>
      </c>
      <c r="O119" s="7" t="inlineStr"/>
    </row>
    <row r="120">
      <c r="A120" s="7" t="n">
        <v>821</v>
      </c>
      <c r="B120" s="7" t="inlineStr">
        <is>
          <t>380</t>
        </is>
      </c>
      <c r="C120" s="12" t="inlineStr">
        <is>
          <t>7893454100661</t>
        </is>
      </c>
      <c r="D120" s="7" t="inlineStr">
        <is>
          <t>DERMOSALIC 30G POM BG</t>
        </is>
      </c>
      <c r="E120" s="13" t="n">
        <v>1</v>
      </c>
      <c r="F120" s="13" t="n">
        <v>14</v>
      </c>
      <c r="G120" s="13" t="n">
        <v>14</v>
      </c>
      <c r="H120" s="8" t="n">
        <v>10.76</v>
      </c>
      <c r="I120" s="8">
        <f>G120*H120</f>
        <v/>
      </c>
      <c r="J120" s="8">
        <f>H120/E120</f>
        <v/>
      </c>
      <c r="K120" s="8" t="n">
        <v>10.36</v>
      </c>
      <c r="L120" s="8" t="n">
        <v>10.36</v>
      </c>
      <c r="M120" s="14">
        <f>J120/K120-1</f>
        <v/>
      </c>
      <c r="N120" s="7" t="inlineStr">
        <is>
          <t>ACIMA +3.9%</t>
        </is>
      </c>
      <c r="O120" s="7" t="inlineStr"/>
    </row>
    <row r="121">
      <c r="A121" s="7" t="n">
        <v>691501</v>
      </c>
      <c r="B121" s="7" t="inlineStr">
        <is>
          <t>6114</t>
        </is>
      </c>
      <c r="C121" s="12" t="inlineStr">
        <is>
          <t>7898593050716</t>
        </is>
      </c>
      <c r="D121" s="7" t="inlineStr">
        <is>
          <t>DERMUP COLAGENO VERISOL C/90 CPS</t>
        </is>
      </c>
      <c r="E121" s="13" t="n">
        <v>1</v>
      </c>
      <c r="F121" s="13" t="n">
        <v>1</v>
      </c>
      <c r="G121" s="13" t="n">
        <v>1</v>
      </c>
      <c r="H121" s="8" t="n">
        <v>42.53</v>
      </c>
      <c r="I121" s="8">
        <f>G121*H121</f>
        <v/>
      </c>
      <c r="J121" s="8">
        <f>H121/E121</f>
        <v/>
      </c>
      <c r="K121" s="8" t="n">
        <v>41.85</v>
      </c>
      <c r="L121" s="8" t="n">
        <v>41.85</v>
      </c>
      <c r="M121" s="14">
        <f>J121/K121-1</f>
        <v/>
      </c>
      <c r="N121" s="7" t="inlineStr">
        <is>
          <t>ACIMA +1.6%</t>
        </is>
      </c>
      <c r="O121" s="7" t="inlineStr"/>
    </row>
    <row r="122">
      <c r="A122" s="7" t="n">
        <v>573701</v>
      </c>
      <c r="B122" s="7" t="inlineStr">
        <is>
          <t>5772</t>
        </is>
      </c>
      <c r="C122" s="12" t="inlineStr">
        <is>
          <t>7898582290178</t>
        </is>
      </c>
      <c r="D122" s="7" t="inlineStr">
        <is>
          <t>DERSOL LOCAO OLEOSA 200ML</t>
        </is>
      </c>
      <c r="E122" s="13" t="n">
        <v>1</v>
      </c>
      <c r="F122" s="13" t="n">
        <v>5</v>
      </c>
      <c r="G122" s="13" t="n">
        <v>5</v>
      </c>
      <c r="H122" s="8" t="n">
        <v>11.41</v>
      </c>
      <c r="I122" s="8">
        <f>G122*H122</f>
        <v/>
      </c>
      <c r="J122" s="8">
        <f>H122/E122</f>
        <v/>
      </c>
      <c r="K122" s="8" t="n">
        <v>10.99</v>
      </c>
      <c r="L122" s="8" t="n">
        <v>10.99</v>
      </c>
      <c r="M122" s="14">
        <f>J122/K122-1</f>
        <v/>
      </c>
      <c r="N122" s="7" t="inlineStr">
        <is>
          <t>ACIMA +3.8%</t>
        </is>
      </c>
      <c r="O122" s="7" t="inlineStr"/>
    </row>
    <row r="123">
      <c r="A123" s="7" t="n">
        <v>668951</v>
      </c>
      <c r="B123" s="7" t="inlineStr">
        <is>
          <t>2447</t>
        </is>
      </c>
      <c r="C123" s="12" t="inlineStr">
        <is>
          <t>7896472520299</t>
        </is>
      </c>
      <c r="D123" s="7" t="inlineStr">
        <is>
          <t>DESLORATADINA 5MG CX 10 COMP REV</t>
        </is>
      </c>
      <c r="E123" s="13" t="n">
        <v>1</v>
      </c>
      <c r="F123" s="13" t="n">
        <v>25</v>
      </c>
      <c r="G123" s="13" t="n">
        <v>25</v>
      </c>
      <c r="H123" s="8" t="n">
        <v>4.83</v>
      </c>
      <c r="I123" s="8">
        <f>G123*H123</f>
        <v/>
      </c>
      <c r="J123" s="8">
        <f>H123/E123</f>
        <v/>
      </c>
      <c r="K123" s="8" t="n">
        <v>6.11</v>
      </c>
      <c r="L123" s="8" t="n">
        <v>5.7026</v>
      </c>
      <c r="M123" s="14">
        <f>J123/K123-1</f>
        <v/>
      </c>
      <c r="N123" s="7" t="inlineStr">
        <is>
          <t>OK (≤ menor hist.)</t>
        </is>
      </c>
      <c r="O123" s="7" t="inlineStr"/>
    </row>
    <row r="124">
      <c r="A124" s="7" t="n">
        <v>490121</v>
      </c>
      <c r="B124" s="7" t="inlineStr">
        <is>
          <t>5588</t>
        </is>
      </c>
      <c r="C124" s="12" t="inlineStr">
        <is>
          <t>7897917004008</t>
        </is>
      </c>
      <c r="D124" s="7" t="inlineStr">
        <is>
          <t>DICLOFENACO SODICO 50MG CX 20 COMP REV</t>
        </is>
      </c>
      <c r="E124" s="13" t="n">
        <v>1</v>
      </c>
      <c r="F124" s="13" t="n">
        <v>4</v>
      </c>
      <c r="G124" s="13" t="n">
        <v>4</v>
      </c>
      <c r="H124" s="8" t="n">
        <v>1.65</v>
      </c>
      <c r="I124" s="8">
        <f>G124*H124</f>
        <v/>
      </c>
      <c r="J124" s="8">
        <f>H124/E124</f>
        <v/>
      </c>
      <c r="K124" s="8" t="n">
        <v>1.65</v>
      </c>
      <c r="L124" s="8" t="n">
        <v>1.65</v>
      </c>
      <c r="M124" s="14">
        <f>J124/K124-1</f>
        <v/>
      </c>
      <c r="N124" s="7" t="inlineStr">
        <is>
          <t>OK (≤ menor hist.)</t>
        </is>
      </c>
      <c r="O124" s="7" t="inlineStr"/>
    </row>
    <row r="125">
      <c r="A125" s="7" t="n">
        <v>214</v>
      </c>
      <c r="B125" s="7" t="inlineStr">
        <is>
          <t>8507</t>
        </is>
      </c>
      <c r="C125" s="12" t="inlineStr">
        <is>
          <t>7898216367016</t>
        </is>
      </c>
      <c r="D125" s="7" t="inlineStr">
        <is>
          <t>DICLORIDRATO DE LEVOCETIRIZINA</t>
        </is>
      </c>
      <c r="E125" s="13" t="n">
        <v>1</v>
      </c>
      <c r="F125" s="13" t="n">
        <v>6</v>
      </c>
      <c r="G125" s="13" t="n">
        <v>6</v>
      </c>
      <c r="H125" s="8" t="n">
        <v>9.17</v>
      </c>
      <c r="I125" s="8">
        <f>G125*H125</f>
        <v/>
      </c>
      <c r="J125" s="8">
        <f>H125/E125</f>
        <v/>
      </c>
      <c r="K125" s="8" t="n">
        <v>8.48</v>
      </c>
      <c r="L125" s="8" t="n">
        <v>8.48</v>
      </c>
      <c r="M125" s="14">
        <f>J125/K125-1</f>
        <v/>
      </c>
      <c r="N125" s="7" t="inlineStr">
        <is>
          <t>ACIMA +8.1%</t>
        </is>
      </c>
      <c r="O125" s="7" t="inlineStr"/>
    </row>
    <row r="126">
      <c r="A126" s="7" t="n">
        <v>222121</v>
      </c>
      <c r="B126" s="7" t="inlineStr">
        <is>
          <t>1032</t>
        </is>
      </c>
      <c r="C126" s="12" t="inlineStr">
        <is>
          <t>7898166041004</t>
        </is>
      </c>
      <c r="D126" s="7" t="inlineStr">
        <is>
          <t>DIPIFARMA 500 MG/ML SOL INJ CX 100 AMP VD AMB X 2 ML (EMB HOSP)</t>
        </is>
      </c>
      <c r="E126" s="13" t="n">
        <v>1</v>
      </c>
      <c r="F126" s="13" t="n">
        <v>1</v>
      </c>
      <c r="G126" s="13" t="n">
        <v>1</v>
      </c>
      <c r="H126" s="8" t="n">
        <v>81</v>
      </c>
      <c r="I126" s="8">
        <f>G126*H126</f>
        <v/>
      </c>
      <c r="J126" s="8">
        <f>H126/E126</f>
        <v/>
      </c>
      <c r="K126" s="8" t="n">
        <v>2.56</v>
      </c>
      <c r="L126" s="8" t="n">
        <v>2.56</v>
      </c>
      <c r="M126" s="14">
        <f>J126/K126-1</f>
        <v/>
      </c>
      <c r="N126" s="7" t="inlineStr">
        <is>
          <t>ACIMA +3064.1%</t>
        </is>
      </c>
      <c r="O126" s="7" t="inlineStr">
        <is>
          <t>conferir emb.</t>
        </is>
      </c>
    </row>
    <row r="127">
      <c r="A127" s="7" t="n">
        <v>558021</v>
      </c>
      <c r="B127" s="7" t="inlineStr">
        <is>
          <t>3021</t>
        </is>
      </c>
      <c r="C127" s="12" t="inlineStr">
        <is>
          <t>00742832304719</t>
        </is>
      </c>
      <c r="D127" s="7" t="inlineStr">
        <is>
          <t>DIPIRONA 500MG CT 10CP</t>
        </is>
      </c>
      <c r="E127" s="13" t="n">
        <v>1</v>
      </c>
      <c r="F127" s="13" t="n">
        <v>1</v>
      </c>
      <c r="G127" s="13" t="n">
        <v>1</v>
      </c>
      <c r="H127" s="8" t="n">
        <v>17.91</v>
      </c>
      <c r="I127" s="8">
        <f>G127*H127</f>
        <v/>
      </c>
      <c r="J127" s="8">
        <f>H127/E127</f>
        <v/>
      </c>
      <c r="K127" s="8" t="n"/>
      <c r="L127" s="8" t="n"/>
      <c r="M127" s="14" t="n"/>
      <c r="N127" s="7" t="inlineStr">
        <is>
          <t>SEM HISTÓRICO</t>
        </is>
      </c>
      <c r="O127" s="7" t="inlineStr"/>
    </row>
    <row r="128">
      <c r="A128" s="7" t="n">
        <v>526021</v>
      </c>
      <c r="B128" s="7" t="inlineStr">
        <is>
          <t>8168</t>
        </is>
      </c>
      <c r="C128" s="12" t="inlineStr">
        <is>
          <t>7896523201054</t>
        </is>
      </c>
      <c r="D128" s="7" t="inlineStr">
        <is>
          <t>DOMPERIDONA 10MG CX 30 COMP</t>
        </is>
      </c>
      <c r="E128" s="13" t="n">
        <v>1</v>
      </c>
      <c r="F128" s="13" t="n">
        <v>23</v>
      </c>
      <c r="G128" s="13" t="n">
        <v>23</v>
      </c>
      <c r="H128" s="8" t="n">
        <v>3.23</v>
      </c>
      <c r="I128" s="8">
        <f>G128*H128</f>
        <v/>
      </c>
      <c r="J128" s="8">
        <f>H128/E128</f>
        <v/>
      </c>
      <c r="K128" s="8" t="n">
        <v>2.28</v>
      </c>
      <c r="L128" s="8" t="n">
        <v>2.19</v>
      </c>
      <c r="M128" s="14">
        <f>J128/K128-1</f>
        <v/>
      </c>
      <c r="N128" s="7" t="inlineStr">
        <is>
          <t>ACIMA +41.7%</t>
        </is>
      </c>
      <c r="O128" s="7" t="inlineStr"/>
    </row>
    <row r="129">
      <c r="A129" s="7" t="n">
        <v>13361</v>
      </c>
      <c r="B129" s="7" t="inlineStr">
        <is>
          <t>4788</t>
        </is>
      </c>
      <c r="C129" s="12" t="inlineStr">
        <is>
          <t>7898179710065</t>
        </is>
      </c>
      <c r="D129" s="7" t="inlineStr">
        <is>
          <t>DORMEC 100 MG C/10 (CARTELA)</t>
        </is>
      </c>
      <c r="E129" s="13" t="n">
        <v>20</v>
      </c>
      <c r="F129" s="13" t="n">
        <v>21</v>
      </c>
      <c r="G129" s="13" t="n">
        <v>2</v>
      </c>
      <c r="H129" s="8" t="n">
        <v>12.12</v>
      </c>
      <c r="I129" s="8">
        <f>G129*H129</f>
        <v/>
      </c>
      <c r="J129" s="8">
        <f>H129/E129</f>
        <v/>
      </c>
      <c r="K129" s="8" t="n">
        <v>0.5885</v>
      </c>
      <c r="L129" s="8" t="n">
        <v>0.5855</v>
      </c>
      <c r="M129" s="14">
        <f>J129/K129-1</f>
        <v/>
      </c>
      <c r="N129" s="7" t="inlineStr">
        <is>
          <t>ACIMA +3.0%</t>
        </is>
      </c>
      <c r="O129" s="7" t="inlineStr">
        <is>
          <t>1 emb = 20 un</t>
        </is>
      </c>
    </row>
    <row r="130">
      <c r="A130" s="7" t="n">
        <v>393461</v>
      </c>
      <c r="B130" s="7" t="inlineStr">
        <is>
          <t>270</t>
        </is>
      </c>
      <c r="C130" s="12" t="inlineStr">
        <is>
          <t>7896023701436</t>
        </is>
      </c>
      <c r="D130" s="7" t="inlineStr">
        <is>
          <t>ELIXIR PAREGORICO 0,05ML/ML SOL OR FR GOT 30ML</t>
        </is>
      </c>
      <c r="E130" s="13" t="n">
        <v>1</v>
      </c>
      <c r="F130" s="13" t="n">
        <v>13</v>
      </c>
      <c r="G130" s="13" t="n">
        <v>13</v>
      </c>
      <c r="H130" s="8" t="n">
        <v>10.65</v>
      </c>
      <c r="I130" s="8">
        <f>G130*H130</f>
        <v/>
      </c>
      <c r="J130" s="8">
        <f>H130/E130</f>
        <v/>
      </c>
      <c r="K130" s="8" t="n">
        <v>10.65</v>
      </c>
      <c r="L130" s="8" t="n">
        <v>10.65</v>
      </c>
      <c r="M130" s="14">
        <f>J130/K130-1</f>
        <v/>
      </c>
      <c r="N130" s="7" t="inlineStr">
        <is>
          <t>OK (≤ menor hist.)</t>
        </is>
      </c>
      <c r="O130" s="7" t="inlineStr"/>
    </row>
    <row r="131">
      <c r="A131" s="7" t="n">
        <v>604941</v>
      </c>
      <c r="B131" s="7" t="inlineStr">
        <is>
          <t>6901</t>
        </is>
      </c>
      <c r="C131" s="12" t="inlineStr">
        <is>
          <t>7898687731996</t>
        </is>
      </c>
      <c r="D131" s="7" t="inlineStr">
        <is>
          <t>EQUALIV MELATONINA 0,21MG X120</t>
        </is>
      </c>
      <c r="E131" s="13" t="n">
        <v>1</v>
      </c>
      <c r="F131" s="13" t="n">
        <v>1</v>
      </c>
      <c r="G131" s="13" t="n">
        <v>1</v>
      </c>
      <c r="H131" s="8" t="n">
        <v>23.73</v>
      </c>
      <c r="I131" s="8">
        <f>G131*H131</f>
        <v/>
      </c>
      <c r="J131" s="8">
        <f>H131/E131</f>
        <v/>
      </c>
      <c r="K131" s="8" t="n">
        <v>18.9925</v>
      </c>
      <c r="L131" s="8" t="n">
        <v>18.9925</v>
      </c>
      <c r="M131" s="14">
        <f>J131/K131-1</f>
        <v/>
      </c>
      <c r="N131" s="7" t="inlineStr">
        <is>
          <t>ACIMA +24.9%</t>
        </is>
      </c>
      <c r="O131" s="7" t="inlineStr"/>
    </row>
    <row r="132">
      <c r="A132" s="7" t="n">
        <v>611991</v>
      </c>
      <c r="B132" s="7" t="inlineStr">
        <is>
          <t>6875</t>
        </is>
      </c>
      <c r="C132" s="12" t="inlineStr">
        <is>
          <t>7898157722707</t>
        </is>
      </c>
      <c r="D132" s="7" t="inlineStr">
        <is>
          <t>EQUIPO MACROGOTAS MOD L2 - M25</t>
        </is>
      </c>
      <c r="E132" s="13" t="n">
        <v>1</v>
      </c>
      <c r="F132" s="13" t="n">
        <v>5</v>
      </c>
      <c r="G132" s="13" t="n">
        <v>5</v>
      </c>
      <c r="H132" s="8" t="n">
        <v>0.9</v>
      </c>
      <c r="I132" s="8">
        <f>G132*H132</f>
        <v/>
      </c>
      <c r="J132" s="8">
        <f>H132/E132</f>
        <v/>
      </c>
      <c r="K132" s="8" t="n">
        <v>1.49</v>
      </c>
      <c r="L132" s="8" t="n">
        <v>1.49</v>
      </c>
      <c r="M132" s="14">
        <f>J132/K132-1</f>
        <v/>
      </c>
      <c r="N132" s="7" t="inlineStr">
        <is>
          <t>OK (≤ menor hist.)</t>
        </is>
      </c>
      <c r="O132" s="7" t="inlineStr"/>
    </row>
    <row r="133">
      <c r="A133" s="7" t="n">
        <v>234861</v>
      </c>
      <c r="B133" s="7" t="inlineStr">
        <is>
          <t>406</t>
        </is>
      </c>
      <c r="C133" s="12" t="inlineStr">
        <is>
          <t>7895296128124</t>
        </is>
      </c>
      <c r="D133" s="7" t="inlineStr">
        <is>
          <t>ESOP 20MG CX 28 COMP REV</t>
        </is>
      </c>
      <c r="E133" s="13" t="n">
        <v>1</v>
      </c>
      <c r="F133" s="13" t="n">
        <v>1</v>
      </c>
      <c r="G133" s="13" t="n">
        <v>1</v>
      </c>
      <c r="H133" s="8" t="n">
        <v>24.96</v>
      </c>
      <c r="I133" s="8">
        <f>G133*H133</f>
        <v/>
      </c>
      <c r="J133" s="8">
        <f>H133/E133</f>
        <v/>
      </c>
      <c r="K133" s="8" t="n">
        <v>21.71</v>
      </c>
      <c r="L133" s="8" t="n">
        <v>21.71</v>
      </c>
      <c r="M133" s="14">
        <f>J133/K133-1</f>
        <v/>
      </c>
      <c r="N133" s="7" t="inlineStr">
        <is>
          <t>ACIMA +15.0%</t>
        </is>
      </c>
      <c r="O133" s="7" t="inlineStr"/>
    </row>
    <row r="134">
      <c r="A134" s="7" t="n">
        <v>234881</v>
      </c>
      <c r="B134" s="7" t="inlineStr">
        <is>
          <t>1127</t>
        </is>
      </c>
      <c r="C134" s="12" t="inlineStr">
        <is>
          <t>7895296128162</t>
        </is>
      </c>
      <c r="D134" s="7" t="inlineStr">
        <is>
          <t>ESOP 40MG CX 28 COMP REV</t>
        </is>
      </c>
      <c r="E134" s="13" t="n">
        <v>1</v>
      </c>
      <c r="F134" s="13" t="n">
        <v>1</v>
      </c>
      <c r="G134" s="13" t="n">
        <v>1</v>
      </c>
      <c r="H134" s="8" t="n">
        <v>43.2</v>
      </c>
      <c r="I134" s="8">
        <f>G134*H134</f>
        <v/>
      </c>
      <c r="J134" s="8">
        <f>H134/E134</f>
        <v/>
      </c>
      <c r="K134" s="8" t="n">
        <v>41.75</v>
      </c>
      <c r="L134" s="8" t="n">
        <v>41.75</v>
      </c>
      <c r="M134" s="14">
        <f>J134/K134-1</f>
        <v/>
      </c>
      <c r="N134" s="7" t="inlineStr">
        <is>
          <t>ACIMA +3.5%</t>
        </is>
      </c>
      <c r="O134" s="7" t="inlineStr"/>
    </row>
    <row r="135">
      <c r="A135" s="7" t="n">
        <v>613791</v>
      </c>
      <c r="B135" s="7" t="inlineStr">
        <is>
          <t>232</t>
        </is>
      </c>
      <c r="C135" s="12" t="inlineStr">
        <is>
          <t>7896544900073</t>
        </is>
      </c>
      <c r="D135" s="7" t="inlineStr">
        <is>
          <t>ESPARAD IMP MISSNER 1,2CMX4,5M</t>
        </is>
      </c>
      <c r="E135" s="13" t="n">
        <v>1</v>
      </c>
      <c r="F135" s="13" t="n">
        <v>2</v>
      </c>
      <c r="G135" s="13" t="n">
        <v>2</v>
      </c>
      <c r="H135" s="8" t="n">
        <v>2.83</v>
      </c>
      <c r="I135" s="8">
        <f>G135*H135</f>
        <v/>
      </c>
      <c r="J135" s="8">
        <f>H135/E135</f>
        <v/>
      </c>
      <c r="K135" s="8" t="n">
        <v>2.83</v>
      </c>
      <c r="L135" s="8" t="n">
        <v>2.83</v>
      </c>
      <c r="M135" s="14">
        <f>J135/K135-1</f>
        <v/>
      </c>
      <c r="N135" s="7" t="inlineStr">
        <is>
          <t>OK (≤ menor hist.)</t>
        </is>
      </c>
      <c r="O135" s="7" t="inlineStr"/>
    </row>
    <row r="136">
      <c r="A136" s="7" t="n">
        <v>540961</v>
      </c>
      <c r="B136" s="7" t="inlineStr">
        <is>
          <t>229</t>
        </is>
      </c>
      <c r="C136" s="12" t="inlineStr">
        <is>
          <t>7896544910102</t>
        </is>
      </c>
      <c r="D136" s="7" t="inlineStr">
        <is>
          <t>ESPARADRAPO BRANCO 10 X 4,5</t>
        </is>
      </c>
      <c r="E136" s="13" t="n">
        <v>1</v>
      </c>
      <c r="F136" s="13" t="n">
        <v>13</v>
      </c>
      <c r="G136" s="13" t="n">
        <v>13</v>
      </c>
      <c r="H136" s="8" t="n">
        <v>12.33</v>
      </c>
      <c r="I136" s="8">
        <f>G136*H136</f>
        <v/>
      </c>
      <c r="J136" s="8">
        <f>H136/E136</f>
        <v/>
      </c>
      <c r="K136" s="8" t="n">
        <v>12.32</v>
      </c>
      <c r="L136" s="8" t="n">
        <v>12.32</v>
      </c>
      <c r="M136" s="14">
        <f>J136/K136-1</f>
        <v/>
      </c>
      <c r="N136" s="7" t="inlineStr">
        <is>
          <t>ACIMA +0.1%</t>
        </is>
      </c>
      <c r="O136" s="7" t="inlineStr"/>
    </row>
    <row r="137">
      <c r="A137" s="7" t="n">
        <v>541301</v>
      </c>
      <c r="B137" s="7" t="inlineStr">
        <is>
          <t>231</t>
        </is>
      </c>
      <c r="C137" s="12" t="inlineStr">
        <is>
          <t>7896544925014</t>
        </is>
      </c>
      <c r="D137" s="7" t="inlineStr">
        <is>
          <t>ESPARADRAPO IMP BRANCO 2,5CM X 0,90MTS UND QTD. 14.00 UN</t>
        </is>
      </c>
      <c r="E137" s="13" t="n">
        <v>1</v>
      </c>
      <c r="F137" s="13" t="n">
        <v>17</v>
      </c>
      <c r="G137" s="13" t="n">
        <v>17</v>
      </c>
      <c r="H137" s="8" t="n">
        <v>2.15</v>
      </c>
      <c r="I137" s="8">
        <f>G137*H137</f>
        <v/>
      </c>
      <c r="J137" s="8">
        <f>H137/E137</f>
        <v/>
      </c>
      <c r="K137" s="8" t="n">
        <v>2.15</v>
      </c>
      <c r="L137" s="8" t="n">
        <v>2.15</v>
      </c>
      <c r="M137" s="14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541421</v>
      </c>
      <c r="B138" s="7" t="inlineStr">
        <is>
          <t>230</t>
        </is>
      </c>
      <c r="C138" s="12" t="inlineStr">
        <is>
          <t>7896544925458</t>
        </is>
      </c>
      <c r="D138" s="7" t="inlineStr">
        <is>
          <t>ESPARADRAPO IMP BRANCO 2,5CM X 4,5MTS UND QTD. 10.00 UN</t>
        </is>
      </c>
      <c r="E138" s="13" t="n">
        <v>1</v>
      </c>
      <c r="F138" s="13" t="n">
        <v>41</v>
      </c>
      <c r="G138" s="13" t="n">
        <v>41</v>
      </c>
      <c r="H138" s="8" t="n">
        <v>3.71</v>
      </c>
      <c r="I138" s="8">
        <f>G138*H138</f>
        <v/>
      </c>
      <c r="J138" s="8">
        <f>H138/E138</f>
        <v/>
      </c>
      <c r="K138" s="8" t="n">
        <v>3.71</v>
      </c>
      <c r="L138" s="8" t="n">
        <v>3.71</v>
      </c>
      <c r="M138" s="14">
        <f>J138/K138-1</f>
        <v/>
      </c>
      <c r="N138" s="7" t="inlineStr">
        <is>
          <t>OK (≤ menor hist.)</t>
        </is>
      </c>
      <c r="O138" s="7" t="inlineStr"/>
    </row>
    <row r="139">
      <c r="A139" s="7" t="n">
        <v>552501</v>
      </c>
      <c r="B139" s="7" t="inlineStr">
        <is>
          <t>1049</t>
        </is>
      </c>
      <c r="C139" s="12" t="inlineStr">
        <is>
          <t>7896544910058</t>
        </is>
      </c>
      <c r="D139" s="7" t="inlineStr">
        <is>
          <t>ESPARADRAPO IMPERM. BRANCO 5CMX4,5M</t>
        </is>
      </c>
      <c r="E139" s="13" t="n">
        <v>1</v>
      </c>
      <c r="F139" s="13" t="n">
        <v>14</v>
      </c>
      <c r="G139" s="13" t="n">
        <v>14</v>
      </c>
      <c r="H139" s="8" t="n">
        <v>5.98</v>
      </c>
      <c r="I139" s="8">
        <f>G139*H139</f>
        <v/>
      </c>
      <c r="J139" s="8">
        <f>H139/E139</f>
        <v/>
      </c>
      <c r="K139" s="8" t="n">
        <v>5.98</v>
      </c>
      <c r="L139" s="8" t="n">
        <v>5.97</v>
      </c>
      <c r="M139" s="14">
        <f>J139/K139-1</f>
        <v/>
      </c>
      <c r="N139" s="7" t="inlineStr">
        <is>
          <t>OK (≤ últ. compra)</t>
        </is>
      </c>
      <c r="O139" s="7" t="inlineStr"/>
    </row>
    <row r="140">
      <c r="A140" s="7" t="n">
        <v>631171</v>
      </c>
      <c r="B140" s="7" t="inlineStr">
        <is>
          <t>8601</t>
        </is>
      </c>
      <c r="C140" s="12" t="inlineStr">
        <is>
          <t>7898687733990</t>
        </is>
      </c>
      <c r="D140" s="7" t="inlineStr">
        <is>
          <t>ETODOLACO 500MG CX 14 COMP REV</t>
        </is>
      </c>
      <c r="E140" s="13" t="n">
        <v>1</v>
      </c>
      <c r="F140" s="13" t="n">
        <v>13</v>
      </c>
      <c r="G140" s="13" t="n">
        <v>13</v>
      </c>
      <c r="H140" s="8" t="n">
        <v>19.83</v>
      </c>
      <c r="I140" s="8">
        <f>G140*H140</f>
        <v/>
      </c>
      <c r="J140" s="8">
        <f>H140/E140</f>
        <v/>
      </c>
      <c r="K140" s="8" t="n">
        <v>16.3492</v>
      </c>
      <c r="L140" s="8" t="n">
        <v>16.3492</v>
      </c>
      <c r="M140" s="14">
        <f>J140/K140-1</f>
        <v/>
      </c>
      <c r="N140" s="7" t="inlineStr">
        <is>
          <t>ACIMA +21.3%</t>
        </is>
      </c>
      <c r="O140" s="7" t="inlineStr"/>
    </row>
    <row r="141">
      <c r="A141" s="7" t="n">
        <v>607431</v>
      </c>
      <c r="B141" s="7" t="inlineStr">
        <is>
          <t>9066</t>
        </is>
      </c>
      <c r="C141" s="12" t="inlineStr">
        <is>
          <t>7897732607897</t>
        </is>
      </c>
      <c r="D141" s="7" t="inlineStr">
        <is>
          <t>EXTRATO DE PROPOLIS VERDE 30ML</t>
        </is>
      </c>
      <c r="E141" s="13" t="n">
        <v>1</v>
      </c>
      <c r="F141" s="13" t="n">
        <v>6</v>
      </c>
      <c r="G141" s="13" t="n">
        <v>6</v>
      </c>
      <c r="H141" s="8" t="n">
        <v>9.76</v>
      </c>
      <c r="I141" s="8">
        <f>G141*H141</f>
        <v/>
      </c>
      <c r="J141" s="8">
        <f>H141/E141</f>
        <v/>
      </c>
      <c r="K141" s="8" t="n">
        <v>9.51</v>
      </c>
      <c r="L141" s="8" t="n">
        <v>9.51</v>
      </c>
      <c r="M141" s="14">
        <f>J141/K141-1</f>
        <v/>
      </c>
      <c r="N141" s="7" t="inlineStr">
        <is>
          <t>ACIMA +2.6%</t>
        </is>
      </c>
      <c r="O141" s="7" t="inlineStr"/>
    </row>
    <row r="142">
      <c r="A142" s="7" t="n">
        <v>243061</v>
      </c>
      <c r="B142" s="7" t="inlineStr">
        <is>
          <t>3308</t>
        </is>
      </c>
      <c r="C142" s="12" t="inlineStr">
        <is>
          <t>7898569762674</t>
        </is>
      </c>
      <c r="D142" s="7" t="inlineStr">
        <is>
          <t>EZETIMIBA 10MG CX 30 COMP REV</t>
        </is>
      </c>
      <c r="E142" s="13" t="n">
        <v>1</v>
      </c>
      <c r="F142" s="13" t="n">
        <v>14</v>
      </c>
      <c r="G142" s="13" t="n">
        <v>14</v>
      </c>
      <c r="H142" s="8" t="n">
        <v>16.45</v>
      </c>
      <c r="I142" s="8">
        <f>G142*H142</f>
        <v/>
      </c>
      <c r="J142" s="8">
        <f>H142/E142</f>
        <v/>
      </c>
      <c r="K142" s="8" t="n">
        <v>15.58</v>
      </c>
      <c r="L142" s="8" t="n">
        <v>13.1</v>
      </c>
      <c r="M142" s="14">
        <f>J142/K142-1</f>
        <v/>
      </c>
      <c r="N142" s="7" t="inlineStr">
        <is>
          <t>ACIMA +5.6%</t>
        </is>
      </c>
      <c r="O142" s="7" t="inlineStr"/>
    </row>
    <row r="143">
      <c r="A143" s="7" t="n">
        <v>21941</v>
      </c>
      <c r="B143" s="7" t="inlineStr">
        <is>
          <t>1172</t>
        </is>
      </c>
      <c r="C143" s="12" t="inlineStr">
        <is>
          <t>7898166040328</t>
        </is>
      </c>
      <c r="D143" s="7" t="inlineStr">
        <is>
          <t>FARMACE -AGUA PARA INJECAO 1 ML/ML SOL INJ CX 200 AMP PLAS TRANS X 10 ML</t>
        </is>
      </c>
      <c r="E143" s="13" t="n">
        <v>1</v>
      </c>
      <c r="F143" s="13" t="n">
        <v>1</v>
      </c>
      <c r="G143" s="13" t="n">
        <v>1</v>
      </c>
      <c r="H143" s="8" t="n">
        <v>0.32</v>
      </c>
      <c r="I143" s="8">
        <f>G143*H143</f>
        <v/>
      </c>
      <c r="J143" s="8">
        <f>H143/E143</f>
        <v/>
      </c>
      <c r="K143" s="8" t="n">
        <v>0.45</v>
      </c>
      <c r="L143" s="8" t="n">
        <v>0.45</v>
      </c>
      <c r="M143" s="14">
        <f>J143/K143-1</f>
        <v/>
      </c>
      <c r="N143" s="7" t="inlineStr">
        <is>
          <t>OK (≤ menor hist.)</t>
        </is>
      </c>
      <c r="O143" s="7" t="inlineStr"/>
    </row>
    <row r="144">
      <c r="A144" s="7" t="n">
        <v>613831</v>
      </c>
      <c r="B144" s="7" t="inlineStr">
        <is>
          <t>4011</t>
        </is>
      </c>
      <c r="C144" s="12" t="inlineStr">
        <is>
          <t>7896902234093</t>
        </is>
      </c>
      <c r="D144" s="7" t="inlineStr">
        <is>
          <t>FARMAIODINE PVPI 10% 100ML</t>
        </is>
      </c>
      <c r="E144" s="13" t="n">
        <v>1</v>
      </c>
      <c r="F144" s="13" t="n">
        <v>2</v>
      </c>
      <c r="G144" s="13" t="n">
        <v>2</v>
      </c>
      <c r="H144" s="8" t="n">
        <v>7.42</v>
      </c>
      <c r="I144" s="8">
        <f>G144*H144</f>
        <v/>
      </c>
      <c r="J144" s="8">
        <f>H144/E144</f>
        <v/>
      </c>
      <c r="K144" s="8" t="n">
        <v>7.09</v>
      </c>
      <c r="L144" s="8" t="n">
        <v>7.09</v>
      </c>
      <c r="M144" s="14">
        <f>J144/K144-1</f>
        <v/>
      </c>
      <c r="N144" s="7" t="inlineStr">
        <is>
          <t>ACIMA +4.7%</t>
        </is>
      </c>
      <c r="O144" s="7" t="inlineStr"/>
    </row>
    <row r="145">
      <c r="A145" s="7" t="n">
        <v>591221</v>
      </c>
      <c r="B145" s="7" t="inlineStr">
        <is>
          <t>7313</t>
        </is>
      </c>
      <c r="C145" s="12" t="inlineStr">
        <is>
          <t>7898216362172</t>
        </is>
      </c>
      <c r="D145" s="7" t="inlineStr">
        <is>
          <t>FARMOXICAM 20MG CX 10 CAP</t>
        </is>
      </c>
      <c r="E145" s="13" t="n">
        <v>1</v>
      </c>
      <c r="F145" s="13" t="n">
        <v>4</v>
      </c>
      <c r="G145" s="13" t="n">
        <v>4</v>
      </c>
      <c r="H145" s="8" t="n">
        <v>4.4</v>
      </c>
      <c r="I145" s="8">
        <f>G145*H145</f>
        <v/>
      </c>
      <c r="J145" s="8">
        <f>H145/E145</f>
        <v/>
      </c>
      <c r="K145" s="8" t="n">
        <v>3.52</v>
      </c>
      <c r="L145" s="8" t="n">
        <v>3.52</v>
      </c>
      <c r="M145" s="14">
        <f>J145/K145-1</f>
        <v/>
      </c>
      <c r="N145" s="7" t="inlineStr">
        <is>
          <t>ACIMA +25.0%</t>
        </is>
      </c>
      <c r="O145" s="7" t="inlineStr"/>
    </row>
    <row r="146">
      <c r="A146" s="7" t="n">
        <v>626071</v>
      </c>
      <c r="B146" s="7" t="inlineStr">
        <is>
          <t>3141</t>
        </is>
      </c>
      <c r="C146" s="12" t="inlineStr">
        <is>
          <t>7896023756849</t>
        </is>
      </c>
      <c r="D146" s="7" t="inlineStr">
        <is>
          <t>FIGATIL 10ML FLACONETE</t>
        </is>
      </c>
      <c r="E146" s="13" t="n">
        <v>48</v>
      </c>
      <c r="F146" s="13" t="n">
        <v>1</v>
      </c>
      <c r="G146" s="13" t="n">
        <v>1</v>
      </c>
      <c r="H146" s="8" t="n">
        <v>108.31</v>
      </c>
      <c r="I146" s="8">
        <f>G146*H146</f>
        <v/>
      </c>
      <c r="J146" s="8">
        <f>H146/E146</f>
        <v/>
      </c>
      <c r="K146" s="8" t="n">
        <v>2.4223</v>
      </c>
      <c r="L146" s="8" t="n">
        <v>1.1388</v>
      </c>
      <c r="M146" s="14">
        <f>J146/K146-1</f>
        <v/>
      </c>
      <c r="N146" s="7" t="inlineStr">
        <is>
          <t>OK (≤ últ. compra)</t>
        </is>
      </c>
      <c r="O146" s="7" t="inlineStr">
        <is>
          <t>1 emb = 48 un</t>
        </is>
      </c>
    </row>
    <row r="147">
      <c r="A147" s="7" t="n">
        <v>532361</v>
      </c>
      <c r="B147" s="7" t="inlineStr">
        <is>
          <t>1045</t>
        </is>
      </c>
      <c r="C147" s="12" t="inlineStr">
        <is>
          <t>7896544900011</t>
        </is>
      </c>
      <c r="D147" s="7" t="inlineStr">
        <is>
          <t>FITA CIRUGICA MICRO 1,2X4,5 MISSNER</t>
        </is>
      </c>
      <c r="E147" s="13" t="n">
        <v>1</v>
      </c>
      <c r="F147" s="13" t="n">
        <v>41</v>
      </c>
      <c r="G147" s="13" t="n">
        <v>41</v>
      </c>
      <c r="H147" s="8" t="n">
        <v>2.23</v>
      </c>
      <c r="I147" s="8">
        <f>G147*H147</f>
        <v/>
      </c>
      <c r="J147" s="8">
        <f>H147/E147</f>
        <v/>
      </c>
      <c r="K147" s="8" t="n">
        <v>2.23</v>
      </c>
      <c r="L147" s="8" t="n">
        <v>2.23</v>
      </c>
      <c r="M147" s="14">
        <f>J147/K147-1</f>
        <v/>
      </c>
      <c r="N147" s="7" t="inlineStr">
        <is>
          <t>OK (≤ menor hist.)</t>
        </is>
      </c>
      <c r="O147" s="7" t="inlineStr"/>
    </row>
    <row r="148">
      <c r="A148" s="7" t="n">
        <v>532401</v>
      </c>
      <c r="B148" s="7" t="inlineStr">
        <is>
          <t>1047</t>
        </is>
      </c>
      <c r="C148" s="12" t="inlineStr">
        <is>
          <t>7896544900097</t>
        </is>
      </c>
      <c r="D148" s="7" t="inlineStr">
        <is>
          <t>FITA CIRURGICA MICROPOROSA MISSNER 2,5CM X 4,5M</t>
        </is>
      </c>
      <c r="E148" s="13" t="n">
        <v>1</v>
      </c>
      <c r="F148" s="13" t="n">
        <v>95</v>
      </c>
      <c r="G148" s="13" t="n">
        <v>95</v>
      </c>
      <c r="H148" s="8" t="n">
        <v>3.14</v>
      </c>
      <c r="I148" s="8">
        <f>G148*H148</f>
        <v/>
      </c>
      <c r="J148" s="8">
        <f>H148/E148</f>
        <v/>
      </c>
      <c r="K148" s="8" t="n">
        <v>3.14</v>
      </c>
      <c r="L148" s="8" t="n">
        <v>3.14</v>
      </c>
      <c r="M148" s="14">
        <f>J148/K148-1</f>
        <v/>
      </c>
      <c r="N148" s="7" t="inlineStr">
        <is>
          <t>OK (≤ menor hist.)</t>
        </is>
      </c>
      <c r="O148" s="7" t="inlineStr"/>
    </row>
    <row r="149">
      <c r="A149" s="7" t="n">
        <v>606871</v>
      </c>
      <c r="B149" s="7" t="inlineStr">
        <is>
          <t>7377</t>
        </is>
      </c>
      <c r="C149" s="12" t="inlineStr">
        <is>
          <t>7899838831992</t>
        </is>
      </c>
      <c r="D149" s="7" t="inlineStr">
        <is>
          <t>FITA DE KINESIO 5CM X 5M BEGE</t>
        </is>
      </c>
      <c r="E149" s="13" t="n">
        <v>1</v>
      </c>
      <c r="F149" s="13" t="n">
        <v>1</v>
      </c>
      <c r="G149" s="13" t="n">
        <v>1</v>
      </c>
      <c r="H149" s="8" t="n">
        <v>20.48</v>
      </c>
      <c r="I149" s="8">
        <f>G149*H149</f>
        <v/>
      </c>
      <c r="J149" s="8">
        <f>H149/E149</f>
        <v/>
      </c>
      <c r="K149" s="8" t="n">
        <v>20.48</v>
      </c>
      <c r="L149" s="8" t="n">
        <v>20.48</v>
      </c>
      <c r="M149" s="14">
        <f>J149/K149-1</f>
        <v/>
      </c>
      <c r="N149" s="7" t="inlineStr">
        <is>
          <t>OK (≤ menor hist.)</t>
        </is>
      </c>
      <c r="O149" s="7" t="inlineStr"/>
    </row>
    <row r="150">
      <c r="A150" s="7" t="n">
        <v>616141</v>
      </c>
      <c r="B150" s="7" t="inlineStr">
        <is>
          <t>7308</t>
        </is>
      </c>
      <c r="C150" s="12" t="inlineStr">
        <is>
          <t>7899838832012</t>
        </is>
      </c>
      <c r="D150" s="7" t="inlineStr">
        <is>
          <t>FITA DE KINESIO 5CM X 5M VERMELHA</t>
        </is>
      </c>
      <c r="E150" s="13" t="n">
        <v>1</v>
      </c>
      <c r="F150" s="13" t="n">
        <v>1</v>
      </c>
      <c r="G150" s="13" t="n">
        <v>1</v>
      </c>
      <c r="H150" s="8" t="n">
        <v>19.89</v>
      </c>
      <c r="I150" s="8">
        <f>G150*H150</f>
        <v/>
      </c>
      <c r="J150" s="8">
        <f>H150/E150</f>
        <v/>
      </c>
      <c r="K150" s="8" t="n">
        <v>18.69</v>
      </c>
      <c r="L150" s="8" t="n">
        <v>18.69</v>
      </c>
      <c r="M150" s="14">
        <f>J150/K150-1</f>
        <v/>
      </c>
      <c r="N150" s="7" t="inlineStr">
        <is>
          <t>ACIMA +6.4%</t>
        </is>
      </c>
      <c r="O150" s="7" t="inlineStr"/>
    </row>
    <row r="151">
      <c r="A151" s="7" t="n">
        <v>591031</v>
      </c>
      <c r="B151" s="7" t="inlineStr">
        <is>
          <t>7428</t>
        </is>
      </c>
      <c r="C151" s="12" t="inlineStr">
        <is>
          <t>7899838832005</t>
        </is>
      </c>
      <c r="D151" s="7" t="inlineStr">
        <is>
          <t>FITA KINESIO ROLO 5CMX5M AZUL HC042</t>
        </is>
      </c>
      <c r="E151" s="13" t="n">
        <v>1</v>
      </c>
      <c r="F151" s="13" t="n">
        <v>2</v>
      </c>
      <c r="G151" s="13" t="n">
        <v>2</v>
      </c>
      <c r="H151" s="8" t="n">
        <v>20.43</v>
      </c>
      <c r="I151" s="8">
        <f>G151*H151</f>
        <v/>
      </c>
      <c r="J151" s="8">
        <f>H151/E151</f>
        <v/>
      </c>
      <c r="K151" s="8" t="n">
        <v>20.43</v>
      </c>
      <c r="L151" s="8" t="n">
        <v>19.65</v>
      </c>
      <c r="M151" s="14">
        <f>J151/K151-1</f>
        <v/>
      </c>
      <c r="N151" s="7" t="inlineStr">
        <is>
          <t>OK (≤ últ. compra)</t>
        </is>
      </c>
      <c r="O151" s="7" t="inlineStr"/>
    </row>
    <row r="152">
      <c r="A152" s="7" t="n">
        <v>594901</v>
      </c>
      <c r="B152" s="7" t="inlineStr">
        <is>
          <t>7307</t>
        </is>
      </c>
      <c r="C152" s="12" t="inlineStr">
        <is>
          <t>7899838831985</t>
        </is>
      </c>
      <c r="D152" s="7" t="inlineStr">
        <is>
          <t>FITA KINESIO ROLO 5CMX5M PRETA HC040</t>
        </is>
      </c>
      <c r="E152" s="13" t="n">
        <v>1</v>
      </c>
      <c r="F152" s="13" t="n">
        <v>1</v>
      </c>
      <c r="G152" s="13" t="n">
        <v>1</v>
      </c>
      <c r="H152" s="8" t="n">
        <v>20.48</v>
      </c>
      <c r="I152" s="8">
        <f>G152*H152</f>
        <v/>
      </c>
      <c r="J152" s="8">
        <f>H152/E152</f>
        <v/>
      </c>
      <c r="K152" s="8" t="n">
        <v>23.3</v>
      </c>
      <c r="L152" s="8" t="n">
        <v>23.3</v>
      </c>
      <c r="M152" s="14">
        <f>J152/K152-1</f>
        <v/>
      </c>
      <c r="N152" s="7" t="inlineStr">
        <is>
          <t>OK (≤ menor hist.)</t>
        </is>
      </c>
      <c r="O152" s="7" t="inlineStr"/>
    </row>
    <row r="153">
      <c r="A153" s="7" t="n">
        <v>547461</v>
      </c>
      <c r="B153" s="7" t="inlineStr">
        <is>
          <t>1046</t>
        </is>
      </c>
      <c r="C153" s="12" t="inlineStr">
        <is>
          <t>7896544900103</t>
        </is>
      </c>
      <c r="D153" s="7" t="inlineStr">
        <is>
          <t>FITA MICROPORO BRANCO 2,5CM X 0,90MTS</t>
        </is>
      </c>
      <c r="E153" s="13" t="n">
        <v>1</v>
      </c>
      <c r="F153" s="13" t="n">
        <v>28</v>
      </c>
      <c r="G153" s="13" t="n">
        <v>28</v>
      </c>
      <c r="H153" s="8" t="n">
        <v>1.86</v>
      </c>
      <c r="I153" s="8">
        <f>G153*H153</f>
        <v/>
      </c>
      <c r="J153" s="8">
        <f>H153/E153</f>
        <v/>
      </c>
      <c r="K153" s="8" t="n">
        <v>1.86</v>
      </c>
      <c r="L153" s="8" t="n">
        <v>1.86</v>
      </c>
      <c r="M153" s="14">
        <f>J153/K153-1</f>
        <v/>
      </c>
      <c r="N153" s="7" t="inlineStr">
        <is>
          <t>OK (≤ menor hist.)</t>
        </is>
      </c>
      <c r="O153" s="7" t="inlineStr"/>
    </row>
    <row r="154">
      <c r="A154" s="7" t="n">
        <v>541021</v>
      </c>
      <c r="B154" s="7" t="inlineStr">
        <is>
          <t>1048</t>
        </is>
      </c>
      <c r="C154" s="12" t="inlineStr">
        <is>
          <t>7896544900158</t>
        </is>
      </c>
      <c r="D154" s="7" t="inlineStr">
        <is>
          <t>FITA MICROPOROSA BRANCO 10 X 4,5</t>
        </is>
      </c>
      <c r="E154" s="13" t="n">
        <v>1</v>
      </c>
      <c r="F154" s="13" t="n">
        <v>4</v>
      </c>
      <c r="G154" s="13" t="n">
        <v>4</v>
      </c>
      <c r="H154" s="8" t="n">
        <v>8.1</v>
      </c>
      <c r="I154" s="8">
        <f>G154*H154</f>
        <v/>
      </c>
      <c r="J154" s="8">
        <f>H154/E154</f>
        <v/>
      </c>
      <c r="K154" s="8" t="n">
        <v>8.1</v>
      </c>
      <c r="L154" s="8" t="n">
        <v>8.1</v>
      </c>
      <c r="M154" s="14">
        <f>J154/K154-1</f>
        <v/>
      </c>
      <c r="N154" s="7" t="inlineStr">
        <is>
          <t>OK (≤ menor hist.)</t>
        </is>
      </c>
      <c r="O154" s="7" t="inlineStr"/>
    </row>
    <row r="155">
      <c r="A155" s="7" t="n">
        <v>541381</v>
      </c>
      <c r="B155" s="7" t="inlineStr">
        <is>
          <t>942</t>
        </is>
      </c>
      <c r="C155" s="12" t="inlineStr">
        <is>
          <t>7896544900165</t>
        </is>
      </c>
      <c r="D155" s="7" t="inlineStr">
        <is>
          <t>FITA MICROPOROSA BRANCO 5,0CM X 4,5MTS UND QTD. 4.00 UN</t>
        </is>
      </c>
      <c r="E155" s="13" t="n">
        <v>1</v>
      </c>
      <c r="F155" s="13" t="n">
        <v>33</v>
      </c>
      <c r="G155" s="13" t="n">
        <v>33</v>
      </c>
      <c r="H155" s="8" t="n">
        <v>5.02</v>
      </c>
      <c r="I155" s="8">
        <f>G155*H155</f>
        <v/>
      </c>
      <c r="J155" s="8">
        <f>H155/E155</f>
        <v/>
      </c>
      <c r="K155" s="8" t="n">
        <v>5.02</v>
      </c>
      <c r="L155" s="8" t="n">
        <v>5.02</v>
      </c>
      <c r="M155" s="14">
        <f>J155/K155-1</f>
        <v/>
      </c>
      <c r="N155" s="7" t="inlineStr">
        <is>
          <t>OK (≤ menor hist.)</t>
        </is>
      </c>
      <c r="O155" s="7" t="inlineStr"/>
    </row>
    <row r="156">
      <c r="A156" s="7" t="n">
        <v>606861</v>
      </c>
      <c r="B156" s="7" t="inlineStr">
        <is>
          <t>4781</t>
        </is>
      </c>
      <c r="C156" s="12" t="inlineStr">
        <is>
          <t>7894164005239</t>
        </is>
      </c>
      <c r="D156" s="7" t="inlineStr">
        <is>
          <t>FLEXENEMA 130ML (ARL)</t>
        </is>
      </c>
      <c r="E156" s="13" t="n">
        <v>1</v>
      </c>
      <c r="F156" s="13" t="n">
        <v>3</v>
      </c>
      <c r="G156" s="13" t="n">
        <v>3</v>
      </c>
      <c r="H156" s="8" t="n">
        <v>14.17</v>
      </c>
      <c r="I156" s="8">
        <f>G156*H156</f>
        <v/>
      </c>
      <c r="J156" s="8">
        <f>H156/E156</f>
        <v/>
      </c>
      <c r="K156" s="8" t="n">
        <v>13.49</v>
      </c>
      <c r="L156" s="8" t="n">
        <v>13.49</v>
      </c>
      <c r="M156" s="14">
        <f>J156/K156-1</f>
        <v/>
      </c>
      <c r="N156" s="7" t="inlineStr">
        <is>
          <t>ACIMA +5.0%</t>
        </is>
      </c>
      <c r="O156" s="7" t="inlineStr"/>
    </row>
    <row r="157">
      <c r="A157" s="7" t="n">
        <v>550941</v>
      </c>
      <c r="B157" s="7" t="inlineStr">
        <is>
          <t>2233</t>
        </is>
      </c>
      <c r="C157" s="12" t="inlineStr">
        <is>
          <t>7894488000101</t>
        </is>
      </c>
      <c r="D157" s="7" t="inlineStr">
        <is>
          <t>FLOCONETES SEGUROS E ABSORVENTES 75UN</t>
        </is>
      </c>
      <c r="E157" s="13" t="n">
        <v>1</v>
      </c>
      <c r="F157" s="13" t="n">
        <v>2</v>
      </c>
      <c r="G157" s="13" t="n">
        <v>2</v>
      </c>
      <c r="H157" s="8" t="n">
        <v>1.35</v>
      </c>
      <c r="I157" s="8">
        <f>G157*H157</f>
        <v/>
      </c>
      <c r="J157" s="8">
        <f>H157/E157</f>
        <v/>
      </c>
      <c r="K157" s="8" t="n">
        <v>1.35</v>
      </c>
      <c r="L157" s="8" t="n">
        <v>1.35</v>
      </c>
      <c r="M157" s="14">
        <f>J157/K157-1</f>
        <v/>
      </c>
      <c r="N157" s="7" t="inlineStr">
        <is>
          <t>OK (≤ menor hist.)</t>
        </is>
      </c>
      <c r="O157" s="7" t="inlineStr"/>
    </row>
    <row r="158">
      <c r="A158" s="7" t="n">
        <v>660241</v>
      </c>
      <c r="B158" s="7" t="inlineStr">
        <is>
          <t>7829</t>
        </is>
      </c>
      <c r="C158" s="12" t="inlineStr">
        <is>
          <t>7896862993665</t>
        </is>
      </c>
      <c r="D158" s="7" t="inlineStr">
        <is>
          <t>GASTROGEL TABS MENTA (CARTELA)</t>
        </is>
      </c>
      <c r="E158" s="13" t="n">
        <v>1</v>
      </c>
      <c r="F158" s="13" t="n">
        <v>4</v>
      </c>
      <c r="G158" s="13" t="n">
        <v>4</v>
      </c>
      <c r="H158" s="8" t="n">
        <v>8.529999999999999</v>
      </c>
      <c r="I158" s="8">
        <f>G158*H158</f>
        <v/>
      </c>
      <c r="J158" s="8">
        <f>H158/E158</f>
        <v/>
      </c>
      <c r="K158" s="8" t="n">
        <v>7.99</v>
      </c>
      <c r="L158" s="8" t="n">
        <v>7.99</v>
      </c>
      <c r="M158" s="14">
        <f>J158/K158-1</f>
        <v/>
      </c>
      <c r="N158" s="7" t="inlineStr">
        <is>
          <t>ACIMA +6.8%</t>
        </is>
      </c>
      <c r="O158" s="7" t="inlineStr"/>
    </row>
    <row r="159">
      <c r="A159" s="7" t="n">
        <v>592591</v>
      </c>
      <c r="B159" s="7" t="inlineStr">
        <is>
          <t>1982</t>
        </is>
      </c>
      <c r="C159" s="12" t="inlineStr">
        <is>
          <t>7898556850049</t>
        </is>
      </c>
      <c r="D159" s="7" t="inlineStr">
        <is>
          <t>GEL INTIMO LUBRIF MENTA 50G RILEX</t>
        </is>
      </c>
      <c r="E159" s="13" t="n">
        <v>1</v>
      </c>
      <c r="F159" s="13" t="n">
        <v>2</v>
      </c>
      <c r="G159" s="13" t="n">
        <v>2</v>
      </c>
      <c r="H159" s="8" t="n">
        <v>7.05</v>
      </c>
      <c r="I159" s="8">
        <f>G159*H159</f>
        <v/>
      </c>
      <c r="J159" s="8">
        <f>H159/E159</f>
        <v/>
      </c>
      <c r="K159" s="8" t="n">
        <v>6.25</v>
      </c>
      <c r="L159" s="8" t="n">
        <v>6.25</v>
      </c>
      <c r="M159" s="14">
        <f>J159/K159-1</f>
        <v/>
      </c>
      <c r="N159" s="7" t="inlineStr">
        <is>
          <t>ACIMA +12.8%</t>
        </is>
      </c>
      <c r="O159" s="7" t="inlineStr"/>
    </row>
    <row r="160">
      <c r="A160" s="7" t="n">
        <v>557181</v>
      </c>
      <c r="B160" s="7" t="inlineStr">
        <is>
          <t>5498</t>
        </is>
      </c>
      <c r="C160" s="12" t="inlineStr">
        <is>
          <t>7898556850506</t>
        </is>
      </c>
      <c r="D160" s="7" t="inlineStr">
        <is>
          <t>GEL INTIMO LUBRIF. MORANGO 100G TOY RILE</t>
        </is>
      </c>
      <c r="E160" s="13" t="n">
        <v>1</v>
      </c>
      <c r="F160" s="13" t="n">
        <v>2</v>
      </c>
      <c r="G160" s="13" t="n">
        <v>2</v>
      </c>
      <c r="H160" s="8" t="n">
        <v>15.36</v>
      </c>
      <c r="I160" s="8">
        <f>G160*H160</f>
        <v/>
      </c>
      <c r="J160" s="8">
        <f>H160/E160</f>
        <v/>
      </c>
      <c r="K160" s="8" t="n">
        <v>13.54</v>
      </c>
      <c r="L160" s="8" t="n">
        <v>13.54</v>
      </c>
      <c r="M160" s="14">
        <f>J160/K160-1</f>
        <v/>
      </c>
      <c r="N160" s="7" t="inlineStr">
        <is>
          <t>ACIMA +13.4%</t>
        </is>
      </c>
      <c r="O160" s="7" t="inlineStr"/>
    </row>
    <row r="161">
      <c r="A161" s="7" t="n">
        <v>630481</v>
      </c>
      <c r="B161" s="7" t="inlineStr">
        <is>
          <t>9931</t>
        </is>
      </c>
      <c r="C161" s="12" t="inlineStr">
        <is>
          <t>7898556851084</t>
        </is>
      </c>
      <c r="D161" s="7" t="inlineStr">
        <is>
          <t>GEL INTIMO LUBRIF.TRADICIONAL 200G RILEX</t>
        </is>
      </c>
      <c r="E161" s="13" t="n">
        <v>1</v>
      </c>
      <c r="F161" s="13" t="n">
        <v>1</v>
      </c>
      <c r="G161" s="13" t="n">
        <v>1</v>
      </c>
      <c r="H161" s="8" t="n">
        <v>23.26</v>
      </c>
      <c r="I161" s="8">
        <f>G161*H161</f>
        <v/>
      </c>
      <c r="J161" s="8">
        <f>H161/E161</f>
        <v/>
      </c>
      <c r="K161" s="8" t="n">
        <v>24.89</v>
      </c>
      <c r="L161" s="8" t="n">
        <v>24.89</v>
      </c>
      <c r="M161" s="14">
        <f>J161/K161-1</f>
        <v/>
      </c>
      <c r="N161" s="7" t="inlineStr">
        <is>
          <t>OK (≤ menor hist.)</t>
        </is>
      </c>
      <c r="O161" s="7" t="inlineStr"/>
    </row>
    <row r="162">
      <c r="A162" s="7" t="n">
        <v>584681</v>
      </c>
      <c r="B162" s="7" t="inlineStr">
        <is>
          <t>1983</t>
        </is>
      </c>
      <c r="C162" s="12" t="inlineStr">
        <is>
          <t>7898556850025</t>
        </is>
      </c>
      <c r="D162" s="7" t="inlineStr">
        <is>
          <t>GEL LUBRIFICANTE RILEX MORANGO 50G</t>
        </is>
      </c>
      <c r="E162" s="13" t="n">
        <v>1</v>
      </c>
      <c r="F162" s="13" t="n">
        <v>2</v>
      </c>
      <c r="G162" s="13" t="n">
        <v>2</v>
      </c>
      <c r="H162" s="8" t="n">
        <v>7.07</v>
      </c>
      <c r="I162" s="8">
        <f>G162*H162</f>
        <v/>
      </c>
      <c r="J162" s="8">
        <f>H162/E162</f>
        <v/>
      </c>
      <c r="K162" s="8" t="n">
        <v>6.25</v>
      </c>
      <c r="L162" s="8" t="n">
        <v>6.25</v>
      </c>
      <c r="M162" s="14">
        <f>J162/K162-1</f>
        <v/>
      </c>
      <c r="N162" s="7" t="inlineStr">
        <is>
          <t>ACIMA +13.1%</t>
        </is>
      </c>
      <c r="O162" s="7" t="inlineStr"/>
    </row>
    <row r="163">
      <c r="A163" s="7" t="n">
        <v>584661</v>
      </c>
      <c r="B163" s="7" t="inlineStr">
        <is>
          <t>1951</t>
        </is>
      </c>
      <c r="C163" s="12" t="inlineStr">
        <is>
          <t>7898903991951</t>
        </is>
      </c>
      <c r="D163" s="7" t="inlineStr">
        <is>
          <t>GEL LUBRIFICANTE RILEX TRADIOCIONAL 50G</t>
        </is>
      </c>
      <c r="E163" s="13" t="n">
        <v>1</v>
      </c>
      <c r="F163" s="13" t="n">
        <v>1</v>
      </c>
      <c r="G163" s="13" t="n">
        <v>1</v>
      </c>
      <c r="H163" s="8" t="n">
        <v>6.64</v>
      </c>
      <c r="I163" s="8">
        <f>G163*H163</f>
        <v/>
      </c>
      <c r="J163" s="8">
        <f>H163/E163</f>
        <v/>
      </c>
      <c r="K163" s="8" t="n">
        <v>6.57</v>
      </c>
      <c r="L163" s="8" t="n">
        <v>6.57</v>
      </c>
      <c r="M163" s="14">
        <f>J163/K163-1</f>
        <v/>
      </c>
      <c r="N163" s="7" t="inlineStr">
        <is>
          <t>ACIMA +1.1%</t>
        </is>
      </c>
      <c r="O163" s="7" t="inlineStr"/>
    </row>
    <row r="164">
      <c r="A164" s="7" t="n">
        <v>691301</v>
      </c>
      <c r="B164" s="7" t="inlineStr">
        <is>
          <t>10354</t>
        </is>
      </c>
      <c r="C164" s="12" t="inlineStr">
        <is>
          <t>7898741951353</t>
        </is>
      </c>
      <c r="D164" s="7" t="inlineStr">
        <is>
          <t>GEL MASSAGEADOR BLUE ICE 240G</t>
        </is>
      </c>
      <c r="E164" s="13" t="n">
        <v>1</v>
      </c>
      <c r="F164" s="13" t="n">
        <v>1</v>
      </c>
      <c r="G164" s="13" t="n">
        <v>1</v>
      </c>
      <c r="H164" s="8" t="n">
        <v>6.15</v>
      </c>
      <c r="I164" s="8">
        <f>G164*H164</f>
        <v/>
      </c>
      <c r="J164" s="8">
        <f>H164/E164</f>
        <v/>
      </c>
      <c r="K164" s="8" t="n">
        <v>6.15</v>
      </c>
      <c r="L164" s="8" t="n">
        <v>6.15</v>
      </c>
      <c r="M164" s="14">
        <f>J164/K164-1</f>
        <v/>
      </c>
      <c r="N164" s="7" t="inlineStr">
        <is>
          <t>OK (≤ menor hist.)</t>
        </is>
      </c>
      <c r="O164" s="7" t="inlineStr"/>
    </row>
    <row r="165">
      <c r="A165" s="7" t="n">
        <v>691801</v>
      </c>
      <c r="B165" s="7" t="inlineStr">
        <is>
          <t>7193</t>
        </is>
      </c>
      <c r="C165" s="12" t="inlineStr">
        <is>
          <t>7898936049612</t>
        </is>
      </c>
      <c r="D165" s="7" t="inlineStr">
        <is>
          <t>GEL MASSAGEM 17 ERVAS 250G POTE</t>
        </is>
      </c>
      <c r="E165" s="13" t="n">
        <v>1</v>
      </c>
      <c r="F165" s="13" t="n">
        <v>1</v>
      </c>
      <c r="G165" s="13" t="n">
        <v>1</v>
      </c>
      <c r="H165" s="8" t="n">
        <v>4.19</v>
      </c>
      <c r="I165" s="8">
        <f>G165*H165</f>
        <v/>
      </c>
      <c r="J165" s="8">
        <f>H165/E165</f>
        <v/>
      </c>
      <c r="K165" s="8" t="n">
        <v>4.19</v>
      </c>
      <c r="L165" s="8" t="n">
        <v>4.19</v>
      </c>
      <c r="M165" s="14">
        <f>J165/K165-1</f>
        <v/>
      </c>
      <c r="N165" s="7" t="inlineStr">
        <is>
          <t>OK (≤ menor hist.)</t>
        </is>
      </c>
      <c r="O165" s="7" t="inlineStr"/>
    </row>
    <row r="166">
      <c r="A166" s="7" t="n">
        <v>691601</v>
      </c>
      <c r="B166" s="7" t="inlineStr">
        <is>
          <t>9398</t>
        </is>
      </c>
      <c r="C166" s="12" t="inlineStr">
        <is>
          <t>7898936049704</t>
        </is>
      </c>
      <c r="D166" s="7" t="inlineStr">
        <is>
          <t>GEL MASSAGEM ARNICA E COPAIBA 250G POTE</t>
        </is>
      </c>
      <c r="E166" s="13" t="n">
        <v>1</v>
      </c>
      <c r="F166" s="13" t="n">
        <v>10</v>
      </c>
      <c r="G166" s="13" t="n">
        <v>10</v>
      </c>
      <c r="H166" s="8" t="n">
        <v>3.67</v>
      </c>
      <c r="I166" s="8">
        <f>G166*H166</f>
        <v/>
      </c>
      <c r="J166" s="8">
        <f>H166/E166</f>
        <v/>
      </c>
      <c r="K166" s="8" t="n">
        <v>3.67</v>
      </c>
      <c r="L166" s="8" t="n">
        <v>3.67</v>
      </c>
      <c r="M166" s="14">
        <f>J166/K166-1</f>
        <v/>
      </c>
      <c r="N166" s="7" t="inlineStr">
        <is>
          <t>OK (≤ menor hist.)</t>
        </is>
      </c>
      <c r="O166" s="7" t="inlineStr"/>
    </row>
    <row r="167">
      <c r="A167" s="7" t="n">
        <v>627931</v>
      </c>
      <c r="B167" s="7" t="inlineStr">
        <is>
          <t>8354</t>
        </is>
      </c>
      <c r="C167" s="12" t="inlineStr">
        <is>
          <t>7898741950288</t>
        </is>
      </c>
      <c r="D167" s="7" t="inlineStr">
        <is>
          <t>GEL MASSAGEM COPAIBA 190G FRASCO</t>
        </is>
      </c>
      <c r="E167" s="13" t="n">
        <v>1</v>
      </c>
      <c r="F167" s="13" t="n">
        <v>2</v>
      </c>
      <c r="G167" s="13" t="n">
        <v>2</v>
      </c>
      <c r="H167" s="8" t="n">
        <v>4.36</v>
      </c>
      <c r="I167" s="8">
        <f>G167*H167</f>
        <v/>
      </c>
      <c r="J167" s="8">
        <f>H167/E167</f>
        <v/>
      </c>
      <c r="K167" s="8" t="n">
        <v>4.36</v>
      </c>
      <c r="L167" s="8" t="n">
        <v>4.36</v>
      </c>
      <c r="M167" s="14">
        <f>J167/K167-1</f>
        <v/>
      </c>
      <c r="N167" s="7" t="inlineStr">
        <is>
          <t>OK (≤ menor hist.)</t>
        </is>
      </c>
      <c r="O167" s="7" t="inlineStr"/>
    </row>
    <row r="168">
      <c r="A168" s="7" t="n">
        <v>627901</v>
      </c>
      <c r="B168" s="7" t="inlineStr">
        <is>
          <t>7190</t>
        </is>
      </c>
      <c r="C168" s="12" t="inlineStr">
        <is>
          <t>7898936049506</t>
        </is>
      </c>
      <c r="D168" s="7" t="inlineStr">
        <is>
          <t>GEL MASSAGEM EXTRA FORTE ANDIROBA 200G</t>
        </is>
      </c>
      <c r="E168" s="13" t="n">
        <v>1</v>
      </c>
      <c r="F168" s="13" t="n">
        <v>2</v>
      </c>
      <c r="G168" s="13" t="n">
        <v>2</v>
      </c>
      <c r="H168" s="8" t="n">
        <v>4.39</v>
      </c>
      <c r="I168" s="8">
        <f>G168*H168</f>
        <v/>
      </c>
      <c r="J168" s="8">
        <f>H168/E168</f>
        <v/>
      </c>
      <c r="K168" s="8" t="n">
        <v>4.41</v>
      </c>
      <c r="L168" s="8" t="n">
        <v>4.41</v>
      </c>
      <c r="M168" s="14">
        <f>J168/K168-1</f>
        <v/>
      </c>
      <c r="N168" s="7" t="inlineStr">
        <is>
          <t>OK (≤ menor hist.)</t>
        </is>
      </c>
      <c r="O168" s="7" t="inlineStr"/>
    </row>
    <row r="169">
      <c r="A169" s="7" t="n">
        <v>627921</v>
      </c>
      <c r="B169" s="7" t="inlineStr">
        <is>
          <t>7192</t>
        </is>
      </c>
      <c r="C169" s="12" t="inlineStr">
        <is>
          <t>7898936049278</t>
        </is>
      </c>
      <c r="D169" s="7" t="inlineStr">
        <is>
          <t>GEL MASSAGEM TUBARAO BRANCO 250G POTE</t>
        </is>
      </c>
      <c r="E169" s="13" t="n">
        <v>1</v>
      </c>
      <c r="F169" s="13" t="n">
        <v>5</v>
      </c>
      <c r="G169" s="13" t="n">
        <v>5</v>
      </c>
      <c r="H169" s="8" t="n">
        <v>3.7</v>
      </c>
      <c r="I169" s="8">
        <f>G169*H169</f>
        <v/>
      </c>
      <c r="J169" s="8">
        <f>H169/E169</f>
        <v/>
      </c>
      <c r="K169" s="8" t="n">
        <v>3.7</v>
      </c>
      <c r="L169" s="8" t="n">
        <v>3.7</v>
      </c>
      <c r="M169" s="14">
        <f>J169/K169-1</f>
        <v/>
      </c>
      <c r="N169" s="7" t="inlineStr">
        <is>
          <t>OK (≤ menor hist.)</t>
        </is>
      </c>
      <c r="O169" s="7" t="inlineStr"/>
    </row>
    <row r="170">
      <c r="A170" s="7" t="n">
        <v>610041</v>
      </c>
      <c r="B170" s="7" t="inlineStr">
        <is>
          <t>7509</t>
        </is>
      </c>
      <c r="C170" s="12" t="inlineStr">
        <is>
          <t>7898719040195</t>
        </is>
      </c>
      <c r="D170" s="7" t="inlineStr">
        <is>
          <t>GELOFLAN BALSAMO AEROSSOL 120ML</t>
        </is>
      </c>
      <c r="E170" s="13" t="n">
        <v>1</v>
      </c>
      <c r="F170" s="13" t="n">
        <v>3</v>
      </c>
      <c r="G170" s="13" t="n">
        <v>3</v>
      </c>
      <c r="H170" s="8" t="n">
        <v>12.1</v>
      </c>
      <c r="I170" s="8">
        <f>G170*H170</f>
        <v/>
      </c>
      <c r="J170" s="8">
        <f>H170/E170</f>
        <v/>
      </c>
      <c r="K170" s="8" t="n">
        <v>12.59</v>
      </c>
      <c r="L170" s="8" t="n">
        <v>12.1</v>
      </c>
      <c r="M170" s="14">
        <f>J170/K170-1</f>
        <v/>
      </c>
      <c r="N170" s="7" t="inlineStr">
        <is>
          <t>OK (≤ menor hist.)</t>
        </is>
      </c>
      <c r="O170" s="7" t="inlineStr"/>
    </row>
    <row r="171">
      <c r="A171" s="7" t="n">
        <v>324</v>
      </c>
      <c r="B171" s="7" t="inlineStr">
        <is>
          <t>8419</t>
        </is>
      </c>
      <c r="C171" s="12" t="inlineStr">
        <is>
          <t>7896920305225</t>
        </is>
      </c>
      <c r="D171" s="7" t="inlineStr">
        <is>
          <t>GEROFOR TESTO C/60 CAPS</t>
        </is>
      </c>
      <c r="E171" s="13" t="n">
        <v>1</v>
      </c>
      <c r="F171" s="13" t="n">
        <v>1</v>
      </c>
      <c r="G171" s="13" t="n">
        <v>1</v>
      </c>
      <c r="H171" s="8" t="n">
        <v>42.612902</v>
      </c>
      <c r="I171" s="8">
        <f>G171*H171</f>
        <v/>
      </c>
      <c r="J171" s="8">
        <f>H171/E171</f>
        <v/>
      </c>
      <c r="K171" s="8" t="n">
        <v>37.48</v>
      </c>
      <c r="L171" s="8" t="n">
        <v>37.48</v>
      </c>
      <c r="M171" s="14">
        <f>J171/K171-1</f>
        <v/>
      </c>
      <c r="N171" s="7" t="inlineStr">
        <is>
          <t>ACIMA +13.7%</t>
        </is>
      </c>
      <c r="O171" s="7" t="inlineStr"/>
    </row>
    <row r="172">
      <c r="A172" s="7" t="n">
        <v>599261</v>
      </c>
      <c r="B172" s="7" t="inlineStr">
        <is>
          <t>3877</t>
        </is>
      </c>
      <c r="C172" s="12" t="inlineStr">
        <is>
          <t>7899620911840</t>
        </is>
      </c>
      <c r="D172" s="7" t="inlineStr">
        <is>
          <t>GLICENIX (N.S.) 0,91G CX 6 GLICEROL LACTENTE</t>
        </is>
      </c>
      <c r="E172" s="13" t="n">
        <v>1</v>
      </c>
      <c r="F172" s="13" t="n">
        <v>4</v>
      </c>
      <c r="G172" s="13" t="n">
        <v>4</v>
      </c>
      <c r="H172" s="8" t="n">
        <v>5.94</v>
      </c>
      <c r="I172" s="8">
        <f>G172*H172</f>
        <v/>
      </c>
      <c r="J172" s="8">
        <f>H172/E172</f>
        <v/>
      </c>
      <c r="K172" s="8" t="n">
        <v>5.79</v>
      </c>
      <c r="L172" s="8" t="n">
        <v>5.79</v>
      </c>
      <c r="M172" s="14">
        <f>J172/K172-1</f>
        <v/>
      </c>
      <c r="N172" s="7" t="inlineStr">
        <is>
          <t>ACIMA +2.6%</t>
        </is>
      </c>
      <c r="O172" s="7" t="inlineStr"/>
    </row>
    <row r="173">
      <c r="A173" s="7" t="n">
        <v>601411</v>
      </c>
      <c r="B173" s="7" t="inlineStr">
        <is>
          <t>3448</t>
        </is>
      </c>
      <c r="C173" s="12" t="inlineStr">
        <is>
          <t>7899620911833</t>
        </is>
      </c>
      <c r="D173" s="7" t="inlineStr">
        <is>
          <t>GLICENIX (N.S.) 1,37G CX 6 GLICEROL PED</t>
        </is>
      </c>
      <c r="E173" s="13" t="n">
        <v>1</v>
      </c>
      <c r="F173" s="13" t="n">
        <v>5</v>
      </c>
      <c r="G173" s="13" t="n">
        <v>5</v>
      </c>
      <c r="H173" s="8" t="n">
        <v>6.05</v>
      </c>
      <c r="I173" s="8">
        <f>G173*H173</f>
        <v/>
      </c>
      <c r="J173" s="8">
        <f>H173/E173</f>
        <v/>
      </c>
      <c r="K173" s="8" t="n">
        <v>5.68</v>
      </c>
      <c r="L173" s="8" t="n">
        <v>5.68</v>
      </c>
      <c r="M173" s="14">
        <f>J173/K173-1</f>
        <v/>
      </c>
      <c r="N173" s="7" t="inlineStr">
        <is>
          <t>ACIMA +6.5%</t>
        </is>
      </c>
      <c r="O173" s="7" t="inlineStr"/>
    </row>
    <row r="174">
      <c r="A174" s="7" t="n">
        <v>584761</v>
      </c>
      <c r="B174" s="7" t="inlineStr">
        <is>
          <t>5424</t>
        </is>
      </c>
      <c r="C174" s="12" t="inlineStr">
        <is>
          <t>7896902217614</t>
        </is>
      </c>
      <c r="D174" s="7" t="inlineStr">
        <is>
          <t>GLICERINA PURA 100ML</t>
        </is>
      </c>
      <c r="E174" s="13" t="n">
        <v>1</v>
      </c>
      <c r="F174" s="13" t="n">
        <v>6</v>
      </c>
      <c r="G174" s="13" t="n">
        <v>6</v>
      </c>
      <c r="H174" s="8" t="n">
        <v>6.76</v>
      </c>
      <c r="I174" s="8">
        <f>G174*H174</f>
        <v/>
      </c>
      <c r="J174" s="8">
        <f>H174/E174</f>
        <v/>
      </c>
      <c r="K174" s="8" t="n">
        <v>6.04</v>
      </c>
      <c r="L174" s="8" t="n">
        <v>5.85</v>
      </c>
      <c r="M174" s="14">
        <f>J174/K174-1</f>
        <v/>
      </c>
      <c r="N174" s="7" t="inlineStr">
        <is>
          <t>ACIMA +11.9%</t>
        </is>
      </c>
      <c r="O174" s="7" t="inlineStr"/>
    </row>
    <row r="175">
      <c r="A175" s="7" t="n">
        <v>531401</v>
      </c>
      <c r="B175" s="7" t="inlineStr">
        <is>
          <t>1541</t>
        </is>
      </c>
      <c r="C175" s="12" t="inlineStr">
        <is>
          <t>7898216360604</t>
        </is>
      </c>
      <c r="D175" s="7" t="inlineStr">
        <is>
          <t>GLICLAZIDA 30MG CX 30 COMP LIB PROL</t>
        </is>
      </c>
      <c r="E175" s="13" t="n">
        <v>1</v>
      </c>
      <c r="F175" s="13" t="n">
        <v>7</v>
      </c>
      <c r="G175" s="13" t="n">
        <v>7</v>
      </c>
      <c r="H175" s="8" t="n">
        <v>9.67</v>
      </c>
      <c r="I175" s="8">
        <f>G175*H175</f>
        <v/>
      </c>
      <c r="J175" s="8">
        <f>H175/E175</f>
        <v/>
      </c>
      <c r="K175" s="8" t="n">
        <v>8.300000000000001</v>
      </c>
      <c r="L175" s="8" t="n">
        <v>8.300000000000001</v>
      </c>
      <c r="M175" s="14">
        <f>J175/K175-1</f>
        <v/>
      </c>
      <c r="N175" s="7" t="inlineStr">
        <is>
          <t>ACIMA +16.5%</t>
        </is>
      </c>
      <c r="O175" s="7" t="inlineStr"/>
    </row>
    <row r="176">
      <c r="A176" s="7" t="n">
        <v>532961</v>
      </c>
      <c r="B176" s="7" t="inlineStr">
        <is>
          <t>1253</t>
        </is>
      </c>
      <c r="C176" s="12" t="inlineStr">
        <is>
          <t>7898100243587</t>
        </is>
      </c>
      <c r="D176" s="7" t="inlineStr">
        <is>
          <t>GRIPALCE 400MG+4MG+4MG CARTELA C/10 CP</t>
        </is>
      </c>
      <c r="E176" s="13" t="n">
        <v>20</v>
      </c>
      <c r="F176" s="13" t="n">
        <v>18</v>
      </c>
      <c r="G176" s="13" t="n">
        <v>1</v>
      </c>
      <c r="H176" s="8" t="n">
        <v>44.97</v>
      </c>
      <c r="I176" s="8">
        <f>G176*H176</f>
        <v/>
      </c>
      <c r="J176" s="8">
        <f>H176/E176</f>
        <v/>
      </c>
      <c r="K176" s="8" t="n">
        <v>1.9845</v>
      </c>
      <c r="L176" s="8" t="n">
        <v>1.85</v>
      </c>
      <c r="M176" s="14">
        <f>J176/K176-1</f>
        <v/>
      </c>
      <c r="N176" s="7" t="inlineStr">
        <is>
          <t>ACIMA +13.3%</t>
        </is>
      </c>
      <c r="O176" s="7" t="inlineStr">
        <is>
          <t>1 emb = 20 un</t>
        </is>
      </c>
    </row>
    <row r="177">
      <c r="A177" s="7" t="n">
        <v>330261</v>
      </c>
      <c r="B177" s="7" t="inlineStr">
        <is>
          <t>6660</t>
        </is>
      </c>
      <c r="C177" s="12" t="inlineStr">
        <is>
          <t>7898100244430</t>
        </is>
      </c>
      <c r="D177" s="7" t="inlineStr">
        <is>
          <t>GRIPALCE CX 20BL X 5 COMP</t>
        </is>
      </c>
      <c r="E177" s="13" t="n">
        <v>20</v>
      </c>
      <c r="F177" s="13" t="n">
        <v>107</v>
      </c>
      <c r="G177" s="13" t="n">
        <v>6</v>
      </c>
      <c r="H177" s="8" t="n">
        <v>26.99</v>
      </c>
      <c r="I177" s="8">
        <f>G177*H177</f>
        <v/>
      </c>
      <c r="J177" s="8">
        <f>H177/E177</f>
        <v/>
      </c>
      <c r="K177" s="8" t="n">
        <v>1.0425</v>
      </c>
      <c r="L177" s="8" t="n">
        <v>1.0425</v>
      </c>
      <c r="M177" s="14">
        <f>J177/K177-1</f>
        <v/>
      </c>
      <c r="N177" s="7" t="inlineStr">
        <is>
          <t>ACIMA +29.4%</t>
        </is>
      </c>
      <c r="O177" s="7" t="inlineStr">
        <is>
          <t>1 emb = 20 un</t>
        </is>
      </c>
    </row>
    <row r="178">
      <c r="A178" s="7" t="n">
        <v>648351</v>
      </c>
      <c r="B178" s="7" t="inlineStr">
        <is>
          <t>1067</t>
        </is>
      </c>
      <c r="C178" s="12" t="inlineStr">
        <is>
          <t>7898108640623</t>
        </is>
      </c>
      <c r="D178" s="7" t="inlineStr">
        <is>
          <t>HASTES FLEX SANCARE 75UN</t>
        </is>
      </c>
      <c r="E178" s="13" t="n">
        <v>1</v>
      </c>
      <c r="F178" s="13" t="n">
        <v>1</v>
      </c>
      <c r="G178" s="13" t="n">
        <v>1</v>
      </c>
      <c r="H178" s="8" t="n">
        <v>1.78</v>
      </c>
      <c r="I178" s="8">
        <f>G178*H178</f>
        <v/>
      </c>
      <c r="J178" s="8">
        <f>H178/E178</f>
        <v/>
      </c>
      <c r="K178" s="8" t="n">
        <v>1.8442</v>
      </c>
      <c r="L178" s="8" t="n">
        <v>1.8442</v>
      </c>
      <c r="M178" s="14">
        <f>J178/K178-1</f>
        <v/>
      </c>
      <c r="N178" s="7" t="inlineStr">
        <is>
          <t>OK (≤ menor hist.)</t>
        </is>
      </c>
      <c r="O178" s="7" t="inlineStr"/>
    </row>
    <row r="179">
      <c r="A179" s="7" t="n">
        <v>531481</v>
      </c>
      <c r="B179" s="7" t="inlineStr">
        <is>
          <t>5565</t>
        </is>
      </c>
      <c r="C179" s="12" t="inlineStr">
        <is>
          <t>7894164005420</t>
        </is>
      </c>
      <c r="D179" s="7" t="inlineStr">
        <is>
          <t>HIDRALI 500ML LARANJA AIRELA</t>
        </is>
      </c>
      <c r="E179" s="13" t="n">
        <v>1</v>
      </c>
      <c r="F179" s="13" t="n">
        <v>7</v>
      </c>
      <c r="G179" s="13" t="n">
        <v>7</v>
      </c>
      <c r="H179" s="8" t="n">
        <v>8.359999999999999</v>
      </c>
      <c r="I179" s="8">
        <f>G179*H179</f>
        <v/>
      </c>
      <c r="J179" s="8">
        <f>H179/E179</f>
        <v/>
      </c>
      <c r="K179" s="8" t="n">
        <v>8.300000000000001</v>
      </c>
      <c r="L179" s="8" t="n">
        <v>7.97</v>
      </c>
      <c r="M179" s="14">
        <f>J179/K179-1</f>
        <v/>
      </c>
      <c r="N179" s="7" t="inlineStr">
        <is>
          <t>ACIMA +0.7%</t>
        </is>
      </c>
      <c r="O179" s="7" t="inlineStr"/>
    </row>
    <row r="180">
      <c r="A180" s="7" t="n">
        <v>531501</v>
      </c>
      <c r="B180" s="7" t="inlineStr">
        <is>
          <t>5688</t>
        </is>
      </c>
      <c r="C180" s="12" t="inlineStr">
        <is>
          <t>7894164005406</t>
        </is>
      </c>
      <c r="D180" s="7" t="inlineStr">
        <is>
          <t>HIDRALI 500ML UVA ROXA AIRELA</t>
        </is>
      </c>
      <c r="E180" s="13" t="n">
        <v>1</v>
      </c>
      <c r="F180" s="13" t="n">
        <v>2</v>
      </c>
      <c r="G180" s="13" t="n">
        <v>2</v>
      </c>
      <c r="H180" s="8" t="n">
        <v>8.359999999999999</v>
      </c>
      <c r="I180" s="8">
        <f>G180*H180</f>
        <v/>
      </c>
      <c r="J180" s="8">
        <f>H180/E180</f>
        <v/>
      </c>
      <c r="K180" s="8" t="n">
        <v>8.300000000000001</v>
      </c>
      <c r="L180" s="8" t="n">
        <v>7.97</v>
      </c>
      <c r="M180" s="14">
        <f>J180/K180-1</f>
        <v/>
      </c>
      <c r="N180" s="7" t="inlineStr">
        <is>
          <t>ACIMA +0.7%</t>
        </is>
      </c>
      <c r="O180" s="7" t="inlineStr"/>
    </row>
    <row r="181">
      <c r="A181" s="7" t="n">
        <v>604151</v>
      </c>
      <c r="B181" s="7" t="inlineStr">
        <is>
          <t>7783</t>
        </is>
      </c>
      <c r="C181" s="12" t="inlineStr">
        <is>
          <t>7894164009473</t>
        </is>
      </c>
      <c r="D181" s="7" t="inlineStr">
        <is>
          <t>HIDRALI PO 28,29G  ENVELOPE CX COM 4 (GUARANÁ)</t>
        </is>
      </c>
      <c r="E181" s="13" t="n">
        <v>1</v>
      </c>
      <c r="F181" s="13" t="n">
        <v>9</v>
      </c>
      <c r="G181" s="13" t="n">
        <v>9</v>
      </c>
      <c r="H181" s="8" t="n">
        <v>8.94</v>
      </c>
      <c r="I181" s="8">
        <f>G181*H181</f>
        <v/>
      </c>
      <c r="J181" s="8">
        <f>H181/E181</f>
        <v/>
      </c>
      <c r="K181" s="8" t="n">
        <v>8.94</v>
      </c>
      <c r="L181" s="8" t="n">
        <v>8.890000000000001</v>
      </c>
      <c r="M181" s="14">
        <f>J181/K181-1</f>
        <v/>
      </c>
      <c r="N181" s="7" t="inlineStr">
        <is>
          <t>OK (≤ últ. compra)</t>
        </is>
      </c>
      <c r="O181" s="7" t="inlineStr"/>
    </row>
    <row r="182">
      <c r="A182" s="7" t="n">
        <v>602561</v>
      </c>
      <c r="B182" s="7" t="inlineStr">
        <is>
          <t>7708</t>
        </is>
      </c>
      <c r="C182" s="12" t="inlineStr">
        <is>
          <t>7894164009466</t>
        </is>
      </c>
      <c r="D182" s="7" t="inlineStr">
        <is>
          <t>HIDRALI PO 28,29G 4ENV LARANJA SOL</t>
        </is>
      </c>
      <c r="E182" s="13" t="n">
        <v>1</v>
      </c>
      <c r="F182" s="13" t="n">
        <v>8</v>
      </c>
      <c r="G182" s="13" t="n">
        <v>8</v>
      </c>
      <c r="H182" s="8" t="n">
        <v>8.94</v>
      </c>
      <c r="I182" s="8">
        <f>G182*H182</f>
        <v/>
      </c>
      <c r="J182" s="8">
        <f>H182/E182</f>
        <v/>
      </c>
      <c r="K182" s="8" t="n">
        <v>8.6</v>
      </c>
      <c r="L182" s="8" t="n">
        <v>8.6</v>
      </c>
      <c r="M182" s="14">
        <f>J182/K182-1</f>
        <v/>
      </c>
      <c r="N182" s="7" t="inlineStr">
        <is>
          <t>ACIMA +4.0%</t>
        </is>
      </c>
      <c r="O182" s="7" t="inlineStr"/>
    </row>
    <row r="183">
      <c r="A183" s="7" t="n">
        <v>604091</v>
      </c>
      <c r="B183" s="7" t="inlineStr">
        <is>
          <t>7693</t>
        </is>
      </c>
      <c r="C183" s="12" t="inlineStr">
        <is>
          <t>7894164009510</t>
        </is>
      </c>
      <c r="D183" s="7" t="inlineStr">
        <is>
          <t>HIDRALI PO NATURAL  UND</t>
        </is>
      </c>
      <c r="E183" s="13" t="n">
        <v>1</v>
      </c>
      <c r="F183" s="13" t="n">
        <v>2</v>
      </c>
      <c r="G183" s="13" t="n">
        <v>2</v>
      </c>
      <c r="H183" s="8" t="n">
        <v>8.94</v>
      </c>
      <c r="I183" s="8">
        <f>G183*H183</f>
        <v/>
      </c>
      <c r="J183" s="8">
        <f>H183/E183</f>
        <v/>
      </c>
      <c r="K183" s="8" t="n">
        <v>8.890000000000001</v>
      </c>
      <c r="L183" s="8" t="n">
        <v>8.890000000000001</v>
      </c>
      <c r="M183" s="14">
        <f>J183/K183-1</f>
        <v/>
      </c>
      <c r="N183" s="7" t="inlineStr">
        <is>
          <t>ACIMA +0.6%</t>
        </is>
      </c>
      <c r="O183" s="7" t="inlineStr"/>
    </row>
    <row r="184">
      <c r="A184" s="7" t="n">
        <v>558881</v>
      </c>
      <c r="B184" s="7" t="inlineStr">
        <is>
          <t>313</t>
        </is>
      </c>
      <c r="C184" s="12" t="inlineStr">
        <is>
          <t>7898133137358</t>
        </is>
      </c>
      <c r="D184" s="7" t="inlineStr">
        <is>
          <t>HIDRAPLEX PO 27,9G ENVELOPE  FRACIONADO  UVA EN</t>
        </is>
      </c>
      <c r="E184" s="13" t="n">
        <v>1</v>
      </c>
      <c r="F184" s="13" t="n">
        <v>2</v>
      </c>
      <c r="G184" s="13" t="n">
        <v>2</v>
      </c>
      <c r="H184" s="8" t="n">
        <v>11.41</v>
      </c>
      <c r="I184" s="8">
        <f>G184*H184</f>
        <v/>
      </c>
      <c r="J184" s="8">
        <f>H184/E184</f>
        <v/>
      </c>
      <c r="K184" s="8" t="n">
        <v>2.475</v>
      </c>
      <c r="L184" s="8" t="n">
        <v>2.475</v>
      </c>
      <c r="M184" s="14">
        <f>J184/K184-1</f>
        <v/>
      </c>
      <c r="N184" s="7" t="inlineStr">
        <is>
          <t>ACIMA +361.0%</t>
        </is>
      </c>
      <c r="O184" s="7" t="inlineStr">
        <is>
          <t>conferir emb.</t>
        </is>
      </c>
    </row>
    <row r="185">
      <c r="A185" s="7" t="n">
        <v>531541</v>
      </c>
      <c r="B185" s="7" t="inlineStr">
        <is>
          <t>6293</t>
        </is>
      </c>
      <c r="C185" s="12" t="inlineStr">
        <is>
          <t>7894164006755</t>
        </is>
      </c>
      <c r="D185" s="7" t="inlineStr">
        <is>
          <t>HIDROXIDO ALUMINIO SAB HORTELA 100ML</t>
        </is>
      </c>
      <c r="E185" s="13" t="n">
        <v>1</v>
      </c>
      <c r="F185" s="13" t="n">
        <v>53</v>
      </c>
      <c r="G185" s="13" t="n">
        <v>53</v>
      </c>
      <c r="H185" s="8" t="n">
        <v>6.08</v>
      </c>
      <c r="I185" s="8">
        <f>G185*H185</f>
        <v/>
      </c>
      <c r="J185" s="8">
        <f>H185/E185</f>
        <v/>
      </c>
      <c r="K185" s="8" t="n">
        <v>5.28</v>
      </c>
      <c r="L185" s="8" t="n">
        <v>4.65</v>
      </c>
      <c r="M185" s="14">
        <f>J185/K185-1</f>
        <v/>
      </c>
      <c r="N185" s="7" t="inlineStr">
        <is>
          <t>ACIMA +15.2%</t>
        </is>
      </c>
      <c r="O185" s="7" t="inlineStr"/>
    </row>
    <row r="186">
      <c r="A186" s="7" t="n">
        <v>531561</v>
      </c>
      <c r="B186" s="7" t="inlineStr">
        <is>
          <t>6167</t>
        </is>
      </c>
      <c r="C186" s="12" t="inlineStr">
        <is>
          <t>7894164006762</t>
        </is>
      </c>
      <c r="D186" s="7" t="inlineStr">
        <is>
          <t>HIDROXIDO ALUMINIO SAB HORTELA 150ML</t>
        </is>
      </c>
      <c r="E186" s="13" t="n">
        <v>1</v>
      </c>
      <c r="F186" s="13" t="n">
        <v>4</v>
      </c>
      <c r="G186" s="13" t="n">
        <v>4</v>
      </c>
      <c r="H186" s="8" t="n">
        <v>7.25</v>
      </c>
      <c r="I186" s="8">
        <f>G186*H186</f>
        <v/>
      </c>
      <c r="J186" s="8">
        <f>H186/E186</f>
        <v/>
      </c>
      <c r="K186" s="8" t="n">
        <v>7.25</v>
      </c>
      <c r="L186" s="8" t="n">
        <v>7.25</v>
      </c>
      <c r="M186" s="14">
        <f>J186/K186-1</f>
        <v/>
      </c>
      <c r="N186" s="7" t="inlineStr">
        <is>
          <t>OK (≤ menor hist.)</t>
        </is>
      </c>
      <c r="O186" s="7" t="inlineStr"/>
    </row>
    <row r="187">
      <c r="A187" s="7" t="n">
        <v>359601</v>
      </c>
      <c r="B187" s="7" t="inlineStr">
        <is>
          <t>578</t>
        </is>
      </c>
      <c r="C187" s="12" t="inlineStr">
        <is>
          <t>7898122911587</t>
        </is>
      </c>
      <c r="D187" s="7" t="inlineStr">
        <is>
          <t>HYPLEX B SOL INJ IM CX 100 AMP VD AMB X 2 ML</t>
        </is>
      </c>
      <c r="E187" s="13" t="n">
        <v>1</v>
      </c>
      <c r="F187" s="13" t="n">
        <v>1</v>
      </c>
      <c r="G187" s="13" t="n">
        <v>1</v>
      </c>
      <c r="H187" s="8" t="n">
        <v>126.14</v>
      </c>
      <c r="I187" s="8">
        <f>G187*H187</f>
        <v/>
      </c>
      <c r="J187" s="8">
        <f>H187/E187</f>
        <v/>
      </c>
      <c r="K187" s="8" t="n">
        <v>1.4052</v>
      </c>
      <c r="L187" s="8" t="n">
        <v>1.4052</v>
      </c>
      <c r="M187" s="14">
        <f>J187/K187-1</f>
        <v/>
      </c>
      <c r="N187" s="7" t="inlineStr">
        <is>
          <t>ACIMA +8876.7%</t>
        </is>
      </c>
      <c r="O187" s="7" t="inlineStr">
        <is>
          <t>conferir emb.</t>
        </is>
      </c>
    </row>
    <row r="188">
      <c r="A188" s="7" t="n">
        <v>627841</v>
      </c>
      <c r="B188" s="7" t="inlineStr">
        <is>
          <t>379</t>
        </is>
      </c>
      <c r="C188" s="12" t="inlineStr">
        <is>
          <t>7897344301527</t>
        </is>
      </c>
      <c r="D188" s="7" t="inlineStr">
        <is>
          <t>ICE GEL 250G POTE</t>
        </is>
      </c>
      <c r="E188" s="13" t="n">
        <v>1</v>
      </c>
      <c r="F188" s="13" t="n">
        <v>5</v>
      </c>
      <c r="G188" s="13" t="n">
        <v>5</v>
      </c>
      <c r="H188" s="8" t="n">
        <v>8.1</v>
      </c>
      <c r="I188" s="8">
        <f>G188*H188</f>
        <v/>
      </c>
      <c r="J188" s="8">
        <f>H188/E188</f>
        <v/>
      </c>
      <c r="K188" s="8" t="n">
        <v>8.1</v>
      </c>
      <c r="L188" s="8" t="n">
        <v>8.1</v>
      </c>
      <c r="M188" s="14">
        <f>J188/K188-1</f>
        <v/>
      </c>
      <c r="N188" s="7" t="inlineStr">
        <is>
          <t>OK (≤ menor hist.)</t>
        </is>
      </c>
      <c r="O188" s="7" t="inlineStr"/>
    </row>
    <row r="189">
      <c r="A189" s="7" t="n">
        <v>153041</v>
      </c>
      <c r="B189" s="7" t="inlineStr">
        <is>
          <t>3581</t>
        </is>
      </c>
      <c r="C189" s="12" t="inlineStr">
        <is>
          <t>7898060132297</t>
        </is>
      </c>
      <c r="D189" s="7" t="inlineStr">
        <is>
          <t>INTESTIN 2MG CX 12 COMP</t>
        </is>
      </c>
      <c r="E189" s="13" t="n">
        <v>1</v>
      </c>
      <c r="F189" s="13" t="n">
        <v>2</v>
      </c>
      <c r="G189" s="13" t="n">
        <v>2</v>
      </c>
      <c r="H189" s="8" t="n">
        <v>2.08</v>
      </c>
      <c r="I189" s="8">
        <f>G189*H189</f>
        <v/>
      </c>
      <c r="J189" s="8">
        <f>H189/E189</f>
        <v/>
      </c>
      <c r="K189" s="8" t="n">
        <v>2.02</v>
      </c>
      <c r="L189" s="8" t="n">
        <v>2.02</v>
      </c>
      <c r="M189" s="14">
        <f>J189/K189-1</f>
        <v/>
      </c>
      <c r="N189" s="7" t="inlineStr">
        <is>
          <t>ACIMA +3.0%</t>
        </is>
      </c>
      <c r="O189" s="7" t="inlineStr"/>
    </row>
    <row r="190">
      <c r="A190" s="7" t="n">
        <v>630311</v>
      </c>
      <c r="B190" s="7" t="inlineStr">
        <is>
          <t>8406</t>
        </is>
      </c>
      <c r="C190" s="12" t="inlineStr">
        <is>
          <t>7898687735901</t>
        </is>
      </c>
      <c r="D190" s="7" t="inlineStr">
        <is>
          <t>IROSE  NITAZOXANIDA 20MG/ML PO SUS OR FR 45ML+SER DOS</t>
        </is>
      </c>
      <c r="E190" s="13" t="n">
        <v>1</v>
      </c>
      <c r="F190" s="13" t="n">
        <v>7</v>
      </c>
      <c r="G190" s="13" t="n">
        <v>7</v>
      </c>
      <c r="H190" s="8" t="n">
        <v>7.85</v>
      </c>
      <c r="I190" s="8">
        <f>G190*H190</f>
        <v/>
      </c>
      <c r="J190" s="8">
        <f>H190/E190</f>
        <v/>
      </c>
      <c r="K190" s="8" t="n">
        <v>7.32</v>
      </c>
      <c r="L190" s="8" t="n">
        <v>7.32</v>
      </c>
      <c r="M190" s="14">
        <f>J190/K190-1</f>
        <v/>
      </c>
      <c r="N190" s="7" t="inlineStr">
        <is>
          <t>ACIMA +7.2%</t>
        </is>
      </c>
      <c r="O190" s="7" t="inlineStr"/>
    </row>
    <row r="191">
      <c r="A191" s="7" t="n">
        <v>553601</v>
      </c>
      <c r="B191" s="7" t="inlineStr">
        <is>
          <t>3745</t>
        </is>
      </c>
      <c r="C191" s="12" t="inlineStr">
        <is>
          <t>7896523207834</t>
        </is>
      </c>
      <c r="D191" s="7" t="inlineStr">
        <is>
          <t>K-MED GEL BG 25 G</t>
        </is>
      </c>
      <c r="E191" s="13" t="n">
        <v>1</v>
      </c>
      <c r="F191" s="13" t="n">
        <v>13</v>
      </c>
      <c r="G191" s="13" t="n">
        <v>13</v>
      </c>
      <c r="H191" s="8" t="n">
        <v>5.67</v>
      </c>
      <c r="I191" s="8">
        <f>G191*H191</f>
        <v/>
      </c>
      <c r="J191" s="8">
        <f>H191/E191</f>
        <v/>
      </c>
      <c r="K191" s="8" t="n">
        <v>6.59</v>
      </c>
      <c r="L191" s="8" t="n">
        <v>2.99</v>
      </c>
      <c r="M191" s="14">
        <f>J191/K191-1</f>
        <v/>
      </c>
      <c r="N191" s="7" t="inlineStr">
        <is>
          <t>OK (≤ últ. compra)</t>
        </is>
      </c>
      <c r="O191" s="7" t="inlineStr"/>
    </row>
    <row r="192">
      <c r="A192" s="7" t="n">
        <v>14103</v>
      </c>
      <c r="B192" s="7" t="inlineStr">
        <is>
          <t>4377</t>
        </is>
      </c>
      <c r="C192" s="12" t="inlineStr">
        <is>
          <t>7899620913202</t>
        </is>
      </c>
      <c r="D192" s="7" t="inlineStr">
        <is>
          <t>KALOSTOP (N.S.) 0,20+0,15ML/ML SOL FR 10ML</t>
        </is>
      </c>
      <c r="E192" s="13" t="n">
        <v>1</v>
      </c>
      <c r="F192" s="13" t="n">
        <v>1</v>
      </c>
      <c r="G192" s="13" t="n">
        <v>1</v>
      </c>
      <c r="H192" s="8" t="n">
        <v>8.73</v>
      </c>
      <c r="I192" s="8">
        <f>G192*H192</f>
        <v/>
      </c>
      <c r="J192" s="8">
        <f>H192/E192</f>
        <v/>
      </c>
      <c r="K192" s="8" t="n">
        <v>8.41</v>
      </c>
      <c r="L192" s="8" t="n">
        <v>8.359999999999999</v>
      </c>
      <c r="M192" s="14">
        <f>J192/K192-1</f>
        <v/>
      </c>
      <c r="N192" s="7" t="inlineStr">
        <is>
          <t>ACIMA +3.8%</t>
        </is>
      </c>
      <c r="O192" s="7" t="inlineStr"/>
    </row>
    <row r="193">
      <c r="A193" s="7" t="n">
        <v>3583</v>
      </c>
      <c r="B193" s="7" t="inlineStr">
        <is>
          <t>8512</t>
        </is>
      </c>
      <c r="C193" s="12" t="inlineStr">
        <is>
          <t>7898953484311</t>
        </is>
      </c>
      <c r="D193" s="7" t="inlineStr">
        <is>
          <t>KIT PARA COLETA DE URINA C/1 TUBO</t>
        </is>
      </c>
      <c r="E193" s="13" t="n">
        <v>1</v>
      </c>
      <c r="F193" s="13" t="n">
        <v>8</v>
      </c>
      <c r="G193" s="13" t="n">
        <v>8</v>
      </c>
      <c r="H193" s="8" t="n">
        <v>1.03</v>
      </c>
      <c r="I193" s="8">
        <f>G193*H193</f>
        <v/>
      </c>
      <c r="J193" s="8">
        <f>H193/E193</f>
        <v/>
      </c>
      <c r="K193" s="8" t="n">
        <v>0.89</v>
      </c>
      <c r="L193" s="8" t="n">
        <v>0.89</v>
      </c>
      <c r="M193" s="14">
        <f>J193/K193-1</f>
        <v/>
      </c>
      <c r="N193" s="7" t="inlineStr">
        <is>
          <t>ACIMA +15.7%</t>
        </is>
      </c>
      <c r="O193" s="7" t="inlineStr"/>
    </row>
    <row r="194">
      <c r="A194" s="7" t="n">
        <v>152141</v>
      </c>
      <c r="B194" s="7" t="inlineStr">
        <is>
          <t>42</t>
        </is>
      </c>
      <c r="C194" s="12" t="inlineStr">
        <is>
          <t>7898216361403</t>
        </is>
      </c>
      <c r="D194" s="7" t="inlineStr">
        <is>
          <t>LABCAINA 50MG POM DERM BG 25G</t>
        </is>
      </c>
      <c r="E194" s="13" t="n">
        <v>1</v>
      </c>
      <c r="F194" s="13" t="n">
        <v>3</v>
      </c>
      <c r="G194" s="13" t="n">
        <v>3</v>
      </c>
      <c r="H194" s="8" t="n">
        <v>8.82</v>
      </c>
      <c r="I194" s="8">
        <f>G194*H194</f>
        <v/>
      </c>
      <c r="J194" s="8">
        <f>H194/E194</f>
        <v/>
      </c>
      <c r="K194" s="8" t="n">
        <v>7.21</v>
      </c>
      <c r="L194" s="8" t="n">
        <v>7.21</v>
      </c>
      <c r="M194" s="14">
        <f>J194/K194-1</f>
        <v/>
      </c>
      <c r="N194" s="7" t="inlineStr">
        <is>
          <t>ACIMA +22.3%</t>
        </is>
      </c>
      <c r="O194" s="7" t="inlineStr"/>
    </row>
    <row r="195">
      <c r="A195" s="7" t="n">
        <v>3203</v>
      </c>
      <c r="B195" s="7" t="inlineStr">
        <is>
          <t>8602</t>
        </is>
      </c>
      <c r="C195" s="12" t="inlineStr">
        <is>
          <t>7898953484304</t>
        </is>
      </c>
      <c r="D195" s="7" t="inlineStr">
        <is>
          <t>LAVADOR NASAL COM FRASCO 300ML C/2 BICOS</t>
        </is>
      </c>
      <c r="E195" s="13" t="n">
        <v>1</v>
      </c>
      <c r="F195" s="13" t="n">
        <v>2</v>
      </c>
      <c r="G195" s="13" t="n">
        <v>2</v>
      </c>
      <c r="H195" s="8" t="n">
        <v>11.49</v>
      </c>
      <c r="I195" s="8">
        <f>G195*H195</f>
        <v/>
      </c>
      <c r="J195" s="8">
        <f>H195/E195</f>
        <v/>
      </c>
      <c r="K195" s="8" t="n">
        <v>11.49</v>
      </c>
      <c r="L195" s="8" t="n">
        <v>11.49</v>
      </c>
      <c r="M195" s="14">
        <f>J195/K195-1</f>
        <v/>
      </c>
      <c r="N195" s="7" t="inlineStr">
        <is>
          <t>OK (≤ menor hist.)</t>
        </is>
      </c>
      <c r="O195" s="7" t="inlineStr"/>
    </row>
    <row r="196">
      <c r="A196" s="7" t="n">
        <v>546081</v>
      </c>
      <c r="B196" s="7" t="inlineStr">
        <is>
          <t>2228</t>
        </is>
      </c>
      <c r="C196" s="12" t="inlineStr">
        <is>
          <t>7897947612358</t>
        </is>
      </c>
      <c r="D196" s="7" t="inlineStr">
        <is>
          <t>LAVITAN MEMORIA 60CP</t>
        </is>
      </c>
      <c r="E196" s="13" t="n">
        <v>1</v>
      </c>
      <c r="F196" s="13" t="n">
        <v>7</v>
      </c>
      <c r="G196" s="13" t="n">
        <v>7</v>
      </c>
      <c r="H196" s="8" t="n">
        <v>14.85</v>
      </c>
      <c r="I196" s="8">
        <f>G196*H196</f>
        <v/>
      </c>
      <c r="J196" s="8">
        <f>H196/E196</f>
        <v/>
      </c>
      <c r="K196" s="8" t="n">
        <v>21.27</v>
      </c>
      <c r="L196" s="8" t="n">
        <v>21.27</v>
      </c>
      <c r="M196" s="14">
        <f>J196/K196-1</f>
        <v/>
      </c>
      <c r="N196" s="7" t="inlineStr">
        <is>
          <t>OK (≤ menor hist.)</t>
        </is>
      </c>
      <c r="O196" s="7" t="inlineStr"/>
    </row>
    <row r="197">
      <c r="A197" s="7" t="n">
        <v>546481</v>
      </c>
      <c r="B197" s="7" t="inlineStr">
        <is>
          <t>6961</t>
        </is>
      </c>
      <c r="C197" s="12" t="inlineStr">
        <is>
          <t>7897947600928</t>
        </is>
      </c>
      <c r="D197" s="7" t="inlineStr">
        <is>
          <t>LAVITAN VIT 50+ 60CP</t>
        </is>
      </c>
      <c r="E197" s="13" t="n">
        <v>1</v>
      </c>
      <c r="F197" s="13" t="n">
        <v>11</v>
      </c>
      <c r="G197" s="13" t="n">
        <v>11</v>
      </c>
      <c r="H197" s="8" t="n">
        <v>14.85</v>
      </c>
      <c r="I197" s="8">
        <f>G197*H197</f>
        <v/>
      </c>
      <c r="J197" s="8">
        <f>H197/E197</f>
        <v/>
      </c>
      <c r="K197" s="8" t="n">
        <v>14.85</v>
      </c>
      <c r="L197" s="8" t="n">
        <v>14.85</v>
      </c>
      <c r="M197" s="14">
        <f>J197/K197-1</f>
        <v/>
      </c>
      <c r="N197" s="7" t="inlineStr">
        <is>
          <t>OK (≤ menor hist.)</t>
        </is>
      </c>
      <c r="O197" s="7" t="inlineStr"/>
    </row>
    <row r="198">
      <c r="A198" s="7" t="n">
        <v>550901</v>
      </c>
      <c r="B198" s="7" t="inlineStr">
        <is>
          <t>660</t>
        </is>
      </c>
      <c r="C198" s="12" t="inlineStr">
        <is>
          <t>7897947606517</t>
        </is>
      </c>
      <c r="D198" s="7" t="inlineStr">
        <is>
          <t>LAVITAN VIT AZ ORIGINAL COMP REV FR C/60</t>
        </is>
      </c>
      <c r="E198" s="13" t="n">
        <v>1</v>
      </c>
      <c r="F198" s="13" t="n">
        <v>19</v>
      </c>
      <c r="G198" s="13" t="n">
        <v>19</v>
      </c>
      <c r="H198" s="8" t="n">
        <v>14.85</v>
      </c>
      <c r="I198" s="8">
        <f>G198*H198</f>
        <v/>
      </c>
      <c r="J198" s="8">
        <f>H198/E198</f>
        <v/>
      </c>
      <c r="K198" s="8" t="n">
        <v>9.99</v>
      </c>
      <c r="L198" s="8" t="n">
        <v>9.99</v>
      </c>
      <c r="M198" s="14">
        <f>J198/K198-1</f>
        <v/>
      </c>
      <c r="N198" s="7" t="inlineStr">
        <is>
          <t>ACIMA +48.6%</t>
        </is>
      </c>
      <c r="O198" s="7" t="inlineStr"/>
    </row>
    <row r="199">
      <c r="A199" s="7" t="n">
        <v>556981</v>
      </c>
      <c r="B199" s="7" t="inlineStr">
        <is>
          <t>2944</t>
        </is>
      </c>
      <c r="C199" s="12" t="inlineStr">
        <is>
          <t>7897947607996</t>
        </is>
      </c>
      <c r="D199" s="7" t="inlineStr">
        <is>
          <t>LAVITAN VIT CABELOS E UNHAS 30CP</t>
        </is>
      </c>
      <c r="E199" s="13" t="n">
        <v>1</v>
      </c>
      <c r="F199" s="13" t="n">
        <v>8</v>
      </c>
      <c r="G199" s="13" t="n">
        <v>8</v>
      </c>
      <c r="H199" s="8" t="n">
        <v>12.62</v>
      </c>
      <c r="I199" s="8">
        <f>G199*H199</f>
        <v/>
      </c>
      <c r="J199" s="8">
        <f>H199/E199</f>
        <v/>
      </c>
      <c r="K199" s="8" t="n">
        <v>8.99</v>
      </c>
      <c r="L199" s="8" t="n">
        <v>6.99</v>
      </c>
      <c r="M199" s="14">
        <f>J199/K199-1</f>
        <v/>
      </c>
      <c r="N199" s="7" t="inlineStr">
        <is>
          <t>ACIMA +40.4%</t>
        </is>
      </c>
      <c r="O199" s="7" t="inlineStr"/>
    </row>
    <row r="200">
      <c r="A200" s="7" t="n">
        <v>553661</v>
      </c>
      <c r="B200" s="7" t="inlineStr">
        <is>
          <t>716</t>
        </is>
      </c>
      <c r="C200" s="12" t="inlineStr">
        <is>
          <t>7897947614673</t>
        </is>
      </c>
      <c r="D200" s="7" t="inlineStr">
        <is>
          <t>LAVITAN VIT INF SOL OR FR 240ML TUT FRUT</t>
        </is>
      </c>
      <c r="E200" s="13" t="n">
        <v>1</v>
      </c>
      <c r="F200" s="13" t="n">
        <v>2</v>
      </c>
      <c r="G200" s="13" t="n">
        <v>2</v>
      </c>
      <c r="H200" s="8" t="n">
        <v>13.85</v>
      </c>
      <c r="I200" s="8">
        <f>G200*H200</f>
        <v/>
      </c>
      <c r="J200" s="8">
        <f>H200/E200</f>
        <v/>
      </c>
      <c r="K200" s="8" t="n">
        <v>10.99</v>
      </c>
      <c r="L200" s="8" t="n">
        <v>8.99</v>
      </c>
      <c r="M200" s="14">
        <f>J200/K200-1</f>
        <v/>
      </c>
      <c r="N200" s="7" t="inlineStr">
        <is>
          <t>ACIMA +26.0%</t>
        </is>
      </c>
      <c r="O200" s="7" t="inlineStr"/>
    </row>
    <row r="201">
      <c r="A201" s="7" t="n">
        <v>627791</v>
      </c>
      <c r="B201" s="7" t="inlineStr">
        <is>
          <t>8628</t>
        </is>
      </c>
      <c r="C201" s="12" t="inlineStr">
        <is>
          <t>7897947617605</t>
        </is>
      </c>
      <c r="D201" s="7" t="inlineStr">
        <is>
          <t>LAVITAN ZMA PERFORMANCE COMP 2 BL X 15</t>
        </is>
      </c>
      <c r="E201" s="13" t="n">
        <v>1</v>
      </c>
      <c r="F201" s="13" t="n">
        <v>10</v>
      </c>
      <c r="G201" s="13" t="n">
        <v>10</v>
      </c>
      <c r="H201" s="8" t="n">
        <v>13.5</v>
      </c>
      <c r="I201" s="8">
        <f>G201*H201</f>
        <v/>
      </c>
      <c r="J201" s="8">
        <f>H201/E201</f>
        <v/>
      </c>
      <c r="K201" s="8" t="n">
        <v>18.36</v>
      </c>
      <c r="L201" s="8" t="n">
        <v>16.39</v>
      </c>
      <c r="M201" s="14">
        <f>J201/K201-1</f>
        <v/>
      </c>
      <c r="N201" s="7" t="inlineStr">
        <is>
          <t>OK (≤ menor hist.)</t>
        </is>
      </c>
      <c r="O201" s="7" t="inlineStr"/>
    </row>
    <row r="202">
      <c r="A202" s="7" t="n">
        <v>560241</v>
      </c>
      <c r="B202" s="7" t="inlineStr">
        <is>
          <t>7046</t>
        </is>
      </c>
      <c r="C202" s="12" t="inlineStr">
        <is>
          <t>7894164008209</t>
        </is>
      </c>
      <c r="D202" s="7" t="inlineStr">
        <is>
          <t>LEFLORA 6 CAP</t>
        </is>
      </c>
      <c r="E202" s="13" t="n">
        <v>1</v>
      </c>
      <c r="F202" s="13" t="n">
        <v>1</v>
      </c>
      <c r="G202" s="13" t="n">
        <v>1</v>
      </c>
      <c r="H202" s="8" t="n">
        <v>10.52</v>
      </c>
      <c r="I202" s="8">
        <f>G202*H202</f>
        <v/>
      </c>
      <c r="J202" s="8">
        <f>H202/E202</f>
        <v/>
      </c>
      <c r="K202" s="8" t="n">
        <v>10.42</v>
      </c>
      <c r="L202" s="8" t="n">
        <v>10.03</v>
      </c>
      <c r="M202" s="14">
        <f>J202/K202-1</f>
        <v/>
      </c>
      <c r="N202" s="7" t="inlineStr">
        <is>
          <t>ACIMA +1.0%</t>
        </is>
      </c>
      <c r="O202" s="7" t="inlineStr"/>
    </row>
    <row r="203">
      <c r="A203" s="7" t="n">
        <v>4083</v>
      </c>
      <c r="B203" s="7" t="inlineStr">
        <is>
          <t>8859</t>
        </is>
      </c>
      <c r="C203" s="12" t="inlineStr">
        <is>
          <t>7898575780754</t>
        </is>
      </c>
      <c r="D203" s="7" t="inlineStr">
        <is>
          <t>LEITE DE MAGNESIA 100ML HORTELA</t>
        </is>
      </c>
      <c r="E203" s="13" t="n">
        <v>1</v>
      </c>
      <c r="F203" s="13" t="n">
        <v>6</v>
      </c>
      <c r="G203" s="13" t="n">
        <v>6</v>
      </c>
      <c r="H203" s="8" t="n">
        <v>1.99</v>
      </c>
      <c r="I203" s="8">
        <f>G203*H203</f>
        <v/>
      </c>
      <c r="J203" s="8">
        <f>H203/E203</f>
        <v/>
      </c>
      <c r="K203" s="8" t="n">
        <v>3.54</v>
      </c>
      <c r="L203" s="8" t="n">
        <v>3.54</v>
      </c>
      <c r="M203" s="14">
        <f>J203/K203-1</f>
        <v/>
      </c>
      <c r="N203" s="7" t="inlineStr">
        <is>
          <t>OK (≤ menor hist.)</t>
        </is>
      </c>
      <c r="O203" s="7" t="inlineStr"/>
    </row>
    <row r="204">
      <c r="A204" s="7" t="n">
        <v>556441</v>
      </c>
      <c r="B204" s="7" t="inlineStr">
        <is>
          <t>7076</t>
        </is>
      </c>
      <c r="C204" s="12" t="inlineStr">
        <is>
          <t>7897732607323</t>
        </is>
      </c>
      <c r="D204" s="7" t="inlineStr">
        <is>
          <t>LEITE DE MAGNESIA 100ML TRADICIONAL</t>
        </is>
      </c>
      <c r="E204" s="13" t="n">
        <v>1</v>
      </c>
      <c r="F204" s="13" t="n">
        <v>5</v>
      </c>
      <c r="G204" s="13" t="n">
        <v>5</v>
      </c>
      <c r="H204" s="8" t="n">
        <v>4.65</v>
      </c>
      <c r="I204" s="8">
        <f>G204*H204</f>
        <v/>
      </c>
      <c r="J204" s="8">
        <f>H204/E204</f>
        <v/>
      </c>
      <c r="K204" s="8" t="n">
        <v>4.12</v>
      </c>
      <c r="L204" s="8" t="n">
        <v>4.12</v>
      </c>
      <c r="M204" s="14">
        <f>J204/K204-1</f>
        <v/>
      </c>
      <c r="N204" s="7" t="inlineStr">
        <is>
          <t>ACIMA +12.9%</t>
        </is>
      </c>
      <c r="O204" s="7" t="inlineStr"/>
    </row>
    <row r="205">
      <c r="A205" s="7" t="n">
        <v>646631</v>
      </c>
      <c r="B205" s="7" t="inlineStr">
        <is>
          <t>7615</t>
        </is>
      </c>
      <c r="C205" s="12" t="inlineStr">
        <is>
          <t>7898031310211</t>
        </is>
      </c>
      <c r="D205" s="7" t="inlineStr">
        <is>
          <t>LEITE DE MAGNESIA 120ML TRADICIONAL</t>
        </is>
      </c>
      <c r="E205" s="13" t="n">
        <v>1</v>
      </c>
      <c r="F205" s="13" t="n">
        <v>2</v>
      </c>
      <c r="G205" s="13" t="n">
        <v>2</v>
      </c>
      <c r="H205" s="8" t="n">
        <v>5</v>
      </c>
      <c r="I205" s="8">
        <f>G205*H205</f>
        <v/>
      </c>
      <c r="J205" s="8">
        <f>H205/E205</f>
        <v/>
      </c>
      <c r="K205" s="8" t="n">
        <v>5.01</v>
      </c>
      <c r="L205" s="8" t="n">
        <v>5.01</v>
      </c>
      <c r="M205" s="14">
        <f>J205/K205-1</f>
        <v/>
      </c>
      <c r="N205" s="7" t="inlineStr">
        <is>
          <t>OK (≤ menor hist.)</t>
        </is>
      </c>
      <c r="O205" s="7" t="inlineStr"/>
    </row>
    <row r="206">
      <c r="A206" s="7" t="n">
        <v>651461</v>
      </c>
      <c r="B206" s="7" t="inlineStr">
        <is>
          <t>8917</t>
        </is>
      </c>
      <c r="C206" s="12" t="inlineStr">
        <is>
          <t>7898179711314</t>
        </is>
      </c>
      <c r="D206" s="7" t="inlineStr">
        <is>
          <t>LEITE DE MAGNESIA GASTRIMEC 100ML TRADIC</t>
        </is>
      </c>
      <c r="E206" s="13" t="n">
        <v>1</v>
      </c>
      <c r="F206" s="13" t="n">
        <v>11</v>
      </c>
      <c r="G206" s="13" t="n">
        <v>11</v>
      </c>
      <c r="H206" s="8" t="n">
        <v>4.58</v>
      </c>
      <c r="I206" s="8">
        <f>G206*H206</f>
        <v/>
      </c>
      <c r="J206" s="8">
        <f>H206/E206</f>
        <v/>
      </c>
      <c r="K206" s="8" t="n">
        <v>4.5</v>
      </c>
      <c r="L206" s="8" t="n">
        <v>4.5</v>
      </c>
      <c r="M206" s="14">
        <f>J206/K206-1</f>
        <v/>
      </c>
      <c r="N206" s="7" t="inlineStr">
        <is>
          <t>ACIMA +1.8%</t>
        </is>
      </c>
      <c r="O206" s="7" t="inlineStr"/>
    </row>
    <row r="207">
      <c r="A207" s="7" t="n">
        <v>55801</v>
      </c>
      <c r="B207" s="7" t="inlineStr">
        <is>
          <t>2610</t>
        </is>
      </c>
      <c r="C207" s="12" t="inlineStr">
        <is>
          <t>7898060133904</t>
        </is>
      </c>
      <c r="D207" s="7" t="inlineStr">
        <is>
          <t>LERGIDRIN 0,4+0,05MG/ML XPE FR X 120ML+CM</t>
        </is>
      </c>
      <c r="E207" s="13" t="n">
        <v>1</v>
      </c>
      <c r="F207" s="13" t="n">
        <v>4</v>
      </c>
      <c r="G207" s="13" t="n">
        <v>4</v>
      </c>
      <c r="H207" s="8" t="n">
        <v>4.5</v>
      </c>
      <c r="I207" s="8">
        <f>G207*H207</f>
        <v/>
      </c>
      <c r="J207" s="8">
        <f>H207/E207</f>
        <v/>
      </c>
      <c r="K207" s="8" t="n">
        <v>4.31</v>
      </c>
      <c r="L207" s="8" t="n">
        <v>4.31</v>
      </c>
      <c r="M207" s="14">
        <f>J207/K207-1</f>
        <v/>
      </c>
      <c r="N207" s="7" t="inlineStr">
        <is>
          <t>ACIMA +4.4%</t>
        </is>
      </c>
      <c r="O207" s="7" t="inlineStr"/>
    </row>
    <row r="208">
      <c r="A208" s="7" t="n">
        <v>151761</v>
      </c>
      <c r="B208" s="7" t="inlineStr">
        <is>
          <t>385</t>
        </is>
      </c>
      <c r="C208" s="12" t="inlineStr">
        <is>
          <t>7893454100555</t>
        </is>
      </c>
      <c r="D208" s="7" t="inlineStr">
        <is>
          <t>LIDIAL 50MG/G POM BG 25G</t>
        </is>
      </c>
      <c r="E208" s="13" t="n">
        <v>1</v>
      </c>
      <c r="F208" s="13" t="n">
        <v>3</v>
      </c>
      <c r="G208" s="13" t="n">
        <v>3</v>
      </c>
      <c r="H208" s="8" t="n">
        <v>6.95</v>
      </c>
      <c r="I208" s="8">
        <f>G208*H208</f>
        <v/>
      </c>
      <c r="J208" s="8">
        <f>H208/E208</f>
        <v/>
      </c>
      <c r="K208" s="8" t="n">
        <v>6.73</v>
      </c>
      <c r="L208" s="8" t="n">
        <v>6.73</v>
      </c>
      <c r="M208" s="14">
        <f>J208/K208-1</f>
        <v/>
      </c>
      <c r="N208" s="7" t="inlineStr">
        <is>
          <t>ACIMA +3.3%</t>
        </is>
      </c>
      <c r="O208" s="7" t="inlineStr"/>
    </row>
    <row r="209">
      <c r="A209" s="7" t="n">
        <v>616271</v>
      </c>
      <c r="B209" s="7" t="inlineStr">
        <is>
          <t>7932</t>
        </is>
      </c>
      <c r="C209" s="12" t="inlineStr">
        <is>
          <t>7894164010301</t>
        </is>
      </c>
      <c r="D209" s="7" t="inlineStr">
        <is>
          <t>LORATADINA 1MG/ML 100ML XPE UN</t>
        </is>
      </c>
      <c r="E209" s="13" t="n">
        <v>1</v>
      </c>
      <c r="F209" s="13" t="n">
        <v>4</v>
      </c>
      <c r="G209" s="13" t="n">
        <v>4</v>
      </c>
      <c r="H209" s="8" t="n">
        <v>5.93</v>
      </c>
      <c r="I209" s="8">
        <f>G209*H209</f>
        <v/>
      </c>
      <c r="J209" s="8">
        <f>H209/E209</f>
        <v/>
      </c>
      <c r="K209" s="8" t="n">
        <v>5.65</v>
      </c>
      <c r="L209" s="8" t="n">
        <v>5.65</v>
      </c>
      <c r="M209" s="14">
        <f>J209/K209-1</f>
        <v/>
      </c>
      <c r="N209" s="7" t="inlineStr">
        <is>
          <t>ACIMA +5.0%</t>
        </is>
      </c>
      <c r="O209" s="7" t="inlineStr"/>
    </row>
    <row r="210">
      <c r="A210" s="7" t="n">
        <v>324761</v>
      </c>
      <c r="B210" s="7" t="inlineStr">
        <is>
          <t>931</t>
        </is>
      </c>
      <c r="C210" s="12" t="inlineStr">
        <is>
          <t>7896523202822</t>
        </is>
      </c>
      <c r="D210" s="7" t="inlineStr">
        <is>
          <t>LORATAMED 10MG CX 12 COMP</t>
        </is>
      </c>
      <c r="E210" s="13" t="n">
        <v>1</v>
      </c>
      <c r="F210" s="13" t="n">
        <v>42</v>
      </c>
      <c r="G210" s="13" t="n">
        <v>42</v>
      </c>
      <c r="H210" s="8" t="n">
        <v>1.76</v>
      </c>
      <c r="I210" s="8">
        <f>G210*H210</f>
        <v/>
      </c>
      <c r="J210" s="8">
        <f>H210/E210</f>
        <v/>
      </c>
      <c r="K210" s="8" t="n">
        <v>1.69</v>
      </c>
      <c r="L210" s="8" t="n">
        <v>1.49</v>
      </c>
      <c r="M210" s="14">
        <f>J210/K210-1</f>
        <v/>
      </c>
      <c r="N210" s="7" t="inlineStr">
        <is>
          <t>ACIMA +4.1%</t>
        </is>
      </c>
      <c r="O210" s="7" t="inlineStr"/>
    </row>
    <row r="211">
      <c r="A211" s="7" t="n">
        <v>668941</v>
      </c>
      <c r="B211" s="7" t="inlineStr">
        <is>
          <t>7927</t>
        </is>
      </c>
      <c r="C211" s="12" t="inlineStr">
        <is>
          <t>7896004785769</t>
        </is>
      </c>
      <c r="D211" s="7" t="inlineStr">
        <is>
          <t>LOZEPREL 40MG CX 28 CAP</t>
        </is>
      </c>
      <c r="E211" s="13" t="n">
        <v>1</v>
      </c>
      <c r="F211" s="13" t="n">
        <v>9</v>
      </c>
      <c r="G211" s="13" t="n">
        <v>9</v>
      </c>
      <c r="H211" s="8" t="n">
        <v>9.07</v>
      </c>
      <c r="I211" s="8">
        <f>G211*H211</f>
        <v/>
      </c>
      <c r="J211" s="8">
        <f>H211/E211</f>
        <v/>
      </c>
      <c r="K211" s="8" t="n">
        <v>9.9</v>
      </c>
      <c r="L211" s="8" t="n">
        <v>9.9</v>
      </c>
      <c r="M211" s="14">
        <f>J211/K211-1</f>
        <v/>
      </c>
      <c r="N211" s="7" t="inlineStr">
        <is>
          <t>OK (≤ menor hist.)</t>
        </is>
      </c>
      <c r="O211" s="7" t="inlineStr"/>
    </row>
    <row r="212">
      <c r="A212" s="7" t="n">
        <v>558921</v>
      </c>
      <c r="B212" s="7" t="inlineStr">
        <is>
          <t>5499</t>
        </is>
      </c>
      <c r="C212" s="12" t="inlineStr">
        <is>
          <t>7898556850513</t>
        </is>
      </c>
      <c r="D212" s="7" t="inlineStr">
        <is>
          <t>LUBRIFICANTE GEL RILEX MENTA 100G</t>
        </is>
      </c>
      <c r="E212" s="13" t="n">
        <v>1</v>
      </c>
      <c r="F212" s="13" t="n">
        <v>1</v>
      </c>
      <c r="G212" s="13" t="n">
        <v>1</v>
      </c>
      <c r="H212" s="8" t="n">
        <v>15.34</v>
      </c>
      <c r="I212" s="8">
        <f>G212*H212</f>
        <v/>
      </c>
      <c r="J212" s="8">
        <f>H212/E212</f>
        <v/>
      </c>
      <c r="K212" s="8" t="n">
        <v>15.27</v>
      </c>
      <c r="L212" s="8" t="n">
        <v>15.27</v>
      </c>
      <c r="M212" s="14">
        <f>J212/K212-1</f>
        <v/>
      </c>
      <c r="N212" s="7" t="inlineStr">
        <is>
          <t>ACIMA +0.5%</t>
        </is>
      </c>
      <c r="O212" s="7" t="inlineStr"/>
    </row>
    <row r="213">
      <c r="A213" s="7" t="n">
        <v>557121</v>
      </c>
      <c r="B213" s="7" t="inlineStr">
        <is>
          <t>5469</t>
        </is>
      </c>
      <c r="C213" s="12" t="inlineStr">
        <is>
          <t>7896523200026</t>
        </is>
      </c>
      <c r="D213" s="7" t="inlineStr">
        <is>
          <t>LUBRIFIK LUBRIFICANTE INTIMO GEL BG 50G</t>
        </is>
      </c>
      <c r="E213" s="13" t="n">
        <v>1</v>
      </c>
      <c r="F213" s="13" t="n">
        <v>17</v>
      </c>
      <c r="G213" s="13" t="n">
        <v>17</v>
      </c>
      <c r="H213" s="8" t="n">
        <v>4.32</v>
      </c>
      <c r="I213" s="8">
        <f>G213*H213</f>
        <v/>
      </c>
      <c r="J213" s="8">
        <f>H213/E213</f>
        <v/>
      </c>
      <c r="K213" s="8" t="n">
        <v>4.32</v>
      </c>
      <c r="L213" s="8" t="n">
        <v>4.32</v>
      </c>
      <c r="M213" s="14">
        <f>J213/K213-1</f>
        <v/>
      </c>
      <c r="N213" s="7" t="inlineStr">
        <is>
          <t>OK (≤ menor hist.)</t>
        </is>
      </c>
      <c r="O213" s="7" t="inlineStr"/>
    </row>
    <row r="214">
      <c r="A214" s="7" t="n">
        <v>4143</v>
      </c>
      <c r="B214" s="7" t="inlineStr">
        <is>
          <t>9434</t>
        </is>
      </c>
      <c r="C214" s="12" t="inlineStr">
        <is>
          <t>7898947170176</t>
        </is>
      </c>
      <c r="D214" s="7" t="inlineStr">
        <is>
          <t>LUVA CIRURGICA 7,0 ESTERIL COM PO</t>
        </is>
      </c>
      <c r="E214" s="13" t="n">
        <v>1</v>
      </c>
      <c r="F214" s="13" t="n">
        <v>2</v>
      </c>
      <c r="G214" s="13" t="n">
        <v>2</v>
      </c>
      <c r="H214" s="8" t="n">
        <v>1.76</v>
      </c>
      <c r="I214" s="8">
        <f>G214*H214</f>
        <v/>
      </c>
      <c r="J214" s="8">
        <f>H214/E214</f>
        <v/>
      </c>
      <c r="K214" s="8" t="n">
        <v>1.76</v>
      </c>
      <c r="L214" s="8" t="n">
        <v>1.76</v>
      </c>
      <c r="M214" s="14">
        <f>J214/K214-1</f>
        <v/>
      </c>
      <c r="N214" s="7" t="inlineStr">
        <is>
          <t>OK (≤ menor hist.)</t>
        </is>
      </c>
      <c r="O214" s="7" t="inlineStr"/>
    </row>
    <row r="215">
      <c r="A215" s="7" t="n">
        <v>4153</v>
      </c>
      <c r="B215" s="7" t="inlineStr">
        <is>
          <t>9437</t>
        </is>
      </c>
      <c r="C215" s="12" t="inlineStr">
        <is>
          <t>7898947170190</t>
        </is>
      </c>
      <c r="D215" s="7" t="inlineStr">
        <is>
          <t>LUVA CIRURGICA 8,0 ESTERIL COM PO</t>
        </is>
      </c>
      <c r="E215" s="13" t="n">
        <v>1</v>
      </c>
      <c r="F215" s="13" t="n">
        <v>2</v>
      </c>
      <c r="G215" s="13" t="n">
        <v>2</v>
      </c>
      <c r="H215" s="8" t="n">
        <v>1.74</v>
      </c>
      <c r="I215" s="8">
        <f>G215*H215</f>
        <v/>
      </c>
      <c r="J215" s="8">
        <f>H215/E215</f>
        <v/>
      </c>
      <c r="K215" s="8" t="n">
        <v>1.74</v>
      </c>
      <c r="L215" s="8" t="n">
        <v>1.74</v>
      </c>
      <c r="M215" s="14">
        <f>J215/K215-1</f>
        <v/>
      </c>
      <c r="N215" s="7" t="inlineStr">
        <is>
          <t>OK (≤ menor hist.)</t>
        </is>
      </c>
      <c r="O215" s="7" t="inlineStr"/>
    </row>
    <row r="216">
      <c r="A216" s="7" t="n">
        <v>675981</v>
      </c>
      <c r="B216" s="7" t="inlineStr">
        <is>
          <t>9414</t>
        </is>
      </c>
      <c r="C216" s="12" t="inlineStr">
        <is>
          <t>7898947170619</t>
        </is>
      </c>
      <c r="D216" s="7" t="inlineStr">
        <is>
          <t>LUVA LATEX MEDIX PROFI C/PO TAM PP C/100 UN</t>
        </is>
      </c>
      <c r="E216" s="13" t="n">
        <v>1</v>
      </c>
      <c r="F216" s="13" t="n">
        <v>2</v>
      </c>
      <c r="G216" s="13" t="n">
        <v>2</v>
      </c>
      <c r="H216" s="8" t="n">
        <v>26.33</v>
      </c>
      <c r="I216" s="8">
        <f>G216*H216</f>
        <v/>
      </c>
      <c r="J216" s="8">
        <f>H216/E216</f>
        <v/>
      </c>
      <c r="K216" s="8" t="n">
        <v>19.9</v>
      </c>
      <c r="L216" s="8" t="n">
        <v>19.9</v>
      </c>
      <c r="M216" s="14">
        <f>J216/K216-1</f>
        <v/>
      </c>
      <c r="N216" s="7" t="inlineStr">
        <is>
          <t>ACIMA +32.3%</t>
        </is>
      </c>
      <c r="O216" s="7" t="inlineStr"/>
    </row>
    <row r="217">
      <c r="A217" s="7" t="n">
        <v>612321</v>
      </c>
      <c r="B217" s="7" t="inlineStr">
        <is>
          <t>5310</t>
        </is>
      </c>
      <c r="C217" s="12" t="inlineStr">
        <is>
          <t>7894164005734</t>
        </is>
      </c>
      <c r="D217" s="7" t="inlineStr">
        <is>
          <t>MAGMILK HORTELA 80MG/ML 100ML (HIDROXIDO</t>
        </is>
      </c>
      <c r="E217" s="13" t="n">
        <v>1</v>
      </c>
      <c r="F217" s="13" t="n">
        <v>3</v>
      </c>
      <c r="G217" s="13" t="n">
        <v>3</v>
      </c>
      <c r="H217" s="8" t="n">
        <v>4.85</v>
      </c>
      <c r="I217" s="8">
        <f>G217*H217</f>
        <v/>
      </c>
      <c r="J217" s="8">
        <f>H217/E217</f>
        <v/>
      </c>
      <c r="K217" s="8" t="n">
        <v>4.14</v>
      </c>
      <c r="L217" s="8" t="n">
        <v>4.14</v>
      </c>
      <c r="M217" s="14">
        <f>J217/K217-1</f>
        <v/>
      </c>
      <c r="N217" s="7" t="inlineStr">
        <is>
          <t>ACIMA +17.1%</t>
        </is>
      </c>
      <c r="O217" s="7" t="inlineStr"/>
    </row>
    <row r="218">
      <c r="A218" s="7" t="n">
        <v>542681</v>
      </c>
      <c r="B218" s="7" t="inlineStr">
        <is>
          <t>5409</t>
        </is>
      </c>
      <c r="C218" s="12" t="inlineStr">
        <is>
          <t>7894164005727</t>
        </is>
      </c>
      <c r="D218" s="7" t="inlineStr">
        <is>
          <t>MAGMILK TRADICIONAL 80MG/ML 100ML(ARL)</t>
        </is>
      </c>
      <c r="E218" s="13" t="n">
        <v>1</v>
      </c>
      <c r="F218" s="13" t="n">
        <v>11</v>
      </c>
      <c r="G218" s="13" t="n">
        <v>11</v>
      </c>
      <c r="H218" s="8" t="n">
        <v>4.71</v>
      </c>
      <c r="I218" s="8">
        <f>G218*H218</f>
        <v/>
      </c>
      <c r="J218" s="8">
        <f>H218/E218</f>
        <v/>
      </c>
      <c r="K218" s="8" t="n">
        <v>4.71</v>
      </c>
      <c r="L218" s="8" t="n">
        <v>4.71</v>
      </c>
      <c r="M218" s="14">
        <f>J218/K218-1</f>
        <v/>
      </c>
      <c r="N218" s="7" t="inlineStr">
        <is>
          <t>OK (≤ menor hist.)</t>
        </is>
      </c>
      <c r="O218" s="7" t="inlineStr"/>
    </row>
    <row r="219">
      <c r="A219" s="7" t="n">
        <v>591291</v>
      </c>
      <c r="B219" s="7" t="inlineStr">
        <is>
          <t>7719</t>
        </is>
      </c>
      <c r="C219" s="12" t="inlineStr">
        <is>
          <t>7898048699651</t>
        </is>
      </c>
      <c r="D219" s="7" t="inlineStr">
        <is>
          <t>MAGNESIO DIMALATO 60CP</t>
        </is>
      </c>
      <c r="E219" s="13" t="n">
        <v>1</v>
      </c>
      <c r="F219" s="13" t="n">
        <v>8</v>
      </c>
      <c r="G219" s="13" t="n">
        <v>8</v>
      </c>
      <c r="H219" s="8" t="n">
        <v>15.98</v>
      </c>
      <c r="I219" s="8">
        <f>G219*H219</f>
        <v/>
      </c>
      <c r="J219" s="8">
        <f>H219/E219</f>
        <v/>
      </c>
      <c r="K219" s="8" t="n">
        <v>15.98</v>
      </c>
      <c r="L219" s="8" t="n">
        <v>13.84</v>
      </c>
      <c r="M219" s="14">
        <f>J219/K219-1</f>
        <v/>
      </c>
      <c r="N219" s="7" t="inlineStr">
        <is>
          <t>OK (≤ últ. compra)</t>
        </is>
      </c>
      <c r="O219" s="7" t="inlineStr"/>
    </row>
    <row r="220">
      <c r="A220" s="7" t="n">
        <v>56761</v>
      </c>
      <c r="B220" s="7" t="inlineStr">
        <is>
          <t>409</t>
        </is>
      </c>
      <c r="C220" s="12" t="inlineStr">
        <is>
          <t>7898060132075</t>
        </is>
      </c>
      <c r="D220" s="7" t="inlineStr">
        <is>
          <t>MAL DEXCLORFENIRAMINA+BETAMETASONA 0,4+0,05MG XPE FR 120ML+CM</t>
        </is>
      </c>
      <c r="E220" s="13" t="n">
        <v>1</v>
      </c>
      <c r="F220" s="13" t="n">
        <v>20</v>
      </c>
      <c r="G220" s="13" t="n">
        <v>20</v>
      </c>
      <c r="H220" s="8" t="n">
        <v>4.68</v>
      </c>
      <c r="I220" s="8">
        <f>G220*H220</f>
        <v/>
      </c>
      <c r="J220" s="8">
        <f>H220/E220</f>
        <v/>
      </c>
      <c r="K220" s="8" t="n">
        <v>5.1</v>
      </c>
      <c r="L220" s="8" t="n">
        <v>5.1</v>
      </c>
      <c r="M220" s="14">
        <f>J220/K220-1</f>
        <v/>
      </c>
      <c r="N220" s="7" t="inlineStr">
        <is>
          <t>OK (≤ menor hist.)</t>
        </is>
      </c>
      <c r="O220" s="7" t="inlineStr"/>
    </row>
    <row r="221">
      <c r="A221" s="7" t="n">
        <v>512501</v>
      </c>
      <c r="B221" s="7" t="inlineStr">
        <is>
          <t>4401</t>
        </is>
      </c>
      <c r="C221" s="12" t="inlineStr">
        <is>
          <t>7896523210773</t>
        </is>
      </c>
      <c r="D221" s="7" t="inlineStr">
        <is>
          <t>MALEATO DE ENALAPRIL 20MG CX 30 COMP</t>
        </is>
      </c>
      <c r="E221" s="13" t="n">
        <v>1</v>
      </c>
      <c r="F221" s="13" t="n">
        <v>26</v>
      </c>
      <c r="G221" s="13" t="n">
        <v>26</v>
      </c>
      <c r="H221" s="8" t="n">
        <v>2.86</v>
      </c>
      <c r="I221" s="8">
        <f>G221*H221</f>
        <v/>
      </c>
      <c r="J221" s="8">
        <f>H221/E221</f>
        <v/>
      </c>
      <c r="K221" s="8" t="n">
        <v>2.35</v>
      </c>
      <c r="L221" s="8" t="n">
        <v>2.23</v>
      </c>
      <c r="M221" s="14">
        <f>J221/K221-1</f>
        <v/>
      </c>
      <c r="N221" s="7" t="inlineStr">
        <is>
          <t>ACIMA +21.7%</t>
        </is>
      </c>
      <c r="O221" s="7" t="inlineStr"/>
    </row>
    <row r="222">
      <c r="A222" s="7" t="n">
        <v>346381</v>
      </c>
      <c r="B222" s="7" t="inlineStr">
        <is>
          <t>4558</t>
        </is>
      </c>
      <c r="C222" s="12" t="inlineStr">
        <is>
          <t>7895296445085</t>
        </is>
      </c>
      <c r="D222" s="7" t="inlineStr">
        <is>
          <t>MEFLAGIN 400MG 2BL X 10 COMP REV</t>
        </is>
      </c>
      <c r="E222" s="13" t="n">
        <v>1</v>
      </c>
      <c r="F222" s="13" t="n">
        <v>1</v>
      </c>
      <c r="G222" s="13" t="n">
        <v>1</v>
      </c>
      <c r="H222" s="8" t="n">
        <v>7.35</v>
      </c>
      <c r="I222" s="8">
        <f>G222*H222</f>
        <v/>
      </c>
      <c r="J222" s="8">
        <f>H222/E222</f>
        <v/>
      </c>
      <c r="K222" s="8" t="n">
        <v>7.08</v>
      </c>
      <c r="L222" s="8" t="n">
        <v>7.08</v>
      </c>
      <c r="M222" s="14">
        <f>J222/K222-1</f>
        <v/>
      </c>
      <c r="N222" s="7" t="inlineStr">
        <is>
          <t>ACIMA +3.8%</t>
        </is>
      </c>
      <c r="O222" s="7" t="inlineStr"/>
    </row>
    <row r="223">
      <c r="A223" s="7" t="n">
        <v>602931</v>
      </c>
      <c r="B223" s="7" t="inlineStr">
        <is>
          <t>819</t>
        </is>
      </c>
      <c r="C223" s="12" t="inlineStr">
        <is>
          <t>7896148500136</t>
        </is>
      </c>
      <c r="D223" s="7" t="inlineStr">
        <is>
          <t>MEL CP EXTRATO PROPOLIS 35ML (FIT)</t>
        </is>
      </c>
      <c r="E223" s="13" t="n">
        <v>1</v>
      </c>
      <c r="F223" s="13" t="n">
        <v>3</v>
      </c>
      <c r="G223" s="13" t="n">
        <v>3</v>
      </c>
      <c r="H223" s="8" t="n">
        <v>12.76</v>
      </c>
      <c r="I223" s="8">
        <f>G223*H223</f>
        <v/>
      </c>
      <c r="J223" s="8">
        <f>H223/E223</f>
        <v/>
      </c>
      <c r="K223" s="8" t="n">
        <v>11.47</v>
      </c>
      <c r="L223" s="8" t="n">
        <v>11.47</v>
      </c>
      <c r="M223" s="14">
        <f>J223/K223-1</f>
        <v/>
      </c>
      <c r="N223" s="7" t="inlineStr">
        <is>
          <t>ACIMA +11.2%</t>
        </is>
      </c>
      <c r="O223" s="7" t="inlineStr"/>
    </row>
    <row r="224">
      <c r="A224" s="7" t="n">
        <v>665751</v>
      </c>
      <c r="B224" s="7" t="inlineStr">
        <is>
          <t>8926</t>
        </is>
      </c>
      <c r="C224" s="12" t="inlineStr">
        <is>
          <t>7896148500600</t>
        </is>
      </c>
      <c r="D224" s="7" t="inlineStr">
        <is>
          <t>MEL DE ABELHA 200G BISNAGA FITOBEL</t>
        </is>
      </c>
      <c r="E224" s="13" t="n">
        <v>1</v>
      </c>
      <c r="F224" s="13" t="n">
        <v>2</v>
      </c>
      <c r="G224" s="13" t="n">
        <v>2</v>
      </c>
      <c r="H224" s="8" t="n">
        <v>10.61</v>
      </c>
      <c r="I224" s="8">
        <f>G224*H224</f>
        <v/>
      </c>
      <c r="J224" s="8">
        <f>H224/E224</f>
        <v/>
      </c>
      <c r="K224" s="8" t="n">
        <v>10.54</v>
      </c>
      <c r="L224" s="8" t="n">
        <v>9.43</v>
      </c>
      <c r="M224" s="14">
        <f>J224/K224-1</f>
        <v/>
      </c>
      <c r="N224" s="7" t="inlineStr">
        <is>
          <t>ACIMA +0.7%</t>
        </is>
      </c>
      <c r="O224" s="7" t="inlineStr"/>
    </row>
    <row r="225">
      <c r="A225" s="7" t="n">
        <v>569961</v>
      </c>
      <c r="B225" s="7" t="inlineStr">
        <is>
          <t>1775</t>
        </is>
      </c>
      <c r="C225" s="12" t="inlineStr">
        <is>
          <t>7896148500709</t>
        </is>
      </c>
      <c r="D225" s="7" t="inlineStr">
        <is>
          <t>MEL DE ABELHA 70G</t>
        </is>
      </c>
      <c r="E225" s="13" t="n">
        <v>1</v>
      </c>
      <c r="F225" s="13" t="n">
        <v>1</v>
      </c>
      <c r="G225" s="13" t="n">
        <v>1</v>
      </c>
      <c r="H225" s="8" t="n">
        <v>7.52</v>
      </c>
      <c r="I225" s="8">
        <f>G225*H225</f>
        <v/>
      </c>
      <c r="J225" s="8">
        <f>H225/E225</f>
        <v/>
      </c>
      <c r="K225" s="8" t="n">
        <v>6.75</v>
      </c>
      <c r="L225" s="8" t="n">
        <v>6.75</v>
      </c>
      <c r="M225" s="14">
        <f>J225/K225-1</f>
        <v/>
      </c>
      <c r="N225" s="7" t="inlineStr">
        <is>
          <t>ACIMA +11.4%</t>
        </is>
      </c>
      <c r="O225" s="7" t="inlineStr"/>
    </row>
    <row r="226">
      <c r="A226" s="7" t="n">
        <v>673191</v>
      </c>
      <c r="B226" s="7" t="inlineStr">
        <is>
          <t>3388</t>
        </is>
      </c>
      <c r="C226" s="12" t="inlineStr">
        <is>
          <t>7896023752513</t>
        </is>
      </c>
      <c r="D226" s="7" t="inlineStr">
        <is>
          <t>MELAGRIAO SPRAY - MENTA - 30ML-DEMAIS PROD</t>
        </is>
      </c>
      <c r="E226" s="13" t="n">
        <v>1</v>
      </c>
      <c r="F226" s="13" t="n">
        <v>3</v>
      </c>
      <c r="G226" s="13" t="n">
        <v>3</v>
      </c>
      <c r="H226" s="8" t="n">
        <v>14.78</v>
      </c>
      <c r="I226" s="8">
        <f>G226*H226</f>
        <v/>
      </c>
      <c r="J226" s="8">
        <f>H226/E226</f>
        <v/>
      </c>
      <c r="K226" s="8" t="n">
        <v>16.5517</v>
      </c>
      <c r="L226" s="8" t="n">
        <v>13.14</v>
      </c>
      <c r="M226" s="14">
        <f>J226/K226-1</f>
        <v/>
      </c>
      <c r="N226" s="7" t="inlineStr">
        <is>
          <t>OK (≤ últ. compra)</t>
        </is>
      </c>
      <c r="O226" s="7" t="inlineStr"/>
    </row>
    <row r="227">
      <c r="A227" s="7" t="n">
        <v>3223</v>
      </c>
      <c r="B227" s="7" t="inlineStr">
        <is>
          <t>4729</t>
        </is>
      </c>
      <c r="C227" s="12" t="inlineStr">
        <is>
          <t>7896023708626</t>
        </is>
      </c>
      <c r="D227" s="7" t="inlineStr">
        <is>
          <t>MELAGRIAO SPRAY 30ML EXTRA FORTE</t>
        </is>
      </c>
      <c r="E227" s="13" t="n">
        <v>1</v>
      </c>
      <c r="F227" s="13" t="n">
        <v>2</v>
      </c>
      <c r="G227" s="13" t="n">
        <v>2</v>
      </c>
      <c r="H227" s="8" t="n">
        <v>13.22</v>
      </c>
      <c r="I227" s="8">
        <f>G227*H227</f>
        <v/>
      </c>
      <c r="J227" s="8">
        <f>H227/E227</f>
        <v/>
      </c>
      <c r="K227" s="8" t="n">
        <v>21.72</v>
      </c>
      <c r="L227" s="8" t="n">
        <v>18.02</v>
      </c>
      <c r="M227" s="14">
        <f>J227/K227-1</f>
        <v/>
      </c>
      <c r="N227" s="7" t="inlineStr">
        <is>
          <t>OK (≤ menor hist.)</t>
        </is>
      </c>
      <c r="O227" s="7" t="inlineStr"/>
    </row>
    <row r="228">
      <c r="A228" s="7" t="n">
        <v>548221</v>
      </c>
      <c r="B228" s="7" t="inlineStr">
        <is>
          <t>625</t>
        </is>
      </c>
      <c r="C228" s="12" t="inlineStr">
        <is>
          <t>7896023719899</t>
        </is>
      </c>
      <c r="D228" s="7" t="inlineStr">
        <is>
          <t>MELAGRIÃO EXPECTORANTE CATARINENSE 150ML</t>
        </is>
      </c>
      <c r="E228" s="13" t="n">
        <v>1</v>
      </c>
      <c r="F228" s="13" t="n">
        <v>3</v>
      </c>
      <c r="G228" s="13" t="n">
        <v>3</v>
      </c>
      <c r="H228" s="8" t="n">
        <v>15.82</v>
      </c>
      <c r="I228" s="8">
        <f>G228*H228</f>
        <v/>
      </c>
      <c r="J228" s="8">
        <f>H228/E228</f>
        <v/>
      </c>
      <c r="K228" s="8" t="n">
        <v>35.31</v>
      </c>
      <c r="L228" s="8" t="n">
        <v>14.77</v>
      </c>
      <c r="M228" s="14">
        <f>J228/K228-1</f>
        <v/>
      </c>
      <c r="N228" s="7" t="inlineStr">
        <is>
          <t>OK (≤ últ. compra)</t>
        </is>
      </c>
      <c r="O228" s="7" t="inlineStr">
        <is>
          <t>conferir emb.</t>
        </is>
      </c>
    </row>
    <row r="229">
      <c r="A229" s="7" t="n">
        <v>3573</v>
      </c>
      <c r="B229" s="7" t="inlineStr">
        <is>
          <t>6951</t>
        </is>
      </c>
      <c r="C229" s="12" t="inlineStr">
        <is>
          <t>7894164008551</t>
        </is>
      </c>
      <c r="D229" s="7" t="inlineStr">
        <is>
          <t>MELATONINA 210MCG 20ML GTS</t>
        </is>
      </c>
      <c r="E229" s="13" t="n">
        <v>1</v>
      </c>
      <c r="F229" s="13" t="n">
        <v>6</v>
      </c>
      <c r="G229" s="13" t="n">
        <v>6</v>
      </c>
      <c r="H229" s="8" t="n">
        <v>10.65</v>
      </c>
      <c r="I229" s="8">
        <f>G229*H229</f>
        <v/>
      </c>
      <c r="J229" s="8">
        <f>H229/E229</f>
        <v/>
      </c>
      <c r="K229" s="8" t="n">
        <v>10.65</v>
      </c>
      <c r="L229" s="8" t="n">
        <v>8.57</v>
      </c>
      <c r="M229" s="14">
        <f>J229/K229-1</f>
        <v/>
      </c>
      <c r="N229" s="7" t="inlineStr">
        <is>
          <t>OK (≤ últ. compra)</t>
        </is>
      </c>
      <c r="O229" s="7" t="inlineStr"/>
    </row>
    <row r="230">
      <c r="A230" s="7" t="n">
        <v>639011</v>
      </c>
      <c r="B230" s="7" t="inlineStr">
        <is>
          <t>8820</t>
        </is>
      </c>
      <c r="C230" s="12" t="inlineStr">
        <is>
          <t>7894164011483</t>
        </is>
      </c>
      <c r="D230" s="7" t="inlineStr">
        <is>
          <t>METIOCURE 10MG 45ML SPRAY</t>
        </is>
      </c>
      <c r="E230" s="13" t="n">
        <v>1</v>
      </c>
      <c r="F230" s="13" t="n">
        <v>1</v>
      </c>
      <c r="G230" s="13" t="n">
        <v>1</v>
      </c>
      <c r="H230" s="8" t="n">
        <v>8.26</v>
      </c>
      <c r="I230" s="8">
        <f>G230*H230</f>
        <v/>
      </c>
      <c r="J230" s="8">
        <f>H230/E230</f>
        <v/>
      </c>
      <c r="K230" s="8" t="n">
        <v>8.26</v>
      </c>
      <c r="L230" s="8" t="n">
        <v>7.88</v>
      </c>
      <c r="M230" s="14">
        <f>J230/K230-1</f>
        <v/>
      </c>
      <c r="N230" s="7" t="inlineStr">
        <is>
          <t>OK (≤ últ. compra)</t>
        </is>
      </c>
      <c r="O230" s="7" t="inlineStr"/>
    </row>
    <row r="231">
      <c r="A231" s="7" t="n">
        <v>605891</v>
      </c>
      <c r="B231" s="7" t="inlineStr">
        <is>
          <t>201</t>
        </is>
      </c>
      <c r="C231" s="12" t="inlineStr">
        <is>
          <t>7897917004589</t>
        </is>
      </c>
      <c r="D231" s="7" t="inlineStr">
        <is>
          <t>MICOSBEL 50MG 30G POMADA</t>
        </is>
      </c>
      <c r="E231" s="13" t="n">
        <v>1</v>
      </c>
      <c r="F231" s="13" t="n">
        <v>3</v>
      </c>
      <c r="G231" s="13" t="n">
        <v>3</v>
      </c>
      <c r="H231" s="8" t="n">
        <v>10.3</v>
      </c>
      <c r="I231" s="8">
        <f>G231*H231</f>
        <v/>
      </c>
      <c r="J231" s="8">
        <f>H231/E231</f>
        <v/>
      </c>
      <c r="K231" s="8" t="n">
        <v>10.3</v>
      </c>
      <c r="L231" s="8" t="n">
        <v>10.3</v>
      </c>
      <c r="M231" s="14">
        <f>J231/K231-1</f>
        <v/>
      </c>
      <c r="N231" s="7" t="inlineStr">
        <is>
          <t>OK (≤ menor hist.)</t>
        </is>
      </c>
      <c r="O231" s="7" t="inlineStr"/>
    </row>
    <row r="232">
      <c r="A232" s="7" t="n">
        <v>621241</v>
      </c>
      <c r="B232" s="7" t="inlineStr">
        <is>
          <t>5739</t>
        </is>
      </c>
      <c r="C232" s="12" t="inlineStr">
        <is>
          <t>7896920304334</t>
        </is>
      </c>
      <c r="D232" s="7" t="inlineStr">
        <is>
          <t>MILMUNE CONCENTRADO 120ML</t>
        </is>
      </c>
      <c r="E232" s="13" t="n">
        <v>1</v>
      </c>
      <c r="F232" s="13" t="n">
        <v>4</v>
      </c>
      <c r="G232" s="13" t="n">
        <v>4</v>
      </c>
      <c r="H232" s="8" t="n">
        <v>26.484262</v>
      </c>
      <c r="I232" s="8">
        <f>G232*H232</f>
        <v/>
      </c>
      <c r="J232" s="8">
        <f>H232/E232</f>
        <v/>
      </c>
      <c r="K232" s="8" t="n">
        <v>21.33</v>
      </c>
      <c r="L232" s="8" t="n">
        <v>21.33</v>
      </c>
      <c r="M232" s="14">
        <f>J232/K232-1</f>
        <v/>
      </c>
      <c r="N232" s="7" t="inlineStr">
        <is>
          <t>ACIMA +24.2%</t>
        </is>
      </c>
      <c r="O232" s="7" t="inlineStr"/>
    </row>
    <row r="233">
      <c r="A233" s="7" t="n">
        <v>557961</v>
      </c>
      <c r="B233" s="7" t="inlineStr">
        <is>
          <t>5738</t>
        </is>
      </c>
      <c r="C233" s="12" t="inlineStr">
        <is>
          <t>7896920304037</t>
        </is>
      </c>
      <c r="D233" s="7" t="inlineStr">
        <is>
          <t>MILMUNE CONCENTRADO 30CP</t>
        </is>
      </c>
      <c r="E233" s="13" t="n">
        <v>1</v>
      </c>
      <c r="F233" s="13" t="n">
        <v>6</v>
      </c>
      <c r="G233" s="13" t="n">
        <v>6</v>
      </c>
      <c r="H233" s="8" t="n">
        <v>42.609678</v>
      </c>
      <c r="I233" s="8">
        <f>G233*H233</f>
        <v/>
      </c>
      <c r="J233" s="8">
        <f>H233/E233</f>
        <v/>
      </c>
      <c r="K233" s="8" t="n">
        <v>37.65</v>
      </c>
      <c r="L233" s="8" t="n">
        <v>34.22</v>
      </c>
      <c r="M233" s="14">
        <f>J233/K233-1</f>
        <v/>
      </c>
      <c r="N233" s="7" t="inlineStr">
        <is>
          <t>ACIMA +13.2%</t>
        </is>
      </c>
      <c r="O233" s="7" t="inlineStr"/>
    </row>
    <row r="234">
      <c r="A234" s="7" t="n">
        <v>531621</v>
      </c>
      <c r="B234" s="7" t="inlineStr">
        <is>
          <t>1584</t>
        </is>
      </c>
      <c r="C234" s="12" t="inlineStr">
        <is>
          <t>7896472501694</t>
        </is>
      </c>
      <c r="D234" s="7" t="inlineStr">
        <is>
          <t>MULTISORO INFANTIL 30ML</t>
        </is>
      </c>
      <c r="E234" s="13" t="n">
        <v>1</v>
      </c>
      <c r="F234" s="13" t="n">
        <v>3</v>
      </c>
      <c r="G234" s="13" t="n">
        <v>3</v>
      </c>
      <c r="H234" s="8" t="n">
        <v>2.9</v>
      </c>
      <c r="I234" s="8">
        <f>G234*H234</f>
        <v/>
      </c>
      <c r="J234" s="8">
        <f>H234/E234</f>
        <v/>
      </c>
      <c r="K234" s="8" t="n">
        <v>2.53</v>
      </c>
      <c r="L234" s="8" t="n">
        <v>2.53</v>
      </c>
      <c r="M234" s="14">
        <f>J234/K234-1</f>
        <v/>
      </c>
      <c r="N234" s="7" t="inlineStr">
        <is>
          <t>ACIMA +14.6%</t>
        </is>
      </c>
      <c r="O234" s="7" t="inlineStr"/>
    </row>
    <row r="235">
      <c r="A235" s="7" t="n">
        <v>651901</v>
      </c>
      <c r="B235" s="7" t="inlineStr">
        <is>
          <t>222</t>
        </is>
      </c>
      <c r="C235" s="12" t="inlineStr">
        <is>
          <t>7898108640050</t>
        </is>
      </c>
      <c r="D235" s="7" t="inlineStr">
        <is>
          <t>N COMPRESSA GAZES 11FIOS ESTER 5UND   SANF %DN:0.00</t>
        </is>
      </c>
      <c r="E235" s="13" t="n">
        <v>1</v>
      </c>
      <c r="F235" s="13" t="n">
        <v>1</v>
      </c>
      <c r="G235" s="13" t="n">
        <v>1</v>
      </c>
      <c r="H235" s="8" t="n">
        <v>1.03</v>
      </c>
      <c r="I235" s="8">
        <f>G235*H235</f>
        <v/>
      </c>
      <c r="J235" s="8">
        <f>H235/E235</f>
        <v/>
      </c>
      <c r="K235" s="8" t="n">
        <v>0.92</v>
      </c>
      <c r="L235" s="8" t="n">
        <v>0.92</v>
      </c>
      <c r="M235" s="14">
        <f>J235/K235-1</f>
        <v/>
      </c>
      <c r="N235" s="7" t="inlineStr">
        <is>
          <t>ACIMA +12.0%</t>
        </is>
      </c>
      <c r="O235" s="7" t="inlineStr"/>
    </row>
    <row r="236">
      <c r="A236" s="7" t="n">
        <v>556401</v>
      </c>
      <c r="B236" s="7" t="inlineStr">
        <is>
          <t>4046</t>
        </is>
      </c>
      <c r="C236" s="12" t="inlineStr">
        <is>
          <t>7896677704890</t>
        </is>
      </c>
      <c r="D236" s="7" t="inlineStr">
        <is>
          <t>NERVOCALM 250MG CX 20 COMP</t>
        </is>
      </c>
      <c r="E236" s="13" t="n">
        <v>1</v>
      </c>
      <c r="F236" s="13" t="n">
        <v>5</v>
      </c>
      <c r="G236" s="13" t="n">
        <v>5</v>
      </c>
      <c r="H236" s="8" t="n">
        <v>30.46</v>
      </c>
      <c r="I236" s="8">
        <f>G236*H236</f>
        <v/>
      </c>
      <c r="J236" s="8">
        <f>H236/E236</f>
        <v/>
      </c>
      <c r="K236" s="8" t="n">
        <v>31.33</v>
      </c>
      <c r="L236" s="8" t="n">
        <v>22.32</v>
      </c>
      <c r="M236" s="14">
        <f>J236/K236-1</f>
        <v/>
      </c>
      <c r="N236" s="7" t="inlineStr">
        <is>
          <t>OK (≤ últ. compra)</t>
        </is>
      </c>
      <c r="O236" s="7" t="inlineStr"/>
    </row>
    <row r="237">
      <c r="A237" s="7" t="n">
        <v>485261</v>
      </c>
      <c r="B237" s="7" t="inlineStr">
        <is>
          <t>3819</t>
        </is>
      </c>
      <c r="C237" s="12" t="inlineStr">
        <is>
          <t>7899620915039</t>
        </is>
      </c>
      <c r="D237" s="7" t="inlineStr">
        <is>
          <t>NIMESULIDA 100MG CX 12 COMP</t>
        </is>
      </c>
      <c r="E237" s="13" t="n">
        <v>1</v>
      </c>
      <c r="F237" s="13" t="n">
        <v>11</v>
      </c>
      <c r="G237" s="13" t="n">
        <v>11</v>
      </c>
      <c r="H237" s="8" t="n">
        <v>1.37</v>
      </c>
      <c r="I237" s="8">
        <f>G237*H237</f>
        <v/>
      </c>
      <c r="J237" s="8">
        <f>H237/E237</f>
        <v/>
      </c>
      <c r="K237" s="8" t="n">
        <v>1.1</v>
      </c>
      <c r="L237" s="8" t="n">
        <v>1.1</v>
      </c>
      <c r="M237" s="14">
        <f>J237/K237-1</f>
        <v/>
      </c>
      <c r="N237" s="7" t="inlineStr">
        <is>
          <t>ACIMA +24.5%</t>
        </is>
      </c>
      <c r="O237" s="7" t="inlineStr"/>
    </row>
    <row r="238">
      <c r="A238" s="7" t="n">
        <v>3503</v>
      </c>
      <c r="B238" s="7" t="inlineStr">
        <is>
          <t>2629</t>
        </is>
      </c>
      <c r="C238" s="12" t="inlineStr">
        <is>
          <t>7897344300933</t>
        </is>
      </c>
      <c r="D238" s="7" t="inlineStr">
        <is>
          <t>OLEO DE ANDIROBA 30ML</t>
        </is>
      </c>
      <c r="E238" s="13" t="n">
        <v>1</v>
      </c>
      <c r="F238" s="13" t="n">
        <v>2</v>
      </c>
      <c r="G238" s="13" t="n">
        <v>2</v>
      </c>
      <c r="H238" s="8" t="n">
        <v>7.59</v>
      </c>
      <c r="I238" s="8">
        <f>G238*H238</f>
        <v/>
      </c>
      <c r="J238" s="8">
        <f>H238/E238</f>
        <v/>
      </c>
      <c r="K238" s="8" t="n">
        <v>7.59</v>
      </c>
      <c r="L238" s="8" t="n">
        <v>7.59</v>
      </c>
      <c r="M238" s="14">
        <f>J238/K238-1</f>
        <v/>
      </c>
      <c r="N238" s="7" t="inlineStr">
        <is>
          <t>OK (≤ menor hist.)</t>
        </is>
      </c>
      <c r="O238" s="7" t="inlineStr"/>
    </row>
    <row r="239">
      <c r="A239" s="7" t="n">
        <v>565841</v>
      </c>
      <c r="B239" s="7" t="inlineStr">
        <is>
          <t>3</t>
        </is>
      </c>
      <c r="C239" s="12" t="inlineStr">
        <is>
          <t>7898031313335</t>
        </is>
      </c>
      <c r="D239" s="7" t="inlineStr">
        <is>
          <t>OLEO DE COPAIBA 30ML</t>
        </is>
      </c>
      <c r="E239" s="13" t="n">
        <v>1</v>
      </c>
      <c r="F239" s="13" t="n">
        <v>3</v>
      </c>
      <c r="G239" s="13" t="n">
        <v>3</v>
      </c>
      <c r="H239" s="8" t="n">
        <v>7.16</v>
      </c>
      <c r="I239" s="8">
        <f>G239*H239</f>
        <v/>
      </c>
      <c r="J239" s="8">
        <f>H239/E239</f>
        <v/>
      </c>
      <c r="K239" s="8" t="n">
        <v>7.16</v>
      </c>
      <c r="L239" s="8" t="n">
        <v>7.16</v>
      </c>
      <c r="M239" s="14">
        <f>J239/K239-1</f>
        <v/>
      </c>
      <c r="N239" s="7" t="inlineStr">
        <is>
          <t>OK (≤ menor hist.)</t>
        </is>
      </c>
      <c r="O239" s="7" t="inlineStr"/>
    </row>
    <row r="240">
      <c r="A240" s="7" t="n">
        <v>4983</v>
      </c>
      <c r="B240" s="7" t="inlineStr">
        <is>
          <t>9599</t>
        </is>
      </c>
      <c r="C240" s="12" t="inlineStr">
        <is>
          <t>7896544927704</t>
        </is>
      </c>
      <c r="D240" s="7" t="inlineStr">
        <is>
          <t>OLEO DE GIRASSOL DERMA PROTECT 100ML</t>
        </is>
      </c>
      <c r="E240" s="13" t="n">
        <v>1</v>
      </c>
      <c r="F240" s="13" t="n">
        <v>12</v>
      </c>
      <c r="G240" s="13" t="n">
        <v>12</v>
      </c>
      <c r="H240" s="8" t="n">
        <v>3.6</v>
      </c>
      <c r="I240" s="8">
        <f>G240*H240</f>
        <v/>
      </c>
      <c r="J240" s="8">
        <f>H240/E240</f>
        <v/>
      </c>
      <c r="K240" s="8" t="n">
        <v>3.61</v>
      </c>
      <c r="L240" s="8" t="n">
        <v>3.61</v>
      </c>
      <c r="M240" s="14">
        <f>J240/K240-1</f>
        <v/>
      </c>
      <c r="N240" s="7" t="inlineStr">
        <is>
          <t>OK (≤ menor hist.)</t>
        </is>
      </c>
      <c r="O240" s="7" t="inlineStr"/>
    </row>
    <row r="241">
      <c r="A241" s="7" t="n">
        <v>5053</v>
      </c>
      <c r="B241" s="7" t="inlineStr">
        <is>
          <t>9598</t>
        </is>
      </c>
      <c r="C241" s="12" t="inlineStr">
        <is>
          <t>7896544927698</t>
        </is>
      </c>
      <c r="D241" s="7" t="inlineStr">
        <is>
          <t>OLEO DE GIRASSOL DERMA PROTECT 200ML</t>
        </is>
      </c>
      <c r="E241" s="13" t="n">
        <v>1</v>
      </c>
      <c r="F241" s="13" t="n">
        <v>7</v>
      </c>
      <c r="G241" s="13" t="n">
        <v>7</v>
      </c>
      <c r="H241" s="8" t="n">
        <v>5.79</v>
      </c>
      <c r="I241" s="8">
        <f>G241*H241</f>
        <v/>
      </c>
      <c r="J241" s="8">
        <f>H241/E241</f>
        <v/>
      </c>
      <c r="K241" s="8" t="n">
        <v>5.45</v>
      </c>
      <c r="L241" s="8" t="n">
        <v>5.45</v>
      </c>
      <c r="M241" s="14">
        <f>J241/K241-1</f>
        <v/>
      </c>
      <c r="N241" s="7" t="inlineStr">
        <is>
          <t>ACIMA +6.2%</t>
        </is>
      </c>
      <c r="O241" s="7" t="inlineStr"/>
    </row>
    <row r="242">
      <c r="A242" s="7" t="n">
        <v>605901</v>
      </c>
      <c r="B242" s="7" t="inlineStr">
        <is>
          <t>7508</t>
        </is>
      </c>
      <c r="C242" s="12" t="inlineStr">
        <is>
          <t>7898719040157</t>
        </is>
      </c>
      <c r="D242" s="7" t="inlineStr">
        <is>
          <t>OLEO DE GIRASSOL DERSIN 100ML</t>
        </is>
      </c>
      <c r="E242" s="13" t="n">
        <v>1</v>
      </c>
      <c r="F242" s="13" t="n">
        <v>22</v>
      </c>
      <c r="G242" s="13" t="n">
        <v>22</v>
      </c>
      <c r="H242" s="8" t="n">
        <v>5.3</v>
      </c>
      <c r="I242" s="8">
        <f>G242*H242</f>
        <v/>
      </c>
      <c r="J242" s="8">
        <f>H242/E242</f>
        <v/>
      </c>
      <c r="K242" s="8" t="n">
        <v>5.22</v>
      </c>
      <c r="L242" s="8" t="n">
        <v>5.22</v>
      </c>
      <c r="M242" s="14">
        <f>J242/K242-1</f>
        <v/>
      </c>
      <c r="N242" s="7" t="inlineStr">
        <is>
          <t>ACIMA +1.5%</t>
        </is>
      </c>
      <c r="O242" s="7" t="inlineStr"/>
    </row>
    <row r="243">
      <c r="A243" s="7" t="n">
        <v>613861</v>
      </c>
      <c r="B243" s="7" t="inlineStr">
        <is>
          <t>7541</t>
        </is>
      </c>
      <c r="C243" s="12" t="inlineStr">
        <is>
          <t>7898719040164</t>
        </is>
      </c>
      <c r="D243" s="7" t="inlineStr">
        <is>
          <t>OLEO DE GIRASSOL DERSIN 200ML</t>
        </is>
      </c>
      <c r="E243" s="13" t="n">
        <v>1</v>
      </c>
      <c r="F243" s="13" t="n">
        <v>4</v>
      </c>
      <c r="G243" s="13" t="n">
        <v>4</v>
      </c>
      <c r="H243" s="8" t="n">
        <v>8.67</v>
      </c>
      <c r="I243" s="8">
        <f>G243*H243</f>
        <v/>
      </c>
      <c r="J243" s="8">
        <f>H243/E243</f>
        <v/>
      </c>
      <c r="K243" s="8" t="n">
        <v>8.67</v>
      </c>
      <c r="L243" s="8" t="n">
        <v>8.67</v>
      </c>
      <c r="M243" s="14">
        <f>J243/K243-1</f>
        <v/>
      </c>
      <c r="N243" s="7" t="inlineStr">
        <is>
          <t>OK (≤ menor hist.)</t>
        </is>
      </c>
      <c r="O243" s="7" t="inlineStr"/>
    </row>
    <row r="244">
      <c r="A244" s="7" t="n">
        <v>37703</v>
      </c>
      <c r="B244" s="7" t="inlineStr">
        <is>
          <t>2959</t>
        </is>
      </c>
      <c r="C244" s="12" t="inlineStr">
        <is>
          <t>7898582292639</t>
        </is>
      </c>
      <c r="D244" s="7" t="inlineStr">
        <is>
          <t>OLEO DE GIRASSOL DERSOL 100ML</t>
        </is>
      </c>
      <c r="E244" s="13" t="n">
        <v>1</v>
      </c>
      <c r="F244" s="13" t="n">
        <v>9</v>
      </c>
      <c r="G244" s="13" t="n">
        <v>9</v>
      </c>
      <c r="H244" s="8" t="n">
        <v>6.89</v>
      </c>
      <c r="I244" s="8">
        <f>G244*H244</f>
        <v/>
      </c>
      <c r="J244" s="8">
        <f>H244/E244</f>
        <v/>
      </c>
      <c r="K244" s="8" t="n">
        <v>5.66</v>
      </c>
      <c r="L244" s="8" t="n">
        <v>5.66</v>
      </c>
      <c r="M244" s="14">
        <f>J244/K244-1</f>
        <v/>
      </c>
      <c r="N244" s="7" t="inlineStr">
        <is>
          <t>ACIMA +21.7%</t>
        </is>
      </c>
      <c r="O244" s="7" t="inlineStr"/>
    </row>
    <row r="245">
      <c r="A245" s="7" t="n">
        <v>627711</v>
      </c>
      <c r="B245" s="7" t="inlineStr">
        <is>
          <t>3381</t>
        </is>
      </c>
      <c r="C245" s="12" t="inlineStr">
        <is>
          <t>7896023799983</t>
        </is>
      </c>
      <c r="D245" s="7" t="inlineStr">
        <is>
          <t>OMEGA 3 1000MG 60CAP</t>
        </is>
      </c>
      <c r="E245" s="13" t="n">
        <v>1</v>
      </c>
      <c r="F245" s="13" t="n">
        <v>13</v>
      </c>
      <c r="G245" s="13" t="n">
        <v>13</v>
      </c>
      <c r="H245" s="8" t="n">
        <v>37.44</v>
      </c>
      <c r="I245" s="8">
        <f>G245*H245</f>
        <v/>
      </c>
      <c r="J245" s="8">
        <f>H245/E245</f>
        <v/>
      </c>
      <c r="K245" s="8" t="n">
        <v>32.02</v>
      </c>
      <c r="L245" s="8" t="n">
        <v>27.45</v>
      </c>
      <c r="M245" s="14">
        <f>J245/K245-1</f>
        <v/>
      </c>
      <c r="N245" s="7" t="inlineStr">
        <is>
          <t>ACIMA +16.9%</t>
        </is>
      </c>
      <c r="O245" s="7" t="inlineStr"/>
    </row>
    <row r="246">
      <c r="A246" s="7" t="n">
        <v>653701</v>
      </c>
      <c r="B246" s="7" t="inlineStr">
        <is>
          <t>5186</t>
        </is>
      </c>
      <c r="C246" s="12" t="inlineStr">
        <is>
          <t>7898639690999</t>
        </is>
      </c>
      <c r="D246" s="7" t="inlineStr">
        <is>
          <t>OXIMETRO DE DEDO LED OXILED1</t>
        </is>
      </c>
      <c r="E246" s="13" t="n">
        <v>1</v>
      </c>
      <c r="F246" s="13" t="n">
        <v>1</v>
      </c>
      <c r="G246" s="13" t="n">
        <v>1</v>
      </c>
      <c r="H246" s="8" t="n">
        <v>78.61</v>
      </c>
      <c r="I246" s="8">
        <f>G246*H246</f>
        <v/>
      </c>
      <c r="J246" s="8">
        <f>H246/E246</f>
        <v/>
      </c>
      <c r="K246" s="8" t="n">
        <v>72.55</v>
      </c>
      <c r="L246" s="8" t="n">
        <v>71.25</v>
      </c>
      <c r="M246" s="14">
        <f>J246/K246-1</f>
        <v/>
      </c>
      <c r="N246" s="7" t="inlineStr">
        <is>
          <t>ACIMA +8.4%</t>
        </is>
      </c>
      <c r="O246" s="7" t="inlineStr"/>
    </row>
    <row r="247">
      <c r="A247" s="7" t="n">
        <v>531661</v>
      </c>
      <c r="B247" s="7" t="inlineStr">
        <is>
          <t>153</t>
        </is>
      </c>
      <c r="C247" s="12" t="inlineStr">
        <is>
          <t>7898031310709</t>
        </is>
      </c>
      <c r="D247" s="7" t="inlineStr">
        <is>
          <t>PASTA D AGUA 100G</t>
        </is>
      </c>
      <c r="E247" s="13" t="n">
        <v>1</v>
      </c>
      <c r="F247" s="13" t="n">
        <v>12</v>
      </c>
      <c r="G247" s="13" t="n">
        <v>12</v>
      </c>
      <c r="H247" s="8" t="n">
        <v>6.28</v>
      </c>
      <c r="I247" s="8">
        <f>G247*H247</f>
        <v/>
      </c>
      <c r="J247" s="8">
        <f>H247/E247</f>
        <v/>
      </c>
      <c r="K247" s="8" t="n">
        <v>6.28</v>
      </c>
      <c r="L247" s="8" t="n">
        <v>6.13</v>
      </c>
      <c r="M247" s="14">
        <f>J247/K247-1</f>
        <v/>
      </c>
      <c r="N247" s="7" t="inlineStr">
        <is>
          <t>OK (≤ últ. compra)</t>
        </is>
      </c>
      <c r="O247" s="7" t="inlineStr"/>
    </row>
    <row r="248">
      <c r="A248" s="7" t="n">
        <v>4063</v>
      </c>
      <c r="B248" s="7" t="inlineStr">
        <is>
          <t>7284</t>
        </is>
      </c>
      <c r="C248" s="12" t="inlineStr">
        <is>
          <t>7898031311102</t>
        </is>
      </c>
      <c r="D248" s="7" t="inlineStr">
        <is>
          <t>PASTA DAGUA SIMPLES 90G BISNAGA</t>
        </is>
      </c>
      <c r="E248" s="13" t="n">
        <v>1</v>
      </c>
      <c r="F248" s="13" t="n">
        <v>3</v>
      </c>
      <c r="G248" s="13" t="n">
        <v>3</v>
      </c>
      <c r="H248" s="8" t="n">
        <v>7.74</v>
      </c>
      <c r="I248" s="8">
        <f>G248*H248</f>
        <v/>
      </c>
      <c r="J248" s="8">
        <f>H248/E248</f>
        <v/>
      </c>
      <c r="K248" s="8" t="n">
        <v>7.74</v>
      </c>
      <c r="L248" s="8" t="n">
        <v>7.57</v>
      </c>
      <c r="M248" s="14">
        <f>J248/K248-1</f>
        <v/>
      </c>
      <c r="N248" s="7" t="inlineStr">
        <is>
          <t>OK (≤ últ. compra)</t>
        </is>
      </c>
      <c r="O248" s="7" t="inlineStr"/>
    </row>
    <row r="249">
      <c r="A249" s="7" t="n">
        <v>662241</v>
      </c>
      <c r="B249" s="7" t="inlineStr">
        <is>
          <t>6841</t>
        </is>
      </c>
      <c r="C249" s="12" t="inlineStr">
        <is>
          <t>7898719041048</t>
        </is>
      </c>
      <c r="D249" s="7" t="inlineStr">
        <is>
          <t>PEDRA HUME 35ML SPRAY</t>
        </is>
      </c>
      <c r="E249" s="13" t="n">
        <v>1</v>
      </c>
      <c r="F249" s="13" t="n">
        <v>2</v>
      </c>
      <c r="G249" s="13" t="n">
        <v>2</v>
      </c>
      <c r="H249" s="8" t="n">
        <v>6.59</v>
      </c>
      <c r="I249" s="8">
        <f>G249*H249</f>
        <v/>
      </c>
      <c r="J249" s="8">
        <f>H249/E249</f>
        <v/>
      </c>
      <c r="K249" s="8" t="n">
        <v>6.59</v>
      </c>
      <c r="L249" s="8" t="n">
        <v>6.59</v>
      </c>
      <c r="M249" s="14">
        <f>J249/K249-1</f>
        <v/>
      </c>
      <c r="N249" s="7" t="inlineStr">
        <is>
          <t>OK (≤ menor hist.)</t>
        </is>
      </c>
      <c r="O249" s="7" t="inlineStr"/>
    </row>
    <row r="250">
      <c r="A250" s="7" t="n">
        <v>644681</v>
      </c>
      <c r="B250" s="7" t="inlineStr">
        <is>
          <t>5382</t>
        </is>
      </c>
      <c r="C250" s="12" t="inlineStr">
        <is>
          <t>7898031310891</t>
        </is>
      </c>
      <c r="D250" s="7" t="inlineStr">
        <is>
          <t>PEDRA HUME SOLUCAO SPRAY 30ML</t>
        </is>
      </c>
      <c r="E250" s="13" t="n">
        <v>1</v>
      </c>
      <c r="F250" s="13" t="n">
        <v>4</v>
      </c>
      <c r="G250" s="13" t="n">
        <v>4</v>
      </c>
      <c r="H250" s="8" t="n">
        <v>5.45</v>
      </c>
      <c r="I250" s="8">
        <f>G250*H250</f>
        <v/>
      </c>
      <c r="J250" s="8">
        <f>H250/E250</f>
        <v/>
      </c>
      <c r="K250" s="8" t="n">
        <v>5.45</v>
      </c>
      <c r="L250" s="8" t="n">
        <v>5.45</v>
      </c>
      <c r="M250" s="14">
        <f>J250/K250-1</f>
        <v/>
      </c>
      <c r="N250" s="7" t="inlineStr">
        <is>
          <t>OK (≤ menor hist.)</t>
        </is>
      </c>
      <c r="O250" s="7" t="inlineStr"/>
    </row>
    <row r="251">
      <c r="A251" s="7" t="n">
        <v>639911</v>
      </c>
      <c r="B251" s="7" t="inlineStr">
        <is>
          <t>8454</t>
        </is>
      </c>
      <c r="C251" s="12" t="inlineStr">
        <is>
          <t>7898953484410</t>
        </is>
      </c>
      <c r="D251" s="7" t="inlineStr">
        <is>
          <t>PENTE FINO TIRA PIOLHO 1 UN ROSA</t>
        </is>
      </c>
      <c r="E251" s="13" t="n">
        <v>1</v>
      </c>
      <c r="F251" s="13" t="n">
        <v>5</v>
      </c>
      <c r="G251" s="13" t="n">
        <v>5</v>
      </c>
      <c r="H251" s="8" t="n">
        <v>11.84</v>
      </c>
      <c r="I251" s="8">
        <f>G251*H251</f>
        <v/>
      </c>
      <c r="J251" s="8">
        <f>H251/E251</f>
        <v/>
      </c>
      <c r="K251" s="8" t="n">
        <v>11.84</v>
      </c>
      <c r="L251" s="8" t="n">
        <v>11.84</v>
      </c>
      <c r="M251" s="14">
        <f>J251/K251-1</f>
        <v/>
      </c>
      <c r="N251" s="7" t="inlineStr">
        <is>
          <t>OK (≤ menor hist.)</t>
        </is>
      </c>
      <c r="O251" s="7" t="inlineStr"/>
    </row>
    <row r="252">
      <c r="A252" s="7" t="n">
        <v>3563</v>
      </c>
      <c r="B252" s="7" t="inlineStr">
        <is>
          <t>6735</t>
        </is>
      </c>
      <c r="C252" s="12" t="inlineStr">
        <is>
          <t>7898719040539</t>
        </is>
      </c>
      <c r="D252" s="7" t="inlineStr">
        <is>
          <t>PERIOASSEPT 250ML MENTA COM ALCOOL</t>
        </is>
      </c>
      <c r="E252" s="13" t="n">
        <v>1</v>
      </c>
      <c r="F252" s="13" t="n">
        <v>1</v>
      </c>
      <c r="G252" s="13" t="n">
        <v>1</v>
      </c>
      <c r="H252" s="8" t="n">
        <v>12.95</v>
      </c>
      <c r="I252" s="8">
        <f>G252*H252</f>
        <v/>
      </c>
      <c r="J252" s="8">
        <f>H252/E252</f>
        <v/>
      </c>
      <c r="K252" s="8" t="n">
        <v>11.99</v>
      </c>
      <c r="L252" s="8" t="n">
        <v>11.99</v>
      </c>
      <c r="M252" s="14">
        <f>J252/K252-1</f>
        <v/>
      </c>
      <c r="N252" s="7" t="inlineStr">
        <is>
          <t>ACIMA +8.0%</t>
        </is>
      </c>
      <c r="O252" s="7" t="inlineStr"/>
    </row>
    <row r="253">
      <c r="A253" s="7" t="n">
        <v>547801</v>
      </c>
      <c r="B253" s="7" t="inlineStr">
        <is>
          <t>3806</t>
        </is>
      </c>
      <c r="C253" s="12" t="inlineStr">
        <is>
          <t>7899620913059</t>
        </is>
      </c>
      <c r="D253" s="7" t="inlineStr">
        <is>
          <t>PERIODENT SOLUCAO BUCAL 250 ML</t>
        </is>
      </c>
      <c r="E253" s="13" t="n">
        <v>1</v>
      </c>
      <c r="F253" s="13" t="n">
        <v>2</v>
      </c>
      <c r="G253" s="13" t="n">
        <v>2</v>
      </c>
      <c r="H253" s="8" t="n">
        <v>10.79</v>
      </c>
      <c r="I253" s="8">
        <f>G253*H253</f>
        <v/>
      </c>
      <c r="J253" s="8">
        <f>H253/E253</f>
        <v/>
      </c>
      <c r="K253" s="8" t="n">
        <v>10.79</v>
      </c>
      <c r="L253" s="8" t="n">
        <v>10.79</v>
      </c>
      <c r="M253" s="14">
        <f>J253/K253-1</f>
        <v/>
      </c>
      <c r="N253" s="7" t="inlineStr">
        <is>
          <t>OK (≤ menor hist.)</t>
        </is>
      </c>
      <c r="O253" s="7" t="inlineStr"/>
    </row>
    <row r="254">
      <c r="A254" s="7" t="n">
        <v>487921</v>
      </c>
      <c r="B254" s="7" t="inlineStr">
        <is>
          <t>115</t>
        </is>
      </c>
      <c r="C254" s="12" t="inlineStr">
        <is>
          <t>7898100244485</t>
        </is>
      </c>
      <c r="D254" s="7" t="inlineStr">
        <is>
          <t>PETIVIT BC XPE FR 240ML</t>
        </is>
      </c>
      <c r="E254" s="13" t="n">
        <v>1</v>
      </c>
      <c r="F254" s="13" t="n">
        <v>33</v>
      </c>
      <c r="G254" s="13" t="n">
        <v>33</v>
      </c>
      <c r="H254" s="8" t="n">
        <v>8.800000000000001</v>
      </c>
      <c r="I254" s="8">
        <f>G254*H254</f>
        <v/>
      </c>
      <c r="J254" s="8">
        <f>H254/E254</f>
        <v/>
      </c>
      <c r="K254" s="8" t="n">
        <v>6.99</v>
      </c>
      <c r="L254" s="8" t="n">
        <v>6.99</v>
      </c>
      <c r="M254" s="14">
        <f>J254/K254-1</f>
        <v/>
      </c>
      <c r="N254" s="7" t="inlineStr">
        <is>
          <t>ACIMA +25.9%</t>
        </is>
      </c>
      <c r="O254" s="7" t="inlineStr"/>
    </row>
    <row r="255">
      <c r="A255" s="7" t="n">
        <v>274781</v>
      </c>
      <c r="B255" s="7" t="inlineStr">
        <is>
          <t>119</t>
        </is>
      </c>
      <c r="C255" s="12" t="inlineStr">
        <is>
          <t>7898100243112</t>
        </is>
      </c>
      <c r="D255" s="7" t="inlineStr">
        <is>
          <t>PHITOSS 7MG/ML XPE FR 100ML PET</t>
        </is>
      </c>
      <c r="E255" s="13" t="n">
        <v>1</v>
      </c>
      <c r="F255" s="13" t="n">
        <v>22</v>
      </c>
      <c r="G255" s="13" t="n">
        <v>22</v>
      </c>
      <c r="H255" s="8" t="n">
        <v>6.61</v>
      </c>
      <c r="I255" s="8">
        <f>G255*H255</f>
        <v/>
      </c>
      <c r="J255" s="8">
        <f>H255/E255</f>
        <v/>
      </c>
      <c r="K255" s="8" t="n">
        <v>5.49</v>
      </c>
      <c r="L255" s="8" t="n">
        <v>5.49</v>
      </c>
      <c r="M255" s="14">
        <f>J255/K255-1</f>
        <v/>
      </c>
      <c r="N255" s="7" t="inlineStr">
        <is>
          <t>ACIMA +20.4%</t>
        </is>
      </c>
      <c r="O255" s="7" t="inlineStr"/>
    </row>
    <row r="256">
      <c r="A256" s="7" t="n">
        <v>565861</v>
      </c>
      <c r="B256" s="7" t="inlineStr">
        <is>
          <t>7371</t>
        </is>
      </c>
      <c r="C256" s="12" t="inlineStr">
        <is>
          <t>7898100244669</t>
        </is>
      </c>
      <c r="D256" s="7" t="inlineStr">
        <is>
          <t>PHITOSS KIDS 7MG/ML XPE 100ML</t>
        </is>
      </c>
      <c r="E256" s="13" t="n">
        <v>1</v>
      </c>
      <c r="F256" s="13" t="n">
        <v>1</v>
      </c>
      <c r="G256" s="13" t="n">
        <v>1</v>
      </c>
      <c r="H256" s="8" t="n">
        <v>6.96</v>
      </c>
      <c r="I256" s="8">
        <f>G256*H256</f>
        <v/>
      </c>
      <c r="J256" s="8">
        <f>H256/E256</f>
        <v/>
      </c>
      <c r="K256" s="8" t="n">
        <v>5.66</v>
      </c>
      <c r="L256" s="8" t="n">
        <v>5.66</v>
      </c>
      <c r="M256" s="14">
        <f>J256/K256-1</f>
        <v/>
      </c>
      <c r="N256" s="7" t="inlineStr">
        <is>
          <t>ACIMA +23.0%</t>
        </is>
      </c>
      <c r="O256" s="7" t="inlineStr"/>
    </row>
    <row r="257">
      <c r="A257" s="7" t="n">
        <v>404881</v>
      </c>
      <c r="B257" s="7" t="inlineStr">
        <is>
          <t>5539</t>
        </is>
      </c>
      <c r="C257" s="12" t="inlineStr">
        <is>
          <t>7898216362189</t>
        </is>
      </c>
      <c r="D257" s="7" t="inlineStr">
        <is>
          <t>PIROXICAM 20MG CX 10 CAP</t>
        </is>
      </c>
      <c r="E257" s="13" t="n">
        <v>1</v>
      </c>
      <c r="F257" s="13" t="n">
        <v>6</v>
      </c>
      <c r="G257" s="13" t="n">
        <v>6</v>
      </c>
      <c r="H257" s="8" t="n">
        <v>4.38</v>
      </c>
      <c r="I257" s="8">
        <f>G257*H257</f>
        <v/>
      </c>
      <c r="J257" s="8">
        <f>H257/E257</f>
        <v/>
      </c>
      <c r="K257" s="8" t="n">
        <v>4.15</v>
      </c>
      <c r="L257" s="8" t="n">
        <v>4.15</v>
      </c>
      <c r="M257" s="14">
        <f>J257/K257-1</f>
        <v/>
      </c>
      <c r="N257" s="7" t="inlineStr">
        <is>
          <t>ACIMA +5.5%</t>
        </is>
      </c>
      <c r="O257" s="7" t="inlineStr"/>
    </row>
    <row r="258">
      <c r="A258" s="7" t="n">
        <v>5703</v>
      </c>
      <c r="B258" s="7" t="inlineStr">
        <is>
          <t>9657</t>
        </is>
      </c>
      <c r="C258" s="12" t="inlineStr">
        <is>
          <t>609963917563</t>
        </is>
      </c>
      <c r="D258" s="7" t="inlineStr">
        <is>
          <t>POLIVITAMINICO AZ C/60 CPS</t>
        </is>
      </c>
      <c r="E258" s="13" t="n">
        <v>1</v>
      </c>
      <c r="F258" s="13" t="n">
        <v>1</v>
      </c>
      <c r="G258" s="13" t="n">
        <v>1</v>
      </c>
      <c r="H258" s="8" t="n">
        <v>12.62</v>
      </c>
      <c r="I258" s="8">
        <f>G258*H258</f>
        <v/>
      </c>
      <c r="J258" s="8">
        <f>H258/E258</f>
        <v/>
      </c>
      <c r="K258" s="8" t="n"/>
      <c r="L258" s="8" t="n"/>
      <c r="M258" s="14" t="n"/>
      <c r="N258" s="7" t="inlineStr">
        <is>
          <t>SEM HISTÓRICO</t>
        </is>
      </c>
      <c r="O258" s="7" t="inlineStr"/>
    </row>
    <row r="259">
      <c r="A259" s="7" t="n">
        <v>588931</v>
      </c>
      <c r="B259" s="7" t="inlineStr">
        <is>
          <t>1212</t>
        </is>
      </c>
      <c r="C259" s="12" t="inlineStr">
        <is>
          <t>7897146600583</t>
        </is>
      </c>
      <c r="D259" s="7" t="inlineStr">
        <is>
          <t>PRANFIGALDO 10ML ABACAXI UN (FLACONETE)</t>
        </is>
      </c>
      <c r="E259" s="13" t="n">
        <v>60</v>
      </c>
      <c r="F259" s="13" t="n">
        <v>2</v>
      </c>
      <c r="G259" s="13" t="n">
        <v>1</v>
      </c>
      <c r="H259" s="8" t="n">
        <v>24.29</v>
      </c>
      <c r="I259" s="8">
        <f>G259*H259</f>
        <v/>
      </c>
      <c r="J259" s="8">
        <f>H259/E259</f>
        <v/>
      </c>
      <c r="K259" s="8" t="n">
        <v>0.4048</v>
      </c>
      <c r="L259" s="8" t="n">
        <v>0.4048</v>
      </c>
      <c r="M259" s="14">
        <f>J259/K259-1</f>
        <v/>
      </c>
      <c r="N259" s="7" t="inlineStr">
        <is>
          <t>OK (≤ menor hist.)</t>
        </is>
      </c>
      <c r="O259" s="7" t="inlineStr">
        <is>
          <t>1 emb = 60 un</t>
        </is>
      </c>
    </row>
    <row r="260">
      <c r="A260" s="7" t="n">
        <v>543501</v>
      </c>
      <c r="B260" s="7" t="inlineStr">
        <is>
          <t>794</t>
        </is>
      </c>
      <c r="C260" s="12" t="inlineStr">
        <is>
          <t>7897146600040</t>
        </is>
      </c>
      <c r="D260" s="7" t="inlineStr">
        <is>
          <t>PRANFIGALDO BOLDO 10ML(FLACONETES)</t>
        </is>
      </c>
      <c r="E260" s="13" t="n">
        <v>60</v>
      </c>
      <c r="F260" s="13" t="n">
        <v>4</v>
      </c>
      <c r="G260" s="13" t="n">
        <v>1</v>
      </c>
      <c r="H260" s="8" t="n">
        <v>33.75</v>
      </c>
      <c r="I260" s="8">
        <f>G260*H260</f>
        <v/>
      </c>
      <c r="J260" s="8">
        <f>H260/E260</f>
        <v/>
      </c>
      <c r="K260" s="8" t="n">
        <v>0.5625</v>
      </c>
      <c r="L260" s="8" t="n">
        <v>0.5367</v>
      </c>
      <c r="M260" s="14">
        <f>J260/K260-1</f>
        <v/>
      </c>
      <c r="N260" s="7" t="inlineStr">
        <is>
          <t>OK (≤ últ. compra)</t>
        </is>
      </c>
      <c r="O260" s="7" t="inlineStr">
        <is>
          <t>1 emb = 60 un</t>
        </is>
      </c>
    </row>
    <row r="261">
      <c r="A261" s="7" t="n">
        <v>407941</v>
      </c>
      <c r="B261" s="7" t="inlineStr">
        <is>
          <t>5042</t>
        </is>
      </c>
      <c r="C261" s="12" t="inlineStr">
        <is>
          <t>7898569765439</t>
        </is>
      </c>
      <c r="D261" s="7" t="inlineStr">
        <is>
          <t>PREDNISOLONA 20MG CX 10 COMP</t>
        </is>
      </c>
      <c r="E261" s="13" t="n">
        <v>1</v>
      </c>
      <c r="F261" s="13" t="n">
        <v>1</v>
      </c>
      <c r="G261" s="13" t="n">
        <v>1</v>
      </c>
      <c r="H261" s="8" t="n">
        <v>8.93</v>
      </c>
      <c r="I261" s="8">
        <f>G261*H261</f>
        <v/>
      </c>
      <c r="J261" s="8">
        <f>H261/E261</f>
        <v/>
      </c>
      <c r="K261" s="8" t="n">
        <v>6.82</v>
      </c>
      <c r="L261" s="8" t="n">
        <v>6.82</v>
      </c>
      <c r="M261" s="14">
        <f>J261/K261-1</f>
        <v/>
      </c>
      <c r="N261" s="7" t="inlineStr">
        <is>
          <t>ACIMA +30.9%</t>
        </is>
      </c>
      <c r="O261" s="7" t="inlineStr"/>
    </row>
    <row r="262">
      <c r="A262" s="7" t="n">
        <v>483381</v>
      </c>
      <c r="B262" s="7" t="inlineStr">
        <is>
          <t>7290</t>
        </is>
      </c>
      <c r="C262" s="12" t="inlineStr">
        <is>
          <t>7899620912144</t>
        </is>
      </c>
      <c r="D262" s="7" t="inlineStr">
        <is>
          <t>PREDNISONA 20MG CX 20 COMP</t>
        </is>
      </c>
      <c r="E262" s="13" t="n">
        <v>1</v>
      </c>
      <c r="F262" s="13" t="n">
        <v>1</v>
      </c>
      <c r="G262" s="13" t="n">
        <v>1</v>
      </c>
      <c r="H262" s="8" t="n">
        <v>7.02</v>
      </c>
      <c r="I262" s="8">
        <f>G262*H262</f>
        <v/>
      </c>
      <c r="J262" s="8">
        <f>H262/E262</f>
        <v/>
      </c>
      <c r="K262" s="8" t="n">
        <v>6.97</v>
      </c>
      <c r="L262" s="8" t="n">
        <v>6.69</v>
      </c>
      <c r="M262" s="14">
        <f>J262/K262-1</f>
        <v/>
      </c>
      <c r="N262" s="7" t="inlineStr">
        <is>
          <t>ACIMA +0.7%</t>
        </is>
      </c>
      <c r="O262" s="7" t="inlineStr"/>
    </row>
    <row r="263">
      <c r="A263" s="7" t="n">
        <v>550201</v>
      </c>
      <c r="B263" s="7" t="inlineStr">
        <is>
          <t>4713</t>
        </is>
      </c>
      <c r="C263" s="12" t="inlineStr">
        <is>
          <t>7898556850254</t>
        </is>
      </c>
      <c r="D263" s="7" t="inlineStr">
        <is>
          <t>PRES RILEX HOT 3UN</t>
        </is>
      </c>
      <c r="E263" s="13" t="n">
        <v>1</v>
      </c>
      <c r="F263" s="13" t="n">
        <v>2</v>
      </c>
      <c r="G263" s="13" t="n">
        <v>2</v>
      </c>
      <c r="H263" s="8" t="n">
        <v>5.3</v>
      </c>
      <c r="I263" s="8">
        <f>G263*H263</f>
        <v/>
      </c>
      <c r="J263" s="8">
        <f>H263/E263</f>
        <v/>
      </c>
      <c r="K263" s="8" t="n">
        <v>5.07</v>
      </c>
      <c r="L263" s="8" t="n">
        <v>4.85</v>
      </c>
      <c r="M263" s="14">
        <f>J263/K263-1</f>
        <v/>
      </c>
      <c r="N263" s="7" t="inlineStr">
        <is>
          <t>ACIMA +4.5%</t>
        </is>
      </c>
      <c r="O263" s="7" t="inlineStr"/>
    </row>
    <row r="264">
      <c r="A264" s="7" t="n">
        <v>550161</v>
      </c>
      <c r="B264" s="7" t="inlineStr">
        <is>
          <t>4711</t>
        </is>
      </c>
      <c r="C264" s="12" t="inlineStr">
        <is>
          <t>7898556850209</t>
        </is>
      </c>
      <c r="D264" s="7" t="inlineStr">
        <is>
          <t>PRES RILEX TEXTURIZADO 3UN</t>
        </is>
      </c>
      <c r="E264" s="13" t="n">
        <v>1</v>
      </c>
      <c r="F264" s="13" t="n">
        <v>1</v>
      </c>
      <c r="G264" s="13" t="n">
        <v>1</v>
      </c>
      <c r="H264" s="8" t="n">
        <v>4.73</v>
      </c>
      <c r="I264" s="8">
        <f>G264*H264</f>
        <v/>
      </c>
      <c r="J264" s="8">
        <f>H264/E264</f>
        <v/>
      </c>
      <c r="K264" s="8" t="n">
        <v>4.56</v>
      </c>
      <c r="L264" s="8" t="n">
        <v>4.55</v>
      </c>
      <c r="M264" s="14">
        <f>J264/K264-1</f>
        <v/>
      </c>
      <c r="N264" s="7" t="inlineStr">
        <is>
          <t>ACIMA +3.7%</t>
        </is>
      </c>
      <c r="O264" s="7" t="inlineStr"/>
    </row>
    <row r="265">
      <c r="A265" s="7" t="n">
        <v>584461</v>
      </c>
      <c r="B265" s="7" t="inlineStr">
        <is>
          <t>5736</t>
        </is>
      </c>
      <c r="C265" s="12" t="inlineStr">
        <is>
          <t>7898556850452</t>
        </is>
      </c>
      <c r="D265" s="7" t="inlineStr">
        <is>
          <t>PRESERVATIVO RILEX LEITE CONDENSADO 3UN</t>
        </is>
      </c>
      <c r="E265" s="13" t="n">
        <v>1</v>
      </c>
      <c r="F265" s="13" t="n">
        <v>4</v>
      </c>
      <c r="G265" s="13" t="n">
        <v>4</v>
      </c>
      <c r="H265" s="8" t="n">
        <v>2.33</v>
      </c>
      <c r="I265" s="8">
        <f>G265*H265</f>
        <v/>
      </c>
      <c r="J265" s="8">
        <f>H265/E265</f>
        <v/>
      </c>
      <c r="K265" s="8" t="n">
        <v>2.22</v>
      </c>
      <c r="L265" s="8" t="n">
        <v>2.22</v>
      </c>
      <c r="M265" s="14">
        <f>J265/K265-1</f>
        <v/>
      </c>
      <c r="N265" s="7" t="inlineStr">
        <is>
          <t>ACIMA +5.0%</t>
        </is>
      </c>
      <c r="O265" s="7" t="inlineStr"/>
    </row>
    <row r="266">
      <c r="A266" s="7" t="n">
        <v>532801</v>
      </c>
      <c r="B266" s="7" t="inlineStr">
        <is>
          <t>879</t>
        </is>
      </c>
      <c r="C266" s="12" t="inlineStr">
        <is>
          <t>7898903991487</t>
        </is>
      </c>
      <c r="D266" s="7" t="inlineStr">
        <is>
          <t>PRESERVATIVO RILEX LUBRIFICADO C/3</t>
        </is>
      </c>
      <c r="E266" s="13" t="n">
        <v>1</v>
      </c>
      <c r="F266" s="13" t="n">
        <v>3</v>
      </c>
      <c r="G266" s="13" t="n">
        <v>3</v>
      </c>
      <c r="H266" s="8" t="n">
        <v>2.17</v>
      </c>
      <c r="I266" s="8">
        <f>G266*H266</f>
        <v/>
      </c>
      <c r="J266" s="8">
        <f>H266/E266</f>
        <v/>
      </c>
      <c r="K266" s="8" t="n">
        <v>2.11</v>
      </c>
      <c r="L266" s="8" t="n">
        <v>2.09</v>
      </c>
      <c r="M266" s="14">
        <f>J266/K266-1</f>
        <v/>
      </c>
      <c r="N266" s="7" t="inlineStr">
        <is>
          <t>ACIMA +2.8%</t>
        </is>
      </c>
      <c r="O266" s="7" t="inlineStr"/>
    </row>
    <row r="267">
      <c r="A267" s="7" t="n">
        <v>532821</v>
      </c>
      <c r="B267" s="7" t="inlineStr">
        <is>
          <t>882</t>
        </is>
      </c>
      <c r="C267" s="12" t="inlineStr">
        <is>
          <t>7898903991517</t>
        </is>
      </c>
      <c r="D267" s="7" t="inlineStr">
        <is>
          <t>PRESERVATIVO RILEX MORANGO C/3</t>
        </is>
      </c>
      <c r="E267" s="13" t="n">
        <v>1</v>
      </c>
      <c r="F267" s="13" t="n">
        <v>1</v>
      </c>
      <c r="G267" s="13" t="n">
        <v>1</v>
      </c>
      <c r="H267" s="8" t="n">
        <v>2.21</v>
      </c>
      <c r="I267" s="8">
        <f>G267*H267</f>
        <v/>
      </c>
      <c r="J267" s="8">
        <f>H267/E267</f>
        <v/>
      </c>
      <c r="K267" s="8" t="n">
        <v>2.14</v>
      </c>
      <c r="L267" s="8" t="n">
        <v>2.13</v>
      </c>
      <c r="M267" s="14">
        <f>J267/K267-1</f>
        <v/>
      </c>
      <c r="N267" s="7" t="inlineStr">
        <is>
          <t>ACIMA +3.3%</t>
        </is>
      </c>
      <c r="O267" s="7" t="inlineStr"/>
    </row>
    <row r="268">
      <c r="A268" s="7" t="n">
        <v>532781</v>
      </c>
      <c r="B268" s="7" t="inlineStr">
        <is>
          <t>877</t>
        </is>
      </c>
      <c r="C268" s="12" t="inlineStr">
        <is>
          <t>7898556850193</t>
        </is>
      </c>
      <c r="D268" s="7" t="inlineStr">
        <is>
          <t>PRESERVATIVO RILEX SENSITIVE C/3</t>
        </is>
      </c>
      <c r="E268" s="13" t="n">
        <v>1</v>
      </c>
      <c r="F268" s="13" t="n">
        <v>5</v>
      </c>
      <c r="G268" s="13" t="n">
        <v>5</v>
      </c>
      <c r="H268" s="8" t="n">
        <v>4.55</v>
      </c>
      <c r="I268" s="8">
        <f>G268*H268</f>
        <v/>
      </c>
      <c r="J268" s="8">
        <f>H268/E268</f>
        <v/>
      </c>
      <c r="K268" s="8" t="n">
        <v>4.38</v>
      </c>
      <c r="L268" s="8" t="n">
        <v>4.37</v>
      </c>
      <c r="M268" s="14">
        <f>J268/K268-1</f>
        <v/>
      </c>
      <c r="N268" s="7" t="inlineStr">
        <is>
          <t>ACIMA +3.9%</t>
        </is>
      </c>
      <c r="O268" s="7" t="inlineStr"/>
    </row>
    <row r="269">
      <c r="A269" s="7" t="n">
        <v>201921</v>
      </c>
      <c r="B269" s="7" t="inlineStr">
        <is>
          <t>1567</t>
        </is>
      </c>
      <c r="C269" s="12" t="inlineStr">
        <is>
          <t>7896472500253</t>
        </is>
      </c>
      <c r="D269" s="7" t="inlineStr">
        <is>
          <t>PV - DELTALAB 0,2MG LOCAO FR 100ML</t>
        </is>
      </c>
      <c r="E269" s="13" t="n">
        <v>1</v>
      </c>
      <c r="F269" s="13" t="n">
        <v>1</v>
      </c>
      <c r="G269" s="13" t="n">
        <v>1</v>
      </c>
      <c r="H269" s="8" t="n">
        <v>6.88</v>
      </c>
      <c r="I269" s="8">
        <f>G269*H269</f>
        <v/>
      </c>
      <c r="J269" s="8">
        <f>H269/E269</f>
        <v/>
      </c>
      <c r="K269" s="8" t="n">
        <v>5.6</v>
      </c>
      <c r="L269" s="8" t="n">
        <v>5.6</v>
      </c>
      <c r="M269" s="14">
        <f>J269/K269-1</f>
        <v/>
      </c>
      <c r="N269" s="7" t="inlineStr">
        <is>
          <t>ACIMA +22.9%</t>
        </is>
      </c>
      <c r="O269" s="7" t="inlineStr"/>
    </row>
    <row r="270">
      <c r="A270" s="7" t="n">
        <v>68841</v>
      </c>
      <c r="B270" s="7" t="inlineStr">
        <is>
          <t>4578</t>
        </is>
      </c>
      <c r="C270" s="12" t="inlineStr">
        <is>
          <t>7896004765709</t>
        </is>
      </c>
      <c r="D270" s="7" t="inlineStr">
        <is>
          <t>PV - INALIDE 64MPV - CG SUS SPR NAS FR 120 ACION</t>
        </is>
      </c>
      <c r="E270" s="13" t="n">
        <v>1</v>
      </c>
      <c r="F270" s="13" t="n">
        <v>2</v>
      </c>
      <c r="G270" s="13" t="n">
        <v>2</v>
      </c>
      <c r="H270" s="8" t="n">
        <v>20.33</v>
      </c>
      <c r="I270" s="8">
        <f>G270*H270</f>
        <v/>
      </c>
      <c r="J270" s="8">
        <f>H270/E270</f>
        <v/>
      </c>
      <c r="K270" s="8" t="n">
        <v>23.98</v>
      </c>
      <c r="L270" s="8" t="n">
        <v>23.98</v>
      </c>
      <c r="M270" s="14">
        <f>J270/K270-1</f>
        <v/>
      </c>
      <c r="N270" s="7" t="inlineStr">
        <is>
          <t>OK (≤ menor hist.)</t>
        </is>
      </c>
      <c r="O270" s="7" t="inlineStr"/>
    </row>
    <row r="271">
      <c r="A271" s="7" t="n">
        <v>660341</v>
      </c>
      <c r="B271" s="7" t="inlineStr">
        <is>
          <t>10727</t>
        </is>
      </c>
      <c r="C271" s="12" t="inlineStr">
        <is>
          <t>7891058005658</t>
        </is>
      </c>
      <c r="D271" s="7" t="inlineStr">
        <is>
          <t>PV - PREDNISONA 5MG CX 20 COMP</t>
        </is>
      </c>
      <c r="E271" s="13" t="n">
        <v>1</v>
      </c>
      <c r="F271" s="13" t="n">
        <v>13</v>
      </c>
      <c r="G271" s="13" t="n">
        <v>13</v>
      </c>
      <c r="H271" s="8" t="n">
        <v>4.14</v>
      </c>
      <c r="I271" s="8">
        <f>G271*H271</f>
        <v/>
      </c>
      <c r="J271" s="8">
        <f>H271/E271</f>
        <v/>
      </c>
      <c r="K271" s="8" t="n">
        <v>3.468</v>
      </c>
      <c r="L271" s="8" t="n">
        <v>2.967</v>
      </c>
      <c r="M271" s="14">
        <f>J271/K271-1</f>
        <v/>
      </c>
      <c r="N271" s="7" t="inlineStr">
        <is>
          <t>ACIMA +19.4%</t>
        </is>
      </c>
      <c r="O271" s="7" t="inlineStr"/>
    </row>
    <row r="272">
      <c r="A272" s="7" t="n">
        <v>1353</v>
      </c>
      <c r="B272" s="7" t="inlineStr">
        <is>
          <t>8774</t>
        </is>
      </c>
      <c r="C272" s="12" t="inlineStr">
        <is>
          <t>7898714761477</t>
        </is>
      </c>
      <c r="D272" s="7" t="inlineStr">
        <is>
          <t>PV K2+D3 CAPS REV X 30</t>
        </is>
      </c>
      <c r="E272" s="13" t="n">
        <v>1</v>
      </c>
      <c r="F272" s="13" t="n">
        <v>1</v>
      </c>
      <c r="G272" s="13" t="n">
        <v>1</v>
      </c>
      <c r="H272" s="8" t="n">
        <v>20.61</v>
      </c>
      <c r="I272" s="8">
        <f>G272*H272</f>
        <v/>
      </c>
      <c r="J272" s="8">
        <f>H272/E272</f>
        <v/>
      </c>
      <c r="K272" s="8" t="n">
        <v>41.8867</v>
      </c>
      <c r="L272" s="8" t="n">
        <v>41.8867</v>
      </c>
      <c r="M272" s="14">
        <f>J272/K272-1</f>
        <v/>
      </c>
      <c r="N272" s="7" t="inlineStr">
        <is>
          <t>OK (≤ menor hist.)</t>
        </is>
      </c>
      <c r="O272" s="7" t="inlineStr">
        <is>
          <t>conferir emb.</t>
        </is>
      </c>
    </row>
    <row r="273">
      <c r="A273" s="7" t="n">
        <v>622411</v>
      </c>
      <c r="B273" s="7" t="inlineStr">
        <is>
          <t>7803</t>
        </is>
      </c>
      <c r="C273" s="12" t="inlineStr">
        <is>
          <t>7898582291854</t>
        </is>
      </c>
      <c r="D273" s="7" t="inlineStr">
        <is>
          <t>QUEIMADOL POMADA 30G</t>
        </is>
      </c>
      <c r="E273" s="13" t="n">
        <v>1</v>
      </c>
      <c r="F273" s="13" t="n">
        <v>3</v>
      </c>
      <c r="G273" s="13" t="n">
        <v>3</v>
      </c>
      <c r="H273" s="8" t="n">
        <v>12.34</v>
      </c>
      <c r="I273" s="8">
        <f>G273*H273</f>
        <v/>
      </c>
      <c r="J273" s="8">
        <f>H273/E273</f>
        <v/>
      </c>
      <c r="K273" s="8" t="n">
        <v>11.52</v>
      </c>
      <c r="L273" s="8" t="n">
        <v>11.52</v>
      </c>
      <c r="M273" s="14">
        <f>J273/K273-1</f>
        <v/>
      </c>
      <c r="N273" s="7" t="inlineStr">
        <is>
          <t>ACIMA +7.1%</t>
        </is>
      </c>
      <c r="O273" s="7" t="inlineStr"/>
    </row>
    <row r="274">
      <c r="A274" s="7" t="n">
        <v>5603</v>
      </c>
      <c r="B274" s="7" t="inlineStr">
        <is>
          <t>9721</t>
        </is>
      </c>
      <c r="C274" s="12" t="inlineStr">
        <is>
          <t>7898767761684</t>
        </is>
      </c>
      <c r="D274" s="7" t="inlineStr">
        <is>
          <t>REHIDRAX PO C/04 ENVE AGUA DE COCO</t>
        </is>
      </c>
      <c r="E274" s="13" t="n">
        <v>1</v>
      </c>
      <c r="F274" s="13" t="n">
        <v>1</v>
      </c>
      <c r="G274" s="13" t="n">
        <v>1</v>
      </c>
      <c r="H274" s="8" t="n">
        <v>8.76</v>
      </c>
      <c r="I274" s="8">
        <f>G274*H274</f>
        <v/>
      </c>
      <c r="J274" s="8">
        <f>H274/E274</f>
        <v/>
      </c>
      <c r="K274" s="8" t="n">
        <v>8.07</v>
      </c>
      <c r="L274" s="8" t="n">
        <v>8.07</v>
      </c>
      <c r="M274" s="14">
        <f>J274/K274-1</f>
        <v/>
      </c>
      <c r="N274" s="7" t="inlineStr">
        <is>
          <t>ACIMA +8.6%</t>
        </is>
      </c>
      <c r="O274" s="7" t="inlineStr"/>
    </row>
    <row r="275">
      <c r="A275" s="7" t="n">
        <v>5903</v>
      </c>
      <c r="B275" s="7" t="inlineStr">
        <is>
          <t>9719</t>
        </is>
      </c>
      <c r="C275" s="12" t="inlineStr">
        <is>
          <t>7898767761707</t>
        </is>
      </c>
      <c r="D275" s="7" t="inlineStr">
        <is>
          <t>REHIDRAX PO C/04 ENVE LARANJA</t>
        </is>
      </c>
      <c r="E275" s="13" t="n">
        <v>1</v>
      </c>
      <c r="F275" s="13" t="n">
        <v>1</v>
      </c>
      <c r="G275" s="13" t="n">
        <v>1</v>
      </c>
      <c r="H275" s="8" t="n">
        <v>8.76</v>
      </c>
      <c r="I275" s="8">
        <f>G275*H275</f>
        <v/>
      </c>
      <c r="J275" s="8">
        <f>H275/E275</f>
        <v/>
      </c>
      <c r="K275" s="8" t="n">
        <v>8.07</v>
      </c>
      <c r="L275" s="8" t="n">
        <v>8.07</v>
      </c>
      <c r="M275" s="14">
        <f>J275/K275-1</f>
        <v/>
      </c>
      <c r="N275" s="7" t="inlineStr">
        <is>
          <t>ACIMA +8.6%</t>
        </is>
      </c>
      <c r="O275" s="7" t="inlineStr"/>
    </row>
    <row r="276">
      <c r="A276" s="7" t="n">
        <v>2193</v>
      </c>
      <c r="B276" s="7" t="inlineStr">
        <is>
          <t>4212</t>
        </is>
      </c>
      <c r="C276" s="12" t="inlineStr">
        <is>
          <t>7896902212497</t>
        </is>
      </c>
      <c r="D276" s="7" t="inlineStr">
        <is>
          <t>REPELENTE BABY FARMAX MOSKITOFF 100ML</t>
        </is>
      </c>
      <c r="E276" s="13" t="n">
        <v>1</v>
      </c>
      <c r="F276" s="13" t="n">
        <v>1</v>
      </c>
      <c r="G276" s="13" t="n">
        <v>1</v>
      </c>
      <c r="H276" s="8" t="n">
        <v>16.97</v>
      </c>
      <c r="I276" s="8">
        <f>G276*H276</f>
        <v/>
      </c>
      <c r="J276" s="8">
        <f>H276/E276</f>
        <v/>
      </c>
      <c r="K276" s="8" t="n">
        <v>20.39</v>
      </c>
      <c r="L276" s="8" t="n">
        <v>20.39</v>
      </c>
      <c r="M276" s="14">
        <f>J276/K276-1</f>
        <v/>
      </c>
      <c r="N276" s="7" t="inlineStr">
        <is>
          <t>OK (≤ menor hist.)</t>
        </is>
      </c>
      <c r="O276" s="7" t="inlineStr"/>
    </row>
    <row r="277">
      <c r="A277" s="7" t="n">
        <v>4701</v>
      </c>
      <c r="B277" s="7" t="inlineStr">
        <is>
          <t>1702</t>
        </is>
      </c>
      <c r="C277" s="12" t="inlineStr">
        <is>
          <t>7896004703954</t>
        </is>
      </c>
      <c r="D277" s="7" t="inlineStr">
        <is>
          <t>REPOPIL 35 2+0,035MG CX 21 COMP REV</t>
        </is>
      </c>
      <c r="E277" s="13" t="n">
        <v>1</v>
      </c>
      <c r="F277" s="13" t="n">
        <v>8</v>
      </c>
      <c r="G277" s="13" t="n">
        <v>8</v>
      </c>
      <c r="H277" s="8" t="n">
        <v>9.41</v>
      </c>
      <c r="I277" s="8">
        <f>G277*H277</f>
        <v/>
      </c>
      <c r="J277" s="8">
        <f>H277/E277</f>
        <v/>
      </c>
      <c r="K277" s="8" t="n">
        <v>8.869999999999999</v>
      </c>
      <c r="L277" s="8" t="n">
        <v>8.869999999999999</v>
      </c>
      <c r="M277" s="14">
        <f>J277/K277-1</f>
        <v/>
      </c>
      <c r="N277" s="7" t="inlineStr">
        <is>
          <t>ACIMA +6.1%</t>
        </is>
      </c>
      <c r="O277" s="7" t="inlineStr"/>
    </row>
    <row r="278">
      <c r="A278" s="7" t="n">
        <v>419001</v>
      </c>
      <c r="B278" s="7" t="inlineStr">
        <is>
          <t>4865</t>
        </is>
      </c>
      <c r="C278" s="12" t="inlineStr">
        <is>
          <t>7898569763916</t>
        </is>
      </c>
      <c r="D278" s="7" t="inlineStr">
        <is>
          <t>RISEDRONATO SODICO 150MG CX 1 COMP REV</t>
        </is>
      </c>
      <c r="E278" s="13" t="n">
        <v>1</v>
      </c>
      <c r="F278" s="13" t="n">
        <v>1</v>
      </c>
      <c r="G278" s="13" t="n">
        <v>1</v>
      </c>
      <c r="H278" s="8" t="n">
        <v>9.99</v>
      </c>
      <c r="I278" s="8">
        <f>G278*H278</f>
        <v/>
      </c>
      <c r="J278" s="8">
        <f>H278/E278</f>
        <v/>
      </c>
      <c r="K278" s="8" t="n">
        <v>18.43</v>
      </c>
      <c r="L278" s="8" t="n">
        <v>13.5</v>
      </c>
      <c r="M278" s="14">
        <f>J278/K278-1</f>
        <v/>
      </c>
      <c r="N278" s="7" t="inlineStr">
        <is>
          <t>OK (≤ menor hist.)</t>
        </is>
      </c>
      <c r="O278" s="7" t="inlineStr"/>
    </row>
    <row r="279">
      <c r="A279" s="7" t="n">
        <v>667251</v>
      </c>
      <c r="B279" s="7" t="inlineStr">
        <is>
          <t>8084</t>
        </is>
      </c>
      <c r="C279" s="12" t="inlineStr">
        <is>
          <t>7898216366088</t>
        </is>
      </c>
      <c r="D279" s="7" t="inlineStr">
        <is>
          <t>ROSUVASTATINA CALCICA 5MG CX 30 COMP REV</t>
        </is>
      </c>
      <c r="E279" s="13" t="n">
        <v>1</v>
      </c>
      <c r="F279" s="13" t="n">
        <v>2</v>
      </c>
      <c r="G279" s="13" t="n">
        <v>2</v>
      </c>
      <c r="H279" s="8" t="n">
        <v>6.13</v>
      </c>
      <c r="I279" s="8">
        <f>G279*H279</f>
        <v/>
      </c>
      <c r="J279" s="8">
        <f>H279/E279</f>
        <v/>
      </c>
      <c r="K279" s="8" t="n">
        <v>5.9</v>
      </c>
      <c r="L279" s="8" t="n">
        <v>5.9</v>
      </c>
      <c r="M279" s="14">
        <f>J279/K279-1</f>
        <v/>
      </c>
      <c r="N279" s="7" t="inlineStr">
        <is>
          <t>ACIMA +3.9%</t>
        </is>
      </c>
      <c r="O279" s="7" t="inlineStr"/>
    </row>
    <row r="280">
      <c r="A280" s="7" t="n">
        <v>234</v>
      </c>
      <c r="B280" s="7" t="inlineStr">
        <is>
          <t>528</t>
        </is>
      </c>
      <c r="C280" s="12" t="inlineStr">
        <is>
          <t>7898277711421</t>
        </is>
      </c>
      <c r="D280" s="7" t="inlineStr">
        <is>
          <t>SAB DE COCO BARRA 100G</t>
        </is>
      </c>
      <c r="E280" s="13" t="n">
        <v>1</v>
      </c>
      <c r="F280" s="13" t="n">
        <v>1</v>
      </c>
      <c r="G280" s="13" t="n">
        <v>1</v>
      </c>
      <c r="H280" s="8" t="n">
        <v>5.74</v>
      </c>
      <c r="I280" s="8">
        <f>G280*H280</f>
        <v/>
      </c>
      <c r="J280" s="8">
        <f>H280/E280</f>
        <v/>
      </c>
      <c r="K280" s="8" t="n"/>
      <c r="L280" s="8" t="n"/>
      <c r="M280" s="14" t="n"/>
      <c r="N280" s="7" t="inlineStr">
        <is>
          <t>SEM HISTÓRICO</t>
        </is>
      </c>
      <c r="O280" s="7" t="inlineStr"/>
    </row>
    <row r="281">
      <c r="A281" s="7" t="n">
        <v>674361</v>
      </c>
      <c r="B281" s="7" t="inlineStr">
        <is>
          <t>7213</t>
        </is>
      </c>
      <c r="C281" s="12" t="inlineStr">
        <is>
          <t>7898936049049</t>
        </is>
      </c>
      <c r="D281" s="7" t="inlineStr">
        <is>
          <t>SABONETE INTIMO 17 ERVAS 210ML</t>
        </is>
      </c>
      <c r="E281" s="13" t="n">
        <v>1</v>
      </c>
      <c r="F281" s="13" t="n">
        <v>7</v>
      </c>
      <c r="G281" s="13" t="n">
        <v>7</v>
      </c>
      <c r="H281" s="8" t="n">
        <v>3.33</v>
      </c>
      <c r="I281" s="8">
        <f>G281*H281</f>
        <v/>
      </c>
      <c r="J281" s="8">
        <f>H281/E281</f>
        <v/>
      </c>
      <c r="K281" s="8" t="n">
        <v>3.35</v>
      </c>
      <c r="L281" s="8" t="n">
        <v>3.35</v>
      </c>
      <c r="M281" s="14">
        <f>J281/K281-1</f>
        <v/>
      </c>
      <c r="N281" s="7" t="inlineStr">
        <is>
          <t>OK (≤ menor hist.)</t>
        </is>
      </c>
      <c r="O281" s="7" t="inlineStr"/>
    </row>
    <row r="282">
      <c r="A282" s="7" t="n">
        <v>1503</v>
      </c>
      <c r="B282" s="7" t="inlineStr">
        <is>
          <t>7206</t>
        </is>
      </c>
      <c r="C282" s="12" t="inlineStr">
        <is>
          <t>7898936049735</t>
        </is>
      </c>
      <c r="D282" s="7" t="inlineStr">
        <is>
          <t>SABONETE INTIMO BARBATIMAO AROEIRA 210ML</t>
        </is>
      </c>
      <c r="E282" s="13" t="n">
        <v>1</v>
      </c>
      <c r="F282" s="13" t="n">
        <v>3</v>
      </c>
      <c r="G282" s="13" t="n">
        <v>3</v>
      </c>
      <c r="H282" s="8" t="n">
        <v>3.36</v>
      </c>
      <c r="I282" s="8">
        <f>G282*H282</f>
        <v/>
      </c>
      <c r="J282" s="8">
        <f>H282/E282</f>
        <v/>
      </c>
      <c r="K282" s="8" t="n">
        <v>3.38</v>
      </c>
      <c r="L282" s="8" t="n">
        <v>3.38</v>
      </c>
      <c r="M282" s="14">
        <f>J282/K282-1</f>
        <v/>
      </c>
      <c r="N282" s="7" t="inlineStr">
        <is>
          <t>OK (≤ menor hist.)</t>
        </is>
      </c>
      <c r="O282" s="7" t="inlineStr"/>
    </row>
    <row r="283">
      <c r="A283" s="7" t="n">
        <v>531721</v>
      </c>
      <c r="B283" s="7" t="inlineStr">
        <is>
          <t>157</t>
        </is>
      </c>
      <c r="C283" s="12" t="inlineStr">
        <is>
          <t>7898031311324</t>
        </is>
      </c>
      <c r="D283" s="7" t="inlineStr">
        <is>
          <t>SAL AMARGO 30G</t>
        </is>
      </c>
      <c r="E283" s="13" t="n">
        <v>1</v>
      </c>
      <c r="F283" s="13" t="n">
        <v>5</v>
      </c>
      <c r="G283" s="13" t="n">
        <v>5</v>
      </c>
      <c r="H283" s="8" t="n">
        <v>2.36</v>
      </c>
      <c r="I283" s="8">
        <f>G283*H283</f>
        <v/>
      </c>
      <c r="J283" s="8">
        <f>H283/E283</f>
        <v/>
      </c>
      <c r="K283" s="8" t="n">
        <v>2.49</v>
      </c>
      <c r="L283" s="8" t="n">
        <v>2.23</v>
      </c>
      <c r="M283" s="14">
        <f>J283/K283-1</f>
        <v/>
      </c>
      <c r="N283" s="7" t="inlineStr">
        <is>
          <t>OK (≤ últ. compra)</t>
        </is>
      </c>
      <c r="O283" s="7" t="inlineStr"/>
    </row>
    <row r="284">
      <c r="A284" s="7" t="n">
        <v>431481</v>
      </c>
      <c r="B284" s="7" t="inlineStr">
        <is>
          <t>1502</t>
        </is>
      </c>
      <c r="C284" s="12" t="inlineStr">
        <is>
          <t>7899620911857</t>
        </is>
      </c>
      <c r="D284" s="7" t="inlineStr">
        <is>
          <t>SECNIDAZOL 1000MG CX 2 COMP</t>
        </is>
      </c>
      <c r="E284" s="13" t="n">
        <v>1</v>
      </c>
      <c r="F284" s="13" t="n">
        <v>54</v>
      </c>
      <c r="G284" s="13" t="n">
        <v>54</v>
      </c>
      <c r="H284" s="8" t="n">
        <v>2.67</v>
      </c>
      <c r="I284" s="8">
        <f>G284*H284</f>
        <v/>
      </c>
      <c r="J284" s="8">
        <f>H284/E284</f>
        <v/>
      </c>
      <c r="K284" s="8" t="n">
        <v>2.65</v>
      </c>
      <c r="L284" s="8" t="n">
        <v>2.16</v>
      </c>
      <c r="M284" s="14">
        <f>J284/K284-1</f>
        <v/>
      </c>
      <c r="N284" s="7" t="inlineStr">
        <is>
          <t>ACIMA +0.8%</t>
        </is>
      </c>
      <c r="O284" s="7" t="inlineStr"/>
    </row>
    <row r="285">
      <c r="A285" s="7" t="n">
        <v>432121</v>
      </c>
      <c r="B285" s="7" t="inlineStr">
        <is>
          <t>253</t>
        </is>
      </c>
      <c r="C285" s="12" t="inlineStr">
        <is>
          <t>7898060138220</t>
        </is>
      </c>
      <c r="D285" s="7" t="inlineStr">
        <is>
          <t>SECNIMAX 1000MG CX 2 COMP</t>
        </is>
      </c>
      <c r="E285" s="13" t="n">
        <v>1</v>
      </c>
      <c r="F285" s="13" t="n">
        <v>134</v>
      </c>
      <c r="G285" s="13" t="n">
        <v>134</v>
      </c>
      <c r="H285" s="8" t="n">
        <v>2.61</v>
      </c>
      <c r="I285" s="8">
        <f>G285*H285</f>
        <v/>
      </c>
      <c r="J285" s="8">
        <f>H285/E285</f>
        <v/>
      </c>
      <c r="K285" s="8" t="n">
        <v>2.49</v>
      </c>
      <c r="L285" s="8" t="n">
        <v>2.39</v>
      </c>
      <c r="M285" s="14">
        <f>J285/K285-1</f>
        <v/>
      </c>
      <c r="N285" s="7" t="inlineStr">
        <is>
          <t>ACIMA +4.8%</t>
        </is>
      </c>
      <c r="O285" s="7" t="inlineStr"/>
    </row>
    <row r="286">
      <c r="A286" s="7" t="n">
        <v>671301</v>
      </c>
      <c r="B286" s="7" t="inlineStr">
        <is>
          <t>8808</t>
        </is>
      </c>
      <c r="C286" s="12" t="inlineStr">
        <is>
          <t>7898652375736</t>
        </is>
      </c>
      <c r="D286" s="7" t="inlineStr">
        <is>
          <t>SERINGA 20ML LL AGULHA 0,7X25</t>
        </is>
      </c>
      <c r="E286" s="13" t="n">
        <v>1</v>
      </c>
      <c r="F286" s="13" t="n">
        <v>24</v>
      </c>
      <c r="G286" s="13" t="n">
        <v>24</v>
      </c>
      <c r="H286" s="8" t="n">
        <v>0.89</v>
      </c>
      <c r="I286" s="8">
        <f>G286*H286</f>
        <v/>
      </c>
      <c r="J286" s="8">
        <f>H286/E286</f>
        <v/>
      </c>
      <c r="K286" s="8" t="n">
        <v>0.59</v>
      </c>
      <c r="L286" s="8" t="n">
        <v>0.59</v>
      </c>
      <c r="M286" s="14">
        <f>J286/K286-1</f>
        <v/>
      </c>
      <c r="N286" s="7" t="inlineStr">
        <is>
          <t>ACIMA +50.8%</t>
        </is>
      </c>
      <c r="O286" s="7" t="inlineStr"/>
    </row>
    <row r="287">
      <c r="A287" s="7" t="n">
        <v>639041</v>
      </c>
      <c r="B287" s="7" t="inlineStr">
        <is>
          <t>7222</t>
        </is>
      </c>
      <c r="C287" s="12" t="inlineStr">
        <is>
          <t>7898259496001</t>
        </is>
      </c>
      <c r="D287" s="7" t="inlineStr">
        <is>
          <t>SERINGA 20ML LL AGULHA 0,7X25</t>
        </is>
      </c>
      <c r="E287" s="13" t="n">
        <v>1</v>
      </c>
      <c r="F287" s="13" t="n">
        <v>76</v>
      </c>
      <c r="G287" s="13" t="n">
        <v>76</v>
      </c>
      <c r="H287" s="8" t="n">
        <v>0.57</v>
      </c>
      <c r="I287" s="8">
        <f>G287*H287</f>
        <v/>
      </c>
      <c r="J287" s="8">
        <f>H287/E287</f>
        <v/>
      </c>
      <c r="K287" s="8" t="n">
        <v>0.64</v>
      </c>
      <c r="L287" s="8" t="n">
        <v>0.64</v>
      </c>
      <c r="M287" s="14">
        <f>J287/K287-1</f>
        <v/>
      </c>
      <c r="N287" s="7" t="inlineStr">
        <is>
          <t>OK (≤ menor hist.)</t>
        </is>
      </c>
      <c r="O287" s="7" t="inlineStr"/>
    </row>
    <row r="288">
      <c r="A288" s="7" t="n">
        <v>538261</v>
      </c>
      <c r="B288" s="7" t="inlineStr">
        <is>
          <t>5157</t>
        </is>
      </c>
      <c r="C288" s="12" t="inlineStr">
        <is>
          <t>7894164005611</t>
        </is>
      </c>
      <c r="D288" s="7" t="inlineStr">
        <is>
          <t>SILUSGEL SUS 100ML</t>
        </is>
      </c>
      <c r="E288" s="13" t="n">
        <v>1</v>
      </c>
      <c r="F288" s="13" t="n">
        <v>4</v>
      </c>
      <c r="G288" s="13" t="n">
        <v>4</v>
      </c>
      <c r="H288" s="8" t="n">
        <v>7.98</v>
      </c>
      <c r="I288" s="8">
        <f>G288*H288</f>
        <v/>
      </c>
      <c r="J288" s="8">
        <f>H288/E288</f>
        <v/>
      </c>
      <c r="K288" s="8" t="n">
        <v>7.68</v>
      </c>
      <c r="L288" s="8" t="n">
        <v>7.63</v>
      </c>
      <c r="M288" s="14">
        <f>J288/K288-1</f>
        <v/>
      </c>
      <c r="N288" s="7" t="inlineStr">
        <is>
          <t>ACIMA +3.9%</t>
        </is>
      </c>
      <c r="O288" s="7" t="inlineStr"/>
    </row>
    <row r="289">
      <c r="A289" s="7" t="n">
        <v>619851</v>
      </c>
      <c r="B289" s="7" t="inlineStr">
        <is>
          <t>3550</t>
        </is>
      </c>
      <c r="C289" s="12" t="inlineStr">
        <is>
          <t>7899620912441</t>
        </is>
      </c>
      <c r="D289" s="7" t="inlineStr">
        <is>
          <t>SIMETICONA (N.S.) 40MG CX 20 COMP</t>
        </is>
      </c>
      <c r="E289" s="13" t="n">
        <v>1</v>
      </c>
      <c r="F289" s="13" t="n">
        <v>16</v>
      </c>
      <c r="G289" s="13" t="n">
        <v>16</v>
      </c>
      <c r="H289" s="8" t="n">
        <v>2.97</v>
      </c>
      <c r="I289" s="8">
        <f>G289*H289</f>
        <v/>
      </c>
      <c r="J289" s="8">
        <f>H289/E289</f>
        <v/>
      </c>
      <c r="K289" s="8" t="n">
        <v>2.97</v>
      </c>
      <c r="L289" s="8" t="n">
        <v>2.97</v>
      </c>
      <c r="M289" s="14">
        <f>J289/K289-1</f>
        <v/>
      </c>
      <c r="N289" s="7" t="inlineStr">
        <is>
          <t>OK (≤ menor hist.)</t>
        </is>
      </c>
      <c r="O289" s="7" t="inlineStr"/>
    </row>
    <row r="290">
      <c r="A290" s="7" t="n">
        <v>436201</v>
      </c>
      <c r="B290" s="7" t="inlineStr">
        <is>
          <t>3671</t>
        </is>
      </c>
      <c r="C290" s="12" t="inlineStr">
        <is>
          <t>7899620911079</t>
        </is>
      </c>
      <c r="D290" s="7" t="inlineStr">
        <is>
          <t>SINVASTATINA 40MG CX 30 COMP REV</t>
        </is>
      </c>
      <c r="E290" s="13" t="n">
        <v>1</v>
      </c>
      <c r="F290" s="13" t="n">
        <v>3</v>
      </c>
      <c r="G290" s="13" t="n">
        <v>3</v>
      </c>
      <c r="H290" s="8" t="n">
        <v>6.13</v>
      </c>
      <c r="I290" s="8">
        <f>G290*H290</f>
        <v/>
      </c>
      <c r="J290" s="8">
        <f>H290/E290</f>
        <v/>
      </c>
      <c r="K290" s="8" t="n">
        <v>5.79</v>
      </c>
      <c r="L290" s="8" t="n">
        <v>5.79</v>
      </c>
      <c r="M290" s="14">
        <f>J290/K290-1</f>
        <v/>
      </c>
      <c r="N290" s="7" t="inlineStr">
        <is>
          <t>ACIMA +5.9%</t>
        </is>
      </c>
      <c r="O290" s="7" t="inlineStr"/>
    </row>
    <row r="291">
      <c r="A291" s="7" t="n">
        <v>588661</v>
      </c>
      <c r="B291" s="7" t="inlineStr">
        <is>
          <t>7576</t>
        </is>
      </c>
      <c r="C291" s="12" t="inlineStr">
        <is>
          <t>7898031310594</t>
        </is>
      </c>
      <c r="D291" s="7" t="inlineStr">
        <is>
          <t>SOLUCAO FISIOLOGICA 0,9% 250ML UN</t>
        </is>
      </c>
      <c r="E291" s="13" t="n">
        <v>1</v>
      </c>
      <c r="F291" s="13" t="n">
        <v>4</v>
      </c>
      <c r="G291" s="13" t="n">
        <v>4</v>
      </c>
      <c r="H291" s="8" t="n">
        <v>3.585</v>
      </c>
      <c r="I291" s="8">
        <f>G291*H291</f>
        <v/>
      </c>
      <c r="J291" s="8">
        <f>H291/E291</f>
        <v/>
      </c>
      <c r="K291" s="8" t="n">
        <v>3.09</v>
      </c>
      <c r="L291" s="8" t="n">
        <v>3.09</v>
      </c>
      <c r="M291" s="14">
        <f>J291/K291-1</f>
        <v/>
      </c>
      <c r="N291" s="7" t="inlineStr">
        <is>
          <t>ACIMA +16.0%</t>
        </is>
      </c>
      <c r="O291" s="7" t="inlineStr"/>
    </row>
    <row r="292">
      <c r="A292" s="7" t="n">
        <v>558381</v>
      </c>
      <c r="B292" s="7" t="inlineStr">
        <is>
          <t>321</t>
        </is>
      </c>
      <c r="C292" s="12" t="inlineStr">
        <is>
          <t>7896902212152</t>
        </is>
      </c>
      <c r="D292" s="7" t="inlineStr">
        <is>
          <t>SOLUCAO SORIMAX 100 ML</t>
        </is>
      </c>
      <c r="E292" s="13" t="n">
        <v>1</v>
      </c>
      <c r="F292" s="13" t="n">
        <v>50</v>
      </c>
      <c r="G292" s="13" t="n">
        <v>50</v>
      </c>
      <c r="H292" s="8" t="n">
        <v>2.72</v>
      </c>
      <c r="I292" s="8">
        <f>G292*H292</f>
        <v/>
      </c>
      <c r="J292" s="8">
        <f>H292/E292</f>
        <v/>
      </c>
      <c r="K292" s="8" t="n">
        <v>2.69</v>
      </c>
      <c r="L292" s="8" t="n">
        <v>2.69</v>
      </c>
      <c r="M292" s="14">
        <f>J292/K292-1</f>
        <v/>
      </c>
      <c r="N292" s="7" t="inlineStr">
        <is>
          <t>ACIMA +1.1%</t>
        </is>
      </c>
      <c r="O292" s="7" t="inlineStr"/>
    </row>
    <row r="293">
      <c r="A293" s="7" t="n">
        <v>614021</v>
      </c>
      <c r="B293" s="7" t="inlineStr">
        <is>
          <t>8240</t>
        </is>
      </c>
      <c r="C293" s="12" t="inlineStr">
        <is>
          <t>7897732608146</t>
        </is>
      </c>
      <c r="D293" s="7" t="inlineStr">
        <is>
          <t>SORALYT 450ML SABOR MORANGO</t>
        </is>
      </c>
      <c r="E293" s="13" t="n">
        <v>1</v>
      </c>
      <c r="F293" s="13" t="n">
        <v>7</v>
      </c>
      <c r="G293" s="13" t="n">
        <v>7</v>
      </c>
      <c r="H293" s="8" t="n">
        <v>6.67</v>
      </c>
      <c r="I293" s="8">
        <f>G293*H293</f>
        <v/>
      </c>
      <c r="J293" s="8">
        <f>H293/E293</f>
        <v/>
      </c>
      <c r="K293" s="8" t="n">
        <v>6.55</v>
      </c>
      <c r="L293" s="8" t="n">
        <v>6.55</v>
      </c>
      <c r="M293" s="14">
        <f>J293/K293-1</f>
        <v/>
      </c>
      <c r="N293" s="7" t="inlineStr">
        <is>
          <t>ACIMA +1.8%</t>
        </is>
      </c>
      <c r="O293" s="7" t="inlineStr"/>
    </row>
    <row r="294">
      <c r="A294" s="7" t="n">
        <v>531861</v>
      </c>
      <c r="B294" s="7" t="inlineStr">
        <is>
          <t>809</t>
        </is>
      </c>
      <c r="C294" s="12" t="inlineStr">
        <is>
          <t>7898031310389</t>
        </is>
      </c>
      <c r="D294" s="7" t="inlineStr">
        <is>
          <t>SORO FISIOLOGICO 9% 100ML</t>
        </is>
      </c>
      <c r="E294" s="13" t="n">
        <v>1</v>
      </c>
      <c r="F294" s="13" t="n">
        <v>103</v>
      </c>
      <c r="G294" s="13" t="n">
        <v>103</v>
      </c>
      <c r="H294" s="8" t="n">
        <v>2.28</v>
      </c>
      <c r="I294" s="8">
        <f>G294*H294</f>
        <v/>
      </c>
      <c r="J294" s="8">
        <f>H294/E294</f>
        <v/>
      </c>
      <c r="K294" s="8" t="n">
        <v>2.27</v>
      </c>
      <c r="L294" s="8" t="n">
        <v>2.0228</v>
      </c>
      <c r="M294" s="14">
        <f>J294/K294-1</f>
        <v/>
      </c>
      <c r="N294" s="7" t="inlineStr">
        <is>
          <t>ACIMA +0.4%</t>
        </is>
      </c>
      <c r="O294" s="7" t="inlineStr"/>
    </row>
    <row r="295">
      <c r="A295" s="7" t="n">
        <v>616441</v>
      </c>
      <c r="B295" s="7" t="inlineStr">
        <is>
          <t>10045</t>
        </is>
      </c>
      <c r="C295" s="12" t="inlineStr">
        <is>
          <t>7896523201542</t>
        </is>
      </c>
      <c r="D295" s="7" t="inlineStr">
        <is>
          <t>SUCCINATO METOPROLOL 100MG CX 30 COMP REV</t>
        </is>
      </c>
      <c r="E295" s="13" t="n">
        <v>1</v>
      </c>
      <c r="F295" s="13" t="n">
        <v>1</v>
      </c>
      <c r="G295" s="13" t="n">
        <v>1</v>
      </c>
      <c r="H295" s="8" t="n">
        <v>0.01</v>
      </c>
      <c r="I295" s="8">
        <f>G295*H295</f>
        <v/>
      </c>
      <c r="J295" s="8">
        <f>H295/E295</f>
        <v/>
      </c>
      <c r="K295" s="8" t="n">
        <v>18.99</v>
      </c>
      <c r="L295" s="8" t="n">
        <v>17.03</v>
      </c>
      <c r="M295" s="14">
        <f>J295/K295-1</f>
        <v/>
      </c>
      <c r="N295" s="7" t="inlineStr">
        <is>
          <t>OK (≤ menor hist.)</t>
        </is>
      </c>
      <c r="O295" s="7" t="inlineStr">
        <is>
          <t>conferir emb.</t>
        </is>
      </c>
    </row>
    <row r="296">
      <c r="A296" s="7" t="n">
        <v>691001</v>
      </c>
      <c r="B296" s="7" t="inlineStr">
        <is>
          <t>8698</t>
        </is>
      </c>
      <c r="C296" s="12" t="inlineStr">
        <is>
          <t>7898575780792</t>
        </is>
      </c>
      <c r="D296" s="7" t="inlineStr">
        <is>
          <t>SULFATO FERROSO 125MG 120ML SUS..</t>
        </is>
      </c>
      <c r="E296" s="13" t="n">
        <v>1</v>
      </c>
      <c r="F296" s="13" t="n">
        <v>9</v>
      </c>
      <c r="G296" s="13" t="n">
        <v>9</v>
      </c>
      <c r="H296" s="8" t="n">
        <v>4.04</v>
      </c>
      <c r="I296" s="8">
        <f>G296*H296</f>
        <v/>
      </c>
      <c r="J296" s="8">
        <f>H296/E296</f>
        <v/>
      </c>
      <c r="K296" s="8" t="n">
        <v>4.04</v>
      </c>
      <c r="L296" s="8" t="n">
        <v>4.04</v>
      </c>
      <c r="M296" s="14">
        <f>J296/K296-1</f>
        <v/>
      </c>
      <c r="N296" s="7" t="inlineStr">
        <is>
          <t>OK (≤ menor hist.)</t>
        </is>
      </c>
      <c r="O296" s="7" t="inlineStr"/>
    </row>
    <row r="297">
      <c r="A297" s="7" t="n">
        <v>3593</v>
      </c>
      <c r="B297" s="7" t="inlineStr">
        <is>
          <t>8743</t>
        </is>
      </c>
      <c r="C297" s="12" t="inlineStr">
        <is>
          <t>7898575780808</t>
        </is>
      </c>
      <c r="D297" s="7" t="inlineStr">
        <is>
          <t>SULFATO FERROSO 125MG 30ML GTS</t>
        </is>
      </c>
      <c r="E297" s="13" t="n">
        <v>1</v>
      </c>
      <c r="F297" s="13" t="n">
        <v>3</v>
      </c>
      <c r="G297" s="13" t="n">
        <v>3</v>
      </c>
      <c r="H297" s="8" t="n">
        <v>2.69</v>
      </c>
      <c r="I297" s="8">
        <f>G297*H297</f>
        <v/>
      </c>
      <c r="J297" s="8">
        <f>H297/E297</f>
        <v/>
      </c>
      <c r="K297" s="8" t="n">
        <v>2.69</v>
      </c>
      <c r="L297" s="8" t="n">
        <v>2.69</v>
      </c>
      <c r="M297" s="14">
        <f>J297/K297-1</f>
        <v/>
      </c>
      <c r="N297" s="7" t="inlineStr">
        <is>
          <t>OK (≤ menor hist.)</t>
        </is>
      </c>
      <c r="O297" s="7" t="inlineStr"/>
    </row>
    <row r="298">
      <c r="A298" s="7" t="n">
        <v>548381</v>
      </c>
      <c r="B298" s="7" t="inlineStr">
        <is>
          <t>1422</t>
        </is>
      </c>
      <c r="C298" s="12" t="inlineStr">
        <is>
          <t>7897146600255</t>
        </is>
      </c>
      <c r="D298" s="7" t="inlineStr">
        <is>
          <t>SULFATO FERROSO 200MG C/50 CPR</t>
        </is>
      </c>
      <c r="E298" s="13" t="n">
        <v>1</v>
      </c>
      <c r="F298" s="13" t="n">
        <v>7</v>
      </c>
      <c r="G298" s="13" t="n">
        <v>7</v>
      </c>
      <c r="H298" s="8" t="n">
        <v>4.37</v>
      </c>
      <c r="I298" s="8">
        <f>G298*H298</f>
        <v/>
      </c>
      <c r="J298" s="8">
        <f>H298/E298</f>
        <v/>
      </c>
      <c r="K298" s="8" t="n">
        <v>4.37</v>
      </c>
      <c r="L298" s="8" t="n">
        <v>4.37</v>
      </c>
      <c r="M298" s="14">
        <f>J298/K298-1</f>
        <v/>
      </c>
      <c r="N298" s="7" t="inlineStr">
        <is>
          <t>OK (≤ menor hist.)</t>
        </is>
      </c>
      <c r="O298" s="7" t="inlineStr"/>
    </row>
    <row r="299">
      <c r="A299" s="7" t="n">
        <v>612291</v>
      </c>
      <c r="B299" s="7" t="inlineStr">
        <is>
          <t>4795</t>
        </is>
      </c>
      <c r="C299" s="12" t="inlineStr">
        <is>
          <t>7894164005802</t>
        </is>
      </c>
      <c r="D299" s="7" t="inlineStr">
        <is>
          <t>SULFERMAX GTS 30ML (SULFATO FERROSO)</t>
        </is>
      </c>
      <c r="E299" s="13" t="n">
        <v>1</v>
      </c>
      <c r="F299" s="13" t="n">
        <v>3</v>
      </c>
      <c r="G299" s="13" t="n">
        <v>3</v>
      </c>
      <c r="H299" s="8" t="n">
        <v>3.29</v>
      </c>
      <c r="I299" s="8">
        <f>G299*H299</f>
        <v/>
      </c>
      <c r="J299" s="8">
        <f>H299/E299</f>
        <v/>
      </c>
      <c r="K299" s="8" t="n">
        <v>3.17</v>
      </c>
      <c r="L299" s="8" t="n">
        <v>3.08</v>
      </c>
      <c r="M299" s="14">
        <f>J299/K299-1</f>
        <v/>
      </c>
      <c r="N299" s="7" t="inlineStr">
        <is>
          <t>ACIMA +3.8%</t>
        </is>
      </c>
      <c r="O299" s="7" t="inlineStr"/>
    </row>
    <row r="300">
      <c r="A300" s="7" t="n">
        <v>201</v>
      </c>
      <c r="B300" s="7" t="inlineStr">
        <is>
          <t>1442</t>
        </is>
      </c>
      <c r="C300" s="12" t="inlineStr">
        <is>
          <t>7893454100678</t>
        </is>
      </c>
      <c r="D300" s="7" t="inlineStr">
        <is>
          <t>TANDENE 125+50+300+30MG CX 15 COMP</t>
        </is>
      </c>
      <c r="E300" s="13" t="n">
        <v>1</v>
      </c>
      <c r="F300" s="13" t="n">
        <v>26</v>
      </c>
      <c r="G300" s="13" t="n">
        <v>26</v>
      </c>
      <c r="H300" s="8" t="n">
        <v>4.26</v>
      </c>
      <c r="I300" s="8">
        <f>G300*H300</f>
        <v/>
      </c>
      <c r="J300" s="8">
        <f>H300/E300</f>
        <v/>
      </c>
      <c r="K300" s="8" t="n">
        <v>3.91</v>
      </c>
      <c r="L300" s="8" t="n">
        <v>3.77</v>
      </c>
      <c r="M300" s="14">
        <f>J300/K300-1</f>
        <v/>
      </c>
      <c r="N300" s="7" t="inlineStr">
        <is>
          <t>ACIMA +9.0%</t>
        </is>
      </c>
      <c r="O300" s="7" t="inlineStr"/>
    </row>
    <row r="301">
      <c r="A301" s="7" t="n">
        <v>82461</v>
      </c>
      <c r="B301" s="7" t="inlineStr">
        <is>
          <t>383</t>
        </is>
      </c>
      <c r="C301" s="12" t="inlineStr">
        <is>
          <t>7893454100685</t>
        </is>
      </c>
      <c r="D301" s="7" t="inlineStr">
        <is>
          <t>TANDENE 125+50+300+30MG CX 30 COMP</t>
        </is>
      </c>
      <c r="E301" s="13" t="n">
        <v>1</v>
      </c>
      <c r="F301" s="13" t="n">
        <v>6</v>
      </c>
      <c r="G301" s="13" t="n">
        <v>6</v>
      </c>
      <c r="H301" s="8" t="n">
        <v>8.68</v>
      </c>
      <c r="I301" s="8">
        <f>G301*H301</f>
        <v/>
      </c>
      <c r="J301" s="8">
        <f>H301/E301</f>
        <v/>
      </c>
      <c r="K301" s="8" t="n">
        <v>7.95</v>
      </c>
      <c r="L301" s="8" t="n">
        <v>7.95</v>
      </c>
      <c r="M301" s="14">
        <f>J301/K301-1</f>
        <v/>
      </c>
      <c r="N301" s="7" t="inlineStr">
        <is>
          <t>ACIMA +9.2%</t>
        </is>
      </c>
      <c r="O301" s="7" t="inlineStr"/>
    </row>
    <row r="302">
      <c r="A302" s="7" t="n">
        <v>601291</v>
      </c>
      <c r="B302" s="7" t="inlineStr">
        <is>
          <t>4759</t>
        </is>
      </c>
      <c r="C302" s="12" t="inlineStr">
        <is>
          <t>7898301056955</t>
        </is>
      </c>
      <c r="D302" s="7" t="inlineStr">
        <is>
          <t>TERMOMETRO CLIN. DIG. AZUL G-TECH</t>
        </is>
      </c>
      <c r="E302" s="13" t="n">
        <v>1</v>
      </c>
      <c r="F302" s="13" t="n">
        <v>1</v>
      </c>
      <c r="G302" s="13" t="n">
        <v>1</v>
      </c>
      <c r="H302" s="8" t="n">
        <v>13.33</v>
      </c>
      <c r="I302" s="8">
        <f>G302*H302</f>
        <v/>
      </c>
      <c r="J302" s="8">
        <f>H302/E302</f>
        <v/>
      </c>
      <c r="K302" s="8" t="n">
        <v>12.56</v>
      </c>
      <c r="L302" s="8" t="n">
        <v>12.56</v>
      </c>
      <c r="M302" s="14">
        <f>J302/K302-1</f>
        <v/>
      </c>
      <c r="N302" s="7" t="inlineStr">
        <is>
          <t>ACIMA +6.1%</t>
        </is>
      </c>
      <c r="O302" s="7" t="inlineStr"/>
    </row>
    <row r="303">
      <c r="A303" s="7" t="n">
        <v>578801</v>
      </c>
      <c r="B303" s="7" t="inlineStr">
        <is>
          <t>4760</t>
        </is>
      </c>
      <c r="C303" s="12" t="inlineStr">
        <is>
          <t>7898301056986</t>
        </is>
      </c>
      <c r="D303" s="7" t="inlineStr">
        <is>
          <t>TERMOMETRO DIGITAL CLINICO TH150 LARANJA</t>
        </is>
      </c>
      <c r="E303" s="13" t="n">
        <v>1</v>
      </c>
      <c r="F303" s="13" t="n">
        <v>1</v>
      </c>
      <c r="G303" s="13" t="n">
        <v>1</v>
      </c>
      <c r="H303" s="8" t="n">
        <v>11.88</v>
      </c>
      <c r="I303" s="8">
        <f>G303*H303</f>
        <v/>
      </c>
      <c r="J303" s="8">
        <f>H303/E303</f>
        <v/>
      </c>
      <c r="K303" s="8" t="n">
        <v>12.59</v>
      </c>
      <c r="L303" s="8" t="n">
        <v>12.59</v>
      </c>
      <c r="M303" s="14">
        <f>J303/K303-1</f>
        <v/>
      </c>
      <c r="N303" s="7" t="inlineStr">
        <is>
          <t>OK (≤ menor hist.)</t>
        </is>
      </c>
      <c r="O303" s="7" t="inlineStr"/>
    </row>
    <row r="304">
      <c r="A304" s="7" t="n">
        <v>543341</v>
      </c>
      <c r="B304" s="7" t="inlineStr">
        <is>
          <t>4761</t>
        </is>
      </c>
      <c r="C304" s="12" t="inlineStr">
        <is>
          <t>7898301056979</t>
        </is>
      </c>
      <c r="D304" s="7" t="inlineStr">
        <is>
          <t>TERMOMETRO DIGITAL G-TECH ROSA UNIDADE</t>
        </is>
      </c>
      <c r="E304" s="13" t="n">
        <v>1</v>
      </c>
      <c r="F304" s="13" t="n">
        <v>1</v>
      </c>
      <c r="G304" s="13" t="n">
        <v>1</v>
      </c>
      <c r="H304" s="8" t="n">
        <v>13.33</v>
      </c>
      <c r="I304" s="8">
        <f>G304*H304</f>
        <v/>
      </c>
      <c r="J304" s="8">
        <f>H304/E304</f>
        <v/>
      </c>
      <c r="K304" s="8" t="n">
        <v>12.59</v>
      </c>
      <c r="L304" s="8" t="n">
        <v>12.59</v>
      </c>
      <c r="M304" s="14">
        <f>J304/K304-1</f>
        <v/>
      </c>
      <c r="N304" s="7" t="inlineStr">
        <is>
          <t>ACIMA +5.9%</t>
        </is>
      </c>
      <c r="O304" s="7" t="inlineStr"/>
    </row>
    <row r="305">
      <c r="A305" s="7" t="n">
        <v>543361</v>
      </c>
      <c r="B305" s="7" t="inlineStr">
        <is>
          <t>4762</t>
        </is>
      </c>
      <c r="C305" s="12" t="inlineStr">
        <is>
          <t>7898301056962</t>
        </is>
      </c>
      <c r="D305" s="7" t="inlineStr">
        <is>
          <t>TERMÔMETRO DIGITAL G-TECH COM PONTA RIGIDA THGTH150V - VERDE</t>
        </is>
      </c>
      <c r="E305" s="13" t="n">
        <v>1</v>
      </c>
      <c r="F305" s="13" t="n">
        <v>1</v>
      </c>
      <c r="G305" s="13" t="n">
        <v>1</v>
      </c>
      <c r="H305" s="8" t="n">
        <v>13.33</v>
      </c>
      <c r="I305" s="8">
        <f>G305*H305</f>
        <v/>
      </c>
      <c r="J305" s="8">
        <f>H305/E305</f>
        <v/>
      </c>
      <c r="K305" s="8" t="n">
        <v>12.59</v>
      </c>
      <c r="L305" s="8" t="n">
        <v>12.59</v>
      </c>
      <c r="M305" s="14">
        <f>J305/K305-1</f>
        <v/>
      </c>
      <c r="N305" s="7" t="inlineStr">
        <is>
          <t>ACIMA +5.9%</t>
        </is>
      </c>
      <c r="O305" s="7" t="inlineStr"/>
    </row>
    <row r="306">
      <c r="A306" s="7" t="n">
        <v>532641</v>
      </c>
      <c r="B306" s="7" t="inlineStr">
        <is>
          <t>271</t>
        </is>
      </c>
      <c r="C306" s="12" t="inlineStr">
        <is>
          <t>7898126050022</t>
        </is>
      </c>
      <c r="D306" s="7" t="inlineStr">
        <is>
          <t>TESTE CONFIRME C/01 UND</t>
        </is>
      </c>
      <c r="E306" s="13" t="n">
        <v>1</v>
      </c>
      <c r="F306" s="13" t="n">
        <v>4</v>
      </c>
      <c r="G306" s="13" t="n">
        <v>4</v>
      </c>
      <c r="H306" s="8" t="n">
        <v>1.69</v>
      </c>
      <c r="I306" s="8">
        <f>G306*H306</f>
        <v/>
      </c>
      <c r="J306" s="8">
        <f>H306/E306</f>
        <v/>
      </c>
      <c r="K306" s="8" t="n">
        <v>1.69</v>
      </c>
      <c r="L306" s="8" t="n">
        <v>1.69</v>
      </c>
      <c r="M306" s="14">
        <f>J306/K306-1</f>
        <v/>
      </c>
      <c r="N306" s="7" t="inlineStr">
        <is>
          <t>OK (≤ menor hist.)</t>
        </is>
      </c>
      <c r="O306" s="7" t="inlineStr"/>
    </row>
    <row r="307">
      <c r="A307" s="7" t="n">
        <v>591661</v>
      </c>
      <c r="B307" s="7" t="inlineStr">
        <is>
          <t>228</t>
        </is>
      </c>
      <c r="C307" s="12" t="inlineStr">
        <is>
          <t>7898108640609</t>
        </is>
      </c>
      <c r="D307" s="7" t="inlineStr">
        <is>
          <t>TESTE DE GRAVIDEZ CONFIRA</t>
        </is>
      </c>
      <c r="E307" s="13" t="n">
        <v>1</v>
      </c>
      <c r="F307" s="13" t="n">
        <v>22</v>
      </c>
      <c r="G307" s="13" t="n">
        <v>22</v>
      </c>
      <c r="H307" s="8" t="n">
        <v>1.28</v>
      </c>
      <c r="I307" s="8">
        <f>G307*H307</f>
        <v/>
      </c>
      <c r="J307" s="8">
        <f>H307/E307</f>
        <v/>
      </c>
      <c r="K307" s="8" t="n">
        <v>1.15</v>
      </c>
      <c r="L307" s="8" t="n">
        <v>1.15</v>
      </c>
      <c r="M307" s="14">
        <f>J307/K307-1</f>
        <v/>
      </c>
      <c r="N307" s="7" t="inlineStr">
        <is>
          <t>ACIMA +11.3%</t>
        </is>
      </c>
      <c r="O307" s="7" t="inlineStr"/>
    </row>
    <row r="308">
      <c r="A308" s="7" t="n">
        <v>588881</v>
      </c>
      <c r="B308" s="7" t="inlineStr">
        <is>
          <t>3232</t>
        </is>
      </c>
      <c r="C308" s="12" t="inlineStr">
        <is>
          <t>7898108611968</t>
        </is>
      </c>
      <c r="D308" s="7" t="inlineStr">
        <is>
          <t>TESTE DE GRAVIDEZ CONFIRA PRATIC CANETA</t>
        </is>
      </c>
      <c r="E308" s="13" t="n">
        <v>1</v>
      </c>
      <c r="F308" s="13" t="n">
        <v>8</v>
      </c>
      <c r="G308" s="13" t="n">
        <v>8</v>
      </c>
      <c r="H308" s="8" t="n">
        <v>5.57</v>
      </c>
      <c r="I308" s="8">
        <f>G308*H308</f>
        <v/>
      </c>
      <c r="J308" s="8">
        <f>H308/E308</f>
        <v/>
      </c>
      <c r="K308" s="8" t="n">
        <v>4.91</v>
      </c>
      <c r="L308" s="8" t="n">
        <v>4.91</v>
      </c>
      <c r="M308" s="14">
        <f>J308/K308-1</f>
        <v/>
      </c>
      <c r="N308" s="7" t="inlineStr">
        <is>
          <t>ACIMA +13.4%</t>
        </is>
      </c>
      <c r="O308" s="7" t="inlineStr"/>
    </row>
    <row r="309">
      <c r="A309" s="7" t="n">
        <v>532741</v>
      </c>
      <c r="B309" s="7" t="inlineStr">
        <is>
          <t>5792</t>
        </is>
      </c>
      <c r="C309" s="12" t="inlineStr">
        <is>
          <t>7898126050091</t>
        </is>
      </c>
      <c r="D309" s="7" t="inlineStr">
        <is>
          <t>TESTE DE GRAVIDEZ VERIFIK C/01 UND</t>
        </is>
      </c>
      <c r="E309" s="13" t="n">
        <v>1</v>
      </c>
      <c r="F309" s="13" t="n">
        <v>38</v>
      </c>
      <c r="G309" s="13" t="n">
        <v>38</v>
      </c>
      <c r="H309" s="8" t="n">
        <v>1.35</v>
      </c>
      <c r="I309" s="8">
        <f>G309*H309</f>
        <v/>
      </c>
      <c r="J309" s="8">
        <f>H309/E309</f>
        <v/>
      </c>
      <c r="K309" s="8" t="n">
        <v>1.17</v>
      </c>
      <c r="L309" s="8" t="n">
        <v>1.17</v>
      </c>
      <c r="M309" s="14">
        <f>J309/K309-1</f>
        <v/>
      </c>
      <c r="N309" s="7" t="inlineStr">
        <is>
          <t>ACIMA +15.4%</t>
        </is>
      </c>
      <c r="O309" s="7" t="inlineStr"/>
    </row>
    <row r="310">
      <c r="A310" s="7" t="n">
        <v>640411</v>
      </c>
      <c r="B310" s="7" t="inlineStr">
        <is>
          <t>7368</t>
        </is>
      </c>
      <c r="C310" s="12" t="inlineStr">
        <is>
          <t>7898126050220</t>
        </is>
      </c>
      <c r="D310" s="7" t="inlineStr">
        <is>
          <t>TESTE GRAVIDEZ CONFIRME SEMANAS TIRA C/1</t>
        </is>
      </c>
      <c r="E310" s="13" t="n">
        <v>1</v>
      </c>
      <c r="F310" s="13" t="n">
        <v>2</v>
      </c>
      <c r="G310" s="13" t="n">
        <v>2</v>
      </c>
      <c r="H310" s="8" t="n">
        <v>7.71</v>
      </c>
      <c r="I310" s="8">
        <f>G310*H310</f>
        <v/>
      </c>
      <c r="J310" s="8">
        <f>H310/E310</f>
        <v/>
      </c>
      <c r="K310" s="8" t="n">
        <v>10.85</v>
      </c>
      <c r="L310" s="8" t="n">
        <v>10.85</v>
      </c>
      <c r="M310" s="14">
        <f>J310/K310-1</f>
        <v/>
      </c>
      <c r="N310" s="7" t="inlineStr">
        <is>
          <t>OK (≤ menor hist.)</t>
        </is>
      </c>
      <c r="O310" s="7" t="inlineStr"/>
    </row>
    <row r="311">
      <c r="A311" s="7" t="n">
        <v>180141</v>
      </c>
      <c r="B311" s="7" t="inlineStr">
        <is>
          <t>1534</t>
        </is>
      </c>
      <c r="C311" s="12" t="inlineStr">
        <is>
          <t>7896862970031</t>
        </is>
      </c>
      <c r="D311" s="7" t="inlineStr">
        <is>
          <t>TETRAMED 500MG CART C/ 4CP</t>
        </is>
      </c>
      <c r="E311" s="13" t="n">
        <v>25</v>
      </c>
      <c r="F311" s="13" t="n">
        <v>1</v>
      </c>
      <c r="G311" s="13" t="n">
        <v>1</v>
      </c>
      <c r="H311" s="8" t="n">
        <v>41.62</v>
      </c>
      <c r="I311" s="8">
        <f>G311*H311</f>
        <v/>
      </c>
      <c r="J311" s="8">
        <f>H311/E311</f>
        <v/>
      </c>
      <c r="K311" s="8" t="n">
        <v>1.4796</v>
      </c>
      <c r="L311" s="8" t="n">
        <v>1.4796</v>
      </c>
      <c r="M311" s="14">
        <f>J311/K311-1</f>
        <v/>
      </c>
      <c r="N311" s="7" t="inlineStr">
        <is>
          <t>ACIMA +12.5%</t>
        </is>
      </c>
      <c r="O311" s="7" t="inlineStr">
        <is>
          <t>1 emb = 25 un</t>
        </is>
      </c>
    </row>
    <row r="312">
      <c r="A312" s="7" t="n">
        <v>568541</v>
      </c>
      <c r="B312" s="7" t="inlineStr">
        <is>
          <t>2886</t>
        </is>
      </c>
      <c r="C312" s="12" t="inlineStr">
        <is>
          <t>7896862970208</t>
        </is>
      </c>
      <c r="D312" s="7" t="inlineStr">
        <is>
          <t>TETRAMED 500MG CX100 CAP (10X10)</t>
        </is>
      </c>
      <c r="E312" s="13" t="n">
        <v>10</v>
      </c>
      <c r="F312" s="13" t="n">
        <v>1</v>
      </c>
      <c r="G312" s="13" t="n">
        <v>1</v>
      </c>
      <c r="H312" s="8" t="n">
        <v>43.72</v>
      </c>
      <c r="I312" s="8">
        <f>G312*H312</f>
        <v/>
      </c>
      <c r="J312" s="8">
        <f>H312/E312</f>
        <v/>
      </c>
      <c r="K312" s="8" t="n">
        <v>3.69</v>
      </c>
      <c r="L312" s="8" t="n">
        <v>3.69</v>
      </c>
      <c r="M312" s="14">
        <f>J312/K312-1</f>
        <v/>
      </c>
      <c r="N312" s="7" t="inlineStr">
        <is>
          <t>ACIMA +18.5%</t>
        </is>
      </c>
      <c r="O312" s="7" t="inlineStr">
        <is>
          <t>1 emb = 10 un</t>
        </is>
      </c>
    </row>
    <row r="313">
      <c r="A313" s="7" t="n">
        <v>461941</v>
      </c>
      <c r="B313" s="7" t="inlineStr">
        <is>
          <t>386</t>
        </is>
      </c>
      <c r="C313" s="12" t="inlineStr">
        <is>
          <t>7893454100715</t>
        </is>
      </c>
      <c r="D313" s="7" t="inlineStr">
        <is>
          <t>TIADOL 50MG/G POM DERM BG 20G</t>
        </is>
      </c>
      <c r="E313" s="13" t="n">
        <v>1</v>
      </c>
      <c r="F313" s="13" t="n">
        <v>3</v>
      </c>
      <c r="G313" s="13" t="n">
        <v>3</v>
      </c>
      <c r="H313" s="8" t="n">
        <v>13.89</v>
      </c>
      <c r="I313" s="8">
        <f>G313*H313</f>
        <v/>
      </c>
      <c r="J313" s="8">
        <f>H313/E313</f>
        <v/>
      </c>
      <c r="K313" s="8" t="n">
        <v>13.36</v>
      </c>
      <c r="L313" s="8" t="n">
        <v>13.36</v>
      </c>
      <c r="M313" s="14">
        <f>J313/K313-1</f>
        <v/>
      </c>
      <c r="N313" s="7" t="inlineStr">
        <is>
          <t>ACIMA +4.0%</t>
        </is>
      </c>
      <c r="O313" s="7" t="inlineStr"/>
    </row>
    <row r="314">
      <c r="A314" s="7" t="n">
        <v>540941</v>
      </c>
      <c r="B314" s="7" t="inlineStr">
        <is>
          <t>177</t>
        </is>
      </c>
      <c r="C314" s="12" t="inlineStr">
        <is>
          <t>7898031310952</t>
        </is>
      </c>
      <c r="D314" s="7" t="inlineStr">
        <is>
          <t>TINTURA DE ARNICA 30ML</t>
        </is>
      </c>
      <c r="E314" s="13" t="n">
        <v>1</v>
      </c>
      <c r="F314" s="13" t="n">
        <v>19</v>
      </c>
      <c r="G314" s="13" t="n">
        <v>19</v>
      </c>
      <c r="H314" s="8" t="n">
        <v>4.31</v>
      </c>
      <c r="I314" s="8">
        <f>G314*H314</f>
        <v/>
      </c>
      <c r="J314" s="8">
        <f>H314/E314</f>
        <v/>
      </c>
      <c r="K314" s="8" t="n">
        <v>4.31</v>
      </c>
      <c r="L314" s="8" t="n">
        <v>4.31</v>
      </c>
      <c r="M314" s="14">
        <f>J314/K314-1</f>
        <v/>
      </c>
      <c r="N314" s="7" t="inlineStr">
        <is>
          <t>OK (≤ menor hist.)</t>
        </is>
      </c>
      <c r="O314" s="7" t="inlineStr"/>
    </row>
    <row r="315">
      <c r="A315" s="7" t="n">
        <v>3153</v>
      </c>
      <c r="B315" s="7" t="inlineStr">
        <is>
          <t>4503</t>
        </is>
      </c>
      <c r="C315" s="12" t="inlineStr">
        <is>
          <t>7898301056757</t>
        </is>
      </c>
      <c r="D315" s="7" t="inlineStr">
        <is>
          <t>TIRA DE TESTE DE GLICOSE C/25 UND FREE 1</t>
        </is>
      </c>
      <c r="E315" s="13" t="n">
        <v>1</v>
      </c>
      <c r="F315" s="13" t="n">
        <v>5</v>
      </c>
      <c r="G315" s="13" t="n">
        <v>5</v>
      </c>
      <c r="H315" s="8" t="n">
        <v>51.3</v>
      </c>
      <c r="I315" s="8">
        <f>G315*H315</f>
        <v/>
      </c>
      <c r="J315" s="8">
        <f>H315/E315</f>
        <v/>
      </c>
      <c r="K315" s="8" t="n">
        <v>46.42</v>
      </c>
      <c r="L315" s="8" t="n">
        <v>43.95</v>
      </c>
      <c r="M315" s="14">
        <f>J315/K315-1</f>
        <v/>
      </c>
      <c r="N315" s="7" t="inlineStr">
        <is>
          <t>ACIMA +10.5%</t>
        </is>
      </c>
      <c r="O315" s="7" t="inlineStr"/>
    </row>
    <row r="316">
      <c r="A316" s="7" t="n">
        <v>3163</v>
      </c>
      <c r="B316" s="7" t="inlineStr">
        <is>
          <t>4504</t>
        </is>
      </c>
      <c r="C316" s="12" t="inlineStr">
        <is>
          <t>7898301056740</t>
        </is>
      </c>
      <c r="D316" s="7" t="inlineStr">
        <is>
          <t>TIRA DE TESTE DE GLICOSE C/50 UND FREE 1</t>
        </is>
      </c>
      <c r="E316" s="13" t="n">
        <v>1</v>
      </c>
      <c r="F316" s="13" t="n">
        <v>23</v>
      </c>
      <c r="G316" s="13" t="n">
        <v>23</v>
      </c>
      <c r="H316" s="8" t="n">
        <v>67.45999999999999</v>
      </c>
      <c r="I316" s="8">
        <f>G316*H316</f>
        <v/>
      </c>
      <c r="J316" s="8">
        <f>H316/E316</f>
        <v/>
      </c>
      <c r="K316" s="8" t="n">
        <v>51.625</v>
      </c>
      <c r="L316" s="8" t="n">
        <v>48.88</v>
      </c>
      <c r="M316" s="14">
        <f>J316/K316-1</f>
        <v/>
      </c>
      <c r="N316" s="7" t="inlineStr">
        <is>
          <t>ACIMA +30.7%</t>
        </is>
      </c>
      <c r="O316" s="7" t="inlineStr"/>
    </row>
    <row r="317">
      <c r="A317" s="7" t="n">
        <v>18001</v>
      </c>
      <c r="B317" s="7" t="inlineStr">
        <is>
          <t>1121</t>
        </is>
      </c>
      <c r="C317" s="12" t="inlineStr">
        <is>
          <t>7896004739083</t>
        </is>
      </c>
      <c r="D317" s="7" t="inlineStr">
        <is>
          <t>TREXACONT 250MG 1BL X 12 COMP</t>
        </is>
      </c>
      <c r="E317" s="13" t="n">
        <v>1</v>
      </c>
      <c r="F317" s="13" t="n">
        <v>1</v>
      </c>
      <c r="G317" s="13" t="n">
        <v>1</v>
      </c>
      <c r="H317" s="8" t="n">
        <v>35.81</v>
      </c>
      <c r="I317" s="8">
        <f>G317*H317</f>
        <v/>
      </c>
      <c r="J317" s="8">
        <f>H317/E317</f>
        <v/>
      </c>
      <c r="K317" s="8" t="n">
        <v>40.53</v>
      </c>
      <c r="L317" s="8" t="n">
        <v>40.53</v>
      </c>
      <c r="M317" s="14">
        <f>J317/K317-1</f>
        <v/>
      </c>
      <c r="N317" s="7" t="inlineStr">
        <is>
          <t>OK (≤ menor hist.)</t>
        </is>
      </c>
      <c r="O317" s="7" t="inlineStr"/>
    </row>
    <row r="318">
      <c r="A318" s="7" t="n">
        <v>39303</v>
      </c>
      <c r="B318" s="7" t="inlineStr">
        <is>
          <t>10612</t>
        </is>
      </c>
      <c r="C318" s="12" t="inlineStr">
        <is>
          <t>7896004821993</t>
        </is>
      </c>
      <c r="D318" s="7" t="inlineStr">
        <is>
          <t>TRIMETAZIDINA 35MG 30CPR</t>
        </is>
      </c>
      <c r="E318" s="13" t="n">
        <v>1</v>
      </c>
      <c r="F318" s="13" t="n">
        <v>8</v>
      </c>
      <c r="G318" s="13" t="n">
        <v>8</v>
      </c>
      <c r="H318" s="8" t="n">
        <v>22.59</v>
      </c>
      <c r="I318" s="8">
        <f>G318*H318</f>
        <v/>
      </c>
      <c r="J318" s="8">
        <f>H318/E318</f>
        <v/>
      </c>
      <c r="K318" s="8" t="n">
        <v>16.385</v>
      </c>
      <c r="L318" s="8" t="n">
        <v>16.385</v>
      </c>
      <c r="M318" s="14">
        <f>J318/K318-1</f>
        <v/>
      </c>
      <c r="N318" s="7" t="inlineStr">
        <is>
          <t>ACIMA +37.9%</t>
        </is>
      </c>
      <c r="O318" s="7" t="inlineStr"/>
    </row>
    <row r="319">
      <c r="A319" s="7" t="n">
        <v>563961</v>
      </c>
      <c r="B319" s="7" t="inlineStr">
        <is>
          <t>395</t>
        </is>
      </c>
      <c r="C319" s="12" t="inlineStr">
        <is>
          <t>7898100243945</t>
        </is>
      </c>
      <c r="D319" s="7" t="inlineStr">
        <is>
          <t>TYFLEN 500MG CARTELA COM 10CP</t>
        </is>
      </c>
      <c r="E319" s="13" t="n">
        <v>20</v>
      </c>
      <c r="F319" s="13" t="n">
        <v>1</v>
      </c>
      <c r="G319" s="13" t="n">
        <v>1</v>
      </c>
      <c r="H319" s="8" t="n">
        <v>29.55</v>
      </c>
      <c r="I319" s="8">
        <f>G319*H319</f>
        <v/>
      </c>
      <c r="J319" s="8">
        <f>H319/E319</f>
        <v/>
      </c>
      <c r="K319" s="8" t="n">
        <v>1.8355</v>
      </c>
      <c r="L319" s="8" t="n">
        <v>1.8355</v>
      </c>
      <c r="M319" s="14">
        <f>J319/K319-1</f>
        <v/>
      </c>
      <c r="N319" s="7" t="inlineStr">
        <is>
          <t>OK (≤ menor hist.)</t>
        </is>
      </c>
      <c r="O319" s="7" t="inlineStr">
        <is>
          <t>1 emb = 20 un</t>
        </is>
      </c>
    </row>
    <row r="320">
      <c r="A320" s="7" t="n">
        <v>565801</v>
      </c>
      <c r="B320" s="7" t="inlineStr">
        <is>
          <t>3126</t>
        </is>
      </c>
      <c r="C320" s="12" t="inlineStr">
        <is>
          <t>7898031310600</t>
        </is>
      </c>
      <c r="D320" s="7" t="inlineStr">
        <is>
          <t>UNISSEPT ALCOOL GEL ANTISSEPTICO 450G</t>
        </is>
      </c>
      <c r="E320" s="13" t="n">
        <v>1</v>
      </c>
      <c r="F320" s="13" t="n">
        <v>13</v>
      </c>
      <c r="G320" s="13" t="n">
        <v>13</v>
      </c>
      <c r="H320" s="8" t="n">
        <v>13.08</v>
      </c>
      <c r="I320" s="8">
        <f>G320*H320</f>
        <v/>
      </c>
      <c r="J320" s="8">
        <f>H320/E320</f>
        <v/>
      </c>
      <c r="K320" s="8" t="n">
        <v>13.08</v>
      </c>
      <c r="L320" s="8" t="n">
        <v>12.51</v>
      </c>
      <c r="M320" s="14">
        <f>J320/K320-1</f>
        <v/>
      </c>
      <c r="N320" s="7" t="inlineStr">
        <is>
          <t>OK (≤ últ. compra)</t>
        </is>
      </c>
      <c r="O320" s="7" t="inlineStr"/>
    </row>
    <row r="321">
      <c r="A321" s="7" t="n">
        <v>675881</v>
      </c>
      <c r="B321" s="7" t="inlineStr">
        <is>
          <t>1014</t>
        </is>
      </c>
      <c r="C321" s="12" t="inlineStr">
        <is>
          <t>7898031310990</t>
        </is>
      </c>
      <c r="D321" s="7" t="inlineStr">
        <is>
          <t>VASELINA LIQUIDA 100ML</t>
        </is>
      </c>
      <c r="E321" s="13" t="n">
        <v>1</v>
      </c>
      <c r="F321" s="13" t="n">
        <v>5</v>
      </c>
      <c r="G321" s="13" t="n">
        <v>5</v>
      </c>
      <c r="H321" s="8" t="n">
        <v>5.68</v>
      </c>
      <c r="I321" s="8">
        <f>G321*H321</f>
        <v/>
      </c>
      <c r="J321" s="8">
        <f>H321/E321</f>
        <v/>
      </c>
      <c r="K321" s="8" t="n">
        <v>5.29</v>
      </c>
      <c r="L321" s="8" t="n">
        <v>5.29</v>
      </c>
      <c r="M321" s="14">
        <f>J321/K321-1</f>
        <v/>
      </c>
      <c r="N321" s="7" t="inlineStr">
        <is>
          <t>ACIMA +7.4%</t>
        </is>
      </c>
      <c r="O321" s="7" t="inlineStr"/>
    </row>
    <row r="322">
      <c r="A322" s="7" t="n">
        <v>619911</v>
      </c>
      <c r="B322" s="7" t="inlineStr">
        <is>
          <t>7145</t>
        </is>
      </c>
      <c r="C322" s="12" t="inlineStr">
        <is>
          <t>7896902214828</t>
        </is>
      </c>
      <c r="D322" s="7" t="inlineStr">
        <is>
          <t>VASELINA LIQUIDA 100ML (VASEMAX)</t>
        </is>
      </c>
      <c r="E322" s="13" t="n">
        <v>1</v>
      </c>
      <c r="F322" s="13" t="n">
        <v>1</v>
      </c>
      <c r="G322" s="13" t="n">
        <v>1</v>
      </c>
      <c r="H322" s="8" t="n">
        <v>5.57</v>
      </c>
      <c r="I322" s="8">
        <f>G322*H322</f>
        <v/>
      </c>
      <c r="J322" s="8">
        <f>H322/E322</f>
        <v/>
      </c>
      <c r="K322" s="8" t="n">
        <v>4.36</v>
      </c>
      <c r="L322" s="8" t="n">
        <v>4.36</v>
      </c>
      <c r="M322" s="14">
        <f>J322/K322-1</f>
        <v/>
      </c>
      <c r="N322" s="7" t="inlineStr">
        <is>
          <t>ACIMA +27.8%</t>
        </is>
      </c>
      <c r="O322" s="7" t="inlineStr"/>
    </row>
    <row r="323">
      <c r="A323" s="7" t="n">
        <v>2973</v>
      </c>
      <c r="B323" s="7" t="inlineStr">
        <is>
          <t>163</t>
        </is>
      </c>
      <c r="C323" s="12" t="inlineStr">
        <is>
          <t>7898031313533</t>
        </is>
      </c>
      <c r="D323" s="7" t="inlineStr">
        <is>
          <t>VASELINA SOLIDA 20G BISNAGA</t>
        </is>
      </c>
      <c r="E323" s="13" t="n">
        <v>1</v>
      </c>
      <c r="F323" s="13" t="n">
        <v>12</v>
      </c>
      <c r="G323" s="13" t="n">
        <v>12</v>
      </c>
      <c r="H323" s="8" t="n">
        <v>5.26</v>
      </c>
      <c r="I323" s="8">
        <f>G323*H323</f>
        <v/>
      </c>
      <c r="J323" s="8">
        <f>H323/E323</f>
        <v/>
      </c>
      <c r="K323" s="8" t="n">
        <v>5.26</v>
      </c>
      <c r="L323" s="8" t="n">
        <v>5.06</v>
      </c>
      <c r="M323" s="14">
        <f>J323/K323-1</f>
        <v/>
      </c>
      <c r="N323" s="7" t="inlineStr">
        <is>
          <t>OK (≤ últ. compra)</t>
        </is>
      </c>
      <c r="O323" s="7" t="inlineStr"/>
    </row>
    <row r="324">
      <c r="A324" s="7" t="n">
        <v>604001</v>
      </c>
      <c r="B324" s="7" t="inlineStr">
        <is>
          <t>851</t>
        </is>
      </c>
      <c r="C324" s="12" t="inlineStr">
        <is>
          <t>7898031310495</t>
        </is>
      </c>
      <c r="D324" s="7" t="inlineStr">
        <is>
          <t>VASELINA SOLIDA 25G POTE (UNIPHAR)</t>
        </is>
      </c>
      <c r="E324" s="13" t="n">
        <v>1</v>
      </c>
      <c r="F324" s="13" t="n">
        <v>10</v>
      </c>
      <c r="G324" s="13" t="n">
        <v>10</v>
      </c>
      <c r="H324" s="8" t="n">
        <v>4.78</v>
      </c>
      <c r="I324" s="8">
        <f>G324*H324</f>
        <v/>
      </c>
      <c r="J324" s="8">
        <f>H324/E324</f>
        <v/>
      </c>
      <c r="K324" s="8" t="n">
        <v>4.48</v>
      </c>
      <c r="L324" s="8" t="n">
        <v>4.35</v>
      </c>
      <c r="M324" s="14">
        <f>J324/K324-1</f>
        <v/>
      </c>
      <c r="N324" s="7" t="inlineStr">
        <is>
          <t>ACIMA +6.7%</t>
        </is>
      </c>
      <c r="O324" s="7" t="inlineStr"/>
    </row>
    <row r="325">
      <c r="A325" s="7" t="n">
        <v>591211</v>
      </c>
      <c r="B325" s="7" t="inlineStr">
        <is>
          <t>7292</t>
        </is>
      </c>
      <c r="C325" s="12" t="inlineStr">
        <is>
          <t>7898241250031</t>
        </is>
      </c>
      <c r="D325" s="7" t="inlineStr">
        <is>
          <t>VELA SEBO DE HOLANDA</t>
        </is>
      </c>
      <c r="E325" s="13" t="n">
        <v>8</v>
      </c>
      <c r="F325" s="13" t="n">
        <v>3</v>
      </c>
      <c r="G325" s="13" t="n">
        <v>1</v>
      </c>
      <c r="H325" s="8" t="n">
        <v>3.99</v>
      </c>
      <c r="I325" s="8">
        <f>G325*H325</f>
        <v/>
      </c>
      <c r="J325" s="8">
        <f>H325/E325</f>
        <v/>
      </c>
      <c r="K325" s="8" t="n">
        <v>0.4988</v>
      </c>
      <c r="L325" s="8" t="n">
        <v>0.4988</v>
      </c>
      <c r="M325" s="14">
        <f>J325/K325-1</f>
        <v/>
      </c>
      <c r="N325" s="7" t="inlineStr">
        <is>
          <t>OK (≤ menor hist.)</t>
        </is>
      </c>
      <c r="O325" s="7" t="inlineStr">
        <is>
          <t>1 emb = 8 un</t>
        </is>
      </c>
    </row>
    <row r="326">
      <c r="A326" s="7" t="n">
        <v>461961</v>
      </c>
      <c r="B326" s="7" t="inlineStr">
        <is>
          <t>391</t>
        </is>
      </c>
      <c r="C326" s="12" t="inlineStr">
        <is>
          <t>7893454100708</t>
        </is>
      </c>
      <c r="D326" s="7" t="inlineStr">
        <is>
          <t>VENCIDO - TIADOL 50MG/G SAB SACO 65G</t>
        </is>
      </c>
      <c r="E326" s="13" t="n">
        <v>1</v>
      </c>
      <c r="F326" s="13" t="n">
        <v>1</v>
      </c>
      <c r="G326" s="13" t="n">
        <v>1</v>
      </c>
      <c r="H326" s="8" t="n">
        <v>18.94</v>
      </c>
      <c r="I326" s="8">
        <f>G326*H326</f>
        <v/>
      </c>
      <c r="J326" s="8">
        <f>H326/E326</f>
        <v/>
      </c>
      <c r="K326" s="8" t="n">
        <v>19.23</v>
      </c>
      <c r="L326" s="8" t="n">
        <v>19.23</v>
      </c>
      <c r="M326" s="14">
        <f>J326/K326-1</f>
        <v/>
      </c>
      <c r="N326" s="7" t="inlineStr">
        <is>
          <t>OK (≤ menor hist.)</t>
        </is>
      </c>
      <c r="O326" s="7" t="inlineStr"/>
    </row>
    <row r="327">
      <c r="A327" s="7" t="n">
        <v>193181</v>
      </c>
      <c r="B327" s="7" t="inlineStr">
        <is>
          <t>10625</t>
        </is>
      </c>
      <c r="C327" s="12" t="inlineStr">
        <is>
          <t>7898569765125</t>
        </is>
      </c>
      <c r="D327" s="7" t="inlineStr">
        <is>
          <t>VITAMINA D3 10000UI CX 8 CAP</t>
        </is>
      </c>
      <c r="E327" s="13" t="n">
        <v>1</v>
      </c>
      <c r="F327" s="13" t="n">
        <v>1</v>
      </c>
      <c r="G327" s="13" t="n">
        <v>1</v>
      </c>
      <c r="H327" s="8" t="n">
        <v>17.54</v>
      </c>
      <c r="I327" s="8">
        <f>G327*H327</f>
        <v/>
      </c>
      <c r="J327" s="8">
        <f>H327/E327</f>
        <v/>
      </c>
      <c r="K327" s="8" t="n">
        <v>12.69</v>
      </c>
      <c r="L327" s="8" t="n">
        <v>12.69</v>
      </c>
      <c r="M327" s="14">
        <f>J327/K327-1</f>
        <v/>
      </c>
      <c r="N327" s="7" t="inlineStr">
        <is>
          <t>ACIMA +38.2%</t>
        </is>
      </c>
      <c r="O327" s="7" t="inlineStr"/>
    </row>
    <row r="328">
      <c r="A328" s="7" t="n">
        <v>653211</v>
      </c>
      <c r="B328" s="7" t="inlineStr">
        <is>
          <t>8544</t>
        </is>
      </c>
      <c r="C328" s="12" t="inlineStr">
        <is>
          <t>7898687734096</t>
        </is>
      </c>
      <c r="D328" s="7" t="inlineStr">
        <is>
          <t>VITAMINA D3 15000UI CX 10 CAP</t>
        </is>
      </c>
      <c r="E328" s="13" t="n">
        <v>1</v>
      </c>
      <c r="F328" s="13" t="n">
        <v>2</v>
      </c>
      <c r="G328" s="13" t="n">
        <v>2</v>
      </c>
      <c r="H328" s="8" t="n">
        <v>23.22</v>
      </c>
      <c r="I328" s="8">
        <f>G328*H328</f>
        <v/>
      </c>
      <c r="J328" s="8">
        <f>H328/E328</f>
        <v/>
      </c>
      <c r="K328" s="8" t="n">
        <v>19.58</v>
      </c>
      <c r="L328" s="8" t="n">
        <v>19.58</v>
      </c>
      <c r="M328" s="14">
        <f>J328/K328-1</f>
        <v/>
      </c>
      <c r="N328" s="7" t="inlineStr">
        <is>
          <t>ACIMA +18.6%</t>
        </is>
      </c>
      <c r="O328" s="7" t="inlineStr"/>
    </row>
    <row r="329">
      <c r="A329" s="7" t="n">
        <v>3063</v>
      </c>
      <c r="B329" s="7" t="inlineStr">
        <is>
          <t>8543</t>
        </is>
      </c>
      <c r="C329" s="12" t="inlineStr">
        <is>
          <t>7898687734089</t>
        </is>
      </c>
      <c r="D329" s="7" t="inlineStr">
        <is>
          <t>VITAMINA D3 15000UI CX 4 CAP</t>
        </is>
      </c>
      <c r="E329" s="13" t="n">
        <v>1</v>
      </c>
      <c r="F329" s="13" t="n">
        <v>4</v>
      </c>
      <c r="G329" s="13" t="n">
        <v>4</v>
      </c>
      <c r="H329" s="8" t="n">
        <v>13.39</v>
      </c>
      <c r="I329" s="8">
        <f>G329*H329</f>
        <v/>
      </c>
      <c r="J329" s="8">
        <f>H329/E329</f>
        <v/>
      </c>
      <c r="K329" s="8" t="n">
        <v>14.54</v>
      </c>
      <c r="L329" s="8" t="n">
        <v>10.73</v>
      </c>
      <c r="M329" s="14">
        <f>J329/K329-1</f>
        <v/>
      </c>
      <c r="N329" s="7" t="inlineStr">
        <is>
          <t>OK (≤ últ. compra)</t>
        </is>
      </c>
      <c r="O329" s="7" t="inlineStr"/>
    </row>
    <row r="330">
      <c r="A330" s="7" t="n">
        <v>532061</v>
      </c>
      <c r="B330" s="7" t="inlineStr">
        <is>
          <t>4798</t>
        </is>
      </c>
      <c r="C330" s="12" t="inlineStr">
        <is>
          <t>7894164006014</t>
        </is>
      </c>
      <c r="D330" s="7" t="inlineStr">
        <is>
          <t>VITAXON C TRIPLA ACAO EFERVECE CX C/ 10 CP</t>
        </is>
      </c>
      <c r="E330" s="13" t="n">
        <v>1</v>
      </c>
      <c r="F330" s="13" t="n">
        <v>62</v>
      </c>
      <c r="G330" s="13" t="n">
        <v>62</v>
      </c>
      <c r="H330" s="8" t="n">
        <v>5.39</v>
      </c>
      <c r="I330" s="8">
        <f>G330*H330</f>
        <v/>
      </c>
      <c r="J330" s="8">
        <f>H330/E330</f>
        <v/>
      </c>
      <c r="K330" s="8" t="n">
        <v>4.58</v>
      </c>
      <c r="L330" s="8" t="n">
        <v>4.58</v>
      </c>
      <c r="M330" s="14">
        <f>J330/K330-1</f>
        <v/>
      </c>
      <c r="N330" s="7" t="inlineStr">
        <is>
          <t>ACIMA +17.7%</t>
        </is>
      </c>
      <c r="O330" s="7" t="inlineStr"/>
    </row>
    <row r="331">
      <c r="A331" s="7" t="n">
        <v>4053</v>
      </c>
      <c r="B331" s="7" t="inlineStr">
        <is>
          <t>5175</t>
        </is>
      </c>
      <c r="C331" s="12" t="inlineStr">
        <is>
          <t>7894164007127</t>
        </is>
      </c>
      <c r="D331" s="7" t="inlineStr">
        <is>
          <t>VITAXON C TRIPLA ACAO IMUNO C/30 CPR.</t>
        </is>
      </c>
      <c r="E331" s="13" t="n">
        <v>1</v>
      </c>
      <c r="F331" s="13" t="n">
        <v>1</v>
      </c>
      <c r="G331" s="13" t="n">
        <v>1</v>
      </c>
      <c r="H331" s="8" t="n">
        <v>14.84</v>
      </c>
      <c r="I331" s="8">
        <f>G331*H331</f>
        <v/>
      </c>
      <c r="J331" s="8">
        <f>H331/E331</f>
        <v/>
      </c>
      <c r="K331" s="8" t="n">
        <v>14.84</v>
      </c>
      <c r="L331" s="8" t="n">
        <v>14.84</v>
      </c>
      <c r="M331" s="14">
        <f>J331/K331-1</f>
        <v/>
      </c>
      <c r="N331" s="7" t="inlineStr">
        <is>
          <t>OK (≤ menor hist.)</t>
        </is>
      </c>
      <c r="O331" s="7" t="inlineStr"/>
    </row>
    <row r="332">
      <c r="A332" s="7" t="n">
        <v>604081</v>
      </c>
      <c r="B332" s="7" t="inlineStr">
        <is>
          <t>5905</t>
        </is>
      </c>
      <c r="C332" s="12" t="inlineStr">
        <is>
          <t>7894164007134</t>
        </is>
      </c>
      <c r="D332" s="7" t="inlineStr">
        <is>
          <t>VITAXON C+ZINCO ACAO PROLONGADA 30CP</t>
        </is>
      </c>
      <c r="E332" s="13" t="n">
        <v>1</v>
      </c>
      <c r="F332" s="13" t="n">
        <v>1</v>
      </c>
      <c r="G332" s="13" t="n">
        <v>1</v>
      </c>
      <c r="H332" s="8" t="n">
        <v>11.73</v>
      </c>
      <c r="I332" s="8">
        <f>G332*H332</f>
        <v/>
      </c>
      <c r="J332" s="8">
        <f>H332/E332</f>
        <v/>
      </c>
      <c r="K332" s="8" t="n">
        <v>10.79</v>
      </c>
      <c r="L332" s="8" t="n">
        <v>10.79</v>
      </c>
      <c r="M332" s="14">
        <f>J332/K332-1</f>
        <v/>
      </c>
      <c r="N332" s="7" t="inlineStr">
        <is>
          <t>ACIMA +8.7%</t>
        </is>
      </c>
      <c r="O332" s="7" t="inlineStr"/>
    </row>
    <row r="333">
      <c r="A333" s="7" t="n">
        <v>121961</v>
      </c>
      <c r="B333" s="7" t="inlineStr">
        <is>
          <t>6402</t>
        </is>
      </c>
      <c r="C333" s="12" t="inlineStr">
        <is>
          <t>7896004774947</t>
        </is>
      </c>
      <c r="D333" s="7" t="inlineStr">
        <is>
          <t>VOLIG 8MG CX 10 COMP</t>
        </is>
      </c>
      <c r="E333" s="13" t="n">
        <v>1</v>
      </c>
      <c r="F333" s="13" t="n">
        <v>8</v>
      </c>
      <c r="G333" s="13" t="n">
        <v>8</v>
      </c>
      <c r="H333" s="8" t="n">
        <v>7.31</v>
      </c>
      <c r="I333" s="8">
        <f>G333*H333</f>
        <v/>
      </c>
      <c r="J333" s="8">
        <f>H333/E333</f>
        <v/>
      </c>
      <c r="K333" s="8" t="n">
        <v>7.29</v>
      </c>
      <c r="L333" s="8" t="n">
        <v>7.29</v>
      </c>
      <c r="M333" s="14">
        <f>J333/K333-1</f>
        <v/>
      </c>
      <c r="N333" s="7" t="inlineStr">
        <is>
          <t>ACIMA +0.3%</t>
        </is>
      </c>
      <c r="O333" s="7" t="inlineStr"/>
    </row>
    <row r="334">
      <c r="D334" s="5" t="inlineStr">
        <is>
          <t>TOTAL</t>
        </is>
      </c>
      <c r="I334" s="18">
        <f>SUM(I2:I333)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14">
        <f>J2/K2-1</f>
        <v/>
      </c>
      <c r="N2" s="7" t="inlineStr">
        <is>
          <t>ACIMA +5.7%</t>
        </is>
      </c>
      <c r="O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14">
        <f>J3/K3-1</f>
        <v/>
      </c>
      <c r="N3" s="7" t="inlineStr">
        <is>
          <t>ACIMA +4.0%</t>
        </is>
      </c>
      <c r="O3" s="7" t="inlineStr"/>
    </row>
    <row r="4">
      <c r="A4" s="7" t="n">
        <v>71481</v>
      </c>
      <c r="B4" s="7" t="inlineStr">
        <is>
          <t>182303</t>
        </is>
      </c>
      <c r="C4" s="12" t="inlineStr">
        <is>
          <t>7895296211024</t>
        </is>
      </c>
      <c r="D4" s="7" t="inlineStr">
        <is>
          <t>CABERGOLINA 0,5 MG CX 8 COMP</t>
        </is>
      </c>
      <c r="E4" s="13" t="n">
        <v>1</v>
      </c>
      <c r="F4" s="13" t="n">
        <v>1</v>
      </c>
      <c r="G4" s="13" t="n">
        <v>1</v>
      </c>
      <c r="H4" s="8" t="n">
        <v>61.3</v>
      </c>
      <c r="I4" s="8">
        <f>G4*H4</f>
        <v/>
      </c>
      <c r="J4" s="8">
        <f>H4/E4</f>
        <v/>
      </c>
      <c r="K4" s="8" t="n">
        <v>50.565</v>
      </c>
      <c r="L4" s="8" t="n">
        <v>50.565</v>
      </c>
      <c r="M4" s="14">
        <f>J4/K4-1</f>
        <v/>
      </c>
      <c r="N4" s="7" t="inlineStr">
        <is>
          <t>ACIMA +21.2%</t>
        </is>
      </c>
      <c r="O4" s="7" t="inlineStr"/>
    </row>
    <row r="5">
      <c r="A5" s="7" t="n">
        <v>631621</v>
      </c>
      <c r="B5" s="7" t="inlineStr">
        <is>
          <t>154776</t>
        </is>
      </c>
      <c r="C5" s="12" t="inlineStr">
        <is>
          <t>7895296449816</t>
        </is>
      </c>
      <c r="D5" s="7" t="inlineStr">
        <is>
          <t>CLOR. NARATRIPTANA 2,5 MG C/4 COM REV-NQ</t>
        </is>
      </c>
      <c r="E5" s="13" t="n">
        <v>1</v>
      </c>
      <c r="F5" s="13" t="n">
        <v>7</v>
      </c>
      <c r="G5" s="13" t="n">
        <v>7</v>
      </c>
      <c r="H5" s="8" t="n">
        <v>7.69</v>
      </c>
      <c r="I5" s="8">
        <f>G5*H5</f>
        <v/>
      </c>
      <c r="J5" s="8">
        <f>H5/E5</f>
        <v/>
      </c>
      <c r="K5" s="8" t="n">
        <v>7.78</v>
      </c>
      <c r="L5" s="8" t="n">
        <v>6.5788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146381</v>
      </c>
      <c r="B6" s="7" t="inlineStr">
        <is>
          <t>193615</t>
        </is>
      </c>
      <c r="C6" s="12" t="inlineStr">
        <is>
          <t>7895296447317</t>
        </is>
      </c>
      <c r="D6" s="7" t="inlineStr">
        <is>
          <t>CLOR.FEXOFENADINA 120MG 1BLX10COM REV-NQ</t>
        </is>
      </c>
      <c r="E6" s="13" t="n">
        <v>1</v>
      </c>
      <c r="F6" s="13" t="n">
        <v>1</v>
      </c>
      <c r="G6" s="13" t="n">
        <v>1</v>
      </c>
      <c r="H6" s="8" t="n">
        <v>7.35</v>
      </c>
      <c r="I6" s="8">
        <f>G6*H6</f>
        <v/>
      </c>
      <c r="J6" s="8">
        <f>H6/E6</f>
        <v/>
      </c>
      <c r="K6" s="8" t="n">
        <v>5.6</v>
      </c>
      <c r="L6" s="8" t="n">
        <v>5.6</v>
      </c>
      <c r="M6" s="14">
        <f>J6/K6-1</f>
        <v/>
      </c>
      <c r="N6" s="7" t="inlineStr">
        <is>
          <t>ACIMA +31.2%</t>
        </is>
      </c>
      <c r="O6" s="7" t="inlineStr"/>
    </row>
    <row r="7">
      <c r="A7" s="7" t="n">
        <v>4923</v>
      </c>
      <c r="B7" s="7" t="inlineStr">
        <is>
          <t>183130</t>
        </is>
      </c>
      <c r="C7" s="12" t="inlineStr">
        <is>
          <t>7896472521821</t>
        </is>
      </c>
      <c r="D7" s="7" t="inlineStr">
        <is>
          <t>CLORIDRATO DE FEXOFENADINA 6MG/ML 60ML-NQ</t>
        </is>
      </c>
      <c r="E7" s="13" t="n">
        <v>1</v>
      </c>
      <c r="F7" s="13" t="n">
        <v>2</v>
      </c>
      <c r="G7" s="13" t="n">
        <v>2</v>
      </c>
      <c r="H7" s="8" t="n">
        <v>10.19</v>
      </c>
      <c r="I7" s="8">
        <f>G7*H7</f>
        <v/>
      </c>
      <c r="J7" s="8">
        <f>H7/E7</f>
        <v/>
      </c>
      <c r="K7" s="8" t="n">
        <v>13.28</v>
      </c>
      <c r="L7" s="8" t="n">
        <v>13.28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651091</v>
      </c>
      <c r="B8" s="7" t="inlineStr">
        <is>
          <t>140287</t>
        </is>
      </c>
      <c r="C8" s="12" t="inlineStr">
        <is>
          <t>7895296449823</t>
        </is>
      </c>
      <c r="D8" s="7" t="inlineStr">
        <is>
          <t>CLORIDRATO DE NARATRIPTANA 2,5MG 10 CPR</t>
        </is>
      </c>
      <c r="E8" s="13" t="n">
        <v>1</v>
      </c>
      <c r="F8" s="13" t="n">
        <v>2</v>
      </c>
      <c r="G8" s="13" t="n">
        <v>2</v>
      </c>
      <c r="H8" s="8" t="n">
        <v>18.09</v>
      </c>
      <c r="I8" s="8">
        <f>G8*H8</f>
        <v/>
      </c>
      <c r="J8" s="8">
        <f>H8/E8</f>
        <v/>
      </c>
      <c r="K8" s="8" t="n">
        <v>14.9512</v>
      </c>
      <c r="L8" s="8" t="n">
        <v>14.9512</v>
      </c>
      <c r="M8" s="14">
        <f>J8/K8-1</f>
        <v/>
      </c>
      <c r="N8" s="7" t="inlineStr">
        <is>
          <t>ACIMA +21.0%</t>
        </is>
      </c>
      <c r="O8" s="7" t="inlineStr"/>
    </row>
    <row r="9">
      <c r="A9" s="7" t="n">
        <v>597761</v>
      </c>
      <c r="B9" s="7" t="inlineStr">
        <is>
          <t>190829</t>
        </is>
      </c>
      <c r="C9" s="12" t="inlineStr">
        <is>
          <t>7898687731552</t>
        </is>
      </c>
      <c r="D9" s="7" t="inlineStr">
        <is>
          <t>CLORIDRATO DE ONDANSETRONA DI-HIDRATADO 4MG CX 10 COMP ORODISP</t>
        </is>
      </c>
      <c r="E9" s="13" t="n">
        <v>1</v>
      </c>
      <c r="F9" s="13" t="n">
        <v>1</v>
      </c>
      <c r="G9" s="13" t="n">
        <v>1</v>
      </c>
      <c r="H9" s="8" t="n">
        <v>8.15</v>
      </c>
      <c r="I9" s="8">
        <f>G9*H9</f>
        <v/>
      </c>
      <c r="J9" s="8">
        <f>H9/E9</f>
        <v/>
      </c>
      <c r="K9" s="8" t="n">
        <v>6.71</v>
      </c>
      <c r="L9" s="8" t="n">
        <v>6.71</v>
      </c>
      <c r="M9" s="14">
        <f>J9/K9-1</f>
        <v/>
      </c>
      <c r="N9" s="7" t="inlineStr">
        <is>
          <t>ACIMA +21.5%</t>
        </is>
      </c>
      <c r="O9" s="7" t="inlineStr"/>
    </row>
    <row r="10">
      <c r="A10" s="7" t="n">
        <v>597771</v>
      </c>
      <c r="B10" s="7" t="inlineStr">
        <is>
          <t>190756</t>
        </is>
      </c>
      <c r="C10" s="12" t="inlineStr">
        <is>
          <t>7898687731736</t>
        </is>
      </c>
      <c r="D10" s="7" t="inlineStr">
        <is>
          <t>CLORIDRATO DE ONDANSETRONA DI-HIDRATADO 8MG CX 10 COMP ORODISP</t>
        </is>
      </c>
      <c r="E10" s="13" t="n">
        <v>1</v>
      </c>
      <c r="F10" s="13" t="n">
        <v>1</v>
      </c>
      <c r="G10" s="13" t="n">
        <v>1</v>
      </c>
      <c r="H10" s="8" t="n">
        <v>16.8</v>
      </c>
      <c r="I10" s="8">
        <f>G10*H10</f>
        <v/>
      </c>
      <c r="J10" s="8">
        <f>H10/E10</f>
        <v/>
      </c>
      <c r="K10" s="8" t="n">
        <v>14.57</v>
      </c>
      <c r="L10" s="8" t="n">
        <v>14.57</v>
      </c>
      <c r="M10" s="14">
        <f>J10/K10-1</f>
        <v/>
      </c>
      <c r="N10" s="7" t="inlineStr">
        <is>
          <t>ACIMA +15.3%</t>
        </is>
      </c>
      <c r="O10" s="7" t="inlineStr"/>
    </row>
    <row r="11">
      <c r="A11" s="7" t="n">
        <v>651111</v>
      </c>
      <c r="B11" s="7" t="inlineStr">
        <is>
          <t>114987</t>
        </is>
      </c>
      <c r="C11" s="12" t="inlineStr">
        <is>
          <t>7891317009052</t>
        </is>
      </c>
      <c r="D11" s="7" t="inlineStr">
        <is>
          <t>CLORIDRATO DE TRAMADOL 100MG 10ML GTS</t>
        </is>
      </c>
      <c r="E11" s="13" t="n">
        <v>1</v>
      </c>
      <c r="F11" s="13" t="n">
        <v>1</v>
      </c>
      <c r="G11" s="13" t="n">
        <v>1</v>
      </c>
      <c r="H11" s="8" t="n">
        <v>16.95</v>
      </c>
      <c r="I11" s="8">
        <f>G11*H11</f>
        <v/>
      </c>
      <c r="J11" s="8">
        <f>H11/E11</f>
        <v/>
      </c>
      <c r="K11" s="8" t="n">
        <v>14.0725</v>
      </c>
      <c r="L11" s="8" t="n">
        <v>14.0725</v>
      </c>
      <c r="M11" s="14">
        <f>J11/K11-1</f>
        <v/>
      </c>
      <c r="N11" s="7" t="inlineStr">
        <is>
          <t>ACIMA +20.4%</t>
        </is>
      </c>
      <c r="O11" s="7" t="inlineStr"/>
    </row>
    <row r="12">
      <c r="A12" s="7" t="n">
        <v>182141</v>
      </c>
      <c r="B12" s="7" t="inlineStr">
        <is>
          <t>193976</t>
        </is>
      </c>
      <c r="C12" s="12" t="inlineStr">
        <is>
          <t>7895296014014</t>
        </is>
      </c>
      <c r="D12" s="7" t="inlineStr">
        <is>
          <t>CLORIDRATO DE TRAMADOL 50MG CX 10 CAP</t>
        </is>
      </c>
      <c r="E12" s="13" t="n">
        <v>1</v>
      </c>
      <c r="F12" s="13" t="n">
        <v>6</v>
      </c>
      <c r="G12" s="13" t="n">
        <v>6</v>
      </c>
      <c r="H12" s="8" t="n">
        <v>4.75</v>
      </c>
      <c r="I12" s="8">
        <f>G12*H12</f>
        <v/>
      </c>
      <c r="J12" s="8">
        <f>H12/E12</f>
        <v/>
      </c>
      <c r="K12" s="8" t="n">
        <v>4.7842</v>
      </c>
      <c r="L12" s="8" t="n">
        <v>4.7842</v>
      </c>
      <c r="M12" s="14">
        <f>J12/K12-1</f>
        <v/>
      </c>
      <c r="N12" s="7" t="inlineStr">
        <is>
          <t>OK (≤ menor hist.)</t>
        </is>
      </c>
      <c r="O12" s="7" t="inlineStr"/>
    </row>
    <row r="13">
      <c r="A13" s="7" t="n">
        <v>648311</v>
      </c>
      <c r="B13" s="7" t="inlineStr">
        <is>
          <t>103241</t>
        </is>
      </c>
      <c r="C13" s="12" t="inlineStr">
        <is>
          <t>7898108640104</t>
        </is>
      </c>
      <c r="D13" s="7" t="inlineStr">
        <is>
          <t>COMPRESSA GAZES 11FIOS ESTER 10UN</t>
        </is>
      </c>
      <c r="E13" s="13" t="n">
        <v>1</v>
      </c>
      <c r="F13" s="13" t="n">
        <v>8</v>
      </c>
      <c r="G13" s="13" t="n">
        <v>8</v>
      </c>
      <c r="H13" s="8" t="n">
        <v>1.35</v>
      </c>
      <c r="I13" s="8">
        <f>G13*H13</f>
        <v/>
      </c>
      <c r="J13" s="8">
        <f>H13/E13</f>
        <v/>
      </c>
      <c r="K13" s="8" t="n">
        <v>1.1617</v>
      </c>
      <c r="L13" s="8" t="n">
        <v>1.1617</v>
      </c>
      <c r="M13" s="14">
        <f>J13/K13-1</f>
        <v/>
      </c>
      <c r="N13" s="7" t="inlineStr">
        <is>
          <t>ACIMA +16.2%</t>
        </is>
      </c>
      <c r="O13" s="7" t="inlineStr"/>
    </row>
    <row r="14">
      <c r="A14" s="7" t="n">
        <v>3433</v>
      </c>
      <c r="B14" s="7" t="inlineStr">
        <is>
          <t>187984</t>
        </is>
      </c>
      <c r="C14" s="12" t="inlineStr">
        <is>
          <t>7898108640692</t>
        </is>
      </c>
      <c r="D14" s="7" t="inlineStr">
        <is>
          <t>CURATIVO REDONDO CICATRISAN C/20 UND</t>
        </is>
      </c>
      <c r="E14" s="13" t="n">
        <v>1</v>
      </c>
      <c r="F14" s="13" t="n">
        <v>2</v>
      </c>
      <c r="G14" s="13" t="n">
        <v>2</v>
      </c>
      <c r="H14" s="8" t="n">
        <v>5.95</v>
      </c>
      <c r="I14" s="8">
        <f>G14*H14</f>
        <v/>
      </c>
      <c r="J14" s="8">
        <f>H14/E14</f>
        <v/>
      </c>
      <c r="K14" s="8" t="n">
        <v>5.815</v>
      </c>
      <c r="L14" s="8" t="n">
        <v>5.815</v>
      </c>
      <c r="M14" s="14">
        <f>J14/K14-1</f>
        <v/>
      </c>
      <c r="N14" s="7" t="inlineStr">
        <is>
          <t>ACIMA +2.3%</t>
        </is>
      </c>
      <c r="O14" s="7" t="inlineStr"/>
    </row>
    <row r="15">
      <c r="A15" s="7" t="n">
        <v>201421</v>
      </c>
      <c r="B15" s="7" t="inlineStr">
        <is>
          <t>194123</t>
        </is>
      </c>
      <c r="C15" s="12" t="inlineStr">
        <is>
          <t>7895296277051</t>
        </is>
      </c>
      <c r="D15" s="7" t="inlineStr">
        <is>
          <t>DEFLAZACORTE 6MG CX 20 COMP</t>
        </is>
      </c>
      <c r="E15" s="13" t="n">
        <v>1</v>
      </c>
      <c r="F15" s="13" t="n">
        <v>1</v>
      </c>
      <c r="G15" s="13" t="n">
        <v>1</v>
      </c>
      <c r="H15" s="8" t="n">
        <v>36.45</v>
      </c>
      <c r="I15" s="8">
        <f>G15*H15</f>
        <v/>
      </c>
      <c r="J15" s="8">
        <f>H15/E15</f>
        <v/>
      </c>
      <c r="K15" s="8" t="n">
        <v>34.39</v>
      </c>
      <c r="L15" s="8" t="n">
        <v>34.39</v>
      </c>
      <c r="M15" s="14">
        <f>J15/K15-1</f>
        <v/>
      </c>
      <c r="N15" s="7" t="inlineStr">
        <is>
          <t>ACIMA +6.0%</t>
        </is>
      </c>
      <c r="O15" s="7" t="inlineStr"/>
    </row>
    <row r="16">
      <c r="A16" s="7" t="n">
        <v>661161</v>
      </c>
      <c r="B16" s="7" t="inlineStr">
        <is>
          <t>190659</t>
        </is>
      </c>
      <c r="C16" s="12" t="inlineStr">
        <is>
          <t>7898569767556</t>
        </is>
      </c>
      <c r="D16" s="7" t="inlineStr">
        <is>
          <t>DESVENLAFAXINA 50MG CX 30 COMP REV</t>
        </is>
      </c>
      <c r="E16" s="13" t="n">
        <v>1</v>
      </c>
      <c r="F16" s="13" t="n">
        <v>1</v>
      </c>
      <c r="G16" s="13" t="n">
        <v>1</v>
      </c>
      <c r="H16" s="8" t="n">
        <v>29.27</v>
      </c>
      <c r="I16" s="8">
        <f>G16*H16</f>
        <v/>
      </c>
      <c r="J16" s="8">
        <f>H16/E16</f>
        <v/>
      </c>
      <c r="K16" s="8" t="n">
        <v>24.56</v>
      </c>
      <c r="L16" s="8" t="n">
        <v>24.56</v>
      </c>
      <c r="M16" s="14">
        <f>J16/K16-1</f>
        <v/>
      </c>
      <c r="N16" s="7" t="inlineStr">
        <is>
          <t>ACIMA +19.2%</t>
        </is>
      </c>
      <c r="O16" s="7" t="inlineStr"/>
    </row>
    <row r="17">
      <c r="A17" s="7" t="n">
        <v>150061</v>
      </c>
      <c r="B17" s="7" t="inlineStr">
        <is>
          <t>162922</t>
        </is>
      </c>
      <c r="C17" s="12" t="inlineStr">
        <is>
          <t>7895296053044</t>
        </is>
      </c>
      <c r="D17" s="7" t="inlineStr">
        <is>
          <t>DICLORIDRATO DE HIDROXIZINA 25MG CX 30 COMP</t>
        </is>
      </c>
      <c r="E17" s="13" t="n">
        <v>1</v>
      </c>
      <c r="F17" s="13" t="n">
        <v>1</v>
      </c>
      <c r="G17" s="13" t="n">
        <v>1</v>
      </c>
      <c r="H17" s="8" t="n">
        <v>28.55</v>
      </c>
      <c r="I17" s="8">
        <f>G17*H17</f>
        <v/>
      </c>
      <c r="J17" s="8">
        <f>H17/E17</f>
        <v/>
      </c>
      <c r="K17" s="8" t="n">
        <v>26.56</v>
      </c>
      <c r="L17" s="8" t="n">
        <v>26.56</v>
      </c>
      <c r="M17" s="14">
        <f>J17/K17-1</f>
        <v/>
      </c>
      <c r="N17" s="7" t="inlineStr">
        <is>
          <t>ACIMA +7.5%</t>
        </is>
      </c>
      <c r="O17" s="7" t="inlineStr"/>
    </row>
    <row r="18">
      <c r="A18" s="7" t="n">
        <v>238761</v>
      </c>
      <c r="B18" s="7" t="inlineStr">
        <is>
          <t>194379</t>
        </is>
      </c>
      <c r="C18" s="12" t="inlineStr">
        <is>
          <t>7895296100038</t>
        </is>
      </c>
      <c r="D18" s="7" t="inlineStr">
        <is>
          <t>DROSPIRENONA+ETINILESTRADIOL 3+0,03MG CX 21 COMP REV</t>
        </is>
      </c>
      <c r="E18" s="13" t="n">
        <v>1</v>
      </c>
      <c r="F18" s="13" t="n">
        <v>11</v>
      </c>
      <c r="G18" s="13" t="n">
        <v>11</v>
      </c>
      <c r="H18" s="8" t="n">
        <v>10.39</v>
      </c>
      <c r="I18" s="8">
        <f>G18*H18</f>
        <v/>
      </c>
      <c r="J18" s="8">
        <f>H18/E18</f>
        <v/>
      </c>
      <c r="K18" s="8" t="n">
        <v>10.44</v>
      </c>
      <c r="L18" s="8" t="n">
        <v>8.948700000000001</v>
      </c>
      <c r="M18" s="14">
        <f>J18/K18-1</f>
        <v/>
      </c>
      <c r="N18" s="7" t="inlineStr">
        <is>
          <t>OK (≤ últ. compra)</t>
        </is>
      </c>
      <c r="O18" s="7" t="inlineStr"/>
    </row>
    <row r="19">
      <c r="A19" s="7" t="n">
        <v>648331</v>
      </c>
      <c r="B19" s="7" t="inlineStr">
        <is>
          <t>188158</t>
        </is>
      </c>
      <c r="C19" s="12" t="inlineStr">
        <is>
          <t>7898108640944</t>
        </is>
      </c>
      <c r="D19" s="7" t="inlineStr">
        <is>
          <t>ESPARAD IMPERM SANFARMA 50MMX4,5M</t>
        </is>
      </c>
      <c r="E19" s="13" t="n">
        <v>1</v>
      </c>
      <c r="F19" s="13" t="n">
        <v>1</v>
      </c>
      <c r="G19" s="13" t="n">
        <v>1</v>
      </c>
      <c r="H19" s="8" t="n">
        <v>13.85</v>
      </c>
      <c r="I19" s="8">
        <f>G19*H19</f>
        <v/>
      </c>
      <c r="J19" s="8">
        <f>H19/E19</f>
        <v/>
      </c>
      <c r="K19" s="8" t="n">
        <v>11.4</v>
      </c>
      <c r="L19" s="8" t="n">
        <v>11.4</v>
      </c>
      <c r="M19" s="14">
        <f>J19/K19-1</f>
        <v/>
      </c>
      <c r="N19" s="7" t="inlineStr">
        <is>
          <t>ACIMA +21.5%</t>
        </is>
      </c>
      <c r="O19" s="7" t="inlineStr"/>
    </row>
    <row r="20">
      <c r="A20" s="7" t="n">
        <v>660351</v>
      </c>
      <c r="B20" s="7" t="inlineStr">
        <is>
          <t>194328</t>
        </is>
      </c>
      <c r="C20" s="12" t="inlineStr">
        <is>
          <t>7896472521845</t>
        </is>
      </c>
      <c r="D20" s="7" t="inlineStr">
        <is>
          <t>EZETIMIBA 10MG 30 CPR</t>
        </is>
      </c>
      <c r="E20" s="13" t="n">
        <v>1</v>
      </c>
      <c r="F20" s="13" t="n">
        <v>6</v>
      </c>
      <c r="G20" s="13" t="n">
        <v>6</v>
      </c>
      <c r="H20" s="8" t="n">
        <v>16.49</v>
      </c>
      <c r="I20" s="8">
        <f>G20*H20</f>
        <v/>
      </c>
      <c r="J20" s="8">
        <f>H20/E20</f>
        <v/>
      </c>
      <c r="K20" s="8" t="n">
        <v>15.99</v>
      </c>
      <c r="L20" s="8" t="n">
        <v>15.99</v>
      </c>
      <c r="M20" s="14">
        <f>J20/K20-1</f>
        <v/>
      </c>
      <c r="N20" s="7" t="inlineStr">
        <is>
          <t>ACIMA +3.1%</t>
        </is>
      </c>
      <c r="O20" s="7" t="inlineStr"/>
    </row>
    <row r="21">
      <c r="A21" s="7" t="n">
        <v>249001</v>
      </c>
      <c r="B21" s="7" t="inlineStr">
        <is>
          <t>194280</t>
        </is>
      </c>
      <c r="C21" s="12" t="inlineStr">
        <is>
          <t>7895296276047</t>
        </is>
      </c>
      <c r="D21" s="7" t="inlineStr">
        <is>
          <t>FINASTERIDA 5MG CX 30 COMP REV</t>
        </is>
      </c>
      <c r="E21" s="13" t="n">
        <v>1</v>
      </c>
      <c r="F21" s="13" t="n">
        <v>2</v>
      </c>
      <c r="G21" s="13" t="n">
        <v>2</v>
      </c>
      <c r="H21" s="8" t="n">
        <v>19.99</v>
      </c>
      <c r="I21" s="8">
        <f>G21*H21</f>
        <v/>
      </c>
      <c r="J21" s="8">
        <f>H21/E21</f>
        <v/>
      </c>
      <c r="K21" s="8" t="n">
        <v>18.78</v>
      </c>
      <c r="L21" s="8" t="n">
        <v>18.78</v>
      </c>
      <c r="M21" s="14">
        <f>J21/K21-1</f>
        <v/>
      </c>
      <c r="N21" s="7" t="inlineStr">
        <is>
          <t>ACIMA +6.4%</t>
        </is>
      </c>
      <c r="O21" s="7" t="inlineStr"/>
    </row>
    <row r="22">
      <c r="A22" s="7" t="n">
        <v>645451</v>
      </c>
      <c r="B22" s="7" t="inlineStr">
        <is>
          <t>62685</t>
        </is>
      </c>
      <c r="C22" s="12" t="inlineStr">
        <is>
          <t>7898108641262</t>
        </is>
      </c>
      <c r="D22" s="7" t="inlineStr">
        <is>
          <t>FITA MICROPOROSA SANFARMA 25MMX4,5M</t>
        </is>
      </c>
      <c r="E22" s="13" t="n">
        <v>1</v>
      </c>
      <c r="F22" s="13" t="n">
        <v>2</v>
      </c>
      <c r="G22" s="13" t="n">
        <v>2</v>
      </c>
      <c r="H22" s="8" t="n">
        <v>4.65</v>
      </c>
      <c r="I22" s="8">
        <f>G22*H22</f>
        <v/>
      </c>
      <c r="J22" s="8">
        <f>H22/E22</f>
        <v/>
      </c>
      <c r="K22" s="8" t="n">
        <v>4.09</v>
      </c>
      <c r="L22" s="8" t="n">
        <v>4.09</v>
      </c>
      <c r="M22" s="14">
        <f>J22/K22-1</f>
        <v/>
      </c>
      <c r="N22" s="7" t="inlineStr">
        <is>
          <t>ACIMA +13.7%</t>
        </is>
      </c>
      <c r="O22" s="7" t="inlineStr"/>
    </row>
    <row r="23">
      <c r="A23" s="7" t="n">
        <v>294061</v>
      </c>
      <c r="B23" s="7" t="inlineStr">
        <is>
          <t>141305</t>
        </is>
      </c>
      <c r="C23" s="12" t="inlineStr">
        <is>
          <t>7898569763633</t>
        </is>
      </c>
      <c r="D23" s="7" t="inlineStr">
        <is>
          <t>IBANDRONATO DE SODIO 150MG CX 1 COMP REV</t>
        </is>
      </c>
      <c r="E23" s="13" t="n">
        <v>1</v>
      </c>
      <c r="F23" s="13" t="n">
        <v>1</v>
      </c>
      <c r="G23" s="13" t="n">
        <v>1</v>
      </c>
      <c r="H23" s="8" t="n">
        <v>24.46</v>
      </c>
      <c r="I23" s="8">
        <f>G23*H23</f>
        <v/>
      </c>
      <c r="J23" s="8">
        <f>H23/E23</f>
        <v/>
      </c>
      <c r="K23" s="8" t="n">
        <v>19.51</v>
      </c>
      <c r="L23" s="8" t="n">
        <v>19.51</v>
      </c>
      <c r="M23" s="14">
        <f>J23/K23-1</f>
        <v/>
      </c>
      <c r="N23" s="7" t="inlineStr">
        <is>
          <t>ACIMA +25.4%</t>
        </is>
      </c>
      <c r="O23" s="7" t="inlineStr"/>
    </row>
    <row r="24">
      <c r="A24" s="7" t="n">
        <v>297621</v>
      </c>
      <c r="B24" s="7" t="inlineStr">
        <is>
          <t>65870</t>
        </is>
      </c>
      <c r="C24" s="12" t="inlineStr">
        <is>
          <t>7896862960087</t>
        </is>
      </c>
      <c r="D24" s="7" t="inlineStr">
        <is>
          <t>IBUPROFENO 100MG/ML SUS OR FR GTS 20ML</t>
        </is>
      </c>
      <c r="E24" s="13" t="n">
        <v>1</v>
      </c>
      <c r="F24" s="13" t="n">
        <v>9</v>
      </c>
      <c r="G24" s="13" t="n">
        <v>9</v>
      </c>
      <c r="H24" s="8" t="n">
        <v>3.25</v>
      </c>
      <c r="I24" s="8">
        <f>G24*H24</f>
        <v/>
      </c>
      <c r="J24" s="8">
        <f>H24/E24</f>
        <v/>
      </c>
      <c r="K24" s="8" t="n">
        <v>2.64</v>
      </c>
      <c r="L24" s="8" t="n">
        <v>2.64</v>
      </c>
      <c r="M24" s="14">
        <f>J24/K24-1</f>
        <v/>
      </c>
      <c r="N24" s="7" t="inlineStr">
        <is>
          <t>ACIMA +23.1%</t>
        </is>
      </c>
      <c r="O24" s="7" t="inlineStr"/>
    </row>
    <row r="25">
      <c r="A25" s="7" t="n">
        <v>630321</v>
      </c>
      <c r="B25" s="7" t="inlineStr">
        <is>
          <t>179620</t>
        </is>
      </c>
      <c r="C25" s="12" t="inlineStr">
        <is>
          <t>7898687735918</t>
        </is>
      </c>
      <c r="D25" s="7" t="inlineStr">
        <is>
          <t>IROSE  NITAZOXANIDA 20MG/ML PO SUS OR FR 100ML+SER DOS</t>
        </is>
      </c>
      <c r="E25" s="13" t="n">
        <v>1</v>
      </c>
      <c r="F25" s="13" t="n">
        <v>11</v>
      </c>
      <c r="G25" s="13" t="n">
        <v>11</v>
      </c>
      <c r="H25" s="8" t="n">
        <v>15.11</v>
      </c>
      <c r="I25" s="8">
        <f>G25*H25</f>
        <v/>
      </c>
      <c r="J25" s="8">
        <f>H25/E25</f>
        <v/>
      </c>
      <c r="K25" s="8" t="n">
        <v>14.56</v>
      </c>
      <c r="L25" s="8" t="n">
        <v>14.56</v>
      </c>
      <c r="M25" s="14">
        <f>J25/K25-1</f>
        <v/>
      </c>
      <c r="N25" s="7" t="inlineStr">
        <is>
          <t>ACIMA +3.8%</t>
        </is>
      </c>
      <c r="O25" s="7" t="inlineStr"/>
    </row>
    <row r="26">
      <c r="A26" s="7" t="n">
        <v>305921</v>
      </c>
      <c r="B26" s="7" t="inlineStr">
        <is>
          <t>194093</t>
        </is>
      </c>
      <c r="C26" s="12" t="inlineStr">
        <is>
          <t>7895296043069</t>
        </is>
      </c>
      <c r="D26" s="7" t="inlineStr">
        <is>
          <t>ISOTRETINOINA 20MG CX 30 CAP</t>
        </is>
      </c>
      <c r="E26" s="13" t="n">
        <v>1</v>
      </c>
      <c r="F26" s="13" t="n">
        <v>1</v>
      </c>
      <c r="G26" s="13" t="n">
        <v>1</v>
      </c>
      <c r="H26" s="8" t="n">
        <v>36.39</v>
      </c>
      <c r="I26" s="8">
        <f>G26*H26</f>
        <v/>
      </c>
      <c r="J26" s="8">
        <f>H26/E26</f>
        <v/>
      </c>
      <c r="K26" s="8" t="n">
        <v>31.09</v>
      </c>
      <c r="L26" s="8" t="n">
        <v>31.09</v>
      </c>
      <c r="M26" s="14">
        <f>J26/K26-1</f>
        <v/>
      </c>
      <c r="N26" s="7" t="inlineStr">
        <is>
          <t>ACIMA +17.0%</t>
        </is>
      </c>
      <c r="O26" s="7" t="inlineStr"/>
    </row>
    <row r="27">
      <c r="A27" s="7" t="n">
        <v>336001</v>
      </c>
      <c r="B27" s="7" t="inlineStr">
        <is>
          <t>132721</t>
        </is>
      </c>
      <c r="C27" s="12" t="inlineStr">
        <is>
          <t>7898945030212</t>
        </is>
      </c>
      <c r="D27" s="7" t="inlineStr">
        <is>
          <t>MALEATO DE TRIMEBUTINA 200MG CX 30 COMP</t>
        </is>
      </c>
      <c r="E27" s="13" t="n">
        <v>1</v>
      </c>
      <c r="F27" s="13" t="n">
        <v>1</v>
      </c>
      <c r="G27" s="13" t="n">
        <v>1</v>
      </c>
      <c r="H27" s="8" t="n">
        <v>34.66</v>
      </c>
      <c r="I27" s="8">
        <f>G27*H27</f>
        <v/>
      </c>
      <c r="J27" s="8">
        <f>H27/E27</f>
        <v/>
      </c>
      <c r="K27" s="8" t="n">
        <v>33.8</v>
      </c>
      <c r="L27" s="8" t="n">
        <v>31.95</v>
      </c>
      <c r="M27" s="14">
        <f>J27/K27-1</f>
        <v/>
      </c>
      <c r="N27" s="7" t="inlineStr">
        <is>
          <t>ACIMA +2.5%</t>
        </is>
      </c>
      <c r="O27" s="7" t="inlineStr"/>
    </row>
    <row r="28">
      <c r="A28" s="7" t="n">
        <v>652061</v>
      </c>
      <c r="B28" s="7" t="inlineStr">
        <is>
          <t>184640</t>
        </is>
      </c>
      <c r="C28" s="12" t="inlineStr">
        <is>
          <t>7891317029951</t>
        </is>
      </c>
      <c r="D28" s="7" t="inlineStr">
        <is>
          <t>MAQ SENIOR PREMIUM 30CPR-DEMAIS PROD</t>
        </is>
      </c>
      <c r="E28" s="13" t="n">
        <v>1</v>
      </c>
      <c r="F28" s="13" t="n">
        <v>1</v>
      </c>
      <c r="G28" s="13" t="n">
        <v>1</v>
      </c>
      <c r="H28" s="8" t="n">
        <v>39.15</v>
      </c>
      <c r="I28" s="8">
        <f>G28*H28</f>
        <v/>
      </c>
      <c r="J28" s="8">
        <f>H28/E28</f>
        <v/>
      </c>
      <c r="K28" s="8" t="n">
        <v>40.97</v>
      </c>
      <c r="L28" s="8" t="n">
        <v>40.97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613381</v>
      </c>
      <c r="B29" s="7" t="inlineStr">
        <is>
          <t>190764</t>
        </is>
      </c>
      <c r="C29" s="12" t="inlineStr">
        <is>
          <t>7898687730487</t>
        </is>
      </c>
      <c r="D29" s="7" t="inlineStr">
        <is>
          <t>NITAZOXANIDA 20MG/ML PO SUS OR FR 100ML+SER DOS</t>
        </is>
      </c>
      <c r="E29" s="13" t="n">
        <v>1</v>
      </c>
      <c r="F29" s="13" t="n">
        <v>7</v>
      </c>
      <c r="G29" s="13" t="n">
        <v>7</v>
      </c>
      <c r="H29" s="8" t="n">
        <v>15.07</v>
      </c>
      <c r="I29" s="8">
        <f>G29*H29</f>
        <v/>
      </c>
      <c r="J29" s="8">
        <f>H29/E29</f>
        <v/>
      </c>
      <c r="K29" s="8" t="n">
        <v>12.23</v>
      </c>
      <c r="L29" s="8" t="n">
        <v>12.23</v>
      </c>
      <c r="M29" s="14">
        <f>J29/K29-1</f>
        <v/>
      </c>
      <c r="N29" s="7" t="inlineStr">
        <is>
          <t>ACIMA +23.2%</t>
        </is>
      </c>
      <c r="O29" s="7" t="inlineStr"/>
    </row>
    <row r="30">
      <c r="A30" s="7" t="n">
        <v>610201</v>
      </c>
      <c r="B30" s="7" t="inlineStr">
        <is>
          <t>190721</t>
        </is>
      </c>
      <c r="C30" s="12" t="inlineStr">
        <is>
          <t>7898687730470</t>
        </is>
      </c>
      <c r="D30" s="7" t="inlineStr">
        <is>
          <t>NITAZOXANIDA 20MG/ML PO SUS OR FR 45ML+SER DOS</t>
        </is>
      </c>
      <c r="E30" s="13" t="n">
        <v>1</v>
      </c>
      <c r="F30" s="13" t="n">
        <v>11</v>
      </c>
      <c r="G30" s="13" t="n">
        <v>11</v>
      </c>
      <c r="H30" s="8" t="n">
        <v>7.68</v>
      </c>
      <c r="I30" s="8">
        <f>G30*H30</f>
        <v/>
      </c>
      <c r="J30" s="8">
        <f>H30/E30</f>
        <v/>
      </c>
      <c r="K30" s="8" t="n">
        <v>6.62</v>
      </c>
      <c r="L30" s="8" t="n">
        <v>6.62</v>
      </c>
      <c r="M30" s="14">
        <f>J30/K30-1</f>
        <v/>
      </c>
      <c r="N30" s="7" t="inlineStr">
        <is>
          <t>ACIMA +16.0%</t>
        </is>
      </c>
      <c r="O30" s="7" t="inlineStr"/>
    </row>
    <row r="31">
      <c r="A31" s="7" t="n">
        <v>363861</v>
      </c>
      <c r="B31" s="7" t="inlineStr">
        <is>
          <t>82406</t>
        </is>
      </c>
      <c r="C31" s="12" t="inlineStr">
        <is>
          <t>7898569764517</t>
        </is>
      </c>
      <c r="D31" s="7" t="inlineStr">
        <is>
          <t>NITAZOXANIDA 500MG CX 6 COMP REV</t>
        </is>
      </c>
      <c r="E31" s="13" t="n">
        <v>1</v>
      </c>
      <c r="F31" s="13" t="n">
        <v>5</v>
      </c>
      <c r="G31" s="13" t="n">
        <v>5</v>
      </c>
      <c r="H31" s="8" t="n">
        <v>14.8</v>
      </c>
      <c r="I31" s="8">
        <f>G31*H31</f>
        <v/>
      </c>
      <c r="J31" s="8">
        <f>H31/E31</f>
        <v/>
      </c>
      <c r="K31" s="8" t="n">
        <v>12.98</v>
      </c>
      <c r="L31" s="8" t="n">
        <v>12.98</v>
      </c>
      <c r="M31" s="14">
        <f>J31/K31-1</f>
        <v/>
      </c>
      <c r="N31" s="7" t="inlineStr">
        <is>
          <t>ACIMA +14.0%</t>
        </is>
      </c>
      <c r="O31" s="7" t="inlineStr"/>
    </row>
    <row r="32">
      <c r="A32" s="7" t="n">
        <v>375941</v>
      </c>
      <c r="B32" s="7" t="inlineStr">
        <is>
          <t>143162</t>
        </is>
      </c>
      <c r="C32" s="12" t="inlineStr">
        <is>
          <t>7898569763015</t>
        </is>
      </c>
      <c r="D32" s="7" t="inlineStr">
        <is>
          <t>OLMESARTANA MEDOXOMILA 20MG CX 30 COMP REV</t>
        </is>
      </c>
      <c r="E32" s="13" t="n">
        <v>1</v>
      </c>
      <c r="F32" s="13" t="n">
        <v>3</v>
      </c>
      <c r="G32" s="13" t="n">
        <v>3</v>
      </c>
      <c r="H32" s="8" t="n">
        <v>14.13</v>
      </c>
      <c r="I32" s="8">
        <f>G32*H32</f>
        <v/>
      </c>
      <c r="J32" s="8">
        <f>H32/E32</f>
        <v/>
      </c>
      <c r="K32" s="8" t="n">
        <v>11.77</v>
      </c>
      <c r="L32" s="8" t="n">
        <v>9.99</v>
      </c>
      <c r="M32" s="14">
        <f>J32/K32-1</f>
        <v/>
      </c>
      <c r="N32" s="7" t="inlineStr">
        <is>
          <t>ACIMA +20.1%</t>
        </is>
      </c>
      <c r="O32" s="7" t="inlineStr"/>
    </row>
    <row r="33">
      <c r="A33" s="7" t="n">
        <v>376061</v>
      </c>
      <c r="B33" s="7" t="inlineStr">
        <is>
          <t>131890</t>
        </is>
      </c>
      <c r="C33" s="12" t="inlineStr">
        <is>
          <t>7898569763077</t>
        </is>
      </c>
      <c r="D33" s="7" t="inlineStr">
        <is>
          <t>OLMESARTANA MEDOXOMILA 40MG CX 30 COMP REV</t>
        </is>
      </c>
      <c r="E33" s="13" t="n">
        <v>1</v>
      </c>
      <c r="F33" s="13" t="n">
        <v>13</v>
      </c>
      <c r="G33" s="13" t="n">
        <v>13</v>
      </c>
      <c r="H33" s="8" t="n">
        <v>20.61</v>
      </c>
      <c r="I33" s="8">
        <f>G33*H33</f>
        <v/>
      </c>
      <c r="J33" s="8">
        <f>H33/E33</f>
        <v/>
      </c>
      <c r="K33" s="8" t="n">
        <v>17.13</v>
      </c>
      <c r="L33" s="8" t="n">
        <v>14.57</v>
      </c>
      <c r="M33" s="14">
        <f>J33/K33-1</f>
        <v/>
      </c>
      <c r="N33" s="7" t="inlineStr">
        <is>
          <t>ACIMA +20.3%</t>
        </is>
      </c>
      <c r="O33" s="7" t="inlineStr"/>
    </row>
    <row r="34">
      <c r="A34" s="7" t="n">
        <v>388861</v>
      </c>
      <c r="B34" s="7" t="inlineStr">
        <is>
          <t>193720</t>
        </is>
      </c>
      <c r="C34" s="12" t="inlineStr">
        <is>
          <t>7895296199025</t>
        </is>
      </c>
      <c r="D34" s="7" t="inlineStr">
        <is>
          <t>PANTOPRAZOL 20MG CX 4BL X 7 COMP REV</t>
        </is>
      </c>
      <c r="E34" s="13" t="n">
        <v>1</v>
      </c>
      <c r="F34" s="13" t="n">
        <v>1</v>
      </c>
      <c r="G34" s="13" t="n">
        <v>1</v>
      </c>
      <c r="H34" s="8" t="n">
        <v>4.69</v>
      </c>
      <c r="I34" s="8">
        <f>G34*H34</f>
        <v/>
      </c>
      <c r="J34" s="8">
        <f>H34/E34</f>
        <v/>
      </c>
      <c r="K34" s="8" t="n">
        <v>6.5</v>
      </c>
      <c r="L34" s="8" t="n">
        <v>6.38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493261</v>
      </c>
      <c r="B35" s="7" t="inlineStr">
        <is>
          <t>122173</t>
        </is>
      </c>
      <c r="C35" s="12" t="inlineStr">
        <is>
          <t>7896862923273</t>
        </is>
      </c>
      <c r="D35" s="7" t="inlineStr">
        <is>
          <t>PANTOPRAZOL SODICO SESQUI-HIDRATADO 40MG CX 30 COMP REV</t>
        </is>
      </c>
      <c r="E35" s="13" t="n">
        <v>1</v>
      </c>
      <c r="F35" s="13" t="n">
        <v>10</v>
      </c>
      <c r="G35" s="13" t="n">
        <v>10</v>
      </c>
      <c r="H35" s="8" t="n">
        <v>5.05</v>
      </c>
      <c r="I35" s="8">
        <f>G35*H35</f>
        <v/>
      </c>
      <c r="J35" s="8">
        <f>H35/E35</f>
        <v/>
      </c>
      <c r="K35" s="8" t="n">
        <v>3.99</v>
      </c>
      <c r="L35" s="8" t="n">
        <v>3.99</v>
      </c>
      <c r="M35" s="14">
        <f>J35/K35-1</f>
        <v/>
      </c>
      <c r="N35" s="7" t="inlineStr">
        <is>
          <t>ACIMA +26.6%</t>
        </is>
      </c>
      <c r="O35" s="7" t="inlineStr"/>
    </row>
    <row r="36">
      <c r="A36" s="7" t="n">
        <v>408041</v>
      </c>
      <c r="B36" s="7" t="inlineStr">
        <is>
          <t>136808</t>
        </is>
      </c>
      <c r="C36" s="12" t="inlineStr">
        <is>
          <t>7898569765514</t>
        </is>
      </c>
      <c r="D36" s="7" t="inlineStr">
        <is>
          <t>PREDNISOLONA 40MG CX 7 COMP</t>
        </is>
      </c>
      <c r="E36" s="13" t="n">
        <v>1</v>
      </c>
      <c r="F36" s="13" t="n">
        <v>6</v>
      </c>
      <c r="G36" s="13" t="n">
        <v>6</v>
      </c>
      <c r="H36" s="8" t="n">
        <v>10.51</v>
      </c>
      <c r="I36" s="8">
        <f>G36*H36</f>
        <v/>
      </c>
      <c r="J36" s="8">
        <f>H36/E36</f>
        <v/>
      </c>
      <c r="K36" s="8" t="n">
        <v>9.75</v>
      </c>
      <c r="L36" s="8" t="n">
        <v>9.75</v>
      </c>
      <c r="M36" s="14">
        <f>J36/K36-1</f>
        <v/>
      </c>
      <c r="N36" s="7" t="inlineStr">
        <is>
          <t>ACIMA +7.8%</t>
        </is>
      </c>
      <c r="O36" s="7" t="inlineStr"/>
    </row>
    <row r="37">
      <c r="A37" s="7" t="n">
        <v>407821</v>
      </c>
      <c r="B37" s="7" t="inlineStr">
        <is>
          <t>190837</t>
        </is>
      </c>
      <c r="C37" s="12" t="inlineStr">
        <is>
          <t>7898569765347</t>
        </is>
      </c>
      <c r="D37" s="7" t="inlineStr">
        <is>
          <t>PREDNISOLONA 5MG CX 10 COMP</t>
        </is>
      </c>
      <c r="E37" s="13" t="n">
        <v>1</v>
      </c>
      <c r="F37" s="13" t="n">
        <v>3</v>
      </c>
      <c r="G37" s="13" t="n">
        <v>3</v>
      </c>
      <c r="H37" s="8" t="n">
        <v>4.22</v>
      </c>
      <c r="I37" s="8">
        <f>G37*H37</f>
        <v/>
      </c>
      <c r="J37" s="8">
        <f>H37/E37</f>
        <v/>
      </c>
      <c r="K37" s="8" t="n">
        <v>4.32</v>
      </c>
      <c r="L37" s="8" t="n">
        <v>4.32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409221</v>
      </c>
      <c r="B38" s="7" t="inlineStr">
        <is>
          <t>193518</t>
        </is>
      </c>
      <c r="C38" s="12" t="inlineStr">
        <is>
          <t>7895296286022</t>
        </is>
      </c>
      <c r="D38" s="7" t="inlineStr">
        <is>
          <t>PREDNISONA 5MG CX 20 COMP</t>
        </is>
      </c>
      <c r="E38" s="13" t="n">
        <v>1</v>
      </c>
      <c r="F38" s="13" t="n">
        <v>2</v>
      </c>
      <c r="G38" s="13" t="n">
        <v>2</v>
      </c>
      <c r="H38" s="8" t="n">
        <v>4.49</v>
      </c>
      <c r="I38" s="8">
        <f>G38*H38</f>
        <v/>
      </c>
      <c r="J38" s="8">
        <f>H38/E38</f>
        <v/>
      </c>
      <c r="K38" s="8" t="n">
        <v>4.28</v>
      </c>
      <c r="L38" s="8" t="n">
        <v>4.28</v>
      </c>
      <c r="M38" s="14">
        <f>J38/K38-1</f>
        <v/>
      </c>
      <c r="N38" s="7" t="inlineStr">
        <is>
          <t>ACIMA +4.9%</t>
        </is>
      </c>
      <c r="O38" s="7" t="inlineStr"/>
    </row>
    <row r="39">
      <c r="A39" s="7" t="n">
        <v>569121</v>
      </c>
      <c r="B39" s="7" t="inlineStr">
        <is>
          <t>91472</t>
        </is>
      </c>
      <c r="C39" s="12" t="inlineStr">
        <is>
          <t>7896007200504</t>
        </is>
      </c>
      <c r="D39" s="7" t="inlineStr">
        <is>
          <t>PRESERV BLOWTEX ELITE C/3UN (BLO)</t>
        </is>
      </c>
      <c r="E39" s="13" t="n">
        <v>1</v>
      </c>
      <c r="F39" s="13" t="n">
        <v>5</v>
      </c>
      <c r="G39" s="13" t="n">
        <v>5</v>
      </c>
      <c r="H39" s="8" t="n">
        <v>1.45</v>
      </c>
      <c r="I39" s="8">
        <f>G39*H39</f>
        <v/>
      </c>
      <c r="J39" s="8">
        <f>H39/E39</f>
        <v/>
      </c>
      <c r="K39" s="8" t="n">
        <v>1.29</v>
      </c>
      <c r="L39" s="8" t="n">
        <v>1.18</v>
      </c>
      <c r="M39" s="14">
        <f>J39/K39-1</f>
        <v/>
      </c>
      <c r="N39" s="7" t="inlineStr">
        <is>
          <t>ACIMA +12.4%</t>
        </is>
      </c>
      <c r="O39" s="7" t="inlineStr"/>
    </row>
    <row r="40">
      <c r="A40" s="7" t="n">
        <v>641761</v>
      </c>
      <c r="B40" s="7" t="inlineStr">
        <is>
          <t>106186</t>
        </is>
      </c>
      <c r="C40" s="12" t="inlineStr">
        <is>
          <t>7896007202003</t>
        </is>
      </c>
      <c r="D40" s="7" t="inlineStr">
        <is>
          <t>PRESERV BLOWTEX LUBRIFICADO L9P6</t>
        </is>
      </c>
      <c r="E40" s="13" t="n">
        <v>1</v>
      </c>
      <c r="F40" s="13" t="n">
        <v>3</v>
      </c>
      <c r="G40" s="13" t="n">
        <v>3</v>
      </c>
      <c r="H40" s="8" t="n">
        <v>9.09</v>
      </c>
      <c r="I40" s="8">
        <f>G40*H40</f>
        <v/>
      </c>
      <c r="J40" s="8">
        <f>H40/E40</f>
        <v/>
      </c>
      <c r="K40" s="8" t="n">
        <v>8.26</v>
      </c>
      <c r="L40" s="8" t="n">
        <v>7.23</v>
      </c>
      <c r="M40" s="14">
        <f>J40/K40-1</f>
        <v/>
      </c>
      <c r="N40" s="7" t="inlineStr">
        <is>
          <t>ACIMA +10.0%</t>
        </is>
      </c>
      <c r="O40" s="7" t="inlineStr"/>
    </row>
    <row r="41">
      <c r="A41" s="7" t="n">
        <v>579341</v>
      </c>
      <c r="B41" s="7" t="inlineStr">
        <is>
          <t>91456</t>
        </is>
      </c>
      <c r="C41" s="12" t="inlineStr">
        <is>
          <t>7896007200344</t>
        </is>
      </c>
      <c r="D41" s="7" t="inlineStr">
        <is>
          <t>PRESERV BLOWTEX MENTA C/3UN (BLO)</t>
        </is>
      </c>
      <c r="E41" s="13" t="n">
        <v>1</v>
      </c>
      <c r="F41" s="13" t="n">
        <v>2</v>
      </c>
      <c r="G41" s="13" t="n">
        <v>2</v>
      </c>
      <c r="H41" s="8" t="n">
        <v>5.29</v>
      </c>
      <c r="I41" s="8">
        <f>G41*H41</f>
        <v/>
      </c>
      <c r="J41" s="8">
        <f>H41/E41</f>
        <v/>
      </c>
      <c r="K41" s="8" t="n">
        <v>4.33</v>
      </c>
      <c r="L41" s="8" t="n">
        <v>4.33</v>
      </c>
      <c r="M41" s="14">
        <f>J41/K41-1</f>
        <v/>
      </c>
      <c r="N41" s="7" t="inlineStr">
        <is>
          <t>ACIMA +22.2%</t>
        </is>
      </c>
      <c r="O41" s="7" t="inlineStr"/>
    </row>
    <row r="42">
      <c r="A42" s="7" t="n">
        <v>643211</v>
      </c>
      <c r="B42" s="7" t="inlineStr">
        <is>
          <t>183423</t>
        </is>
      </c>
      <c r="C42" s="12" t="inlineStr">
        <is>
          <t>7896007202348</t>
        </is>
      </c>
      <c r="D42" s="7" t="inlineStr">
        <is>
          <t>PRESERV BLOWTEX MENTA L9P6</t>
        </is>
      </c>
      <c r="E42" s="13" t="n">
        <v>1</v>
      </c>
      <c r="F42" s="13" t="n">
        <v>2</v>
      </c>
      <c r="G42" s="13" t="n">
        <v>2</v>
      </c>
      <c r="H42" s="8" t="n">
        <v>10.05</v>
      </c>
      <c r="I42" s="8">
        <f>G42*H42</f>
        <v/>
      </c>
      <c r="J42" s="8">
        <f>H42/E42</f>
        <v/>
      </c>
      <c r="K42" s="8" t="n">
        <v>7.72</v>
      </c>
      <c r="L42" s="8" t="n">
        <v>7.72</v>
      </c>
      <c r="M42" s="14">
        <f>J42/K42-1</f>
        <v/>
      </c>
      <c r="N42" s="7" t="inlineStr">
        <is>
          <t>ACIMA +30.2%</t>
        </is>
      </c>
      <c r="O42" s="7" t="inlineStr"/>
    </row>
    <row r="43">
      <c r="A43" s="7" t="n">
        <v>632781</v>
      </c>
      <c r="B43" s="7" t="inlineStr">
        <is>
          <t>124079</t>
        </is>
      </c>
      <c r="C43" s="12" t="inlineStr">
        <is>
          <t>7896007202720</t>
        </is>
      </c>
      <c r="D43" s="7" t="inlineStr">
        <is>
          <t>PRESERV BLOWTEX SENS EXTRA FINO 3UN</t>
        </is>
      </c>
      <c r="E43" s="13" t="n">
        <v>1</v>
      </c>
      <c r="F43" s="13" t="n">
        <v>3</v>
      </c>
      <c r="G43" s="13" t="n">
        <v>3</v>
      </c>
      <c r="H43" s="8" t="n">
        <v>8.75</v>
      </c>
      <c r="I43" s="8">
        <f>G43*H43</f>
        <v/>
      </c>
      <c r="J43" s="8">
        <f>H43/E43</f>
        <v/>
      </c>
      <c r="K43" s="8" t="n">
        <v>7.79</v>
      </c>
      <c r="L43" s="8" t="n">
        <v>7.16</v>
      </c>
      <c r="M43" s="14">
        <f>J43/K43-1</f>
        <v/>
      </c>
      <c r="N43" s="7" t="inlineStr">
        <is>
          <t>ACIMA +12.3%</t>
        </is>
      </c>
      <c r="O43" s="7" t="inlineStr"/>
    </row>
    <row r="44">
      <c r="A44" s="7" t="n">
        <v>579381</v>
      </c>
      <c r="B44" s="7" t="inlineStr">
        <is>
          <t>92096</t>
        </is>
      </c>
      <c r="C44" s="12" t="inlineStr">
        <is>
          <t>7896007201358</t>
        </is>
      </c>
      <c r="D44" s="7" t="inlineStr">
        <is>
          <t>PRESERV BLOWTEX SKYN ELITE C/3UN</t>
        </is>
      </c>
      <c r="E44" s="13" t="n">
        <v>1</v>
      </c>
      <c r="F44" s="13" t="n">
        <v>2</v>
      </c>
      <c r="G44" s="13" t="n">
        <v>2</v>
      </c>
      <c r="H44" s="8" t="n">
        <v>12.49</v>
      </c>
      <c r="I44" s="8">
        <f>G44*H44</f>
        <v/>
      </c>
      <c r="J44" s="8">
        <f>H44/E44</f>
        <v/>
      </c>
      <c r="K44" s="8" t="n">
        <v>8.91</v>
      </c>
      <c r="L44" s="8" t="n">
        <v>8.91</v>
      </c>
      <c r="M44" s="14">
        <f>J44/K44-1</f>
        <v/>
      </c>
      <c r="N44" s="7" t="inlineStr">
        <is>
          <t>ACIMA +40.2%</t>
        </is>
      </c>
      <c r="O44" s="7" t="inlineStr"/>
    </row>
    <row r="45">
      <c r="A45" s="7" t="n">
        <v>641781</v>
      </c>
      <c r="B45" s="7" t="inlineStr">
        <is>
          <t>90247</t>
        </is>
      </c>
      <c r="C45" s="12" t="inlineStr">
        <is>
          <t>7896007201297</t>
        </is>
      </c>
      <c r="D45" s="7" t="inlineStr">
        <is>
          <t>PRESERV BLOWTEX SKYN TEXTURIZADO 3UN</t>
        </is>
      </c>
      <c r="E45" s="13" t="n">
        <v>1</v>
      </c>
      <c r="F45" s="13" t="n">
        <v>4</v>
      </c>
      <c r="G45" s="13" t="n">
        <v>4</v>
      </c>
      <c r="H45" s="8" t="n">
        <v>12.49</v>
      </c>
      <c r="I45" s="8">
        <f>G45*H45</f>
        <v/>
      </c>
      <c r="J45" s="8">
        <f>H45/E45</f>
        <v/>
      </c>
      <c r="K45" s="8" t="n">
        <v>11.39</v>
      </c>
      <c r="L45" s="8" t="n">
        <v>10.69</v>
      </c>
      <c r="M45" s="14">
        <f>J45/K45-1</f>
        <v/>
      </c>
      <c r="N45" s="7" t="inlineStr">
        <is>
          <t>ACIMA +9.7%</t>
        </is>
      </c>
      <c r="O45" s="7" t="inlineStr"/>
    </row>
    <row r="46">
      <c r="A46" s="7" t="n">
        <v>579321</v>
      </c>
      <c r="B46" s="7" t="inlineStr">
        <is>
          <t>91464</t>
        </is>
      </c>
      <c r="C46" s="12" t="inlineStr">
        <is>
          <t>7896007200368</t>
        </is>
      </c>
      <c r="D46" s="7" t="inlineStr">
        <is>
          <t>PRESERV BLOWTEX TUTTI-FRUTTI C/3UN (BLO)</t>
        </is>
      </c>
      <c r="E46" s="13" t="n">
        <v>1</v>
      </c>
      <c r="F46" s="13" t="n">
        <v>3</v>
      </c>
      <c r="G46" s="13" t="n">
        <v>3</v>
      </c>
      <c r="H46" s="8" t="n">
        <v>5.29</v>
      </c>
      <c r="I46" s="8">
        <f>G46*H46</f>
        <v/>
      </c>
      <c r="J46" s="8">
        <f>H46/E46</f>
        <v/>
      </c>
      <c r="K46" s="8" t="n">
        <v>4.288</v>
      </c>
      <c r="L46" s="8" t="n">
        <v>4.288</v>
      </c>
      <c r="M46" s="14">
        <f>J46/K46-1</f>
        <v/>
      </c>
      <c r="N46" s="7" t="inlineStr">
        <is>
          <t>ACIMA +23.4%</t>
        </is>
      </c>
      <c r="O46" s="7" t="inlineStr"/>
    </row>
    <row r="47">
      <c r="A47" s="7" t="n">
        <v>585221</v>
      </c>
      <c r="B47" s="7" t="inlineStr">
        <is>
          <t>90255</t>
        </is>
      </c>
      <c r="C47" s="12" t="inlineStr">
        <is>
          <t>7896007200313</t>
        </is>
      </c>
      <c r="D47" s="7" t="inlineStr">
        <is>
          <t>PRESERV. BLOWTEX LUB.12X3</t>
        </is>
      </c>
      <c r="E47" s="13" t="n">
        <v>1</v>
      </c>
      <c r="F47" s="13" t="n">
        <v>4</v>
      </c>
      <c r="G47" s="13" t="n">
        <v>4</v>
      </c>
      <c r="H47" s="8" t="n">
        <v>4.35</v>
      </c>
      <c r="I47" s="8">
        <f>G47*H47</f>
        <v/>
      </c>
      <c r="J47" s="8">
        <f>H47/E47</f>
        <v/>
      </c>
      <c r="K47" s="8" t="n">
        <v>4.02</v>
      </c>
      <c r="L47" s="8" t="n">
        <v>3.99</v>
      </c>
      <c r="M47" s="14">
        <f>J47/K47-1</f>
        <v/>
      </c>
      <c r="N47" s="7" t="inlineStr">
        <is>
          <t>ACIMA +8.2%</t>
        </is>
      </c>
      <c r="O47" s="7" t="inlineStr"/>
    </row>
    <row r="48">
      <c r="A48" s="7" t="n">
        <v>414621</v>
      </c>
      <c r="B48" s="7" t="inlineStr">
        <is>
          <t>193470</t>
        </is>
      </c>
      <c r="C48" s="12" t="inlineStr">
        <is>
          <t>7895296210324</t>
        </is>
      </c>
      <c r="D48" s="7" t="inlineStr">
        <is>
          <t>PROPIONATO DE CLOBETASOL 0,5MG/G CREME DERM BG 30G</t>
        </is>
      </c>
      <c r="E48" s="13" t="n">
        <v>1</v>
      </c>
      <c r="F48" s="13" t="n">
        <v>7</v>
      </c>
      <c r="G48" s="13" t="n">
        <v>7</v>
      </c>
      <c r="H48" s="8" t="n">
        <v>6.85</v>
      </c>
      <c r="I48" s="8">
        <f>G48*H48</f>
        <v/>
      </c>
      <c r="J48" s="8">
        <f>H48/E48</f>
        <v/>
      </c>
      <c r="K48" s="8" t="n">
        <v>6.19</v>
      </c>
      <c r="L48" s="8" t="n">
        <v>6.19</v>
      </c>
      <c r="M48" s="14">
        <f>J48/K48-1</f>
        <v/>
      </c>
      <c r="N48" s="7" t="inlineStr">
        <is>
          <t>ACIMA +10.7%</t>
        </is>
      </c>
      <c r="O48" s="7" t="inlineStr"/>
    </row>
    <row r="49">
      <c r="A49" s="7" t="n">
        <v>428321</v>
      </c>
      <c r="B49" s="7" t="inlineStr">
        <is>
          <t>138550</t>
        </is>
      </c>
      <c r="C49" s="12" t="inlineStr">
        <is>
          <t>7895296096034</t>
        </is>
      </c>
      <c r="D49" s="7" t="inlineStr">
        <is>
          <t>PVV - ROSUVASTATINA CALCICA 10MG CX 30 COMP REV</t>
        </is>
      </c>
      <c r="E49" s="13" t="n">
        <v>1</v>
      </c>
      <c r="F49" s="13" t="n">
        <v>3</v>
      </c>
      <c r="G49" s="13" t="n">
        <v>3</v>
      </c>
      <c r="H49" s="8" t="n">
        <v>6.79</v>
      </c>
      <c r="I49" s="8">
        <f>G49*H49</f>
        <v/>
      </c>
      <c r="J49" s="8">
        <f>H49/E49</f>
        <v/>
      </c>
      <c r="K49" s="8" t="n">
        <v>7.9862</v>
      </c>
      <c r="L49" s="8" t="n">
        <v>7.9862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428101</v>
      </c>
      <c r="B50" s="7" t="inlineStr">
        <is>
          <t>190616</t>
        </is>
      </c>
      <c r="C50" s="12" t="inlineStr">
        <is>
          <t>7898569760458</t>
        </is>
      </c>
      <c r="D50" s="7" t="inlineStr">
        <is>
          <t>ROSUVASTATINA CALCICA 10MG CX 30 COMP REV</t>
        </is>
      </c>
      <c r="E50" s="13" t="n">
        <v>1</v>
      </c>
      <c r="F50" s="13" t="n">
        <v>1</v>
      </c>
      <c r="G50" s="13" t="n">
        <v>1</v>
      </c>
      <c r="H50" s="8" t="n">
        <v>7.14</v>
      </c>
      <c r="I50" s="8">
        <f>G50*H50</f>
        <v/>
      </c>
      <c r="J50" s="8">
        <f>H50/E50</f>
        <v/>
      </c>
      <c r="K50" s="8" t="n">
        <v>3.89</v>
      </c>
      <c r="L50" s="8" t="n">
        <v>3.89</v>
      </c>
      <c r="M50" s="14">
        <f>J50/K50-1</f>
        <v/>
      </c>
      <c r="N50" s="7" t="inlineStr">
        <is>
          <t>ACIMA +83.5%</t>
        </is>
      </c>
      <c r="O50" s="7" t="inlineStr"/>
    </row>
    <row r="51">
      <c r="A51" s="7" t="n">
        <v>428181</v>
      </c>
      <c r="B51" s="7" t="inlineStr">
        <is>
          <t>190535</t>
        </is>
      </c>
      <c r="C51" s="12" t="inlineStr">
        <is>
          <t>7898569760496</t>
        </is>
      </c>
      <c r="D51" s="7" t="inlineStr">
        <is>
          <t>ROSUVASTATINA CALCICA 20MG CX 30 COMP REV</t>
        </is>
      </c>
      <c r="E51" s="13" t="n">
        <v>1</v>
      </c>
      <c r="F51" s="13" t="n">
        <v>5</v>
      </c>
      <c r="G51" s="13" t="n">
        <v>5</v>
      </c>
      <c r="H51" s="8" t="n">
        <v>13.84</v>
      </c>
      <c r="I51" s="8">
        <f>G51*H51</f>
        <v/>
      </c>
      <c r="J51" s="8">
        <f>H51/E51</f>
        <v/>
      </c>
      <c r="K51" s="8" t="n">
        <v>6.83</v>
      </c>
      <c r="L51" s="8" t="n">
        <v>6.83</v>
      </c>
      <c r="M51" s="14">
        <f>J51/K51-1</f>
        <v/>
      </c>
      <c r="N51" s="7" t="inlineStr">
        <is>
          <t>ACIMA +102.6%</t>
        </is>
      </c>
      <c r="O51" s="7" t="inlineStr">
        <is>
          <t>conferir emb.</t>
        </is>
      </c>
    </row>
    <row r="52">
      <c r="A52" s="7" t="n">
        <v>630531</v>
      </c>
      <c r="B52" s="7" t="inlineStr">
        <is>
          <t>200441</t>
        </is>
      </c>
      <c r="C52" s="12" t="inlineStr">
        <is>
          <t>7892643940019</t>
        </is>
      </c>
      <c r="D52" s="7" t="inlineStr">
        <is>
          <t>SORO FISIOLOGICO 0,9% 500ML - SANDOM</t>
        </is>
      </c>
      <c r="E52" s="13" t="n">
        <v>1</v>
      </c>
      <c r="F52" s="13" t="n">
        <v>183</v>
      </c>
      <c r="G52" s="13" t="n">
        <v>183</v>
      </c>
      <c r="H52" s="8" t="n">
        <v>4.99</v>
      </c>
      <c r="I52" s="8">
        <f>G52*H52</f>
        <v/>
      </c>
      <c r="J52" s="8">
        <f>H52/E52</f>
        <v/>
      </c>
      <c r="K52" s="8" t="n">
        <v>3.89</v>
      </c>
      <c r="L52" s="8" t="n">
        <v>3.89</v>
      </c>
      <c r="M52" s="14">
        <f>J52/K52-1</f>
        <v/>
      </c>
      <c r="N52" s="7" t="inlineStr">
        <is>
          <t>ACIMA +28.3%</t>
        </is>
      </c>
      <c r="O52" s="7" t="inlineStr"/>
    </row>
    <row r="53">
      <c r="A53" s="7" t="n">
        <v>457261</v>
      </c>
      <c r="B53" s="7" t="inlineStr">
        <is>
          <t>193143</t>
        </is>
      </c>
      <c r="C53" s="12" t="inlineStr">
        <is>
          <t>7895296240031</t>
        </is>
      </c>
      <c r="D53" s="7" t="inlineStr">
        <is>
          <t>TADALAFILA 5MG CX 2BL X 15 COMP REV</t>
        </is>
      </c>
      <c r="E53" s="13" t="n">
        <v>1</v>
      </c>
      <c r="F53" s="13" t="n">
        <v>2</v>
      </c>
      <c r="G53" s="13" t="n">
        <v>2</v>
      </c>
      <c r="H53" s="8" t="n">
        <v>3.69</v>
      </c>
      <c r="I53" s="8">
        <f>G53*H53</f>
        <v/>
      </c>
      <c r="J53" s="8">
        <f>H53/E53</f>
        <v/>
      </c>
      <c r="K53" s="8" t="n">
        <v>3.74</v>
      </c>
      <c r="L53" s="8" t="n">
        <v>3.74</v>
      </c>
      <c r="M53" s="14">
        <f>J53/K53-1</f>
        <v/>
      </c>
      <c r="N53" s="7" t="inlineStr">
        <is>
          <t>OK (≤ menor hist.)</t>
        </is>
      </c>
      <c r="O53" s="7" t="inlineStr"/>
    </row>
    <row r="54">
      <c r="A54" s="7" t="n">
        <v>460261</v>
      </c>
      <c r="B54" s="7" t="inlineStr">
        <is>
          <t>161691</t>
        </is>
      </c>
      <c r="C54" s="12" t="inlineStr">
        <is>
          <t>7898569762858</t>
        </is>
      </c>
      <c r="D54" s="7" t="inlineStr">
        <is>
          <t>TELMISARTANA 80MG CX 30 COMP</t>
        </is>
      </c>
      <c r="E54" s="13" t="n">
        <v>1</v>
      </c>
      <c r="F54" s="13" t="n">
        <v>1</v>
      </c>
      <c r="G54" s="13" t="n">
        <v>1</v>
      </c>
      <c r="H54" s="8" t="n">
        <v>48.63</v>
      </c>
      <c r="I54" s="8">
        <f>G54*H54</f>
        <v/>
      </c>
      <c r="J54" s="8">
        <f>H54/E54</f>
        <v/>
      </c>
      <c r="K54" s="8" t="n">
        <v>41.255</v>
      </c>
      <c r="L54" s="8" t="n">
        <v>41.255</v>
      </c>
      <c r="M54" s="14">
        <f>J54/K54-1</f>
        <v/>
      </c>
      <c r="N54" s="7" t="inlineStr">
        <is>
          <t>ACIMA +17.9%</t>
        </is>
      </c>
      <c r="O54" s="7" t="inlineStr"/>
    </row>
    <row r="55">
      <c r="A55" s="7" t="n">
        <v>462441</v>
      </c>
      <c r="B55" s="7" t="inlineStr">
        <is>
          <t>193135</t>
        </is>
      </c>
      <c r="C55" s="12" t="inlineStr">
        <is>
          <t>7895296132039</t>
        </is>
      </c>
      <c r="D55" s="7" t="inlineStr">
        <is>
          <t>TIBOLONA 2,5MG  CX 30 COMP</t>
        </is>
      </c>
      <c r="E55" s="13" t="n">
        <v>1</v>
      </c>
      <c r="F55" s="13" t="n">
        <v>3</v>
      </c>
      <c r="G55" s="13" t="n">
        <v>3</v>
      </c>
      <c r="H55" s="8" t="n">
        <v>24.85</v>
      </c>
      <c r="I55" s="8">
        <f>G55*H55</f>
        <v/>
      </c>
      <c r="J55" s="8">
        <f>H55/E55</f>
        <v/>
      </c>
      <c r="K55" s="8" t="n">
        <v>25.2</v>
      </c>
      <c r="L55" s="8" t="n">
        <v>24.21</v>
      </c>
      <c r="M55" s="14">
        <f>J55/K55-1</f>
        <v/>
      </c>
      <c r="N55" s="7" t="inlineStr">
        <is>
          <t>OK (≤ últ. compra)</t>
        </is>
      </c>
      <c r="O55" s="7" t="inlineStr"/>
    </row>
    <row r="56">
      <c r="A56" s="7" t="n">
        <v>648221</v>
      </c>
      <c r="B56" s="7" t="inlineStr">
        <is>
          <t>204820</t>
        </is>
      </c>
      <c r="C56" s="12" t="inlineStr">
        <is>
          <t>6939184632407</t>
        </is>
      </c>
      <c r="D56" s="7" t="inlineStr">
        <is>
          <t>TIRA DE TESTE DE GLICOSE C/50 UND</t>
        </is>
      </c>
      <c r="E56" s="13" t="n">
        <v>1</v>
      </c>
      <c r="F56" s="13" t="n">
        <v>2</v>
      </c>
      <c r="G56" s="13" t="n">
        <v>2</v>
      </c>
      <c r="H56" s="8" t="n">
        <v>29.9</v>
      </c>
      <c r="I56" s="8">
        <f>G56*H56</f>
        <v/>
      </c>
      <c r="J56" s="8">
        <f>H56/E56</f>
        <v/>
      </c>
      <c r="K56" s="8" t="n">
        <v>44.53</v>
      </c>
      <c r="L56" s="8" t="n">
        <v>44.53</v>
      </c>
      <c r="M56" s="14">
        <f>J56/K56-1</f>
        <v/>
      </c>
      <c r="N56" s="7" t="inlineStr">
        <is>
          <t>OK (≤ menor hist.)</t>
        </is>
      </c>
      <c r="O56" s="7" t="inlineStr"/>
    </row>
    <row r="57">
      <c r="A57" s="7" t="n">
        <v>662781</v>
      </c>
      <c r="B57" s="7" t="inlineStr">
        <is>
          <t>192929</t>
        </is>
      </c>
      <c r="C57" s="12" t="inlineStr">
        <is>
          <t>7896472521784</t>
        </is>
      </c>
      <c r="D57" s="7" t="inlineStr">
        <is>
          <t>VALSARTANA 320MG 30 COM-NQ</t>
        </is>
      </c>
      <c r="E57" s="13" t="n">
        <v>1</v>
      </c>
      <c r="F57" s="13" t="n">
        <v>5</v>
      </c>
      <c r="G57" s="13" t="n">
        <v>5</v>
      </c>
      <c r="H57" s="8" t="n">
        <v>25.05</v>
      </c>
      <c r="I57" s="8">
        <f>G57*H57</f>
        <v/>
      </c>
      <c r="J57" s="8">
        <f>H57/E57</f>
        <v/>
      </c>
      <c r="K57" s="8" t="n">
        <v>25.39</v>
      </c>
      <c r="L57" s="8" t="n">
        <v>25.39</v>
      </c>
      <c r="M57" s="14">
        <f>J57/K57-1</f>
        <v/>
      </c>
      <c r="N57" s="7" t="inlineStr">
        <is>
          <t>OK (≤ menor hist.)</t>
        </is>
      </c>
      <c r="O57" s="7" t="inlineStr"/>
    </row>
    <row r="58">
      <c r="A58" s="7" t="n">
        <v>653221</v>
      </c>
      <c r="B58" s="7" t="inlineStr">
        <is>
          <t>190624</t>
        </is>
      </c>
      <c r="C58" s="12" t="inlineStr">
        <is>
          <t>7898687737684</t>
        </is>
      </c>
      <c r="D58" s="7" t="inlineStr">
        <is>
          <t>VITAMINA D 50000UI CX 12 CAP</t>
        </is>
      </c>
      <c r="E58" s="13" t="n">
        <v>1</v>
      </c>
      <c r="F58" s="13" t="n">
        <v>1</v>
      </c>
      <c r="G58" s="13" t="n">
        <v>1</v>
      </c>
      <c r="H58" s="8" t="n">
        <v>35.43</v>
      </c>
      <c r="I58" s="8">
        <f>G58*H58</f>
        <v/>
      </c>
      <c r="J58" s="8">
        <f>H58/E58</f>
        <v/>
      </c>
      <c r="K58" s="8" t="n">
        <v>29.28</v>
      </c>
      <c r="L58" s="8" t="n">
        <v>29.28</v>
      </c>
      <c r="M58" s="14">
        <f>J58/K58-1</f>
        <v/>
      </c>
      <c r="N58" s="7" t="inlineStr">
        <is>
          <t>ACIMA +21.0%</t>
        </is>
      </c>
      <c r="O58" s="7" t="inlineStr"/>
    </row>
    <row r="59">
      <c r="A59" s="7" t="n">
        <v>193221</v>
      </c>
      <c r="B59" s="7" t="inlineStr">
        <is>
          <t>143685</t>
        </is>
      </c>
      <c r="C59" s="12" t="inlineStr">
        <is>
          <t>7898569765149</t>
        </is>
      </c>
      <c r="D59" s="7" t="inlineStr">
        <is>
          <t>VITAMINA D3 10000UI CX 30 CAP</t>
        </is>
      </c>
      <c r="E59" s="13" t="n">
        <v>1</v>
      </c>
      <c r="F59" s="13" t="n">
        <v>2</v>
      </c>
      <c r="G59" s="13" t="n">
        <v>2</v>
      </c>
      <c r="H59" s="8" t="n">
        <v>26.49</v>
      </c>
      <c r="I59" s="8">
        <f>G59*H59</f>
        <v/>
      </c>
      <c r="J59" s="8">
        <f>H59/E59</f>
        <v/>
      </c>
      <c r="K59" s="8" t="n">
        <v>21.98</v>
      </c>
      <c r="L59" s="8" t="n">
        <v>21.98</v>
      </c>
      <c r="M59" s="14">
        <f>J59/K59-1</f>
        <v/>
      </c>
      <c r="N59" s="7" t="inlineStr">
        <is>
          <t>ACIMA +20.5%</t>
        </is>
      </c>
      <c r="O59" s="7" t="inlineStr"/>
    </row>
    <row r="60">
      <c r="A60" s="7" t="n">
        <v>198101</v>
      </c>
      <c r="B60" s="7" t="inlineStr">
        <is>
          <t>175439</t>
        </is>
      </c>
      <c r="C60" s="12" t="inlineStr">
        <is>
          <t>7898569765828</t>
        </is>
      </c>
      <c r="D60" s="7" t="inlineStr">
        <is>
          <t>VITAMINA D3 50000UI CX 10 CAP</t>
        </is>
      </c>
      <c r="E60" s="13" t="n">
        <v>1</v>
      </c>
      <c r="F60" s="13" t="n">
        <v>2</v>
      </c>
      <c r="G60" s="13" t="n">
        <v>2</v>
      </c>
      <c r="H60" s="8" t="n">
        <v>31.11</v>
      </c>
      <c r="I60" s="8">
        <f>G60*H60</f>
        <v/>
      </c>
      <c r="J60" s="8">
        <f>H60/E60</f>
        <v/>
      </c>
      <c r="K60" s="8" t="n">
        <v>25.99</v>
      </c>
      <c r="L60" s="8" t="n">
        <v>25.99</v>
      </c>
      <c r="M60" s="14">
        <f>J60/K60-1</f>
        <v/>
      </c>
      <c r="N60" s="7" t="inlineStr">
        <is>
          <t>ACIMA +19.7%</t>
        </is>
      </c>
      <c r="O60" s="7" t="inlineStr"/>
    </row>
    <row r="61">
      <c r="A61" s="7" t="n">
        <v>193241</v>
      </c>
      <c r="B61" s="7" t="inlineStr">
        <is>
          <t>143618</t>
        </is>
      </c>
      <c r="C61" s="12" t="inlineStr">
        <is>
          <t>7898569765170</t>
        </is>
      </c>
      <c r="D61" s="7" t="inlineStr">
        <is>
          <t>VITAMINA D3 50000UI CX 4 CAP</t>
        </is>
      </c>
      <c r="E61" s="13" t="n">
        <v>1</v>
      </c>
      <c r="F61" s="13" t="n">
        <v>2</v>
      </c>
      <c r="G61" s="13" t="n">
        <v>2</v>
      </c>
      <c r="H61" s="8" t="n">
        <v>16.22</v>
      </c>
      <c r="I61" s="8">
        <f>G61*H61</f>
        <v/>
      </c>
      <c r="J61" s="8">
        <f>H61/E61</f>
        <v/>
      </c>
      <c r="K61" s="8" t="n">
        <v>13.95</v>
      </c>
      <c r="L61" s="8" t="n">
        <v>13.95</v>
      </c>
      <c r="M61" s="14">
        <f>J61/K61-1</f>
        <v/>
      </c>
      <c r="N61" s="7" t="inlineStr">
        <is>
          <t>ACIMA +16.3%</t>
        </is>
      </c>
      <c r="O61" s="7" t="inlineStr"/>
    </row>
    <row r="62">
      <c r="A62" s="7" t="n">
        <v>193001</v>
      </c>
      <c r="B62" s="7" t="inlineStr">
        <is>
          <t>134368</t>
        </is>
      </c>
      <c r="C62" s="12" t="inlineStr">
        <is>
          <t>7898569765019</t>
        </is>
      </c>
      <c r="D62" s="7" t="inlineStr">
        <is>
          <t>VITAMINA D3 5000UI CX 30 CAP</t>
        </is>
      </c>
      <c r="E62" s="13" t="n">
        <v>1</v>
      </c>
      <c r="F62" s="13" t="n">
        <v>1</v>
      </c>
      <c r="G62" s="13" t="n">
        <v>1</v>
      </c>
      <c r="H62" s="8" t="n">
        <v>15.73</v>
      </c>
      <c r="I62" s="8">
        <f>G62*H62</f>
        <v/>
      </c>
      <c r="J62" s="8">
        <f>H62/E62</f>
        <v/>
      </c>
      <c r="K62" s="8" t="n">
        <v>13.68</v>
      </c>
      <c r="L62" s="8" t="n">
        <v>13.68</v>
      </c>
      <c r="M62" s="14">
        <f>J62/K62-1</f>
        <v/>
      </c>
      <c r="N62" s="7" t="inlineStr">
        <is>
          <t>ACIMA +15.0%</t>
        </is>
      </c>
      <c r="O62" s="7" t="inlineStr"/>
    </row>
    <row r="63">
      <c r="A63" s="7" t="n">
        <v>193101</v>
      </c>
      <c r="B63" s="7" t="inlineStr">
        <is>
          <t>139203</t>
        </is>
      </c>
      <c r="C63" s="12" t="inlineStr">
        <is>
          <t>7898569765071</t>
        </is>
      </c>
      <c r="D63" s="7" t="inlineStr">
        <is>
          <t>VITAMINA D3 7000UI CX 30 CAP</t>
        </is>
      </c>
      <c r="E63" s="13" t="n">
        <v>1</v>
      </c>
      <c r="F63" s="13" t="n">
        <v>1</v>
      </c>
      <c r="G63" s="13" t="n">
        <v>1</v>
      </c>
      <c r="H63" s="8" t="n">
        <v>23.44</v>
      </c>
      <c r="I63" s="8">
        <f>G63*H63</f>
        <v/>
      </c>
      <c r="J63" s="8">
        <f>H63/E63</f>
        <v/>
      </c>
      <c r="K63" s="8" t="n">
        <v>18.96</v>
      </c>
      <c r="L63" s="8" t="n">
        <v>18.96</v>
      </c>
      <c r="M63" s="14">
        <f>J63/K63-1</f>
        <v/>
      </c>
      <c r="N63" s="7" t="inlineStr">
        <is>
          <t>ACIMA +23.6%</t>
        </is>
      </c>
      <c r="O63" s="7" t="inlineStr"/>
    </row>
    <row r="64">
      <c r="D64" s="5" t="inlineStr">
        <is>
          <t>TOTAL</t>
        </is>
      </c>
      <c r="I64" s="18">
        <f>SUM(I2:I63)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2026-09-08T19:56:11Z</dcterms:created>
  <dcterms:modified xsi:type="dcterms:W3CDTF">2026-09-08T19:56:15Z</dcterms:modified>
</cp:coreProperties>
</file>