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COUNTIF(Controle!N2:N4687,"&lt;&gt;SEM COTAÇÃO")</f>
        <v/>
      </c>
    </row>
    <row r="7">
      <c r="A7" s="4" t="inlineStr">
        <is>
          <t>Itens ainda sem cotação</t>
        </is>
      </c>
      <c r="B7" s="5">
        <f>COUNTIF(Controle!N2:N4687,"SEM COTAÇÃO")</f>
        <v/>
      </c>
    </row>
    <row r="8">
      <c r="A8" s="4" t="inlineStr">
        <is>
          <t>Itens OK (≤ menor hist. ou últ. compra)</t>
        </is>
      </c>
      <c r="B8" s="5">
        <f>COUNTIF(Controle!Q2:Q4687,"OK*")</f>
        <v/>
      </c>
    </row>
    <row r="9">
      <c r="A9" s="4" t="inlineStr">
        <is>
          <t>Itens acima do histórico</t>
        </is>
      </c>
      <c r="B9" s="5">
        <f>COUNTIF(Controle!Q2:Q4687,"ACIMA*")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COUNTIF(Controle!N2:N4687,"DIMEC")</f>
        <v/>
      </c>
      <c r="F14" s="8">
        <f>Ped_DIMEC!I302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COUNTIF(Controle!N2:N4687,"PLUSFARMA")</f>
        <v/>
      </c>
      <c r="F15" s="8">
        <f>Ped_PLUSFARMA!I47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COUNTIF(Controle!N2:N4687,"EPAN")</f>
        <v/>
      </c>
      <c r="F16" s="8">
        <f>Ped_EPAN!I167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COUNT(Controle!M2:M4687)</f>
        <v/>
      </c>
      <c r="E17" s="7">
        <f>COUNTIF(Controle!N2:N4687,"CENTROFARMA")</f>
        <v/>
      </c>
      <c r="F17" s="8">
        <f>Ped_CENTROFARMA!I153</f>
        <v/>
      </c>
    </row>
    <row r="18">
      <c r="A18" s="5" t="inlineStr">
        <is>
          <t>TOTAL</t>
        </is>
      </c>
      <c r="D18" s="9">
        <f>SUM(D14:D17)</f>
        <v/>
      </c>
      <c r="E18" s="9">
        <f>SUM(E14:E17)</f>
        <v/>
      </c>
      <c r="F18" s="10">
        <f>SUM(F14:F17)</f>
        <v/>
      </c>
    </row>
    <row r="19">
      <c r="A19" s="3" t="inlineStr">
        <is>
          <t>Aguardando cotação</t>
        </is>
      </c>
    </row>
    <row r="20">
      <c r="A20" s="2" t="inlineStr">
        <is>
          <t>Demais fornecedores: planilha COTACAO_FORNECEDORES_08-09-2026.xlsx enviada; conforme voltarem preenchidas, entram neste comparativo.</t>
        </is>
      </c>
    </row>
    <row r="22">
      <c r="A22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3" customWidth="1" min="14" max="14"/>
    <col width="10" customWidth="1" min="15" max="15"/>
    <col width="9" customWidth="1" min="16" max="16"/>
    <col width="17" customWidth="1" min="17" max="17"/>
    <col width="30" customWidth="1" min="18" max="18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CENTROFARMA (un)</t>
        </is>
      </c>
      <c r="N1" s="11" t="inlineStr">
        <is>
          <t>Melhor forn.</t>
        </is>
      </c>
      <c r="O1" s="11" t="inlineStr">
        <is>
          <t>Melhor (un)</t>
        </is>
      </c>
      <c r="P1" s="11" t="inlineStr">
        <is>
          <t>Dif. %</t>
        </is>
      </c>
      <c r="Q1" s="11" t="inlineStr">
        <is>
          <t>Status</t>
        </is>
      </c>
      <c r="R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8" t="n"/>
      <c r="N2" s="7" t="inlineStr">
        <is>
          <t>SEM COTAÇÃO</t>
        </is>
      </c>
      <c r="O2" s="8" t="n"/>
      <c r="P2" s="14" t="n"/>
      <c r="Q2" s="7" t="inlineStr"/>
      <c r="R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8" t="n"/>
      <c r="N3" s="7" t="inlineStr">
        <is>
          <t>SEM COTAÇÃO</t>
        </is>
      </c>
      <c r="O3" s="8" t="n"/>
      <c r="P3" s="14" t="n"/>
      <c r="Q3" s="7" t="inlineStr"/>
      <c r="R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8" t="n"/>
      <c r="N4" s="7" t="inlineStr">
        <is>
          <t>SEM COTAÇÃO</t>
        </is>
      </c>
      <c r="O4" s="8" t="n"/>
      <c r="P4" s="14" t="n"/>
      <c r="Q4" s="7" t="inlineStr"/>
      <c r="R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8" t="n"/>
      <c r="N5" s="7" t="inlineStr">
        <is>
          <t>SEM COTAÇÃO</t>
        </is>
      </c>
      <c r="O5" s="8" t="n"/>
      <c r="P5" s="14" t="n"/>
      <c r="Q5" s="7" t="inlineStr"/>
      <c r="R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8" t="n"/>
      <c r="N6" s="7" t="inlineStr">
        <is>
          <t>SEM COTAÇÃO</t>
        </is>
      </c>
      <c r="O6" s="8" t="n"/>
      <c r="P6" s="14" t="n"/>
      <c r="Q6" s="7" t="inlineStr"/>
      <c r="R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8" t="n"/>
      <c r="N7" s="7" t="inlineStr">
        <is>
          <t>SEM COTAÇÃO</t>
        </is>
      </c>
      <c r="O7" s="8" t="n"/>
      <c r="P7" s="14" t="n"/>
      <c r="Q7" s="7" t="inlineStr"/>
      <c r="R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8" t="n"/>
      <c r="N8" s="7" t="inlineStr">
        <is>
          <t>SEM COTAÇÃO</t>
        </is>
      </c>
      <c r="O8" s="8" t="n"/>
      <c r="P8" s="14" t="n"/>
      <c r="Q8" s="7" t="inlineStr"/>
      <c r="R8" s="7" t="inlineStr"/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8" t="n"/>
      <c r="N9" s="7" t="inlineStr">
        <is>
          <t>SEM COTAÇÃO</t>
        </is>
      </c>
      <c r="O9" s="8" t="n"/>
      <c r="P9" s="14" t="n"/>
      <c r="Q9" s="7" t="inlineStr"/>
      <c r="R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8" t="n"/>
      <c r="N10" s="7" t="inlineStr">
        <is>
          <t>SEM COTAÇÃO</t>
        </is>
      </c>
      <c r="O10" s="8" t="n"/>
      <c r="P10" s="14" t="n"/>
      <c r="Q10" s="7" t="inlineStr"/>
      <c r="R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8" t="n"/>
      <c r="N11" s="7" t="inlineStr">
        <is>
          <t>DIMEC</t>
        </is>
      </c>
      <c r="O11" s="8" t="n">
        <v>12.2</v>
      </c>
      <c r="P11" s="14">
        <f>O11/H11-1</f>
        <v/>
      </c>
      <c r="Q11" s="16" t="inlineStr">
        <is>
          <t>ACIMA +30.2%</t>
        </is>
      </c>
      <c r="R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8" t="n"/>
      <c r="N12" s="7" t="inlineStr">
        <is>
          <t>SEM COTAÇÃO</t>
        </is>
      </c>
      <c r="O12" s="8" t="n"/>
      <c r="P12" s="14" t="n"/>
      <c r="Q12" s="7" t="inlineStr"/>
      <c r="R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8" t="n"/>
      <c r="N13" s="7" t="inlineStr">
        <is>
          <t>SEM COTAÇÃO</t>
        </is>
      </c>
      <c r="O13" s="8" t="n"/>
      <c r="P13" s="14" t="n"/>
      <c r="Q13" s="7" t="inlineStr"/>
      <c r="R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8" t="n"/>
      <c r="N14" s="7" t="inlineStr">
        <is>
          <t>SEM COTAÇÃO</t>
        </is>
      </c>
      <c r="O14" s="8" t="n"/>
      <c r="P14" s="14" t="n"/>
      <c r="Q14" s="7" t="inlineStr"/>
      <c r="R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8" t="n"/>
      <c r="N15" s="7" t="inlineStr">
        <is>
          <t>EPAN</t>
        </is>
      </c>
      <c r="O15" s="8" t="n">
        <v>9.109999999999999</v>
      </c>
      <c r="P15" s="14">
        <f>O15/H15-1</f>
        <v/>
      </c>
      <c r="Q15" s="17" t="inlineStr">
        <is>
          <t>OK (≤ menor hist.)</t>
        </is>
      </c>
      <c r="R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8" t="n"/>
      <c r="N16" s="7" t="inlineStr">
        <is>
          <t>SEM COTAÇÃO</t>
        </is>
      </c>
      <c r="O16" s="8" t="n"/>
      <c r="P16" s="14" t="n"/>
      <c r="Q16" s="7" t="inlineStr"/>
      <c r="R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8" t="n"/>
      <c r="N17" s="7" t="inlineStr">
        <is>
          <t>SEM COTAÇÃO</t>
        </is>
      </c>
      <c r="O17" s="8" t="n"/>
      <c r="P17" s="14" t="n"/>
      <c r="Q17" s="7" t="inlineStr"/>
      <c r="R17" s="7" t="inlineStr"/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15" t="n">
        <v>139.79</v>
      </c>
      <c r="N18" s="7" t="inlineStr">
        <is>
          <t>CENTROFARMA</t>
        </is>
      </c>
      <c r="O18" s="8" t="n">
        <v>139.79</v>
      </c>
      <c r="P18" s="14">
        <f>O18/H18-1</f>
        <v/>
      </c>
      <c r="Q18" s="16" t="inlineStr">
        <is>
          <t>ACIMA +16.5%</t>
        </is>
      </c>
      <c r="R18" s="7" t="inlineStr"/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15" t="n">
        <v>139.35</v>
      </c>
      <c r="N19" s="7" t="inlineStr">
        <is>
          <t>CENTROFARMA</t>
        </is>
      </c>
      <c r="O19" s="8" t="n">
        <v>139.35</v>
      </c>
      <c r="P19" s="14">
        <f>O19/H19-1</f>
        <v/>
      </c>
      <c r="Q19" s="16" t="inlineStr">
        <is>
          <t>ACIMA +30.2%</t>
        </is>
      </c>
      <c r="R19" s="7" t="inlineStr"/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15" t="n">
        <v>172.99</v>
      </c>
      <c r="N20" s="7" t="inlineStr">
        <is>
          <t>CENTROFARMA</t>
        </is>
      </c>
      <c r="O20" s="8" t="n">
        <v>172.99</v>
      </c>
      <c r="P20" s="14">
        <f>O20/H20-1</f>
        <v/>
      </c>
      <c r="Q20" s="16" t="inlineStr">
        <is>
          <t>ACIMA +43.9%</t>
        </is>
      </c>
      <c r="R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15" t="n">
        <v>165.63</v>
      </c>
      <c r="N21" s="7" t="inlineStr">
        <is>
          <t>CENTROFARMA</t>
        </is>
      </c>
      <c r="O21" s="8" t="n">
        <v>165.63</v>
      </c>
      <c r="P21" s="14">
        <f>O21/H21-1</f>
        <v/>
      </c>
      <c r="Q21" s="16" t="inlineStr">
        <is>
          <t>ACIMA +38.5%</t>
        </is>
      </c>
      <c r="R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15" t="n">
        <v>184.03</v>
      </c>
      <c r="N22" s="7" t="inlineStr">
        <is>
          <t>CENTROFARMA</t>
        </is>
      </c>
      <c r="O22" s="8" t="n">
        <v>184.03</v>
      </c>
      <c r="P22" s="14">
        <f>O22/H22-1</f>
        <v/>
      </c>
      <c r="Q22" s="16" t="inlineStr">
        <is>
          <t>ACIMA +34.7%</t>
        </is>
      </c>
      <c r="R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8" t="n"/>
      <c r="N23" s="7" t="inlineStr">
        <is>
          <t>SEM COTAÇÃO</t>
        </is>
      </c>
      <c r="O23" s="8" t="n"/>
      <c r="P23" s="14" t="n"/>
      <c r="Q23" s="7" t="inlineStr"/>
      <c r="R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8" t="n"/>
      <c r="N24" s="7" t="inlineStr">
        <is>
          <t>SEM COTAÇÃO</t>
        </is>
      </c>
      <c r="O24" s="8" t="n"/>
      <c r="P24" s="14" t="n"/>
      <c r="Q24" s="7" t="inlineStr"/>
      <c r="R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8" t="n"/>
      <c r="N25" s="7" t="inlineStr">
        <is>
          <t>SEM COTAÇÃO</t>
        </is>
      </c>
      <c r="O25" s="8" t="n"/>
      <c r="P25" s="14" t="n"/>
      <c r="Q25" s="7" t="inlineStr"/>
      <c r="R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8" t="n"/>
      <c r="N26" s="7" t="inlineStr">
        <is>
          <t>SEM COTAÇÃO</t>
        </is>
      </c>
      <c r="O26" s="8" t="n"/>
      <c r="P26" s="14" t="n"/>
      <c r="Q26" s="7" t="inlineStr"/>
      <c r="R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8" t="n"/>
      <c r="N27" s="7" t="inlineStr">
        <is>
          <t>SEM COTAÇÃO</t>
        </is>
      </c>
      <c r="O27" s="8" t="n"/>
      <c r="P27" s="14" t="n"/>
      <c r="Q27" s="7" t="inlineStr"/>
      <c r="R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8" t="n"/>
      <c r="N28" s="7" t="inlineStr">
        <is>
          <t>SEM COTAÇÃO</t>
        </is>
      </c>
      <c r="O28" s="8" t="n"/>
      <c r="P28" s="14" t="n"/>
      <c r="Q28" s="7" t="inlineStr"/>
      <c r="R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8" t="n"/>
      <c r="N29" s="7" t="inlineStr">
        <is>
          <t>SEM COTAÇÃO</t>
        </is>
      </c>
      <c r="O29" s="8" t="n"/>
      <c r="P29" s="14" t="n"/>
      <c r="Q29" s="7" t="inlineStr"/>
      <c r="R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8" t="n"/>
      <c r="N30" s="7" t="inlineStr">
        <is>
          <t>SEM COTAÇÃO</t>
        </is>
      </c>
      <c r="O30" s="8" t="n"/>
      <c r="P30" s="14" t="n"/>
      <c r="Q30" s="7" t="inlineStr"/>
      <c r="R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8" t="n"/>
      <c r="N31" s="7" t="inlineStr">
        <is>
          <t>SEM COTAÇÃO</t>
        </is>
      </c>
      <c r="O31" s="8" t="n"/>
      <c r="P31" s="14" t="n"/>
      <c r="Q31" s="7" t="inlineStr"/>
      <c r="R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8" t="n"/>
      <c r="N32" s="7" t="inlineStr">
        <is>
          <t>SEM COTAÇÃO</t>
        </is>
      </c>
      <c r="O32" s="8" t="n"/>
      <c r="P32" s="14" t="n"/>
      <c r="Q32" s="7" t="inlineStr"/>
      <c r="R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8" t="n"/>
      <c r="N33" s="7" t="inlineStr">
        <is>
          <t>SEM COTAÇÃO</t>
        </is>
      </c>
      <c r="O33" s="8" t="n"/>
      <c r="P33" s="14" t="n"/>
      <c r="Q33" s="7" t="inlineStr"/>
      <c r="R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8" t="n"/>
      <c r="N34" s="7" t="inlineStr">
        <is>
          <t>SEM COTAÇÃO</t>
        </is>
      </c>
      <c r="O34" s="8" t="n"/>
      <c r="P34" s="14" t="n"/>
      <c r="Q34" s="7" t="inlineStr"/>
      <c r="R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8" t="n"/>
      <c r="N35" s="7" t="inlineStr">
        <is>
          <t>SEM COTAÇÃO</t>
        </is>
      </c>
      <c r="O35" s="8" t="n"/>
      <c r="P35" s="14" t="n"/>
      <c r="Q35" s="7" t="inlineStr"/>
      <c r="R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8" t="n"/>
      <c r="N36" s="7" t="inlineStr">
        <is>
          <t>DIMEC</t>
        </is>
      </c>
      <c r="O36" s="8" t="n">
        <v>33.53</v>
      </c>
      <c r="P36" s="14">
        <f>O36/H36-1</f>
        <v/>
      </c>
      <c r="Q36" s="17" t="inlineStr">
        <is>
          <t>OK (≤ menor hist.)</t>
        </is>
      </c>
      <c r="R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8" t="n"/>
      <c r="N37" s="7" t="inlineStr">
        <is>
          <t>SEM COTAÇÃO</t>
        </is>
      </c>
      <c r="O37" s="8" t="n"/>
      <c r="P37" s="14" t="n"/>
      <c r="Q37" s="7" t="inlineStr"/>
      <c r="R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8" t="n"/>
      <c r="N38" s="7" t="inlineStr">
        <is>
          <t>SEM COTAÇÃO</t>
        </is>
      </c>
      <c r="O38" s="8" t="n"/>
      <c r="P38" s="14" t="n"/>
      <c r="Q38" s="7" t="inlineStr"/>
      <c r="R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8" t="n"/>
      <c r="N39" s="7" t="inlineStr">
        <is>
          <t>SEM COTAÇÃO</t>
        </is>
      </c>
      <c r="O39" s="8" t="n"/>
      <c r="P39" s="14" t="n"/>
      <c r="Q39" s="7" t="inlineStr"/>
      <c r="R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8" t="n"/>
      <c r="M40" s="8" t="n">
        <v>6.48</v>
      </c>
      <c r="N40" s="7" t="inlineStr">
        <is>
          <t>DIMEC</t>
        </is>
      </c>
      <c r="O40" s="8" t="n">
        <v>6.4</v>
      </c>
      <c r="P40" s="14">
        <f>O40/H40-1</f>
        <v/>
      </c>
      <c r="Q40" s="16" t="inlineStr">
        <is>
          <t>ACIMA +13.3%</t>
        </is>
      </c>
      <c r="R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8" t="n"/>
      <c r="N41" s="7" t="inlineStr">
        <is>
          <t>SEM COTAÇÃO</t>
        </is>
      </c>
      <c r="O41" s="8" t="n"/>
      <c r="P41" s="14" t="n"/>
      <c r="Q41" s="7" t="inlineStr"/>
      <c r="R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8" t="n"/>
      <c r="N42" s="7" t="inlineStr">
        <is>
          <t>SEM COTAÇÃO</t>
        </is>
      </c>
      <c r="O42" s="8" t="n"/>
      <c r="P42" s="14" t="n"/>
      <c r="Q42" s="7" t="inlineStr"/>
      <c r="R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8" t="n"/>
      <c r="N43" s="7" t="inlineStr">
        <is>
          <t>SEM COTAÇÃO</t>
        </is>
      </c>
      <c r="O43" s="8" t="n"/>
      <c r="P43" s="14" t="n"/>
      <c r="Q43" s="7" t="inlineStr"/>
      <c r="R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8" t="n"/>
      <c r="N44" s="7" t="inlineStr">
        <is>
          <t>SEM COTAÇÃO</t>
        </is>
      </c>
      <c r="O44" s="8" t="n"/>
      <c r="P44" s="14" t="n"/>
      <c r="Q44" s="7" t="inlineStr"/>
      <c r="R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8" t="n"/>
      <c r="N45" s="7" t="inlineStr">
        <is>
          <t>SEM COTAÇÃO</t>
        </is>
      </c>
      <c r="O45" s="8" t="n"/>
      <c r="P45" s="14" t="n"/>
      <c r="Q45" s="7" t="inlineStr"/>
      <c r="R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8" t="n"/>
      <c r="N46" s="7" t="inlineStr">
        <is>
          <t>SEM COTAÇÃO</t>
        </is>
      </c>
      <c r="O46" s="8" t="n"/>
      <c r="P46" s="14" t="n"/>
      <c r="Q46" s="7" t="inlineStr"/>
      <c r="R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8" t="n"/>
      <c r="N47" s="7" t="inlineStr">
        <is>
          <t>SEM COTAÇÃO</t>
        </is>
      </c>
      <c r="O47" s="8" t="n"/>
      <c r="P47" s="14" t="n"/>
      <c r="Q47" s="7" t="inlineStr"/>
      <c r="R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8" t="n"/>
      <c r="N48" s="7" t="inlineStr">
        <is>
          <t>SEM COTAÇÃO</t>
        </is>
      </c>
      <c r="O48" s="8" t="n"/>
      <c r="P48" s="14" t="n"/>
      <c r="Q48" s="7" t="inlineStr"/>
      <c r="R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8" t="n"/>
      <c r="N49" s="7" t="inlineStr">
        <is>
          <t>SEM COTAÇÃO</t>
        </is>
      </c>
      <c r="O49" s="8" t="n"/>
      <c r="P49" s="14" t="n"/>
      <c r="Q49" s="7" t="inlineStr"/>
      <c r="R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8" t="n"/>
      <c r="N50" s="7" t="inlineStr">
        <is>
          <t>SEM COTAÇÃO</t>
        </is>
      </c>
      <c r="O50" s="8" t="n"/>
      <c r="P50" s="14" t="n"/>
      <c r="Q50" s="7" t="inlineStr"/>
      <c r="R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8" t="n"/>
      <c r="N51" s="7" t="inlineStr">
        <is>
          <t>SEM COTAÇÃO</t>
        </is>
      </c>
      <c r="O51" s="8" t="n"/>
      <c r="P51" s="14" t="n"/>
      <c r="Q51" s="7" t="inlineStr"/>
      <c r="R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8" t="n"/>
      <c r="N52" s="7" t="inlineStr">
        <is>
          <t>SEM COTAÇÃO</t>
        </is>
      </c>
      <c r="O52" s="8" t="n"/>
      <c r="P52" s="14" t="n"/>
      <c r="Q52" s="7" t="inlineStr"/>
      <c r="R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8" t="n"/>
      <c r="N53" s="7" t="inlineStr">
        <is>
          <t>SEM COTAÇÃO</t>
        </is>
      </c>
      <c r="O53" s="8" t="n"/>
      <c r="P53" s="14" t="n"/>
      <c r="Q53" s="7" t="inlineStr"/>
      <c r="R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8" t="n"/>
      <c r="N54" s="7" t="inlineStr">
        <is>
          <t>SEM COTAÇÃO</t>
        </is>
      </c>
      <c r="O54" s="8" t="n"/>
      <c r="P54" s="14" t="n"/>
      <c r="Q54" s="7" t="inlineStr"/>
      <c r="R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8" t="n"/>
      <c r="N55" s="7" t="inlineStr">
        <is>
          <t>SEM COTAÇÃO</t>
        </is>
      </c>
      <c r="O55" s="8" t="n"/>
      <c r="P55" s="14" t="n"/>
      <c r="Q55" s="7" t="inlineStr"/>
      <c r="R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8" t="n"/>
      <c r="N56" s="7" t="inlineStr">
        <is>
          <t>SEM COTAÇÃO</t>
        </is>
      </c>
      <c r="O56" s="8" t="n"/>
      <c r="P56" s="14" t="n"/>
      <c r="Q56" s="7" t="inlineStr"/>
      <c r="R56" s="7" t="inlineStr"/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8" t="n"/>
      <c r="N57" s="7" t="inlineStr">
        <is>
          <t>SEM COTAÇÃO</t>
        </is>
      </c>
      <c r="O57" s="8" t="n"/>
      <c r="P57" s="14" t="n"/>
      <c r="Q57" s="7" t="inlineStr"/>
      <c r="R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8" t="n"/>
      <c r="N58" s="7" t="inlineStr">
        <is>
          <t>SEM COTAÇÃO</t>
        </is>
      </c>
      <c r="O58" s="8" t="n"/>
      <c r="P58" s="14" t="n"/>
      <c r="Q58" s="7" t="inlineStr"/>
      <c r="R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8" t="n"/>
      <c r="N59" s="7" t="inlineStr">
        <is>
          <t>SEM COTAÇÃO</t>
        </is>
      </c>
      <c r="O59" s="8" t="n"/>
      <c r="P59" s="14" t="n"/>
      <c r="Q59" s="7" t="inlineStr"/>
      <c r="R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8" t="n"/>
      <c r="N60" s="7" t="inlineStr">
        <is>
          <t>SEM COTAÇÃO</t>
        </is>
      </c>
      <c r="O60" s="8" t="n"/>
      <c r="P60" s="14" t="n"/>
      <c r="Q60" s="7" t="inlineStr"/>
      <c r="R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8" t="n"/>
      <c r="N61" s="7" t="inlineStr">
        <is>
          <t>SEM COTAÇÃO</t>
        </is>
      </c>
      <c r="O61" s="8" t="n"/>
      <c r="P61" s="14" t="n"/>
      <c r="Q61" s="7" t="inlineStr"/>
      <c r="R61" s="7" t="inlineStr"/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8" t="n"/>
      <c r="N62" s="7" t="inlineStr">
        <is>
          <t>SEM COTAÇÃO</t>
        </is>
      </c>
      <c r="O62" s="8" t="n"/>
      <c r="P62" s="14" t="n"/>
      <c r="Q62" s="7" t="inlineStr"/>
      <c r="R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8" t="n"/>
      <c r="N63" s="7" t="inlineStr">
        <is>
          <t>SEM COTAÇÃO</t>
        </is>
      </c>
      <c r="O63" s="8" t="n"/>
      <c r="P63" s="14" t="n"/>
      <c r="Q63" s="7" t="inlineStr"/>
      <c r="R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8" t="n"/>
      <c r="N64" s="7" t="inlineStr">
        <is>
          <t>SEM COTAÇÃO</t>
        </is>
      </c>
      <c r="O64" s="8" t="n"/>
      <c r="P64" s="14" t="n"/>
      <c r="Q64" s="7" t="inlineStr"/>
      <c r="R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8" t="n"/>
      <c r="N65" s="7" t="inlineStr">
        <is>
          <t>SEM COTAÇÃO</t>
        </is>
      </c>
      <c r="O65" s="8" t="n"/>
      <c r="P65" s="14" t="n"/>
      <c r="Q65" s="7" t="inlineStr"/>
      <c r="R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8" t="n"/>
      <c r="N66" s="7" t="inlineStr">
        <is>
          <t>SEM COTAÇÃO</t>
        </is>
      </c>
      <c r="O66" s="8" t="n"/>
      <c r="P66" s="14" t="n"/>
      <c r="Q66" s="7" t="inlineStr"/>
      <c r="R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8" t="n"/>
      <c r="N67" s="7" t="inlineStr">
        <is>
          <t>SEM COTAÇÃO</t>
        </is>
      </c>
      <c r="O67" s="8" t="n"/>
      <c r="P67" s="14" t="n"/>
      <c r="Q67" s="7" t="inlineStr"/>
      <c r="R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8" t="n"/>
      <c r="N68" s="7" t="inlineStr">
        <is>
          <t>SEM COTAÇÃO</t>
        </is>
      </c>
      <c r="O68" s="8" t="n"/>
      <c r="P68" s="14" t="n"/>
      <c r="Q68" s="7" t="inlineStr"/>
      <c r="R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8" t="n"/>
      <c r="N69" s="7" t="inlineStr">
        <is>
          <t>EPAN</t>
        </is>
      </c>
      <c r="O69" s="8" t="n">
        <v>9.109999999999999</v>
      </c>
      <c r="P69" s="14">
        <f>O69/H69-1</f>
        <v/>
      </c>
      <c r="Q69" s="17" t="inlineStr">
        <is>
          <t>OK (≤ últ. compra)</t>
        </is>
      </c>
      <c r="R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8" t="n"/>
      <c r="N70" s="7" t="inlineStr">
        <is>
          <t>SEM COTAÇÃO</t>
        </is>
      </c>
      <c r="O70" s="8" t="n"/>
      <c r="P70" s="14" t="n"/>
      <c r="Q70" s="7" t="inlineStr"/>
      <c r="R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8" t="n"/>
      <c r="N71" s="7" t="inlineStr">
        <is>
          <t>EPAN</t>
        </is>
      </c>
      <c r="O71" s="8" t="n">
        <v>16.92</v>
      </c>
      <c r="P71" s="14">
        <f>O71/H71-1</f>
        <v/>
      </c>
      <c r="Q71" s="17" t="inlineStr">
        <is>
          <t>OK (≤ menor hist.)</t>
        </is>
      </c>
      <c r="R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8" t="n"/>
      <c r="N72" s="7" t="inlineStr">
        <is>
          <t>SEM COTAÇÃO</t>
        </is>
      </c>
      <c r="O72" s="8" t="n"/>
      <c r="P72" s="14" t="n"/>
      <c r="Q72" s="7" t="inlineStr"/>
      <c r="R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7" t="inlineStr">
        <is>
          <t>SEM COTAÇÃO</t>
        </is>
      </c>
      <c r="O73" s="8" t="n"/>
      <c r="P73" s="14" t="n"/>
      <c r="Q73" s="7" t="inlineStr"/>
      <c r="R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8" t="n"/>
      <c r="N74" s="7" t="inlineStr">
        <is>
          <t>SEM COTAÇÃO</t>
        </is>
      </c>
      <c r="O74" s="8" t="n"/>
      <c r="P74" s="14" t="n"/>
      <c r="Q74" s="7" t="inlineStr"/>
      <c r="R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8" t="n"/>
      <c r="N75" s="7" t="inlineStr">
        <is>
          <t>SEM COTAÇÃO</t>
        </is>
      </c>
      <c r="O75" s="8" t="n"/>
      <c r="P75" s="14" t="n"/>
      <c r="Q75" s="7" t="inlineStr"/>
      <c r="R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8" t="n"/>
      <c r="N76" s="7" t="inlineStr">
        <is>
          <t>SEM COTAÇÃO</t>
        </is>
      </c>
      <c r="O76" s="8" t="n"/>
      <c r="P76" s="14" t="n"/>
      <c r="Q76" s="7" t="inlineStr"/>
      <c r="R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8" t="n"/>
      <c r="N77" s="7" t="inlineStr">
        <is>
          <t>SEM COTAÇÃO</t>
        </is>
      </c>
      <c r="O77" s="8" t="n"/>
      <c r="P77" s="14" t="n"/>
      <c r="Q77" s="7" t="inlineStr"/>
      <c r="R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8" t="n"/>
      <c r="N78" s="7" t="inlineStr">
        <is>
          <t>SEM COTAÇÃO</t>
        </is>
      </c>
      <c r="O78" s="8" t="n"/>
      <c r="P78" s="14" t="n"/>
      <c r="Q78" s="7" t="inlineStr"/>
      <c r="R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8" t="n"/>
      <c r="N79" s="7" t="inlineStr">
        <is>
          <t>SEM COTAÇÃO</t>
        </is>
      </c>
      <c r="O79" s="8" t="n"/>
      <c r="P79" s="14" t="n"/>
      <c r="Q79" s="7" t="inlineStr"/>
      <c r="R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8" t="n"/>
      <c r="N80" s="7" t="inlineStr">
        <is>
          <t>SEM COTAÇÃO</t>
        </is>
      </c>
      <c r="O80" s="8" t="n"/>
      <c r="P80" s="14" t="n"/>
      <c r="Q80" s="7" t="inlineStr"/>
      <c r="R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8" t="n"/>
      <c r="N81" s="7" t="inlineStr">
        <is>
          <t>SEM COTAÇÃO</t>
        </is>
      </c>
      <c r="O81" s="8" t="n"/>
      <c r="P81" s="14" t="n"/>
      <c r="Q81" s="7" t="inlineStr"/>
      <c r="R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8" t="n"/>
      <c r="N82" s="7" t="inlineStr">
        <is>
          <t>SEM COTAÇÃO</t>
        </is>
      </c>
      <c r="O82" s="8" t="n"/>
      <c r="P82" s="14" t="n"/>
      <c r="Q82" s="7" t="inlineStr"/>
      <c r="R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8" t="n"/>
      <c r="N83" s="7" t="inlineStr">
        <is>
          <t>SEM COTAÇÃO</t>
        </is>
      </c>
      <c r="O83" s="8" t="n"/>
      <c r="P83" s="14" t="n"/>
      <c r="Q83" s="7" t="inlineStr"/>
      <c r="R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8" t="n"/>
      <c r="N84" s="7" t="inlineStr">
        <is>
          <t>SEM COTAÇÃO</t>
        </is>
      </c>
      <c r="O84" s="8" t="n"/>
      <c r="P84" s="14" t="n"/>
      <c r="Q84" s="7" t="inlineStr"/>
      <c r="R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8" t="n"/>
      <c r="N85" s="7" t="inlineStr">
        <is>
          <t>SEM COTAÇÃO</t>
        </is>
      </c>
      <c r="O85" s="8" t="n"/>
      <c r="P85" s="14" t="n"/>
      <c r="Q85" s="7" t="inlineStr"/>
      <c r="R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8" t="n"/>
      <c r="N86" s="7" t="inlineStr">
        <is>
          <t>SEM COTAÇÃO</t>
        </is>
      </c>
      <c r="O86" s="8" t="n"/>
      <c r="P86" s="14" t="n"/>
      <c r="Q86" s="7" t="inlineStr"/>
      <c r="R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8" t="n"/>
      <c r="N87" s="7" t="inlineStr">
        <is>
          <t>SEM COTAÇÃO</t>
        </is>
      </c>
      <c r="O87" s="8" t="n"/>
      <c r="P87" s="14" t="n"/>
      <c r="Q87" s="7" t="inlineStr"/>
      <c r="R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8" t="n"/>
      <c r="N88" s="7" t="inlineStr">
        <is>
          <t>SEM COTAÇÃO</t>
        </is>
      </c>
      <c r="O88" s="8" t="n"/>
      <c r="P88" s="14" t="n"/>
      <c r="Q88" s="7" t="inlineStr"/>
      <c r="R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8" t="n"/>
      <c r="N89" s="7" t="inlineStr">
        <is>
          <t>SEM COTAÇÃO</t>
        </is>
      </c>
      <c r="O89" s="8" t="n"/>
      <c r="P89" s="14" t="n"/>
      <c r="Q89" s="7" t="inlineStr"/>
      <c r="R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8" t="n"/>
      <c r="N90" s="7" t="inlineStr">
        <is>
          <t>SEM COTAÇÃO</t>
        </is>
      </c>
      <c r="O90" s="8" t="n"/>
      <c r="P90" s="14" t="n"/>
      <c r="Q90" s="7" t="inlineStr"/>
      <c r="R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8" t="n"/>
      <c r="N91" s="7" t="inlineStr">
        <is>
          <t>SEM COTAÇÃO</t>
        </is>
      </c>
      <c r="O91" s="8" t="n"/>
      <c r="P91" s="14" t="n"/>
      <c r="Q91" s="7" t="inlineStr"/>
      <c r="R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8" t="n"/>
      <c r="N92" s="7" t="inlineStr">
        <is>
          <t>SEM COTAÇÃO</t>
        </is>
      </c>
      <c r="O92" s="8" t="n"/>
      <c r="P92" s="14" t="n"/>
      <c r="Q92" s="7" t="inlineStr"/>
      <c r="R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8" t="n"/>
      <c r="N93" s="7" t="inlineStr">
        <is>
          <t>SEM COTAÇÃO</t>
        </is>
      </c>
      <c r="O93" s="8" t="n"/>
      <c r="P93" s="14" t="n"/>
      <c r="Q93" s="7" t="inlineStr"/>
      <c r="R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8" t="n"/>
      <c r="N94" s="7" t="inlineStr">
        <is>
          <t>SEM COTAÇÃO</t>
        </is>
      </c>
      <c r="O94" s="8" t="n"/>
      <c r="P94" s="14" t="n"/>
      <c r="Q94" s="7" t="inlineStr"/>
      <c r="R94" s="7" t="inlineStr"/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8" t="n"/>
      <c r="N95" s="7" t="inlineStr">
        <is>
          <t>SEM COTAÇÃO</t>
        </is>
      </c>
      <c r="O95" s="8" t="n"/>
      <c r="P95" s="14" t="n"/>
      <c r="Q95" s="7" t="inlineStr"/>
      <c r="R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8" t="n"/>
      <c r="N96" s="7" t="inlineStr">
        <is>
          <t>SEM COTAÇÃO</t>
        </is>
      </c>
      <c r="O96" s="8" t="n"/>
      <c r="P96" s="14" t="n"/>
      <c r="Q96" s="7" t="inlineStr"/>
      <c r="R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8" t="n"/>
      <c r="N97" s="7" t="inlineStr">
        <is>
          <t>SEM COTAÇÃO</t>
        </is>
      </c>
      <c r="O97" s="8" t="n"/>
      <c r="P97" s="14" t="n"/>
      <c r="Q97" s="7" t="inlineStr"/>
      <c r="R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8" t="n"/>
      <c r="N98" s="7" t="inlineStr">
        <is>
          <t>SEM COTAÇÃO</t>
        </is>
      </c>
      <c r="O98" s="8" t="n"/>
      <c r="P98" s="14" t="n"/>
      <c r="Q98" s="7" t="inlineStr"/>
      <c r="R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8" t="n"/>
      <c r="N99" s="7" t="inlineStr">
        <is>
          <t>SEM COTAÇÃO</t>
        </is>
      </c>
      <c r="O99" s="8" t="n"/>
      <c r="P99" s="14" t="n"/>
      <c r="Q99" s="7" t="inlineStr"/>
      <c r="R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8" t="n"/>
      <c r="N100" s="7" t="inlineStr">
        <is>
          <t>EPAN</t>
        </is>
      </c>
      <c r="O100" s="8" t="n">
        <v>9.109999999999999</v>
      </c>
      <c r="P100" s="14">
        <f>O100/H100-1</f>
        <v/>
      </c>
      <c r="Q100" s="17" t="inlineStr">
        <is>
          <t>OK (≤ últ. compra)</t>
        </is>
      </c>
      <c r="R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7" t="inlineStr">
        <is>
          <t>SEM COTAÇÃO</t>
        </is>
      </c>
      <c r="O101" s="8" t="n"/>
      <c r="P101" s="14" t="n"/>
      <c r="Q101" s="7" t="inlineStr"/>
      <c r="R101" s="7" t="inlineStr"/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8" t="n"/>
      <c r="N102" s="7" t="inlineStr">
        <is>
          <t>SEM COTAÇÃO</t>
        </is>
      </c>
      <c r="O102" s="8" t="n"/>
      <c r="P102" s="14" t="n"/>
      <c r="Q102" s="7" t="inlineStr"/>
      <c r="R102" s="7" t="inlineStr"/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8" t="n"/>
      <c r="N103" s="7" t="inlineStr">
        <is>
          <t>SEM COTAÇÃO</t>
        </is>
      </c>
      <c r="O103" s="8" t="n"/>
      <c r="P103" s="14" t="n"/>
      <c r="Q103" s="7" t="inlineStr"/>
      <c r="R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8" t="n"/>
      <c r="N104" s="7" t="inlineStr">
        <is>
          <t>SEM COTAÇÃO</t>
        </is>
      </c>
      <c r="O104" s="8" t="n"/>
      <c r="P104" s="14" t="n"/>
      <c r="Q104" s="7" t="inlineStr"/>
      <c r="R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8" t="n"/>
      <c r="N105" s="7" t="inlineStr">
        <is>
          <t>SEM COTAÇÃO</t>
        </is>
      </c>
      <c r="O105" s="8" t="n"/>
      <c r="P105" s="14" t="n"/>
      <c r="Q105" s="7" t="inlineStr"/>
      <c r="R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8" t="n"/>
      <c r="N106" s="7" t="inlineStr">
        <is>
          <t>SEM COTAÇÃO</t>
        </is>
      </c>
      <c r="O106" s="8" t="n"/>
      <c r="P106" s="14" t="n"/>
      <c r="Q106" s="7" t="inlineStr"/>
      <c r="R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8" t="n"/>
      <c r="N107" s="7" t="inlineStr">
        <is>
          <t>SEM COTAÇÃO</t>
        </is>
      </c>
      <c r="O107" s="8" t="n"/>
      <c r="P107" s="14" t="n"/>
      <c r="Q107" s="7" t="inlineStr"/>
      <c r="R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8" t="n"/>
      <c r="N108" s="7" t="inlineStr">
        <is>
          <t>SEM COTAÇÃO</t>
        </is>
      </c>
      <c r="O108" s="8" t="n"/>
      <c r="P108" s="14" t="n"/>
      <c r="Q108" s="7" t="inlineStr"/>
      <c r="R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8" t="n"/>
      <c r="N109" s="7" t="inlineStr">
        <is>
          <t>SEM COTAÇÃO</t>
        </is>
      </c>
      <c r="O109" s="8" t="n"/>
      <c r="P109" s="14" t="n"/>
      <c r="Q109" s="7" t="inlineStr"/>
      <c r="R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8" t="n"/>
      <c r="N110" s="7" t="inlineStr">
        <is>
          <t>SEM COTAÇÃO</t>
        </is>
      </c>
      <c r="O110" s="8" t="n"/>
      <c r="P110" s="14" t="n"/>
      <c r="Q110" s="7" t="inlineStr"/>
      <c r="R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8" t="n"/>
      <c r="N111" s="7" t="inlineStr">
        <is>
          <t>SEM COTAÇÃO</t>
        </is>
      </c>
      <c r="O111" s="8" t="n"/>
      <c r="P111" s="14" t="n"/>
      <c r="Q111" s="7" t="inlineStr"/>
      <c r="R111" s="7" t="inlineStr"/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8" t="n"/>
      <c r="N112" s="7" t="inlineStr">
        <is>
          <t>SEM COTAÇÃO</t>
        </is>
      </c>
      <c r="O112" s="8" t="n"/>
      <c r="P112" s="14" t="n"/>
      <c r="Q112" s="7" t="inlineStr"/>
      <c r="R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8" t="n"/>
      <c r="N113" s="7" t="inlineStr">
        <is>
          <t>SEM COTAÇÃO</t>
        </is>
      </c>
      <c r="O113" s="8" t="n"/>
      <c r="P113" s="14" t="n"/>
      <c r="Q113" s="7" t="inlineStr"/>
      <c r="R113" s="7" t="inlineStr"/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8" t="n"/>
      <c r="M114" s="8" t="n"/>
      <c r="N114" s="7" t="inlineStr">
        <is>
          <t>DIMEC</t>
        </is>
      </c>
      <c r="O114" s="8" t="n">
        <v>7.03</v>
      </c>
      <c r="P114" s="14">
        <f>O114/H114-1</f>
        <v/>
      </c>
      <c r="Q114" s="16" t="inlineStr">
        <is>
          <t>ACIMA +0.3%</t>
        </is>
      </c>
      <c r="R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8" t="n">
        <v>11.54</v>
      </c>
      <c r="N115" s="7" t="inlineStr">
        <is>
          <t>DIMEC</t>
        </is>
      </c>
      <c r="O115" s="8" t="n">
        <v>11.39</v>
      </c>
      <c r="P115" s="14">
        <f>O115/H115-1</f>
        <v/>
      </c>
      <c r="Q115" s="17" t="inlineStr">
        <is>
          <t>OK (≤ menor hist.)</t>
        </is>
      </c>
      <c r="R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8" t="n"/>
      <c r="N116" s="7" t="inlineStr">
        <is>
          <t>SEM COTAÇÃO</t>
        </is>
      </c>
      <c r="O116" s="8" t="n"/>
      <c r="P116" s="14" t="n"/>
      <c r="Q116" s="7" t="inlineStr"/>
      <c r="R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15" t="n">
        <v>3.09</v>
      </c>
      <c r="N117" s="7" t="inlineStr">
        <is>
          <t>CENTROFARMA</t>
        </is>
      </c>
      <c r="O117" s="8" t="n">
        <v>3.09</v>
      </c>
      <c r="P117" s="14">
        <f>O117/H117-1</f>
        <v/>
      </c>
      <c r="Q117" s="16" t="inlineStr">
        <is>
          <t>ACIMA +12.4%</t>
        </is>
      </c>
      <c r="R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8" t="n"/>
      <c r="N118" s="7" t="inlineStr">
        <is>
          <t>SEM COTAÇÃO</t>
        </is>
      </c>
      <c r="O118" s="8" t="n"/>
      <c r="P118" s="14" t="n"/>
      <c r="Q118" s="7" t="inlineStr"/>
      <c r="R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8" t="n"/>
      <c r="N119" s="7" t="inlineStr">
        <is>
          <t>SEM COTAÇÃO</t>
        </is>
      </c>
      <c r="O119" s="8" t="n"/>
      <c r="P119" s="14" t="n"/>
      <c r="Q119" s="7" t="inlineStr"/>
      <c r="R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8" t="n"/>
      <c r="N120" s="7" t="inlineStr">
        <is>
          <t>SEM COTAÇÃO</t>
        </is>
      </c>
      <c r="O120" s="8" t="n"/>
      <c r="P120" s="14" t="n"/>
      <c r="Q120" s="7" t="inlineStr"/>
      <c r="R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8" t="n"/>
      <c r="N121" s="7" t="inlineStr">
        <is>
          <t>SEM COTAÇÃO</t>
        </is>
      </c>
      <c r="O121" s="8" t="n"/>
      <c r="P121" s="14" t="n"/>
      <c r="Q121" s="7" t="inlineStr"/>
      <c r="R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8" t="n"/>
      <c r="N122" s="7" t="inlineStr">
        <is>
          <t>SEM COTAÇÃO</t>
        </is>
      </c>
      <c r="O122" s="8" t="n"/>
      <c r="P122" s="14" t="n"/>
      <c r="Q122" s="7" t="inlineStr"/>
      <c r="R122" s="7" t="inlineStr"/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8" t="n"/>
      <c r="N123" s="7" t="inlineStr">
        <is>
          <t>SEM COTAÇÃO</t>
        </is>
      </c>
      <c r="O123" s="8" t="n"/>
      <c r="P123" s="14" t="n"/>
      <c r="Q123" s="7" t="inlineStr"/>
      <c r="R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8" t="n"/>
      <c r="N124" s="7" t="inlineStr">
        <is>
          <t>DIMEC</t>
        </is>
      </c>
      <c r="O124" s="8" t="n">
        <v>103.59</v>
      </c>
      <c r="P124" s="14">
        <f>O124/H124-1</f>
        <v/>
      </c>
      <c r="Q124" s="17" t="inlineStr">
        <is>
          <t>OK (≤ menor hist.)</t>
        </is>
      </c>
      <c r="R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8" t="n"/>
      <c r="N125" s="7" t="inlineStr">
        <is>
          <t>SEM COTAÇÃO</t>
        </is>
      </c>
      <c r="O125" s="8" t="n"/>
      <c r="P125" s="14" t="n"/>
      <c r="Q125" s="7" t="inlineStr"/>
      <c r="R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15" t="n">
        <v>74.15000000000001</v>
      </c>
      <c r="N126" s="7" t="inlineStr">
        <is>
          <t>CENTROFARMA</t>
        </is>
      </c>
      <c r="O126" s="8" t="n">
        <v>74.15000000000001</v>
      </c>
      <c r="P126" s="14">
        <f>O126/H126-1</f>
        <v/>
      </c>
      <c r="Q126" s="16" t="inlineStr">
        <is>
          <t>ACIMA +30.7%</t>
        </is>
      </c>
      <c r="R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8" t="n"/>
      <c r="N127" s="7" t="inlineStr">
        <is>
          <t>SEM COTAÇÃO</t>
        </is>
      </c>
      <c r="O127" s="8" t="n"/>
      <c r="P127" s="14" t="n"/>
      <c r="Q127" s="7" t="inlineStr"/>
      <c r="R127" s="7" t="inlineStr"/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8" t="n"/>
      <c r="N128" s="7" t="inlineStr">
        <is>
          <t>SEM COTAÇÃO</t>
        </is>
      </c>
      <c r="O128" s="8" t="n"/>
      <c r="P128" s="14" t="n"/>
      <c r="Q128" s="7" t="inlineStr"/>
      <c r="R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8" t="n"/>
      <c r="N129" s="7" t="inlineStr">
        <is>
          <t>SEM COTAÇÃO</t>
        </is>
      </c>
      <c r="O129" s="8" t="n"/>
      <c r="P129" s="14" t="n"/>
      <c r="Q129" s="7" t="inlineStr"/>
      <c r="R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8" t="n"/>
      <c r="N130" s="7" t="inlineStr">
        <is>
          <t>SEM COTAÇÃO</t>
        </is>
      </c>
      <c r="O130" s="8" t="n"/>
      <c r="P130" s="14" t="n"/>
      <c r="Q130" s="7" t="inlineStr"/>
      <c r="R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7" t="inlineStr">
        <is>
          <t>SEM COTAÇÃO</t>
        </is>
      </c>
      <c r="O131" s="8" t="n"/>
      <c r="P131" s="14" t="n"/>
      <c r="Q131" s="7" t="inlineStr"/>
      <c r="R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8" t="n"/>
      <c r="N132" s="7" t="inlineStr">
        <is>
          <t>SEM COTAÇÃO</t>
        </is>
      </c>
      <c r="O132" s="8" t="n"/>
      <c r="P132" s="14" t="n"/>
      <c r="Q132" s="7" t="inlineStr"/>
      <c r="R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8" t="n"/>
      <c r="N133" s="7" t="inlineStr">
        <is>
          <t>SEM COTAÇÃO</t>
        </is>
      </c>
      <c r="O133" s="8" t="n"/>
      <c r="P133" s="14" t="n"/>
      <c r="Q133" s="7" t="inlineStr"/>
      <c r="R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8" t="n"/>
      <c r="N134" s="7" t="inlineStr">
        <is>
          <t>EPAN</t>
        </is>
      </c>
      <c r="O134" s="8" t="n">
        <v>56.86</v>
      </c>
      <c r="P134" s="14">
        <f>O134/H134-1</f>
        <v/>
      </c>
      <c r="Q134" s="16" t="inlineStr">
        <is>
          <t>ACIMA +4.1%</t>
        </is>
      </c>
      <c r="R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8" t="n"/>
      <c r="N135" s="7" t="inlineStr">
        <is>
          <t>EPAN</t>
        </is>
      </c>
      <c r="O135" s="8" t="n">
        <v>56.86</v>
      </c>
      <c r="P135" s="14">
        <f>O135/H135-1</f>
        <v/>
      </c>
      <c r="Q135" s="16" t="inlineStr">
        <is>
          <t>ACIMA +3.6%</t>
        </is>
      </c>
      <c r="R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8" t="n"/>
      <c r="N136" s="7" t="inlineStr">
        <is>
          <t>SEM COTAÇÃO</t>
        </is>
      </c>
      <c r="O136" s="8" t="n"/>
      <c r="P136" s="14" t="n"/>
      <c r="Q136" s="7" t="inlineStr"/>
      <c r="R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8" t="n"/>
      <c r="N137" s="7" t="inlineStr">
        <is>
          <t>SEM COTAÇÃO</t>
        </is>
      </c>
      <c r="O137" s="8" t="n"/>
      <c r="P137" s="14" t="n"/>
      <c r="Q137" s="7" t="inlineStr"/>
      <c r="R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8" t="n"/>
      <c r="N138" s="7" t="inlineStr">
        <is>
          <t>EPAN</t>
        </is>
      </c>
      <c r="O138" s="8" t="n">
        <v>21.42</v>
      </c>
      <c r="P138" s="14">
        <f>O138/H138-1</f>
        <v/>
      </c>
      <c r="Q138" s="17" t="inlineStr">
        <is>
          <t>OK (≤ últ. compra)</t>
        </is>
      </c>
      <c r="R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8" t="n"/>
      <c r="N139" s="7" t="inlineStr">
        <is>
          <t>SEM COTAÇÃO</t>
        </is>
      </c>
      <c r="O139" s="8" t="n"/>
      <c r="P139" s="14" t="n"/>
      <c r="Q139" s="7" t="inlineStr"/>
      <c r="R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8" t="n"/>
      <c r="N140" s="7" t="inlineStr">
        <is>
          <t>SEM COTAÇÃO</t>
        </is>
      </c>
      <c r="O140" s="8" t="n"/>
      <c r="P140" s="14" t="n"/>
      <c r="Q140" s="7" t="inlineStr"/>
      <c r="R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8" t="n"/>
      <c r="N141" s="7" t="inlineStr">
        <is>
          <t>SEM COTAÇÃO</t>
        </is>
      </c>
      <c r="O141" s="8" t="n"/>
      <c r="P141" s="14" t="n"/>
      <c r="Q141" s="7" t="inlineStr"/>
      <c r="R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8" t="n"/>
      <c r="N142" s="7" t="inlineStr">
        <is>
          <t>DIMEC</t>
        </is>
      </c>
      <c r="O142" s="8" t="n">
        <v>8.09</v>
      </c>
      <c r="P142" s="14">
        <f>O142/H142-1</f>
        <v/>
      </c>
      <c r="Q142" s="17" t="inlineStr">
        <is>
          <t>OK (≤ menor hist.)</t>
        </is>
      </c>
      <c r="R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8" t="n"/>
      <c r="N143" s="7" t="inlineStr">
        <is>
          <t>DIMEC</t>
        </is>
      </c>
      <c r="O143" s="8" t="n">
        <v>12.35</v>
      </c>
      <c r="P143" s="14">
        <f>O143/H143-1</f>
        <v/>
      </c>
      <c r="Q143" s="17" t="inlineStr">
        <is>
          <t>OK (≤ menor hist.)</t>
        </is>
      </c>
      <c r="R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8" t="n"/>
      <c r="N144" s="7" t="inlineStr">
        <is>
          <t>SEM COTAÇÃO</t>
        </is>
      </c>
      <c r="O144" s="8" t="n"/>
      <c r="P144" s="14" t="n"/>
      <c r="Q144" s="7" t="inlineStr"/>
      <c r="R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8" t="n"/>
      <c r="N145" s="7" t="inlineStr">
        <is>
          <t>SEM COTAÇÃO</t>
        </is>
      </c>
      <c r="O145" s="8" t="n"/>
      <c r="P145" s="14" t="n"/>
      <c r="Q145" s="7" t="inlineStr"/>
      <c r="R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8" t="n"/>
      <c r="N146" s="7" t="inlineStr">
        <is>
          <t>SEM COTAÇÃO</t>
        </is>
      </c>
      <c r="O146" s="8" t="n"/>
      <c r="P146" s="14" t="n"/>
      <c r="Q146" s="7" t="inlineStr"/>
      <c r="R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8" t="n"/>
      <c r="N147" s="7" t="inlineStr">
        <is>
          <t>SEM COTAÇÃO</t>
        </is>
      </c>
      <c r="O147" s="8" t="n"/>
      <c r="P147" s="14" t="n"/>
      <c r="Q147" s="7" t="inlineStr"/>
      <c r="R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8" t="n"/>
      <c r="N148" s="7" t="inlineStr">
        <is>
          <t>SEM COTAÇÃO</t>
        </is>
      </c>
      <c r="O148" s="8" t="n"/>
      <c r="P148" s="14" t="n"/>
      <c r="Q148" s="7" t="inlineStr"/>
      <c r="R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8" t="n"/>
      <c r="M149" s="8" t="n"/>
      <c r="N149" s="7" t="inlineStr">
        <is>
          <t>DIMEC</t>
        </is>
      </c>
      <c r="O149" s="8" t="n">
        <v>2.69</v>
      </c>
      <c r="P149" s="14">
        <f>O149/H149-1</f>
        <v/>
      </c>
      <c r="Q149" s="16" t="inlineStr">
        <is>
          <t>ACIMA +8.0%</t>
        </is>
      </c>
      <c r="R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8" t="n"/>
      <c r="N150" s="7" t="inlineStr">
        <is>
          <t>SEM COTAÇÃO</t>
        </is>
      </c>
      <c r="O150" s="8" t="n"/>
      <c r="P150" s="14" t="n"/>
      <c r="Q150" s="7" t="inlineStr"/>
      <c r="R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8" t="n"/>
      <c r="N151" s="7" t="inlineStr">
        <is>
          <t>SEM COTAÇÃO</t>
        </is>
      </c>
      <c r="O151" s="8" t="n"/>
      <c r="P151" s="14" t="n"/>
      <c r="Q151" s="7" t="inlineStr"/>
      <c r="R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8" t="n"/>
      <c r="N152" s="7" t="inlineStr">
        <is>
          <t>DIMEC</t>
        </is>
      </c>
      <c r="O152" s="8" t="n">
        <v>5.06</v>
      </c>
      <c r="P152" s="14">
        <f>O152/H152-1</f>
        <v/>
      </c>
      <c r="Q152" s="17" t="inlineStr">
        <is>
          <t>OK (≤ menor hist.)</t>
        </is>
      </c>
      <c r="R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8" t="n"/>
      <c r="N153" s="7" t="inlineStr">
        <is>
          <t>DIMEC</t>
        </is>
      </c>
      <c r="O153" s="8" t="n">
        <v>10.73</v>
      </c>
      <c r="P153" s="14">
        <f>O153/H153-1</f>
        <v/>
      </c>
      <c r="Q153" s="17" t="inlineStr">
        <is>
          <t>OK (≤ últ. compra)</t>
        </is>
      </c>
      <c r="R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8" t="n">
        <v>31.93</v>
      </c>
      <c r="N154" s="7" t="inlineStr">
        <is>
          <t>DIMEC</t>
        </is>
      </c>
      <c r="O154" s="8" t="n">
        <v>22.17</v>
      </c>
      <c r="P154" s="14">
        <f>O154/H154-1</f>
        <v/>
      </c>
      <c r="Q154" s="16" t="inlineStr">
        <is>
          <t>ACIMA +0.2%</t>
        </is>
      </c>
      <c r="R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15" t="n">
        <v>14.39</v>
      </c>
      <c r="K155" s="8" t="n"/>
      <c r="L155" s="8" t="n"/>
      <c r="M155" s="8" t="n">
        <v>15.11</v>
      </c>
      <c r="N155" s="7" t="inlineStr">
        <is>
          <t>DIMEC</t>
        </is>
      </c>
      <c r="O155" s="8" t="n">
        <v>14.39</v>
      </c>
      <c r="P155" s="14">
        <f>O155/H155-1</f>
        <v/>
      </c>
      <c r="Q155" s="16" t="inlineStr">
        <is>
          <t>ACIMA +26.7%</t>
        </is>
      </c>
      <c r="R155" s="7" t="inlineStr"/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7" t="inlineStr">
        <is>
          <t>SEM COTAÇÃO</t>
        </is>
      </c>
      <c r="O156" s="8" t="n"/>
      <c r="P156" s="14" t="n"/>
      <c r="Q156" s="7" t="inlineStr"/>
      <c r="R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8" t="n"/>
      <c r="N157" s="7" t="inlineStr">
        <is>
          <t>SEM COTAÇÃO</t>
        </is>
      </c>
      <c r="O157" s="8" t="n"/>
      <c r="P157" s="14" t="n"/>
      <c r="Q157" s="7" t="inlineStr"/>
      <c r="R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8" t="n"/>
      <c r="N158" s="7" t="inlineStr">
        <is>
          <t>SEM COTAÇÃO</t>
        </is>
      </c>
      <c r="O158" s="8" t="n"/>
      <c r="P158" s="14" t="n"/>
      <c r="Q158" s="7" t="inlineStr"/>
      <c r="R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8" t="n"/>
      <c r="N159" s="7" t="inlineStr">
        <is>
          <t>SEM COTAÇÃO</t>
        </is>
      </c>
      <c r="O159" s="8" t="n"/>
      <c r="P159" s="14" t="n"/>
      <c r="Q159" s="7" t="inlineStr"/>
      <c r="R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7" t="inlineStr">
        <is>
          <t>SEM COTAÇÃO</t>
        </is>
      </c>
      <c r="O160" s="8" t="n"/>
      <c r="P160" s="14" t="n"/>
      <c r="Q160" s="7" t="inlineStr"/>
      <c r="R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8" t="n"/>
      <c r="N161" s="7" t="inlineStr">
        <is>
          <t>SEM COTAÇÃO</t>
        </is>
      </c>
      <c r="O161" s="8" t="n"/>
      <c r="P161" s="14" t="n"/>
      <c r="Q161" s="7" t="inlineStr"/>
      <c r="R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8" t="n"/>
      <c r="N162" s="7" t="inlineStr">
        <is>
          <t>SEM COTAÇÃO</t>
        </is>
      </c>
      <c r="O162" s="8" t="n"/>
      <c r="P162" s="14" t="n"/>
      <c r="Q162" s="7" t="inlineStr"/>
      <c r="R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8" t="n"/>
      <c r="N163" s="7" t="inlineStr">
        <is>
          <t>SEM COTAÇÃO</t>
        </is>
      </c>
      <c r="O163" s="8" t="n"/>
      <c r="P163" s="14" t="n"/>
      <c r="Q163" s="7" t="inlineStr"/>
      <c r="R163" s="7" t="inlineStr"/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7" t="inlineStr">
        <is>
          <t>SEM COTAÇÃO</t>
        </is>
      </c>
      <c r="O164" s="8" t="n"/>
      <c r="P164" s="14" t="n"/>
      <c r="Q164" s="7" t="inlineStr"/>
      <c r="R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8" t="n"/>
      <c r="N165" s="7" t="inlineStr">
        <is>
          <t>SEM COTAÇÃO</t>
        </is>
      </c>
      <c r="O165" s="8" t="n"/>
      <c r="P165" s="14" t="n"/>
      <c r="Q165" s="7" t="inlineStr"/>
      <c r="R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8" t="n"/>
      <c r="N166" s="7" t="inlineStr">
        <is>
          <t>SEM COTAÇÃO</t>
        </is>
      </c>
      <c r="O166" s="8" t="n"/>
      <c r="P166" s="14" t="n"/>
      <c r="Q166" s="7" t="inlineStr"/>
      <c r="R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8" t="n"/>
      <c r="N167" s="7" t="inlineStr">
        <is>
          <t>SEM COTAÇÃO</t>
        </is>
      </c>
      <c r="O167" s="8" t="n"/>
      <c r="P167" s="14" t="n"/>
      <c r="Q167" s="7" t="inlineStr"/>
      <c r="R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8" t="n"/>
      <c r="N168" s="7" t="inlineStr">
        <is>
          <t>SEM COTAÇÃO</t>
        </is>
      </c>
      <c r="O168" s="8" t="n"/>
      <c r="P168" s="14" t="n"/>
      <c r="Q168" s="7" t="inlineStr"/>
      <c r="R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8" t="n"/>
      <c r="N169" s="7" t="inlineStr">
        <is>
          <t>SEM COTAÇÃO</t>
        </is>
      </c>
      <c r="O169" s="8" t="n"/>
      <c r="P169" s="14" t="n"/>
      <c r="Q169" s="7" t="inlineStr"/>
      <c r="R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8" t="n"/>
      <c r="N170" s="7" t="inlineStr">
        <is>
          <t>SEM COTAÇÃO</t>
        </is>
      </c>
      <c r="O170" s="8" t="n"/>
      <c r="P170" s="14" t="n"/>
      <c r="Q170" s="7" t="inlineStr"/>
      <c r="R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8" t="n"/>
      <c r="N171" s="7" t="inlineStr">
        <is>
          <t>SEM COTAÇÃO</t>
        </is>
      </c>
      <c r="O171" s="8" t="n"/>
      <c r="P171" s="14" t="n"/>
      <c r="Q171" s="7" t="inlineStr"/>
      <c r="R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15" t="n">
        <v>2.09</v>
      </c>
      <c r="N172" s="7" t="inlineStr">
        <is>
          <t>CENTROFARMA</t>
        </is>
      </c>
      <c r="O172" s="8" t="n">
        <v>2.09</v>
      </c>
      <c r="P172" s="14">
        <f>O172/H172-1</f>
        <v/>
      </c>
      <c r="Q172" s="17" t="inlineStr">
        <is>
          <t>OK (≤ menor hist.)</t>
        </is>
      </c>
      <c r="R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8" t="n"/>
      <c r="N173" s="7" t="inlineStr">
        <is>
          <t>SEM COTAÇÃO</t>
        </is>
      </c>
      <c r="O173" s="8" t="n"/>
      <c r="P173" s="14" t="n"/>
      <c r="Q173" s="7" t="inlineStr"/>
      <c r="R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8" t="n"/>
      <c r="N174" s="7" t="inlineStr">
        <is>
          <t>SEM COTAÇÃO</t>
        </is>
      </c>
      <c r="O174" s="8" t="n"/>
      <c r="P174" s="14" t="n"/>
      <c r="Q174" s="7" t="inlineStr"/>
      <c r="R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15" t="n">
        <v>2.69</v>
      </c>
      <c r="K175" s="8" t="n"/>
      <c r="L175" s="8" t="n"/>
      <c r="M175" s="8" t="n">
        <v>2.72</v>
      </c>
      <c r="N175" s="7" t="inlineStr">
        <is>
          <t>DIMEC</t>
        </is>
      </c>
      <c r="O175" s="8" t="n">
        <v>2.69</v>
      </c>
      <c r="P175" s="14">
        <f>O175/H175-1</f>
        <v/>
      </c>
      <c r="Q175" s="16" t="inlineStr">
        <is>
          <t>ACIMA +14.5%</t>
        </is>
      </c>
      <c r="R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15" t="n">
        <v>2.11</v>
      </c>
      <c r="N176" s="7" t="inlineStr">
        <is>
          <t>CENTROFARMA</t>
        </is>
      </c>
      <c r="O176" s="8" t="n">
        <v>2.11</v>
      </c>
      <c r="P176" s="14">
        <f>O176/H176-1</f>
        <v/>
      </c>
      <c r="Q176" s="16" t="inlineStr">
        <is>
          <t>ACIMA +7.1%</t>
        </is>
      </c>
      <c r="R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15" t="n">
        <v>2.16</v>
      </c>
      <c r="N177" s="7" t="inlineStr">
        <is>
          <t>CENTROFARMA</t>
        </is>
      </c>
      <c r="O177" s="8" t="n">
        <v>2.16</v>
      </c>
      <c r="P177" s="14">
        <f>O177/H177-1</f>
        <v/>
      </c>
      <c r="Q177" s="16" t="inlineStr">
        <is>
          <t>ACIMA +17.4%</t>
        </is>
      </c>
      <c r="R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2.42</v>
      </c>
      <c r="K178" s="8" t="n"/>
      <c r="L178" s="8" t="n"/>
      <c r="M178" s="15" t="n">
        <v>2.2</v>
      </c>
      <c r="N178" s="7" t="inlineStr">
        <is>
          <t>CENTROFARMA</t>
        </is>
      </c>
      <c r="O178" s="8" t="n">
        <v>2.2</v>
      </c>
      <c r="P178" s="14">
        <f>O178/H178-1</f>
        <v/>
      </c>
      <c r="Q178" s="16" t="inlineStr">
        <is>
          <t>ACIMA +12.8%</t>
        </is>
      </c>
      <c r="R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8" t="n"/>
      <c r="N179" s="7" t="inlineStr">
        <is>
          <t>SEM COTAÇÃO</t>
        </is>
      </c>
      <c r="O179" s="8" t="n"/>
      <c r="P179" s="14" t="n"/>
      <c r="Q179" s="7" t="inlineStr"/>
      <c r="R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15" t="n">
        <v>2.4</v>
      </c>
      <c r="K180" s="8" t="n"/>
      <c r="L180" s="8" t="n"/>
      <c r="M180" s="8" t="n">
        <v>2.47</v>
      </c>
      <c r="N180" s="7" t="inlineStr">
        <is>
          <t>DIMEC</t>
        </is>
      </c>
      <c r="O180" s="8" t="n">
        <v>2.4</v>
      </c>
      <c r="P180" s="14">
        <f>O180/H180-1</f>
        <v/>
      </c>
      <c r="Q180" s="16" t="inlineStr">
        <is>
          <t>ACIMA +1.3%</t>
        </is>
      </c>
      <c r="R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8.119999999999999</v>
      </c>
      <c r="K181" s="8" t="n"/>
      <c r="L181" s="8" t="n"/>
      <c r="M181" s="15" t="n">
        <v>8.08</v>
      </c>
      <c r="N181" s="7" t="inlineStr">
        <is>
          <t>CENTROFARMA</t>
        </is>
      </c>
      <c r="O181" s="8" t="n">
        <v>8.08</v>
      </c>
      <c r="P181" s="14">
        <f>O181/H181-1</f>
        <v/>
      </c>
      <c r="Q181" s="17" t="inlineStr">
        <is>
          <t>OK (≤ menor hist.)</t>
        </is>
      </c>
      <c r="R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8" t="n"/>
      <c r="N182" s="7" t="inlineStr">
        <is>
          <t>DIMEC</t>
        </is>
      </c>
      <c r="O182" s="8" t="n">
        <v>2.4</v>
      </c>
      <c r="P182" s="14">
        <f>O182/H182-1</f>
        <v/>
      </c>
      <c r="Q182" s="17" t="inlineStr">
        <is>
          <t>OK (≤ últ. compra)</t>
        </is>
      </c>
      <c r="R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8" t="n"/>
      <c r="N183" s="7" t="inlineStr">
        <is>
          <t>SEM COTAÇÃO</t>
        </is>
      </c>
      <c r="O183" s="8" t="n"/>
      <c r="P183" s="14" t="n"/>
      <c r="Q183" s="7" t="inlineStr"/>
      <c r="R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7" t="inlineStr">
        <is>
          <t>SEM COTAÇÃO</t>
        </is>
      </c>
      <c r="O184" s="8" t="n"/>
      <c r="P184" s="14" t="n"/>
      <c r="Q184" s="7" t="inlineStr"/>
      <c r="R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7" t="inlineStr">
        <is>
          <t>SEM COTAÇÃO</t>
        </is>
      </c>
      <c r="O185" s="8" t="n"/>
      <c r="P185" s="14" t="n"/>
      <c r="Q185" s="7" t="inlineStr"/>
      <c r="R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7" t="inlineStr">
        <is>
          <t>SEM COTAÇÃO</t>
        </is>
      </c>
      <c r="O186" s="8" t="n"/>
      <c r="P186" s="14" t="n"/>
      <c r="Q186" s="7" t="inlineStr"/>
      <c r="R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8" t="n"/>
      <c r="N187" s="7" t="inlineStr">
        <is>
          <t>DIMEC</t>
        </is>
      </c>
      <c r="O187" s="8" t="n">
        <v>0.116</v>
      </c>
      <c r="P187" s="14">
        <f>O187/H187-1</f>
        <v/>
      </c>
      <c r="Q187" s="17" t="inlineStr">
        <is>
          <t>OK (≤ menor hist.)</t>
        </is>
      </c>
      <c r="R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8" t="n"/>
      <c r="N188" s="7" t="inlineStr">
        <is>
          <t>DIMEC</t>
        </is>
      </c>
      <c r="O188" s="8" t="n">
        <v>0.1142</v>
      </c>
      <c r="P188" s="14">
        <f>O188/H188-1</f>
        <v/>
      </c>
      <c r="Q188" s="17" t="inlineStr">
        <is>
          <t>OK (≤ menor hist.)</t>
        </is>
      </c>
      <c r="R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8" t="n"/>
      <c r="N189" s="7" t="inlineStr">
        <is>
          <t>SEM COTAÇÃO</t>
        </is>
      </c>
      <c r="O189" s="8" t="n"/>
      <c r="P189" s="14" t="n"/>
      <c r="Q189" s="7" t="inlineStr"/>
      <c r="R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8" t="n"/>
      <c r="N190" s="7" t="inlineStr">
        <is>
          <t>SEM COTAÇÃO</t>
        </is>
      </c>
      <c r="O190" s="8" t="n"/>
      <c r="P190" s="14" t="n"/>
      <c r="Q190" s="7" t="inlineStr"/>
      <c r="R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7" t="inlineStr">
        <is>
          <t>SEM COTAÇÃO</t>
        </is>
      </c>
      <c r="O191" s="8" t="n"/>
      <c r="P191" s="14" t="n"/>
      <c r="Q191" s="7" t="inlineStr"/>
      <c r="R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7" t="inlineStr">
        <is>
          <t>SEM COTAÇÃO</t>
        </is>
      </c>
      <c r="O192" s="8" t="n"/>
      <c r="P192" s="14" t="n"/>
      <c r="Q192" s="7" t="inlineStr"/>
      <c r="R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7" t="inlineStr">
        <is>
          <t>SEM COTAÇÃO</t>
        </is>
      </c>
      <c r="O193" s="8" t="n"/>
      <c r="P193" s="14" t="n"/>
      <c r="Q193" s="7" t="inlineStr"/>
      <c r="R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8" t="n"/>
      <c r="N194" s="7" t="inlineStr">
        <is>
          <t>SEM COTAÇÃO</t>
        </is>
      </c>
      <c r="O194" s="8" t="n"/>
      <c r="P194" s="14" t="n"/>
      <c r="Q194" s="7" t="inlineStr"/>
      <c r="R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7" t="inlineStr">
        <is>
          <t>SEM COTAÇÃO</t>
        </is>
      </c>
      <c r="O195" s="8" t="n"/>
      <c r="P195" s="14" t="n"/>
      <c r="Q195" s="7" t="inlineStr"/>
      <c r="R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8" t="n"/>
      <c r="N196" s="7" t="inlineStr">
        <is>
          <t>SEM COTAÇÃO</t>
        </is>
      </c>
      <c r="O196" s="8" t="n"/>
      <c r="P196" s="14" t="n"/>
      <c r="Q196" s="7" t="inlineStr"/>
      <c r="R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8" t="n"/>
      <c r="N197" s="7" t="inlineStr">
        <is>
          <t>SEM COTAÇÃO</t>
        </is>
      </c>
      <c r="O197" s="8" t="n"/>
      <c r="P197" s="14" t="n"/>
      <c r="Q197" s="7" t="inlineStr"/>
      <c r="R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7" t="inlineStr">
        <is>
          <t>SEM COTAÇÃO</t>
        </is>
      </c>
      <c r="O198" s="8" t="n"/>
      <c r="P198" s="14" t="n"/>
      <c r="Q198" s="7" t="inlineStr"/>
      <c r="R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15" t="n">
        <v>47.62</v>
      </c>
      <c r="M199" s="8" t="n"/>
      <c r="N199" s="7" t="inlineStr">
        <is>
          <t>EPAN</t>
        </is>
      </c>
      <c r="O199" s="8" t="n">
        <v>47.62</v>
      </c>
      <c r="P199" s="14">
        <f>O199/H199-1</f>
        <v/>
      </c>
      <c r="Q199" s="16" t="inlineStr">
        <is>
          <t>ACIMA +6.9%</t>
        </is>
      </c>
      <c r="R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8" t="n"/>
      <c r="N200" s="7" t="inlineStr">
        <is>
          <t>SEM COTAÇÃO</t>
        </is>
      </c>
      <c r="O200" s="8" t="n"/>
      <c r="P200" s="14" t="n"/>
      <c r="Q200" s="7" t="inlineStr"/>
      <c r="R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8" t="n"/>
      <c r="N201" s="7" t="inlineStr">
        <is>
          <t>SEM COTAÇÃO</t>
        </is>
      </c>
      <c r="O201" s="8" t="n"/>
      <c r="P201" s="14" t="n"/>
      <c r="Q201" s="7" t="inlineStr"/>
      <c r="R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8" t="n"/>
      <c r="N202" s="7" t="inlineStr">
        <is>
          <t>DIMEC</t>
        </is>
      </c>
      <c r="O202" s="8" t="n">
        <v>4.24</v>
      </c>
      <c r="P202" s="14">
        <f>O202/H202-1</f>
        <v/>
      </c>
      <c r="Q202" s="16" t="inlineStr">
        <is>
          <t>ACIMA +5.7%</t>
        </is>
      </c>
      <c r="R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8" t="n">
        <v>2.46</v>
      </c>
      <c r="N203" s="7" t="inlineStr">
        <is>
          <t>DIMEC</t>
        </is>
      </c>
      <c r="O203" s="8" t="n">
        <v>2.43</v>
      </c>
      <c r="P203" s="14">
        <f>O203/H203-1</f>
        <v/>
      </c>
      <c r="Q203" s="16" t="inlineStr">
        <is>
          <t>ACIMA +15.2%</t>
        </is>
      </c>
      <c r="R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8" t="n">
        <v>5.51</v>
      </c>
      <c r="N204" s="7" t="inlineStr">
        <is>
          <t>DIMEC</t>
        </is>
      </c>
      <c r="O204" s="8" t="n">
        <v>5.17</v>
      </c>
      <c r="P204" s="14">
        <f>O204/H204-1</f>
        <v/>
      </c>
      <c r="Q204" s="16" t="inlineStr">
        <is>
          <t>ACIMA +14.6%</t>
        </is>
      </c>
      <c r="R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8" t="n">
        <v>5.89</v>
      </c>
      <c r="N205" s="7" t="inlineStr">
        <is>
          <t>DIMEC</t>
        </is>
      </c>
      <c r="O205" s="8" t="n">
        <v>5.6</v>
      </c>
      <c r="P205" s="14">
        <f>O205/H205-1</f>
        <v/>
      </c>
      <c r="Q205" s="16" t="inlineStr">
        <is>
          <t>ACIMA +0.2%</t>
        </is>
      </c>
      <c r="R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8" t="n"/>
      <c r="N206" s="7" t="inlineStr">
        <is>
          <t>SEM COTAÇÃO</t>
        </is>
      </c>
      <c r="O206" s="8" t="n"/>
      <c r="P206" s="14" t="n"/>
      <c r="Q206" s="7" t="inlineStr"/>
      <c r="R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8" t="n">
        <v>4.23</v>
      </c>
      <c r="N207" s="7" t="inlineStr">
        <is>
          <t>DIMEC</t>
        </is>
      </c>
      <c r="O207" s="8" t="n">
        <v>4.17</v>
      </c>
      <c r="P207" s="14">
        <f>O207/H207-1</f>
        <v/>
      </c>
      <c r="Q207" s="16" t="inlineStr">
        <is>
          <t>ACIMA +6.6%</t>
        </is>
      </c>
      <c r="R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8" t="n"/>
      <c r="N208" s="7" t="inlineStr">
        <is>
          <t>SEM COTAÇÃO</t>
        </is>
      </c>
      <c r="O208" s="8" t="n"/>
      <c r="P208" s="14" t="n"/>
      <c r="Q208" s="7" t="inlineStr"/>
      <c r="R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8" t="n"/>
      <c r="N209" s="7" t="inlineStr">
        <is>
          <t>DIMEC</t>
        </is>
      </c>
      <c r="O209" s="8" t="n">
        <v>6.55</v>
      </c>
      <c r="P209" s="14">
        <f>O209/H209-1</f>
        <v/>
      </c>
      <c r="Q209" s="17" t="inlineStr">
        <is>
          <t>OK (≤ menor hist.)</t>
        </is>
      </c>
      <c r="R209" s="7" t="inlineStr"/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8" t="n"/>
      <c r="N210" s="7" t="inlineStr">
        <is>
          <t>SEM COTAÇÃO</t>
        </is>
      </c>
      <c r="O210" s="8" t="n"/>
      <c r="P210" s="14" t="n"/>
      <c r="Q210" s="7" t="inlineStr"/>
      <c r="R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8" t="n"/>
      <c r="N211" s="7" t="inlineStr">
        <is>
          <t>SEM COTAÇÃO</t>
        </is>
      </c>
      <c r="O211" s="8" t="n"/>
      <c r="P211" s="14" t="n"/>
      <c r="Q211" s="7" t="inlineStr"/>
      <c r="R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8" t="n"/>
      <c r="N212" s="7" t="inlineStr">
        <is>
          <t>SEM COTAÇÃO</t>
        </is>
      </c>
      <c r="O212" s="8" t="n"/>
      <c r="P212" s="14" t="n"/>
      <c r="Q212" s="7" t="inlineStr"/>
      <c r="R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8" t="n"/>
      <c r="N213" s="7" t="inlineStr">
        <is>
          <t>SEM COTAÇÃO</t>
        </is>
      </c>
      <c r="O213" s="8" t="n"/>
      <c r="P213" s="14" t="n"/>
      <c r="Q213" s="7" t="inlineStr"/>
      <c r="R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8" t="n"/>
      <c r="N214" s="7" t="inlineStr">
        <is>
          <t>SEM COTAÇÃO</t>
        </is>
      </c>
      <c r="O214" s="8" t="n"/>
      <c r="P214" s="14" t="n"/>
      <c r="Q214" s="7" t="inlineStr"/>
      <c r="R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8" t="n"/>
      <c r="N215" s="7" t="inlineStr">
        <is>
          <t>SEM COTAÇÃO</t>
        </is>
      </c>
      <c r="O215" s="8" t="n"/>
      <c r="P215" s="14" t="n"/>
      <c r="Q215" s="7" t="inlineStr"/>
      <c r="R215" s="7" t="inlineStr"/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8" t="n"/>
      <c r="N216" s="7" t="inlineStr">
        <is>
          <t>SEM COTAÇÃO</t>
        </is>
      </c>
      <c r="O216" s="8" t="n"/>
      <c r="P216" s="14" t="n"/>
      <c r="Q216" s="7" t="inlineStr"/>
      <c r="R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8" t="n"/>
      <c r="N217" s="7" t="inlineStr">
        <is>
          <t>SEM COTAÇÃO</t>
        </is>
      </c>
      <c r="O217" s="8" t="n"/>
      <c r="P217" s="14" t="n"/>
      <c r="Q217" s="7" t="inlineStr"/>
      <c r="R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8" t="n"/>
      <c r="N218" s="7" t="inlineStr">
        <is>
          <t>SEM COTAÇÃO</t>
        </is>
      </c>
      <c r="O218" s="8" t="n"/>
      <c r="P218" s="14" t="n"/>
      <c r="Q218" s="7" t="inlineStr"/>
      <c r="R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8" t="n"/>
      <c r="N219" s="7" t="inlineStr">
        <is>
          <t>SEM COTAÇÃO</t>
        </is>
      </c>
      <c r="O219" s="8" t="n"/>
      <c r="P219" s="14" t="n"/>
      <c r="Q219" s="7" t="inlineStr"/>
      <c r="R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8" t="n"/>
      <c r="N220" s="7" t="inlineStr">
        <is>
          <t>SEM COTAÇÃO</t>
        </is>
      </c>
      <c r="O220" s="8" t="n"/>
      <c r="P220" s="14" t="n"/>
      <c r="Q220" s="7" t="inlineStr"/>
      <c r="R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8" t="n"/>
      <c r="N221" s="7" t="inlineStr">
        <is>
          <t>DIMEC</t>
        </is>
      </c>
      <c r="O221" s="8" t="n">
        <v>1.09</v>
      </c>
      <c r="P221" s="14">
        <f>O221/H221-1</f>
        <v/>
      </c>
      <c r="Q221" s="17" t="inlineStr">
        <is>
          <t>OK (≤ menor hist.)</t>
        </is>
      </c>
      <c r="R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8" t="n"/>
      <c r="N222" s="7" t="inlineStr">
        <is>
          <t>SEM COTAÇÃO</t>
        </is>
      </c>
      <c r="O222" s="8" t="n"/>
      <c r="P222" s="14" t="n"/>
      <c r="Q222" s="7" t="inlineStr"/>
      <c r="R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8" t="n"/>
      <c r="N223" s="7" t="inlineStr">
        <is>
          <t>SEM COTAÇÃO</t>
        </is>
      </c>
      <c r="O223" s="8" t="n"/>
      <c r="P223" s="14" t="n"/>
      <c r="Q223" s="7" t="inlineStr"/>
      <c r="R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8" t="n"/>
      <c r="N224" s="7" t="inlineStr">
        <is>
          <t>SEM COTAÇÃO</t>
        </is>
      </c>
      <c r="O224" s="8" t="n"/>
      <c r="P224" s="14" t="n"/>
      <c r="Q224" s="7" t="inlineStr"/>
      <c r="R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8" t="n"/>
      <c r="N225" s="7" t="inlineStr">
        <is>
          <t>SEM COTAÇÃO</t>
        </is>
      </c>
      <c r="O225" s="8" t="n"/>
      <c r="P225" s="14" t="n"/>
      <c r="Q225" s="7" t="inlineStr"/>
      <c r="R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8" t="n"/>
      <c r="N226" s="7" t="inlineStr">
        <is>
          <t>SEM COTAÇÃO</t>
        </is>
      </c>
      <c r="O226" s="8" t="n"/>
      <c r="P226" s="14" t="n"/>
      <c r="Q226" s="7" t="inlineStr"/>
      <c r="R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8" t="n"/>
      <c r="N227" s="7" t="inlineStr">
        <is>
          <t>SEM COTAÇÃO</t>
        </is>
      </c>
      <c r="O227" s="8" t="n"/>
      <c r="P227" s="14" t="n"/>
      <c r="Q227" s="7" t="inlineStr"/>
      <c r="R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8" t="n"/>
      <c r="N228" s="7" t="inlineStr">
        <is>
          <t>SEM COTAÇÃO</t>
        </is>
      </c>
      <c r="O228" s="8" t="n"/>
      <c r="P228" s="14" t="n"/>
      <c r="Q228" s="7" t="inlineStr"/>
      <c r="R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8" t="n"/>
      <c r="N229" s="7" t="inlineStr">
        <is>
          <t>SEM COTAÇÃO</t>
        </is>
      </c>
      <c r="O229" s="8" t="n"/>
      <c r="P229" s="14" t="n"/>
      <c r="Q229" s="7" t="inlineStr"/>
      <c r="R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8" t="n"/>
      <c r="N230" s="7" t="inlineStr">
        <is>
          <t>SEM COTAÇÃO</t>
        </is>
      </c>
      <c r="O230" s="8" t="n"/>
      <c r="P230" s="14" t="n"/>
      <c r="Q230" s="7" t="inlineStr"/>
      <c r="R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8" t="n"/>
      <c r="N231" s="7" t="inlineStr">
        <is>
          <t>SEM COTAÇÃO</t>
        </is>
      </c>
      <c r="O231" s="8" t="n"/>
      <c r="P231" s="14" t="n"/>
      <c r="Q231" s="7" t="inlineStr"/>
      <c r="R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8" t="n"/>
      <c r="N232" s="7" t="inlineStr">
        <is>
          <t>SEM COTAÇÃO</t>
        </is>
      </c>
      <c r="O232" s="8" t="n"/>
      <c r="P232" s="14" t="n"/>
      <c r="Q232" s="7" t="inlineStr"/>
      <c r="R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8" t="n"/>
      <c r="N233" s="7" t="inlineStr">
        <is>
          <t>DIMEC</t>
        </is>
      </c>
      <c r="O233" s="8" t="n">
        <v>8.02</v>
      </c>
      <c r="P233" s="14">
        <f>O233/H233-1</f>
        <v/>
      </c>
      <c r="Q233" s="16" t="inlineStr">
        <is>
          <t>ACIMA +23.0%</t>
        </is>
      </c>
      <c r="R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8" t="n"/>
      <c r="N234" s="7" t="inlineStr">
        <is>
          <t>SEM COTAÇÃO</t>
        </is>
      </c>
      <c r="O234" s="8" t="n"/>
      <c r="P234" s="14" t="n"/>
      <c r="Q234" s="7" t="inlineStr"/>
      <c r="R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8" t="n"/>
      <c r="N235" s="7" t="inlineStr">
        <is>
          <t>SEM COTAÇÃO</t>
        </is>
      </c>
      <c r="O235" s="8" t="n"/>
      <c r="P235" s="14" t="n"/>
      <c r="Q235" s="7" t="inlineStr"/>
      <c r="R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8" t="n"/>
      <c r="N236" s="7" t="inlineStr">
        <is>
          <t>SEM COTAÇÃO</t>
        </is>
      </c>
      <c r="O236" s="8" t="n"/>
      <c r="P236" s="14" t="n"/>
      <c r="Q236" s="7" t="inlineStr"/>
      <c r="R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8" t="n"/>
      <c r="N237" s="7" t="inlineStr">
        <is>
          <t>DIMEC</t>
        </is>
      </c>
      <c r="O237" s="8" t="n">
        <v>4.85</v>
      </c>
      <c r="P237" s="14">
        <f>O237/H237-1</f>
        <v/>
      </c>
      <c r="Q237" s="16" t="inlineStr">
        <is>
          <t>ACIMA +19.2%</t>
        </is>
      </c>
      <c r="R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8" t="n"/>
      <c r="N238" s="7" t="inlineStr">
        <is>
          <t>SEM COTAÇÃO</t>
        </is>
      </c>
      <c r="O238" s="8" t="n"/>
      <c r="P238" s="14" t="n"/>
      <c r="Q238" s="7" t="inlineStr"/>
      <c r="R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8" t="n"/>
      <c r="N239" s="7" t="inlineStr">
        <is>
          <t>SEM COTAÇÃO</t>
        </is>
      </c>
      <c r="O239" s="8" t="n"/>
      <c r="P239" s="14" t="n"/>
      <c r="Q239" s="7" t="inlineStr"/>
      <c r="R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8" t="n"/>
      <c r="N240" s="7" t="inlineStr">
        <is>
          <t>SEM COTAÇÃO</t>
        </is>
      </c>
      <c r="O240" s="8" t="n"/>
      <c r="P240" s="14" t="n"/>
      <c r="Q240" s="7" t="inlineStr"/>
      <c r="R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8" t="n"/>
      <c r="N241" s="7" t="inlineStr">
        <is>
          <t>SEM COTAÇÃO</t>
        </is>
      </c>
      <c r="O241" s="8" t="n"/>
      <c r="P241" s="14" t="n"/>
      <c r="Q241" s="7" t="inlineStr"/>
      <c r="R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8" t="n"/>
      <c r="N242" s="7" t="inlineStr">
        <is>
          <t>SEM COTAÇÃO</t>
        </is>
      </c>
      <c r="O242" s="8" t="n"/>
      <c r="P242" s="14" t="n"/>
      <c r="Q242" s="7" t="inlineStr"/>
      <c r="R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8" t="n"/>
      <c r="N243" s="7" t="inlineStr">
        <is>
          <t>SEM COTAÇÃO</t>
        </is>
      </c>
      <c r="O243" s="8" t="n"/>
      <c r="P243" s="14" t="n"/>
      <c r="Q243" s="7" t="inlineStr"/>
      <c r="R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8" t="n"/>
      <c r="N244" s="7" t="inlineStr">
        <is>
          <t>SEM COTAÇÃO</t>
        </is>
      </c>
      <c r="O244" s="8" t="n"/>
      <c r="P244" s="14" t="n"/>
      <c r="Q244" s="7" t="inlineStr"/>
      <c r="R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8" t="n"/>
      <c r="N245" s="7" t="inlineStr">
        <is>
          <t>SEM COTAÇÃO</t>
        </is>
      </c>
      <c r="O245" s="8" t="n"/>
      <c r="P245" s="14" t="n"/>
      <c r="Q245" s="7" t="inlineStr"/>
      <c r="R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8" t="n"/>
      <c r="M246" s="8" t="n">
        <v>5.18</v>
      </c>
      <c r="N246" s="7" t="inlineStr">
        <is>
          <t>DIMEC</t>
        </is>
      </c>
      <c r="O246" s="8" t="n">
        <v>4.69</v>
      </c>
      <c r="P246" s="14">
        <f>O246/H246-1</f>
        <v/>
      </c>
      <c r="Q246" s="16" t="inlineStr">
        <is>
          <t>ACIMA +27.1%</t>
        </is>
      </c>
      <c r="R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8" t="n"/>
      <c r="M247" s="8" t="n">
        <v>5.42</v>
      </c>
      <c r="N247" s="7" t="inlineStr">
        <is>
          <t>DIMEC</t>
        </is>
      </c>
      <c r="O247" s="8" t="n">
        <v>4.71</v>
      </c>
      <c r="P247" s="14">
        <f>O247/H247-1</f>
        <v/>
      </c>
      <c r="Q247" s="16" t="inlineStr">
        <is>
          <t>ACIMA +0.6%</t>
        </is>
      </c>
      <c r="R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8" t="n"/>
      <c r="N248" s="7" t="inlineStr">
        <is>
          <t>SEM COTAÇÃO</t>
        </is>
      </c>
      <c r="O248" s="8" t="n"/>
      <c r="P248" s="14" t="n"/>
      <c r="Q248" s="7" t="inlineStr"/>
      <c r="R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8" t="n"/>
      <c r="N249" s="7" t="inlineStr">
        <is>
          <t>SEM COTAÇÃO</t>
        </is>
      </c>
      <c r="O249" s="8" t="n"/>
      <c r="P249" s="14" t="n"/>
      <c r="Q249" s="7" t="inlineStr"/>
      <c r="R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8" t="n"/>
      <c r="N250" s="7" t="inlineStr">
        <is>
          <t>SEM COTAÇÃO</t>
        </is>
      </c>
      <c r="O250" s="8" t="n"/>
      <c r="P250" s="14" t="n"/>
      <c r="Q250" s="7" t="inlineStr"/>
      <c r="R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8" t="n"/>
      <c r="N251" s="7" t="inlineStr">
        <is>
          <t>SEM COTAÇÃO</t>
        </is>
      </c>
      <c r="O251" s="8" t="n"/>
      <c r="P251" s="14" t="n"/>
      <c r="Q251" s="7" t="inlineStr"/>
      <c r="R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8" t="n"/>
      <c r="N252" s="7" t="inlineStr">
        <is>
          <t>SEM COTAÇÃO</t>
        </is>
      </c>
      <c r="O252" s="8" t="n"/>
      <c r="P252" s="14" t="n"/>
      <c r="Q252" s="7" t="inlineStr"/>
      <c r="R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8" t="n"/>
      <c r="N253" s="7" t="inlineStr">
        <is>
          <t>SEM COTAÇÃO</t>
        </is>
      </c>
      <c r="O253" s="8" t="n"/>
      <c r="P253" s="14" t="n"/>
      <c r="Q253" s="7" t="inlineStr"/>
      <c r="R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8" t="n"/>
      <c r="N254" s="7" t="inlineStr">
        <is>
          <t>SEM COTAÇÃO</t>
        </is>
      </c>
      <c r="O254" s="8" t="n"/>
      <c r="P254" s="14" t="n"/>
      <c r="Q254" s="7" t="inlineStr"/>
      <c r="R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8" t="n"/>
      <c r="N255" s="7" t="inlineStr">
        <is>
          <t>SEM COTAÇÃO</t>
        </is>
      </c>
      <c r="O255" s="8" t="n"/>
      <c r="P255" s="14" t="n"/>
      <c r="Q255" s="7" t="inlineStr"/>
      <c r="R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8" t="n"/>
      <c r="N256" s="7" t="inlineStr">
        <is>
          <t>SEM COTAÇÃO</t>
        </is>
      </c>
      <c r="O256" s="8" t="n"/>
      <c r="P256" s="14" t="n"/>
      <c r="Q256" s="7" t="inlineStr"/>
      <c r="R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8" t="n"/>
      <c r="N257" s="7" t="inlineStr">
        <is>
          <t>SEM COTAÇÃO</t>
        </is>
      </c>
      <c r="O257" s="8" t="n"/>
      <c r="P257" s="14" t="n"/>
      <c r="Q257" s="7" t="inlineStr"/>
      <c r="R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8" t="n"/>
      <c r="N258" s="7" t="inlineStr">
        <is>
          <t>SEM COTAÇÃO</t>
        </is>
      </c>
      <c r="O258" s="8" t="n"/>
      <c r="P258" s="14" t="n"/>
      <c r="Q258" s="7" t="inlineStr"/>
      <c r="R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8" t="n"/>
      <c r="N259" s="7" t="inlineStr">
        <is>
          <t>SEM COTAÇÃO</t>
        </is>
      </c>
      <c r="O259" s="8" t="n"/>
      <c r="P259" s="14" t="n"/>
      <c r="Q259" s="7" t="inlineStr"/>
      <c r="R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8" t="n"/>
      <c r="N260" s="7" t="inlineStr">
        <is>
          <t>SEM COTAÇÃO</t>
        </is>
      </c>
      <c r="O260" s="8" t="n"/>
      <c r="P260" s="14" t="n"/>
      <c r="Q260" s="7" t="inlineStr"/>
      <c r="R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8" t="n"/>
      <c r="N261" s="7" t="inlineStr">
        <is>
          <t>SEM COTAÇÃO</t>
        </is>
      </c>
      <c r="O261" s="8" t="n"/>
      <c r="P261" s="14" t="n"/>
      <c r="Q261" s="7" t="inlineStr"/>
      <c r="R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8" t="n"/>
      <c r="N262" s="7" t="inlineStr">
        <is>
          <t>SEM COTAÇÃO</t>
        </is>
      </c>
      <c r="O262" s="8" t="n"/>
      <c r="P262" s="14" t="n"/>
      <c r="Q262" s="7" t="inlineStr"/>
      <c r="R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8" t="n"/>
      <c r="N263" s="7" t="inlineStr">
        <is>
          <t>SEM COTAÇÃO</t>
        </is>
      </c>
      <c r="O263" s="8" t="n"/>
      <c r="P263" s="14" t="n"/>
      <c r="Q263" s="7" t="inlineStr"/>
      <c r="R263" s="7" t="inlineStr"/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8" t="n"/>
      <c r="N264" s="7" t="inlineStr">
        <is>
          <t>SEM COTAÇÃO</t>
        </is>
      </c>
      <c r="O264" s="8" t="n"/>
      <c r="P264" s="14" t="n"/>
      <c r="Q264" s="7" t="inlineStr"/>
      <c r="R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8" t="n"/>
      <c r="N265" s="7" t="inlineStr">
        <is>
          <t>SEM COTAÇÃO</t>
        </is>
      </c>
      <c r="O265" s="8" t="n"/>
      <c r="P265" s="14" t="n"/>
      <c r="Q265" s="7" t="inlineStr"/>
      <c r="R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8" t="n"/>
      <c r="N266" s="7" t="inlineStr">
        <is>
          <t>SEM COTAÇÃO</t>
        </is>
      </c>
      <c r="O266" s="8" t="n"/>
      <c r="P266" s="14" t="n"/>
      <c r="Q266" s="7" t="inlineStr"/>
      <c r="R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8" t="n"/>
      <c r="N267" s="7" t="inlineStr">
        <is>
          <t>SEM COTAÇÃO</t>
        </is>
      </c>
      <c r="O267" s="8" t="n"/>
      <c r="P267" s="14" t="n"/>
      <c r="Q267" s="7" t="inlineStr"/>
      <c r="R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8" t="n"/>
      <c r="N268" s="7" t="inlineStr">
        <is>
          <t>SEM COTAÇÃO</t>
        </is>
      </c>
      <c r="O268" s="8" t="n"/>
      <c r="P268" s="14" t="n"/>
      <c r="Q268" s="7" t="inlineStr"/>
      <c r="R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8" t="n"/>
      <c r="N269" s="7" t="inlineStr">
        <is>
          <t>SEM COTAÇÃO</t>
        </is>
      </c>
      <c r="O269" s="8" t="n"/>
      <c r="P269" s="14" t="n"/>
      <c r="Q269" s="7" t="inlineStr"/>
      <c r="R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7" t="inlineStr">
        <is>
          <t>SEM COTAÇÃO</t>
        </is>
      </c>
      <c r="O270" s="8" t="n"/>
      <c r="P270" s="14" t="n"/>
      <c r="Q270" s="7" t="inlineStr"/>
      <c r="R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7" t="inlineStr">
        <is>
          <t>SEM COTAÇÃO</t>
        </is>
      </c>
      <c r="O271" s="8" t="n"/>
      <c r="P271" s="14" t="n"/>
      <c r="Q271" s="7" t="inlineStr"/>
      <c r="R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8" t="n"/>
      <c r="N272" s="7" t="inlineStr">
        <is>
          <t>SEM COTAÇÃO</t>
        </is>
      </c>
      <c r="O272" s="8" t="n"/>
      <c r="P272" s="14" t="n"/>
      <c r="Q272" s="7" t="inlineStr"/>
      <c r="R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8" t="n"/>
      <c r="N273" s="7" t="inlineStr">
        <is>
          <t>SEM COTAÇÃO</t>
        </is>
      </c>
      <c r="O273" s="8" t="n"/>
      <c r="P273" s="14" t="n"/>
      <c r="Q273" s="7" t="inlineStr"/>
      <c r="R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8" t="n"/>
      <c r="N274" s="7" t="inlineStr">
        <is>
          <t>SEM COTAÇÃO</t>
        </is>
      </c>
      <c r="O274" s="8" t="n"/>
      <c r="P274" s="14" t="n"/>
      <c r="Q274" s="7" t="inlineStr"/>
      <c r="R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15" t="n">
        <v>50.26</v>
      </c>
      <c r="M275" s="8" t="n"/>
      <c r="N275" s="7" t="inlineStr">
        <is>
          <t>EPAN</t>
        </is>
      </c>
      <c r="O275" s="8" t="n">
        <v>50.26</v>
      </c>
      <c r="P275" s="14">
        <f>O275/H275-1</f>
        <v/>
      </c>
      <c r="Q275" s="17" t="inlineStr">
        <is>
          <t>OK (≤ últ. compra)</t>
        </is>
      </c>
      <c r="R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8" t="n"/>
      <c r="N276" s="7" t="inlineStr">
        <is>
          <t>SEM COTAÇÃO</t>
        </is>
      </c>
      <c r="O276" s="8" t="n"/>
      <c r="P276" s="14" t="n"/>
      <c r="Q276" s="7" t="inlineStr"/>
      <c r="R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8" t="n"/>
      <c r="N277" s="7" t="inlineStr">
        <is>
          <t>SEM COTAÇÃO</t>
        </is>
      </c>
      <c r="O277" s="8" t="n"/>
      <c r="P277" s="14" t="n"/>
      <c r="Q277" s="7" t="inlineStr"/>
      <c r="R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8" t="n"/>
      <c r="N278" s="7" t="inlineStr">
        <is>
          <t>SEM COTAÇÃO</t>
        </is>
      </c>
      <c r="O278" s="8" t="n"/>
      <c r="P278" s="14" t="n"/>
      <c r="Q278" s="7" t="inlineStr"/>
      <c r="R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8" t="n"/>
      <c r="N279" s="7" t="inlineStr">
        <is>
          <t>SEM COTAÇÃO</t>
        </is>
      </c>
      <c r="O279" s="8" t="n"/>
      <c r="P279" s="14" t="n"/>
      <c r="Q279" s="7" t="inlineStr"/>
      <c r="R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8" t="n"/>
      <c r="N280" s="7" t="inlineStr">
        <is>
          <t>SEM COTAÇÃO</t>
        </is>
      </c>
      <c r="O280" s="8" t="n"/>
      <c r="P280" s="14" t="n"/>
      <c r="Q280" s="7" t="inlineStr"/>
      <c r="R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8" t="n"/>
      <c r="N281" s="7" t="inlineStr">
        <is>
          <t>SEM COTAÇÃO</t>
        </is>
      </c>
      <c r="O281" s="8" t="n"/>
      <c r="P281" s="14" t="n"/>
      <c r="Q281" s="7" t="inlineStr"/>
      <c r="R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8" t="n"/>
      <c r="N282" s="7" t="inlineStr">
        <is>
          <t>SEM COTAÇÃO</t>
        </is>
      </c>
      <c r="O282" s="8" t="n"/>
      <c r="P282" s="14" t="n"/>
      <c r="Q282" s="7" t="inlineStr"/>
      <c r="R282" s="7" t="inlineStr"/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8" t="n"/>
      <c r="N283" s="7" t="inlineStr">
        <is>
          <t>SEM COTAÇÃO</t>
        </is>
      </c>
      <c r="O283" s="8" t="n"/>
      <c r="P283" s="14" t="n"/>
      <c r="Q283" s="7" t="inlineStr"/>
      <c r="R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8" t="n"/>
      <c r="N284" s="7" t="inlineStr">
        <is>
          <t>SEM COTAÇÃO</t>
        </is>
      </c>
      <c r="O284" s="8" t="n"/>
      <c r="P284" s="14" t="n"/>
      <c r="Q284" s="7" t="inlineStr"/>
      <c r="R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8" t="n"/>
      <c r="N285" s="7" t="inlineStr">
        <is>
          <t>SEM COTAÇÃO</t>
        </is>
      </c>
      <c r="O285" s="8" t="n"/>
      <c r="P285" s="14" t="n"/>
      <c r="Q285" s="7" t="inlineStr"/>
      <c r="R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8" t="n"/>
      <c r="N286" s="7" t="inlineStr">
        <is>
          <t>SEM COTAÇÃO</t>
        </is>
      </c>
      <c r="O286" s="8" t="n"/>
      <c r="P286" s="14" t="n"/>
      <c r="Q286" s="7" t="inlineStr"/>
      <c r="R286" s="7" t="inlineStr"/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8" t="n"/>
      <c r="N287" s="7" t="inlineStr">
        <is>
          <t>SEM COTAÇÃO</t>
        </is>
      </c>
      <c r="O287" s="8" t="n"/>
      <c r="P287" s="14" t="n"/>
      <c r="Q287" s="7" t="inlineStr"/>
      <c r="R287" s="7" t="inlineStr"/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8" t="n"/>
      <c r="N288" s="7" t="inlineStr">
        <is>
          <t>SEM COTAÇÃO</t>
        </is>
      </c>
      <c r="O288" s="8" t="n"/>
      <c r="P288" s="14" t="n"/>
      <c r="Q288" s="7" t="inlineStr"/>
      <c r="R288" s="7" t="inlineStr"/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8" t="n"/>
      <c r="N289" s="7" t="inlineStr">
        <is>
          <t>SEM COTAÇÃO</t>
        </is>
      </c>
      <c r="O289" s="8" t="n"/>
      <c r="P289" s="14" t="n"/>
      <c r="Q289" s="7" t="inlineStr"/>
      <c r="R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8" t="n"/>
      <c r="N290" s="7" t="inlineStr">
        <is>
          <t>SEM COTAÇÃO</t>
        </is>
      </c>
      <c r="O290" s="8" t="n"/>
      <c r="P290" s="14" t="n"/>
      <c r="Q290" s="7" t="inlineStr"/>
      <c r="R290" s="7" t="inlineStr"/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8" t="n"/>
      <c r="N291" s="7" t="inlineStr">
        <is>
          <t>SEM COTAÇÃO</t>
        </is>
      </c>
      <c r="O291" s="8" t="n"/>
      <c r="P291" s="14" t="n"/>
      <c r="Q291" s="7" t="inlineStr"/>
      <c r="R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8" t="n"/>
      <c r="N292" s="7" t="inlineStr">
        <is>
          <t>SEM COTAÇÃO</t>
        </is>
      </c>
      <c r="O292" s="8" t="n"/>
      <c r="P292" s="14" t="n"/>
      <c r="Q292" s="7" t="inlineStr"/>
      <c r="R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8" t="n"/>
      <c r="N293" s="7" t="inlineStr">
        <is>
          <t>SEM COTAÇÃO</t>
        </is>
      </c>
      <c r="O293" s="8" t="n"/>
      <c r="P293" s="14" t="n"/>
      <c r="Q293" s="7" t="inlineStr"/>
      <c r="R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8" t="n"/>
      <c r="N294" s="7" t="inlineStr">
        <is>
          <t>SEM COTAÇÃO</t>
        </is>
      </c>
      <c r="O294" s="8" t="n"/>
      <c r="P294" s="14" t="n"/>
      <c r="Q294" s="7" t="inlineStr"/>
      <c r="R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8" t="n"/>
      <c r="N295" s="7" t="inlineStr">
        <is>
          <t>SEM COTAÇÃO</t>
        </is>
      </c>
      <c r="O295" s="8" t="n"/>
      <c r="P295" s="14" t="n"/>
      <c r="Q295" s="7" t="inlineStr"/>
      <c r="R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8" t="n"/>
      <c r="N296" s="7" t="inlineStr">
        <is>
          <t>SEM COTAÇÃO</t>
        </is>
      </c>
      <c r="O296" s="8" t="n"/>
      <c r="P296" s="14" t="n"/>
      <c r="Q296" s="7" t="inlineStr"/>
      <c r="R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8" t="n"/>
      <c r="N297" s="7" t="inlineStr">
        <is>
          <t>SEM COTAÇÃO</t>
        </is>
      </c>
      <c r="O297" s="8" t="n"/>
      <c r="P297" s="14" t="n"/>
      <c r="Q297" s="7" t="inlineStr"/>
      <c r="R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8" t="n"/>
      <c r="N298" s="7" t="inlineStr">
        <is>
          <t>SEM COTAÇÃO</t>
        </is>
      </c>
      <c r="O298" s="8" t="n"/>
      <c r="P298" s="14" t="n"/>
      <c r="Q298" s="7" t="inlineStr"/>
      <c r="R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8" t="n"/>
      <c r="N299" s="7" t="inlineStr">
        <is>
          <t>SEM COTAÇÃO</t>
        </is>
      </c>
      <c r="O299" s="8" t="n"/>
      <c r="P299" s="14" t="n"/>
      <c r="Q299" s="7" t="inlineStr"/>
      <c r="R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8" t="n"/>
      <c r="N300" s="7" t="inlineStr">
        <is>
          <t>SEM COTAÇÃO</t>
        </is>
      </c>
      <c r="O300" s="8" t="n"/>
      <c r="P300" s="14" t="n"/>
      <c r="Q300" s="7" t="inlineStr"/>
      <c r="R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8" t="n"/>
      <c r="N301" s="7" t="inlineStr">
        <is>
          <t>SEM COTAÇÃO</t>
        </is>
      </c>
      <c r="O301" s="8" t="n"/>
      <c r="P301" s="14" t="n"/>
      <c r="Q301" s="7" t="inlineStr"/>
      <c r="R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8" t="n"/>
      <c r="N302" s="7" t="inlineStr">
        <is>
          <t>SEM COTAÇÃO</t>
        </is>
      </c>
      <c r="O302" s="8" t="n"/>
      <c r="P302" s="14" t="n"/>
      <c r="Q302" s="7" t="inlineStr"/>
      <c r="R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8" t="n"/>
      <c r="N303" s="7" t="inlineStr">
        <is>
          <t>SEM COTAÇÃO</t>
        </is>
      </c>
      <c r="O303" s="8" t="n"/>
      <c r="P303" s="14" t="n"/>
      <c r="Q303" s="7" t="inlineStr"/>
      <c r="R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8" t="n"/>
      <c r="N304" s="7" t="inlineStr">
        <is>
          <t>SEM COTAÇÃO</t>
        </is>
      </c>
      <c r="O304" s="8" t="n"/>
      <c r="P304" s="14" t="n"/>
      <c r="Q304" s="7" t="inlineStr"/>
      <c r="R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8" t="n"/>
      <c r="N305" s="7" t="inlineStr">
        <is>
          <t>SEM COTAÇÃO</t>
        </is>
      </c>
      <c r="O305" s="8" t="n"/>
      <c r="P305" s="14" t="n"/>
      <c r="Q305" s="7" t="inlineStr"/>
      <c r="R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8" t="n"/>
      <c r="N306" s="7" t="inlineStr">
        <is>
          <t>SEM COTAÇÃO</t>
        </is>
      </c>
      <c r="O306" s="8" t="n"/>
      <c r="P306" s="14" t="n"/>
      <c r="Q306" s="7" t="inlineStr"/>
      <c r="R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8" t="n"/>
      <c r="N307" s="7" t="inlineStr">
        <is>
          <t>SEM COTAÇÃO</t>
        </is>
      </c>
      <c r="O307" s="8" t="n"/>
      <c r="P307" s="14" t="n"/>
      <c r="Q307" s="7" t="inlineStr"/>
      <c r="R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8" t="n"/>
      <c r="N308" s="7" t="inlineStr">
        <is>
          <t>SEM COTAÇÃO</t>
        </is>
      </c>
      <c r="O308" s="8" t="n"/>
      <c r="P308" s="14" t="n"/>
      <c r="Q308" s="7" t="inlineStr"/>
      <c r="R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8" t="n"/>
      <c r="N309" s="7" t="inlineStr">
        <is>
          <t>SEM COTAÇÃO</t>
        </is>
      </c>
      <c r="O309" s="8" t="n"/>
      <c r="P309" s="14" t="n"/>
      <c r="Q309" s="7" t="inlineStr"/>
      <c r="R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8" t="n"/>
      <c r="N310" s="7" t="inlineStr">
        <is>
          <t>SEM COTAÇÃO</t>
        </is>
      </c>
      <c r="O310" s="8" t="n"/>
      <c r="P310" s="14" t="n"/>
      <c r="Q310" s="7" t="inlineStr"/>
      <c r="R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8" t="n"/>
      <c r="N311" s="7" t="inlineStr">
        <is>
          <t>SEM COTAÇÃO</t>
        </is>
      </c>
      <c r="O311" s="8" t="n"/>
      <c r="P311" s="14" t="n"/>
      <c r="Q311" s="7" t="inlineStr"/>
      <c r="R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8" t="n"/>
      <c r="N312" s="7" t="inlineStr">
        <is>
          <t>SEM COTAÇÃO</t>
        </is>
      </c>
      <c r="O312" s="8" t="n"/>
      <c r="P312" s="14" t="n"/>
      <c r="Q312" s="7" t="inlineStr"/>
      <c r="R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8" t="n"/>
      <c r="N313" s="7" t="inlineStr">
        <is>
          <t>SEM COTAÇÃO</t>
        </is>
      </c>
      <c r="O313" s="8" t="n"/>
      <c r="P313" s="14" t="n"/>
      <c r="Q313" s="7" t="inlineStr"/>
      <c r="R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8" t="n"/>
      <c r="N314" s="7" t="inlineStr">
        <is>
          <t>SEM COTAÇÃO</t>
        </is>
      </c>
      <c r="O314" s="8" t="n"/>
      <c r="P314" s="14" t="n"/>
      <c r="Q314" s="7" t="inlineStr"/>
      <c r="R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8" t="n"/>
      <c r="N315" s="7" t="inlineStr">
        <is>
          <t>SEM COTAÇÃO</t>
        </is>
      </c>
      <c r="O315" s="8" t="n"/>
      <c r="P315" s="14" t="n"/>
      <c r="Q315" s="7" t="inlineStr"/>
      <c r="R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8" t="n"/>
      <c r="N316" s="7" t="inlineStr">
        <is>
          <t>SEM COTAÇÃO</t>
        </is>
      </c>
      <c r="O316" s="8" t="n"/>
      <c r="P316" s="14" t="n"/>
      <c r="Q316" s="7" t="inlineStr"/>
      <c r="R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8" t="n">
        <v>5.84</v>
      </c>
      <c r="N317" s="7" t="inlineStr">
        <is>
          <t>DIMEC</t>
        </is>
      </c>
      <c r="O317" s="8" t="n">
        <v>5.49</v>
      </c>
      <c r="P317" s="14">
        <f>O317/H317-1</f>
        <v/>
      </c>
      <c r="Q317" s="16" t="inlineStr">
        <is>
          <t>ACIMA +26.2%</t>
        </is>
      </c>
      <c r="R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8" t="n">
        <v>5.84</v>
      </c>
      <c r="N318" s="7" t="inlineStr">
        <is>
          <t>DIMEC</t>
        </is>
      </c>
      <c r="O318" s="8" t="n">
        <v>5.49</v>
      </c>
      <c r="P318" s="14">
        <f>O318/H318-1</f>
        <v/>
      </c>
      <c r="Q318" s="16" t="inlineStr">
        <is>
          <t>ACIMA +0.2%</t>
        </is>
      </c>
      <c r="R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8" t="n"/>
      <c r="N319" s="7" t="inlineStr">
        <is>
          <t>SEM COTAÇÃO</t>
        </is>
      </c>
      <c r="O319" s="8" t="n"/>
      <c r="P319" s="14" t="n"/>
      <c r="Q319" s="7" t="inlineStr"/>
      <c r="R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8" t="n"/>
      <c r="N320" s="7" t="inlineStr">
        <is>
          <t>SEM COTAÇÃO</t>
        </is>
      </c>
      <c r="O320" s="8" t="n"/>
      <c r="P320" s="14" t="n"/>
      <c r="Q320" s="7" t="inlineStr"/>
      <c r="R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8" t="n"/>
      <c r="N321" s="7" t="inlineStr">
        <is>
          <t>SEM COTAÇÃO</t>
        </is>
      </c>
      <c r="O321" s="8" t="n"/>
      <c r="P321" s="14" t="n"/>
      <c r="Q321" s="7" t="inlineStr"/>
      <c r="R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8" t="n"/>
      <c r="N322" s="7" t="inlineStr">
        <is>
          <t>EPAN</t>
        </is>
      </c>
      <c r="O322" s="8" t="n">
        <v>58.12</v>
      </c>
      <c r="P322" s="14">
        <f>O322/H322-1</f>
        <v/>
      </c>
      <c r="Q322" s="17" t="inlineStr">
        <is>
          <t>OK (≤ últ. compra)</t>
        </is>
      </c>
      <c r="R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8" t="n"/>
      <c r="N323" s="7" t="inlineStr">
        <is>
          <t>EPAN</t>
        </is>
      </c>
      <c r="O323" s="8" t="n">
        <v>57.69</v>
      </c>
      <c r="P323" s="14">
        <f>O323/H323-1</f>
        <v/>
      </c>
      <c r="Q323" s="17" t="inlineStr">
        <is>
          <t>OK (≤ menor hist.)</t>
        </is>
      </c>
      <c r="R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8" t="n"/>
      <c r="N324" s="7" t="inlineStr">
        <is>
          <t>EPAN</t>
        </is>
      </c>
      <c r="O324" s="8" t="n">
        <v>44.01</v>
      </c>
      <c r="P324" s="14">
        <f>O324/H324-1</f>
        <v/>
      </c>
      <c r="Q324" s="17" t="inlineStr">
        <is>
          <t>OK (≤ menor hist.)</t>
        </is>
      </c>
      <c r="R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8" t="n"/>
      <c r="N325" s="7" t="inlineStr">
        <is>
          <t>SEM COTAÇÃO</t>
        </is>
      </c>
      <c r="O325" s="8" t="n"/>
      <c r="P325" s="14" t="n"/>
      <c r="Q325" s="7" t="inlineStr"/>
      <c r="R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8" t="n"/>
      <c r="N326" s="7" t="inlineStr">
        <is>
          <t>SEM COTAÇÃO</t>
        </is>
      </c>
      <c r="O326" s="8" t="n"/>
      <c r="P326" s="14" t="n"/>
      <c r="Q326" s="7" t="inlineStr"/>
      <c r="R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8" t="n"/>
      <c r="N327" s="7" t="inlineStr">
        <is>
          <t>SEM COTAÇÃO</t>
        </is>
      </c>
      <c r="O327" s="8" t="n"/>
      <c r="P327" s="14" t="n"/>
      <c r="Q327" s="7" t="inlineStr"/>
      <c r="R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8" t="n"/>
      <c r="N328" s="7" t="inlineStr">
        <is>
          <t>SEM COTAÇÃO</t>
        </is>
      </c>
      <c r="O328" s="8" t="n"/>
      <c r="P328" s="14" t="n"/>
      <c r="Q328" s="7" t="inlineStr"/>
      <c r="R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8" t="n"/>
      <c r="N329" s="7" t="inlineStr">
        <is>
          <t>SEM COTAÇÃO</t>
        </is>
      </c>
      <c r="O329" s="8" t="n"/>
      <c r="P329" s="14" t="n"/>
      <c r="Q329" s="7" t="inlineStr"/>
      <c r="R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15" t="n">
        <v>39.71</v>
      </c>
      <c r="N330" s="7" t="inlineStr">
        <is>
          <t>CENTROFARMA</t>
        </is>
      </c>
      <c r="O330" s="8" t="n">
        <v>39.71</v>
      </c>
      <c r="P330" s="14">
        <f>O330/H330-1</f>
        <v/>
      </c>
      <c r="Q330" s="16" t="inlineStr">
        <is>
          <t>ACIMA +5.6%</t>
        </is>
      </c>
      <c r="R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8" t="n"/>
      <c r="N331" s="7" t="inlineStr">
        <is>
          <t>DIMEC</t>
        </is>
      </c>
      <c r="O331" s="8" t="n">
        <v>42.39</v>
      </c>
      <c r="P331" s="14">
        <f>O331/H331-1</f>
        <v/>
      </c>
      <c r="Q331" s="16" t="inlineStr">
        <is>
          <t>ACIMA +57.1%</t>
        </is>
      </c>
      <c r="R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8" t="n"/>
      <c r="M332" s="8" t="n"/>
      <c r="N332" s="7" t="inlineStr">
        <is>
          <t>DIMEC</t>
        </is>
      </c>
      <c r="O332" s="8" t="n">
        <v>3.3</v>
      </c>
      <c r="P332" s="14">
        <f>O332/H332-1</f>
        <v/>
      </c>
      <c r="Q332" s="16" t="inlineStr">
        <is>
          <t>ACIMA +2.5%</t>
        </is>
      </c>
      <c r="R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8" t="n"/>
      <c r="N333" s="7" t="inlineStr">
        <is>
          <t>SEM COTAÇÃO</t>
        </is>
      </c>
      <c r="O333" s="8" t="n"/>
      <c r="P333" s="14" t="n"/>
      <c r="Q333" s="7" t="inlineStr"/>
      <c r="R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8" t="n"/>
      <c r="N334" s="7" t="inlineStr">
        <is>
          <t>SEM COTAÇÃO</t>
        </is>
      </c>
      <c r="O334" s="8" t="n"/>
      <c r="P334" s="14" t="n"/>
      <c r="Q334" s="7" t="inlineStr"/>
      <c r="R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8" t="n"/>
      <c r="N335" s="7" t="inlineStr">
        <is>
          <t>SEM COTAÇÃO</t>
        </is>
      </c>
      <c r="O335" s="8" t="n"/>
      <c r="P335" s="14" t="n"/>
      <c r="Q335" s="7" t="inlineStr"/>
      <c r="R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8" t="n"/>
      <c r="N336" s="7" t="inlineStr">
        <is>
          <t>SEM COTAÇÃO</t>
        </is>
      </c>
      <c r="O336" s="8" t="n"/>
      <c r="P336" s="14" t="n"/>
      <c r="Q336" s="7" t="inlineStr"/>
      <c r="R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8" t="n"/>
      <c r="N337" s="7" t="inlineStr">
        <is>
          <t>SEM COTAÇÃO</t>
        </is>
      </c>
      <c r="O337" s="8" t="n"/>
      <c r="P337" s="14" t="n"/>
      <c r="Q337" s="7" t="inlineStr"/>
      <c r="R337" s="7" t="inlineStr"/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8" t="n"/>
      <c r="N338" s="7" t="inlineStr">
        <is>
          <t>SEM COTAÇÃO</t>
        </is>
      </c>
      <c r="O338" s="8" t="n"/>
      <c r="P338" s="14" t="n"/>
      <c r="Q338" s="7" t="inlineStr"/>
      <c r="R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8" t="n"/>
      <c r="N339" s="7" t="inlineStr">
        <is>
          <t>SEM COTAÇÃO</t>
        </is>
      </c>
      <c r="O339" s="8" t="n"/>
      <c r="P339" s="14" t="n"/>
      <c r="Q339" s="7" t="inlineStr"/>
      <c r="R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8" t="n"/>
      <c r="N340" s="7" t="inlineStr">
        <is>
          <t>SEM COTAÇÃO</t>
        </is>
      </c>
      <c r="O340" s="8" t="n"/>
      <c r="P340" s="14" t="n"/>
      <c r="Q340" s="7" t="inlineStr"/>
      <c r="R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8" t="n"/>
      <c r="N341" s="7" t="inlineStr">
        <is>
          <t>SEM COTAÇÃO</t>
        </is>
      </c>
      <c r="O341" s="8" t="n"/>
      <c r="P341" s="14" t="n"/>
      <c r="Q341" s="7" t="inlineStr"/>
      <c r="R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1.24</v>
      </c>
      <c r="K342" s="8" t="n"/>
      <c r="L342" s="8" t="n"/>
      <c r="M342" s="15" t="n">
        <v>1.13</v>
      </c>
      <c r="N342" s="7" t="inlineStr">
        <is>
          <t>CENTROFARMA</t>
        </is>
      </c>
      <c r="O342" s="8" t="n">
        <v>1.13</v>
      </c>
      <c r="P342" s="14">
        <f>O342/H342-1</f>
        <v/>
      </c>
      <c r="Q342" s="17" t="inlineStr">
        <is>
          <t>OK (≤ menor hist.)</t>
        </is>
      </c>
      <c r="R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8" t="n"/>
      <c r="N343" s="7" t="inlineStr">
        <is>
          <t>DIMEC</t>
        </is>
      </c>
      <c r="O343" s="8" t="n">
        <v>0.4375</v>
      </c>
      <c r="P343" s="14">
        <f>O343/H343-1</f>
        <v/>
      </c>
      <c r="Q343" s="17" t="inlineStr">
        <is>
          <t>OK (≤ menor hist.)</t>
        </is>
      </c>
      <c r="R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8" t="n"/>
      <c r="N344" s="7" t="inlineStr">
        <is>
          <t>SEM COTAÇÃO</t>
        </is>
      </c>
      <c r="O344" s="8" t="n"/>
      <c r="P344" s="14" t="n"/>
      <c r="Q344" s="7" t="inlineStr"/>
      <c r="R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8" t="n"/>
      <c r="N345" s="7" t="inlineStr">
        <is>
          <t>DIMEC</t>
        </is>
      </c>
      <c r="O345" s="8" t="n">
        <v>0.5441666666666667</v>
      </c>
      <c r="P345" s="14">
        <f>O345/H345-1</f>
        <v/>
      </c>
      <c r="Q345" s="17" t="inlineStr">
        <is>
          <t>OK (≤ menor hist.)</t>
        </is>
      </c>
      <c r="R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8" t="n"/>
      <c r="N346" s="7" t="inlineStr">
        <is>
          <t>SEM COTAÇÃO</t>
        </is>
      </c>
      <c r="O346" s="8" t="n"/>
      <c r="P346" s="14" t="n"/>
      <c r="Q346" s="7" t="inlineStr"/>
      <c r="R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8" t="n"/>
      <c r="N347" s="7" t="inlineStr">
        <is>
          <t>DIMEC</t>
        </is>
      </c>
      <c r="O347" s="8" t="n">
        <v>0.8183333333333334</v>
      </c>
      <c r="P347" s="14">
        <f>O347/H347-1</f>
        <v/>
      </c>
      <c r="Q347" s="17" t="inlineStr">
        <is>
          <t>OK (≤ menor hist.)</t>
        </is>
      </c>
      <c r="R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8" t="n"/>
      <c r="N348" s="7" t="inlineStr">
        <is>
          <t>DIMEC</t>
        </is>
      </c>
      <c r="O348" s="8" t="n">
        <v>1.09</v>
      </c>
      <c r="P348" s="14">
        <f>O348/H348-1</f>
        <v/>
      </c>
      <c r="Q348" s="17" t="inlineStr">
        <is>
          <t>OK (≤ menor hist.)</t>
        </is>
      </c>
      <c r="R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7" t="inlineStr">
        <is>
          <t>SEM COTAÇÃO</t>
        </is>
      </c>
      <c r="O349" s="8" t="n"/>
      <c r="P349" s="14" t="n"/>
      <c r="Q349" s="7" t="inlineStr"/>
      <c r="R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8" t="n"/>
      <c r="N350" s="7" t="inlineStr">
        <is>
          <t>DIMEC</t>
        </is>
      </c>
      <c r="O350" s="8" t="n">
        <v>1.639166666666667</v>
      </c>
      <c r="P350" s="14">
        <f>O350/H350-1</f>
        <v/>
      </c>
      <c r="Q350" s="17" t="inlineStr">
        <is>
          <t>OK (≤ menor hist.)</t>
        </is>
      </c>
      <c r="R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15" t="n">
        <v>1.32</v>
      </c>
      <c r="N351" s="7" t="inlineStr">
        <is>
          <t>CENTROFARMA</t>
        </is>
      </c>
      <c r="O351" s="8" t="n">
        <v>1.32</v>
      </c>
      <c r="P351" s="14">
        <f>O351/H351-1</f>
        <v/>
      </c>
      <c r="Q351" s="16" t="inlineStr">
        <is>
          <t>ACIMA +5.6%</t>
        </is>
      </c>
      <c r="R351" s="7" t="inlineStr"/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15" t="n">
        <v>1.67</v>
      </c>
      <c r="N352" s="7" t="inlineStr">
        <is>
          <t>CENTROFARMA</t>
        </is>
      </c>
      <c r="O352" s="8" t="n">
        <v>1.67</v>
      </c>
      <c r="P352" s="14">
        <f>O352/H352-1</f>
        <v/>
      </c>
      <c r="Q352" s="17" t="inlineStr">
        <is>
          <t>OK (≤ menor hist.)</t>
        </is>
      </c>
      <c r="R352" s="7" t="inlineStr"/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15" t="n">
        <v>2.66</v>
      </c>
      <c r="K353" s="8" t="n"/>
      <c r="L353" s="8" t="n"/>
      <c r="M353" s="8" t="n"/>
      <c r="N353" s="7" t="inlineStr">
        <is>
          <t>DIMEC</t>
        </is>
      </c>
      <c r="O353" s="8" t="n">
        <v>2.66</v>
      </c>
      <c r="P353" s="14">
        <f>O353/H353-1</f>
        <v/>
      </c>
      <c r="Q353" s="16" t="inlineStr">
        <is>
          <t>ACIMA +5.1%</t>
        </is>
      </c>
      <c r="R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2.33</v>
      </c>
      <c r="K354" s="8" t="n">
        <v>2.55</v>
      </c>
      <c r="L354" s="8" t="n"/>
      <c r="M354" s="15" t="n">
        <v>2.08</v>
      </c>
      <c r="N354" s="7" t="inlineStr">
        <is>
          <t>CENTROFARMA</t>
        </is>
      </c>
      <c r="O354" s="8" t="n">
        <v>2.08</v>
      </c>
      <c r="P354" s="14">
        <f>O354/H354-1</f>
        <v/>
      </c>
      <c r="Q354" s="17" t="inlineStr">
        <is>
          <t>OK (≤ menor hist.)</t>
        </is>
      </c>
      <c r="R354" s="7" t="inlineStr"/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8" t="n">
        <v>3.17</v>
      </c>
      <c r="N355" s="7" t="inlineStr">
        <is>
          <t>DIMEC</t>
        </is>
      </c>
      <c r="O355" s="8" t="n">
        <v>3.07</v>
      </c>
      <c r="P355" s="14">
        <f>O355/H355-1</f>
        <v/>
      </c>
      <c r="Q355" s="16" t="inlineStr">
        <is>
          <t>ACIMA +14.5%</t>
        </is>
      </c>
      <c r="R355" s="7" t="inlineStr"/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8" t="n"/>
      <c r="N356" s="7" t="inlineStr">
        <is>
          <t>SEM COTAÇÃO</t>
        </is>
      </c>
      <c r="O356" s="8" t="n"/>
      <c r="P356" s="14" t="n"/>
      <c r="Q356" s="7" t="inlineStr"/>
      <c r="R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8" t="n"/>
      <c r="N357" s="7" t="inlineStr">
        <is>
          <t>SEM COTAÇÃO</t>
        </is>
      </c>
      <c r="O357" s="8" t="n"/>
      <c r="P357" s="14" t="n"/>
      <c r="Q357" s="7" t="inlineStr"/>
      <c r="R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8" t="n"/>
      <c r="N358" s="7" t="inlineStr">
        <is>
          <t>SEM COTAÇÃO</t>
        </is>
      </c>
      <c r="O358" s="8" t="n"/>
      <c r="P358" s="14" t="n"/>
      <c r="Q358" s="7" t="inlineStr"/>
      <c r="R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8" t="n"/>
      <c r="N359" s="7" t="inlineStr">
        <is>
          <t>SEM COTAÇÃO</t>
        </is>
      </c>
      <c r="O359" s="8" t="n"/>
      <c r="P359" s="14" t="n"/>
      <c r="Q359" s="7" t="inlineStr"/>
      <c r="R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8" t="n"/>
      <c r="N360" s="7" t="inlineStr">
        <is>
          <t>SEM COTAÇÃO</t>
        </is>
      </c>
      <c r="O360" s="8" t="n"/>
      <c r="P360" s="14" t="n"/>
      <c r="Q360" s="7" t="inlineStr"/>
      <c r="R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8" t="n"/>
      <c r="N361" s="7" t="inlineStr">
        <is>
          <t>SEM COTAÇÃO</t>
        </is>
      </c>
      <c r="O361" s="8" t="n"/>
      <c r="P361" s="14" t="n"/>
      <c r="Q361" s="7" t="inlineStr"/>
      <c r="R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8" t="n"/>
      <c r="N362" s="7" t="inlineStr">
        <is>
          <t>SEM COTAÇÃO</t>
        </is>
      </c>
      <c r="O362" s="8" t="n"/>
      <c r="P362" s="14" t="n"/>
      <c r="Q362" s="7" t="inlineStr"/>
      <c r="R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8" t="n"/>
      <c r="N363" s="7" t="inlineStr">
        <is>
          <t>SEM COTAÇÃO</t>
        </is>
      </c>
      <c r="O363" s="8" t="n"/>
      <c r="P363" s="14" t="n"/>
      <c r="Q363" s="7" t="inlineStr"/>
      <c r="R363" s="7" t="inlineStr"/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8" t="n"/>
      <c r="N364" s="7" t="inlineStr">
        <is>
          <t>SEM COTAÇÃO</t>
        </is>
      </c>
      <c r="O364" s="8" t="n"/>
      <c r="P364" s="14" t="n"/>
      <c r="Q364" s="7" t="inlineStr"/>
      <c r="R364" s="7" t="inlineStr"/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8" t="n"/>
      <c r="N365" s="7" t="inlineStr">
        <is>
          <t>SEM COTAÇÃO</t>
        </is>
      </c>
      <c r="O365" s="8" t="n"/>
      <c r="P365" s="14" t="n"/>
      <c r="Q365" s="7" t="inlineStr"/>
      <c r="R365" s="7" t="inlineStr"/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8" t="n"/>
      <c r="N366" s="7" t="inlineStr">
        <is>
          <t>SEM COTAÇÃO</t>
        </is>
      </c>
      <c r="O366" s="8" t="n"/>
      <c r="P366" s="14" t="n"/>
      <c r="Q366" s="7" t="inlineStr"/>
      <c r="R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8" t="n"/>
      <c r="N367" s="7" t="inlineStr">
        <is>
          <t>SEM COTAÇÃO</t>
        </is>
      </c>
      <c r="O367" s="8" t="n"/>
      <c r="P367" s="14" t="n"/>
      <c r="Q367" s="7" t="inlineStr"/>
      <c r="R367" s="7" t="inlineStr"/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8" t="n"/>
      <c r="N368" s="7" t="inlineStr">
        <is>
          <t>SEM COTAÇÃO</t>
        </is>
      </c>
      <c r="O368" s="8" t="n"/>
      <c r="P368" s="14" t="n"/>
      <c r="Q368" s="7" t="inlineStr"/>
      <c r="R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8" t="n"/>
      <c r="N369" s="7" t="inlineStr">
        <is>
          <t>DIMEC</t>
        </is>
      </c>
      <c r="O369" s="8" t="n">
        <v>8.289999999999999</v>
      </c>
      <c r="P369" s="14">
        <f>O369/H369-1</f>
        <v/>
      </c>
      <c r="Q369" s="17" t="inlineStr">
        <is>
          <t>OK (≤ menor hist.)</t>
        </is>
      </c>
      <c r="R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8" t="n"/>
      <c r="N370" s="7" t="inlineStr">
        <is>
          <t>SEM COTAÇÃO</t>
        </is>
      </c>
      <c r="O370" s="8" t="n"/>
      <c r="P370" s="14" t="n"/>
      <c r="Q370" s="7" t="inlineStr"/>
      <c r="R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8" t="n"/>
      <c r="N371" s="7" t="inlineStr">
        <is>
          <t>SEM COTAÇÃO</t>
        </is>
      </c>
      <c r="O371" s="8" t="n"/>
      <c r="P371" s="14" t="n"/>
      <c r="Q371" s="7" t="inlineStr"/>
      <c r="R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8" t="n"/>
      <c r="N372" s="7" t="inlineStr">
        <is>
          <t>SEM COTAÇÃO</t>
        </is>
      </c>
      <c r="O372" s="8" t="n"/>
      <c r="P372" s="14" t="n"/>
      <c r="Q372" s="7" t="inlineStr"/>
      <c r="R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15" t="n">
        <v>3.6</v>
      </c>
      <c r="K373" s="8" t="n"/>
      <c r="L373" s="8" t="n"/>
      <c r="M373" s="8" t="n">
        <v>3.84</v>
      </c>
      <c r="N373" s="7" t="inlineStr">
        <is>
          <t>DIMEC</t>
        </is>
      </c>
      <c r="O373" s="8" t="n">
        <v>3.6</v>
      </c>
      <c r="P373" s="14">
        <f>O373/H373-1</f>
        <v/>
      </c>
      <c r="Q373" s="16" t="inlineStr">
        <is>
          <t>ACIMA +1.7%</t>
        </is>
      </c>
      <c r="R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8" t="n"/>
      <c r="N374" s="7" t="inlineStr">
        <is>
          <t>SEM COTAÇÃO</t>
        </is>
      </c>
      <c r="O374" s="8" t="n"/>
      <c r="P374" s="14" t="n"/>
      <c r="Q374" s="7" t="inlineStr"/>
      <c r="R374" s="7" t="inlineStr">
        <is>
          <t>EPAN: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8" t="n"/>
      <c r="N375" s="7" t="inlineStr">
        <is>
          <t>SEM COTAÇÃO</t>
        </is>
      </c>
      <c r="O375" s="8" t="n"/>
      <c r="P375" s="14" t="n"/>
      <c r="Q375" s="7" t="inlineStr"/>
      <c r="R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6.44</v>
      </c>
      <c r="K376" s="8" t="n"/>
      <c r="L376" s="8" t="n"/>
      <c r="M376" s="15" t="n">
        <v>6.17</v>
      </c>
      <c r="N376" s="7" t="inlineStr">
        <is>
          <t>CENTROFARMA</t>
        </is>
      </c>
      <c r="O376" s="8" t="n">
        <v>6.17</v>
      </c>
      <c r="P376" s="14">
        <f>O376/H376-1</f>
        <v/>
      </c>
      <c r="Q376" s="16" t="inlineStr">
        <is>
          <t>ACIMA +5.3%</t>
        </is>
      </c>
      <c r="R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15" t="n">
        <v>6</v>
      </c>
      <c r="K377" s="8" t="n"/>
      <c r="L377" s="8" t="n"/>
      <c r="M377" s="8" t="n">
        <v>6.08</v>
      </c>
      <c r="N377" s="7" t="inlineStr">
        <is>
          <t>DIMEC</t>
        </is>
      </c>
      <c r="O377" s="8" t="n">
        <v>6</v>
      </c>
      <c r="P377" s="14">
        <f>O377/H377-1</f>
        <v/>
      </c>
      <c r="Q377" s="16" t="inlineStr">
        <is>
          <t>ACIMA +3.8%</t>
        </is>
      </c>
      <c r="R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3.91</v>
      </c>
      <c r="K378" s="8" t="n"/>
      <c r="L378" s="8" t="n"/>
      <c r="M378" s="15" t="n">
        <v>3.84</v>
      </c>
      <c r="N378" s="7" t="inlineStr">
        <is>
          <t>CENTROFARMA</t>
        </is>
      </c>
      <c r="O378" s="8" t="n">
        <v>3.84</v>
      </c>
      <c r="P378" s="14">
        <f>O378/H378-1</f>
        <v/>
      </c>
      <c r="Q378" s="16" t="inlineStr">
        <is>
          <t>ACIMA +5.8%</t>
        </is>
      </c>
      <c r="R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15" t="n">
        <v>14.499</v>
      </c>
      <c r="K379" s="8" t="n"/>
      <c r="L379" s="8" t="n"/>
      <c r="M379" s="8" t="n">
        <v>14.69</v>
      </c>
      <c r="N379" s="7" t="inlineStr">
        <is>
          <t>DIMEC</t>
        </is>
      </c>
      <c r="O379" s="8" t="n">
        <v>14.499</v>
      </c>
      <c r="P379" s="14">
        <f>O379/H379-1</f>
        <v/>
      </c>
      <c r="Q379" s="16" t="inlineStr">
        <is>
          <t>ACIMA +3.9%</t>
        </is>
      </c>
      <c r="R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8" t="n"/>
      <c r="N380" s="7" t="inlineStr">
        <is>
          <t>SEM COTAÇÃO</t>
        </is>
      </c>
      <c r="O380" s="8" t="n"/>
      <c r="P380" s="14" t="n"/>
      <c r="Q380" s="7" t="inlineStr"/>
      <c r="R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8" t="n"/>
      <c r="N381" s="7" t="inlineStr">
        <is>
          <t>SEM COTAÇÃO</t>
        </is>
      </c>
      <c r="O381" s="8" t="n"/>
      <c r="P381" s="14" t="n"/>
      <c r="Q381" s="7" t="inlineStr"/>
      <c r="R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8" t="n"/>
      <c r="N382" s="7" t="inlineStr">
        <is>
          <t>SEM COTAÇÃO</t>
        </is>
      </c>
      <c r="O382" s="8" t="n"/>
      <c r="P382" s="14" t="n"/>
      <c r="Q382" s="7" t="inlineStr"/>
      <c r="R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8" t="n"/>
      <c r="N383" s="7" t="inlineStr">
        <is>
          <t>SEM COTAÇÃO</t>
        </is>
      </c>
      <c r="O383" s="8" t="n"/>
      <c r="P383" s="14" t="n"/>
      <c r="Q383" s="7" t="inlineStr"/>
      <c r="R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8" t="n"/>
      <c r="N384" s="7" t="inlineStr">
        <is>
          <t>DIMEC</t>
        </is>
      </c>
      <c r="O384" s="8" t="n">
        <v>6.74</v>
      </c>
      <c r="P384" s="14">
        <f>O384/H384-1</f>
        <v/>
      </c>
      <c r="Q384" s="16" t="inlineStr">
        <is>
          <t>ACIMA +35.1%</t>
        </is>
      </c>
      <c r="R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8" t="n"/>
      <c r="N385" s="7" t="inlineStr">
        <is>
          <t>SEM COTAÇÃO</t>
        </is>
      </c>
      <c r="O385" s="8" t="n"/>
      <c r="P385" s="14" t="n"/>
      <c r="Q385" s="7" t="inlineStr"/>
      <c r="R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8" t="n"/>
      <c r="N386" s="7" t="inlineStr">
        <is>
          <t>SEM COTAÇÃO</t>
        </is>
      </c>
      <c r="O386" s="8" t="n"/>
      <c r="P386" s="14" t="n"/>
      <c r="Q386" s="7" t="inlineStr"/>
      <c r="R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8" t="n"/>
      <c r="N387" s="7" t="inlineStr">
        <is>
          <t>SEM COTAÇÃO</t>
        </is>
      </c>
      <c r="O387" s="8" t="n"/>
      <c r="P387" s="14" t="n"/>
      <c r="Q387" s="7" t="inlineStr"/>
      <c r="R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8" t="n"/>
      <c r="N388" s="7" t="inlineStr">
        <is>
          <t>SEM COTAÇÃO</t>
        </is>
      </c>
      <c r="O388" s="8" t="n"/>
      <c r="P388" s="14" t="n"/>
      <c r="Q388" s="7" t="inlineStr"/>
      <c r="R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8" t="n"/>
      <c r="N389" s="7" t="inlineStr">
        <is>
          <t>SEM COTAÇÃO</t>
        </is>
      </c>
      <c r="O389" s="8" t="n"/>
      <c r="P389" s="14" t="n"/>
      <c r="Q389" s="7" t="inlineStr"/>
      <c r="R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8" t="n"/>
      <c r="N390" s="7" t="inlineStr">
        <is>
          <t>SEM COTAÇÃO</t>
        </is>
      </c>
      <c r="O390" s="8" t="n"/>
      <c r="P390" s="14" t="n"/>
      <c r="Q390" s="7" t="inlineStr"/>
      <c r="R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8" t="n"/>
      <c r="N391" s="7" t="inlineStr">
        <is>
          <t>SEM COTAÇÃO</t>
        </is>
      </c>
      <c r="O391" s="8" t="n"/>
      <c r="P391" s="14" t="n"/>
      <c r="Q391" s="7" t="inlineStr"/>
      <c r="R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8" t="n"/>
      <c r="N392" s="7" t="inlineStr">
        <is>
          <t>SEM COTAÇÃO</t>
        </is>
      </c>
      <c r="O392" s="8" t="n"/>
      <c r="P392" s="14" t="n"/>
      <c r="Q392" s="7" t="inlineStr"/>
      <c r="R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8" t="n"/>
      <c r="N393" s="7" t="inlineStr">
        <is>
          <t>SEM COTAÇÃO</t>
        </is>
      </c>
      <c r="O393" s="8" t="n"/>
      <c r="P393" s="14" t="n"/>
      <c r="Q393" s="7" t="inlineStr"/>
      <c r="R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8" t="n"/>
      <c r="N394" s="7" t="inlineStr">
        <is>
          <t>SEM COTAÇÃO</t>
        </is>
      </c>
      <c r="O394" s="8" t="n"/>
      <c r="P394" s="14" t="n"/>
      <c r="Q394" s="7" t="inlineStr"/>
      <c r="R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8" t="n"/>
      <c r="N395" s="7" t="inlineStr">
        <is>
          <t>SEM COTAÇÃO</t>
        </is>
      </c>
      <c r="O395" s="8" t="n"/>
      <c r="P395" s="14" t="n"/>
      <c r="Q395" s="7" t="inlineStr"/>
      <c r="R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8" t="n"/>
      <c r="N396" s="7" t="inlineStr">
        <is>
          <t>SEM COTAÇÃO</t>
        </is>
      </c>
      <c r="O396" s="8" t="n"/>
      <c r="P396" s="14" t="n"/>
      <c r="Q396" s="7" t="inlineStr"/>
      <c r="R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8" t="n"/>
      <c r="N397" s="7" t="inlineStr">
        <is>
          <t>SEM COTAÇÃO</t>
        </is>
      </c>
      <c r="O397" s="8" t="n"/>
      <c r="P397" s="14" t="n"/>
      <c r="Q397" s="7" t="inlineStr"/>
      <c r="R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8" t="n"/>
      <c r="N398" s="7" t="inlineStr">
        <is>
          <t>SEM COTAÇÃO</t>
        </is>
      </c>
      <c r="O398" s="8" t="n"/>
      <c r="P398" s="14" t="n"/>
      <c r="Q398" s="7" t="inlineStr"/>
      <c r="R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8" t="n"/>
      <c r="N399" s="7" t="inlineStr">
        <is>
          <t>SEM COTAÇÃO</t>
        </is>
      </c>
      <c r="O399" s="8" t="n"/>
      <c r="P399" s="14" t="n"/>
      <c r="Q399" s="7" t="inlineStr"/>
      <c r="R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8" t="n"/>
      <c r="N400" s="7" t="inlineStr">
        <is>
          <t>SEM COTAÇÃO</t>
        </is>
      </c>
      <c r="O400" s="8" t="n"/>
      <c r="P400" s="14" t="n"/>
      <c r="Q400" s="7" t="inlineStr"/>
      <c r="R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8" t="n"/>
      <c r="N401" s="7" t="inlineStr">
        <is>
          <t>SEM COTAÇÃO</t>
        </is>
      </c>
      <c r="O401" s="8" t="n"/>
      <c r="P401" s="14" t="n"/>
      <c r="Q401" s="7" t="inlineStr"/>
      <c r="R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8" t="n"/>
      <c r="N402" s="7" t="inlineStr">
        <is>
          <t>SEM COTAÇÃO</t>
        </is>
      </c>
      <c r="O402" s="8" t="n"/>
      <c r="P402" s="14" t="n"/>
      <c r="Q402" s="7" t="inlineStr"/>
      <c r="R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8" t="n"/>
      <c r="N403" s="7" t="inlineStr">
        <is>
          <t>SEM COTAÇÃO</t>
        </is>
      </c>
      <c r="O403" s="8" t="n"/>
      <c r="P403" s="14" t="n"/>
      <c r="Q403" s="7" t="inlineStr"/>
      <c r="R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8" t="n"/>
      <c r="N404" s="7" t="inlineStr">
        <is>
          <t>SEM COTAÇÃO</t>
        </is>
      </c>
      <c r="O404" s="8" t="n"/>
      <c r="P404" s="14" t="n"/>
      <c r="Q404" s="7" t="inlineStr"/>
      <c r="R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8" t="n"/>
      <c r="N405" s="7" t="inlineStr">
        <is>
          <t>SEM COTAÇÃO</t>
        </is>
      </c>
      <c r="O405" s="8" t="n"/>
      <c r="P405" s="14" t="n"/>
      <c r="Q405" s="7" t="inlineStr"/>
      <c r="R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8" t="n"/>
      <c r="N406" s="7" t="inlineStr">
        <is>
          <t>SEM COTAÇÃO</t>
        </is>
      </c>
      <c r="O406" s="8" t="n"/>
      <c r="P406" s="14" t="n"/>
      <c r="Q406" s="7" t="inlineStr"/>
      <c r="R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8" t="n"/>
      <c r="N407" s="7" t="inlineStr">
        <is>
          <t>SEM COTAÇÃO</t>
        </is>
      </c>
      <c r="O407" s="8" t="n"/>
      <c r="P407" s="14" t="n"/>
      <c r="Q407" s="7" t="inlineStr"/>
      <c r="R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8" t="n"/>
      <c r="N408" s="7" t="inlineStr">
        <is>
          <t>SEM COTAÇÃO</t>
        </is>
      </c>
      <c r="O408" s="8" t="n"/>
      <c r="P408" s="14" t="n"/>
      <c r="Q408" s="7" t="inlineStr"/>
      <c r="R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8" t="n"/>
      <c r="N409" s="7" t="inlineStr">
        <is>
          <t>SEM COTAÇÃO</t>
        </is>
      </c>
      <c r="O409" s="8" t="n"/>
      <c r="P409" s="14" t="n"/>
      <c r="Q409" s="7" t="inlineStr"/>
      <c r="R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8" t="n"/>
      <c r="N410" s="7" t="inlineStr">
        <is>
          <t>SEM COTAÇÃO</t>
        </is>
      </c>
      <c r="O410" s="8" t="n"/>
      <c r="P410" s="14" t="n"/>
      <c r="Q410" s="7" t="inlineStr"/>
      <c r="R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8" t="n"/>
      <c r="N411" s="7" t="inlineStr">
        <is>
          <t>SEM COTAÇÃO</t>
        </is>
      </c>
      <c r="O411" s="8" t="n"/>
      <c r="P411" s="14" t="n"/>
      <c r="Q411" s="7" t="inlineStr"/>
      <c r="R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8" t="n"/>
      <c r="N412" s="7" t="inlineStr">
        <is>
          <t>SEM COTAÇÃO</t>
        </is>
      </c>
      <c r="O412" s="8" t="n"/>
      <c r="P412" s="14" t="n"/>
      <c r="Q412" s="7" t="inlineStr"/>
      <c r="R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8" t="n"/>
      <c r="N413" s="7" t="inlineStr">
        <is>
          <t>SEM COTAÇÃO</t>
        </is>
      </c>
      <c r="O413" s="8" t="n"/>
      <c r="P413" s="14" t="n"/>
      <c r="Q413" s="7" t="inlineStr"/>
      <c r="R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8" t="n"/>
      <c r="N414" s="7" t="inlineStr">
        <is>
          <t>SEM COTAÇÃO</t>
        </is>
      </c>
      <c r="O414" s="8" t="n"/>
      <c r="P414" s="14" t="n"/>
      <c r="Q414" s="7" t="inlineStr"/>
      <c r="R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8" t="n"/>
      <c r="N415" s="7" t="inlineStr">
        <is>
          <t>SEM COTAÇÃO</t>
        </is>
      </c>
      <c r="O415" s="8" t="n"/>
      <c r="P415" s="14" t="n"/>
      <c r="Q415" s="7" t="inlineStr"/>
      <c r="R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8" t="n"/>
      <c r="N416" s="7" t="inlineStr">
        <is>
          <t>SEM COTAÇÃO</t>
        </is>
      </c>
      <c r="O416" s="8" t="n"/>
      <c r="P416" s="14" t="n"/>
      <c r="Q416" s="7" t="inlineStr"/>
      <c r="R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15" t="n">
        <v>4.47</v>
      </c>
      <c r="K417" s="8" t="n"/>
      <c r="L417" s="8" t="n"/>
      <c r="M417" s="8" t="n"/>
      <c r="N417" s="7" t="inlineStr">
        <is>
          <t>DIMEC</t>
        </is>
      </c>
      <c r="O417" s="8" t="n">
        <v>4.47</v>
      </c>
      <c r="P417" s="14">
        <f>O417/H417-1</f>
        <v/>
      </c>
      <c r="Q417" s="16" t="inlineStr">
        <is>
          <t>ACIMA +21.5%</t>
        </is>
      </c>
      <c r="R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15" t="n">
        <v>36.07</v>
      </c>
      <c r="M418" s="8" t="n"/>
      <c r="N418" s="7" t="inlineStr">
        <is>
          <t>EPAN</t>
        </is>
      </c>
      <c r="O418" s="8" t="n">
        <v>36.07</v>
      </c>
      <c r="P418" s="14">
        <f>O418/H418-1</f>
        <v/>
      </c>
      <c r="Q418" s="16" t="inlineStr">
        <is>
          <t>ACIMA +24.9%</t>
        </is>
      </c>
      <c r="R418" s="7" t="inlineStr"/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8" t="n"/>
      <c r="N419" s="7" t="inlineStr">
        <is>
          <t>SEM COTAÇÃO</t>
        </is>
      </c>
      <c r="O419" s="8" t="n"/>
      <c r="P419" s="14" t="n"/>
      <c r="Q419" s="7" t="inlineStr"/>
      <c r="R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8" t="n"/>
      <c r="N420" s="7" t="inlineStr">
        <is>
          <t>SEM COTAÇÃO</t>
        </is>
      </c>
      <c r="O420" s="8" t="n"/>
      <c r="P420" s="14" t="n"/>
      <c r="Q420" s="7" t="inlineStr"/>
      <c r="R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15" t="n">
        <v>27.34</v>
      </c>
      <c r="N421" s="7" t="inlineStr">
        <is>
          <t>CENTROFARMA</t>
        </is>
      </c>
      <c r="O421" s="8" t="n">
        <v>27.34</v>
      </c>
      <c r="P421" s="14">
        <f>O421/H421-1</f>
        <v/>
      </c>
      <c r="Q421" s="16" t="inlineStr">
        <is>
          <t>ACIMA +14.0%</t>
        </is>
      </c>
      <c r="R421" s="7" t="inlineStr"/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15" t="n">
        <v>27.4</v>
      </c>
      <c r="N422" s="7" t="inlineStr">
        <is>
          <t>CENTROFARMA</t>
        </is>
      </c>
      <c r="O422" s="8" t="n">
        <v>27.4</v>
      </c>
      <c r="P422" s="14">
        <f>O422/H422-1</f>
        <v/>
      </c>
      <c r="Q422" s="16" t="inlineStr">
        <is>
          <t>ACIMA +24.6%</t>
        </is>
      </c>
      <c r="R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8" t="n"/>
      <c r="N423" s="7" t="inlineStr">
        <is>
          <t>SEM COTAÇÃO</t>
        </is>
      </c>
      <c r="O423" s="8" t="n"/>
      <c r="P423" s="14" t="n"/>
      <c r="Q423" s="7" t="inlineStr"/>
      <c r="R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8" t="n"/>
      <c r="N424" s="7" t="inlineStr">
        <is>
          <t>SEM COTAÇÃO</t>
        </is>
      </c>
      <c r="O424" s="8" t="n"/>
      <c r="P424" s="14" t="n"/>
      <c r="Q424" s="7" t="inlineStr"/>
      <c r="R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8" t="n"/>
      <c r="N425" s="7" t="inlineStr">
        <is>
          <t>SEM COTAÇÃO</t>
        </is>
      </c>
      <c r="O425" s="8" t="n"/>
      <c r="P425" s="14" t="n"/>
      <c r="Q425" s="7" t="inlineStr"/>
      <c r="R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8" t="n"/>
      <c r="N426" s="7" t="inlineStr">
        <is>
          <t>SEM COTAÇÃO</t>
        </is>
      </c>
      <c r="O426" s="8" t="n"/>
      <c r="P426" s="14" t="n"/>
      <c r="Q426" s="7" t="inlineStr"/>
      <c r="R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7" t="inlineStr">
        <is>
          <t>SEM COTAÇÃO</t>
        </is>
      </c>
      <c r="O427" s="8" t="n"/>
      <c r="P427" s="14" t="n"/>
      <c r="Q427" s="7" t="inlineStr"/>
      <c r="R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8" t="n"/>
      <c r="N428" s="7" t="inlineStr">
        <is>
          <t>SEM COTAÇÃO</t>
        </is>
      </c>
      <c r="O428" s="8" t="n"/>
      <c r="P428" s="14" t="n"/>
      <c r="Q428" s="7" t="inlineStr"/>
      <c r="R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8" t="n"/>
      <c r="N429" s="7" t="inlineStr">
        <is>
          <t>SEM COTAÇÃO</t>
        </is>
      </c>
      <c r="O429" s="8" t="n"/>
      <c r="P429" s="14" t="n"/>
      <c r="Q429" s="7" t="inlineStr"/>
      <c r="R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8" t="n"/>
      <c r="N430" s="7" t="inlineStr">
        <is>
          <t>SEM COTAÇÃO</t>
        </is>
      </c>
      <c r="O430" s="8" t="n"/>
      <c r="P430" s="14" t="n"/>
      <c r="Q430" s="7" t="inlineStr"/>
      <c r="R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8" t="n"/>
      <c r="N431" s="7" t="inlineStr">
        <is>
          <t>SEM COTAÇÃO</t>
        </is>
      </c>
      <c r="O431" s="8" t="n"/>
      <c r="P431" s="14" t="n"/>
      <c r="Q431" s="7" t="inlineStr"/>
      <c r="R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8" t="n"/>
      <c r="N432" s="7" t="inlineStr">
        <is>
          <t>SEM COTAÇÃO</t>
        </is>
      </c>
      <c r="O432" s="8" t="n"/>
      <c r="P432" s="14" t="n"/>
      <c r="Q432" s="7" t="inlineStr"/>
      <c r="R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8" t="n"/>
      <c r="N433" s="7" t="inlineStr">
        <is>
          <t>SEM COTAÇÃO</t>
        </is>
      </c>
      <c r="O433" s="8" t="n"/>
      <c r="P433" s="14" t="n"/>
      <c r="Q433" s="7" t="inlineStr"/>
      <c r="R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8" t="n"/>
      <c r="N434" s="7" t="inlineStr">
        <is>
          <t>SEM COTAÇÃO</t>
        </is>
      </c>
      <c r="O434" s="8" t="n"/>
      <c r="P434" s="14" t="n"/>
      <c r="Q434" s="7" t="inlineStr"/>
      <c r="R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8" t="n"/>
      <c r="N435" s="7" t="inlineStr">
        <is>
          <t>SEM COTAÇÃO</t>
        </is>
      </c>
      <c r="O435" s="8" t="n"/>
      <c r="P435" s="14" t="n"/>
      <c r="Q435" s="7" t="inlineStr"/>
      <c r="R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8" t="n"/>
      <c r="N436" s="7" t="inlineStr">
        <is>
          <t>SEM COTAÇÃO</t>
        </is>
      </c>
      <c r="O436" s="8" t="n"/>
      <c r="P436" s="14" t="n"/>
      <c r="Q436" s="7" t="inlineStr"/>
      <c r="R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8" t="n"/>
      <c r="N437" s="7" t="inlineStr">
        <is>
          <t>SEM COTAÇÃO</t>
        </is>
      </c>
      <c r="O437" s="8" t="n"/>
      <c r="P437" s="14" t="n"/>
      <c r="Q437" s="7" t="inlineStr"/>
      <c r="R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8" t="n"/>
      <c r="N438" s="7" t="inlineStr">
        <is>
          <t>SEM COTAÇÃO</t>
        </is>
      </c>
      <c r="O438" s="8" t="n"/>
      <c r="P438" s="14" t="n"/>
      <c r="Q438" s="7" t="inlineStr"/>
      <c r="R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8" t="n"/>
      <c r="N439" s="7" t="inlineStr">
        <is>
          <t>SEM COTAÇÃO</t>
        </is>
      </c>
      <c r="O439" s="8" t="n"/>
      <c r="P439" s="14" t="n"/>
      <c r="Q439" s="7" t="inlineStr"/>
      <c r="R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8" t="n"/>
      <c r="N440" s="7" t="inlineStr">
        <is>
          <t>SEM COTAÇÃO</t>
        </is>
      </c>
      <c r="O440" s="8" t="n"/>
      <c r="P440" s="14" t="n"/>
      <c r="Q440" s="7" t="inlineStr"/>
      <c r="R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8" t="n"/>
      <c r="N441" s="7" t="inlineStr">
        <is>
          <t>SEM COTAÇÃO</t>
        </is>
      </c>
      <c r="O441" s="8" t="n"/>
      <c r="P441" s="14" t="n"/>
      <c r="Q441" s="7" t="inlineStr"/>
      <c r="R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8" t="n"/>
      <c r="N442" s="7" t="inlineStr">
        <is>
          <t>SEM COTAÇÃO</t>
        </is>
      </c>
      <c r="O442" s="8" t="n"/>
      <c r="P442" s="14" t="n"/>
      <c r="Q442" s="7" t="inlineStr"/>
      <c r="R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8" t="n"/>
      <c r="N443" s="7" t="inlineStr">
        <is>
          <t>SEM COTAÇÃO</t>
        </is>
      </c>
      <c r="O443" s="8" t="n"/>
      <c r="P443" s="14" t="n"/>
      <c r="Q443" s="7" t="inlineStr"/>
      <c r="R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8" t="n"/>
      <c r="N444" s="7" t="inlineStr">
        <is>
          <t>SEM COTAÇÃO</t>
        </is>
      </c>
      <c r="O444" s="8" t="n"/>
      <c r="P444" s="14" t="n"/>
      <c r="Q444" s="7" t="inlineStr"/>
      <c r="R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8" t="n"/>
      <c r="N445" s="7" t="inlineStr">
        <is>
          <t>SEM COTAÇÃO</t>
        </is>
      </c>
      <c r="O445" s="8" t="n"/>
      <c r="P445" s="14" t="n"/>
      <c r="Q445" s="7" t="inlineStr"/>
      <c r="R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8" t="n"/>
      <c r="N446" s="7" t="inlineStr">
        <is>
          <t>SEM COTAÇÃO</t>
        </is>
      </c>
      <c r="O446" s="8" t="n"/>
      <c r="P446" s="14" t="n"/>
      <c r="Q446" s="7" t="inlineStr"/>
      <c r="R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8" t="n"/>
      <c r="N447" s="7" t="inlineStr">
        <is>
          <t>SEM COTAÇÃO</t>
        </is>
      </c>
      <c r="O447" s="8" t="n"/>
      <c r="P447" s="14" t="n"/>
      <c r="Q447" s="7" t="inlineStr"/>
      <c r="R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8" t="n"/>
      <c r="N448" s="7" t="inlineStr">
        <is>
          <t>SEM COTAÇÃO</t>
        </is>
      </c>
      <c r="O448" s="8" t="n"/>
      <c r="P448" s="14" t="n"/>
      <c r="Q448" s="7" t="inlineStr"/>
      <c r="R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15" t="n">
        <v>15.63</v>
      </c>
      <c r="N449" s="7" t="inlineStr">
        <is>
          <t>CENTROFARMA</t>
        </is>
      </c>
      <c r="O449" s="8" t="n">
        <v>15.63</v>
      </c>
      <c r="P449" s="14">
        <f>O449/H449-1</f>
        <v/>
      </c>
      <c r="Q449" s="16" t="inlineStr">
        <is>
          <t>ACIMA +6.9%</t>
        </is>
      </c>
      <c r="R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8" t="n"/>
      <c r="N450" s="7" t="inlineStr">
        <is>
          <t>SEM COTAÇÃO</t>
        </is>
      </c>
      <c r="O450" s="8" t="n"/>
      <c r="P450" s="14" t="n"/>
      <c r="Q450" s="7" t="inlineStr"/>
      <c r="R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8" t="n"/>
      <c r="N451" s="7" t="inlineStr">
        <is>
          <t>SEM COTAÇÃO</t>
        </is>
      </c>
      <c r="O451" s="8" t="n"/>
      <c r="P451" s="14" t="n"/>
      <c r="Q451" s="7" t="inlineStr"/>
      <c r="R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8" t="n"/>
      <c r="N452" s="7" t="inlineStr">
        <is>
          <t>SEM COTAÇÃO</t>
        </is>
      </c>
      <c r="O452" s="8" t="n"/>
      <c r="P452" s="14" t="n"/>
      <c r="Q452" s="7" t="inlineStr"/>
      <c r="R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8" t="n"/>
      <c r="N453" s="7" t="inlineStr">
        <is>
          <t>SEM COTAÇÃO</t>
        </is>
      </c>
      <c r="O453" s="8" t="n"/>
      <c r="P453" s="14" t="n"/>
      <c r="Q453" s="7" t="inlineStr"/>
      <c r="R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8" t="n"/>
      <c r="N454" s="7" t="inlineStr">
        <is>
          <t>SEM COTAÇÃO</t>
        </is>
      </c>
      <c r="O454" s="8" t="n"/>
      <c r="P454" s="14" t="n"/>
      <c r="Q454" s="7" t="inlineStr"/>
      <c r="R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8" t="n"/>
      <c r="N455" s="7" t="inlineStr">
        <is>
          <t>SEM COTAÇÃO</t>
        </is>
      </c>
      <c r="O455" s="8" t="n"/>
      <c r="P455" s="14" t="n"/>
      <c r="Q455" s="7" t="inlineStr"/>
      <c r="R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8" t="n"/>
      <c r="N456" s="7" t="inlineStr">
        <is>
          <t>SEM COTAÇÃO</t>
        </is>
      </c>
      <c r="O456" s="8" t="n"/>
      <c r="P456" s="14" t="n"/>
      <c r="Q456" s="7" t="inlineStr"/>
      <c r="R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8" t="n"/>
      <c r="N457" s="7" t="inlineStr">
        <is>
          <t>SEM COTAÇÃO</t>
        </is>
      </c>
      <c r="O457" s="8" t="n"/>
      <c r="P457" s="14" t="n"/>
      <c r="Q457" s="7" t="inlineStr"/>
      <c r="R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8" t="n"/>
      <c r="N458" s="7" t="inlineStr">
        <is>
          <t>SEM COTAÇÃO</t>
        </is>
      </c>
      <c r="O458" s="8" t="n"/>
      <c r="P458" s="14" t="n"/>
      <c r="Q458" s="7" t="inlineStr"/>
      <c r="R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8" t="n"/>
      <c r="N459" s="7" t="inlineStr">
        <is>
          <t>DIMEC</t>
        </is>
      </c>
      <c r="O459" s="8" t="n">
        <v>1.61</v>
      </c>
      <c r="P459" s="14">
        <f>O459/H459-1</f>
        <v/>
      </c>
      <c r="Q459" s="17" t="inlineStr">
        <is>
          <t>OK (≤ menor hist.)</t>
        </is>
      </c>
      <c r="R459" s="7" t="inlineStr"/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8" t="n"/>
      <c r="N460" s="7" t="inlineStr">
        <is>
          <t>SEM COTAÇÃO</t>
        </is>
      </c>
      <c r="O460" s="8" t="n"/>
      <c r="P460" s="14" t="n"/>
      <c r="Q460" s="7" t="inlineStr"/>
      <c r="R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8" t="n"/>
      <c r="N461" s="7" t="inlineStr">
        <is>
          <t>SEM COTAÇÃO</t>
        </is>
      </c>
      <c r="O461" s="8" t="n"/>
      <c r="P461" s="14" t="n"/>
      <c r="Q461" s="7" t="inlineStr"/>
      <c r="R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8" t="n"/>
      <c r="N462" s="7" t="inlineStr">
        <is>
          <t>SEM COTAÇÃO</t>
        </is>
      </c>
      <c r="O462" s="8" t="n"/>
      <c r="P462" s="14" t="n"/>
      <c r="Q462" s="7" t="inlineStr"/>
      <c r="R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8" t="n"/>
      <c r="N463" s="7" t="inlineStr">
        <is>
          <t>SEM COTAÇÃO</t>
        </is>
      </c>
      <c r="O463" s="8" t="n"/>
      <c r="P463" s="14" t="n"/>
      <c r="Q463" s="7" t="inlineStr"/>
      <c r="R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8" t="n"/>
      <c r="N464" s="7" t="inlineStr">
        <is>
          <t>SEM COTAÇÃO</t>
        </is>
      </c>
      <c r="O464" s="8" t="n"/>
      <c r="P464" s="14" t="n"/>
      <c r="Q464" s="7" t="inlineStr"/>
      <c r="R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8" t="n">
        <v>4.075</v>
      </c>
      <c r="N465" s="7" t="inlineStr">
        <is>
          <t>DIMEC</t>
        </is>
      </c>
      <c r="O465" s="8" t="n">
        <v>3.81</v>
      </c>
      <c r="P465" s="14">
        <f>O465/H465-1</f>
        <v/>
      </c>
      <c r="Q465" s="16" t="inlineStr">
        <is>
          <t>ACIMA +0.5%</t>
        </is>
      </c>
      <c r="R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8" t="n"/>
      <c r="N466" s="7" t="inlineStr">
        <is>
          <t>SEM COTAÇÃO</t>
        </is>
      </c>
      <c r="O466" s="8" t="n"/>
      <c r="P466" s="14" t="n"/>
      <c r="Q466" s="7" t="inlineStr"/>
      <c r="R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8" t="n"/>
      <c r="N467" s="7" t="inlineStr">
        <is>
          <t>SEM COTAÇÃO</t>
        </is>
      </c>
      <c r="O467" s="8" t="n"/>
      <c r="P467" s="14" t="n"/>
      <c r="Q467" s="7" t="inlineStr"/>
      <c r="R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8" t="n"/>
      <c r="N468" s="7" t="inlineStr">
        <is>
          <t>SEM COTAÇÃO</t>
        </is>
      </c>
      <c r="O468" s="8" t="n"/>
      <c r="P468" s="14" t="n"/>
      <c r="Q468" s="7" t="inlineStr"/>
      <c r="R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8" t="n"/>
      <c r="N469" s="7" t="inlineStr">
        <is>
          <t>SEM COTAÇÃO</t>
        </is>
      </c>
      <c r="O469" s="8" t="n"/>
      <c r="P469" s="14" t="n"/>
      <c r="Q469" s="7" t="inlineStr"/>
      <c r="R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8" t="n"/>
      <c r="N470" s="7" t="inlineStr">
        <is>
          <t>SEM COTAÇÃO</t>
        </is>
      </c>
      <c r="O470" s="8" t="n"/>
      <c r="P470" s="14" t="n"/>
      <c r="Q470" s="7" t="inlineStr"/>
      <c r="R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8" t="n"/>
      <c r="N471" s="7" t="inlineStr">
        <is>
          <t>SEM COTAÇÃO</t>
        </is>
      </c>
      <c r="O471" s="8" t="n"/>
      <c r="P471" s="14" t="n"/>
      <c r="Q471" s="7" t="inlineStr"/>
      <c r="R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8" t="n"/>
      <c r="N472" s="7" t="inlineStr">
        <is>
          <t>SEM COTAÇÃO</t>
        </is>
      </c>
      <c r="O472" s="8" t="n"/>
      <c r="P472" s="14" t="n"/>
      <c r="Q472" s="7" t="inlineStr"/>
      <c r="R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8" t="n"/>
      <c r="N473" s="7" t="inlineStr">
        <is>
          <t>SEM COTAÇÃO</t>
        </is>
      </c>
      <c r="O473" s="8" t="n"/>
      <c r="P473" s="14" t="n"/>
      <c r="Q473" s="7" t="inlineStr"/>
      <c r="R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8" t="n"/>
      <c r="N474" s="7" t="inlineStr">
        <is>
          <t>SEM COTAÇÃO</t>
        </is>
      </c>
      <c r="O474" s="8" t="n"/>
      <c r="P474" s="14" t="n"/>
      <c r="Q474" s="7" t="inlineStr"/>
      <c r="R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8" t="n"/>
      <c r="N475" s="7" t="inlineStr">
        <is>
          <t>SEM COTAÇÃO</t>
        </is>
      </c>
      <c r="O475" s="8" t="n"/>
      <c r="P475" s="14" t="n"/>
      <c r="Q475" s="7" t="inlineStr"/>
      <c r="R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8" t="n"/>
      <c r="N476" s="7" t="inlineStr">
        <is>
          <t>SEM COTAÇÃO</t>
        </is>
      </c>
      <c r="O476" s="8" t="n"/>
      <c r="P476" s="14" t="n"/>
      <c r="Q476" s="7" t="inlineStr"/>
      <c r="R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8" t="n"/>
      <c r="N477" s="7" t="inlineStr">
        <is>
          <t>SEM COTAÇÃO</t>
        </is>
      </c>
      <c r="O477" s="8" t="n"/>
      <c r="P477" s="14" t="n"/>
      <c r="Q477" s="7" t="inlineStr"/>
      <c r="R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8" t="n"/>
      <c r="N478" s="7" t="inlineStr">
        <is>
          <t>SEM COTAÇÃO</t>
        </is>
      </c>
      <c r="O478" s="8" t="n"/>
      <c r="P478" s="14" t="n"/>
      <c r="Q478" s="7" t="inlineStr"/>
      <c r="R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8" t="n"/>
      <c r="N479" s="7" t="inlineStr">
        <is>
          <t>SEM COTAÇÃO</t>
        </is>
      </c>
      <c r="O479" s="8" t="n"/>
      <c r="P479" s="14" t="n"/>
      <c r="Q479" s="7" t="inlineStr"/>
      <c r="R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8" t="n"/>
      <c r="N480" s="7" t="inlineStr">
        <is>
          <t>SEM COTAÇÃO</t>
        </is>
      </c>
      <c r="O480" s="8" t="n"/>
      <c r="P480" s="14" t="n"/>
      <c r="Q480" s="7" t="inlineStr"/>
      <c r="R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8" t="n"/>
      <c r="N481" s="7" t="inlineStr">
        <is>
          <t>SEM COTAÇÃO</t>
        </is>
      </c>
      <c r="O481" s="8" t="n"/>
      <c r="P481" s="14" t="n"/>
      <c r="Q481" s="7" t="inlineStr"/>
      <c r="R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8" t="n"/>
      <c r="N482" s="7" t="inlineStr">
        <is>
          <t>SEM COTAÇÃO</t>
        </is>
      </c>
      <c r="O482" s="8" t="n"/>
      <c r="P482" s="14" t="n"/>
      <c r="Q482" s="7" t="inlineStr"/>
      <c r="R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8" t="n"/>
      <c r="N483" s="7" t="inlineStr">
        <is>
          <t>SEM COTAÇÃO</t>
        </is>
      </c>
      <c r="O483" s="8" t="n"/>
      <c r="P483" s="14" t="n"/>
      <c r="Q483" s="7" t="inlineStr"/>
      <c r="R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8" t="n"/>
      <c r="N484" s="7" t="inlineStr">
        <is>
          <t>SEM COTAÇÃO</t>
        </is>
      </c>
      <c r="O484" s="8" t="n"/>
      <c r="P484" s="14" t="n"/>
      <c r="Q484" s="7" t="inlineStr"/>
      <c r="R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8" t="n"/>
      <c r="N485" s="7" t="inlineStr">
        <is>
          <t>SEM COTAÇÃO</t>
        </is>
      </c>
      <c r="O485" s="8" t="n"/>
      <c r="P485" s="14" t="n"/>
      <c r="Q485" s="7" t="inlineStr"/>
      <c r="R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8" t="n"/>
      <c r="N486" s="7" t="inlineStr">
        <is>
          <t>SEM COTAÇÃO</t>
        </is>
      </c>
      <c r="O486" s="8" t="n"/>
      <c r="P486" s="14" t="n"/>
      <c r="Q486" s="7" t="inlineStr"/>
      <c r="R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8" t="n"/>
      <c r="N487" s="7" t="inlineStr">
        <is>
          <t>SEM COTAÇÃO</t>
        </is>
      </c>
      <c r="O487" s="8" t="n"/>
      <c r="P487" s="14" t="n"/>
      <c r="Q487" s="7" t="inlineStr"/>
      <c r="R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8" t="n"/>
      <c r="N488" s="7" t="inlineStr">
        <is>
          <t>SEM COTAÇÃO</t>
        </is>
      </c>
      <c r="O488" s="8" t="n"/>
      <c r="P488" s="14" t="n"/>
      <c r="Q488" s="7" t="inlineStr"/>
      <c r="R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8" t="n"/>
      <c r="N489" s="7" t="inlineStr">
        <is>
          <t>SEM COTAÇÃO</t>
        </is>
      </c>
      <c r="O489" s="8" t="n"/>
      <c r="P489" s="14" t="n"/>
      <c r="Q489" s="7" t="inlineStr"/>
      <c r="R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8" t="n"/>
      <c r="N490" s="7" t="inlineStr">
        <is>
          <t>SEM COTAÇÃO</t>
        </is>
      </c>
      <c r="O490" s="8" t="n"/>
      <c r="P490" s="14" t="n"/>
      <c r="Q490" s="7" t="inlineStr"/>
      <c r="R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8" t="n"/>
      <c r="N491" s="7" t="inlineStr">
        <is>
          <t>SEM COTAÇÃO</t>
        </is>
      </c>
      <c r="O491" s="8" t="n"/>
      <c r="P491" s="14" t="n"/>
      <c r="Q491" s="7" t="inlineStr"/>
      <c r="R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8" t="n"/>
      <c r="N492" s="7" t="inlineStr">
        <is>
          <t>SEM COTAÇÃO</t>
        </is>
      </c>
      <c r="O492" s="8" t="n"/>
      <c r="P492" s="14" t="n"/>
      <c r="Q492" s="7" t="inlineStr"/>
      <c r="R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8" t="n"/>
      <c r="N493" s="7" t="inlineStr">
        <is>
          <t>SEM COTAÇÃO</t>
        </is>
      </c>
      <c r="O493" s="8" t="n"/>
      <c r="P493" s="14" t="n"/>
      <c r="Q493" s="7" t="inlineStr"/>
      <c r="R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8" t="n"/>
      <c r="N494" s="7" t="inlineStr">
        <is>
          <t>SEM COTAÇÃO</t>
        </is>
      </c>
      <c r="O494" s="8" t="n"/>
      <c r="P494" s="14" t="n"/>
      <c r="Q494" s="7" t="inlineStr"/>
      <c r="R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15" t="n">
        <v>37.75</v>
      </c>
      <c r="N495" s="7" t="inlineStr">
        <is>
          <t>CENTROFARMA</t>
        </is>
      </c>
      <c r="O495" s="8" t="n">
        <v>37.75</v>
      </c>
      <c r="P495" s="14">
        <f>O495/H495-1</f>
        <v/>
      </c>
      <c r="Q495" s="16" t="inlineStr">
        <is>
          <t>ACIMA +40.1%</t>
        </is>
      </c>
      <c r="R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8" t="n"/>
      <c r="N496" s="7" t="inlineStr">
        <is>
          <t>SEM COTAÇÃO</t>
        </is>
      </c>
      <c r="O496" s="8" t="n"/>
      <c r="P496" s="14" t="n"/>
      <c r="Q496" s="7" t="inlineStr"/>
      <c r="R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8" t="n"/>
      <c r="N497" s="7" t="inlineStr">
        <is>
          <t>SEM COTAÇÃO</t>
        </is>
      </c>
      <c r="O497" s="8" t="n"/>
      <c r="P497" s="14" t="n"/>
      <c r="Q497" s="7" t="inlineStr"/>
      <c r="R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8" t="n"/>
      <c r="N498" s="7" t="inlineStr">
        <is>
          <t>SEM COTAÇÃO</t>
        </is>
      </c>
      <c r="O498" s="8" t="n"/>
      <c r="P498" s="14" t="n"/>
      <c r="Q498" s="7" t="inlineStr"/>
      <c r="R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8" t="n"/>
      <c r="N499" s="7" t="inlineStr">
        <is>
          <t>SEM COTAÇÃO</t>
        </is>
      </c>
      <c r="O499" s="8" t="n"/>
      <c r="P499" s="14" t="n"/>
      <c r="Q499" s="7" t="inlineStr"/>
      <c r="R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15" t="n">
        <v>32.8</v>
      </c>
      <c r="M500" s="8" t="n"/>
      <c r="N500" s="7" t="inlineStr">
        <is>
          <t>EPAN</t>
        </is>
      </c>
      <c r="O500" s="8" t="n">
        <v>32.8</v>
      </c>
      <c r="P500" s="14">
        <f>O500/H500-1</f>
        <v/>
      </c>
      <c r="Q500" s="17" t="inlineStr">
        <is>
          <t>OK (≤ últ. compra)</t>
        </is>
      </c>
      <c r="R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8" t="n"/>
      <c r="N501" s="7" t="inlineStr">
        <is>
          <t>SEM COTAÇÃO</t>
        </is>
      </c>
      <c r="O501" s="8" t="n"/>
      <c r="P501" s="14" t="n"/>
      <c r="Q501" s="7" t="inlineStr"/>
      <c r="R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6.3</v>
      </c>
      <c r="K502" s="8" t="n"/>
      <c r="L502" s="8" t="n"/>
      <c r="M502" s="15" t="n">
        <v>5.11</v>
      </c>
      <c r="N502" s="7" t="inlineStr">
        <is>
          <t>CENTROFARMA</t>
        </is>
      </c>
      <c r="O502" s="8" t="n">
        <v>5.11</v>
      </c>
      <c r="P502" s="14">
        <f>O502/H502-1</f>
        <v/>
      </c>
      <c r="Q502" s="17" t="inlineStr">
        <is>
          <t>OK (≤ menor hist.)</t>
        </is>
      </c>
      <c r="R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8" t="n"/>
      <c r="N503" s="7" t="inlineStr">
        <is>
          <t>SEM COTAÇÃO</t>
        </is>
      </c>
      <c r="O503" s="8" t="n"/>
      <c r="P503" s="14" t="n"/>
      <c r="Q503" s="7" t="inlineStr"/>
      <c r="R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8" t="n"/>
      <c r="N504" s="7" t="inlineStr">
        <is>
          <t>SEM COTAÇÃO</t>
        </is>
      </c>
      <c r="O504" s="8" t="n"/>
      <c r="P504" s="14" t="n"/>
      <c r="Q504" s="7" t="inlineStr"/>
      <c r="R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8" t="n">
        <v>2.08</v>
      </c>
      <c r="N505" s="7" t="inlineStr">
        <is>
          <t>DIMEC</t>
        </is>
      </c>
      <c r="O505" s="8" t="n">
        <v>1.78</v>
      </c>
      <c r="P505" s="14">
        <f>O505/H505-1</f>
        <v/>
      </c>
      <c r="Q505" s="16" t="inlineStr">
        <is>
          <t>ACIMA +9.9%</t>
        </is>
      </c>
      <c r="R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8" t="n"/>
      <c r="N506" s="7" t="inlineStr">
        <is>
          <t>SEM COTAÇÃO</t>
        </is>
      </c>
      <c r="O506" s="8" t="n"/>
      <c r="P506" s="14" t="n"/>
      <c r="Q506" s="7" t="inlineStr"/>
      <c r="R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15" t="n">
        <v>2.54</v>
      </c>
      <c r="N507" s="7" t="inlineStr">
        <is>
          <t>CENTROFARMA</t>
        </is>
      </c>
      <c r="O507" s="8" t="n">
        <v>2.54</v>
      </c>
      <c r="P507" s="14">
        <f>O507/H507-1</f>
        <v/>
      </c>
      <c r="Q507" s="16" t="inlineStr">
        <is>
          <t>ACIMA +5.4%</t>
        </is>
      </c>
      <c r="R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8" t="n"/>
      <c r="N508" s="7" t="inlineStr">
        <is>
          <t>SEM COTAÇÃO</t>
        </is>
      </c>
      <c r="O508" s="8" t="n"/>
      <c r="P508" s="14" t="n"/>
      <c r="Q508" s="7" t="inlineStr"/>
      <c r="R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8" t="n"/>
      <c r="N509" s="7" t="inlineStr">
        <is>
          <t>SEM COTAÇÃO</t>
        </is>
      </c>
      <c r="O509" s="8" t="n"/>
      <c r="P509" s="14" t="n"/>
      <c r="Q509" s="7" t="inlineStr"/>
      <c r="R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8" t="n"/>
      <c r="N510" s="7" t="inlineStr">
        <is>
          <t>SEM COTAÇÃO</t>
        </is>
      </c>
      <c r="O510" s="8" t="n"/>
      <c r="P510" s="14" t="n"/>
      <c r="Q510" s="7" t="inlineStr"/>
      <c r="R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8" t="n"/>
      <c r="N511" s="7" t="inlineStr">
        <is>
          <t>SEM COTAÇÃO</t>
        </is>
      </c>
      <c r="O511" s="8" t="n"/>
      <c r="P511" s="14" t="n"/>
      <c r="Q511" s="7" t="inlineStr"/>
      <c r="R511" s="7" t="inlineStr"/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8" t="n"/>
      <c r="N512" s="7" t="inlineStr">
        <is>
          <t>SEM COTAÇÃO</t>
        </is>
      </c>
      <c r="O512" s="8" t="n"/>
      <c r="P512" s="14" t="n"/>
      <c r="Q512" s="7" t="inlineStr"/>
      <c r="R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8" t="n"/>
      <c r="N513" s="7" t="inlineStr">
        <is>
          <t>SEM COTAÇÃO</t>
        </is>
      </c>
      <c r="O513" s="8" t="n"/>
      <c r="P513" s="14" t="n"/>
      <c r="Q513" s="7" t="inlineStr"/>
      <c r="R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8" t="n"/>
      <c r="N514" s="7" t="inlineStr">
        <is>
          <t>SEM COTAÇÃO</t>
        </is>
      </c>
      <c r="O514" s="8" t="n"/>
      <c r="P514" s="14" t="n"/>
      <c r="Q514" s="7" t="inlineStr"/>
      <c r="R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8" t="n"/>
      <c r="N515" s="7" t="inlineStr">
        <is>
          <t>SEM COTAÇÃO</t>
        </is>
      </c>
      <c r="O515" s="8" t="n"/>
      <c r="P515" s="14" t="n"/>
      <c r="Q515" s="7" t="inlineStr"/>
      <c r="R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8" t="n"/>
      <c r="N516" s="7" t="inlineStr">
        <is>
          <t>DIMEC</t>
        </is>
      </c>
      <c r="O516" s="8" t="n">
        <v>2.34</v>
      </c>
      <c r="P516" s="14">
        <f>O516/H516-1</f>
        <v/>
      </c>
      <c r="Q516" s="17" t="inlineStr">
        <is>
          <t>OK (≤ menor hist.)</t>
        </is>
      </c>
      <c r="R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15" t="n">
        <v>76.89</v>
      </c>
      <c r="M517" s="8" t="n"/>
      <c r="N517" s="7" t="inlineStr">
        <is>
          <t>EPAN</t>
        </is>
      </c>
      <c r="O517" s="8" t="n">
        <v>76.89</v>
      </c>
      <c r="P517" s="14">
        <f>O517/H517-1</f>
        <v/>
      </c>
      <c r="Q517" s="17" t="inlineStr">
        <is>
          <t>OK (≤ últ. compra)</t>
        </is>
      </c>
      <c r="R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8" t="n"/>
      <c r="N518" s="7" t="inlineStr">
        <is>
          <t>SEM COTAÇÃO</t>
        </is>
      </c>
      <c r="O518" s="8" t="n"/>
      <c r="P518" s="14" t="n"/>
      <c r="Q518" s="7" t="inlineStr"/>
      <c r="R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8" t="n"/>
      <c r="N519" s="7" t="inlineStr">
        <is>
          <t>PLUSFARMA</t>
        </is>
      </c>
      <c r="O519" s="8" t="n">
        <v>6.68</v>
      </c>
      <c r="P519" s="14">
        <f>O519/H519-1</f>
        <v/>
      </c>
      <c r="Q519" s="16" t="inlineStr">
        <is>
          <t>ACIMA +5.7%</t>
        </is>
      </c>
      <c r="R519" s="7" t="inlineStr"/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8" t="n"/>
      <c r="N520" s="7" t="inlineStr">
        <is>
          <t>SEM COTAÇÃO</t>
        </is>
      </c>
      <c r="O520" s="8" t="n"/>
      <c r="P520" s="14" t="n"/>
      <c r="Q520" s="7" t="inlineStr"/>
      <c r="R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8" t="n">
        <v>8.18</v>
      </c>
      <c r="N521" s="7" t="inlineStr">
        <is>
          <t>DIMEC</t>
        </is>
      </c>
      <c r="O521" s="8" t="n">
        <v>6.59</v>
      </c>
      <c r="P521" s="14">
        <f>O521/H521-1</f>
        <v/>
      </c>
      <c r="Q521" s="17" t="inlineStr">
        <is>
          <t>OK (≤ menor hist.)</t>
        </is>
      </c>
      <c r="R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8" t="n"/>
      <c r="N522" s="7" t="inlineStr">
        <is>
          <t>DIMEC</t>
        </is>
      </c>
      <c r="O522" s="8" t="n">
        <v>9.83</v>
      </c>
      <c r="P522" s="14">
        <f>O522/H522-1</f>
        <v/>
      </c>
      <c r="Q522" s="16" t="inlineStr">
        <is>
          <t>ACIMA +11.2%</t>
        </is>
      </c>
      <c r="R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8" t="n"/>
      <c r="N523" s="7" t="inlineStr">
        <is>
          <t>SEM COTAÇÃO</t>
        </is>
      </c>
      <c r="O523" s="8" t="n"/>
      <c r="P523" s="14" t="n"/>
      <c r="Q523" s="7" t="inlineStr"/>
      <c r="R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8" t="n"/>
      <c r="N524" s="7" t="inlineStr">
        <is>
          <t>SEM COTAÇÃO</t>
        </is>
      </c>
      <c r="O524" s="8" t="n"/>
      <c r="P524" s="14" t="n"/>
      <c r="Q524" s="7" t="inlineStr"/>
      <c r="R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8" t="n"/>
      <c r="N525" s="7" t="inlineStr">
        <is>
          <t>SEM COTAÇÃO</t>
        </is>
      </c>
      <c r="O525" s="8" t="n"/>
      <c r="P525" s="14" t="n"/>
      <c r="Q525" s="7" t="inlineStr"/>
      <c r="R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8" t="n"/>
      <c r="N526" s="7" t="inlineStr">
        <is>
          <t>SEM COTAÇÃO</t>
        </is>
      </c>
      <c r="O526" s="8" t="n"/>
      <c r="P526" s="14" t="n"/>
      <c r="Q526" s="7" t="inlineStr"/>
      <c r="R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8" t="n"/>
      <c r="N527" s="7" t="inlineStr">
        <is>
          <t>SEM COTAÇÃO</t>
        </is>
      </c>
      <c r="O527" s="8" t="n"/>
      <c r="P527" s="14" t="n"/>
      <c r="Q527" s="7" t="inlineStr"/>
      <c r="R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8" t="n"/>
      <c r="N528" s="7" t="inlineStr">
        <is>
          <t>SEM COTAÇÃO</t>
        </is>
      </c>
      <c r="O528" s="8" t="n"/>
      <c r="P528" s="14" t="n"/>
      <c r="Q528" s="7" t="inlineStr"/>
      <c r="R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8" t="n"/>
      <c r="N529" s="7" t="inlineStr">
        <is>
          <t>DIMEC</t>
        </is>
      </c>
      <c r="O529" s="8" t="n">
        <v>7.43</v>
      </c>
      <c r="P529" s="14">
        <f>O529/H529-1</f>
        <v/>
      </c>
      <c r="Q529" s="16" t="inlineStr">
        <is>
          <t>ACIMA +14.5%</t>
        </is>
      </c>
      <c r="R529" s="7" t="inlineStr"/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8" t="n"/>
      <c r="N530" s="7" t="inlineStr">
        <is>
          <t>SEM COTAÇÃO</t>
        </is>
      </c>
      <c r="O530" s="8" t="n"/>
      <c r="P530" s="14" t="n"/>
      <c r="Q530" s="7" t="inlineStr"/>
      <c r="R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8" t="n"/>
      <c r="N531" s="7" t="inlineStr">
        <is>
          <t>SEM COTAÇÃO</t>
        </is>
      </c>
      <c r="O531" s="8" t="n"/>
      <c r="P531" s="14" t="n"/>
      <c r="Q531" s="7" t="inlineStr"/>
      <c r="R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8" t="n"/>
      <c r="N532" s="7" t="inlineStr">
        <is>
          <t>EPAN</t>
        </is>
      </c>
      <c r="O532" s="8" t="n">
        <v>14.43</v>
      </c>
      <c r="P532" s="14">
        <f>O532/H532-1</f>
        <v/>
      </c>
      <c r="Q532" s="17" t="inlineStr">
        <is>
          <t>OK (≤ últ. compra)</t>
        </is>
      </c>
      <c r="R532" s="7" t="inlineStr"/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8" t="n"/>
      <c r="N533" s="7" t="inlineStr">
        <is>
          <t>SEM COTAÇÃO</t>
        </is>
      </c>
      <c r="O533" s="8" t="n"/>
      <c r="P533" s="14" t="n"/>
      <c r="Q533" s="7" t="inlineStr"/>
      <c r="R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8" t="n"/>
      <c r="N534" s="7" t="inlineStr">
        <is>
          <t>SEM COTAÇÃO</t>
        </is>
      </c>
      <c r="O534" s="8" t="n"/>
      <c r="P534" s="14" t="n"/>
      <c r="Q534" s="7" t="inlineStr"/>
      <c r="R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8" t="n"/>
      <c r="N535" s="7" t="inlineStr">
        <is>
          <t>SEM COTAÇÃO</t>
        </is>
      </c>
      <c r="O535" s="8" t="n"/>
      <c r="P535" s="14" t="n"/>
      <c r="Q535" s="7" t="inlineStr"/>
      <c r="R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8" t="n"/>
      <c r="N536" s="7" t="inlineStr">
        <is>
          <t>SEM COTAÇÃO</t>
        </is>
      </c>
      <c r="O536" s="8" t="n"/>
      <c r="P536" s="14" t="n"/>
      <c r="Q536" s="7" t="inlineStr"/>
      <c r="R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8" t="n"/>
      <c r="N537" s="7" t="inlineStr">
        <is>
          <t>SEM COTAÇÃO</t>
        </is>
      </c>
      <c r="O537" s="8" t="n"/>
      <c r="P537" s="14" t="n"/>
      <c r="Q537" s="7" t="inlineStr"/>
      <c r="R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8" t="n"/>
      <c r="N538" s="7" t="inlineStr">
        <is>
          <t>SEM COTAÇÃO</t>
        </is>
      </c>
      <c r="O538" s="8" t="n"/>
      <c r="P538" s="14" t="n"/>
      <c r="Q538" s="7" t="inlineStr"/>
      <c r="R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8" t="n"/>
      <c r="N539" s="7" t="inlineStr">
        <is>
          <t>SEM COTAÇÃO</t>
        </is>
      </c>
      <c r="O539" s="8" t="n"/>
      <c r="P539" s="14" t="n"/>
      <c r="Q539" s="7" t="inlineStr"/>
      <c r="R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15" t="n">
        <v>29.58</v>
      </c>
      <c r="M540" s="8" t="n"/>
      <c r="N540" s="7" t="inlineStr">
        <is>
          <t>EPAN</t>
        </is>
      </c>
      <c r="O540" s="8" t="n">
        <v>29.58</v>
      </c>
      <c r="P540" s="14">
        <f>O540/H540-1</f>
        <v/>
      </c>
      <c r="Q540" s="17" t="inlineStr">
        <is>
          <t>OK (≤ últ. compra)</t>
        </is>
      </c>
      <c r="R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8" t="n"/>
      <c r="N541" s="7" t="inlineStr">
        <is>
          <t>SEM COTAÇÃO</t>
        </is>
      </c>
      <c r="O541" s="8" t="n"/>
      <c r="P541" s="14" t="n"/>
      <c r="Q541" s="7" t="inlineStr"/>
      <c r="R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8" t="n"/>
      <c r="N542" s="7" t="inlineStr">
        <is>
          <t>DIMEC</t>
        </is>
      </c>
      <c r="O542" s="8" t="n">
        <v>3.23</v>
      </c>
      <c r="P542" s="14">
        <f>O542/H542-1</f>
        <v/>
      </c>
      <c r="Q542" s="16" t="inlineStr">
        <is>
          <t>ACIMA +5.9%</t>
        </is>
      </c>
      <c r="R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8" t="n"/>
      <c r="N543" s="7" t="inlineStr">
        <is>
          <t>SEM COTAÇÃO</t>
        </is>
      </c>
      <c r="O543" s="8" t="n"/>
      <c r="P543" s="14" t="n"/>
      <c r="Q543" s="7" t="inlineStr"/>
      <c r="R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8" t="n"/>
      <c r="N544" s="7" t="inlineStr">
        <is>
          <t>SEM COTAÇÃO</t>
        </is>
      </c>
      <c r="O544" s="8" t="n"/>
      <c r="P544" s="14" t="n"/>
      <c r="Q544" s="7" t="inlineStr"/>
      <c r="R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8" t="n"/>
      <c r="N545" s="7" t="inlineStr">
        <is>
          <t>SEM COTAÇÃO</t>
        </is>
      </c>
      <c r="O545" s="8" t="n"/>
      <c r="P545" s="14" t="n"/>
      <c r="Q545" s="7" t="inlineStr"/>
      <c r="R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8" t="n">
        <v>4.57</v>
      </c>
      <c r="N546" s="7" t="inlineStr">
        <is>
          <t>DIMEC</t>
        </is>
      </c>
      <c r="O546" s="8" t="n">
        <v>4.3</v>
      </c>
      <c r="P546" s="14">
        <f>O546/H546-1</f>
        <v/>
      </c>
      <c r="Q546" s="17" t="inlineStr">
        <is>
          <t>OK (≤ menor hist.)</t>
        </is>
      </c>
      <c r="R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8" t="n"/>
      <c r="N547" s="7" t="inlineStr">
        <is>
          <t>SEM COTAÇÃO</t>
        </is>
      </c>
      <c r="O547" s="8" t="n"/>
      <c r="P547" s="14" t="n"/>
      <c r="Q547" s="7" t="inlineStr"/>
      <c r="R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8" t="n"/>
      <c r="N548" s="7" t="inlineStr">
        <is>
          <t>SEM COTAÇÃO</t>
        </is>
      </c>
      <c r="O548" s="8" t="n"/>
      <c r="P548" s="14" t="n"/>
      <c r="Q548" s="7" t="inlineStr"/>
      <c r="R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8" t="n"/>
      <c r="N549" s="7" t="inlineStr">
        <is>
          <t>SEM COTAÇÃO</t>
        </is>
      </c>
      <c r="O549" s="8" t="n"/>
      <c r="P549" s="14" t="n"/>
      <c r="Q549" s="7" t="inlineStr"/>
      <c r="R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7" t="inlineStr">
        <is>
          <t>SEM COTAÇÃO</t>
        </is>
      </c>
      <c r="O550" s="8" t="n"/>
      <c r="P550" s="14" t="n"/>
      <c r="Q550" s="7" t="inlineStr"/>
      <c r="R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15" t="n">
        <v>31.4</v>
      </c>
      <c r="M551" s="8" t="n"/>
      <c r="N551" s="7" t="inlineStr">
        <is>
          <t>EPAN</t>
        </is>
      </c>
      <c r="O551" s="8" t="n">
        <v>31.4</v>
      </c>
      <c r="P551" s="14">
        <f>O551/H551-1</f>
        <v/>
      </c>
      <c r="Q551" s="16" t="inlineStr">
        <is>
          <t>ACIMA +23.4%</t>
        </is>
      </c>
      <c r="R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8" t="n"/>
      <c r="N552" s="7" t="inlineStr">
        <is>
          <t>PLUSFARMA</t>
        </is>
      </c>
      <c r="O552" s="8" t="n">
        <v>16.29</v>
      </c>
      <c r="P552" s="14">
        <f>O552/H552-1</f>
        <v/>
      </c>
      <c r="Q552" s="16" t="inlineStr">
        <is>
          <t>ACIMA +4.0%</t>
        </is>
      </c>
      <c r="R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7" t="inlineStr">
        <is>
          <t>SEM COTAÇÃO</t>
        </is>
      </c>
      <c r="O553" s="8" t="n"/>
      <c r="P553" s="14" t="n"/>
      <c r="Q553" s="7" t="inlineStr"/>
      <c r="R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8" t="n"/>
      <c r="N554" s="7" t="inlineStr">
        <is>
          <t>SEM COTAÇÃO</t>
        </is>
      </c>
      <c r="O554" s="8" t="n"/>
      <c r="P554" s="14" t="n"/>
      <c r="Q554" s="7" t="inlineStr"/>
      <c r="R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8" t="n"/>
      <c r="N555" s="7" t="inlineStr">
        <is>
          <t>EPAN</t>
        </is>
      </c>
      <c r="O555" s="8" t="n">
        <v>9.65</v>
      </c>
      <c r="P555" s="14">
        <f>O555/H555-1</f>
        <v/>
      </c>
      <c r="Q555" s="17" t="inlineStr">
        <is>
          <t>OK (≤ últ. compra)</t>
        </is>
      </c>
      <c r="R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8" t="n"/>
      <c r="N556" s="7" t="inlineStr">
        <is>
          <t>SEM COTAÇÃO</t>
        </is>
      </c>
      <c r="O556" s="8" t="n"/>
      <c r="P556" s="14" t="n"/>
      <c r="Q556" s="7" t="inlineStr"/>
      <c r="R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8" t="n"/>
      <c r="N557" s="7" t="inlineStr">
        <is>
          <t>SEM COTAÇÃO</t>
        </is>
      </c>
      <c r="O557" s="8" t="n"/>
      <c r="P557" s="14" t="n"/>
      <c r="Q557" s="7" t="inlineStr"/>
      <c r="R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8" t="n"/>
      <c r="N558" s="7" t="inlineStr">
        <is>
          <t>SEM COTAÇÃO</t>
        </is>
      </c>
      <c r="O558" s="8" t="n"/>
      <c r="P558" s="14" t="n"/>
      <c r="Q558" s="7" t="inlineStr"/>
      <c r="R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8" t="n"/>
      <c r="N559" s="7" t="inlineStr">
        <is>
          <t>SEM COTAÇÃO</t>
        </is>
      </c>
      <c r="O559" s="8" t="n"/>
      <c r="P559" s="14" t="n"/>
      <c r="Q559" s="7" t="inlineStr"/>
      <c r="R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8" t="n"/>
      <c r="N560" s="7" t="inlineStr">
        <is>
          <t>SEM COTAÇÃO</t>
        </is>
      </c>
      <c r="O560" s="8" t="n"/>
      <c r="P560" s="14" t="n"/>
      <c r="Q560" s="7" t="inlineStr"/>
      <c r="R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8" t="n"/>
      <c r="N561" s="7" t="inlineStr">
        <is>
          <t>SEM COTAÇÃO</t>
        </is>
      </c>
      <c r="O561" s="8" t="n"/>
      <c r="P561" s="14" t="n"/>
      <c r="Q561" s="7" t="inlineStr"/>
      <c r="R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8" t="n"/>
      <c r="N562" s="7" t="inlineStr">
        <is>
          <t>SEM COTAÇÃO</t>
        </is>
      </c>
      <c r="O562" s="8" t="n"/>
      <c r="P562" s="14" t="n"/>
      <c r="Q562" s="7" t="inlineStr"/>
      <c r="R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8" t="n"/>
      <c r="N563" s="7" t="inlineStr">
        <is>
          <t>SEM COTAÇÃO</t>
        </is>
      </c>
      <c r="O563" s="8" t="n"/>
      <c r="P563" s="14" t="n"/>
      <c r="Q563" s="7" t="inlineStr"/>
      <c r="R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8" t="n"/>
      <c r="N564" s="7" t="inlineStr">
        <is>
          <t>SEM COTAÇÃO</t>
        </is>
      </c>
      <c r="O564" s="8" t="n"/>
      <c r="P564" s="14" t="n"/>
      <c r="Q564" s="7" t="inlineStr"/>
      <c r="R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8" t="n"/>
      <c r="N565" s="7" t="inlineStr">
        <is>
          <t>SEM COTAÇÃO</t>
        </is>
      </c>
      <c r="O565" s="8" t="n"/>
      <c r="P565" s="14" t="n"/>
      <c r="Q565" s="7" t="inlineStr"/>
      <c r="R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8" t="n"/>
      <c r="N566" s="7" t="inlineStr">
        <is>
          <t>SEM COTAÇÃO</t>
        </is>
      </c>
      <c r="O566" s="8" t="n"/>
      <c r="P566" s="14" t="n"/>
      <c r="Q566" s="7" t="inlineStr"/>
      <c r="R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8" t="n"/>
      <c r="N567" s="7" t="inlineStr">
        <is>
          <t>SEM COTAÇÃO</t>
        </is>
      </c>
      <c r="O567" s="8" t="n"/>
      <c r="P567" s="14" t="n"/>
      <c r="Q567" s="7" t="inlineStr"/>
      <c r="R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8" t="n"/>
      <c r="N568" s="7" t="inlineStr">
        <is>
          <t>SEM COTAÇÃO</t>
        </is>
      </c>
      <c r="O568" s="8" t="n"/>
      <c r="P568" s="14" t="n"/>
      <c r="Q568" s="7" t="inlineStr"/>
      <c r="R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8" t="n"/>
      <c r="N569" s="7" t="inlineStr">
        <is>
          <t>SEM COTAÇÃO</t>
        </is>
      </c>
      <c r="O569" s="8" t="n"/>
      <c r="P569" s="14" t="n"/>
      <c r="Q569" s="7" t="inlineStr"/>
      <c r="R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8" t="n"/>
      <c r="N570" s="7" t="inlineStr">
        <is>
          <t>SEM COTAÇÃO</t>
        </is>
      </c>
      <c r="O570" s="8" t="n"/>
      <c r="P570" s="14" t="n"/>
      <c r="Q570" s="7" t="inlineStr"/>
      <c r="R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8" t="n"/>
      <c r="N571" s="7" t="inlineStr">
        <is>
          <t>SEM COTAÇÃO</t>
        </is>
      </c>
      <c r="O571" s="8" t="n"/>
      <c r="P571" s="14" t="n"/>
      <c r="Q571" s="7" t="inlineStr"/>
      <c r="R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8" t="n"/>
      <c r="N572" s="7" t="inlineStr">
        <is>
          <t>SEM COTAÇÃO</t>
        </is>
      </c>
      <c r="O572" s="8" t="n"/>
      <c r="P572" s="14" t="n"/>
      <c r="Q572" s="7" t="inlineStr"/>
      <c r="R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8" t="n"/>
      <c r="N573" s="7" t="inlineStr">
        <is>
          <t>SEM COTAÇÃO</t>
        </is>
      </c>
      <c r="O573" s="8" t="n"/>
      <c r="P573" s="14" t="n"/>
      <c r="Q573" s="7" t="inlineStr"/>
      <c r="R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8" t="n"/>
      <c r="N574" s="7" t="inlineStr">
        <is>
          <t>SEM COTAÇÃO</t>
        </is>
      </c>
      <c r="O574" s="8" t="n"/>
      <c r="P574" s="14" t="n"/>
      <c r="Q574" s="7" t="inlineStr"/>
      <c r="R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8" t="n"/>
      <c r="N575" s="7" t="inlineStr">
        <is>
          <t>SEM COTAÇÃO</t>
        </is>
      </c>
      <c r="O575" s="8" t="n"/>
      <c r="P575" s="14" t="n"/>
      <c r="Q575" s="7" t="inlineStr"/>
      <c r="R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8" t="n"/>
      <c r="N576" s="7" t="inlineStr">
        <is>
          <t>SEM COTAÇÃO</t>
        </is>
      </c>
      <c r="O576" s="8" t="n"/>
      <c r="P576" s="14" t="n"/>
      <c r="Q576" s="7" t="inlineStr"/>
      <c r="R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8" t="n"/>
      <c r="N577" s="7" t="inlineStr">
        <is>
          <t>SEM COTAÇÃO</t>
        </is>
      </c>
      <c r="O577" s="8" t="n"/>
      <c r="P577" s="14" t="n"/>
      <c r="Q577" s="7" t="inlineStr"/>
      <c r="R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8" t="n"/>
      <c r="N578" s="7" t="inlineStr">
        <is>
          <t>SEM COTAÇÃO</t>
        </is>
      </c>
      <c r="O578" s="8" t="n"/>
      <c r="P578" s="14" t="n"/>
      <c r="Q578" s="7" t="inlineStr"/>
      <c r="R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8" t="n"/>
      <c r="N579" s="7" t="inlineStr">
        <is>
          <t>SEM COTAÇÃO</t>
        </is>
      </c>
      <c r="O579" s="8" t="n"/>
      <c r="P579" s="14" t="n"/>
      <c r="Q579" s="7" t="inlineStr"/>
      <c r="R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8" t="n"/>
      <c r="N580" s="7" t="inlineStr">
        <is>
          <t>SEM COTAÇÃO</t>
        </is>
      </c>
      <c r="O580" s="8" t="n"/>
      <c r="P580" s="14" t="n"/>
      <c r="Q580" s="7" t="inlineStr"/>
      <c r="R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15" t="n">
        <v>16.94</v>
      </c>
      <c r="N581" s="7" t="inlineStr">
        <is>
          <t>CENTROFARMA</t>
        </is>
      </c>
      <c r="O581" s="8" t="n">
        <v>16.94</v>
      </c>
      <c r="P581" s="14">
        <f>O581/H581-1</f>
        <v/>
      </c>
      <c r="Q581" s="16" t="inlineStr">
        <is>
          <t>ACIMA +2.3%</t>
        </is>
      </c>
      <c r="R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8" t="n"/>
      <c r="N582" s="7" t="inlineStr">
        <is>
          <t>SEM COTAÇÃO</t>
        </is>
      </c>
      <c r="O582" s="8" t="n"/>
      <c r="P582" s="14" t="n"/>
      <c r="Q582" s="7" t="inlineStr"/>
      <c r="R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8" t="n"/>
      <c r="N583" s="7" t="inlineStr">
        <is>
          <t>SEM COTAÇÃO</t>
        </is>
      </c>
      <c r="O583" s="8" t="n"/>
      <c r="P583" s="14" t="n"/>
      <c r="Q583" s="7" t="inlineStr"/>
      <c r="R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8" t="n"/>
      <c r="N584" s="7" t="inlineStr">
        <is>
          <t>SEM COTAÇÃO</t>
        </is>
      </c>
      <c r="O584" s="8" t="n"/>
      <c r="P584" s="14" t="n"/>
      <c r="Q584" s="7" t="inlineStr"/>
      <c r="R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8" t="n"/>
      <c r="N585" s="7" t="inlineStr">
        <is>
          <t>SEM COTAÇÃO</t>
        </is>
      </c>
      <c r="O585" s="8" t="n"/>
      <c r="P585" s="14" t="n"/>
      <c r="Q585" s="7" t="inlineStr"/>
      <c r="R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8" t="n"/>
      <c r="N586" s="7" t="inlineStr">
        <is>
          <t>SEM COTAÇÃO</t>
        </is>
      </c>
      <c r="O586" s="8" t="n"/>
      <c r="P586" s="14" t="n"/>
      <c r="Q586" s="7" t="inlineStr"/>
      <c r="R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8" t="n"/>
      <c r="N587" s="7" t="inlineStr">
        <is>
          <t>SEM COTAÇÃO</t>
        </is>
      </c>
      <c r="O587" s="8" t="n"/>
      <c r="P587" s="14" t="n"/>
      <c r="Q587" s="7" t="inlineStr"/>
      <c r="R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8" t="n"/>
      <c r="N588" s="7" t="inlineStr">
        <is>
          <t>SEM COTAÇÃO</t>
        </is>
      </c>
      <c r="O588" s="8" t="n"/>
      <c r="P588" s="14" t="n"/>
      <c r="Q588" s="7" t="inlineStr"/>
      <c r="R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8" t="n"/>
      <c r="N589" s="7" t="inlineStr">
        <is>
          <t>SEM COTAÇÃO</t>
        </is>
      </c>
      <c r="O589" s="8" t="n"/>
      <c r="P589" s="14" t="n"/>
      <c r="Q589" s="7" t="inlineStr"/>
      <c r="R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8" t="n"/>
      <c r="N590" s="7" t="inlineStr">
        <is>
          <t>SEM COTAÇÃO</t>
        </is>
      </c>
      <c r="O590" s="8" t="n"/>
      <c r="P590" s="14" t="n"/>
      <c r="Q590" s="7" t="inlineStr"/>
      <c r="R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8" t="n"/>
      <c r="N591" s="7" t="inlineStr">
        <is>
          <t>SEM COTAÇÃO</t>
        </is>
      </c>
      <c r="O591" s="8" t="n"/>
      <c r="P591" s="14" t="n"/>
      <c r="Q591" s="7" t="inlineStr"/>
      <c r="R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8" t="n"/>
      <c r="N592" s="7" t="inlineStr">
        <is>
          <t>SEM COTAÇÃO</t>
        </is>
      </c>
      <c r="O592" s="8" t="n"/>
      <c r="P592" s="14" t="n"/>
      <c r="Q592" s="7" t="inlineStr"/>
      <c r="R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8" t="n"/>
      <c r="N593" s="7" t="inlineStr">
        <is>
          <t>SEM COTAÇÃO</t>
        </is>
      </c>
      <c r="O593" s="8" t="n"/>
      <c r="P593" s="14" t="n"/>
      <c r="Q593" s="7" t="inlineStr"/>
      <c r="R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8" t="n"/>
      <c r="N594" s="7" t="inlineStr">
        <is>
          <t>SEM COTAÇÃO</t>
        </is>
      </c>
      <c r="O594" s="8" t="n"/>
      <c r="P594" s="14" t="n"/>
      <c r="Q594" s="7" t="inlineStr"/>
      <c r="R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8" t="n"/>
      <c r="N595" s="7" t="inlineStr">
        <is>
          <t>SEM COTAÇÃO</t>
        </is>
      </c>
      <c r="O595" s="8" t="n"/>
      <c r="P595" s="14" t="n"/>
      <c r="Q595" s="7" t="inlineStr"/>
      <c r="R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8" t="n"/>
      <c r="N596" s="7" t="inlineStr">
        <is>
          <t>SEM COTAÇÃO</t>
        </is>
      </c>
      <c r="O596" s="8" t="n"/>
      <c r="P596" s="14" t="n"/>
      <c r="Q596" s="7" t="inlineStr"/>
      <c r="R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7" t="inlineStr">
        <is>
          <t>SEM COTAÇÃO</t>
        </is>
      </c>
      <c r="O597" s="8" t="n"/>
      <c r="P597" s="14" t="n"/>
      <c r="Q597" s="7" t="inlineStr"/>
      <c r="R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8" t="n"/>
      <c r="N598" s="7" t="inlineStr">
        <is>
          <t>SEM COTAÇÃO</t>
        </is>
      </c>
      <c r="O598" s="8" t="n"/>
      <c r="P598" s="14" t="n"/>
      <c r="Q598" s="7" t="inlineStr"/>
      <c r="R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8" t="n"/>
      <c r="N599" s="7" t="inlineStr">
        <is>
          <t>SEM COTAÇÃO</t>
        </is>
      </c>
      <c r="O599" s="8" t="n"/>
      <c r="P599" s="14" t="n"/>
      <c r="Q599" s="7" t="inlineStr"/>
      <c r="R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8" t="n"/>
      <c r="N600" s="7" t="inlineStr">
        <is>
          <t>SEM COTAÇÃO</t>
        </is>
      </c>
      <c r="O600" s="8" t="n"/>
      <c r="P600" s="14" t="n"/>
      <c r="Q600" s="7" t="inlineStr"/>
      <c r="R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8" t="n"/>
      <c r="N601" s="7" t="inlineStr">
        <is>
          <t>SEM COTAÇÃO</t>
        </is>
      </c>
      <c r="O601" s="8" t="n"/>
      <c r="P601" s="14" t="n"/>
      <c r="Q601" s="7" t="inlineStr"/>
      <c r="R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8" t="n"/>
      <c r="N602" s="7" t="inlineStr">
        <is>
          <t>SEM COTAÇÃO</t>
        </is>
      </c>
      <c r="O602" s="8" t="n"/>
      <c r="P602" s="14" t="n"/>
      <c r="Q602" s="7" t="inlineStr"/>
      <c r="R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8" t="n"/>
      <c r="N603" s="7" t="inlineStr">
        <is>
          <t>SEM COTAÇÃO</t>
        </is>
      </c>
      <c r="O603" s="8" t="n"/>
      <c r="P603" s="14" t="n"/>
      <c r="Q603" s="7" t="inlineStr"/>
      <c r="R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8" t="n"/>
      <c r="N604" s="7" t="inlineStr">
        <is>
          <t>SEM COTAÇÃO</t>
        </is>
      </c>
      <c r="O604" s="8" t="n"/>
      <c r="P604" s="14" t="n"/>
      <c r="Q604" s="7" t="inlineStr"/>
      <c r="R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8" t="n"/>
      <c r="N605" s="7" t="inlineStr">
        <is>
          <t>DIMEC</t>
        </is>
      </c>
      <c r="O605" s="8" t="n">
        <v>12.92</v>
      </c>
      <c r="P605" s="14">
        <f>O605/H605-1</f>
        <v/>
      </c>
      <c r="Q605" s="17" t="inlineStr">
        <is>
          <t>OK (≤ menor hist.)</t>
        </is>
      </c>
      <c r="R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8" t="n"/>
      <c r="N606" s="7" t="inlineStr">
        <is>
          <t>SEM COTAÇÃO</t>
        </is>
      </c>
      <c r="O606" s="8" t="n"/>
      <c r="P606" s="14" t="n"/>
      <c r="Q606" s="7" t="inlineStr"/>
      <c r="R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8" t="n">
        <v>11.37</v>
      </c>
      <c r="N607" s="7" t="inlineStr">
        <is>
          <t>DIMEC</t>
        </is>
      </c>
      <c r="O607" s="8" t="n">
        <v>10.63</v>
      </c>
      <c r="P607" s="14">
        <f>O607/H607-1</f>
        <v/>
      </c>
      <c r="Q607" s="17" t="inlineStr">
        <is>
          <t>OK (≤ menor hist.)</t>
        </is>
      </c>
      <c r="R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8" t="n"/>
      <c r="N608" s="7" t="inlineStr">
        <is>
          <t>SEM COTAÇÃO</t>
        </is>
      </c>
      <c r="O608" s="8" t="n"/>
      <c r="P608" s="14" t="n"/>
      <c r="Q608" s="7" t="inlineStr"/>
      <c r="R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7" t="inlineStr">
        <is>
          <t>SEM COTAÇÃO</t>
        </is>
      </c>
      <c r="O609" s="8" t="n"/>
      <c r="P609" s="14" t="n"/>
      <c r="Q609" s="7" t="inlineStr"/>
      <c r="R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8" t="n"/>
      <c r="N610" s="7" t="inlineStr">
        <is>
          <t>SEM COTAÇÃO</t>
        </is>
      </c>
      <c r="O610" s="8" t="n"/>
      <c r="P610" s="14" t="n"/>
      <c r="Q610" s="7" t="inlineStr"/>
      <c r="R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8" t="n"/>
      <c r="N611" s="7" t="inlineStr">
        <is>
          <t>SEM COTAÇÃO</t>
        </is>
      </c>
      <c r="O611" s="8" t="n"/>
      <c r="P611" s="14" t="n"/>
      <c r="Q611" s="7" t="inlineStr"/>
      <c r="R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8" t="n"/>
      <c r="N612" s="7" t="inlineStr">
        <is>
          <t>SEM COTAÇÃO</t>
        </is>
      </c>
      <c r="O612" s="8" t="n"/>
      <c r="P612" s="14" t="n"/>
      <c r="Q612" s="7" t="inlineStr"/>
      <c r="R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7" t="inlineStr">
        <is>
          <t>SEM COTAÇÃO</t>
        </is>
      </c>
      <c r="O613" s="8" t="n"/>
      <c r="P613" s="14" t="n"/>
      <c r="Q613" s="7" t="inlineStr"/>
      <c r="R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8" t="n"/>
      <c r="N614" s="7" t="inlineStr">
        <is>
          <t>SEM COTAÇÃO</t>
        </is>
      </c>
      <c r="O614" s="8" t="n"/>
      <c r="P614" s="14" t="n"/>
      <c r="Q614" s="7" t="inlineStr"/>
      <c r="R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7" t="inlineStr">
        <is>
          <t>SEM COTAÇÃO</t>
        </is>
      </c>
      <c r="O615" s="8" t="n"/>
      <c r="P615" s="14" t="n"/>
      <c r="Q615" s="7" t="inlineStr"/>
      <c r="R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7" t="inlineStr">
        <is>
          <t>SEM COTAÇÃO</t>
        </is>
      </c>
      <c r="O616" s="8" t="n"/>
      <c r="P616" s="14" t="n"/>
      <c r="Q616" s="7" t="inlineStr"/>
      <c r="R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8" t="n"/>
      <c r="N617" s="7" t="inlineStr">
        <is>
          <t>SEM COTAÇÃO</t>
        </is>
      </c>
      <c r="O617" s="8" t="n"/>
      <c r="P617" s="14" t="n"/>
      <c r="Q617" s="7" t="inlineStr"/>
      <c r="R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8" t="n"/>
      <c r="N618" s="7" t="inlineStr">
        <is>
          <t>SEM COTAÇÃO</t>
        </is>
      </c>
      <c r="O618" s="8" t="n"/>
      <c r="P618" s="14" t="n"/>
      <c r="Q618" s="7" t="inlineStr"/>
      <c r="R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8" t="n"/>
      <c r="N619" s="7" t="inlineStr">
        <is>
          <t>SEM COTAÇÃO</t>
        </is>
      </c>
      <c r="O619" s="8" t="n"/>
      <c r="P619" s="14" t="n"/>
      <c r="Q619" s="7" t="inlineStr"/>
      <c r="R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8" t="n"/>
      <c r="N620" s="7" t="inlineStr">
        <is>
          <t>SEM COTAÇÃO</t>
        </is>
      </c>
      <c r="O620" s="8" t="n"/>
      <c r="P620" s="14" t="n"/>
      <c r="Q620" s="7" t="inlineStr"/>
      <c r="R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15" t="n">
        <v>89.44</v>
      </c>
      <c r="M621" s="8" t="n"/>
      <c r="N621" s="7" t="inlineStr">
        <is>
          <t>EPAN</t>
        </is>
      </c>
      <c r="O621" s="8" t="n">
        <v>89.44</v>
      </c>
      <c r="P621" s="14">
        <f>O621/H621-1</f>
        <v/>
      </c>
      <c r="Q621" s="17" t="inlineStr">
        <is>
          <t>OK (≤ últ. compra)</t>
        </is>
      </c>
      <c r="R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8" t="n"/>
      <c r="N622" s="7" t="inlineStr">
        <is>
          <t>SEM COTAÇÃO</t>
        </is>
      </c>
      <c r="O622" s="8" t="n"/>
      <c r="P622" s="14" t="n"/>
      <c r="Q622" s="7" t="inlineStr"/>
      <c r="R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8" t="n">
        <v>3.99</v>
      </c>
      <c r="N623" s="7" t="inlineStr">
        <is>
          <t>DIMEC</t>
        </is>
      </c>
      <c r="O623" s="8" t="n">
        <v>3.58</v>
      </c>
      <c r="P623" s="14">
        <f>O623/H623-1</f>
        <v/>
      </c>
      <c r="Q623" s="17" t="inlineStr">
        <is>
          <t>OK (≤ menor hist.)</t>
        </is>
      </c>
      <c r="R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8" t="n"/>
      <c r="N624" s="7" t="inlineStr">
        <is>
          <t>SEM COTAÇÃO</t>
        </is>
      </c>
      <c r="O624" s="8" t="n"/>
      <c r="P624" s="14" t="n"/>
      <c r="Q624" s="7" t="inlineStr"/>
      <c r="R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8" t="n"/>
      <c r="N625" s="7" t="inlineStr">
        <is>
          <t>SEM COTAÇÃO</t>
        </is>
      </c>
      <c r="O625" s="8" t="n"/>
      <c r="P625" s="14" t="n"/>
      <c r="Q625" s="7" t="inlineStr"/>
      <c r="R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8" t="n"/>
      <c r="N626" s="7" t="inlineStr">
        <is>
          <t>DIMEC</t>
        </is>
      </c>
      <c r="O626" s="8" t="n">
        <v>5.63</v>
      </c>
      <c r="P626" s="14">
        <f>O626/H626-1</f>
        <v/>
      </c>
      <c r="Q626" s="17" t="inlineStr">
        <is>
          <t>OK (≤ menor hist.)</t>
        </is>
      </c>
      <c r="R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8" t="n"/>
      <c r="N627" s="7" t="inlineStr">
        <is>
          <t>SEM COTAÇÃO</t>
        </is>
      </c>
      <c r="O627" s="8" t="n"/>
      <c r="P627" s="14" t="n"/>
      <c r="Q627" s="7" t="inlineStr"/>
      <c r="R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8" t="n"/>
      <c r="N628" s="7" t="inlineStr">
        <is>
          <t>SEM COTAÇÃO</t>
        </is>
      </c>
      <c r="O628" s="8" t="n"/>
      <c r="P628" s="14" t="n"/>
      <c r="Q628" s="7" t="inlineStr"/>
      <c r="R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8" t="n"/>
      <c r="N629" s="7" t="inlineStr">
        <is>
          <t>EPAN</t>
        </is>
      </c>
      <c r="O629" s="8" t="n">
        <v>9.58</v>
      </c>
      <c r="P629" s="14">
        <f>O629/H629-1</f>
        <v/>
      </c>
      <c r="Q629" s="17" t="inlineStr">
        <is>
          <t>OK (≤ últ. compra)</t>
        </is>
      </c>
      <c r="R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8" t="n"/>
      <c r="N630" s="7" t="inlineStr">
        <is>
          <t>PLUSFARMA</t>
        </is>
      </c>
      <c r="O630" s="8" t="n">
        <v>61.3</v>
      </c>
      <c r="P630" s="14">
        <f>O630/H630-1</f>
        <v/>
      </c>
      <c r="Q630" s="16" t="inlineStr">
        <is>
          <t>ACIMA +21.2%</t>
        </is>
      </c>
      <c r="R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7" t="inlineStr">
        <is>
          <t>SEM COTAÇÃO</t>
        </is>
      </c>
      <c r="O631" s="8" t="n"/>
      <c r="P631" s="14" t="n"/>
      <c r="Q631" s="7" t="inlineStr"/>
      <c r="R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8" t="n"/>
      <c r="N632" s="7" t="inlineStr">
        <is>
          <t>EPAN</t>
        </is>
      </c>
      <c r="O632" s="8" t="n">
        <v>21.21</v>
      </c>
      <c r="P632" s="14">
        <f>O632/H632-1</f>
        <v/>
      </c>
      <c r="Q632" s="16" t="inlineStr">
        <is>
          <t>ACIMA +13.2%</t>
        </is>
      </c>
      <c r="R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8" t="n"/>
      <c r="N633" s="7" t="inlineStr">
        <is>
          <t>SEM COTAÇÃO</t>
        </is>
      </c>
      <c r="O633" s="8" t="n"/>
      <c r="P633" s="14" t="n"/>
      <c r="Q633" s="7" t="inlineStr"/>
      <c r="R633" s="7" t="inlineStr">
        <is>
          <t>EPAN: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8" t="n"/>
      <c r="N634" s="7" t="inlineStr">
        <is>
          <t>SEM COTAÇÃO</t>
        </is>
      </c>
      <c r="O634" s="8" t="n"/>
      <c r="P634" s="14" t="n"/>
      <c r="Q634" s="7" t="inlineStr"/>
      <c r="R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8" t="n"/>
      <c r="N635" s="7" t="inlineStr">
        <is>
          <t>SEM COTAÇÃO</t>
        </is>
      </c>
      <c r="O635" s="8" t="n"/>
      <c r="P635" s="14" t="n"/>
      <c r="Q635" s="7" t="inlineStr"/>
      <c r="R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15" t="n">
        <v>37.15</v>
      </c>
      <c r="N636" s="7" t="inlineStr">
        <is>
          <t>CENTROFARMA</t>
        </is>
      </c>
      <c r="O636" s="8" t="n">
        <v>37.15</v>
      </c>
      <c r="P636" s="14">
        <f>O636/H636-1</f>
        <v/>
      </c>
      <c r="Q636" s="16" t="inlineStr">
        <is>
          <t>ACIMA +147.8%</t>
        </is>
      </c>
      <c r="R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8" t="n"/>
      <c r="N637" s="7" t="inlineStr">
        <is>
          <t>SEM COTAÇÃO</t>
        </is>
      </c>
      <c r="O637" s="8" t="n"/>
      <c r="P637" s="14" t="n"/>
      <c r="Q637" s="7" t="inlineStr"/>
      <c r="R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8" t="n"/>
      <c r="N638" s="7" t="inlineStr">
        <is>
          <t>EPAN</t>
        </is>
      </c>
      <c r="O638" s="8" t="n">
        <v>32.31</v>
      </c>
      <c r="P638" s="14">
        <f>O638/H638-1</f>
        <v/>
      </c>
      <c r="Q638" s="17" t="inlineStr">
        <is>
          <t>OK (≤ últ. compra)</t>
        </is>
      </c>
      <c r="R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8" t="n"/>
      <c r="N639" s="7" t="inlineStr">
        <is>
          <t>EPAN</t>
        </is>
      </c>
      <c r="O639" s="8" t="n">
        <v>36.55</v>
      </c>
      <c r="P639" s="14">
        <f>O639/H639-1</f>
        <v/>
      </c>
      <c r="Q639" s="16" t="inlineStr">
        <is>
          <t>ACIMA +0.2%</t>
        </is>
      </c>
      <c r="R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8" t="n"/>
      <c r="N640" s="7" t="inlineStr">
        <is>
          <t>EPAN</t>
        </is>
      </c>
      <c r="O640" s="8" t="n">
        <v>53.87</v>
      </c>
      <c r="P640" s="14">
        <f>O640/H640-1</f>
        <v/>
      </c>
      <c r="Q640" s="16" t="inlineStr">
        <is>
          <t>ACIMA +0.3%</t>
        </is>
      </c>
      <c r="R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8" t="n"/>
      <c r="N641" s="7" t="inlineStr">
        <is>
          <t>SEM COTAÇÃO</t>
        </is>
      </c>
      <c r="O641" s="8" t="n"/>
      <c r="P641" s="14" t="n"/>
      <c r="Q641" s="7" t="inlineStr"/>
      <c r="R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8" t="n"/>
      <c r="M642" s="8" t="n">
        <v>9.01</v>
      </c>
      <c r="N642" s="7" t="inlineStr">
        <is>
          <t>DIMEC</t>
        </is>
      </c>
      <c r="O642" s="8" t="n">
        <v>8.9</v>
      </c>
      <c r="P642" s="14">
        <f>O642/H642-1</f>
        <v/>
      </c>
      <c r="Q642" s="16" t="inlineStr">
        <is>
          <t>ACIMA +4.0%</t>
        </is>
      </c>
      <c r="R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8" t="n"/>
      <c r="N643" s="7" t="inlineStr">
        <is>
          <t>SEM COTAÇÃO</t>
        </is>
      </c>
      <c r="O643" s="8" t="n"/>
      <c r="P643" s="14" t="n"/>
      <c r="Q643" s="7" t="inlineStr"/>
      <c r="R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8" t="n"/>
      <c r="N644" s="7" t="inlineStr">
        <is>
          <t>SEM COTAÇÃO</t>
        </is>
      </c>
      <c r="O644" s="8" t="n"/>
      <c r="P644" s="14" t="n"/>
      <c r="Q644" s="7" t="inlineStr"/>
      <c r="R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8" t="n"/>
      <c r="N645" s="7" t="inlineStr">
        <is>
          <t>SEM COTAÇÃO</t>
        </is>
      </c>
      <c r="O645" s="8" t="n"/>
      <c r="P645" s="14" t="n"/>
      <c r="Q645" s="7" t="inlineStr"/>
      <c r="R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8" t="n"/>
      <c r="N646" s="7" t="inlineStr">
        <is>
          <t>SEM COTAÇÃO</t>
        </is>
      </c>
      <c r="O646" s="8" t="n"/>
      <c r="P646" s="14" t="n"/>
      <c r="Q646" s="7" t="inlineStr"/>
      <c r="R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8" t="n"/>
      <c r="N647" s="7" t="inlineStr">
        <is>
          <t>SEM COTAÇÃO</t>
        </is>
      </c>
      <c r="O647" s="8" t="n"/>
      <c r="P647" s="14" t="n"/>
      <c r="Q647" s="7" t="inlineStr"/>
      <c r="R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8" t="n"/>
      <c r="N648" s="7" t="inlineStr">
        <is>
          <t>SEM COTAÇÃO</t>
        </is>
      </c>
      <c r="O648" s="8" t="n"/>
      <c r="P648" s="14" t="n"/>
      <c r="Q648" s="7" t="inlineStr"/>
      <c r="R648" s="7" t="inlineStr"/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8" t="n"/>
      <c r="N649" s="7" t="inlineStr">
        <is>
          <t>SEM COTAÇÃO</t>
        </is>
      </c>
      <c r="O649" s="8" t="n"/>
      <c r="P649" s="14" t="n"/>
      <c r="Q649" s="7" t="inlineStr"/>
      <c r="R649" s="7" t="inlineStr"/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8" t="n">
        <v>4.34</v>
      </c>
      <c r="N650" s="7" t="inlineStr">
        <is>
          <t>DIMEC</t>
        </is>
      </c>
      <c r="O650" s="8" t="n">
        <v>4.04</v>
      </c>
      <c r="P650" s="14">
        <f>O650/H650-1</f>
        <v/>
      </c>
      <c r="Q650" s="17" t="inlineStr">
        <is>
          <t>OK (≤ menor hist.)</t>
        </is>
      </c>
      <c r="R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15" t="n">
        <v>5.3</v>
      </c>
      <c r="N651" s="7" t="inlineStr">
        <is>
          <t>CENTROFARMA</t>
        </is>
      </c>
      <c r="O651" s="8" t="n">
        <v>5.3</v>
      </c>
      <c r="P651" s="14">
        <f>O651/H651-1</f>
        <v/>
      </c>
      <c r="Q651" s="16" t="inlineStr">
        <is>
          <t>ACIMA +15.2%</t>
        </is>
      </c>
      <c r="R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8" t="n"/>
      <c r="M652" s="8" t="n">
        <v>3.84</v>
      </c>
      <c r="N652" s="7" t="inlineStr">
        <is>
          <t>DIMEC</t>
        </is>
      </c>
      <c r="O652" s="8" t="n">
        <v>3.62</v>
      </c>
      <c r="P652" s="14">
        <f>O652/H652-1</f>
        <v/>
      </c>
      <c r="Q652" s="16" t="inlineStr">
        <is>
          <t>ACIMA +20.7%</t>
        </is>
      </c>
      <c r="R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8" t="n"/>
      <c r="N653" s="7" t="inlineStr">
        <is>
          <t>SEM COTAÇÃO</t>
        </is>
      </c>
      <c r="O653" s="8" t="n"/>
      <c r="P653" s="14" t="n"/>
      <c r="Q653" s="7" t="inlineStr"/>
      <c r="R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8" t="n"/>
      <c r="N654" s="7" t="inlineStr">
        <is>
          <t>SEM COTAÇÃO</t>
        </is>
      </c>
      <c r="O654" s="8" t="n"/>
      <c r="P654" s="14" t="n"/>
      <c r="Q654" s="7" t="inlineStr"/>
      <c r="R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7" t="inlineStr">
        <is>
          <t>SEM COTAÇÃO</t>
        </is>
      </c>
      <c r="O655" s="8" t="n"/>
      <c r="P655" s="14" t="n"/>
      <c r="Q655" s="7" t="inlineStr"/>
      <c r="R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7" t="inlineStr">
        <is>
          <t>SEM COTAÇÃO</t>
        </is>
      </c>
      <c r="O656" s="8" t="n"/>
      <c r="P656" s="14" t="n"/>
      <c r="Q656" s="7" t="inlineStr"/>
      <c r="R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8" t="n"/>
      <c r="N657" s="7" t="inlineStr">
        <is>
          <t>SEM COTAÇÃO</t>
        </is>
      </c>
      <c r="O657" s="8" t="n"/>
      <c r="P657" s="14" t="n"/>
      <c r="Q657" s="7" t="inlineStr"/>
      <c r="R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8" t="n"/>
      <c r="N658" s="7" t="inlineStr">
        <is>
          <t>SEM COTAÇÃO</t>
        </is>
      </c>
      <c r="O658" s="8" t="n"/>
      <c r="P658" s="14" t="n"/>
      <c r="Q658" s="7" t="inlineStr"/>
      <c r="R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8" t="n"/>
      <c r="N659" s="7" t="inlineStr">
        <is>
          <t>SEM COTAÇÃO</t>
        </is>
      </c>
      <c r="O659" s="8" t="n"/>
      <c r="P659" s="14" t="n"/>
      <c r="Q659" s="7" t="inlineStr"/>
      <c r="R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7" t="inlineStr">
        <is>
          <t>SEM COTAÇÃO</t>
        </is>
      </c>
      <c r="O660" s="8" t="n"/>
      <c r="P660" s="14" t="n"/>
      <c r="Q660" s="7" t="inlineStr"/>
      <c r="R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8" t="n"/>
      <c r="N661" s="7" t="inlineStr">
        <is>
          <t>SEM COTAÇÃO</t>
        </is>
      </c>
      <c r="O661" s="8" t="n"/>
      <c r="P661" s="14" t="n"/>
      <c r="Q661" s="7" t="inlineStr"/>
      <c r="R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7" t="inlineStr">
        <is>
          <t>SEM COTAÇÃO</t>
        </is>
      </c>
      <c r="O662" s="8" t="n"/>
      <c r="P662" s="14" t="n"/>
      <c r="Q662" s="7" t="inlineStr"/>
      <c r="R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7" t="inlineStr">
        <is>
          <t>SEM COTAÇÃO</t>
        </is>
      </c>
      <c r="O663" s="8" t="n"/>
      <c r="P663" s="14" t="n"/>
      <c r="Q663" s="7" t="inlineStr"/>
      <c r="R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8" t="n"/>
      <c r="N664" s="7" t="inlineStr">
        <is>
          <t>SEM COTAÇÃO</t>
        </is>
      </c>
      <c r="O664" s="8" t="n"/>
      <c r="P664" s="14" t="n"/>
      <c r="Q664" s="7" t="inlineStr"/>
      <c r="R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8" t="n"/>
      <c r="N665" s="7" t="inlineStr">
        <is>
          <t>SEM COTAÇÃO</t>
        </is>
      </c>
      <c r="O665" s="8" t="n"/>
      <c r="P665" s="14" t="n"/>
      <c r="Q665" s="7" t="inlineStr"/>
      <c r="R665" s="7" t="inlineStr"/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8" t="n"/>
      <c r="N666" s="7" t="inlineStr">
        <is>
          <t>SEM COTAÇÃO</t>
        </is>
      </c>
      <c r="O666" s="8" t="n"/>
      <c r="P666" s="14" t="n"/>
      <c r="Q666" s="7" t="inlineStr"/>
      <c r="R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8" t="n"/>
      <c r="N667" s="7" t="inlineStr">
        <is>
          <t>SEM COTAÇÃO</t>
        </is>
      </c>
      <c r="O667" s="8" t="n"/>
      <c r="P667" s="14" t="n"/>
      <c r="Q667" s="7" t="inlineStr"/>
      <c r="R667" s="7" t="inlineStr"/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8" t="n"/>
      <c r="N668" s="7" t="inlineStr">
        <is>
          <t>SEM COTAÇÃO</t>
        </is>
      </c>
      <c r="O668" s="8" t="n"/>
      <c r="P668" s="14" t="n"/>
      <c r="Q668" s="7" t="inlineStr"/>
      <c r="R668" s="7" t="inlineStr"/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8" t="n"/>
      <c r="N669" s="7" t="inlineStr">
        <is>
          <t>SEM COTAÇÃO</t>
        </is>
      </c>
      <c r="O669" s="8" t="n"/>
      <c r="P669" s="14" t="n"/>
      <c r="Q669" s="7" t="inlineStr"/>
      <c r="R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8" t="n"/>
      <c r="N670" s="7" t="inlineStr">
        <is>
          <t>SEM COTAÇÃO</t>
        </is>
      </c>
      <c r="O670" s="8" t="n"/>
      <c r="P670" s="14" t="n"/>
      <c r="Q670" s="7" t="inlineStr"/>
      <c r="R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8" t="n"/>
      <c r="N671" s="7" t="inlineStr">
        <is>
          <t>EPAN</t>
        </is>
      </c>
      <c r="O671" s="8" t="n">
        <v>17.03</v>
      </c>
      <c r="P671" s="14">
        <f>O671/H671-1</f>
        <v/>
      </c>
      <c r="Q671" s="17" t="inlineStr">
        <is>
          <t>OK (≤ últ. compra)</t>
        </is>
      </c>
      <c r="R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8" t="n"/>
      <c r="N672" s="7" t="inlineStr">
        <is>
          <t>SEM COTAÇÃO</t>
        </is>
      </c>
      <c r="O672" s="8" t="n"/>
      <c r="P672" s="14" t="n"/>
      <c r="Q672" s="7" t="inlineStr"/>
      <c r="R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8" t="n"/>
      <c r="N673" s="7" t="inlineStr">
        <is>
          <t>SEM COTAÇÃO</t>
        </is>
      </c>
      <c r="O673" s="8" t="n"/>
      <c r="P673" s="14" t="n"/>
      <c r="Q673" s="7" t="inlineStr"/>
      <c r="R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7" t="inlineStr">
        <is>
          <t>SEM COTAÇÃO</t>
        </is>
      </c>
      <c r="O674" s="8" t="n"/>
      <c r="P674" s="14" t="n"/>
      <c r="Q674" s="7" t="inlineStr"/>
      <c r="R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8" t="n"/>
      <c r="N675" s="7" t="inlineStr">
        <is>
          <t>SEM COTAÇÃO</t>
        </is>
      </c>
      <c r="O675" s="8" t="n"/>
      <c r="P675" s="14" t="n"/>
      <c r="Q675" s="7" t="inlineStr"/>
      <c r="R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8" t="n"/>
      <c r="N676" s="7" t="inlineStr">
        <is>
          <t>SEM COTAÇÃO</t>
        </is>
      </c>
      <c r="O676" s="8" t="n"/>
      <c r="P676" s="14" t="n"/>
      <c r="Q676" s="7" t="inlineStr"/>
      <c r="R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8" t="n"/>
      <c r="N677" s="7" t="inlineStr">
        <is>
          <t>SEM COTAÇÃO</t>
        </is>
      </c>
      <c r="O677" s="8" t="n"/>
      <c r="P677" s="14" t="n"/>
      <c r="Q677" s="7" t="inlineStr"/>
      <c r="R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8" t="n"/>
      <c r="N678" s="7" t="inlineStr">
        <is>
          <t>SEM COTAÇÃO</t>
        </is>
      </c>
      <c r="O678" s="8" t="n"/>
      <c r="P678" s="14" t="n"/>
      <c r="Q678" s="7" t="inlineStr"/>
      <c r="R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8" t="n"/>
      <c r="N679" s="7" t="inlineStr">
        <is>
          <t>SEM COTAÇÃO</t>
        </is>
      </c>
      <c r="O679" s="8" t="n"/>
      <c r="P679" s="14" t="n"/>
      <c r="Q679" s="7" t="inlineStr"/>
      <c r="R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8" t="n"/>
      <c r="N680" s="7" t="inlineStr">
        <is>
          <t>SEM COTAÇÃO</t>
        </is>
      </c>
      <c r="O680" s="8" t="n"/>
      <c r="P680" s="14" t="n"/>
      <c r="Q680" s="7" t="inlineStr"/>
      <c r="R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8" t="n"/>
      <c r="N681" s="7" t="inlineStr">
        <is>
          <t>SEM COTAÇÃO</t>
        </is>
      </c>
      <c r="O681" s="8" t="n"/>
      <c r="P681" s="14" t="n"/>
      <c r="Q681" s="7" t="inlineStr"/>
      <c r="R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8" t="n"/>
      <c r="N682" s="7" t="inlineStr">
        <is>
          <t>SEM COTAÇÃO</t>
        </is>
      </c>
      <c r="O682" s="8" t="n"/>
      <c r="P682" s="14" t="n"/>
      <c r="Q682" s="7" t="inlineStr"/>
      <c r="R682" s="7" t="inlineStr"/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8" t="n"/>
      <c r="N683" s="7" t="inlineStr">
        <is>
          <t>SEM COTAÇÃO</t>
        </is>
      </c>
      <c r="O683" s="8" t="n"/>
      <c r="P683" s="14" t="n"/>
      <c r="Q683" s="7" t="inlineStr"/>
      <c r="R683" s="7" t="inlineStr"/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8" t="n"/>
      <c r="N684" s="7" t="inlineStr">
        <is>
          <t>SEM COTAÇÃO</t>
        </is>
      </c>
      <c r="O684" s="8" t="n"/>
      <c r="P684" s="14" t="n"/>
      <c r="Q684" s="7" t="inlineStr"/>
      <c r="R684" s="7" t="inlineStr"/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8" t="n"/>
      <c r="N685" s="7" t="inlineStr">
        <is>
          <t>SEM COTAÇÃO</t>
        </is>
      </c>
      <c r="O685" s="8" t="n"/>
      <c r="P685" s="14" t="n"/>
      <c r="Q685" s="7" t="inlineStr"/>
      <c r="R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8" t="n"/>
      <c r="N686" s="7" t="inlineStr">
        <is>
          <t>SEM COTAÇÃO</t>
        </is>
      </c>
      <c r="O686" s="8" t="n"/>
      <c r="P686" s="14" t="n"/>
      <c r="Q686" s="7" t="inlineStr"/>
      <c r="R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8" t="n"/>
      <c r="N687" s="7" t="inlineStr">
        <is>
          <t>SEM COTAÇÃO</t>
        </is>
      </c>
      <c r="O687" s="8" t="n"/>
      <c r="P687" s="14" t="n"/>
      <c r="Q687" s="7" t="inlineStr"/>
      <c r="R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8" t="n"/>
      <c r="N688" s="7" t="inlineStr">
        <is>
          <t>SEM COTAÇÃO</t>
        </is>
      </c>
      <c r="O688" s="8" t="n"/>
      <c r="P688" s="14" t="n"/>
      <c r="Q688" s="7" t="inlineStr"/>
      <c r="R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8" t="n"/>
      <c r="N689" s="7" t="inlineStr">
        <is>
          <t>SEM COTAÇÃO</t>
        </is>
      </c>
      <c r="O689" s="8" t="n"/>
      <c r="P689" s="14" t="n"/>
      <c r="Q689" s="7" t="inlineStr"/>
      <c r="R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8" t="n"/>
      <c r="N690" s="7" t="inlineStr">
        <is>
          <t>SEM COTAÇÃO</t>
        </is>
      </c>
      <c r="O690" s="8" t="n"/>
      <c r="P690" s="14" t="n"/>
      <c r="Q690" s="7" t="inlineStr"/>
      <c r="R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8" t="n"/>
      <c r="N691" s="7" t="inlineStr">
        <is>
          <t>SEM COTAÇÃO</t>
        </is>
      </c>
      <c r="O691" s="8" t="n"/>
      <c r="P691" s="14" t="n"/>
      <c r="Q691" s="7" t="inlineStr"/>
      <c r="R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8" t="n"/>
      <c r="N692" s="7" t="inlineStr">
        <is>
          <t>SEM COTAÇÃO</t>
        </is>
      </c>
      <c r="O692" s="8" t="n"/>
      <c r="P692" s="14" t="n"/>
      <c r="Q692" s="7" t="inlineStr"/>
      <c r="R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8" t="n"/>
      <c r="N693" s="7" t="inlineStr">
        <is>
          <t>SEM COTAÇÃO</t>
        </is>
      </c>
      <c r="O693" s="8" t="n"/>
      <c r="P693" s="14" t="n"/>
      <c r="Q693" s="7" t="inlineStr"/>
      <c r="R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8" t="n"/>
      <c r="N694" s="7" t="inlineStr">
        <is>
          <t>SEM COTAÇÃO</t>
        </is>
      </c>
      <c r="O694" s="8" t="n"/>
      <c r="P694" s="14" t="n"/>
      <c r="Q694" s="7" t="inlineStr"/>
      <c r="R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8" t="n"/>
      <c r="N695" s="7" t="inlineStr">
        <is>
          <t>SEM COTAÇÃO</t>
        </is>
      </c>
      <c r="O695" s="8" t="n"/>
      <c r="P695" s="14" t="n"/>
      <c r="Q695" s="7" t="inlineStr"/>
      <c r="R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8" t="n"/>
      <c r="N696" s="7" t="inlineStr">
        <is>
          <t>EPAN</t>
        </is>
      </c>
      <c r="O696" s="8" t="n">
        <v>12.03</v>
      </c>
      <c r="P696" s="14">
        <f>O696/H696-1</f>
        <v/>
      </c>
      <c r="Q696" s="17" t="inlineStr">
        <is>
          <t>OK (≤ últ. compra)</t>
        </is>
      </c>
      <c r="R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8" t="n"/>
      <c r="N697" s="7" t="inlineStr">
        <is>
          <t>SEM COTAÇÃO</t>
        </is>
      </c>
      <c r="O697" s="8" t="n"/>
      <c r="P697" s="14" t="n"/>
      <c r="Q697" s="7" t="inlineStr"/>
      <c r="R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8" t="n">
        <v>9.890000000000001</v>
      </c>
      <c r="N698" s="7" t="inlineStr">
        <is>
          <t>DIMEC</t>
        </is>
      </c>
      <c r="O698" s="8" t="n">
        <v>9.789999999999999</v>
      </c>
      <c r="P698" s="14">
        <f>O698/H698-1</f>
        <v/>
      </c>
      <c r="Q698" s="16" t="inlineStr">
        <is>
          <t>ACIMA +4.1%</t>
        </is>
      </c>
      <c r="R698" s="7" t="inlineStr"/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8" t="n"/>
      <c r="N699" s="7" t="inlineStr">
        <is>
          <t>SEM COTAÇÃO</t>
        </is>
      </c>
      <c r="O699" s="8" t="n"/>
      <c r="P699" s="14" t="n"/>
      <c r="Q699" s="7" t="inlineStr"/>
      <c r="R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8" t="n"/>
      <c r="N700" s="7" t="inlineStr">
        <is>
          <t>SEM COTAÇÃO</t>
        </is>
      </c>
      <c r="O700" s="8" t="n"/>
      <c r="P700" s="14" t="n"/>
      <c r="Q700" s="7" t="inlineStr"/>
      <c r="R700" s="7" t="inlineStr"/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8" t="n"/>
      <c r="N701" s="7" t="inlineStr">
        <is>
          <t>SEM COTAÇÃO</t>
        </is>
      </c>
      <c r="O701" s="8" t="n"/>
      <c r="P701" s="14" t="n"/>
      <c r="Q701" s="7" t="inlineStr"/>
      <c r="R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8" t="n"/>
      <c r="N702" s="7" t="inlineStr">
        <is>
          <t>SEM COTAÇÃO</t>
        </is>
      </c>
      <c r="O702" s="8" t="n"/>
      <c r="P702" s="14" t="n"/>
      <c r="Q702" s="7" t="inlineStr"/>
      <c r="R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15" t="n">
        <v>36.84</v>
      </c>
      <c r="N703" s="7" t="inlineStr">
        <is>
          <t>CENTROFARMA</t>
        </is>
      </c>
      <c r="O703" s="8" t="n">
        <v>36.84</v>
      </c>
      <c r="P703" s="14">
        <f>O703/H703-1</f>
        <v/>
      </c>
      <c r="Q703" s="17" t="inlineStr">
        <is>
          <t>OK (≤ menor hist.)</t>
        </is>
      </c>
      <c r="R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15" t="n">
        <v>27.11</v>
      </c>
      <c r="N704" s="7" t="inlineStr">
        <is>
          <t>CENTROFARMA</t>
        </is>
      </c>
      <c r="O704" s="8" t="n">
        <v>27.11</v>
      </c>
      <c r="P704" s="14">
        <f>O704/H704-1</f>
        <v/>
      </c>
      <c r="Q704" s="16" t="inlineStr">
        <is>
          <t>ACIMA +11.3%</t>
        </is>
      </c>
      <c r="R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8" t="n"/>
      <c r="N705" s="7" t="inlineStr">
        <is>
          <t>DIMEC</t>
        </is>
      </c>
      <c r="O705" s="8" t="n">
        <v>28.48981</v>
      </c>
      <c r="P705" s="14">
        <f>O705/H705-1</f>
        <v/>
      </c>
      <c r="Q705" s="16" t="inlineStr">
        <is>
          <t>ACIMA +6.1%</t>
        </is>
      </c>
      <c r="R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7" t="inlineStr">
        <is>
          <t>SEM COTAÇÃO</t>
        </is>
      </c>
      <c r="O706" s="8" t="n"/>
      <c r="P706" s="14" t="n"/>
      <c r="Q706" s="7" t="inlineStr"/>
      <c r="R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7" t="inlineStr">
        <is>
          <t>SEM COTAÇÃO</t>
        </is>
      </c>
      <c r="O707" s="8" t="n"/>
      <c r="P707" s="14" t="n"/>
      <c r="Q707" s="7" t="inlineStr"/>
      <c r="R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7" t="inlineStr">
        <is>
          <t>SEM COTAÇÃO</t>
        </is>
      </c>
      <c r="O708" s="8" t="n"/>
      <c r="P708" s="14" t="n"/>
      <c r="Q708" s="7" t="inlineStr"/>
      <c r="R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7" t="inlineStr">
        <is>
          <t>SEM COTAÇÃO</t>
        </is>
      </c>
      <c r="O709" s="8" t="n"/>
      <c r="P709" s="14" t="n"/>
      <c r="Q709" s="7" t="inlineStr"/>
      <c r="R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7" t="inlineStr">
        <is>
          <t>SEM COTAÇÃO</t>
        </is>
      </c>
      <c r="O710" s="8" t="n"/>
      <c r="P710" s="14" t="n"/>
      <c r="Q710" s="7" t="inlineStr"/>
      <c r="R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7" t="inlineStr">
        <is>
          <t>SEM COTAÇÃO</t>
        </is>
      </c>
      <c r="O711" s="8" t="n"/>
      <c r="P711" s="14" t="n"/>
      <c r="Q711" s="7" t="inlineStr"/>
      <c r="R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8" t="n"/>
      <c r="N712" s="7" t="inlineStr">
        <is>
          <t>SEM COTAÇÃO</t>
        </is>
      </c>
      <c r="O712" s="8" t="n"/>
      <c r="P712" s="14" t="n"/>
      <c r="Q712" s="7" t="inlineStr"/>
      <c r="R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8" t="n"/>
      <c r="N713" s="7" t="inlineStr">
        <is>
          <t>SEM COTAÇÃO</t>
        </is>
      </c>
      <c r="O713" s="8" t="n"/>
      <c r="P713" s="14" t="n"/>
      <c r="Q713" s="7" t="inlineStr"/>
      <c r="R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8" t="n"/>
      <c r="N714" s="7" t="inlineStr">
        <is>
          <t>SEM COTAÇÃO</t>
        </is>
      </c>
      <c r="O714" s="8" t="n"/>
      <c r="P714" s="14" t="n"/>
      <c r="Q714" s="7" t="inlineStr"/>
      <c r="R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8" t="n"/>
      <c r="N715" s="7" t="inlineStr">
        <is>
          <t>SEM COTAÇÃO</t>
        </is>
      </c>
      <c r="O715" s="8" t="n"/>
      <c r="P715" s="14" t="n"/>
      <c r="Q715" s="7" t="inlineStr"/>
      <c r="R715" s="7" t="inlineStr"/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8" t="n"/>
      <c r="N716" s="7" t="inlineStr">
        <is>
          <t>SEM COTAÇÃO</t>
        </is>
      </c>
      <c r="O716" s="8" t="n"/>
      <c r="P716" s="14" t="n"/>
      <c r="Q716" s="7" t="inlineStr"/>
      <c r="R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8" t="n"/>
      <c r="N717" s="7" t="inlineStr">
        <is>
          <t>SEM COTAÇÃO</t>
        </is>
      </c>
      <c r="O717" s="8" t="n"/>
      <c r="P717" s="14" t="n"/>
      <c r="Q717" s="7" t="inlineStr"/>
      <c r="R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8" t="n"/>
      <c r="N718" s="7" t="inlineStr">
        <is>
          <t>SEM COTAÇÃO</t>
        </is>
      </c>
      <c r="O718" s="8" t="n"/>
      <c r="P718" s="14" t="n"/>
      <c r="Q718" s="7" t="inlineStr"/>
      <c r="R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8" t="n"/>
      <c r="N719" s="7" t="inlineStr">
        <is>
          <t>SEM COTAÇÃO</t>
        </is>
      </c>
      <c r="O719" s="8" t="n"/>
      <c r="P719" s="14" t="n"/>
      <c r="Q719" s="7" t="inlineStr"/>
      <c r="R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8" t="n"/>
      <c r="N720" s="7" t="inlineStr">
        <is>
          <t>SEM COTAÇÃO</t>
        </is>
      </c>
      <c r="O720" s="8" t="n"/>
      <c r="P720" s="14" t="n"/>
      <c r="Q720" s="7" t="inlineStr"/>
      <c r="R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8" t="n"/>
      <c r="N721" s="7" t="inlineStr">
        <is>
          <t>SEM COTAÇÃO</t>
        </is>
      </c>
      <c r="O721" s="8" t="n"/>
      <c r="P721" s="14" t="n"/>
      <c r="Q721" s="7" t="inlineStr"/>
      <c r="R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8" t="n"/>
      <c r="N722" s="7" t="inlineStr">
        <is>
          <t>SEM COTAÇÃO</t>
        </is>
      </c>
      <c r="O722" s="8" t="n"/>
      <c r="P722" s="14" t="n"/>
      <c r="Q722" s="7" t="inlineStr"/>
      <c r="R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8" t="n"/>
      <c r="N723" s="7" t="inlineStr">
        <is>
          <t>SEM COTAÇÃO</t>
        </is>
      </c>
      <c r="O723" s="8" t="n"/>
      <c r="P723" s="14" t="n"/>
      <c r="Q723" s="7" t="inlineStr"/>
      <c r="R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8" t="n"/>
      <c r="N724" s="7" t="inlineStr">
        <is>
          <t>SEM COTAÇÃO</t>
        </is>
      </c>
      <c r="O724" s="8" t="n"/>
      <c r="P724" s="14" t="n"/>
      <c r="Q724" s="7" t="inlineStr"/>
      <c r="R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8" t="n"/>
      <c r="N725" s="7" t="inlineStr">
        <is>
          <t>SEM COTAÇÃO</t>
        </is>
      </c>
      <c r="O725" s="8" t="n"/>
      <c r="P725" s="14" t="n"/>
      <c r="Q725" s="7" t="inlineStr"/>
      <c r="R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8" t="n"/>
      <c r="N726" s="7" t="inlineStr">
        <is>
          <t>SEM COTAÇÃO</t>
        </is>
      </c>
      <c r="O726" s="8" t="n"/>
      <c r="P726" s="14" t="n"/>
      <c r="Q726" s="7" t="inlineStr"/>
      <c r="R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8" t="n"/>
      <c r="N727" s="7" t="inlineStr">
        <is>
          <t>SEM COTAÇÃO</t>
        </is>
      </c>
      <c r="O727" s="8" t="n"/>
      <c r="P727" s="14" t="n"/>
      <c r="Q727" s="7" t="inlineStr"/>
      <c r="R727" s="7" t="inlineStr">
        <is>
          <t>EPAN: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8" t="n"/>
      <c r="N728" s="7" t="inlineStr">
        <is>
          <t>SEM COTAÇÃO</t>
        </is>
      </c>
      <c r="O728" s="8" t="n"/>
      <c r="P728" s="14" t="n"/>
      <c r="Q728" s="7" t="inlineStr"/>
      <c r="R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8" t="n"/>
      <c r="N729" s="7" t="inlineStr">
        <is>
          <t>SEM COTAÇÃO</t>
        </is>
      </c>
      <c r="O729" s="8" t="n"/>
      <c r="P729" s="14" t="n"/>
      <c r="Q729" s="7" t="inlineStr"/>
      <c r="R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8" t="n"/>
      <c r="N730" s="7" t="inlineStr">
        <is>
          <t>EPAN</t>
        </is>
      </c>
      <c r="O730" s="8" t="n">
        <v>53.04</v>
      </c>
      <c r="P730" s="14">
        <f>O730/H730-1</f>
        <v/>
      </c>
      <c r="Q730" s="17" t="inlineStr">
        <is>
          <t>OK (≤ menor hist.)</t>
        </is>
      </c>
      <c r="R730" s="7" t="inlineStr"/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8" t="n"/>
      <c r="N731" s="7" t="inlineStr">
        <is>
          <t>EPAN</t>
        </is>
      </c>
      <c r="O731" s="8" t="n">
        <v>37.81</v>
      </c>
      <c r="P731" s="14">
        <f>O731/H731-1</f>
        <v/>
      </c>
      <c r="Q731" s="17" t="inlineStr">
        <is>
          <t>OK (≤ últ. compra)</t>
        </is>
      </c>
      <c r="R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8" t="n"/>
      <c r="N732" s="7" t="inlineStr">
        <is>
          <t>SEM COTAÇÃO</t>
        </is>
      </c>
      <c r="O732" s="8" t="n"/>
      <c r="P732" s="14" t="n"/>
      <c r="Q732" s="7" t="inlineStr"/>
      <c r="R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8" t="n"/>
      <c r="N733" s="7" t="inlineStr">
        <is>
          <t>SEM COTAÇÃO</t>
        </is>
      </c>
      <c r="O733" s="8" t="n"/>
      <c r="P733" s="14" t="n"/>
      <c r="Q733" s="7" t="inlineStr"/>
      <c r="R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15" t="n">
        <v>22.54</v>
      </c>
      <c r="M734" s="8" t="n"/>
      <c r="N734" s="7" t="inlineStr">
        <is>
          <t>EPAN</t>
        </is>
      </c>
      <c r="O734" s="8" t="n">
        <v>22.54</v>
      </c>
      <c r="P734" s="14">
        <f>O734/H734-1</f>
        <v/>
      </c>
      <c r="Q734" s="16" t="inlineStr">
        <is>
          <t>ACIMA +6.2%</t>
        </is>
      </c>
      <c r="R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8" t="n"/>
      <c r="N735" s="7" t="inlineStr">
        <is>
          <t>EPAN</t>
        </is>
      </c>
      <c r="O735" s="8" t="n">
        <v>86.76000000000001</v>
      </c>
      <c r="P735" s="14">
        <f>O735/H735-1</f>
        <v/>
      </c>
      <c r="Q735" s="17" t="inlineStr">
        <is>
          <t>OK (≤ últ. compra)</t>
        </is>
      </c>
      <c r="R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8" t="n"/>
      <c r="N736" s="7" t="inlineStr">
        <is>
          <t>EPAN</t>
        </is>
      </c>
      <c r="O736" s="8" t="n">
        <v>85.77</v>
      </c>
      <c r="P736" s="14">
        <f>O736/H736-1</f>
        <v/>
      </c>
      <c r="Q736" s="17" t="inlineStr">
        <is>
          <t>OK (≤ menor hist.)</t>
        </is>
      </c>
      <c r="R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8" t="n"/>
      <c r="M737" s="8" t="n">
        <v>8.880000000000001</v>
      </c>
      <c r="N737" s="7" t="inlineStr">
        <is>
          <t>DIMEC</t>
        </is>
      </c>
      <c r="O737" s="8" t="n">
        <v>8.76</v>
      </c>
      <c r="P737" s="14">
        <f>O737/H737-1</f>
        <v/>
      </c>
      <c r="Q737" s="16" t="inlineStr">
        <is>
          <t>ACIMA +9.5%</t>
        </is>
      </c>
      <c r="R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8" t="n"/>
      <c r="N738" s="7" t="inlineStr">
        <is>
          <t>SEM COTAÇÃO</t>
        </is>
      </c>
      <c r="O738" s="8" t="n"/>
      <c r="P738" s="14" t="n"/>
      <c r="Q738" s="7" t="inlineStr"/>
      <c r="R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8" t="n"/>
      <c r="N739" s="7" t="inlineStr">
        <is>
          <t>SEM COTAÇÃO</t>
        </is>
      </c>
      <c r="O739" s="8" t="n"/>
      <c r="P739" s="14" t="n"/>
      <c r="Q739" s="7" t="inlineStr"/>
      <c r="R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8" t="n"/>
      <c r="M740" s="8" t="n">
        <v>4.42</v>
      </c>
      <c r="N740" s="7" t="inlineStr">
        <is>
          <t>DIMEC</t>
        </is>
      </c>
      <c r="O740" s="8" t="n">
        <v>4.28</v>
      </c>
      <c r="P740" s="14">
        <f>O740/H740-1</f>
        <v/>
      </c>
      <c r="Q740" s="16" t="inlineStr">
        <is>
          <t>ACIMA +4.4%</t>
        </is>
      </c>
      <c r="R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8" t="n"/>
      <c r="M741" s="8" t="n">
        <v>6.24</v>
      </c>
      <c r="N741" s="7" t="inlineStr">
        <is>
          <t>DIMEC</t>
        </is>
      </c>
      <c r="O741" s="8" t="n">
        <v>6.16</v>
      </c>
      <c r="P741" s="14">
        <f>O741/H741-1</f>
        <v/>
      </c>
      <c r="Q741" s="16" t="inlineStr">
        <is>
          <t>ACIMA +28.1%</t>
        </is>
      </c>
      <c r="R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8" t="n"/>
      <c r="N742" s="7" t="inlineStr">
        <is>
          <t>SEM COTAÇÃO</t>
        </is>
      </c>
      <c r="O742" s="8" t="n"/>
      <c r="P742" s="14" t="n"/>
      <c r="Q742" s="7" t="inlineStr"/>
      <c r="R742" s="7" t="inlineStr"/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8" t="n"/>
      <c r="N743" s="7" t="inlineStr">
        <is>
          <t>DIMEC</t>
        </is>
      </c>
      <c r="O743" s="8" t="n">
        <v>22.49</v>
      </c>
      <c r="P743" s="14">
        <f>O743/H743-1</f>
        <v/>
      </c>
      <c r="Q743" s="16" t="inlineStr">
        <is>
          <t>ACIMA +11.7%</t>
        </is>
      </c>
      <c r="R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8" t="n"/>
      <c r="N744" s="7" t="inlineStr">
        <is>
          <t>DIMEC</t>
        </is>
      </c>
      <c r="O744" s="8" t="n">
        <v>5.99</v>
      </c>
      <c r="P744" s="14">
        <f>O744/H744-1</f>
        <v/>
      </c>
      <c r="Q744" s="16" t="inlineStr">
        <is>
          <t>ACIMA +16.7%</t>
        </is>
      </c>
      <c r="R744" s="7" t="inlineStr"/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8" t="n"/>
      <c r="N745" s="7" t="inlineStr">
        <is>
          <t>DIMEC</t>
        </is>
      </c>
      <c r="O745" s="8" t="n">
        <v>10.49</v>
      </c>
      <c r="P745" s="14">
        <f>O745/H745-1</f>
        <v/>
      </c>
      <c r="Q745" s="16" t="inlineStr">
        <is>
          <t>ACIMA +22.4%</t>
        </is>
      </c>
      <c r="R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8" t="n"/>
      <c r="N746" s="7" t="inlineStr">
        <is>
          <t>SEM COTAÇÃO</t>
        </is>
      </c>
      <c r="O746" s="8" t="n"/>
      <c r="P746" s="14" t="n"/>
      <c r="Q746" s="7" t="inlineStr"/>
      <c r="R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8" t="n"/>
      <c r="N747" s="7" t="inlineStr">
        <is>
          <t>SEM COTAÇÃO</t>
        </is>
      </c>
      <c r="O747" s="8" t="n"/>
      <c r="P747" s="14" t="n"/>
      <c r="Q747" s="7" t="inlineStr"/>
      <c r="R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8" t="n"/>
      <c r="N748" s="7" t="inlineStr">
        <is>
          <t>SEM COTAÇÃO</t>
        </is>
      </c>
      <c r="O748" s="8" t="n"/>
      <c r="P748" s="14" t="n"/>
      <c r="Q748" s="7" t="inlineStr"/>
      <c r="R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8" t="n"/>
      <c r="N749" s="7" t="inlineStr">
        <is>
          <t>SEM COTAÇÃO</t>
        </is>
      </c>
      <c r="O749" s="8" t="n"/>
      <c r="P749" s="14" t="n"/>
      <c r="Q749" s="7" t="inlineStr"/>
      <c r="R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8" t="n"/>
      <c r="N750" s="7" t="inlineStr">
        <is>
          <t>SEM COTAÇÃO</t>
        </is>
      </c>
      <c r="O750" s="8" t="n"/>
      <c r="P750" s="14" t="n"/>
      <c r="Q750" s="7" t="inlineStr"/>
      <c r="R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8" t="n"/>
      <c r="N751" s="7" t="inlineStr">
        <is>
          <t>SEM COTAÇÃO</t>
        </is>
      </c>
      <c r="O751" s="8" t="n"/>
      <c r="P751" s="14" t="n"/>
      <c r="Q751" s="7" t="inlineStr"/>
      <c r="R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8" t="n"/>
      <c r="N752" s="7" t="inlineStr">
        <is>
          <t>SEM COTAÇÃO</t>
        </is>
      </c>
      <c r="O752" s="8" t="n"/>
      <c r="P752" s="14" t="n"/>
      <c r="Q752" s="7" t="inlineStr"/>
      <c r="R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8" t="n"/>
      <c r="N753" s="7" t="inlineStr">
        <is>
          <t>SEM COTAÇÃO</t>
        </is>
      </c>
      <c r="O753" s="8" t="n"/>
      <c r="P753" s="14" t="n"/>
      <c r="Q753" s="7" t="inlineStr"/>
      <c r="R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8" t="n"/>
      <c r="N754" s="7" t="inlineStr">
        <is>
          <t>SEM COTAÇÃO</t>
        </is>
      </c>
      <c r="O754" s="8" t="n"/>
      <c r="P754" s="14" t="n"/>
      <c r="Q754" s="7" t="inlineStr"/>
      <c r="R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8" t="n"/>
      <c r="N755" s="7" t="inlineStr">
        <is>
          <t>SEM COTAÇÃO</t>
        </is>
      </c>
      <c r="O755" s="8" t="n"/>
      <c r="P755" s="14" t="n"/>
      <c r="Q755" s="7" t="inlineStr"/>
      <c r="R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8" t="n"/>
      <c r="N756" s="7" t="inlineStr">
        <is>
          <t>SEM COTAÇÃO</t>
        </is>
      </c>
      <c r="O756" s="8" t="n"/>
      <c r="P756" s="14" t="n"/>
      <c r="Q756" s="7" t="inlineStr"/>
      <c r="R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8" t="n"/>
      <c r="N757" s="7" t="inlineStr">
        <is>
          <t>SEM COTAÇÃO</t>
        </is>
      </c>
      <c r="O757" s="8" t="n"/>
      <c r="P757" s="14" t="n"/>
      <c r="Q757" s="7" t="inlineStr"/>
      <c r="R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8" t="n"/>
      <c r="N758" s="7" t="inlineStr">
        <is>
          <t>SEM COTAÇÃO</t>
        </is>
      </c>
      <c r="O758" s="8" t="n"/>
      <c r="P758" s="14" t="n"/>
      <c r="Q758" s="7" t="inlineStr"/>
      <c r="R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8" t="n"/>
      <c r="N759" s="7" t="inlineStr">
        <is>
          <t>SEM COTAÇÃO</t>
        </is>
      </c>
      <c r="O759" s="8" t="n"/>
      <c r="P759" s="14" t="n"/>
      <c r="Q759" s="7" t="inlineStr"/>
      <c r="R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8" t="n"/>
      <c r="N760" s="7" t="inlineStr">
        <is>
          <t>SEM COTAÇÃO</t>
        </is>
      </c>
      <c r="O760" s="8" t="n"/>
      <c r="P760" s="14" t="n"/>
      <c r="Q760" s="7" t="inlineStr"/>
      <c r="R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8" t="n"/>
      <c r="N761" s="7" t="inlineStr">
        <is>
          <t>SEM COTAÇÃO</t>
        </is>
      </c>
      <c r="O761" s="8" t="n"/>
      <c r="P761" s="14" t="n"/>
      <c r="Q761" s="7" t="inlineStr"/>
      <c r="R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8" t="n"/>
      <c r="N762" s="7" t="inlineStr">
        <is>
          <t>SEM COTAÇÃO</t>
        </is>
      </c>
      <c r="O762" s="8" t="n"/>
      <c r="P762" s="14" t="n"/>
      <c r="Q762" s="7" t="inlineStr"/>
      <c r="R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8" t="n"/>
      <c r="N763" s="7" t="inlineStr">
        <is>
          <t>SEM COTAÇÃO</t>
        </is>
      </c>
      <c r="O763" s="8" t="n"/>
      <c r="P763" s="14" t="n"/>
      <c r="Q763" s="7" t="inlineStr"/>
      <c r="R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8" t="n"/>
      <c r="N764" s="7" t="inlineStr">
        <is>
          <t>SEM COTAÇÃO</t>
        </is>
      </c>
      <c r="O764" s="8" t="n"/>
      <c r="P764" s="14" t="n"/>
      <c r="Q764" s="7" t="inlineStr"/>
      <c r="R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8" t="n"/>
      <c r="N765" s="7" t="inlineStr">
        <is>
          <t>SEM COTAÇÃO</t>
        </is>
      </c>
      <c r="O765" s="8" t="n"/>
      <c r="P765" s="14" t="n"/>
      <c r="Q765" s="7" t="inlineStr"/>
      <c r="R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8" t="n"/>
      <c r="N766" s="7" t="inlineStr">
        <is>
          <t>SEM COTAÇÃO</t>
        </is>
      </c>
      <c r="O766" s="8" t="n"/>
      <c r="P766" s="14" t="n"/>
      <c r="Q766" s="7" t="inlineStr"/>
      <c r="R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7" t="inlineStr">
        <is>
          <t>SEM COTAÇÃO</t>
        </is>
      </c>
      <c r="O767" s="8" t="n"/>
      <c r="P767" s="14" t="n"/>
      <c r="Q767" s="7" t="inlineStr"/>
      <c r="R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8" t="n"/>
      <c r="N768" s="7" t="inlineStr">
        <is>
          <t>SEM COTAÇÃO</t>
        </is>
      </c>
      <c r="O768" s="8" t="n"/>
      <c r="P768" s="14" t="n"/>
      <c r="Q768" s="7" t="inlineStr"/>
      <c r="R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8" t="n"/>
      <c r="N769" s="7" t="inlineStr">
        <is>
          <t>SEM COTAÇÃO</t>
        </is>
      </c>
      <c r="O769" s="8" t="n"/>
      <c r="P769" s="14" t="n"/>
      <c r="Q769" s="7" t="inlineStr"/>
      <c r="R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8" t="n"/>
      <c r="N770" s="7" t="inlineStr">
        <is>
          <t>SEM COTAÇÃO</t>
        </is>
      </c>
      <c r="O770" s="8" t="n"/>
      <c r="P770" s="14" t="n"/>
      <c r="Q770" s="7" t="inlineStr"/>
      <c r="R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8" t="n"/>
      <c r="N771" s="7" t="inlineStr">
        <is>
          <t>SEM COTAÇÃO</t>
        </is>
      </c>
      <c r="O771" s="8" t="n"/>
      <c r="P771" s="14" t="n"/>
      <c r="Q771" s="7" t="inlineStr"/>
      <c r="R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8" t="n"/>
      <c r="N772" s="7" t="inlineStr">
        <is>
          <t>SEM COTAÇÃO</t>
        </is>
      </c>
      <c r="O772" s="8" t="n"/>
      <c r="P772" s="14" t="n"/>
      <c r="Q772" s="7" t="inlineStr"/>
      <c r="R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8" t="n"/>
      <c r="N773" s="7" t="inlineStr">
        <is>
          <t>SEM COTAÇÃO</t>
        </is>
      </c>
      <c r="O773" s="8" t="n"/>
      <c r="P773" s="14" t="n"/>
      <c r="Q773" s="7" t="inlineStr"/>
      <c r="R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8" t="n"/>
      <c r="N774" s="7" t="inlineStr">
        <is>
          <t>SEM COTAÇÃO</t>
        </is>
      </c>
      <c r="O774" s="8" t="n"/>
      <c r="P774" s="14" t="n"/>
      <c r="Q774" s="7" t="inlineStr"/>
      <c r="R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8" t="n"/>
      <c r="N775" s="7" t="inlineStr">
        <is>
          <t>SEM COTAÇÃO</t>
        </is>
      </c>
      <c r="O775" s="8" t="n"/>
      <c r="P775" s="14" t="n"/>
      <c r="Q775" s="7" t="inlineStr"/>
      <c r="R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8" t="n"/>
      <c r="N776" s="7" t="inlineStr">
        <is>
          <t>SEM COTAÇÃO</t>
        </is>
      </c>
      <c r="O776" s="8" t="n"/>
      <c r="P776" s="14" t="n"/>
      <c r="Q776" s="7" t="inlineStr"/>
      <c r="R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8" t="n"/>
      <c r="N777" s="7" t="inlineStr">
        <is>
          <t>SEM COTAÇÃO</t>
        </is>
      </c>
      <c r="O777" s="8" t="n"/>
      <c r="P777" s="14" t="n"/>
      <c r="Q777" s="7" t="inlineStr"/>
      <c r="R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8" t="n"/>
      <c r="N778" s="7" t="inlineStr">
        <is>
          <t>SEM COTAÇÃO</t>
        </is>
      </c>
      <c r="O778" s="8" t="n"/>
      <c r="P778" s="14" t="n"/>
      <c r="Q778" s="7" t="inlineStr"/>
      <c r="R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8" t="n"/>
      <c r="N779" s="7" t="inlineStr">
        <is>
          <t>SEM COTAÇÃO</t>
        </is>
      </c>
      <c r="O779" s="8" t="n"/>
      <c r="P779" s="14" t="n"/>
      <c r="Q779" s="7" t="inlineStr"/>
      <c r="R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8" t="n"/>
      <c r="N780" s="7" t="inlineStr">
        <is>
          <t>SEM COTAÇÃO</t>
        </is>
      </c>
      <c r="O780" s="8" t="n"/>
      <c r="P780" s="14" t="n"/>
      <c r="Q780" s="7" t="inlineStr"/>
      <c r="R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8" t="n"/>
      <c r="N781" s="7" t="inlineStr">
        <is>
          <t>SEM COTAÇÃO</t>
        </is>
      </c>
      <c r="O781" s="8" t="n"/>
      <c r="P781" s="14" t="n"/>
      <c r="Q781" s="7" t="inlineStr"/>
      <c r="R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8" t="n"/>
      <c r="N782" s="7" t="inlineStr">
        <is>
          <t>SEM COTAÇÃO</t>
        </is>
      </c>
      <c r="O782" s="8" t="n"/>
      <c r="P782" s="14" t="n"/>
      <c r="Q782" s="7" t="inlineStr"/>
      <c r="R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8" t="n"/>
      <c r="N783" s="7" t="inlineStr">
        <is>
          <t>SEM COTAÇÃO</t>
        </is>
      </c>
      <c r="O783" s="8" t="n"/>
      <c r="P783" s="14" t="n"/>
      <c r="Q783" s="7" t="inlineStr"/>
      <c r="R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8" t="n"/>
      <c r="N784" s="7" t="inlineStr">
        <is>
          <t>SEM COTAÇÃO</t>
        </is>
      </c>
      <c r="O784" s="8" t="n"/>
      <c r="P784" s="14" t="n"/>
      <c r="Q784" s="7" t="inlineStr"/>
      <c r="R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8" t="n"/>
      <c r="N785" s="7" t="inlineStr">
        <is>
          <t>SEM COTAÇÃO</t>
        </is>
      </c>
      <c r="O785" s="8" t="n"/>
      <c r="P785" s="14" t="n"/>
      <c r="Q785" s="7" t="inlineStr"/>
      <c r="R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8" t="n"/>
      <c r="N786" s="7" t="inlineStr">
        <is>
          <t>SEM COTAÇÃO</t>
        </is>
      </c>
      <c r="O786" s="8" t="n"/>
      <c r="P786" s="14" t="n"/>
      <c r="Q786" s="7" t="inlineStr"/>
      <c r="R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8" t="n"/>
      <c r="N787" s="7" t="inlineStr">
        <is>
          <t>SEM COTAÇÃO</t>
        </is>
      </c>
      <c r="O787" s="8" t="n"/>
      <c r="P787" s="14" t="n"/>
      <c r="Q787" s="7" t="inlineStr"/>
      <c r="R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8" t="n"/>
      <c r="N788" s="7" t="inlineStr">
        <is>
          <t>SEM COTAÇÃO</t>
        </is>
      </c>
      <c r="O788" s="8" t="n"/>
      <c r="P788" s="14" t="n"/>
      <c r="Q788" s="7" t="inlineStr"/>
      <c r="R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8" t="n"/>
      <c r="N789" s="7" t="inlineStr">
        <is>
          <t>SEM COTAÇÃO</t>
        </is>
      </c>
      <c r="O789" s="8" t="n"/>
      <c r="P789" s="14" t="n"/>
      <c r="Q789" s="7" t="inlineStr"/>
      <c r="R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8" t="n"/>
      <c r="N790" s="7" t="inlineStr">
        <is>
          <t>SEM COTAÇÃO</t>
        </is>
      </c>
      <c r="O790" s="8" t="n"/>
      <c r="P790" s="14" t="n"/>
      <c r="Q790" s="7" t="inlineStr"/>
      <c r="R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8" t="n"/>
      <c r="N791" s="7" t="inlineStr">
        <is>
          <t>SEM COTAÇÃO</t>
        </is>
      </c>
      <c r="O791" s="8" t="n"/>
      <c r="P791" s="14" t="n"/>
      <c r="Q791" s="7" t="inlineStr"/>
      <c r="R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7" t="inlineStr">
        <is>
          <t>SEM COTAÇÃO</t>
        </is>
      </c>
      <c r="O792" s="8" t="n"/>
      <c r="P792" s="14" t="n"/>
      <c r="Q792" s="7" t="inlineStr"/>
      <c r="R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8" t="n"/>
      <c r="N793" s="7" t="inlineStr">
        <is>
          <t>SEM COTAÇÃO</t>
        </is>
      </c>
      <c r="O793" s="8" t="n"/>
      <c r="P793" s="14" t="n"/>
      <c r="Q793" s="7" t="inlineStr"/>
      <c r="R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8" t="n"/>
      <c r="N794" s="7" t="inlineStr">
        <is>
          <t>SEM COTAÇÃO</t>
        </is>
      </c>
      <c r="O794" s="8" t="n"/>
      <c r="P794" s="14" t="n"/>
      <c r="Q794" s="7" t="inlineStr"/>
      <c r="R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8" t="n"/>
      <c r="N795" s="7" t="inlineStr">
        <is>
          <t>SEM COTAÇÃO</t>
        </is>
      </c>
      <c r="O795" s="8" t="n"/>
      <c r="P795" s="14" t="n"/>
      <c r="Q795" s="7" t="inlineStr"/>
      <c r="R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8" t="n"/>
      <c r="N796" s="7" t="inlineStr">
        <is>
          <t>SEM COTAÇÃO</t>
        </is>
      </c>
      <c r="O796" s="8" t="n"/>
      <c r="P796" s="14" t="n"/>
      <c r="Q796" s="7" t="inlineStr"/>
      <c r="R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8" t="n"/>
      <c r="N797" s="7" t="inlineStr">
        <is>
          <t>SEM COTAÇÃO</t>
        </is>
      </c>
      <c r="O797" s="8" t="n"/>
      <c r="P797" s="14" t="n"/>
      <c r="Q797" s="7" t="inlineStr"/>
      <c r="R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8" t="n"/>
      <c r="N798" s="7" t="inlineStr">
        <is>
          <t>SEM COTAÇÃO</t>
        </is>
      </c>
      <c r="O798" s="8" t="n"/>
      <c r="P798" s="14" t="n"/>
      <c r="Q798" s="7" t="inlineStr"/>
      <c r="R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8" t="n"/>
      <c r="N799" s="7" t="inlineStr">
        <is>
          <t>EPAN</t>
        </is>
      </c>
      <c r="O799" s="8" t="n">
        <v>71.06999999999999</v>
      </c>
      <c r="P799" s="14">
        <f>O799/H799-1</f>
        <v/>
      </c>
      <c r="Q799" s="17" t="inlineStr">
        <is>
          <t>OK (≤ menor hist.)</t>
        </is>
      </c>
      <c r="R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8" t="n"/>
      <c r="N800" s="7" t="inlineStr">
        <is>
          <t>SEM COTAÇÃO</t>
        </is>
      </c>
      <c r="O800" s="8" t="n"/>
      <c r="P800" s="14" t="n"/>
      <c r="Q800" s="7" t="inlineStr"/>
      <c r="R800" s="7" t="inlineStr"/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8" t="n"/>
      <c r="N801" s="7" t="inlineStr">
        <is>
          <t>SEM COTAÇÃO</t>
        </is>
      </c>
      <c r="O801" s="8" t="n"/>
      <c r="P801" s="14" t="n"/>
      <c r="Q801" s="7" t="inlineStr"/>
      <c r="R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8" t="n"/>
      <c r="N802" s="7" t="inlineStr">
        <is>
          <t>SEM COTAÇÃO</t>
        </is>
      </c>
      <c r="O802" s="8" t="n"/>
      <c r="P802" s="14" t="n"/>
      <c r="Q802" s="7" t="inlineStr"/>
      <c r="R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8" t="n"/>
      <c r="M803" s="8" t="n"/>
      <c r="N803" s="7" t="inlineStr">
        <is>
          <t>DIMEC</t>
        </is>
      </c>
      <c r="O803" s="8" t="n">
        <v>2.01</v>
      </c>
      <c r="P803" s="14">
        <f>O803/H803-1</f>
        <v/>
      </c>
      <c r="Q803" s="16" t="inlineStr">
        <is>
          <t>ACIMA +2.6%</t>
        </is>
      </c>
      <c r="R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8" t="n"/>
      <c r="N804" s="7" t="inlineStr">
        <is>
          <t>SEM COTAÇÃO</t>
        </is>
      </c>
      <c r="O804" s="8" t="n"/>
      <c r="P804" s="14" t="n"/>
      <c r="Q804" s="7" t="inlineStr"/>
      <c r="R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8" t="n"/>
      <c r="N805" s="7" t="inlineStr">
        <is>
          <t>DIMEC</t>
        </is>
      </c>
      <c r="O805" s="8" t="n">
        <v>12.91</v>
      </c>
      <c r="P805" s="14">
        <f>O805/H805-1</f>
        <v/>
      </c>
      <c r="Q805" s="16" t="inlineStr">
        <is>
          <t>ACIMA +35.0%</t>
        </is>
      </c>
      <c r="R805" s="7" t="inlineStr"/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8" t="n"/>
      <c r="N806" s="7" t="inlineStr">
        <is>
          <t>SEM COTAÇÃO</t>
        </is>
      </c>
      <c r="O806" s="8" t="n"/>
      <c r="P806" s="14" t="n"/>
      <c r="Q806" s="7" t="inlineStr"/>
      <c r="R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8" t="n"/>
      <c r="N807" s="7" t="inlineStr">
        <is>
          <t>SEM COTAÇÃO</t>
        </is>
      </c>
      <c r="O807" s="8" t="n"/>
      <c r="P807" s="14" t="n"/>
      <c r="Q807" s="7" t="inlineStr"/>
      <c r="R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8" t="n"/>
      <c r="N808" s="7" t="inlineStr">
        <is>
          <t>SEM COTAÇÃO</t>
        </is>
      </c>
      <c r="O808" s="8" t="n"/>
      <c r="P808" s="14" t="n"/>
      <c r="Q808" s="7" t="inlineStr"/>
      <c r="R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8" t="n"/>
      <c r="N809" s="7" t="inlineStr">
        <is>
          <t>DIMEC</t>
        </is>
      </c>
      <c r="O809" s="8" t="n">
        <v>9.44</v>
      </c>
      <c r="P809" s="14">
        <f>O809/H809-1</f>
        <v/>
      </c>
      <c r="Q809" s="16" t="inlineStr">
        <is>
          <t>ACIMA +26.0%</t>
        </is>
      </c>
      <c r="R809" s="7" t="inlineStr"/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8" t="n"/>
      <c r="N810" s="7" t="inlineStr">
        <is>
          <t>SEM COTAÇÃO</t>
        </is>
      </c>
      <c r="O810" s="8" t="n"/>
      <c r="P810" s="14" t="n"/>
      <c r="Q810" s="7" t="inlineStr"/>
      <c r="R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8" t="n"/>
      <c r="N811" s="7" t="inlineStr">
        <is>
          <t>SEM COTAÇÃO</t>
        </is>
      </c>
      <c r="O811" s="8" t="n"/>
      <c r="P811" s="14" t="n"/>
      <c r="Q811" s="7" t="inlineStr"/>
      <c r="R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8" t="n"/>
      <c r="N812" s="7" t="inlineStr">
        <is>
          <t>SEM COTAÇÃO</t>
        </is>
      </c>
      <c r="O812" s="8" t="n"/>
      <c r="P812" s="14" t="n"/>
      <c r="Q812" s="7" t="inlineStr"/>
      <c r="R812" s="7" t="inlineStr"/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8" t="n"/>
      <c r="N813" s="7" t="inlineStr">
        <is>
          <t>SEM COTAÇÃO</t>
        </is>
      </c>
      <c r="O813" s="8" t="n"/>
      <c r="P813" s="14" t="n"/>
      <c r="Q813" s="7" t="inlineStr"/>
      <c r="R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8" t="n"/>
      <c r="N814" s="7" t="inlineStr">
        <is>
          <t>SEM COTAÇÃO</t>
        </is>
      </c>
      <c r="O814" s="8" t="n"/>
      <c r="P814" s="14" t="n"/>
      <c r="Q814" s="7" t="inlineStr"/>
      <c r="R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8" t="n"/>
      <c r="N815" s="7" t="inlineStr">
        <is>
          <t>SEM COTAÇÃO</t>
        </is>
      </c>
      <c r="O815" s="8" t="n"/>
      <c r="P815" s="14" t="n"/>
      <c r="Q815" s="7" t="inlineStr"/>
      <c r="R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8" t="n"/>
      <c r="N816" s="7" t="inlineStr">
        <is>
          <t>SEM COTAÇÃO</t>
        </is>
      </c>
      <c r="O816" s="8" t="n"/>
      <c r="P816" s="14" t="n"/>
      <c r="Q816" s="7" t="inlineStr"/>
      <c r="R816" s="7" t="inlineStr"/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7" t="inlineStr">
        <is>
          <t>SEM COTAÇÃO</t>
        </is>
      </c>
      <c r="O817" s="8" t="n"/>
      <c r="P817" s="14" t="n"/>
      <c r="Q817" s="7" t="inlineStr"/>
      <c r="R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8" t="n"/>
      <c r="N818" s="7" t="inlineStr">
        <is>
          <t>SEM COTAÇÃO</t>
        </is>
      </c>
      <c r="O818" s="8" t="n"/>
      <c r="P818" s="14" t="n"/>
      <c r="Q818" s="7" t="inlineStr"/>
      <c r="R818" s="7" t="inlineStr"/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8" t="n"/>
      <c r="N819" s="7" t="inlineStr">
        <is>
          <t>SEM COTAÇÃO</t>
        </is>
      </c>
      <c r="O819" s="8" t="n"/>
      <c r="P819" s="14" t="n"/>
      <c r="Q819" s="7" t="inlineStr"/>
      <c r="R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15" t="n">
        <v>26.34</v>
      </c>
      <c r="N820" s="7" t="inlineStr">
        <is>
          <t>CENTROFARMA</t>
        </is>
      </c>
      <c r="O820" s="8" t="n">
        <v>26.34</v>
      </c>
      <c r="P820" s="14">
        <f>O820/H820-1</f>
        <v/>
      </c>
      <c r="Q820" s="17" t="inlineStr">
        <is>
          <t>OK (≤ menor hist.)</t>
        </is>
      </c>
      <c r="R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8" t="n"/>
      <c r="N821" s="7" t="inlineStr">
        <is>
          <t>SEM COTAÇÃO</t>
        </is>
      </c>
      <c r="O821" s="8" t="n"/>
      <c r="P821" s="14" t="n"/>
      <c r="Q821" s="7" t="inlineStr"/>
      <c r="R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8" t="n"/>
      <c r="N822" s="7" t="inlineStr">
        <is>
          <t>SEM COTAÇÃO</t>
        </is>
      </c>
      <c r="O822" s="8" t="n"/>
      <c r="P822" s="14" t="n"/>
      <c r="Q822" s="7" t="inlineStr"/>
      <c r="R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8" t="n"/>
      <c r="N823" s="7" t="inlineStr">
        <is>
          <t>SEM COTAÇÃO</t>
        </is>
      </c>
      <c r="O823" s="8" t="n"/>
      <c r="P823" s="14" t="n"/>
      <c r="Q823" s="7" t="inlineStr"/>
      <c r="R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8" t="n"/>
      <c r="N824" s="7" t="inlineStr">
        <is>
          <t>SEM COTAÇÃO</t>
        </is>
      </c>
      <c r="O824" s="8" t="n"/>
      <c r="P824" s="14" t="n"/>
      <c r="Q824" s="7" t="inlineStr"/>
      <c r="R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8" t="n"/>
      <c r="N825" s="7" t="inlineStr">
        <is>
          <t>EPAN</t>
        </is>
      </c>
      <c r="O825" s="8" t="n">
        <v>21.37</v>
      </c>
      <c r="P825" s="14">
        <f>O825/H825-1</f>
        <v/>
      </c>
      <c r="Q825" s="17" t="inlineStr">
        <is>
          <t>OK (≤ últ. compra)</t>
        </is>
      </c>
      <c r="R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15" t="n">
        <v>45.8</v>
      </c>
      <c r="K826" s="8" t="n"/>
      <c r="L826" s="8" t="n"/>
      <c r="M826" s="8" t="n">
        <v>46.4</v>
      </c>
      <c r="N826" s="7" t="inlineStr">
        <is>
          <t>DIMEC</t>
        </is>
      </c>
      <c r="O826" s="8" t="n">
        <v>45.8</v>
      </c>
      <c r="P826" s="14">
        <f>O826/H826-1</f>
        <v/>
      </c>
      <c r="Q826" s="17" t="inlineStr">
        <is>
          <t>OK (≤ últ. compra)</t>
        </is>
      </c>
      <c r="R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8" t="n"/>
      <c r="M827" s="8" t="n">
        <v>26.18</v>
      </c>
      <c r="N827" s="7" t="inlineStr">
        <is>
          <t>DIMEC</t>
        </is>
      </c>
      <c r="O827" s="8" t="n">
        <v>25.38</v>
      </c>
      <c r="P827" s="14">
        <f>O827/H827-1</f>
        <v/>
      </c>
      <c r="Q827" s="17" t="inlineStr">
        <is>
          <t>OK (≤ últ. compra)</t>
        </is>
      </c>
      <c r="R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8" t="n"/>
      <c r="N828" s="7" t="inlineStr">
        <is>
          <t>SEM COTAÇÃO</t>
        </is>
      </c>
      <c r="O828" s="8" t="n"/>
      <c r="P828" s="14" t="n"/>
      <c r="Q828" s="7" t="inlineStr"/>
      <c r="R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8" t="n"/>
      <c r="N829" s="7" t="inlineStr">
        <is>
          <t>SEM COTAÇÃO</t>
        </is>
      </c>
      <c r="O829" s="8" t="n"/>
      <c r="P829" s="14" t="n"/>
      <c r="Q829" s="7" t="inlineStr"/>
      <c r="R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8" t="n"/>
      <c r="N830" s="7" t="inlineStr">
        <is>
          <t>SEM COTAÇÃO</t>
        </is>
      </c>
      <c r="O830" s="8" t="n"/>
      <c r="P830" s="14" t="n"/>
      <c r="Q830" s="7" t="inlineStr"/>
      <c r="R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8" t="n"/>
      <c r="N831" s="7" t="inlineStr">
        <is>
          <t>SEM COTAÇÃO</t>
        </is>
      </c>
      <c r="O831" s="8" t="n"/>
      <c r="P831" s="14" t="n"/>
      <c r="Q831" s="7" t="inlineStr"/>
      <c r="R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8" t="n"/>
      <c r="N832" s="7" t="inlineStr">
        <is>
          <t>SEM COTAÇÃO</t>
        </is>
      </c>
      <c r="O832" s="8" t="n"/>
      <c r="P832" s="14" t="n"/>
      <c r="Q832" s="7" t="inlineStr"/>
      <c r="R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8" t="n"/>
      <c r="N833" s="7" t="inlineStr">
        <is>
          <t>SEM COTAÇÃO</t>
        </is>
      </c>
      <c r="O833" s="8" t="n"/>
      <c r="P833" s="14" t="n"/>
      <c r="Q833" s="7" t="inlineStr"/>
      <c r="R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8" t="n"/>
      <c r="N834" s="7" t="inlineStr">
        <is>
          <t>SEM COTAÇÃO</t>
        </is>
      </c>
      <c r="O834" s="8" t="n"/>
      <c r="P834" s="14" t="n"/>
      <c r="Q834" s="7" t="inlineStr"/>
      <c r="R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8" t="n"/>
      <c r="N835" s="7" t="inlineStr">
        <is>
          <t>SEM COTAÇÃO</t>
        </is>
      </c>
      <c r="O835" s="8" t="n"/>
      <c r="P835" s="14" t="n"/>
      <c r="Q835" s="7" t="inlineStr"/>
      <c r="R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15" t="n">
        <v>7.69</v>
      </c>
      <c r="L836" s="8" t="n"/>
      <c r="M836" s="8" t="n"/>
      <c r="N836" s="7" t="inlineStr">
        <is>
          <t>PLUSFARMA</t>
        </is>
      </c>
      <c r="O836" s="8" t="n">
        <v>7.69</v>
      </c>
      <c r="P836" s="14">
        <f>O836/H836-1</f>
        <v/>
      </c>
      <c r="Q836" s="17" t="inlineStr">
        <is>
          <t>OK (≤ últ. compra)</t>
        </is>
      </c>
      <c r="R836" s="7" t="inlineStr"/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8" t="n"/>
      <c r="N837" s="7" t="inlineStr">
        <is>
          <t>PLUSFARMA</t>
        </is>
      </c>
      <c r="O837" s="8" t="n">
        <v>7.35</v>
      </c>
      <c r="P837" s="14">
        <f>O837/H837-1</f>
        <v/>
      </c>
      <c r="Q837" s="16" t="inlineStr">
        <is>
          <t>ACIMA +31.2%</t>
        </is>
      </c>
      <c r="R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8" t="n"/>
      <c r="N838" s="7" t="inlineStr">
        <is>
          <t>DIMEC</t>
        </is>
      </c>
      <c r="O838" s="8" t="n">
        <v>9.18</v>
      </c>
      <c r="P838" s="14">
        <f>O838/H838-1</f>
        <v/>
      </c>
      <c r="Q838" s="16" t="inlineStr">
        <is>
          <t>ACIMA +3.1%</t>
        </is>
      </c>
      <c r="R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8" t="n">
        <v>5.73</v>
      </c>
      <c r="N839" s="7" t="inlineStr">
        <is>
          <t>DIMEC</t>
        </is>
      </c>
      <c r="O839" s="8" t="n">
        <v>5.39</v>
      </c>
      <c r="P839" s="14">
        <f>O839/H839-1</f>
        <v/>
      </c>
      <c r="Q839" s="16" t="inlineStr">
        <is>
          <t>ACIMA +9.3%</t>
        </is>
      </c>
      <c r="R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8" t="n">
        <v>14.48</v>
      </c>
      <c r="N840" s="7" t="inlineStr">
        <is>
          <t>DIMEC</t>
        </is>
      </c>
      <c r="O840" s="8" t="n">
        <v>13.61</v>
      </c>
      <c r="P840" s="14">
        <f>O840/H840-1</f>
        <v/>
      </c>
      <c r="Q840" s="17" t="inlineStr">
        <is>
          <t>OK (≤ menor hist.)</t>
        </is>
      </c>
      <c r="R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8" t="n"/>
      <c r="N841" s="7" t="inlineStr">
        <is>
          <t>SEM COTAÇÃO</t>
        </is>
      </c>
      <c r="O841" s="8" t="n"/>
      <c r="P841" s="14" t="n"/>
      <c r="Q841" s="7" t="inlineStr"/>
      <c r="R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8" t="n"/>
      <c r="N842" s="7" t="inlineStr">
        <is>
          <t>SEM COTAÇÃO</t>
        </is>
      </c>
      <c r="O842" s="8" t="n"/>
      <c r="P842" s="14" t="n"/>
      <c r="Q842" s="7" t="inlineStr"/>
      <c r="R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8" t="n"/>
      <c r="N843" s="7" t="inlineStr">
        <is>
          <t>SEM COTAÇÃO</t>
        </is>
      </c>
      <c r="O843" s="8" t="n"/>
      <c r="P843" s="14" t="n"/>
      <c r="Q843" s="7" t="inlineStr"/>
      <c r="R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8" t="n"/>
      <c r="N844" s="7" t="inlineStr">
        <is>
          <t>SEM COTAÇÃO</t>
        </is>
      </c>
      <c r="O844" s="8" t="n"/>
      <c r="P844" s="14" t="n"/>
      <c r="Q844" s="7" t="inlineStr"/>
      <c r="R844" s="7" t="inlineStr"/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8" t="n"/>
      <c r="N845" s="7" t="inlineStr">
        <is>
          <t>DIMEC</t>
        </is>
      </c>
      <c r="O845" s="8" t="n">
        <v>20.44</v>
      </c>
      <c r="P845" s="14">
        <f>O845/H845-1</f>
        <v/>
      </c>
      <c r="Q845" s="16" t="inlineStr">
        <is>
          <t>ACIMA +24.5%</t>
        </is>
      </c>
      <c r="R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8" t="n"/>
      <c r="N846" s="7" t="inlineStr">
        <is>
          <t>SEM COTAÇÃO</t>
        </is>
      </c>
      <c r="O846" s="8" t="n"/>
      <c r="P846" s="14" t="n"/>
      <c r="Q846" s="7" t="inlineStr"/>
      <c r="R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8" t="n"/>
      <c r="N847" s="7" t="inlineStr">
        <is>
          <t>DIMEC</t>
        </is>
      </c>
      <c r="O847" s="8" t="n">
        <v>2.63</v>
      </c>
      <c r="P847" s="14">
        <f>O847/H847-1</f>
        <v/>
      </c>
      <c r="Q847" s="17" t="inlineStr">
        <is>
          <t>OK (≤ últ. compra)</t>
        </is>
      </c>
      <c r="R847" s="7" t="inlineStr"/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8" t="n"/>
      <c r="N848" s="7" t="inlineStr">
        <is>
          <t>SEM COTAÇÃO</t>
        </is>
      </c>
      <c r="O848" s="8" t="n"/>
      <c r="P848" s="14" t="n"/>
      <c r="Q848" s="7" t="inlineStr"/>
      <c r="R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8" t="n"/>
      <c r="M849" s="8" t="n"/>
      <c r="N849" s="7" t="inlineStr">
        <is>
          <t>DIMEC</t>
        </is>
      </c>
      <c r="O849" s="8" t="n">
        <v>5.58</v>
      </c>
      <c r="P849" s="14">
        <f>O849/H849-1</f>
        <v/>
      </c>
      <c r="Q849" s="16" t="inlineStr">
        <is>
          <t>ACIMA +1.8%</t>
        </is>
      </c>
      <c r="R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4.25</v>
      </c>
      <c r="K850" s="8" t="n"/>
      <c r="L850" s="8" t="n"/>
      <c r="M850" s="15" t="n">
        <v>4.14</v>
      </c>
      <c r="N850" s="7" t="inlineStr">
        <is>
          <t>CENTROFARMA</t>
        </is>
      </c>
      <c r="O850" s="8" t="n">
        <v>4.14</v>
      </c>
      <c r="P850" s="14">
        <f>O850/H850-1</f>
        <v/>
      </c>
      <c r="Q850" s="16" t="inlineStr">
        <is>
          <t>ACIMA +23.2%</t>
        </is>
      </c>
      <c r="R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8" t="n"/>
      <c r="M851" s="8" t="n"/>
      <c r="N851" s="7" t="inlineStr">
        <is>
          <t>DIMEC</t>
        </is>
      </c>
      <c r="O851" s="8" t="n">
        <v>2.55</v>
      </c>
      <c r="P851" s="14">
        <f>O851/H851-1</f>
        <v/>
      </c>
      <c r="Q851" s="16" t="inlineStr">
        <is>
          <t>ACIMA +0.8%</t>
        </is>
      </c>
      <c r="R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8" t="n"/>
      <c r="N852" s="7" t="inlineStr">
        <is>
          <t>SEM COTAÇÃO</t>
        </is>
      </c>
      <c r="O852" s="8" t="n"/>
      <c r="P852" s="14" t="n"/>
      <c r="Q852" s="7" t="inlineStr"/>
      <c r="R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8" t="n"/>
      <c r="N853" s="7" t="inlineStr">
        <is>
          <t>SEM COTAÇÃO</t>
        </is>
      </c>
      <c r="O853" s="8" t="n"/>
      <c r="P853" s="14" t="n"/>
      <c r="Q853" s="7" t="inlineStr"/>
      <c r="R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8" t="n"/>
      <c r="M854" s="8" t="n">
        <v>6.51</v>
      </c>
      <c r="N854" s="7" t="inlineStr">
        <is>
          <t>DIMEC</t>
        </is>
      </c>
      <c r="O854" s="8" t="n">
        <v>6.43</v>
      </c>
      <c r="P854" s="14">
        <f>O854/H854-1</f>
        <v/>
      </c>
      <c r="Q854" s="16" t="inlineStr">
        <is>
          <t>ACIMA +3.9%</t>
        </is>
      </c>
      <c r="R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8" t="n"/>
      <c r="N855" s="7" t="inlineStr">
        <is>
          <t>SEM COTAÇÃO</t>
        </is>
      </c>
      <c r="O855" s="8" t="n"/>
      <c r="P855" s="14" t="n"/>
      <c r="Q855" s="7" t="inlineStr"/>
      <c r="R855" s="7" t="inlineStr"/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7.42</v>
      </c>
      <c r="K856" s="8" t="n"/>
      <c r="L856" s="8" t="n"/>
      <c r="M856" s="15" t="n">
        <v>6.31</v>
      </c>
      <c r="N856" s="7" t="inlineStr">
        <is>
          <t>CENTROFARMA</t>
        </is>
      </c>
      <c r="O856" s="8" t="n">
        <v>6.31</v>
      </c>
      <c r="P856" s="14">
        <f>O856/H856-1</f>
        <v/>
      </c>
      <c r="Q856" s="16" t="inlineStr">
        <is>
          <t>ACIMA +5.3%</t>
        </is>
      </c>
      <c r="R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8" t="n">
        <v>29.87</v>
      </c>
      <c r="M857" s="8" t="n"/>
      <c r="N857" s="7" t="inlineStr">
        <is>
          <t>DIMEC</t>
        </is>
      </c>
      <c r="O857" s="8" t="n">
        <v>46.94</v>
      </c>
      <c r="P857" s="14">
        <f>O857/H857-1</f>
        <v/>
      </c>
      <c r="Q857" s="16" t="inlineStr">
        <is>
          <t>ACIMA +57.1%</t>
        </is>
      </c>
      <c r="R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8" t="n"/>
      <c r="N858" s="7" t="inlineStr">
        <is>
          <t>SEM COTAÇÃO</t>
        </is>
      </c>
      <c r="O858" s="8" t="n"/>
      <c r="P858" s="14" t="n"/>
      <c r="Q858" s="7" t="inlineStr"/>
      <c r="R858" s="7" t="inlineStr"/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8" t="n"/>
      <c r="N859" s="7" t="inlineStr">
        <is>
          <t>SEM COTAÇÃO</t>
        </is>
      </c>
      <c r="O859" s="8" t="n"/>
      <c r="P859" s="14" t="n"/>
      <c r="Q859" s="7" t="inlineStr"/>
      <c r="R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8" t="n"/>
      <c r="N860" s="7" t="inlineStr">
        <is>
          <t>DIMEC</t>
        </is>
      </c>
      <c r="O860" s="8" t="n">
        <v>8.4</v>
      </c>
      <c r="P860" s="14">
        <f>O860/H860-1</f>
        <v/>
      </c>
      <c r="Q860" s="16" t="inlineStr">
        <is>
          <t>ACIMA +25.6%</t>
        </is>
      </c>
      <c r="R860" s="7" t="inlineStr"/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8" t="n"/>
      <c r="N861" s="7" t="inlineStr">
        <is>
          <t>PLUSFARMA</t>
        </is>
      </c>
      <c r="O861" s="8" t="n">
        <v>10.19</v>
      </c>
      <c r="P861" s="14">
        <f>O861/H861-1</f>
        <v/>
      </c>
      <c r="Q861" s="17" t="inlineStr">
        <is>
          <t>OK (≤ menor hist.)</t>
        </is>
      </c>
      <c r="R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8" t="n"/>
      <c r="N862" s="7" t="inlineStr">
        <is>
          <t>SEM COTAÇÃO</t>
        </is>
      </c>
      <c r="O862" s="8" t="n"/>
      <c r="P862" s="14" t="n"/>
      <c r="Q862" s="7" t="inlineStr"/>
      <c r="R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15" t="n">
        <v>8.949999999999999</v>
      </c>
      <c r="K863" s="8" t="n"/>
      <c r="L863" s="8" t="n"/>
      <c r="M863" s="8" t="n">
        <v>9.1</v>
      </c>
      <c r="N863" s="7" t="inlineStr">
        <is>
          <t>DIMEC</t>
        </is>
      </c>
      <c r="O863" s="8" t="n">
        <v>8.949999999999999</v>
      </c>
      <c r="P863" s="14">
        <f>O863/H863-1</f>
        <v/>
      </c>
      <c r="Q863" s="16" t="inlineStr">
        <is>
          <t>ACIMA +0.2%</t>
        </is>
      </c>
      <c r="R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8" t="n">
        <v>2.13</v>
      </c>
      <c r="N864" s="7" t="inlineStr">
        <is>
          <t>DIMEC</t>
        </is>
      </c>
      <c r="O864" s="8" t="n">
        <v>2.08</v>
      </c>
      <c r="P864" s="14">
        <f>O864/H864-1</f>
        <v/>
      </c>
      <c r="Q864" s="16" t="inlineStr">
        <is>
          <t>ACIMA +3.0%</t>
        </is>
      </c>
      <c r="R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8" t="n"/>
      <c r="N865" s="7" t="inlineStr">
        <is>
          <t>DIMEC</t>
        </is>
      </c>
      <c r="O865" s="8" t="n">
        <v>3.2</v>
      </c>
      <c r="P865" s="14">
        <f>O865/H865-1</f>
        <v/>
      </c>
      <c r="Q865" s="17" t="inlineStr">
        <is>
          <t>OK (≤ menor hist.)</t>
        </is>
      </c>
      <c r="R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8" t="n"/>
      <c r="N866" s="7" t="inlineStr">
        <is>
          <t>SEM COTAÇÃO</t>
        </is>
      </c>
      <c r="O866" s="8" t="n"/>
      <c r="P866" s="14" t="n"/>
      <c r="Q866" s="7" t="inlineStr"/>
      <c r="R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8" t="n"/>
      <c r="N867" s="7" t="inlineStr">
        <is>
          <t>PLUSFARMA</t>
        </is>
      </c>
      <c r="O867" s="8" t="n">
        <v>18.09</v>
      </c>
      <c r="P867" s="14">
        <f>O867/H867-1</f>
        <v/>
      </c>
      <c r="Q867" s="16" t="inlineStr">
        <is>
          <t>ACIMA +21.0%</t>
        </is>
      </c>
      <c r="R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8" t="n"/>
      <c r="N868" s="7" t="inlineStr">
        <is>
          <t>EPAN</t>
        </is>
      </c>
      <c r="O868" s="8" t="n">
        <v>14.86</v>
      </c>
      <c r="P868" s="14">
        <f>O868/H868-1</f>
        <v/>
      </c>
      <c r="Q868" s="17" t="inlineStr">
        <is>
          <t>OK (≤ menor hist.)</t>
        </is>
      </c>
      <c r="R868" s="7" t="inlineStr"/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8" t="n"/>
      <c r="N869" s="7" t="inlineStr">
        <is>
          <t>SEM COTAÇÃO</t>
        </is>
      </c>
      <c r="O869" s="8" t="n"/>
      <c r="P869" s="14" t="n"/>
      <c r="Q869" s="7" t="inlineStr"/>
      <c r="R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8" t="n"/>
      <c r="N870" s="7" t="inlineStr">
        <is>
          <t>SEM COTAÇÃO</t>
        </is>
      </c>
      <c r="O870" s="8" t="n"/>
      <c r="P870" s="14" t="n"/>
      <c r="Q870" s="7" t="inlineStr"/>
      <c r="R870" s="7" t="inlineStr"/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8" t="n"/>
      <c r="N871" s="7" t="inlineStr">
        <is>
          <t>SEM COTAÇÃO</t>
        </is>
      </c>
      <c r="O871" s="8" t="n"/>
      <c r="P871" s="14" t="n"/>
      <c r="Q871" s="7" t="inlineStr"/>
      <c r="R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8" t="n"/>
      <c r="N872" s="7" t="inlineStr">
        <is>
          <t>PLUSFARMA</t>
        </is>
      </c>
      <c r="O872" s="8" t="n">
        <v>8.15</v>
      </c>
      <c r="P872" s="14">
        <f>O872/H872-1</f>
        <v/>
      </c>
      <c r="Q872" s="16" t="inlineStr">
        <is>
          <t>ACIMA +21.5%</t>
        </is>
      </c>
      <c r="R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8" t="n"/>
      <c r="N873" s="7" t="inlineStr">
        <is>
          <t>EPAN</t>
        </is>
      </c>
      <c r="O873" s="8" t="n">
        <v>12.15</v>
      </c>
      <c r="P873" s="14">
        <f>O873/H873-1</f>
        <v/>
      </c>
      <c r="Q873" s="17" t="inlineStr">
        <is>
          <t>OK (≤ menor hist.)</t>
        </is>
      </c>
      <c r="R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2.23</v>
      </c>
      <c r="K874" s="8" t="n"/>
      <c r="L874" s="8" t="n"/>
      <c r="M874" s="15" t="n">
        <v>2.23</v>
      </c>
      <c r="N874" s="7" t="inlineStr">
        <is>
          <t>CENTROFARMA</t>
        </is>
      </c>
      <c r="O874" s="8" t="n">
        <v>2.23</v>
      </c>
      <c r="P874" s="14">
        <f>O874/H874-1</f>
        <v/>
      </c>
      <c r="Q874" s="16" t="inlineStr">
        <is>
          <t>ACIMA +5.2%</t>
        </is>
      </c>
      <c r="R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8" t="n"/>
      <c r="N875" s="7" t="inlineStr">
        <is>
          <t>SEM COTAÇÃO</t>
        </is>
      </c>
      <c r="O875" s="8" t="n"/>
      <c r="P875" s="14" t="n"/>
      <c r="Q875" s="7" t="inlineStr"/>
      <c r="R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8" t="n"/>
      <c r="N876" s="7" t="inlineStr">
        <is>
          <t>SEM COTAÇÃO</t>
        </is>
      </c>
      <c r="O876" s="8" t="n"/>
      <c r="P876" s="14" t="n"/>
      <c r="Q876" s="7" t="inlineStr"/>
      <c r="R876" s="7" t="inlineStr"/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15" t="n">
        <v>16.95</v>
      </c>
      <c r="L877" s="8" t="n"/>
      <c r="M877" s="8" t="n"/>
      <c r="N877" s="7" t="inlineStr">
        <is>
          <t>PLUSFARMA</t>
        </is>
      </c>
      <c r="O877" s="8" t="n">
        <v>16.95</v>
      </c>
      <c r="P877" s="14">
        <f>O877/H877-1</f>
        <v/>
      </c>
      <c r="Q877" s="16" t="inlineStr">
        <is>
          <t>ACIMA +20.4%</t>
        </is>
      </c>
      <c r="R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8" t="n"/>
      <c r="N878" s="7" t="inlineStr">
        <is>
          <t>PLUSFARMA</t>
        </is>
      </c>
      <c r="O878" s="8" t="n">
        <v>4.75</v>
      </c>
      <c r="P878" s="14">
        <f>O878/H878-1</f>
        <v/>
      </c>
      <c r="Q878" s="17" t="inlineStr">
        <is>
          <t>OK (≤ menor hist.)</t>
        </is>
      </c>
      <c r="R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8" t="n"/>
      <c r="N879" s="7" t="inlineStr">
        <is>
          <t>DIMEC</t>
        </is>
      </c>
      <c r="O879" s="8" t="n">
        <v>17.18</v>
      </c>
      <c r="P879" s="14">
        <f>O879/H879-1</f>
        <v/>
      </c>
      <c r="Q879" s="16" t="inlineStr">
        <is>
          <t>ACIMA +11.7%</t>
        </is>
      </c>
      <c r="R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8" t="n"/>
      <c r="N880" s="7" t="inlineStr">
        <is>
          <t>DIMEC</t>
        </is>
      </c>
      <c r="O880" s="8" t="n">
        <v>17</v>
      </c>
      <c r="P880" s="14">
        <f>O880/H880-1</f>
        <v/>
      </c>
      <c r="Q880" s="16" t="inlineStr">
        <is>
          <t>ACIMA +30.3%</t>
        </is>
      </c>
      <c r="R880" s="7" t="inlineStr"/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8" t="n"/>
      <c r="N881" s="7" t="inlineStr">
        <is>
          <t>DIMEC</t>
        </is>
      </c>
      <c r="O881" s="8" t="n">
        <v>5.44</v>
      </c>
      <c r="P881" s="14">
        <f>O881/H881-1</f>
        <v/>
      </c>
      <c r="Q881" s="16" t="inlineStr">
        <is>
          <t>ACIMA +30.9%</t>
        </is>
      </c>
      <c r="R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8" t="n"/>
      <c r="N882" s="7" t="inlineStr">
        <is>
          <t>SEM COTAÇÃO</t>
        </is>
      </c>
      <c r="O882" s="8" t="n"/>
      <c r="P882" s="14" t="n"/>
      <c r="Q882" s="7" t="inlineStr"/>
      <c r="R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8" t="n"/>
      <c r="N883" s="7" t="inlineStr">
        <is>
          <t>SEM COTAÇÃO</t>
        </is>
      </c>
      <c r="O883" s="8" t="n"/>
      <c r="P883" s="14" t="n"/>
      <c r="Q883" s="7" t="inlineStr"/>
      <c r="R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8" t="n"/>
      <c r="N884" s="7" t="inlineStr">
        <is>
          <t>SEM COTAÇÃO</t>
        </is>
      </c>
      <c r="O884" s="8" t="n"/>
      <c r="P884" s="14" t="n"/>
      <c r="Q884" s="7" t="inlineStr"/>
      <c r="R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8" t="n"/>
      <c r="N885" s="7" t="inlineStr">
        <is>
          <t>EPAN</t>
        </is>
      </c>
      <c r="O885" s="8" t="n">
        <v>22.81</v>
      </c>
      <c r="P885" s="14">
        <f>O885/H885-1</f>
        <v/>
      </c>
      <c r="Q885" s="16" t="inlineStr">
        <is>
          <t>ACIMA +0.0%</t>
        </is>
      </c>
      <c r="R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8" t="n"/>
      <c r="N886" s="7" t="inlineStr">
        <is>
          <t>SEM COTAÇÃO</t>
        </is>
      </c>
      <c r="O886" s="8" t="n"/>
      <c r="P886" s="14" t="n"/>
      <c r="Q886" s="7" t="inlineStr"/>
      <c r="R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8" t="n"/>
      <c r="N887" s="7" t="inlineStr">
        <is>
          <t>SEM COTAÇÃO</t>
        </is>
      </c>
      <c r="O887" s="8" t="n"/>
      <c r="P887" s="14" t="n"/>
      <c r="Q887" s="7" t="inlineStr"/>
      <c r="R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8" t="n"/>
      <c r="N888" s="7" t="inlineStr">
        <is>
          <t>SEM COTAÇÃO</t>
        </is>
      </c>
      <c r="O888" s="8" t="n"/>
      <c r="P888" s="14" t="n"/>
      <c r="Q888" s="7" t="inlineStr"/>
      <c r="R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7" t="inlineStr">
        <is>
          <t>SEM COTAÇÃO</t>
        </is>
      </c>
      <c r="O889" s="8" t="n"/>
      <c r="P889" s="14" t="n"/>
      <c r="Q889" s="7" t="inlineStr"/>
      <c r="R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8" t="n"/>
      <c r="N890" s="7" t="inlineStr">
        <is>
          <t>SEM COTAÇÃO</t>
        </is>
      </c>
      <c r="O890" s="8" t="n"/>
      <c r="P890" s="14" t="n"/>
      <c r="Q890" s="7" t="inlineStr"/>
      <c r="R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8" t="n"/>
      <c r="N891" s="7" t="inlineStr">
        <is>
          <t>SEM COTAÇÃO</t>
        </is>
      </c>
      <c r="O891" s="8" t="n"/>
      <c r="P891" s="14" t="n"/>
      <c r="Q891" s="7" t="inlineStr"/>
      <c r="R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8" t="n"/>
      <c r="N892" s="7" t="inlineStr">
        <is>
          <t>SEM COTAÇÃO</t>
        </is>
      </c>
      <c r="O892" s="8" t="n"/>
      <c r="P892" s="14" t="n"/>
      <c r="Q892" s="7" t="inlineStr"/>
      <c r="R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8" t="n"/>
      <c r="N893" s="7" t="inlineStr">
        <is>
          <t>SEM COTAÇÃO</t>
        </is>
      </c>
      <c r="O893" s="8" t="n"/>
      <c r="P893" s="14" t="n"/>
      <c r="Q893" s="7" t="inlineStr"/>
      <c r="R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8" t="n"/>
      <c r="N894" s="7" t="inlineStr">
        <is>
          <t>SEM COTAÇÃO</t>
        </is>
      </c>
      <c r="O894" s="8" t="n"/>
      <c r="P894" s="14" t="n"/>
      <c r="Q894" s="7" t="inlineStr"/>
      <c r="R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8" t="n"/>
      <c r="N895" s="7" t="inlineStr">
        <is>
          <t>SEM COTAÇÃO</t>
        </is>
      </c>
      <c r="O895" s="8" t="n"/>
      <c r="P895" s="14" t="n"/>
      <c r="Q895" s="7" t="inlineStr"/>
      <c r="R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8" t="n"/>
      <c r="N896" s="7" t="inlineStr">
        <is>
          <t>SEM COTAÇÃO</t>
        </is>
      </c>
      <c r="O896" s="8" t="n"/>
      <c r="P896" s="14" t="n"/>
      <c r="Q896" s="7" t="inlineStr"/>
      <c r="R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8" t="n"/>
      <c r="N897" s="7" t="inlineStr">
        <is>
          <t>SEM COTAÇÃO</t>
        </is>
      </c>
      <c r="O897" s="8" t="n"/>
      <c r="P897" s="14" t="n"/>
      <c r="Q897" s="7" t="inlineStr"/>
      <c r="R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8" t="n"/>
      <c r="N898" s="7" t="inlineStr">
        <is>
          <t>SEM COTAÇÃO</t>
        </is>
      </c>
      <c r="O898" s="8" t="n"/>
      <c r="P898" s="14" t="n"/>
      <c r="Q898" s="7" t="inlineStr"/>
      <c r="R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8" t="n"/>
      <c r="N899" s="7" t="inlineStr">
        <is>
          <t>SEM COTAÇÃO</t>
        </is>
      </c>
      <c r="O899" s="8" t="n"/>
      <c r="P899" s="14" t="n"/>
      <c r="Q899" s="7" t="inlineStr"/>
      <c r="R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8" t="n"/>
      <c r="N900" s="7" t="inlineStr">
        <is>
          <t>SEM COTAÇÃO</t>
        </is>
      </c>
      <c r="O900" s="8" t="n"/>
      <c r="P900" s="14" t="n"/>
      <c r="Q900" s="7" t="inlineStr"/>
      <c r="R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8" t="n"/>
      <c r="N901" s="7" t="inlineStr">
        <is>
          <t>SEM COTAÇÃO</t>
        </is>
      </c>
      <c r="O901" s="8" t="n"/>
      <c r="P901" s="14" t="n"/>
      <c r="Q901" s="7" t="inlineStr"/>
      <c r="R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8" t="n"/>
      <c r="N902" s="7" t="inlineStr">
        <is>
          <t>SEM COTAÇÃO</t>
        </is>
      </c>
      <c r="O902" s="8" t="n"/>
      <c r="P902" s="14" t="n"/>
      <c r="Q902" s="7" t="inlineStr"/>
      <c r="R902" s="7" t="inlineStr"/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8" t="n"/>
      <c r="N903" s="7" t="inlineStr">
        <is>
          <t>SEM COTAÇÃO</t>
        </is>
      </c>
      <c r="O903" s="8" t="n"/>
      <c r="P903" s="14" t="n"/>
      <c r="Q903" s="7" t="inlineStr"/>
      <c r="R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8" t="n"/>
      <c r="N904" s="7" t="inlineStr">
        <is>
          <t>SEM COTAÇÃO</t>
        </is>
      </c>
      <c r="O904" s="8" t="n"/>
      <c r="P904" s="14" t="n"/>
      <c r="Q904" s="7" t="inlineStr"/>
      <c r="R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8" t="n"/>
      <c r="N905" s="7" t="inlineStr">
        <is>
          <t>SEM COTAÇÃO</t>
        </is>
      </c>
      <c r="O905" s="8" t="n"/>
      <c r="P905" s="14" t="n"/>
      <c r="Q905" s="7" t="inlineStr"/>
      <c r="R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8" t="n"/>
      <c r="N906" s="7" t="inlineStr">
        <is>
          <t>SEM COTAÇÃO</t>
        </is>
      </c>
      <c r="O906" s="8" t="n"/>
      <c r="P906" s="14" t="n"/>
      <c r="Q906" s="7" t="inlineStr"/>
      <c r="R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8" t="n"/>
      <c r="N907" s="7" t="inlineStr">
        <is>
          <t>SEM COTAÇÃO</t>
        </is>
      </c>
      <c r="O907" s="8" t="n"/>
      <c r="P907" s="14" t="n"/>
      <c r="Q907" s="7" t="inlineStr"/>
      <c r="R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8" t="n"/>
      <c r="N908" s="7" t="inlineStr">
        <is>
          <t>SEM COTAÇÃO</t>
        </is>
      </c>
      <c r="O908" s="8" t="n"/>
      <c r="P908" s="14" t="n"/>
      <c r="Q908" s="7" t="inlineStr"/>
      <c r="R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8" t="n"/>
      <c r="N909" s="7" t="inlineStr">
        <is>
          <t>SEM COTAÇÃO</t>
        </is>
      </c>
      <c r="O909" s="8" t="n"/>
      <c r="P909" s="14" t="n"/>
      <c r="Q909" s="7" t="inlineStr"/>
      <c r="R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8" t="n"/>
      <c r="N910" s="7" t="inlineStr">
        <is>
          <t>SEM COTAÇÃO</t>
        </is>
      </c>
      <c r="O910" s="8" t="n"/>
      <c r="P910" s="14" t="n"/>
      <c r="Q910" s="7" t="inlineStr"/>
      <c r="R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8" t="n"/>
      <c r="N911" s="7" t="inlineStr">
        <is>
          <t>SEM COTAÇÃO</t>
        </is>
      </c>
      <c r="O911" s="8" t="n"/>
      <c r="P911" s="14" t="n"/>
      <c r="Q911" s="7" t="inlineStr"/>
      <c r="R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8" t="n"/>
      <c r="N912" s="7" t="inlineStr">
        <is>
          <t>SEM COTAÇÃO</t>
        </is>
      </c>
      <c r="O912" s="8" t="n"/>
      <c r="P912" s="14" t="n"/>
      <c r="Q912" s="7" t="inlineStr"/>
      <c r="R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8" t="n"/>
      <c r="N913" s="7" t="inlineStr">
        <is>
          <t>SEM COTAÇÃO</t>
        </is>
      </c>
      <c r="O913" s="8" t="n"/>
      <c r="P913" s="14" t="n"/>
      <c r="Q913" s="7" t="inlineStr"/>
      <c r="R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8" t="n"/>
      <c r="N914" s="7" t="inlineStr">
        <is>
          <t>SEM COTAÇÃO</t>
        </is>
      </c>
      <c r="O914" s="8" t="n"/>
      <c r="P914" s="14" t="n"/>
      <c r="Q914" s="7" t="inlineStr"/>
      <c r="R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8" t="n"/>
      <c r="N915" s="7" t="inlineStr">
        <is>
          <t>SEM COTAÇÃO</t>
        </is>
      </c>
      <c r="O915" s="8" t="n"/>
      <c r="P915" s="14" t="n"/>
      <c r="Q915" s="7" t="inlineStr"/>
      <c r="R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8" t="n"/>
      <c r="N916" s="7" t="inlineStr">
        <is>
          <t>SEM COTAÇÃO</t>
        </is>
      </c>
      <c r="O916" s="8" t="n"/>
      <c r="P916" s="14" t="n"/>
      <c r="Q916" s="7" t="inlineStr"/>
      <c r="R916" s="7" t="inlineStr"/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8" t="n"/>
      <c r="N917" s="7" t="inlineStr">
        <is>
          <t>SEM COTAÇÃO</t>
        </is>
      </c>
      <c r="O917" s="8" t="n"/>
      <c r="P917" s="14" t="n"/>
      <c r="Q917" s="7" t="inlineStr"/>
      <c r="R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8" t="n"/>
      <c r="N918" s="7" t="inlineStr">
        <is>
          <t>SEM COTAÇÃO</t>
        </is>
      </c>
      <c r="O918" s="8" t="n"/>
      <c r="P918" s="14" t="n"/>
      <c r="Q918" s="7" t="inlineStr"/>
      <c r="R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8" t="n"/>
      <c r="N919" s="7" t="inlineStr">
        <is>
          <t>SEM COTAÇÃO</t>
        </is>
      </c>
      <c r="O919" s="8" t="n"/>
      <c r="P919" s="14" t="n"/>
      <c r="Q919" s="7" t="inlineStr"/>
      <c r="R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7" t="inlineStr">
        <is>
          <t>SEM COTAÇÃO</t>
        </is>
      </c>
      <c r="O920" s="8" t="n"/>
      <c r="P920" s="14" t="n"/>
      <c r="Q920" s="7" t="inlineStr"/>
      <c r="R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7" t="inlineStr">
        <is>
          <t>SEM COTAÇÃO</t>
        </is>
      </c>
      <c r="O921" s="8" t="n"/>
      <c r="P921" s="14" t="n"/>
      <c r="Q921" s="7" t="inlineStr"/>
      <c r="R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8" t="n"/>
      <c r="N922" s="7" t="inlineStr">
        <is>
          <t>SEM COTAÇÃO</t>
        </is>
      </c>
      <c r="O922" s="8" t="n"/>
      <c r="P922" s="14" t="n"/>
      <c r="Q922" s="7" t="inlineStr"/>
      <c r="R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7" t="inlineStr">
        <is>
          <t>SEM COTAÇÃO</t>
        </is>
      </c>
      <c r="O923" s="8" t="n"/>
      <c r="P923" s="14" t="n"/>
      <c r="Q923" s="7" t="inlineStr"/>
      <c r="R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8" t="n"/>
      <c r="N924" s="7" t="inlineStr">
        <is>
          <t>SEM COTAÇÃO</t>
        </is>
      </c>
      <c r="O924" s="8" t="n"/>
      <c r="P924" s="14" t="n"/>
      <c r="Q924" s="7" t="inlineStr"/>
      <c r="R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8" t="n"/>
      <c r="N925" s="7" t="inlineStr">
        <is>
          <t>SEM COTAÇÃO</t>
        </is>
      </c>
      <c r="O925" s="8" t="n"/>
      <c r="P925" s="14" t="n"/>
      <c r="Q925" s="7" t="inlineStr"/>
      <c r="R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8" t="n"/>
      <c r="N926" s="7" t="inlineStr">
        <is>
          <t>SEM COTAÇÃO</t>
        </is>
      </c>
      <c r="O926" s="8" t="n"/>
      <c r="P926" s="14" t="n"/>
      <c r="Q926" s="7" t="inlineStr"/>
      <c r="R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8" t="n">
        <v>0.67</v>
      </c>
      <c r="N927" s="7" t="inlineStr">
        <is>
          <t>DIMEC</t>
        </is>
      </c>
      <c r="O927" s="8" t="n">
        <v>0.6</v>
      </c>
      <c r="P927" s="14">
        <f>O927/H927-1</f>
        <v/>
      </c>
      <c r="Q927" s="16" t="inlineStr">
        <is>
          <t>ACIMA +11.1%</t>
        </is>
      </c>
      <c r="R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8" t="n"/>
      <c r="N928" s="7" t="inlineStr">
        <is>
          <t>SEM COTAÇÃO</t>
        </is>
      </c>
      <c r="O928" s="8" t="n"/>
      <c r="P928" s="14" t="n"/>
      <c r="Q928" s="7" t="inlineStr"/>
      <c r="R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8" t="n"/>
      <c r="N929" s="7" t="inlineStr">
        <is>
          <t>SEM COTAÇÃO</t>
        </is>
      </c>
      <c r="O929" s="8" t="n"/>
      <c r="P929" s="14" t="n"/>
      <c r="Q929" s="7" t="inlineStr"/>
      <c r="R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8" t="n"/>
      <c r="N930" s="7" t="inlineStr">
        <is>
          <t>SEM COTAÇÃO</t>
        </is>
      </c>
      <c r="O930" s="8" t="n"/>
      <c r="P930" s="14" t="n"/>
      <c r="Q930" s="7" t="inlineStr"/>
      <c r="R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8" t="n"/>
      <c r="N931" s="7" t="inlineStr">
        <is>
          <t>SEM COTAÇÃO</t>
        </is>
      </c>
      <c r="O931" s="8" t="n"/>
      <c r="P931" s="14" t="n"/>
      <c r="Q931" s="7" t="inlineStr"/>
      <c r="R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8" t="n"/>
      <c r="N932" s="7" t="inlineStr">
        <is>
          <t>SEM COTAÇÃO</t>
        </is>
      </c>
      <c r="O932" s="8" t="n"/>
      <c r="P932" s="14" t="n"/>
      <c r="Q932" s="7" t="inlineStr"/>
      <c r="R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8" t="n"/>
      <c r="N933" s="7" t="inlineStr">
        <is>
          <t>SEM COTAÇÃO</t>
        </is>
      </c>
      <c r="O933" s="8" t="n"/>
      <c r="P933" s="14" t="n"/>
      <c r="Q933" s="7" t="inlineStr"/>
      <c r="R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8" t="n"/>
      <c r="N934" s="7" t="inlineStr">
        <is>
          <t>SEM COTAÇÃO</t>
        </is>
      </c>
      <c r="O934" s="8" t="n"/>
      <c r="P934" s="14" t="n"/>
      <c r="Q934" s="7" t="inlineStr"/>
      <c r="R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8" t="n"/>
      <c r="N935" s="7" t="inlineStr">
        <is>
          <t>SEM COTAÇÃO</t>
        </is>
      </c>
      <c r="O935" s="8" t="n"/>
      <c r="P935" s="14" t="n"/>
      <c r="Q935" s="7" t="inlineStr"/>
      <c r="R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8" t="n"/>
      <c r="N936" s="7" t="inlineStr">
        <is>
          <t>SEM COTAÇÃO</t>
        </is>
      </c>
      <c r="O936" s="8" t="n"/>
      <c r="P936" s="14" t="n"/>
      <c r="Q936" s="7" t="inlineStr"/>
      <c r="R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8" t="n"/>
      <c r="N937" s="7" t="inlineStr">
        <is>
          <t>SEM COTAÇÃO</t>
        </is>
      </c>
      <c r="O937" s="8" t="n"/>
      <c r="P937" s="14" t="n"/>
      <c r="Q937" s="7" t="inlineStr"/>
      <c r="R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8" t="n"/>
      <c r="N938" s="7" t="inlineStr">
        <is>
          <t>SEM COTAÇÃO</t>
        </is>
      </c>
      <c r="O938" s="8" t="n"/>
      <c r="P938" s="14" t="n"/>
      <c r="Q938" s="7" t="inlineStr"/>
      <c r="R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8" t="n"/>
      <c r="N939" s="7" t="inlineStr">
        <is>
          <t>SEM COTAÇÃO</t>
        </is>
      </c>
      <c r="O939" s="8" t="n"/>
      <c r="P939" s="14" t="n"/>
      <c r="Q939" s="7" t="inlineStr"/>
      <c r="R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8" t="n"/>
      <c r="N940" s="7" t="inlineStr">
        <is>
          <t>SEM COTAÇÃO</t>
        </is>
      </c>
      <c r="O940" s="8" t="n"/>
      <c r="P940" s="14" t="n"/>
      <c r="Q940" s="7" t="inlineStr"/>
      <c r="R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8" t="n"/>
      <c r="N941" s="7" t="inlineStr">
        <is>
          <t>SEM COTAÇÃO</t>
        </is>
      </c>
      <c r="O941" s="8" t="n"/>
      <c r="P941" s="14" t="n"/>
      <c r="Q941" s="7" t="inlineStr"/>
      <c r="R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8" t="n"/>
      <c r="N942" s="7" t="inlineStr">
        <is>
          <t>SEM COTAÇÃO</t>
        </is>
      </c>
      <c r="O942" s="8" t="n"/>
      <c r="P942" s="14" t="n"/>
      <c r="Q942" s="7" t="inlineStr"/>
      <c r="R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8" t="n"/>
      <c r="N943" s="7" t="inlineStr">
        <is>
          <t>SEM COTAÇÃO</t>
        </is>
      </c>
      <c r="O943" s="8" t="n"/>
      <c r="P943" s="14" t="n"/>
      <c r="Q943" s="7" t="inlineStr"/>
      <c r="R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8" t="n"/>
      <c r="N944" s="7" t="inlineStr">
        <is>
          <t>SEM COTAÇÃO</t>
        </is>
      </c>
      <c r="O944" s="8" t="n"/>
      <c r="P944" s="14" t="n"/>
      <c r="Q944" s="7" t="inlineStr"/>
      <c r="R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8" t="n"/>
      <c r="N945" s="7" t="inlineStr">
        <is>
          <t>SEM COTAÇÃO</t>
        </is>
      </c>
      <c r="O945" s="8" t="n"/>
      <c r="P945" s="14" t="n"/>
      <c r="Q945" s="7" t="inlineStr"/>
      <c r="R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8" t="n"/>
      <c r="N946" s="7" t="inlineStr">
        <is>
          <t>SEM COTAÇÃO</t>
        </is>
      </c>
      <c r="O946" s="8" t="n"/>
      <c r="P946" s="14" t="n"/>
      <c r="Q946" s="7" t="inlineStr"/>
      <c r="R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8" t="n"/>
      <c r="N947" s="7" t="inlineStr">
        <is>
          <t>SEM COTAÇÃO</t>
        </is>
      </c>
      <c r="O947" s="8" t="n"/>
      <c r="P947" s="14" t="n"/>
      <c r="Q947" s="7" t="inlineStr"/>
      <c r="R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15" t="n">
        <v>6.41</v>
      </c>
      <c r="N948" s="7" t="inlineStr">
        <is>
          <t>CENTROFARMA</t>
        </is>
      </c>
      <c r="O948" s="8" t="n">
        <v>6.41</v>
      </c>
      <c r="P948" s="14">
        <f>O948/H948-1</f>
        <v/>
      </c>
      <c r="Q948" s="16" t="inlineStr">
        <is>
          <t>ACIMA +36.1%</t>
        </is>
      </c>
      <c r="R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8" t="n"/>
      <c r="N949" s="7" t="inlineStr">
        <is>
          <t>EPAN</t>
        </is>
      </c>
      <c r="O949" s="8" t="n">
        <v>35.98</v>
      </c>
      <c r="P949" s="14">
        <f>O949/H949-1</f>
        <v/>
      </c>
      <c r="Q949" s="17" t="inlineStr">
        <is>
          <t>OK (≤ últ. compra)</t>
        </is>
      </c>
      <c r="R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8" t="n"/>
      <c r="N950" s="7" t="inlineStr">
        <is>
          <t>SEM COTAÇÃO</t>
        </is>
      </c>
      <c r="O950" s="8" t="n"/>
      <c r="P950" s="14" t="n"/>
      <c r="Q950" s="7" t="inlineStr"/>
      <c r="R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8" t="n"/>
      <c r="N951" s="7" t="inlineStr">
        <is>
          <t>SEM COTAÇÃO</t>
        </is>
      </c>
      <c r="O951" s="8" t="n"/>
      <c r="P951" s="14" t="n"/>
      <c r="Q951" s="7" t="inlineStr"/>
      <c r="R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8" t="n"/>
      <c r="N952" s="7" t="inlineStr">
        <is>
          <t>SEM COTAÇÃO</t>
        </is>
      </c>
      <c r="O952" s="8" t="n"/>
      <c r="P952" s="14" t="n"/>
      <c r="Q952" s="7" t="inlineStr"/>
      <c r="R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8" t="n"/>
      <c r="N953" s="7" t="inlineStr">
        <is>
          <t>SEM COTAÇÃO</t>
        </is>
      </c>
      <c r="O953" s="8" t="n"/>
      <c r="P953" s="14" t="n"/>
      <c r="Q953" s="7" t="inlineStr"/>
      <c r="R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8" t="n"/>
      <c r="N954" s="7" t="inlineStr">
        <is>
          <t>SEM COTAÇÃO</t>
        </is>
      </c>
      <c r="O954" s="8" t="n"/>
      <c r="P954" s="14" t="n"/>
      <c r="Q954" s="7" t="inlineStr"/>
      <c r="R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8" t="n"/>
      <c r="N955" s="7" t="inlineStr">
        <is>
          <t>SEM COTAÇÃO</t>
        </is>
      </c>
      <c r="O955" s="8" t="n"/>
      <c r="P955" s="14" t="n"/>
      <c r="Q955" s="7" t="inlineStr"/>
      <c r="R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8" t="n"/>
      <c r="N956" s="7" t="inlineStr">
        <is>
          <t>SEM COTAÇÃO</t>
        </is>
      </c>
      <c r="O956" s="8" t="n"/>
      <c r="P956" s="14" t="n"/>
      <c r="Q956" s="7" t="inlineStr"/>
      <c r="R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8" t="n"/>
      <c r="N957" s="7" t="inlineStr">
        <is>
          <t>DIMEC</t>
        </is>
      </c>
      <c r="O957" s="8" t="n">
        <v>7.97</v>
      </c>
      <c r="P957" s="14">
        <f>O957/H957-1</f>
        <v/>
      </c>
      <c r="Q957" s="17" t="inlineStr">
        <is>
          <t>OK (≤ menor hist.)</t>
        </is>
      </c>
      <c r="R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8" t="n"/>
      <c r="N958" s="7" t="inlineStr">
        <is>
          <t>DIMEC</t>
        </is>
      </c>
      <c r="O958" s="8" t="n">
        <v>3.38</v>
      </c>
      <c r="P958" s="14">
        <f>O958/H958-1</f>
        <v/>
      </c>
      <c r="Q958" s="17" t="inlineStr">
        <is>
          <t>OK (≤ menor hist.)</t>
        </is>
      </c>
      <c r="R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5.82</v>
      </c>
      <c r="K959" s="8" t="n"/>
      <c r="L959" s="8" t="n"/>
      <c r="M959" s="15" t="n">
        <v>5.68</v>
      </c>
      <c r="N959" s="7" t="inlineStr">
        <is>
          <t>CENTROFARMA</t>
        </is>
      </c>
      <c r="O959" s="8" t="n">
        <v>5.68</v>
      </c>
      <c r="P959" s="14">
        <f>O959/H959-1</f>
        <v/>
      </c>
      <c r="Q959" s="17" t="inlineStr">
        <is>
          <t>OK (≤ menor hist.)</t>
        </is>
      </c>
      <c r="R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8" t="n"/>
      <c r="N960" s="7" t="inlineStr">
        <is>
          <t>DIMEC</t>
        </is>
      </c>
      <c r="O960" s="8" t="n">
        <v>5</v>
      </c>
      <c r="P960" s="14">
        <f>O960/H960-1</f>
        <v/>
      </c>
      <c r="Q960" s="17" t="inlineStr">
        <is>
          <t>OK (≤ menor hist.)</t>
        </is>
      </c>
      <c r="R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8" t="n">
        <v>5.57</v>
      </c>
      <c r="N961" s="7" t="inlineStr">
        <is>
          <t>DIMEC</t>
        </is>
      </c>
      <c r="O961" s="8" t="n">
        <v>5.24</v>
      </c>
      <c r="P961" s="14">
        <f>O961/H961-1</f>
        <v/>
      </c>
      <c r="Q961" s="17" t="inlineStr">
        <is>
          <t>OK (≤ últ. compra)</t>
        </is>
      </c>
      <c r="R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8" t="n">
        <v>4.16</v>
      </c>
      <c r="N962" s="7" t="inlineStr">
        <is>
          <t>DIMEC</t>
        </is>
      </c>
      <c r="O962" s="8" t="n">
        <v>3.9</v>
      </c>
      <c r="P962" s="14">
        <f>O962/H962-1</f>
        <v/>
      </c>
      <c r="Q962" s="17" t="inlineStr">
        <is>
          <t>OK (≤ menor hist.)</t>
        </is>
      </c>
      <c r="R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8" t="n"/>
      <c r="N963" s="7" t="inlineStr">
        <is>
          <t>SEM COTAÇÃO</t>
        </is>
      </c>
      <c r="O963" s="8" t="n"/>
      <c r="P963" s="14" t="n"/>
      <c r="Q963" s="7" t="inlineStr"/>
      <c r="R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7" t="inlineStr">
        <is>
          <t>SEM COTAÇÃO</t>
        </is>
      </c>
      <c r="O964" s="8" t="n"/>
      <c r="P964" s="14" t="n"/>
      <c r="Q964" s="7" t="inlineStr"/>
      <c r="R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8" t="n"/>
      <c r="N965" s="7" t="inlineStr">
        <is>
          <t>SEM COTAÇÃO</t>
        </is>
      </c>
      <c r="O965" s="8" t="n"/>
      <c r="P965" s="14" t="n"/>
      <c r="Q965" s="7" t="inlineStr"/>
      <c r="R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8" t="n"/>
      <c r="N966" s="7" t="inlineStr">
        <is>
          <t>SEM COTAÇÃO</t>
        </is>
      </c>
      <c r="O966" s="8" t="n"/>
      <c r="P966" s="14" t="n"/>
      <c r="Q966" s="7" t="inlineStr"/>
      <c r="R966" s="7" t="inlineStr"/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8" t="n"/>
      <c r="N967" s="7" t="inlineStr">
        <is>
          <t>DIMEC</t>
        </is>
      </c>
      <c r="O967" s="8" t="n">
        <v>0.55</v>
      </c>
      <c r="P967" s="14">
        <f>O967/H967-1</f>
        <v/>
      </c>
      <c r="Q967" s="17" t="inlineStr">
        <is>
          <t>OK (≤ últ. compra)</t>
        </is>
      </c>
      <c r="R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8" t="n"/>
      <c r="N968" s="7" t="inlineStr">
        <is>
          <t>SEM COTAÇÃO</t>
        </is>
      </c>
      <c r="O968" s="8" t="n"/>
      <c r="P968" s="14" t="n"/>
      <c r="Q968" s="7" t="inlineStr"/>
      <c r="R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8" t="n"/>
      <c r="N969" s="7" t="inlineStr">
        <is>
          <t>DIMEC</t>
        </is>
      </c>
      <c r="O969" s="8" t="n">
        <v>0.59</v>
      </c>
      <c r="P969" s="14">
        <f>O969/H969-1</f>
        <v/>
      </c>
      <c r="Q969" s="16" t="inlineStr">
        <is>
          <t>ACIMA +490.0%</t>
        </is>
      </c>
      <c r="R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8" t="n"/>
      <c r="N970" s="7" t="inlineStr">
        <is>
          <t>DIMEC</t>
        </is>
      </c>
      <c r="O970" s="8" t="n">
        <v>0.58</v>
      </c>
      <c r="P970" s="14">
        <f>O970/H970-1</f>
        <v/>
      </c>
      <c r="Q970" s="17" t="inlineStr">
        <is>
          <t>OK (≤ últ. compra)</t>
        </is>
      </c>
      <c r="R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8" t="n">
        <v>1.35</v>
      </c>
      <c r="L971" s="8" t="n"/>
      <c r="M971" s="15" t="n">
        <v>0.93</v>
      </c>
      <c r="N971" s="7" t="inlineStr">
        <is>
          <t>CENTROFARMA</t>
        </is>
      </c>
      <c r="O971" s="8" t="n">
        <v>0.93</v>
      </c>
      <c r="P971" s="14">
        <f>O971/H971-1</f>
        <v/>
      </c>
      <c r="Q971" s="17" t="inlineStr">
        <is>
          <t>OK (≤ menor hist.)</t>
        </is>
      </c>
      <c r="R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8" t="n"/>
      <c r="M972" s="8" t="n">
        <v>4.59</v>
      </c>
      <c r="N972" s="7" t="inlineStr">
        <is>
          <t>DIMEC</t>
        </is>
      </c>
      <c r="O972" s="8" t="n">
        <v>4.3</v>
      </c>
      <c r="P972" s="14">
        <f>O972/H972-1</f>
        <v/>
      </c>
      <c r="Q972" s="16" t="inlineStr">
        <is>
          <t>ACIMA +16.5%</t>
        </is>
      </c>
      <c r="R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8" t="n"/>
      <c r="N973" s="7" t="inlineStr">
        <is>
          <t>SEM COTAÇÃO</t>
        </is>
      </c>
      <c r="O973" s="8" t="n"/>
      <c r="P973" s="14" t="n"/>
      <c r="Q973" s="7" t="inlineStr"/>
      <c r="R973" s="7" t="inlineStr"/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8" t="n"/>
      <c r="N974" s="7" t="inlineStr">
        <is>
          <t>SEM COTAÇÃO</t>
        </is>
      </c>
      <c r="O974" s="8" t="n"/>
      <c r="P974" s="14" t="n"/>
      <c r="Q974" s="7" t="inlineStr"/>
      <c r="R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8" t="n"/>
      <c r="N975" s="7" t="inlineStr">
        <is>
          <t>SEM COTAÇÃO</t>
        </is>
      </c>
      <c r="O975" s="8" t="n"/>
      <c r="P975" s="14" t="n"/>
      <c r="Q975" s="7" t="inlineStr"/>
      <c r="R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8" t="n"/>
      <c r="N976" s="7" t="inlineStr">
        <is>
          <t>SEM COTAÇÃO</t>
        </is>
      </c>
      <c r="O976" s="8" t="n"/>
      <c r="P976" s="14" t="n"/>
      <c r="Q976" s="7" t="inlineStr"/>
      <c r="R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8" t="n"/>
      <c r="N977" s="7" t="inlineStr">
        <is>
          <t>SEM COTAÇÃO</t>
        </is>
      </c>
      <c r="O977" s="8" t="n"/>
      <c r="P977" s="14" t="n"/>
      <c r="Q977" s="7" t="inlineStr"/>
      <c r="R977" s="7" t="inlineStr"/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8" t="n"/>
      <c r="N978" s="7" t="inlineStr">
        <is>
          <t>SEM COTAÇÃO</t>
        </is>
      </c>
      <c r="O978" s="8" t="n"/>
      <c r="P978" s="14" t="n"/>
      <c r="Q978" s="7" t="inlineStr"/>
      <c r="R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8" t="n"/>
      <c r="N979" s="7" t="inlineStr">
        <is>
          <t>SEM COTAÇÃO</t>
        </is>
      </c>
      <c r="O979" s="8" t="n"/>
      <c r="P979" s="14" t="n"/>
      <c r="Q979" s="7" t="inlineStr"/>
      <c r="R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8" t="n"/>
      <c r="N980" s="7" t="inlineStr">
        <is>
          <t>SEM COTAÇÃO</t>
        </is>
      </c>
      <c r="O980" s="8" t="n"/>
      <c r="P980" s="14" t="n"/>
      <c r="Q980" s="7" t="inlineStr"/>
      <c r="R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8" t="n"/>
      <c r="N981" s="7" t="inlineStr">
        <is>
          <t>SEM COTAÇÃO</t>
        </is>
      </c>
      <c r="O981" s="8" t="n"/>
      <c r="P981" s="14" t="n"/>
      <c r="Q981" s="7" t="inlineStr"/>
      <c r="R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8" t="n"/>
      <c r="N982" s="7" t="inlineStr">
        <is>
          <t>SEM COTAÇÃO</t>
        </is>
      </c>
      <c r="O982" s="8" t="n"/>
      <c r="P982" s="14" t="n"/>
      <c r="Q982" s="7" t="inlineStr"/>
      <c r="R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8" t="n"/>
      <c r="N983" s="7" t="inlineStr">
        <is>
          <t>SEM COTAÇÃO</t>
        </is>
      </c>
      <c r="O983" s="8" t="n"/>
      <c r="P983" s="14" t="n"/>
      <c r="Q983" s="7" t="inlineStr"/>
      <c r="R983" s="7" t="inlineStr"/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8" t="n"/>
      <c r="N984" s="7" t="inlineStr">
        <is>
          <t>SEM COTAÇÃO</t>
        </is>
      </c>
      <c r="O984" s="8" t="n"/>
      <c r="P984" s="14" t="n"/>
      <c r="Q984" s="7" t="inlineStr"/>
      <c r="R984" s="7" t="inlineStr"/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8" t="n"/>
      <c r="N985" s="7" t="inlineStr">
        <is>
          <t>SEM COTAÇÃO</t>
        </is>
      </c>
      <c r="O985" s="8" t="n"/>
      <c r="P985" s="14" t="n"/>
      <c r="Q985" s="7" t="inlineStr"/>
      <c r="R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8" t="n"/>
      <c r="N986" s="7" t="inlineStr">
        <is>
          <t>SEM COTAÇÃO</t>
        </is>
      </c>
      <c r="O986" s="8" t="n"/>
      <c r="P986" s="14" t="n"/>
      <c r="Q986" s="7" t="inlineStr"/>
      <c r="R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8" t="n"/>
      <c r="N987" s="7" t="inlineStr">
        <is>
          <t>SEM COTAÇÃO</t>
        </is>
      </c>
      <c r="O987" s="8" t="n"/>
      <c r="P987" s="14" t="n"/>
      <c r="Q987" s="7" t="inlineStr"/>
      <c r="R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8" t="n"/>
      <c r="N988" s="7" t="inlineStr">
        <is>
          <t>SEM COTAÇÃO</t>
        </is>
      </c>
      <c r="O988" s="8" t="n"/>
      <c r="P988" s="14" t="n"/>
      <c r="Q988" s="7" t="inlineStr"/>
      <c r="R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8" t="n"/>
      <c r="N989" s="7" t="inlineStr">
        <is>
          <t>SEM COTAÇÃO</t>
        </is>
      </c>
      <c r="O989" s="8" t="n"/>
      <c r="P989" s="14" t="n"/>
      <c r="Q989" s="7" t="inlineStr"/>
      <c r="R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8" t="n"/>
      <c r="N990" s="7" t="inlineStr">
        <is>
          <t>SEM COTAÇÃO</t>
        </is>
      </c>
      <c r="O990" s="8" t="n"/>
      <c r="P990" s="14" t="n"/>
      <c r="Q990" s="7" t="inlineStr"/>
      <c r="R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8" t="n"/>
      <c r="N991" s="7" t="inlineStr">
        <is>
          <t>SEM COTAÇÃO</t>
        </is>
      </c>
      <c r="O991" s="8" t="n"/>
      <c r="P991" s="14" t="n"/>
      <c r="Q991" s="7" t="inlineStr"/>
      <c r="R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8" t="n"/>
      <c r="N992" s="7" t="inlineStr">
        <is>
          <t>SEM COTAÇÃO</t>
        </is>
      </c>
      <c r="O992" s="8" t="n"/>
      <c r="P992" s="14" t="n"/>
      <c r="Q992" s="7" t="inlineStr"/>
      <c r="R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8" t="n"/>
      <c r="N993" s="7" t="inlineStr">
        <is>
          <t>SEM COTAÇÃO</t>
        </is>
      </c>
      <c r="O993" s="8" t="n"/>
      <c r="P993" s="14" t="n"/>
      <c r="Q993" s="7" t="inlineStr"/>
      <c r="R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8" t="n"/>
      <c r="N994" s="7" t="inlineStr">
        <is>
          <t>SEM COTAÇÃO</t>
        </is>
      </c>
      <c r="O994" s="8" t="n"/>
      <c r="P994" s="14" t="n"/>
      <c r="Q994" s="7" t="inlineStr"/>
      <c r="R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8" t="n"/>
      <c r="N995" s="7" t="inlineStr">
        <is>
          <t>SEM COTAÇÃO</t>
        </is>
      </c>
      <c r="O995" s="8" t="n"/>
      <c r="P995" s="14" t="n"/>
      <c r="Q995" s="7" t="inlineStr"/>
      <c r="R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8" t="n"/>
      <c r="N996" s="7" t="inlineStr">
        <is>
          <t>SEM COTAÇÃO</t>
        </is>
      </c>
      <c r="O996" s="8" t="n"/>
      <c r="P996" s="14" t="n"/>
      <c r="Q996" s="7" t="inlineStr"/>
      <c r="R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8" t="n"/>
      <c r="N997" s="7" t="inlineStr">
        <is>
          <t>SEM COTAÇÃO</t>
        </is>
      </c>
      <c r="O997" s="8" t="n"/>
      <c r="P997" s="14" t="n"/>
      <c r="Q997" s="7" t="inlineStr"/>
      <c r="R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8" t="n"/>
      <c r="N998" s="7" t="inlineStr">
        <is>
          <t>SEM COTAÇÃO</t>
        </is>
      </c>
      <c r="O998" s="8" t="n"/>
      <c r="P998" s="14" t="n"/>
      <c r="Q998" s="7" t="inlineStr"/>
      <c r="R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8" t="n"/>
      <c r="N999" s="7" t="inlineStr">
        <is>
          <t>SEM COTAÇÃO</t>
        </is>
      </c>
      <c r="O999" s="8" t="n"/>
      <c r="P999" s="14" t="n"/>
      <c r="Q999" s="7" t="inlineStr"/>
      <c r="R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8" t="n"/>
      <c r="N1000" s="7" t="inlineStr">
        <is>
          <t>SEM COTAÇÃO</t>
        </is>
      </c>
      <c r="O1000" s="8" t="n"/>
      <c r="P1000" s="14" t="n"/>
      <c r="Q1000" s="7" t="inlineStr"/>
      <c r="R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8" t="n"/>
      <c r="N1001" s="7" t="inlineStr">
        <is>
          <t>SEM COTAÇÃO</t>
        </is>
      </c>
      <c r="O1001" s="8" t="n"/>
      <c r="P1001" s="14" t="n"/>
      <c r="Q1001" s="7" t="inlineStr"/>
      <c r="R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8" t="n"/>
      <c r="N1002" s="7" t="inlineStr">
        <is>
          <t>SEM COTAÇÃO</t>
        </is>
      </c>
      <c r="O1002" s="8" t="n"/>
      <c r="P1002" s="14" t="n"/>
      <c r="Q1002" s="7" t="inlineStr"/>
      <c r="R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8" t="n"/>
      <c r="N1003" s="7" t="inlineStr">
        <is>
          <t>SEM COTAÇÃO</t>
        </is>
      </c>
      <c r="O1003" s="8" t="n"/>
      <c r="P1003" s="14" t="n"/>
      <c r="Q1003" s="7" t="inlineStr"/>
      <c r="R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8" t="n"/>
      <c r="N1004" s="7" t="inlineStr">
        <is>
          <t>SEM COTAÇÃO</t>
        </is>
      </c>
      <c r="O1004" s="8" t="n"/>
      <c r="P1004" s="14" t="n"/>
      <c r="Q1004" s="7" t="inlineStr"/>
      <c r="R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8" t="n"/>
      <c r="N1005" s="7" t="inlineStr">
        <is>
          <t>SEM COTAÇÃO</t>
        </is>
      </c>
      <c r="O1005" s="8" t="n"/>
      <c r="P1005" s="14" t="n"/>
      <c r="Q1005" s="7" t="inlineStr"/>
      <c r="R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8" t="n"/>
      <c r="N1006" s="7" t="inlineStr">
        <is>
          <t>SEM COTAÇÃO</t>
        </is>
      </c>
      <c r="O1006" s="8" t="n"/>
      <c r="P1006" s="14" t="n"/>
      <c r="Q1006" s="7" t="inlineStr"/>
      <c r="R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8" t="n"/>
      <c r="N1007" s="7" t="inlineStr">
        <is>
          <t>SEM COTAÇÃO</t>
        </is>
      </c>
      <c r="O1007" s="8" t="n"/>
      <c r="P1007" s="14" t="n"/>
      <c r="Q1007" s="7" t="inlineStr"/>
      <c r="R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8" t="n"/>
      <c r="N1008" s="7" t="inlineStr">
        <is>
          <t>SEM COTAÇÃO</t>
        </is>
      </c>
      <c r="O1008" s="8" t="n"/>
      <c r="P1008" s="14" t="n"/>
      <c r="Q1008" s="7" t="inlineStr"/>
      <c r="R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8" t="n"/>
      <c r="N1009" s="7" t="inlineStr">
        <is>
          <t>SEM COTAÇÃO</t>
        </is>
      </c>
      <c r="O1009" s="8" t="n"/>
      <c r="P1009" s="14" t="n"/>
      <c r="Q1009" s="7" t="inlineStr"/>
      <c r="R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8" t="n"/>
      <c r="N1010" s="7" t="inlineStr">
        <is>
          <t>SEM COTAÇÃO</t>
        </is>
      </c>
      <c r="O1010" s="8" t="n"/>
      <c r="P1010" s="14" t="n"/>
      <c r="Q1010" s="7" t="inlineStr"/>
      <c r="R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8" t="n"/>
      <c r="N1011" s="7" t="inlineStr">
        <is>
          <t>SEM COTAÇÃO</t>
        </is>
      </c>
      <c r="O1011" s="8" t="n"/>
      <c r="P1011" s="14" t="n"/>
      <c r="Q1011" s="7" t="inlineStr"/>
      <c r="R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8" t="n"/>
      <c r="N1012" s="7" t="inlineStr">
        <is>
          <t>SEM COTAÇÃO</t>
        </is>
      </c>
      <c r="O1012" s="8" t="n"/>
      <c r="P1012" s="14" t="n"/>
      <c r="Q1012" s="7" t="inlineStr"/>
      <c r="R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8" t="n"/>
      <c r="N1013" s="7" t="inlineStr">
        <is>
          <t>SEM COTAÇÃO</t>
        </is>
      </c>
      <c r="O1013" s="8" t="n"/>
      <c r="P1013" s="14" t="n"/>
      <c r="Q1013" s="7" t="inlineStr"/>
      <c r="R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8" t="n"/>
      <c r="N1014" s="7" t="inlineStr">
        <is>
          <t>SEM COTAÇÃO</t>
        </is>
      </c>
      <c r="O1014" s="8" t="n"/>
      <c r="P1014" s="14" t="n"/>
      <c r="Q1014" s="7" t="inlineStr"/>
      <c r="R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8" t="n"/>
      <c r="N1015" s="7" t="inlineStr">
        <is>
          <t>SEM COTAÇÃO</t>
        </is>
      </c>
      <c r="O1015" s="8" t="n"/>
      <c r="P1015" s="14" t="n"/>
      <c r="Q1015" s="7" t="inlineStr"/>
      <c r="R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8" t="n"/>
      <c r="N1016" s="7" t="inlineStr">
        <is>
          <t>SEM COTAÇÃO</t>
        </is>
      </c>
      <c r="O1016" s="8" t="n"/>
      <c r="P1016" s="14" t="n"/>
      <c r="Q1016" s="7" t="inlineStr"/>
      <c r="R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8" t="n"/>
      <c r="N1017" s="7" t="inlineStr">
        <is>
          <t>SEM COTAÇÃO</t>
        </is>
      </c>
      <c r="O1017" s="8" t="n"/>
      <c r="P1017" s="14" t="n"/>
      <c r="Q1017" s="7" t="inlineStr"/>
      <c r="R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8" t="n"/>
      <c r="N1018" s="7" t="inlineStr">
        <is>
          <t>SEM COTAÇÃO</t>
        </is>
      </c>
      <c r="O1018" s="8" t="n"/>
      <c r="P1018" s="14" t="n"/>
      <c r="Q1018" s="7" t="inlineStr"/>
      <c r="R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8" t="n"/>
      <c r="N1019" s="7" t="inlineStr">
        <is>
          <t>SEM COTAÇÃO</t>
        </is>
      </c>
      <c r="O1019" s="8" t="n"/>
      <c r="P1019" s="14" t="n"/>
      <c r="Q1019" s="7" t="inlineStr"/>
      <c r="R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8" t="n"/>
      <c r="N1020" s="7" t="inlineStr">
        <is>
          <t>SEM COTAÇÃO</t>
        </is>
      </c>
      <c r="O1020" s="8" t="n"/>
      <c r="P1020" s="14" t="n"/>
      <c r="Q1020" s="7" t="inlineStr"/>
      <c r="R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8" t="n"/>
      <c r="N1021" s="7" t="inlineStr">
        <is>
          <t>SEM COTAÇÃO</t>
        </is>
      </c>
      <c r="O1021" s="8" t="n"/>
      <c r="P1021" s="14" t="n"/>
      <c r="Q1021" s="7" t="inlineStr"/>
      <c r="R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8" t="n"/>
      <c r="N1022" s="7" t="inlineStr">
        <is>
          <t>SEM COTAÇÃO</t>
        </is>
      </c>
      <c r="O1022" s="8" t="n"/>
      <c r="P1022" s="14" t="n"/>
      <c r="Q1022" s="7" t="inlineStr"/>
      <c r="R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8" t="n"/>
      <c r="N1023" s="7" t="inlineStr">
        <is>
          <t>SEM COTAÇÃO</t>
        </is>
      </c>
      <c r="O1023" s="8" t="n"/>
      <c r="P1023" s="14" t="n"/>
      <c r="Q1023" s="7" t="inlineStr"/>
      <c r="R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8" t="n"/>
      <c r="N1024" s="7" t="inlineStr">
        <is>
          <t>SEM COTAÇÃO</t>
        </is>
      </c>
      <c r="O1024" s="8" t="n"/>
      <c r="P1024" s="14" t="n"/>
      <c r="Q1024" s="7" t="inlineStr"/>
      <c r="R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8" t="n"/>
      <c r="N1025" s="7" t="inlineStr">
        <is>
          <t>SEM COTAÇÃO</t>
        </is>
      </c>
      <c r="O1025" s="8" t="n"/>
      <c r="P1025" s="14" t="n"/>
      <c r="Q1025" s="7" t="inlineStr"/>
      <c r="R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8" t="n"/>
      <c r="N1026" s="7" t="inlineStr">
        <is>
          <t>SEM COTAÇÃO</t>
        </is>
      </c>
      <c r="O1026" s="8" t="n"/>
      <c r="P1026" s="14" t="n"/>
      <c r="Q1026" s="7" t="inlineStr"/>
      <c r="R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15" t="n">
        <v>34.79</v>
      </c>
      <c r="M1027" s="8" t="n"/>
      <c r="N1027" s="7" t="inlineStr">
        <is>
          <t>EPAN</t>
        </is>
      </c>
      <c r="O1027" s="8" t="n">
        <v>34.79</v>
      </c>
      <c r="P1027" s="14">
        <f>O1027/H1027-1</f>
        <v/>
      </c>
      <c r="Q1027" s="17" t="inlineStr">
        <is>
          <t>OK (≤ últ. compra)</t>
        </is>
      </c>
      <c r="R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8" t="n"/>
      <c r="N1028" s="7" t="inlineStr">
        <is>
          <t>SEM COTAÇÃO</t>
        </is>
      </c>
      <c r="O1028" s="8" t="n"/>
      <c r="P1028" s="14" t="n"/>
      <c r="Q1028" s="7" t="inlineStr"/>
      <c r="R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8" t="n"/>
      <c r="N1029" s="7" t="inlineStr">
        <is>
          <t>SEM COTAÇÃO</t>
        </is>
      </c>
      <c r="O1029" s="8" t="n"/>
      <c r="P1029" s="14" t="n"/>
      <c r="Q1029" s="7" t="inlineStr"/>
      <c r="R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8" t="n"/>
      <c r="N1030" s="7" t="inlineStr">
        <is>
          <t>SEM COTAÇÃO</t>
        </is>
      </c>
      <c r="O1030" s="8" t="n"/>
      <c r="P1030" s="14" t="n"/>
      <c r="Q1030" s="7" t="inlineStr"/>
      <c r="R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8" t="n"/>
      <c r="N1031" s="7" t="inlineStr">
        <is>
          <t>SEM COTAÇÃO</t>
        </is>
      </c>
      <c r="O1031" s="8" t="n"/>
      <c r="P1031" s="14" t="n"/>
      <c r="Q1031" s="7" t="inlineStr"/>
      <c r="R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8" t="n"/>
      <c r="N1032" s="7" t="inlineStr">
        <is>
          <t>SEM COTAÇÃO</t>
        </is>
      </c>
      <c r="O1032" s="8" t="n"/>
      <c r="P1032" s="14" t="n"/>
      <c r="Q1032" s="7" t="inlineStr"/>
      <c r="R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8" t="n"/>
      <c r="N1033" s="7" t="inlineStr">
        <is>
          <t>SEM COTAÇÃO</t>
        </is>
      </c>
      <c r="O1033" s="8" t="n"/>
      <c r="P1033" s="14" t="n"/>
      <c r="Q1033" s="7" t="inlineStr"/>
      <c r="R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8" t="n"/>
      <c r="N1034" s="7" t="inlineStr">
        <is>
          <t>SEM COTAÇÃO</t>
        </is>
      </c>
      <c r="O1034" s="8" t="n"/>
      <c r="P1034" s="14" t="n"/>
      <c r="Q1034" s="7" t="inlineStr"/>
      <c r="R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8" t="n"/>
      <c r="N1035" s="7" t="inlineStr">
        <is>
          <t>SEM COTAÇÃO</t>
        </is>
      </c>
      <c r="O1035" s="8" t="n"/>
      <c r="P1035" s="14" t="n"/>
      <c r="Q1035" s="7" t="inlineStr"/>
      <c r="R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8" t="n"/>
      <c r="N1036" s="7" t="inlineStr">
        <is>
          <t>SEM COTAÇÃO</t>
        </is>
      </c>
      <c r="O1036" s="8" t="n"/>
      <c r="P1036" s="14" t="n"/>
      <c r="Q1036" s="7" t="inlineStr"/>
      <c r="R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8" t="n"/>
      <c r="N1037" s="7" t="inlineStr">
        <is>
          <t>SEM COTAÇÃO</t>
        </is>
      </c>
      <c r="O1037" s="8" t="n"/>
      <c r="P1037" s="14" t="n"/>
      <c r="Q1037" s="7" t="inlineStr"/>
      <c r="R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8" t="n"/>
      <c r="N1038" s="7" t="inlineStr">
        <is>
          <t>SEM COTAÇÃO</t>
        </is>
      </c>
      <c r="O1038" s="8" t="n"/>
      <c r="P1038" s="14" t="n"/>
      <c r="Q1038" s="7" t="inlineStr"/>
      <c r="R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8" t="n"/>
      <c r="N1039" s="7" t="inlineStr">
        <is>
          <t>SEM COTAÇÃO</t>
        </is>
      </c>
      <c r="O1039" s="8" t="n"/>
      <c r="P1039" s="14" t="n"/>
      <c r="Q1039" s="7" t="inlineStr"/>
      <c r="R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8" t="n"/>
      <c r="N1040" s="7" t="inlineStr">
        <is>
          <t>SEM COTAÇÃO</t>
        </is>
      </c>
      <c r="O1040" s="8" t="n"/>
      <c r="P1040" s="14" t="n"/>
      <c r="Q1040" s="7" t="inlineStr"/>
      <c r="R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8" t="n"/>
      <c r="N1041" s="7" t="inlineStr">
        <is>
          <t>SEM COTAÇÃO</t>
        </is>
      </c>
      <c r="O1041" s="8" t="n"/>
      <c r="P1041" s="14" t="n"/>
      <c r="Q1041" s="7" t="inlineStr"/>
      <c r="R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8" t="n"/>
      <c r="N1042" s="7" t="inlineStr">
        <is>
          <t>SEM COTAÇÃO</t>
        </is>
      </c>
      <c r="O1042" s="8" t="n"/>
      <c r="P1042" s="14" t="n"/>
      <c r="Q1042" s="7" t="inlineStr"/>
      <c r="R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8" t="n"/>
      <c r="N1043" s="7" t="inlineStr">
        <is>
          <t>SEM COTAÇÃO</t>
        </is>
      </c>
      <c r="O1043" s="8" t="n"/>
      <c r="P1043" s="14" t="n"/>
      <c r="Q1043" s="7" t="inlineStr"/>
      <c r="R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8" t="n"/>
      <c r="N1044" s="7" t="inlineStr">
        <is>
          <t>SEM COTAÇÃO</t>
        </is>
      </c>
      <c r="O1044" s="8" t="n"/>
      <c r="P1044" s="14" t="n"/>
      <c r="Q1044" s="7" t="inlineStr"/>
      <c r="R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8" t="n"/>
      <c r="N1045" s="7" t="inlineStr">
        <is>
          <t>SEM COTAÇÃO</t>
        </is>
      </c>
      <c r="O1045" s="8" t="n"/>
      <c r="P1045" s="14" t="n"/>
      <c r="Q1045" s="7" t="inlineStr"/>
      <c r="R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8" t="n"/>
      <c r="N1046" s="7" t="inlineStr">
        <is>
          <t>SEM COTAÇÃO</t>
        </is>
      </c>
      <c r="O1046" s="8" t="n"/>
      <c r="P1046" s="14" t="n"/>
      <c r="Q1046" s="7" t="inlineStr"/>
      <c r="R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8" t="n"/>
      <c r="N1047" s="7" t="inlineStr">
        <is>
          <t>SEM COTAÇÃO</t>
        </is>
      </c>
      <c r="O1047" s="8" t="n"/>
      <c r="P1047" s="14" t="n"/>
      <c r="Q1047" s="7" t="inlineStr"/>
      <c r="R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8" t="n"/>
      <c r="N1048" s="7" t="inlineStr">
        <is>
          <t>SEM COTAÇÃO</t>
        </is>
      </c>
      <c r="O1048" s="8" t="n"/>
      <c r="P1048" s="14" t="n"/>
      <c r="Q1048" s="7" t="inlineStr"/>
      <c r="R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8" t="n"/>
      <c r="N1049" s="7" t="inlineStr">
        <is>
          <t>SEM COTAÇÃO</t>
        </is>
      </c>
      <c r="O1049" s="8" t="n"/>
      <c r="P1049" s="14" t="n"/>
      <c r="Q1049" s="7" t="inlineStr"/>
      <c r="R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8" t="n"/>
      <c r="N1050" s="7" t="inlineStr">
        <is>
          <t>SEM COTAÇÃO</t>
        </is>
      </c>
      <c r="O1050" s="8" t="n"/>
      <c r="P1050" s="14" t="n"/>
      <c r="Q1050" s="7" t="inlineStr"/>
      <c r="R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8" t="n"/>
      <c r="N1051" s="7" t="inlineStr">
        <is>
          <t>SEM COTAÇÃO</t>
        </is>
      </c>
      <c r="O1051" s="8" t="n"/>
      <c r="P1051" s="14" t="n"/>
      <c r="Q1051" s="7" t="inlineStr"/>
      <c r="R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8" t="n"/>
      <c r="N1052" s="7" t="inlineStr">
        <is>
          <t>SEM COTAÇÃO</t>
        </is>
      </c>
      <c r="O1052" s="8" t="n"/>
      <c r="P1052" s="14" t="n"/>
      <c r="Q1052" s="7" t="inlineStr"/>
      <c r="R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8" t="n"/>
      <c r="N1053" s="7" t="inlineStr">
        <is>
          <t>SEM COTAÇÃO</t>
        </is>
      </c>
      <c r="O1053" s="8" t="n"/>
      <c r="P1053" s="14" t="n"/>
      <c r="Q1053" s="7" t="inlineStr"/>
      <c r="R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15" t="n">
        <v>11.66</v>
      </c>
      <c r="N1054" s="7" t="inlineStr">
        <is>
          <t>CENTROFARMA</t>
        </is>
      </c>
      <c r="O1054" s="8" t="n">
        <v>11.66</v>
      </c>
      <c r="P1054" s="14">
        <f>O1054/H1054-1</f>
        <v/>
      </c>
      <c r="Q1054" s="17" t="inlineStr">
        <is>
          <t>OK (≤ menor hist.)</t>
        </is>
      </c>
      <c r="R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8" t="n"/>
      <c r="N1055" s="7" t="inlineStr">
        <is>
          <t>SEM COTAÇÃO</t>
        </is>
      </c>
      <c r="O1055" s="8" t="n"/>
      <c r="P1055" s="14" t="n"/>
      <c r="Q1055" s="7" t="inlineStr"/>
      <c r="R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8" t="n"/>
      <c r="N1056" s="7" t="inlineStr">
        <is>
          <t>SEM COTAÇÃO</t>
        </is>
      </c>
      <c r="O1056" s="8" t="n"/>
      <c r="P1056" s="14" t="n"/>
      <c r="Q1056" s="7" t="inlineStr"/>
      <c r="R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8" t="n"/>
      <c r="N1057" s="7" t="inlineStr">
        <is>
          <t>SEM COTAÇÃO</t>
        </is>
      </c>
      <c r="O1057" s="8" t="n"/>
      <c r="P1057" s="14" t="n"/>
      <c r="Q1057" s="7" t="inlineStr"/>
      <c r="R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8" t="n"/>
      <c r="N1058" s="7" t="inlineStr">
        <is>
          <t>SEM COTAÇÃO</t>
        </is>
      </c>
      <c r="O1058" s="8" t="n"/>
      <c r="P1058" s="14" t="n"/>
      <c r="Q1058" s="7" t="inlineStr"/>
      <c r="R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8" t="n"/>
      <c r="N1059" s="7" t="inlineStr">
        <is>
          <t>SEM COTAÇÃO</t>
        </is>
      </c>
      <c r="O1059" s="8" t="n"/>
      <c r="P1059" s="14" t="n"/>
      <c r="Q1059" s="7" t="inlineStr"/>
      <c r="R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8" t="n"/>
      <c r="N1060" s="7" t="inlineStr">
        <is>
          <t>SEM COTAÇÃO</t>
        </is>
      </c>
      <c r="O1060" s="8" t="n"/>
      <c r="P1060" s="14" t="n"/>
      <c r="Q1060" s="7" t="inlineStr"/>
      <c r="R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8" t="n"/>
      <c r="N1061" s="7" t="inlineStr">
        <is>
          <t>SEM COTAÇÃO</t>
        </is>
      </c>
      <c r="O1061" s="8" t="n"/>
      <c r="P1061" s="14" t="n"/>
      <c r="Q1061" s="7" t="inlineStr"/>
      <c r="R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8" t="n"/>
      <c r="N1062" s="7" t="inlineStr">
        <is>
          <t>SEM COTAÇÃO</t>
        </is>
      </c>
      <c r="O1062" s="8" t="n"/>
      <c r="P1062" s="14" t="n"/>
      <c r="Q1062" s="7" t="inlineStr"/>
      <c r="R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8" t="n"/>
      <c r="N1063" s="7" t="inlineStr">
        <is>
          <t>SEM COTAÇÃO</t>
        </is>
      </c>
      <c r="O1063" s="8" t="n"/>
      <c r="P1063" s="14" t="n"/>
      <c r="Q1063" s="7" t="inlineStr"/>
      <c r="R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8" t="n"/>
      <c r="N1064" s="7" t="inlineStr">
        <is>
          <t>SEM COTAÇÃO</t>
        </is>
      </c>
      <c r="O1064" s="8" t="n"/>
      <c r="P1064" s="14" t="n"/>
      <c r="Q1064" s="7" t="inlineStr"/>
      <c r="R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8" t="n"/>
      <c r="N1065" s="7" t="inlineStr">
        <is>
          <t>SEM COTAÇÃO</t>
        </is>
      </c>
      <c r="O1065" s="8" t="n"/>
      <c r="P1065" s="14" t="n"/>
      <c r="Q1065" s="7" t="inlineStr"/>
      <c r="R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8" t="n"/>
      <c r="N1066" s="7" t="inlineStr">
        <is>
          <t>SEM COTAÇÃO</t>
        </is>
      </c>
      <c r="O1066" s="8" t="n"/>
      <c r="P1066" s="14" t="n"/>
      <c r="Q1066" s="7" t="inlineStr"/>
      <c r="R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8" t="n"/>
      <c r="N1067" s="7" t="inlineStr">
        <is>
          <t>SEM COTAÇÃO</t>
        </is>
      </c>
      <c r="O1067" s="8" t="n"/>
      <c r="P1067" s="14" t="n"/>
      <c r="Q1067" s="7" t="inlineStr"/>
      <c r="R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8" t="n"/>
      <c r="N1068" s="7" t="inlineStr">
        <is>
          <t>SEM COTAÇÃO</t>
        </is>
      </c>
      <c r="O1068" s="8" t="n"/>
      <c r="P1068" s="14" t="n"/>
      <c r="Q1068" s="7" t="inlineStr"/>
      <c r="R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8" t="n"/>
      <c r="N1069" s="7" t="inlineStr">
        <is>
          <t>SEM COTAÇÃO</t>
        </is>
      </c>
      <c r="O1069" s="8" t="n"/>
      <c r="P1069" s="14" t="n"/>
      <c r="Q1069" s="7" t="inlineStr"/>
      <c r="R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8" t="n"/>
      <c r="N1070" s="7" t="inlineStr">
        <is>
          <t>SEM COTAÇÃO</t>
        </is>
      </c>
      <c r="O1070" s="8" t="n"/>
      <c r="P1070" s="14" t="n"/>
      <c r="Q1070" s="7" t="inlineStr"/>
      <c r="R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8" t="n"/>
      <c r="N1071" s="7" t="inlineStr">
        <is>
          <t>SEM COTAÇÃO</t>
        </is>
      </c>
      <c r="O1071" s="8" t="n"/>
      <c r="P1071" s="14" t="n"/>
      <c r="Q1071" s="7" t="inlineStr"/>
      <c r="R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8" t="n"/>
      <c r="N1072" s="7" t="inlineStr">
        <is>
          <t>SEM COTAÇÃO</t>
        </is>
      </c>
      <c r="O1072" s="8" t="n"/>
      <c r="P1072" s="14" t="n"/>
      <c r="Q1072" s="7" t="inlineStr"/>
      <c r="R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8" t="n"/>
      <c r="N1073" s="7" t="inlineStr">
        <is>
          <t>SEM COTAÇÃO</t>
        </is>
      </c>
      <c r="O1073" s="8" t="n"/>
      <c r="P1073" s="14" t="n"/>
      <c r="Q1073" s="7" t="inlineStr"/>
      <c r="R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8" t="n"/>
      <c r="N1074" s="7" t="inlineStr">
        <is>
          <t>SEM COTAÇÃO</t>
        </is>
      </c>
      <c r="O1074" s="8" t="n"/>
      <c r="P1074" s="14" t="n"/>
      <c r="Q1074" s="7" t="inlineStr"/>
      <c r="R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8" t="n"/>
      <c r="N1075" s="7" t="inlineStr">
        <is>
          <t>SEM COTAÇÃO</t>
        </is>
      </c>
      <c r="O1075" s="8" t="n"/>
      <c r="P1075" s="14" t="n"/>
      <c r="Q1075" s="7" t="inlineStr"/>
      <c r="R1075" s="7" t="inlineStr"/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8" t="n"/>
      <c r="N1076" s="7" t="inlineStr">
        <is>
          <t>SEM COTAÇÃO</t>
        </is>
      </c>
      <c r="O1076" s="8" t="n"/>
      <c r="P1076" s="14" t="n"/>
      <c r="Q1076" s="7" t="inlineStr"/>
      <c r="R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8" t="n"/>
      <c r="N1077" s="7" t="inlineStr">
        <is>
          <t>SEM COTAÇÃO</t>
        </is>
      </c>
      <c r="O1077" s="8" t="n"/>
      <c r="P1077" s="14" t="n"/>
      <c r="Q1077" s="7" t="inlineStr"/>
      <c r="R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8" t="n"/>
      <c r="N1078" s="7" t="inlineStr">
        <is>
          <t>SEM COTAÇÃO</t>
        </is>
      </c>
      <c r="O1078" s="8" t="n"/>
      <c r="P1078" s="14" t="n"/>
      <c r="Q1078" s="7" t="inlineStr"/>
      <c r="R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8" t="n"/>
      <c r="N1079" s="7" t="inlineStr">
        <is>
          <t>SEM COTAÇÃO</t>
        </is>
      </c>
      <c r="O1079" s="8" t="n"/>
      <c r="P1079" s="14" t="n"/>
      <c r="Q1079" s="7" t="inlineStr"/>
      <c r="R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8" t="n"/>
      <c r="N1080" s="7" t="inlineStr">
        <is>
          <t>SEM COTAÇÃO</t>
        </is>
      </c>
      <c r="O1080" s="8" t="n"/>
      <c r="P1080" s="14" t="n"/>
      <c r="Q1080" s="7" t="inlineStr"/>
      <c r="R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8" t="n"/>
      <c r="N1081" s="7" t="inlineStr">
        <is>
          <t>SEM COTAÇÃO</t>
        </is>
      </c>
      <c r="O1081" s="8" t="n"/>
      <c r="P1081" s="14" t="n"/>
      <c r="Q1081" s="7" t="inlineStr"/>
      <c r="R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8" t="n"/>
      <c r="N1082" s="7" t="inlineStr">
        <is>
          <t>SEM COTAÇÃO</t>
        </is>
      </c>
      <c r="O1082" s="8" t="n"/>
      <c r="P1082" s="14" t="n"/>
      <c r="Q1082" s="7" t="inlineStr"/>
      <c r="R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8" t="n"/>
      <c r="N1083" s="7" t="inlineStr">
        <is>
          <t>SEM COTAÇÃO</t>
        </is>
      </c>
      <c r="O1083" s="8" t="n"/>
      <c r="P1083" s="14" t="n"/>
      <c r="Q1083" s="7" t="inlineStr"/>
      <c r="R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8" t="n"/>
      <c r="N1084" s="7" t="inlineStr">
        <is>
          <t>EPAN</t>
        </is>
      </c>
      <c r="O1084" s="8" t="n">
        <v>19.6</v>
      </c>
      <c r="P1084" s="14">
        <f>O1084/H1084-1</f>
        <v/>
      </c>
      <c r="Q1084" s="17" t="inlineStr">
        <is>
          <t>OK (≤ menor hist.)</t>
        </is>
      </c>
      <c r="R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8" t="n"/>
      <c r="N1085" s="7" t="inlineStr">
        <is>
          <t>EPAN</t>
        </is>
      </c>
      <c r="O1085" s="8" t="n">
        <v>20.91</v>
      </c>
      <c r="P1085" s="14">
        <f>O1085/H1085-1</f>
        <v/>
      </c>
      <c r="Q1085" s="17" t="inlineStr">
        <is>
          <t>OK (≤ menor hist.)</t>
        </is>
      </c>
      <c r="R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8" t="n"/>
      <c r="N1086" s="7" t="inlineStr">
        <is>
          <t>SEM COTAÇÃO</t>
        </is>
      </c>
      <c r="O1086" s="8" t="n"/>
      <c r="P1086" s="14" t="n"/>
      <c r="Q1086" s="7" t="inlineStr"/>
      <c r="R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8" t="n"/>
      <c r="N1087" s="7" t="inlineStr">
        <is>
          <t>SEM COTAÇÃO</t>
        </is>
      </c>
      <c r="O1087" s="8" t="n"/>
      <c r="P1087" s="14" t="n"/>
      <c r="Q1087" s="7" t="inlineStr"/>
      <c r="R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8" t="n"/>
      <c r="N1088" s="7" t="inlineStr">
        <is>
          <t>SEM COTAÇÃO</t>
        </is>
      </c>
      <c r="O1088" s="8" t="n"/>
      <c r="P1088" s="14" t="n"/>
      <c r="Q1088" s="7" t="inlineStr"/>
      <c r="R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8" t="n"/>
      <c r="N1089" s="7" t="inlineStr">
        <is>
          <t>EPAN</t>
        </is>
      </c>
      <c r="O1089" s="8" t="n">
        <v>10.98</v>
      </c>
      <c r="P1089" s="14">
        <f>O1089/H1089-1</f>
        <v/>
      </c>
      <c r="Q1089" s="17" t="inlineStr">
        <is>
          <t>OK (≤ menor hist.)</t>
        </is>
      </c>
      <c r="R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8" t="n"/>
      <c r="N1090" s="7" t="inlineStr">
        <is>
          <t>EPAN</t>
        </is>
      </c>
      <c r="O1090" s="8" t="n">
        <v>10.98</v>
      </c>
      <c r="P1090" s="14">
        <f>O1090/H1090-1</f>
        <v/>
      </c>
      <c r="Q1090" s="17" t="inlineStr">
        <is>
          <t>OK (≤ últ. compra)</t>
        </is>
      </c>
      <c r="R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8" t="n"/>
      <c r="N1091" s="7" t="inlineStr">
        <is>
          <t>SEM COTAÇÃO</t>
        </is>
      </c>
      <c r="O1091" s="8" t="n"/>
      <c r="P1091" s="14" t="n"/>
      <c r="Q1091" s="7" t="inlineStr"/>
      <c r="R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8" t="n"/>
      <c r="N1092" s="7" t="inlineStr">
        <is>
          <t>EPAN</t>
        </is>
      </c>
      <c r="O1092" s="8" t="n">
        <v>24.32</v>
      </c>
      <c r="P1092" s="14">
        <f>O1092/H1092-1</f>
        <v/>
      </c>
      <c r="Q1092" s="17" t="inlineStr">
        <is>
          <t>OK (≤ menor hist.)</t>
        </is>
      </c>
      <c r="R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8" t="n"/>
      <c r="N1093" s="7" t="inlineStr">
        <is>
          <t>SEM COTAÇÃO</t>
        </is>
      </c>
      <c r="O1093" s="8" t="n"/>
      <c r="P1093" s="14" t="n"/>
      <c r="Q1093" s="7" t="inlineStr"/>
      <c r="R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8" t="n"/>
      <c r="N1094" s="7" t="inlineStr">
        <is>
          <t>SEM COTAÇÃO</t>
        </is>
      </c>
      <c r="O1094" s="8" t="n"/>
      <c r="P1094" s="14" t="n"/>
      <c r="Q1094" s="7" t="inlineStr"/>
      <c r="R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8" t="n"/>
      <c r="N1095" s="7" t="inlineStr">
        <is>
          <t>SEM COTAÇÃO</t>
        </is>
      </c>
      <c r="O1095" s="8" t="n"/>
      <c r="P1095" s="14" t="n"/>
      <c r="Q1095" s="7" t="inlineStr"/>
      <c r="R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8" t="n"/>
      <c r="N1096" s="7" t="inlineStr">
        <is>
          <t>SEM COTAÇÃO</t>
        </is>
      </c>
      <c r="O1096" s="8" t="n"/>
      <c r="P1096" s="14" t="n"/>
      <c r="Q1096" s="7" t="inlineStr"/>
      <c r="R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8" t="n"/>
      <c r="N1097" s="7" t="inlineStr">
        <is>
          <t>SEM COTAÇÃO</t>
        </is>
      </c>
      <c r="O1097" s="8" t="n"/>
      <c r="P1097" s="14" t="n"/>
      <c r="Q1097" s="7" t="inlineStr"/>
      <c r="R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8" t="n"/>
      <c r="N1098" s="7" t="inlineStr">
        <is>
          <t>SEM COTAÇÃO</t>
        </is>
      </c>
      <c r="O1098" s="8" t="n"/>
      <c r="P1098" s="14" t="n"/>
      <c r="Q1098" s="7" t="inlineStr"/>
      <c r="R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8" t="n"/>
      <c r="N1099" s="7" t="inlineStr">
        <is>
          <t>SEM COTAÇÃO</t>
        </is>
      </c>
      <c r="O1099" s="8" t="n"/>
      <c r="P1099" s="14" t="n"/>
      <c r="Q1099" s="7" t="inlineStr"/>
      <c r="R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8" t="n"/>
      <c r="N1100" s="7" t="inlineStr">
        <is>
          <t>SEM COTAÇÃO</t>
        </is>
      </c>
      <c r="O1100" s="8" t="n"/>
      <c r="P1100" s="14" t="n"/>
      <c r="Q1100" s="7" t="inlineStr"/>
      <c r="R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8" t="n"/>
      <c r="N1101" s="7" t="inlineStr">
        <is>
          <t>SEM COTAÇÃO</t>
        </is>
      </c>
      <c r="O1101" s="8" t="n"/>
      <c r="P1101" s="14" t="n"/>
      <c r="Q1101" s="7" t="inlineStr"/>
      <c r="R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8" t="n"/>
      <c r="N1102" s="7" t="inlineStr">
        <is>
          <t>SEM COTAÇÃO</t>
        </is>
      </c>
      <c r="O1102" s="8" t="n"/>
      <c r="P1102" s="14" t="n"/>
      <c r="Q1102" s="7" t="inlineStr"/>
      <c r="R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8" t="n"/>
      <c r="N1103" s="7" t="inlineStr">
        <is>
          <t>SEM COTAÇÃO</t>
        </is>
      </c>
      <c r="O1103" s="8" t="n"/>
      <c r="P1103" s="14" t="n"/>
      <c r="Q1103" s="7" t="inlineStr"/>
      <c r="R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8" t="n"/>
      <c r="N1104" s="7" t="inlineStr">
        <is>
          <t>SEM COTAÇÃO</t>
        </is>
      </c>
      <c r="O1104" s="8" t="n"/>
      <c r="P1104" s="14" t="n"/>
      <c r="Q1104" s="7" t="inlineStr"/>
      <c r="R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8" t="n"/>
      <c r="N1105" s="7" t="inlineStr">
        <is>
          <t>SEM COTAÇÃO</t>
        </is>
      </c>
      <c r="O1105" s="8" t="n"/>
      <c r="P1105" s="14" t="n"/>
      <c r="Q1105" s="7" t="inlineStr"/>
      <c r="R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8" t="n"/>
      <c r="N1106" s="7" t="inlineStr">
        <is>
          <t>SEM COTAÇÃO</t>
        </is>
      </c>
      <c r="O1106" s="8" t="n"/>
      <c r="P1106" s="14" t="n"/>
      <c r="Q1106" s="7" t="inlineStr"/>
      <c r="R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8" t="n"/>
      <c r="N1107" s="7" t="inlineStr">
        <is>
          <t>SEM COTAÇÃO</t>
        </is>
      </c>
      <c r="O1107" s="8" t="n"/>
      <c r="P1107" s="14" t="n"/>
      <c r="Q1107" s="7" t="inlineStr"/>
      <c r="R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8" t="n"/>
      <c r="N1108" s="7" t="inlineStr">
        <is>
          <t>SEM COTAÇÃO</t>
        </is>
      </c>
      <c r="O1108" s="8" t="n"/>
      <c r="P1108" s="14" t="n"/>
      <c r="Q1108" s="7" t="inlineStr"/>
      <c r="R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8" t="n"/>
      <c r="N1109" s="7" t="inlineStr">
        <is>
          <t>SEM COTAÇÃO</t>
        </is>
      </c>
      <c r="O1109" s="8" t="n"/>
      <c r="P1109" s="14" t="n"/>
      <c r="Q1109" s="7" t="inlineStr"/>
      <c r="R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8" t="n"/>
      <c r="N1110" s="7" t="inlineStr">
        <is>
          <t>SEM COTAÇÃO</t>
        </is>
      </c>
      <c r="O1110" s="8" t="n"/>
      <c r="P1110" s="14" t="n"/>
      <c r="Q1110" s="7" t="inlineStr"/>
      <c r="R1110" s="7" t="inlineStr"/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8" t="n"/>
      <c r="N1111" s="7" t="inlineStr">
        <is>
          <t>SEM COTAÇÃO</t>
        </is>
      </c>
      <c r="O1111" s="8" t="n"/>
      <c r="P1111" s="14" t="n"/>
      <c r="Q1111" s="7" t="inlineStr"/>
      <c r="R1111" s="7" t="inlineStr"/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8" t="n"/>
      <c r="N1112" s="7" t="inlineStr">
        <is>
          <t>SEM COTAÇÃO</t>
        </is>
      </c>
      <c r="O1112" s="8" t="n"/>
      <c r="P1112" s="14" t="n"/>
      <c r="Q1112" s="7" t="inlineStr"/>
      <c r="R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8" t="n"/>
      <c r="N1113" s="7" t="inlineStr">
        <is>
          <t>SEM COTAÇÃO</t>
        </is>
      </c>
      <c r="O1113" s="8" t="n"/>
      <c r="P1113" s="14" t="n"/>
      <c r="Q1113" s="7" t="inlineStr"/>
      <c r="R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8" t="n"/>
      <c r="N1114" s="7" t="inlineStr">
        <is>
          <t>SEM COTAÇÃO</t>
        </is>
      </c>
      <c r="O1114" s="8" t="n"/>
      <c r="P1114" s="14" t="n"/>
      <c r="Q1114" s="7" t="inlineStr"/>
      <c r="R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8" t="n"/>
      <c r="N1115" s="7" t="inlineStr">
        <is>
          <t>SEM COTAÇÃO</t>
        </is>
      </c>
      <c r="O1115" s="8" t="n"/>
      <c r="P1115" s="14" t="n"/>
      <c r="Q1115" s="7" t="inlineStr"/>
      <c r="R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8" t="n"/>
      <c r="N1116" s="7" t="inlineStr">
        <is>
          <t>SEM COTAÇÃO</t>
        </is>
      </c>
      <c r="O1116" s="8" t="n"/>
      <c r="P1116" s="14" t="n"/>
      <c r="Q1116" s="7" t="inlineStr"/>
      <c r="R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8" t="n"/>
      <c r="N1117" s="7" t="inlineStr">
        <is>
          <t>SEM COTAÇÃO</t>
        </is>
      </c>
      <c r="O1117" s="8" t="n"/>
      <c r="P1117" s="14" t="n"/>
      <c r="Q1117" s="7" t="inlineStr"/>
      <c r="R1117" s="7" t="inlineStr"/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7" t="inlineStr">
        <is>
          <t>SEM COTAÇÃO</t>
        </is>
      </c>
      <c r="O1118" s="8" t="n"/>
      <c r="P1118" s="14" t="n"/>
      <c r="Q1118" s="7" t="inlineStr"/>
      <c r="R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8" t="n"/>
      <c r="N1119" s="7" t="inlineStr">
        <is>
          <t>SEM COTAÇÃO</t>
        </is>
      </c>
      <c r="O1119" s="8" t="n"/>
      <c r="P1119" s="14" t="n"/>
      <c r="Q1119" s="7" t="inlineStr"/>
      <c r="R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8" t="n"/>
      <c r="N1120" s="7" t="inlineStr">
        <is>
          <t>SEM COTAÇÃO</t>
        </is>
      </c>
      <c r="O1120" s="8" t="n"/>
      <c r="P1120" s="14" t="n"/>
      <c r="Q1120" s="7" t="inlineStr"/>
      <c r="R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8" t="n"/>
      <c r="N1121" s="7" t="inlineStr">
        <is>
          <t>SEM COTAÇÃO</t>
        </is>
      </c>
      <c r="O1121" s="8" t="n"/>
      <c r="P1121" s="14" t="n"/>
      <c r="Q1121" s="7" t="inlineStr"/>
      <c r="R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8" t="n"/>
      <c r="N1122" s="7" t="inlineStr">
        <is>
          <t>SEM COTAÇÃO</t>
        </is>
      </c>
      <c r="O1122" s="8" t="n"/>
      <c r="P1122" s="14" t="n"/>
      <c r="Q1122" s="7" t="inlineStr"/>
      <c r="R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8" t="n"/>
      <c r="N1123" s="7" t="inlineStr">
        <is>
          <t>SEM COTAÇÃO</t>
        </is>
      </c>
      <c r="O1123" s="8" t="n"/>
      <c r="P1123" s="14" t="n"/>
      <c r="Q1123" s="7" t="inlineStr"/>
      <c r="R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8" t="n"/>
      <c r="N1124" s="7" t="inlineStr">
        <is>
          <t>SEM COTAÇÃO</t>
        </is>
      </c>
      <c r="O1124" s="8" t="n"/>
      <c r="P1124" s="14" t="n"/>
      <c r="Q1124" s="7" t="inlineStr"/>
      <c r="R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8" t="n"/>
      <c r="N1125" s="7" t="inlineStr">
        <is>
          <t>SEM COTAÇÃO</t>
        </is>
      </c>
      <c r="O1125" s="8" t="n"/>
      <c r="P1125" s="14" t="n"/>
      <c r="Q1125" s="7" t="inlineStr"/>
      <c r="R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8" t="n"/>
      <c r="N1126" s="7" t="inlineStr">
        <is>
          <t>SEM COTAÇÃO</t>
        </is>
      </c>
      <c r="O1126" s="8" t="n"/>
      <c r="P1126" s="14" t="n"/>
      <c r="Q1126" s="7" t="inlineStr"/>
      <c r="R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8" t="n"/>
      <c r="N1127" s="7" t="inlineStr">
        <is>
          <t>SEM COTAÇÃO</t>
        </is>
      </c>
      <c r="O1127" s="8" t="n"/>
      <c r="P1127" s="14" t="n"/>
      <c r="Q1127" s="7" t="inlineStr"/>
      <c r="R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8" t="n"/>
      <c r="N1128" s="7" t="inlineStr">
        <is>
          <t>SEM COTAÇÃO</t>
        </is>
      </c>
      <c r="O1128" s="8" t="n"/>
      <c r="P1128" s="14" t="n"/>
      <c r="Q1128" s="7" t="inlineStr"/>
      <c r="R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8" t="n"/>
      <c r="N1129" s="7" t="inlineStr">
        <is>
          <t>SEM COTAÇÃO</t>
        </is>
      </c>
      <c r="O1129" s="8" t="n"/>
      <c r="P1129" s="14" t="n"/>
      <c r="Q1129" s="7" t="inlineStr"/>
      <c r="R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8" t="n"/>
      <c r="N1130" s="7" t="inlineStr">
        <is>
          <t>SEM COTAÇÃO</t>
        </is>
      </c>
      <c r="O1130" s="8" t="n"/>
      <c r="P1130" s="14" t="n"/>
      <c r="Q1130" s="7" t="inlineStr"/>
      <c r="R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8" t="n"/>
      <c r="N1131" s="7" t="inlineStr">
        <is>
          <t>SEM COTAÇÃO</t>
        </is>
      </c>
      <c r="O1131" s="8" t="n"/>
      <c r="P1131" s="14" t="n"/>
      <c r="Q1131" s="7" t="inlineStr"/>
      <c r="R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8" t="n"/>
      <c r="N1132" s="7" t="inlineStr">
        <is>
          <t>SEM COTAÇÃO</t>
        </is>
      </c>
      <c r="O1132" s="8" t="n"/>
      <c r="P1132" s="14" t="n"/>
      <c r="Q1132" s="7" t="inlineStr"/>
      <c r="R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8" t="n"/>
      <c r="N1133" s="7" t="inlineStr">
        <is>
          <t>SEM COTAÇÃO</t>
        </is>
      </c>
      <c r="O1133" s="8" t="n"/>
      <c r="P1133" s="14" t="n"/>
      <c r="Q1133" s="7" t="inlineStr"/>
      <c r="R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8" t="n"/>
      <c r="N1134" s="7" t="inlineStr">
        <is>
          <t>SEM COTAÇÃO</t>
        </is>
      </c>
      <c r="O1134" s="8" t="n"/>
      <c r="P1134" s="14" t="n"/>
      <c r="Q1134" s="7" t="inlineStr"/>
      <c r="R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8" t="n"/>
      <c r="N1135" s="7" t="inlineStr">
        <is>
          <t>SEM COTAÇÃO</t>
        </is>
      </c>
      <c r="O1135" s="8" t="n"/>
      <c r="P1135" s="14" t="n"/>
      <c r="Q1135" s="7" t="inlineStr"/>
      <c r="R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8" t="n"/>
      <c r="N1136" s="7" t="inlineStr">
        <is>
          <t>SEM COTAÇÃO</t>
        </is>
      </c>
      <c r="O1136" s="8" t="n"/>
      <c r="P1136" s="14" t="n"/>
      <c r="Q1136" s="7" t="inlineStr"/>
      <c r="R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8" t="n"/>
      <c r="N1137" s="7" t="inlineStr">
        <is>
          <t>SEM COTAÇÃO</t>
        </is>
      </c>
      <c r="O1137" s="8" t="n"/>
      <c r="P1137" s="14" t="n"/>
      <c r="Q1137" s="7" t="inlineStr"/>
      <c r="R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8" t="n"/>
      <c r="N1138" s="7" t="inlineStr">
        <is>
          <t>SEM COTAÇÃO</t>
        </is>
      </c>
      <c r="O1138" s="8" t="n"/>
      <c r="P1138" s="14" t="n"/>
      <c r="Q1138" s="7" t="inlineStr"/>
      <c r="R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8" t="n"/>
      <c r="N1139" s="7" t="inlineStr">
        <is>
          <t>SEM COTAÇÃO</t>
        </is>
      </c>
      <c r="O1139" s="8" t="n"/>
      <c r="P1139" s="14" t="n"/>
      <c r="Q1139" s="7" t="inlineStr"/>
      <c r="R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8" t="n"/>
      <c r="N1140" s="7" t="inlineStr">
        <is>
          <t>SEM COTAÇÃO</t>
        </is>
      </c>
      <c r="O1140" s="8" t="n"/>
      <c r="P1140" s="14" t="n"/>
      <c r="Q1140" s="7" t="inlineStr"/>
      <c r="R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8" t="n"/>
      <c r="N1141" s="7" t="inlineStr">
        <is>
          <t>SEM COTAÇÃO</t>
        </is>
      </c>
      <c r="O1141" s="8" t="n"/>
      <c r="P1141" s="14" t="n"/>
      <c r="Q1141" s="7" t="inlineStr"/>
      <c r="R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8" t="n"/>
      <c r="N1142" s="7" t="inlineStr">
        <is>
          <t>SEM COTAÇÃO</t>
        </is>
      </c>
      <c r="O1142" s="8" t="n"/>
      <c r="P1142" s="14" t="n"/>
      <c r="Q1142" s="7" t="inlineStr"/>
      <c r="R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8" t="n"/>
      <c r="N1143" s="7" t="inlineStr">
        <is>
          <t>SEM COTAÇÃO</t>
        </is>
      </c>
      <c r="O1143" s="8" t="n"/>
      <c r="P1143" s="14" t="n"/>
      <c r="Q1143" s="7" t="inlineStr"/>
      <c r="R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8" t="n"/>
      <c r="N1144" s="7" t="inlineStr">
        <is>
          <t>SEM COTAÇÃO</t>
        </is>
      </c>
      <c r="O1144" s="8" t="n"/>
      <c r="P1144" s="14" t="n"/>
      <c r="Q1144" s="7" t="inlineStr"/>
      <c r="R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8" t="n"/>
      <c r="N1145" s="7" t="inlineStr">
        <is>
          <t>SEM COTAÇÃO</t>
        </is>
      </c>
      <c r="O1145" s="8" t="n"/>
      <c r="P1145" s="14" t="n"/>
      <c r="Q1145" s="7" t="inlineStr"/>
      <c r="R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8" t="n"/>
      <c r="N1146" s="7" t="inlineStr">
        <is>
          <t>SEM COTAÇÃO</t>
        </is>
      </c>
      <c r="O1146" s="8" t="n"/>
      <c r="P1146" s="14" t="n"/>
      <c r="Q1146" s="7" t="inlineStr"/>
      <c r="R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8" t="n"/>
      <c r="N1147" s="7" t="inlineStr">
        <is>
          <t>SEM COTAÇÃO</t>
        </is>
      </c>
      <c r="O1147" s="8" t="n"/>
      <c r="P1147" s="14" t="n"/>
      <c r="Q1147" s="7" t="inlineStr"/>
      <c r="R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8" t="n"/>
      <c r="N1148" s="7" t="inlineStr">
        <is>
          <t>SEM COTAÇÃO</t>
        </is>
      </c>
      <c r="O1148" s="8" t="n"/>
      <c r="P1148" s="14" t="n"/>
      <c r="Q1148" s="7" t="inlineStr"/>
      <c r="R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8" t="n"/>
      <c r="N1149" s="7" t="inlineStr">
        <is>
          <t>SEM COTAÇÃO</t>
        </is>
      </c>
      <c r="O1149" s="8" t="n"/>
      <c r="P1149" s="14" t="n"/>
      <c r="Q1149" s="7" t="inlineStr"/>
      <c r="R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8" t="n"/>
      <c r="N1150" s="7" t="inlineStr">
        <is>
          <t>SEM COTAÇÃO</t>
        </is>
      </c>
      <c r="O1150" s="8" t="n"/>
      <c r="P1150" s="14" t="n"/>
      <c r="Q1150" s="7" t="inlineStr"/>
      <c r="R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8" t="n"/>
      <c r="N1151" s="7" t="inlineStr">
        <is>
          <t>SEM COTAÇÃO</t>
        </is>
      </c>
      <c r="O1151" s="8" t="n"/>
      <c r="P1151" s="14" t="n"/>
      <c r="Q1151" s="7" t="inlineStr"/>
      <c r="R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8" t="n"/>
      <c r="N1152" s="7" t="inlineStr">
        <is>
          <t>SEM COTAÇÃO</t>
        </is>
      </c>
      <c r="O1152" s="8" t="n"/>
      <c r="P1152" s="14" t="n"/>
      <c r="Q1152" s="7" t="inlineStr"/>
      <c r="R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8" t="n"/>
      <c r="N1153" s="7" t="inlineStr">
        <is>
          <t>SEM COTAÇÃO</t>
        </is>
      </c>
      <c r="O1153" s="8" t="n"/>
      <c r="P1153" s="14" t="n"/>
      <c r="Q1153" s="7" t="inlineStr"/>
      <c r="R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8" t="n"/>
      <c r="N1154" s="7" t="inlineStr">
        <is>
          <t>SEM COTAÇÃO</t>
        </is>
      </c>
      <c r="O1154" s="8" t="n"/>
      <c r="P1154" s="14" t="n"/>
      <c r="Q1154" s="7" t="inlineStr"/>
      <c r="R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8" t="n"/>
      <c r="N1155" s="7" t="inlineStr">
        <is>
          <t>SEM COTAÇÃO</t>
        </is>
      </c>
      <c r="O1155" s="8" t="n"/>
      <c r="P1155" s="14" t="n"/>
      <c r="Q1155" s="7" t="inlineStr"/>
      <c r="R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8" t="n"/>
      <c r="N1156" s="7" t="inlineStr">
        <is>
          <t>SEM COTAÇÃO</t>
        </is>
      </c>
      <c r="O1156" s="8" t="n"/>
      <c r="P1156" s="14" t="n"/>
      <c r="Q1156" s="7" t="inlineStr"/>
      <c r="R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15" t="n">
        <v>28.79</v>
      </c>
      <c r="N1157" s="7" t="inlineStr">
        <is>
          <t>CENTROFARMA</t>
        </is>
      </c>
      <c r="O1157" s="8" t="n">
        <v>28.79</v>
      </c>
      <c r="P1157" s="14">
        <f>O1157/H1157-1</f>
        <v/>
      </c>
      <c r="Q1157" s="16" t="inlineStr">
        <is>
          <t>ACIMA +5.3%</t>
        </is>
      </c>
      <c r="R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8" t="n"/>
      <c r="N1158" s="7" t="inlineStr">
        <is>
          <t>SEM COTAÇÃO</t>
        </is>
      </c>
      <c r="O1158" s="8" t="n"/>
      <c r="P1158" s="14" t="n"/>
      <c r="Q1158" s="7" t="inlineStr"/>
      <c r="R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8" t="n"/>
      <c r="N1159" s="7" t="inlineStr">
        <is>
          <t>SEM COTAÇÃO</t>
        </is>
      </c>
      <c r="O1159" s="8" t="n"/>
      <c r="P1159" s="14" t="n"/>
      <c r="Q1159" s="7" t="inlineStr"/>
      <c r="R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8" t="n"/>
      <c r="N1160" s="7" t="inlineStr">
        <is>
          <t>SEM COTAÇÃO</t>
        </is>
      </c>
      <c r="O1160" s="8" t="n"/>
      <c r="P1160" s="14" t="n"/>
      <c r="Q1160" s="7" t="inlineStr"/>
      <c r="R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8" t="n"/>
      <c r="N1161" s="7" t="inlineStr">
        <is>
          <t>SEM COTAÇÃO</t>
        </is>
      </c>
      <c r="O1161" s="8" t="n"/>
      <c r="P1161" s="14" t="n"/>
      <c r="Q1161" s="7" t="inlineStr"/>
      <c r="R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8" t="n"/>
      <c r="N1162" s="7" t="inlineStr">
        <is>
          <t>SEM COTAÇÃO</t>
        </is>
      </c>
      <c r="O1162" s="8" t="n"/>
      <c r="P1162" s="14" t="n"/>
      <c r="Q1162" s="7" t="inlineStr"/>
      <c r="R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8" t="n"/>
      <c r="N1163" s="7" t="inlineStr">
        <is>
          <t>SEM COTAÇÃO</t>
        </is>
      </c>
      <c r="O1163" s="8" t="n"/>
      <c r="P1163" s="14" t="n"/>
      <c r="Q1163" s="7" t="inlineStr"/>
      <c r="R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8" t="n"/>
      <c r="N1164" s="7" t="inlineStr">
        <is>
          <t>SEM COTAÇÃO</t>
        </is>
      </c>
      <c r="O1164" s="8" t="n"/>
      <c r="P1164" s="14" t="n"/>
      <c r="Q1164" s="7" t="inlineStr"/>
      <c r="R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8" t="n"/>
      <c r="N1165" s="7" t="inlineStr">
        <is>
          <t>SEM COTAÇÃO</t>
        </is>
      </c>
      <c r="O1165" s="8" t="n"/>
      <c r="P1165" s="14" t="n"/>
      <c r="Q1165" s="7" t="inlineStr"/>
      <c r="R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8" t="n"/>
      <c r="N1166" s="7" t="inlineStr">
        <is>
          <t>SEM COTAÇÃO</t>
        </is>
      </c>
      <c r="O1166" s="8" t="n"/>
      <c r="P1166" s="14" t="n"/>
      <c r="Q1166" s="7" t="inlineStr"/>
      <c r="R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8" t="n"/>
      <c r="N1167" s="7" t="inlineStr">
        <is>
          <t>SEM COTAÇÃO</t>
        </is>
      </c>
      <c r="O1167" s="8" t="n"/>
      <c r="P1167" s="14" t="n"/>
      <c r="Q1167" s="7" t="inlineStr"/>
      <c r="R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8" t="n"/>
      <c r="N1168" s="7" t="inlineStr">
        <is>
          <t>SEM COTAÇÃO</t>
        </is>
      </c>
      <c r="O1168" s="8" t="n"/>
      <c r="P1168" s="14" t="n"/>
      <c r="Q1168" s="7" t="inlineStr"/>
      <c r="R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8" t="n"/>
      <c r="N1169" s="7" t="inlineStr">
        <is>
          <t>SEM COTAÇÃO</t>
        </is>
      </c>
      <c r="O1169" s="8" t="n"/>
      <c r="P1169" s="14" t="n"/>
      <c r="Q1169" s="7" t="inlineStr"/>
      <c r="R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8" t="n"/>
      <c r="N1170" s="7" t="inlineStr">
        <is>
          <t>SEM COTAÇÃO</t>
        </is>
      </c>
      <c r="O1170" s="8" t="n"/>
      <c r="P1170" s="14" t="n"/>
      <c r="Q1170" s="7" t="inlineStr"/>
      <c r="R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8" t="n"/>
      <c r="N1171" s="7" t="inlineStr">
        <is>
          <t>SEM COTAÇÃO</t>
        </is>
      </c>
      <c r="O1171" s="8" t="n"/>
      <c r="P1171" s="14" t="n"/>
      <c r="Q1171" s="7" t="inlineStr"/>
      <c r="R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7" t="inlineStr">
        <is>
          <t>SEM COTAÇÃO</t>
        </is>
      </c>
      <c r="O1172" s="8" t="n"/>
      <c r="P1172" s="14" t="n"/>
      <c r="Q1172" s="7" t="inlineStr"/>
      <c r="R1172" s="7" t="inlineStr"/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8" t="n"/>
      <c r="N1173" s="7" t="inlineStr">
        <is>
          <t>SEM COTAÇÃO</t>
        </is>
      </c>
      <c r="O1173" s="8" t="n"/>
      <c r="P1173" s="14" t="n"/>
      <c r="Q1173" s="7" t="inlineStr"/>
      <c r="R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8" t="n"/>
      <c r="N1174" s="7" t="inlineStr">
        <is>
          <t>SEM COTAÇÃO</t>
        </is>
      </c>
      <c r="O1174" s="8" t="n"/>
      <c r="P1174" s="14" t="n"/>
      <c r="Q1174" s="7" t="inlineStr"/>
      <c r="R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8" t="n"/>
      <c r="N1175" s="7" t="inlineStr">
        <is>
          <t>SEM COTAÇÃO</t>
        </is>
      </c>
      <c r="O1175" s="8" t="n"/>
      <c r="P1175" s="14" t="n"/>
      <c r="Q1175" s="7" t="inlineStr"/>
      <c r="R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8" t="n"/>
      <c r="N1176" s="7" t="inlineStr">
        <is>
          <t>SEM COTAÇÃO</t>
        </is>
      </c>
      <c r="O1176" s="8" t="n"/>
      <c r="P1176" s="14" t="n"/>
      <c r="Q1176" s="7" t="inlineStr"/>
      <c r="R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8" t="n"/>
      <c r="N1177" s="7" t="inlineStr">
        <is>
          <t>SEM COTAÇÃO</t>
        </is>
      </c>
      <c r="O1177" s="8" t="n"/>
      <c r="P1177" s="14" t="n"/>
      <c r="Q1177" s="7" t="inlineStr"/>
      <c r="R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8" t="n"/>
      <c r="N1178" s="7" t="inlineStr">
        <is>
          <t>SEM COTAÇÃO</t>
        </is>
      </c>
      <c r="O1178" s="8" t="n"/>
      <c r="P1178" s="14" t="n"/>
      <c r="Q1178" s="7" t="inlineStr"/>
      <c r="R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8" t="n"/>
      <c r="N1179" s="7" t="inlineStr">
        <is>
          <t>SEM COTAÇÃO</t>
        </is>
      </c>
      <c r="O1179" s="8" t="n"/>
      <c r="P1179" s="14" t="n"/>
      <c r="Q1179" s="7" t="inlineStr"/>
      <c r="R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8" t="n"/>
      <c r="N1180" s="7" t="inlineStr">
        <is>
          <t>SEM COTAÇÃO</t>
        </is>
      </c>
      <c r="O1180" s="8" t="n"/>
      <c r="P1180" s="14" t="n"/>
      <c r="Q1180" s="7" t="inlineStr"/>
      <c r="R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8" t="n"/>
      <c r="N1181" s="7" t="inlineStr">
        <is>
          <t>SEM COTAÇÃO</t>
        </is>
      </c>
      <c r="O1181" s="8" t="n"/>
      <c r="P1181" s="14" t="n"/>
      <c r="Q1181" s="7" t="inlineStr"/>
      <c r="R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8" t="n"/>
      <c r="N1182" s="7" t="inlineStr">
        <is>
          <t>SEM COTAÇÃO</t>
        </is>
      </c>
      <c r="O1182" s="8" t="n"/>
      <c r="P1182" s="14" t="n"/>
      <c r="Q1182" s="7" t="inlineStr"/>
      <c r="R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7" t="inlineStr">
        <is>
          <t>SEM COTAÇÃO</t>
        </is>
      </c>
      <c r="O1183" s="8" t="n"/>
      <c r="P1183" s="14" t="n"/>
      <c r="Q1183" s="7" t="inlineStr"/>
      <c r="R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8" t="n"/>
      <c r="N1184" s="7" t="inlineStr">
        <is>
          <t>SEM COTAÇÃO</t>
        </is>
      </c>
      <c r="O1184" s="8" t="n"/>
      <c r="P1184" s="14" t="n"/>
      <c r="Q1184" s="7" t="inlineStr"/>
      <c r="R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8" t="n"/>
      <c r="N1185" s="7" t="inlineStr">
        <is>
          <t>SEM COTAÇÃO</t>
        </is>
      </c>
      <c r="O1185" s="8" t="n"/>
      <c r="P1185" s="14" t="n"/>
      <c r="Q1185" s="7" t="inlineStr"/>
      <c r="R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8" t="n"/>
      <c r="N1186" s="7" t="inlineStr">
        <is>
          <t>SEM COTAÇÃO</t>
        </is>
      </c>
      <c r="O1186" s="8" t="n"/>
      <c r="P1186" s="14" t="n"/>
      <c r="Q1186" s="7" t="inlineStr"/>
      <c r="R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8" t="n"/>
      <c r="N1187" s="7" t="inlineStr">
        <is>
          <t>SEM COTAÇÃO</t>
        </is>
      </c>
      <c r="O1187" s="8" t="n"/>
      <c r="P1187" s="14" t="n"/>
      <c r="Q1187" s="7" t="inlineStr"/>
      <c r="R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7" t="inlineStr">
        <is>
          <t>SEM COTAÇÃO</t>
        </is>
      </c>
      <c r="O1188" s="8" t="n"/>
      <c r="P1188" s="14" t="n"/>
      <c r="Q1188" s="7" t="inlineStr"/>
      <c r="R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8" t="n"/>
      <c r="N1189" s="7" t="inlineStr">
        <is>
          <t>SEM COTAÇÃO</t>
        </is>
      </c>
      <c r="O1189" s="8" t="n"/>
      <c r="P1189" s="14" t="n"/>
      <c r="Q1189" s="7" t="inlineStr"/>
      <c r="R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8" t="n"/>
      <c r="N1190" s="7" t="inlineStr">
        <is>
          <t>SEM COTAÇÃO</t>
        </is>
      </c>
      <c r="O1190" s="8" t="n"/>
      <c r="P1190" s="14" t="n"/>
      <c r="Q1190" s="7" t="inlineStr"/>
      <c r="R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8" t="n"/>
      <c r="N1191" s="7" t="inlineStr">
        <is>
          <t>SEM COTAÇÃO</t>
        </is>
      </c>
      <c r="O1191" s="8" t="n"/>
      <c r="P1191" s="14" t="n"/>
      <c r="Q1191" s="7" t="inlineStr"/>
      <c r="R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8" t="n"/>
      <c r="N1192" s="7" t="inlineStr">
        <is>
          <t>SEM COTAÇÃO</t>
        </is>
      </c>
      <c r="O1192" s="8" t="n"/>
      <c r="P1192" s="14" t="n"/>
      <c r="Q1192" s="7" t="inlineStr"/>
      <c r="R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8" t="n"/>
      <c r="N1193" s="7" t="inlineStr">
        <is>
          <t>EPAN</t>
        </is>
      </c>
      <c r="O1193" s="8" t="n">
        <v>8.039999999999999</v>
      </c>
      <c r="P1193" s="14">
        <f>O1193/H1193-1</f>
        <v/>
      </c>
      <c r="Q1193" s="17" t="inlineStr">
        <is>
          <t>OK (≤ últ. compra)</t>
        </is>
      </c>
      <c r="R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8" t="n"/>
      <c r="N1194" s="7" t="inlineStr">
        <is>
          <t>SEM COTAÇÃO</t>
        </is>
      </c>
      <c r="O1194" s="8" t="n"/>
      <c r="P1194" s="14" t="n"/>
      <c r="Q1194" s="7" t="inlineStr"/>
      <c r="R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8" t="n"/>
      <c r="N1195" s="7" t="inlineStr">
        <is>
          <t>SEM COTAÇÃO</t>
        </is>
      </c>
      <c r="O1195" s="8" t="n"/>
      <c r="P1195" s="14" t="n"/>
      <c r="Q1195" s="7" t="inlineStr"/>
      <c r="R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8" t="n"/>
      <c r="N1196" s="7" t="inlineStr">
        <is>
          <t>SEM COTAÇÃO</t>
        </is>
      </c>
      <c r="O1196" s="8" t="n"/>
      <c r="P1196" s="14" t="n"/>
      <c r="Q1196" s="7" t="inlineStr"/>
      <c r="R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8" t="n"/>
      <c r="N1197" s="7" t="inlineStr">
        <is>
          <t>DIMEC</t>
        </is>
      </c>
      <c r="O1197" s="8" t="n">
        <v>1.42</v>
      </c>
      <c r="P1197" s="14">
        <f>O1197/H1197-1</f>
        <v/>
      </c>
      <c r="Q1197" s="17" t="inlineStr">
        <is>
          <t>OK (≤ menor hist.)</t>
        </is>
      </c>
      <c r="R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8" t="n"/>
      <c r="N1198" s="7" t="inlineStr">
        <is>
          <t>SEM COTAÇÃO</t>
        </is>
      </c>
      <c r="O1198" s="8" t="n"/>
      <c r="P1198" s="14" t="n"/>
      <c r="Q1198" s="7" t="inlineStr"/>
      <c r="R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8" t="n"/>
      <c r="N1199" s="7" t="inlineStr">
        <is>
          <t>SEM COTAÇÃO</t>
        </is>
      </c>
      <c r="O1199" s="8" t="n"/>
      <c r="P1199" s="14" t="n"/>
      <c r="Q1199" s="7" t="inlineStr"/>
      <c r="R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15" t="n">
        <v>5.42</v>
      </c>
      <c r="K1200" s="8" t="n">
        <v>5.95</v>
      </c>
      <c r="L1200" s="8" t="n"/>
      <c r="M1200" s="8" t="n">
        <v>5.6</v>
      </c>
      <c r="N1200" s="7" t="inlineStr">
        <is>
          <t>DIMEC</t>
        </is>
      </c>
      <c r="O1200" s="8" t="n">
        <v>5.42</v>
      </c>
      <c r="P1200" s="14">
        <f>O1200/H1200-1</f>
        <v/>
      </c>
      <c r="Q1200" s="17" t="inlineStr">
        <is>
          <t>OK (≤ menor hist.)</t>
        </is>
      </c>
      <c r="R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8" t="n"/>
      <c r="N1201" s="7" t="inlineStr">
        <is>
          <t>SEM COTAÇÃO</t>
        </is>
      </c>
      <c r="O1201" s="8" t="n"/>
      <c r="P1201" s="14" t="n"/>
      <c r="Q1201" s="7" t="inlineStr"/>
      <c r="R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8" t="n"/>
      <c r="N1202" s="7" t="inlineStr">
        <is>
          <t>SEM COTAÇÃO</t>
        </is>
      </c>
      <c r="O1202" s="8" t="n"/>
      <c r="P1202" s="14" t="n"/>
      <c r="Q1202" s="7" t="inlineStr"/>
      <c r="R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8" t="n"/>
      <c r="N1203" s="7" t="inlineStr">
        <is>
          <t>SEM COTAÇÃO</t>
        </is>
      </c>
      <c r="O1203" s="8" t="n"/>
      <c r="P1203" s="14" t="n"/>
      <c r="Q1203" s="7" t="inlineStr"/>
      <c r="R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8" t="n"/>
      <c r="N1204" s="7" t="inlineStr">
        <is>
          <t>SEM COTAÇÃO</t>
        </is>
      </c>
      <c r="O1204" s="8" t="n"/>
      <c r="P1204" s="14" t="n"/>
      <c r="Q1204" s="7" t="inlineStr"/>
      <c r="R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8" t="n"/>
      <c r="N1205" s="7" t="inlineStr">
        <is>
          <t>SEM COTAÇÃO</t>
        </is>
      </c>
      <c r="O1205" s="8" t="n"/>
      <c r="P1205" s="14" t="n"/>
      <c r="Q1205" s="7" t="inlineStr"/>
      <c r="R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8" t="n"/>
      <c r="N1206" s="7" t="inlineStr">
        <is>
          <t>EPAN</t>
        </is>
      </c>
      <c r="O1206" s="8" t="n">
        <v>2.68</v>
      </c>
      <c r="P1206" s="14">
        <f>O1206/H1206-1</f>
        <v/>
      </c>
      <c r="Q1206" s="17" t="inlineStr">
        <is>
          <t>OK (≤ menor hist.)</t>
        </is>
      </c>
      <c r="R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8" t="n"/>
      <c r="N1207" s="7" t="inlineStr">
        <is>
          <t>EPAN</t>
        </is>
      </c>
      <c r="O1207" s="8" t="n">
        <v>2.58</v>
      </c>
      <c r="P1207" s="14">
        <f>O1207/H1207-1</f>
        <v/>
      </c>
      <c r="Q1207" s="17" t="inlineStr">
        <is>
          <t>OK (≤ menor hist.)</t>
        </is>
      </c>
      <c r="R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8" t="n"/>
      <c r="N1208" s="7" t="inlineStr">
        <is>
          <t>EPAN</t>
        </is>
      </c>
      <c r="O1208" s="8" t="n">
        <v>2.62</v>
      </c>
      <c r="P1208" s="14">
        <f>O1208/H1208-1</f>
        <v/>
      </c>
      <c r="Q1208" s="17" t="inlineStr">
        <is>
          <t>OK (≤ menor hist.)</t>
        </is>
      </c>
      <c r="R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15" t="n">
        <v>3.69</v>
      </c>
      <c r="N1209" s="7" t="inlineStr">
        <is>
          <t>CENTROFARMA</t>
        </is>
      </c>
      <c r="O1209" s="8" t="n">
        <v>3.69</v>
      </c>
      <c r="P1209" s="14">
        <f>O1209/H1209-1</f>
        <v/>
      </c>
      <c r="Q1209" s="16" t="inlineStr">
        <is>
          <t>ACIMA +20.6%</t>
        </is>
      </c>
      <c r="R1209" s="7" t="inlineStr"/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8" t="n"/>
      <c r="N1210" s="7" t="inlineStr">
        <is>
          <t>SEM COTAÇÃO</t>
        </is>
      </c>
      <c r="O1210" s="8" t="n"/>
      <c r="P1210" s="14" t="n"/>
      <c r="Q1210" s="7" t="inlineStr"/>
      <c r="R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8" t="n"/>
      <c r="N1211" s="7" t="inlineStr">
        <is>
          <t>DIMEC</t>
        </is>
      </c>
      <c r="O1211" s="8" t="n">
        <v>17.17</v>
      </c>
      <c r="P1211" s="14">
        <f>O1211/H1211-1</f>
        <v/>
      </c>
      <c r="Q1211" s="16" t="inlineStr">
        <is>
          <t>ACIMA +15.0%</t>
        </is>
      </c>
      <c r="R1211" s="7" t="inlineStr"/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8" t="n"/>
      <c r="N1212" s="7" t="inlineStr">
        <is>
          <t>SEM COTAÇÃO</t>
        </is>
      </c>
      <c r="O1212" s="8" t="n"/>
      <c r="P1212" s="14" t="n"/>
      <c r="Q1212" s="7" t="inlineStr"/>
      <c r="R1212" s="7" t="inlineStr"/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8" t="n"/>
      <c r="N1213" s="7" t="inlineStr">
        <is>
          <t>DIMEC</t>
        </is>
      </c>
      <c r="O1213" s="8" t="n">
        <v>3.25</v>
      </c>
      <c r="P1213" s="14">
        <f>O1213/H1213-1</f>
        <v/>
      </c>
      <c r="Q1213" s="17" t="inlineStr">
        <is>
          <t>OK (≤ menor hist.)</t>
        </is>
      </c>
      <c r="R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8" t="n"/>
      <c r="N1214" s="7" t="inlineStr">
        <is>
          <t>SEM COTAÇÃO</t>
        </is>
      </c>
      <c r="O1214" s="8" t="n"/>
      <c r="P1214" s="14" t="n"/>
      <c r="Q1214" s="7" t="inlineStr"/>
      <c r="R1214" s="7" t="inlineStr"/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8" t="n"/>
      <c r="N1215" s="7" t="inlineStr">
        <is>
          <t>PLUSFARMA</t>
        </is>
      </c>
      <c r="O1215" s="8" t="n">
        <v>5.95</v>
      </c>
      <c r="P1215" s="14">
        <f>O1215/H1215-1</f>
        <v/>
      </c>
      <c r="Q1215" s="16" t="inlineStr">
        <is>
          <t>ACIMA +2.3%</t>
        </is>
      </c>
      <c r="R1215" s="7" t="inlineStr"/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8" t="n"/>
      <c r="N1216" s="7" t="inlineStr">
        <is>
          <t>EPAN</t>
        </is>
      </c>
      <c r="O1216" s="8" t="n">
        <v>6.3</v>
      </c>
      <c r="P1216" s="14">
        <f>O1216/H1216-1</f>
        <v/>
      </c>
      <c r="Q1216" s="17" t="inlineStr">
        <is>
          <t>OK (≤ últ. compra)</t>
        </is>
      </c>
      <c r="R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8" t="n"/>
      <c r="N1217" s="7" t="inlineStr">
        <is>
          <t>SEM COTAÇÃO</t>
        </is>
      </c>
      <c r="O1217" s="8" t="n"/>
      <c r="P1217" s="14" t="n"/>
      <c r="Q1217" s="7" t="inlineStr"/>
      <c r="R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8" t="n"/>
      <c r="N1218" s="7" t="inlineStr">
        <is>
          <t>EPAN</t>
        </is>
      </c>
      <c r="O1218" s="8" t="n">
        <v>15.03</v>
      </c>
      <c r="P1218" s="14">
        <f>O1218/H1218-1</f>
        <v/>
      </c>
      <c r="Q1218" s="16" t="inlineStr">
        <is>
          <t>ACIMA +29.8%</t>
        </is>
      </c>
      <c r="R1218" s="7" t="inlineStr"/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8" t="n"/>
      <c r="N1219" s="7" t="inlineStr">
        <is>
          <t>SEM COTAÇÃO</t>
        </is>
      </c>
      <c r="O1219" s="8" t="n"/>
      <c r="P1219" s="14" t="n"/>
      <c r="Q1219" s="7" t="inlineStr"/>
      <c r="R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8" t="n"/>
      <c r="N1220" s="7" t="inlineStr">
        <is>
          <t>SEM COTAÇÃO</t>
        </is>
      </c>
      <c r="O1220" s="8" t="n"/>
      <c r="P1220" s="14" t="n"/>
      <c r="Q1220" s="7" t="inlineStr"/>
      <c r="R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8" t="n"/>
      <c r="N1221" s="7" t="inlineStr">
        <is>
          <t>SEM COTAÇÃO</t>
        </is>
      </c>
      <c r="O1221" s="8" t="n"/>
      <c r="P1221" s="14" t="n"/>
      <c r="Q1221" s="7" t="inlineStr"/>
      <c r="R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8" t="n"/>
      <c r="N1222" s="7" t="inlineStr">
        <is>
          <t>SEM COTAÇÃO</t>
        </is>
      </c>
      <c r="O1222" s="8" t="n"/>
      <c r="P1222" s="14" t="n"/>
      <c r="Q1222" s="7" t="inlineStr"/>
      <c r="R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8" t="n"/>
      <c r="N1223" s="7" t="inlineStr">
        <is>
          <t>SEM COTAÇÃO</t>
        </is>
      </c>
      <c r="O1223" s="8" t="n"/>
      <c r="P1223" s="14" t="n"/>
      <c r="Q1223" s="7" t="inlineStr"/>
      <c r="R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8" t="n"/>
      <c r="N1224" s="7" t="inlineStr">
        <is>
          <t>SEM COTAÇÃO</t>
        </is>
      </c>
      <c r="O1224" s="8" t="n"/>
      <c r="P1224" s="14" t="n"/>
      <c r="Q1224" s="7" t="inlineStr"/>
      <c r="R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8" t="n"/>
      <c r="N1225" s="7" t="inlineStr">
        <is>
          <t>SEM COTAÇÃO</t>
        </is>
      </c>
      <c r="O1225" s="8" t="n"/>
      <c r="P1225" s="14" t="n"/>
      <c r="Q1225" s="7" t="inlineStr"/>
      <c r="R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8" t="n"/>
      <c r="N1226" s="7" t="inlineStr">
        <is>
          <t>SEM COTAÇÃO</t>
        </is>
      </c>
      <c r="O1226" s="8" t="n"/>
      <c r="P1226" s="14" t="n"/>
      <c r="Q1226" s="7" t="inlineStr"/>
      <c r="R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8" t="n"/>
      <c r="N1227" s="7" t="inlineStr">
        <is>
          <t>SEM COTAÇÃO</t>
        </is>
      </c>
      <c r="O1227" s="8" t="n"/>
      <c r="P1227" s="14" t="n"/>
      <c r="Q1227" s="7" t="inlineStr"/>
      <c r="R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8" t="n"/>
      <c r="N1228" s="7" t="inlineStr">
        <is>
          <t>SEM COTAÇÃO</t>
        </is>
      </c>
      <c r="O1228" s="8" t="n"/>
      <c r="P1228" s="14" t="n"/>
      <c r="Q1228" s="7" t="inlineStr"/>
      <c r="R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8" t="n"/>
      <c r="N1229" s="7" t="inlineStr">
        <is>
          <t>SEM COTAÇÃO</t>
        </is>
      </c>
      <c r="O1229" s="8" t="n"/>
      <c r="P1229" s="14" t="n"/>
      <c r="Q1229" s="7" t="inlineStr"/>
      <c r="R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8" t="n"/>
      <c r="N1230" s="7" t="inlineStr">
        <is>
          <t>SEM COTAÇÃO</t>
        </is>
      </c>
      <c r="O1230" s="8" t="n"/>
      <c r="P1230" s="14" t="n"/>
      <c r="Q1230" s="7" t="inlineStr"/>
      <c r="R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8" t="n"/>
      <c r="N1231" s="7" t="inlineStr">
        <is>
          <t>SEM COTAÇÃO</t>
        </is>
      </c>
      <c r="O1231" s="8" t="n"/>
      <c r="P1231" s="14" t="n"/>
      <c r="Q1231" s="7" t="inlineStr"/>
      <c r="R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8" t="n"/>
      <c r="N1232" s="7" t="inlineStr">
        <is>
          <t>SEM COTAÇÃO</t>
        </is>
      </c>
      <c r="O1232" s="8" t="n"/>
      <c r="P1232" s="14" t="n"/>
      <c r="Q1232" s="7" t="inlineStr"/>
      <c r="R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8" t="n"/>
      <c r="N1233" s="7" t="inlineStr">
        <is>
          <t>SEM COTAÇÃO</t>
        </is>
      </c>
      <c r="O1233" s="8" t="n"/>
      <c r="P1233" s="14" t="n"/>
      <c r="Q1233" s="7" t="inlineStr"/>
      <c r="R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8" t="n"/>
      <c r="N1234" s="7" t="inlineStr">
        <is>
          <t>SEM COTAÇÃO</t>
        </is>
      </c>
      <c r="O1234" s="8" t="n"/>
      <c r="P1234" s="14" t="n"/>
      <c r="Q1234" s="7" t="inlineStr"/>
      <c r="R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8" t="n"/>
      <c r="N1235" s="7" t="inlineStr">
        <is>
          <t>SEM COTAÇÃO</t>
        </is>
      </c>
      <c r="O1235" s="8" t="n"/>
      <c r="P1235" s="14" t="n"/>
      <c r="Q1235" s="7" t="inlineStr"/>
      <c r="R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8" t="n"/>
      <c r="N1236" s="7" t="inlineStr">
        <is>
          <t>SEM COTAÇÃO</t>
        </is>
      </c>
      <c r="O1236" s="8" t="n"/>
      <c r="P1236" s="14" t="n"/>
      <c r="Q1236" s="7" t="inlineStr"/>
      <c r="R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8" t="n"/>
      <c r="N1237" s="7" t="inlineStr">
        <is>
          <t>SEM COTAÇÃO</t>
        </is>
      </c>
      <c r="O1237" s="8" t="n"/>
      <c r="P1237" s="14" t="n"/>
      <c r="Q1237" s="7" t="inlineStr"/>
      <c r="R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8" t="n"/>
      <c r="N1238" s="7" t="inlineStr">
        <is>
          <t>SEM COTAÇÃO</t>
        </is>
      </c>
      <c r="O1238" s="8" t="n"/>
      <c r="P1238" s="14" t="n"/>
      <c r="Q1238" s="7" t="inlineStr"/>
      <c r="R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8" t="n"/>
      <c r="N1239" s="7" t="inlineStr">
        <is>
          <t>SEM COTAÇÃO</t>
        </is>
      </c>
      <c r="O1239" s="8" t="n"/>
      <c r="P1239" s="14" t="n"/>
      <c r="Q1239" s="7" t="inlineStr"/>
      <c r="R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8" t="n"/>
      <c r="N1240" s="7" t="inlineStr">
        <is>
          <t>SEM COTAÇÃO</t>
        </is>
      </c>
      <c r="O1240" s="8" t="n"/>
      <c r="P1240" s="14" t="n"/>
      <c r="Q1240" s="7" t="inlineStr"/>
      <c r="R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8" t="n"/>
      <c r="N1241" s="7" t="inlineStr">
        <is>
          <t>SEM COTAÇÃO</t>
        </is>
      </c>
      <c r="O1241" s="8" t="n"/>
      <c r="P1241" s="14" t="n"/>
      <c r="Q1241" s="7" t="inlineStr"/>
      <c r="R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8" t="n"/>
      <c r="N1242" s="7" t="inlineStr">
        <is>
          <t>SEM COTAÇÃO</t>
        </is>
      </c>
      <c r="O1242" s="8" t="n"/>
      <c r="P1242" s="14" t="n"/>
      <c r="Q1242" s="7" t="inlineStr"/>
      <c r="R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8" t="n"/>
      <c r="N1243" s="7" t="inlineStr">
        <is>
          <t>SEM COTAÇÃO</t>
        </is>
      </c>
      <c r="O1243" s="8" t="n"/>
      <c r="P1243" s="14" t="n"/>
      <c r="Q1243" s="7" t="inlineStr"/>
      <c r="R1243" s="7" t="inlineStr"/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8" t="n"/>
      <c r="N1244" s="7" t="inlineStr">
        <is>
          <t>EPAN</t>
        </is>
      </c>
      <c r="O1244" s="8" t="n">
        <v>30.85</v>
      </c>
      <c r="P1244" s="14">
        <f>O1244/H1244-1</f>
        <v/>
      </c>
      <c r="Q1244" s="17" t="inlineStr">
        <is>
          <t>OK (≤ menor hist.)</t>
        </is>
      </c>
      <c r="R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8" t="n"/>
      <c r="N1245" s="7" t="inlineStr">
        <is>
          <t>SEM COTAÇÃO</t>
        </is>
      </c>
      <c r="O1245" s="8" t="n"/>
      <c r="P1245" s="14" t="n"/>
      <c r="Q1245" s="7" t="inlineStr"/>
      <c r="R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8" t="n"/>
      <c r="N1246" s="7" t="inlineStr">
        <is>
          <t>SEM COTAÇÃO</t>
        </is>
      </c>
      <c r="O1246" s="8" t="n"/>
      <c r="P1246" s="14" t="n"/>
      <c r="Q1246" s="7" t="inlineStr"/>
      <c r="R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8" t="n"/>
      <c r="N1247" s="7" t="inlineStr">
        <is>
          <t>SEM COTAÇÃO</t>
        </is>
      </c>
      <c r="O1247" s="8" t="n"/>
      <c r="P1247" s="14" t="n"/>
      <c r="Q1247" s="7" t="inlineStr"/>
      <c r="R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8" t="n"/>
      <c r="N1248" s="7" t="inlineStr">
        <is>
          <t>SEM COTAÇÃO</t>
        </is>
      </c>
      <c r="O1248" s="8" t="n"/>
      <c r="P1248" s="14" t="n"/>
      <c r="Q1248" s="7" t="inlineStr"/>
      <c r="R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8" t="n"/>
      <c r="N1249" s="7" t="inlineStr">
        <is>
          <t>SEM COTAÇÃO</t>
        </is>
      </c>
      <c r="O1249" s="8" t="n"/>
      <c r="P1249" s="14" t="n"/>
      <c r="Q1249" s="7" t="inlineStr"/>
      <c r="R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8" t="n"/>
      <c r="N1250" s="7" t="inlineStr">
        <is>
          <t>SEM COTAÇÃO</t>
        </is>
      </c>
      <c r="O1250" s="8" t="n"/>
      <c r="P1250" s="14" t="n"/>
      <c r="Q1250" s="7" t="inlineStr"/>
      <c r="R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44.99</v>
      </c>
      <c r="K1251" s="8" t="n">
        <v>63.49</v>
      </c>
      <c r="L1251" s="8" t="n"/>
      <c r="M1251" s="15" t="n">
        <v>42.26</v>
      </c>
      <c r="N1251" s="7" t="inlineStr">
        <is>
          <t>CENTROFARMA</t>
        </is>
      </c>
      <c r="O1251" s="8" t="n">
        <v>42.26</v>
      </c>
      <c r="P1251" s="14">
        <f>O1251/H1251-1</f>
        <v/>
      </c>
      <c r="Q1251" s="17" t="inlineStr">
        <is>
          <t>OK (≤ menor hist.)</t>
        </is>
      </c>
      <c r="R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8" t="n"/>
      <c r="N1252" s="7" t="inlineStr">
        <is>
          <t>SEM COTAÇÃO</t>
        </is>
      </c>
      <c r="O1252" s="8" t="n"/>
      <c r="P1252" s="14" t="n"/>
      <c r="Q1252" s="7" t="inlineStr"/>
      <c r="R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8" t="n"/>
      <c r="N1253" s="7" t="inlineStr">
        <is>
          <t>SEM COTAÇÃO</t>
        </is>
      </c>
      <c r="O1253" s="8" t="n"/>
      <c r="P1253" s="14" t="n"/>
      <c r="Q1253" s="7" t="inlineStr"/>
      <c r="R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8" t="n"/>
      <c r="N1254" s="7" t="inlineStr">
        <is>
          <t>SEM COTAÇÃO</t>
        </is>
      </c>
      <c r="O1254" s="8" t="n"/>
      <c r="P1254" s="14" t="n"/>
      <c r="Q1254" s="7" t="inlineStr"/>
      <c r="R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8" t="n"/>
      <c r="N1255" s="7" t="inlineStr">
        <is>
          <t>SEM COTAÇÃO</t>
        </is>
      </c>
      <c r="O1255" s="8" t="n"/>
      <c r="P1255" s="14" t="n"/>
      <c r="Q1255" s="7" t="inlineStr"/>
      <c r="R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8" t="n"/>
      <c r="N1256" s="7" t="inlineStr">
        <is>
          <t>SEM COTAÇÃO</t>
        </is>
      </c>
      <c r="O1256" s="8" t="n"/>
      <c r="P1256" s="14" t="n"/>
      <c r="Q1256" s="7" t="inlineStr"/>
      <c r="R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8" t="n"/>
      <c r="N1257" s="7" t="inlineStr">
        <is>
          <t>SEM COTAÇÃO</t>
        </is>
      </c>
      <c r="O1257" s="8" t="n"/>
      <c r="P1257" s="14" t="n"/>
      <c r="Q1257" s="7" t="inlineStr"/>
      <c r="R1257" s="7" t="inlineStr"/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8" t="n"/>
      <c r="N1258" s="7" t="inlineStr">
        <is>
          <t>SEM COTAÇÃO</t>
        </is>
      </c>
      <c r="O1258" s="8" t="n"/>
      <c r="P1258" s="14" t="n"/>
      <c r="Q1258" s="7" t="inlineStr"/>
      <c r="R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8" t="n"/>
      <c r="N1259" s="7" t="inlineStr">
        <is>
          <t>SEM COTAÇÃO</t>
        </is>
      </c>
      <c r="O1259" s="8" t="n"/>
      <c r="P1259" s="14" t="n"/>
      <c r="Q1259" s="7" t="inlineStr"/>
      <c r="R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8" t="n"/>
      <c r="N1260" s="7" t="inlineStr">
        <is>
          <t>SEM COTAÇÃO</t>
        </is>
      </c>
      <c r="O1260" s="8" t="n"/>
      <c r="P1260" s="14" t="n"/>
      <c r="Q1260" s="7" t="inlineStr"/>
      <c r="R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8" t="n"/>
      <c r="N1261" s="7" t="inlineStr">
        <is>
          <t>SEM COTAÇÃO</t>
        </is>
      </c>
      <c r="O1261" s="8" t="n"/>
      <c r="P1261" s="14" t="n"/>
      <c r="Q1261" s="7" t="inlineStr"/>
      <c r="R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8" t="n"/>
      <c r="N1262" s="7" t="inlineStr">
        <is>
          <t>SEM COTAÇÃO</t>
        </is>
      </c>
      <c r="O1262" s="8" t="n"/>
      <c r="P1262" s="14" t="n"/>
      <c r="Q1262" s="7" t="inlineStr"/>
      <c r="R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8" t="n"/>
      <c r="N1263" s="7" t="inlineStr">
        <is>
          <t>SEM COTAÇÃO</t>
        </is>
      </c>
      <c r="O1263" s="8" t="n"/>
      <c r="P1263" s="14" t="n"/>
      <c r="Q1263" s="7" t="inlineStr"/>
      <c r="R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8" t="n"/>
      <c r="N1264" s="7" t="inlineStr">
        <is>
          <t>SEM COTAÇÃO</t>
        </is>
      </c>
      <c r="O1264" s="8" t="n"/>
      <c r="P1264" s="14" t="n"/>
      <c r="Q1264" s="7" t="inlineStr"/>
      <c r="R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15" t="n">
        <v>23.3</v>
      </c>
      <c r="M1265" s="8" t="n"/>
      <c r="N1265" s="7" t="inlineStr">
        <is>
          <t>EPAN</t>
        </is>
      </c>
      <c r="O1265" s="8" t="n">
        <v>23.3</v>
      </c>
      <c r="P1265" s="14">
        <f>O1265/H1265-1</f>
        <v/>
      </c>
      <c r="Q1265" s="17" t="inlineStr">
        <is>
          <t>OK (≤ últ. compra)</t>
        </is>
      </c>
      <c r="R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8" t="n"/>
      <c r="N1266" s="7" t="inlineStr">
        <is>
          <t>PLUSFARMA</t>
        </is>
      </c>
      <c r="O1266" s="8" t="n">
        <v>36.45</v>
      </c>
      <c r="P1266" s="14">
        <f>O1266/H1266-1</f>
        <v/>
      </c>
      <c r="Q1266" s="16" t="inlineStr">
        <is>
          <t>ACIMA +6.0%</t>
        </is>
      </c>
      <c r="R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8" t="n"/>
      <c r="N1267" s="7" t="inlineStr">
        <is>
          <t>SEM COTAÇÃO</t>
        </is>
      </c>
      <c r="O1267" s="8" t="n"/>
      <c r="P1267" s="14" t="n"/>
      <c r="Q1267" s="7" t="inlineStr"/>
      <c r="R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8" t="n"/>
      <c r="N1268" s="7" t="inlineStr">
        <is>
          <t>SEM COTAÇÃO</t>
        </is>
      </c>
      <c r="O1268" s="8" t="n"/>
      <c r="P1268" s="14" t="n"/>
      <c r="Q1268" s="7" t="inlineStr"/>
      <c r="R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8" t="n"/>
      <c r="N1269" s="7" t="inlineStr">
        <is>
          <t>SEM COTAÇÃO</t>
        </is>
      </c>
      <c r="O1269" s="8" t="n"/>
      <c r="P1269" s="14" t="n"/>
      <c r="Q1269" s="7" t="inlineStr"/>
      <c r="R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8" t="n"/>
      <c r="N1270" s="7" t="inlineStr">
        <is>
          <t>SEM COTAÇÃO</t>
        </is>
      </c>
      <c r="O1270" s="8" t="n"/>
      <c r="P1270" s="14" t="n"/>
      <c r="Q1270" s="7" t="inlineStr"/>
      <c r="R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8" t="n"/>
      <c r="N1271" s="7" t="inlineStr">
        <is>
          <t>SEM COTAÇÃO</t>
        </is>
      </c>
      <c r="O1271" s="8" t="n"/>
      <c r="P1271" s="14" t="n"/>
      <c r="Q1271" s="7" t="inlineStr"/>
      <c r="R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8" t="n"/>
      <c r="N1272" s="7" t="inlineStr">
        <is>
          <t>SEM COTAÇÃO</t>
        </is>
      </c>
      <c r="O1272" s="8" t="n"/>
      <c r="P1272" s="14" t="n"/>
      <c r="Q1272" s="7" t="inlineStr"/>
      <c r="R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8" t="n"/>
      <c r="N1273" s="7" t="inlineStr">
        <is>
          <t>SEM COTAÇÃO</t>
        </is>
      </c>
      <c r="O1273" s="8" t="n"/>
      <c r="P1273" s="14" t="n"/>
      <c r="Q1273" s="7" t="inlineStr"/>
      <c r="R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15" t="n">
        <v>8.119999999999999</v>
      </c>
      <c r="N1274" s="7" t="inlineStr">
        <is>
          <t>CENTROFARMA</t>
        </is>
      </c>
      <c r="O1274" s="8" t="n">
        <v>8.119999999999999</v>
      </c>
      <c r="P1274" s="14">
        <f>O1274/H1274-1</f>
        <v/>
      </c>
      <c r="Q1274" s="17" t="inlineStr">
        <is>
          <t>OK (≤ menor hist.)</t>
        </is>
      </c>
      <c r="R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8" t="n"/>
      <c r="N1275" s="7" t="inlineStr">
        <is>
          <t>SEM COTAÇÃO</t>
        </is>
      </c>
      <c r="O1275" s="8" t="n"/>
      <c r="P1275" s="14" t="n"/>
      <c r="Q1275" s="7" t="inlineStr"/>
      <c r="R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8" t="n"/>
      <c r="N1276" s="7" t="inlineStr">
        <is>
          <t>SEM COTAÇÃO</t>
        </is>
      </c>
      <c r="O1276" s="8" t="n"/>
      <c r="P1276" s="14" t="n"/>
      <c r="Q1276" s="7" t="inlineStr"/>
      <c r="R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8" t="n"/>
      <c r="N1277" s="7" t="inlineStr">
        <is>
          <t>SEM COTAÇÃO</t>
        </is>
      </c>
      <c r="O1277" s="8" t="n"/>
      <c r="P1277" s="14" t="n"/>
      <c r="Q1277" s="7" t="inlineStr"/>
      <c r="R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8" t="n"/>
      <c r="N1278" s="7" t="inlineStr">
        <is>
          <t>SEM COTAÇÃO</t>
        </is>
      </c>
      <c r="O1278" s="8" t="n"/>
      <c r="P1278" s="14" t="n"/>
      <c r="Q1278" s="7" t="inlineStr"/>
      <c r="R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8" t="n"/>
      <c r="N1279" s="7" t="inlineStr">
        <is>
          <t>SEM COTAÇÃO</t>
        </is>
      </c>
      <c r="O1279" s="8" t="n"/>
      <c r="P1279" s="14" t="n"/>
      <c r="Q1279" s="7" t="inlineStr"/>
      <c r="R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8" t="n"/>
      <c r="N1280" s="7" t="inlineStr">
        <is>
          <t>SEM COTAÇÃO</t>
        </is>
      </c>
      <c r="O1280" s="8" t="n"/>
      <c r="P1280" s="14" t="n"/>
      <c r="Q1280" s="7" t="inlineStr"/>
      <c r="R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8" t="n"/>
      <c r="N1281" s="7" t="inlineStr">
        <is>
          <t>SEM COTAÇÃO</t>
        </is>
      </c>
      <c r="O1281" s="8" t="n"/>
      <c r="P1281" s="14" t="n"/>
      <c r="Q1281" s="7" t="inlineStr"/>
      <c r="R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8" t="n"/>
      <c r="N1282" s="7" t="inlineStr">
        <is>
          <t>SEM COTAÇÃO</t>
        </is>
      </c>
      <c r="O1282" s="8" t="n"/>
      <c r="P1282" s="14" t="n"/>
      <c r="Q1282" s="7" t="inlineStr"/>
      <c r="R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8" t="n"/>
      <c r="N1283" s="7" t="inlineStr">
        <is>
          <t>SEM COTAÇÃO</t>
        </is>
      </c>
      <c r="O1283" s="8" t="n"/>
      <c r="P1283" s="14" t="n"/>
      <c r="Q1283" s="7" t="inlineStr"/>
      <c r="R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8" t="n"/>
      <c r="N1284" s="7" t="inlineStr">
        <is>
          <t>SEM COTAÇÃO</t>
        </is>
      </c>
      <c r="O1284" s="8" t="n"/>
      <c r="P1284" s="14" t="n"/>
      <c r="Q1284" s="7" t="inlineStr"/>
      <c r="R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8" t="n"/>
      <c r="N1285" s="7" t="inlineStr">
        <is>
          <t>SEM COTAÇÃO</t>
        </is>
      </c>
      <c r="O1285" s="8" t="n"/>
      <c r="P1285" s="14" t="n"/>
      <c r="Q1285" s="7" t="inlineStr"/>
      <c r="R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8" t="n"/>
      <c r="N1286" s="7" t="inlineStr">
        <is>
          <t>SEM COTAÇÃO</t>
        </is>
      </c>
      <c r="O1286" s="8" t="n"/>
      <c r="P1286" s="14" t="n"/>
      <c r="Q1286" s="7" t="inlineStr"/>
      <c r="R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8" t="n"/>
      <c r="N1287" s="7" t="inlineStr">
        <is>
          <t>SEM COTAÇÃO</t>
        </is>
      </c>
      <c r="O1287" s="8" t="n"/>
      <c r="P1287" s="14" t="n"/>
      <c r="Q1287" s="7" t="inlineStr"/>
      <c r="R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8" t="n"/>
      <c r="N1288" s="7" t="inlineStr">
        <is>
          <t>SEM COTAÇÃO</t>
        </is>
      </c>
      <c r="O1288" s="8" t="n"/>
      <c r="P1288" s="14" t="n"/>
      <c r="Q1288" s="7" t="inlineStr"/>
      <c r="R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8" t="n"/>
      <c r="N1289" s="7" t="inlineStr">
        <is>
          <t>SEM COTAÇÃO</t>
        </is>
      </c>
      <c r="O1289" s="8" t="n"/>
      <c r="P1289" s="14" t="n"/>
      <c r="Q1289" s="7" t="inlineStr"/>
      <c r="R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8" t="n"/>
      <c r="N1290" s="7" t="inlineStr">
        <is>
          <t>SEM COTAÇÃO</t>
        </is>
      </c>
      <c r="O1290" s="8" t="n"/>
      <c r="P1290" s="14" t="n"/>
      <c r="Q1290" s="7" t="inlineStr"/>
      <c r="R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8" t="n"/>
      <c r="N1291" s="7" t="inlineStr">
        <is>
          <t>SEM COTAÇÃO</t>
        </is>
      </c>
      <c r="O1291" s="8" t="n"/>
      <c r="P1291" s="14" t="n"/>
      <c r="Q1291" s="7" t="inlineStr"/>
      <c r="R1291" s="7" t="inlineStr"/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8" t="n"/>
      <c r="N1292" s="7" t="inlineStr">
        <is>
          <t>SEM COTAÇÃO</t>
        </is>
      </c>
      <c r="O1292" s="8" t="n"/>
      <c r="P1292" s="14" t="n"/>
      <c r="Q1292" s="7" t="inlineStr"/>
      <c r="R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8" t="n"/>
      <c r="N1293" s="7" t="inlineStr">
        <is>
          <t>SEM COTAÇÃO</t>
        </is>
      </c>
      <c r="O1293" s="8" t="n"/>
      <c r="P1293" s="14" t="n"/>
      <c r="Q1293" s="7" t="inlineStr"/>
      <c r="R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8" t="n"/>
      <c r="N1294" s="7" t="inlineStr">
        <is>
          <t>SEM COTAÇÃO</t>
        </is>
      </c>
      <c r="O1294" s="8" t="n"/>
      <c r="P1294" s="14" t="n"/>
      <c r="Q1294" s="7" t="inlineStr"/>
      <c r="R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8" t="n"/>
      <c r="N1295" s="7" t="inlineStr">
        <is>
          <t>SEM COTAÇÃO</t>
        </is>
      </c>
      <c r="O1295" s="8" t="n"/>
      <c r="P1295" s="14" t="n"/>
      <c r="Q1295" s="7" t="inlineStr"/>
      <c r="R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8" t="n"/>
      <c r="N1296" s="7" t="inlineStr">
        <is>
          <t>SEM COTAÇÃO</t>
        </is>
      </c>
      <c r="O1296" s="8" t="n"/>
      <c r="P1296" s="14" t="n"/>
      <c r="Q1296" s="7" t="inlineStr"/>
      <c r="R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8" t="n"/>
      <c r="N1297" s="7" t="inlineStr">
        <is>
          <t>SEM COTAÇÃO</t>
        </is>
      </c>
      <c r="O1297" s="8" t="n"/>
      <c r="P1297" s="14" t="n"/>
      <c r="Q1297" s="7" t="inlineStr"/>
      <c r="R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8" t="n"/>
      <c r="N1298" s="7" t="inlineStr">
        <is>
          <t>SEM COTAÇÃO</t>
        </is>
      </c>
      <c r="O1298" s="8" t="n"/>
      <c r="P1298" s="14" t="n"/>
      <c r="Q1298" s="7" t="inlineStr"/>
      <c r="R1298" s="7" t="inlineStr"/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8" t="n"/>
      <c r="N1299" s="7" t="inlineStr">
        <is>
          <t>SEM COTAÇÃO</t>
        </is>
      </c>
      <c r="O1299" s="8" t="n"/>
      <c r="P1299" s="14" t="n"/>
      <c r="Q1299" s="7" t="inlineStr"/>
      <c r="R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8" t="n"/>
      <c r="N1300" s="7" t="inlineStr">
        <is>
          <t>SEM COTAÇÃO</t>
        </is>
      </c>
      <c r="O1300" s="8" t="n"/>
      <c r="P1300" s="14" t="n"/>
      <c r="Q1300" s="7" t="inlineStr"/>
      <c r="R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8" t="n"/>
      <c r="N1301" s="7" t="inlineStr">
        <is>
          <t>SEM COTAÇÃO</t>
        </is>
      </c>
      <c r="O1301" s="8" t="n"/>
      <c r="P1301" s="14" t="n"/>
      <c r="Q1301" s="7" t="inlineStr"/>
      <c r="R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8" t="n"/>
      <c r="N1302" s="7" t="inlineStr">
        <is>
          <t>SEM COTAÇÃO</t>
        </is>
      </c>
      <c r="O1302" s="8" t="n"/>
      <c r="P1302" s="14" t="n"/>
      <c r="Q1302" s="7" t="inlineStr"/>
      <c r="R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8" t="n"/>
      <c r="N1303" s="7" t="inlineStr">
        <is>
          <t>SEM COTAÇÃO</t>
        </is>
      </c>
      <c r="O1303" s="8" t="n"/>
      <c r="P1303" s="14" t="n"/>
      <c r="Q1303" s="7" t="inlineStr"/>
      <c r="R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8" t="n"/>
      <c r="N1304" s="7" t="inlineStr">
        <is>
          <t>SEM COTAÇÃO</t>
        </is>
      </c>
      <c r="O1304" s="8" t="n"/>
      <c r="P1304" s="14" t="n"/>
      <c r="Q1304" s="7" t="inlineStr"/>
      <c r="R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8" t="n"/>
      <c r="N1305" s="7" t="inlineStr">
        <is>
          <t>SEM COTAÇÃO</t>
        </is>
      </c>
      <c r="O1305" s="8" t="n"/>
      <c r="P1305" s="14" t="n"/>
      <c r="Q1305" s="7" t="inlineStr"/>
      <c r="R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8" t="n"/>
      <c r="N1306" s="7" t="inlineStr">
        <is>
          <t>SEM COTAÇÃO</t>
        </is>
      </c>
      <c r="O1306" s="8" t="n"/>
      <c r="P1306" s="14" t="n"/>
      <c r="Q1306" s="7" t="inlineStr"/>
      <c r="R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15" t="n">
        <v>36.87</v>
      </c>
      <c r="M1307" s="8" t="n"/>
      <c r="N1307" s="7" t="inlineStr">
        <is>
          <t>EPAN</t>
        </is>
      </c>
      <c r="O1307" s="8" t="n">
        <v>36.87</v>
      </c>
      <c r="P1307" s="14">
        <f>O1307/H1307-1</f>
        <v/>
      </c>
      <c r="Q1307" s="17" t="inlineStr">
        <is>
          <t>OK (≤ últ. compra)</t>
        </is>
      </c>
      <c r="R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15" t="n">
        <v>46.77</v>
      </c>
      <c r="M1308" s="8" t="n"/>
      <c r="N1308" s="7" t="inlineStr">
        <is>
          <t>EPAN</t>
        </is>
      </c>
      <c r="O1308" s="8" t="n">
        <v>46.77</v>
      </c>
      <c r="P1308" s="14">
        <f>O1308/H1308-1</f>
        <v/>
      </c>
      <c r="Q1308" s="17" t="inlineStr">
        <is>
          <t>OK (≤ últ. compra)</t>
        </is>
      </c>
      <c r="R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8" t="n"/>
      <c r="N1309" s="7" t="inlineStr">
        <is>
          <t>SEM COTAÇÃO</t>
        </is>
      </c>
      <c r="O1309" s="8" t="n"/>
      <c r="P1309" s="14" t="n"/>
      <c r="Q1309" s="7" t="inlineStr"/>
      <c r="R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8" t="n"/>
      <c r="N1310" s="7" t="inlineStr">
        <is>
          <t>SEM COTAÇÃO</t>
        </is>
      </c>
      <c r="O1310" s="8" t="n"/>
      <c r="P1310" s="14" t="n"/>
      <c r="Q1310" s="7" t="inlineStr"/>
      <c r="R1310" s="7" t="inlineStr"/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8" t="n"/>
      <c r="N1311" s="7" t="inlineStr">
        <is>
          <t>SEM COTAÇÃO</t>
        </is>
      </c>
      <c r="O1311" s="8" t="n"/>
      <c r="P1311" s="14" t="n"/>
      <c r="Q1311" s="7" t="inlineStr"/>
      <c r="R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8" t="n"/>
      <c r="N1312" s="7" t="inlineStr">
        <is>
          <t>SEM COTAÇÃO</t>
        </is>
      </c>
      <c r="O1312" s="8" t="n"/>
      <c r="P1312" s="14" t="n"/>
      <c r="Q1312" s="7" t="inlineStr"/>
      <c r="R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8" t="n"/>
      <c r="N1313" s="7" t="inlineStr">
        <is>
          <t>SEM COTAÇÃO</t>
        </is>
      </c>
      <c r="O1313" s="8" t="n"/>
      <c r="P1313" s="14" t="n"/>
      <c r="Q1313" s="7" t="inlineStr"/>
      <c r="R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8" t="n"/>
      <c r="N1314" s="7" t="inlineStr">
        <is>
          <t>SEM COTAÇÃO</t>
        </is>
      </c>
      <c r="O1314" s="8" t="n"/>
      <c r="P1314" s="14" t="n"/>
      <c r="Q1314" s="7" t="inlineStr"/>
      <c r="R1314" s="7" t="inlineStr"/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8" t="n"/>
      <c r="N1315" s="7" t="inlineStr">
        <is>
          <t>SEM COTAÇÃO</t>
        </is>
      </c>
      <c r="O1315" s="8" t="n"/>
      <c r="P1315" s="14" t="n"/>
      <c r="Q1315" s="7" t="inlineStr"/>
      <c r="R1315" s="7" t="inlineStr"/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8" t="n"/>
      <c r="N1316" s="7" t="inlineStr">
        <is>
          <t>SEM COTAÇÃO</t>
        </is>
      </c>
      <c r="O1316" s="8" t="n"/>
      <c r="P1316" s="14" t="n"/>
      <c r="Q1316" s="7" t="inlineStr"/>
      <c r="R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7" t="inlineStr">
        <is>
          <t>SEM COTAÇÃO</t>
        </is>
      </c>
      <c r="O1317" s="8" t="n"/>
      <c r="P1317" s="14" t="n"/>
      <c r="Q1317" s="7" t="inlineStr"/>
      <c r="R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8" t="n"/>
      <c r="N1318" s="7" t="inlineStr">
        <is>
          <t>EPAN</t>
        </is>
      </c>
      <c r="O1318" s="8" t="n">
        <v>20.36</v>
      </c>
      <c r="P1318" s="14">
        <f>O1318/H1318-1</f>
        <v/>
      </c>
      <c r="Q1318" s="17" t="inlineStr">
        <is>
          <t>OK (≤ últ. compra)</t>
        </is>
      </c>
      <c r="R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7" t="inlineStr">
        <is>
          <t>SEM COTAÇÃO</t>
        </is>
      </c>
      <c r="O1319" s="8" t="n"/>
      <c r="P1319" s="14" t="n"/>
      <c r="Q1319" s="7" t="inlineStr"/>
      <c r="R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8" t="n">
        <v>26.33</v>
      </c>
      <c r="N1320" s="7" t="inlineStr">
        <is>
          <t>DIMEC</t>
        </is>
      </c>
      <c r="O1320" s="8" t="n">
        <v>25.99</v>
      </c>
      <c r="P1320" s="14">
        <f>O1320/H1320-1</f>
        <v/>
      </c>
      <c r="Q1320" s="17" t="inlineStr">
        <is>
          <t>OK (≤ últ. compra)</t>
        </is>
      </c>
      <c r="R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15" t="n">
        <v>10.76</v>
      </c>
      <c r="K1321" s="8" t="n"/>
      <c r="L1321" s="8" t="n"/>
      <c r="M1321" s="8" t="n">
        <v>10.91</v>
      </c>
      <c r="N1321" s="7" t="inlineStr">
        <is>
          <t>DIMEC</t>
        </is>
      </c>
      <c r="O1321" s="8" t="n">
        <v>10.76</v>
      </c>
      <c r="P1321" s="14">
        <f>O1321/H1321-1</f>
        <v/>
      </c>
      <c r="Q1321" s="16" t="inlineStr">
        <is>
          <t>ACIMA +3.9%</t>
        </is>
      </c>
      <c r="R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8" t="n"/>
      <c r="N1322" s="7" t="inlineStr">
        <is>
          <t>SEM COTAÇÃO</t>
        </is>
      </c>
      <c r="O1322" s="8" t="n"/>
      <c r="P1322" s="14" t="n"/>
      <c r="Q1322" s="7" t="inlineStr"/>
      <c r="R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8" t="n"/>
      <c r="N1323" s="7" t="inlineStr">
        <is>
          <t>SEM COTAÇÃO</t>
        </is>
      </c>
      <c r="O1323" s="8" t="n"/>
      <c r="P1323" s="14" t="n"/>
      <c r="Q1323" s="7" t="inlineStr"/>
      <c r="R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8" t="n">
        <v>45.22</v>
      </c>
      <c r="N1324" s="7" t="inlineStr">
        <is>
          <t>DIMEC</t>
        </is>
      </c>
      <c r="O1324" s="8" t="n">
        <v>42.53</v>
      </c>
      <c r="P1324" s="14">
        <f>O1324/H1324-1</f>
        <v/>
      </c>
      <c r="Q1324" s="16" t="inlineStr">
        <is>
          <t>ACIMA +1.6%</t>
        </is>
      </c>
      <c r="R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8" t="n"/>
      <c r="N1325" s="7" t="inlineStr">
        <is>
          <t>SEM COTAÇÃO</t>
        </is>
      </c>
      <c r="O1325" s="8" t="n"/>
      <c r="P1325" s="14" t="n"/>
      <c r="Q1325" s="7" t="inlineStr"/>
      <c r="R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8" t="n">
        <v>13.35</v>
      </c>
      <c r="N1326" s="7" t="inlineStr">
        <is>
          <t>DIMEC</t>
        </is>
      </c>
      <c r="O1326" s="8" t="n">
        <v>11.41</v>
      </c>
      <c r="P1326" s="14">
        <f>O1326/H1326-1</f>
        <v/>
      </c>
      <c r="Q1326" s="16" t="inlineStr">
        <is>
          <t>ACIMA +3.8%</t>
        </is>
      </c>
      <c r="R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8" t="n"/>
      <c r="N1327" s="7" t="inlineStr">
        <is>
          <t>SEM COTAÇÃO</t>
        </is>
      </c>
      <c r="O1327" s="8" t="n"/>
      <c r="P1327" s="14" t="n"/>
      <c r="Q1327" s="7" t="inlineStr"/>
      <c r="R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8" t="n"/>
      <c r="N1328" s="7" t="inlineStr">
        <is>
          <t>SEM COTAÇÃO</t>
        </is>
      </c>
      <c r="O1328" s="8" t="n"/>
      <c r="P1328" s="14" t="n"/>
      <c r="Q1328" s="7" t="inlineStr"/>
      <c r="R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8" t="n"/>
      <c r="N1329" s="7" t="inlineStr">
        <is>
          <t>SEM COTAÇÃO</t>
        </is>
      </c>
      <c r="O1329" s="8" t="n"/>
      <c r="P1329" s="14" t="n"/>
      <c r="Q1329" s="7" t="inlineStr"/>
      <c r="R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8" t="n"/>
      <c r="N1330" s="7" t="inlineStr">
        <is>
          <t>SEM COTAÇÃO</t>
        </is>
      </c>
      <c r="O1330" s="8" t="n"/>
      <c r="P1330" s="14" t="n"/>
      <c r="Q1330" s="7" t="inlineStr"/>
      <c r="R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8" t="n"/>
      <c r="N1331" s="7" t="inlineStr">
        <is>
          <t>SEM COTAÇÃO</t>
        </is>
      </c>
      <c r="O1331" s="8" t="n"/>
      <c r="P1331" s="14" t="n"/>
      <c r="Q1331" s="7" t="inlineStr"/>
      <c r="R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8" t="n"/>
      <c r="N1332" s="7" t="inlineStr">
        <is>
          <t>SEM COTAÇÃO</t>
        </is>
      </c>
      <c r="O1332" s="8" t="n"/>
      <c r="P1332" s="14" t="n"/>
      <c r="Q1332" s="7" t="inlineStr"/>
      <c r="R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8" t="n"/>
      <c r="N1333" s="7" t="inlineStr">
        <is>
          <t>SEM COTAÇÃO</t>
        </is>
      </c>
      <c r="O1333" s="8" t="n"/>
      <c r="P1333" s="14" t="n"/>
      <c r="Q1333" s="7" t="inlineStr"/>
      <c r="R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8" t="n"/>
      <c r="N1334" s="7" t="inlineStr">
        <is>
          <t>SEM COTAÇÃO</t>
        </is>
      </c>
      <c r="O1334" s="8" t="n"/>
      <c r="P1334" s="14" t="n"/>
      <c r="Q1334" s="7" t="inlineStr"/>
      <c r="R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8" t="n"/>
      <c r="N1335" s="7" t="inlineStr">
        <is>
          <t>SEM COTAÇÃO</t>
        </is>
      </c>
      <c r="O1335" s="8" t="n"/>
      <c r="P1335" s="14" t="n"/>
      <c r="Q1335" s="7" t="inlineStr"/>
      <c r="R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8" t="n"/>
      <c r="N1336" s="7" t="inlineStr">
        <is>
          <t>SEM COTAÇÃO</t>
        </is>
      </c>
      <c r="O1336" s="8" t="n"/>
      <c r="P1336" s="14" t="n"/>
      <c r="Q1336" s="7" t="inlineStr"/>
      <c r="R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8" t="n"/>
      <c r="N1337" s="7" t="inlineStr">
        <is>
          <t>SEM COTAÇÃO</t>
        </is>
      </c>
      <c r="O1337" s="8" t="n"/>
      <c r="P1337" s="14" t="n"/>
      <c r="Q1337" s="7" t="inlineStr"/>
      <c r="R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8" t="n"/>
      <c r="N1338" s="7" t="inlineStr">
        <is>
          <t>SEM COTAÇÃO</t>
        </is>
      </c>
      <c r="O1338" s="8" t="n"/>
      <c r="P1338" s="14" t="n"/>
      <c r="Q1338" s="7" t="inlineStr"/>
      <c r="R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8" t="n"/>
      <c r="N1339" s="7" t="inlineStr">
        <is>
          <t>SEM COTAÇÃO</t>
        </is>
      </c>
      <c r="O1339" s="8" t="n"/>
      <c r="P1339" s="14" t="n"/>
      <c r="Q1339" s="7" t="inlineStr"/>
      <c r="R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8" t="n"/>
      <c r="N1340" s="7" t="inlineStr">
        <is>
          <t>SEM COTAÇÃO</t>
        </is>
      </c>
      <c r="O1340" s="8" t="n"/>
      <c r="P1340" s="14" t="n"/>
      <c r="Q1340" s="7" t="inlineStr"/>
      <c r="R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8" t="n"/>
      <c r="N1341" s="7" t="inlineStr">
        <is>
          <t>SEM COTAÇÃO</t>
        </is>
      </c>
      <c r="O1341" s="8" t="n"/>
      <c r="P1341" s="14" t="n"/>
      <c r="Q1341" s="7" t="inlineStr"/>
      <c r="R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8" t="n"/>
      <c r="N1342" s="7" t="inlineStr">
        <is>
          <t>EPAN</t>
        </is>
      </c>
      <c r="O1342" s="8" t="n">
        <v>10.89</v>
      </c>
      <c r="P1342" s="14">
        <f>O1342/H1342-1</f>
        <v/>
      </c>
      <c r="Q1342" s="17" t="inlineStr">
        <is>
          <t>OK (≤ menor hist.)</t>
        </is>
      </c>
      <c r="R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8" t="n"/>
      <c r="N1343" s="7" t="inlineStr">
        <is>
          <t>SEM COTAÇÃO</t>
        </is>
      </c>
      <c r="O1343" s="8" t="n"/>
      <c r="P1343" s="14" t="n"/>
      <c r="Q1343" s="7" t="inlineStr"/>
      <c r="R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8" t="n"/>
      <c r="N1344" s="7" t="inlineStr">
        <is>
          <t>SEM COTAÇÃO</t>
        </is>
      </c>
      <c r="O1344" s="8" t="n"/>
      <c r="P1344" s="14" t="n"/>
      <c r="Q1344" s="7" t="inlineStr"/>
      <c r="R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8" t="n"/>
      <c r="N1345" s="7" t="inlineStr">
        <is>
          <t>SEM COTAÇÃO</t>
        </is>
      </c>
      <c r="O1345" s="8" t="n"/>
      <c r="P1345" s="14" t="n"/>
      <c r="Q1345" s="7" t="inlineStr"/>
      <c r="R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8" t="n"/>
      <c r="N1346" s="7" t="inlineStr">
        <is>
          <t>SEM COTAÇÃO</t>
        </is>
      </c>
      <c r="O1346" s="8" t="n"/>
      <c r="P1346" s="14" t="n"/>
      <c r="Q1346" s="7" t="inlineStr"/>
      <c r="R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8" t="n"/>
      <c r="N1347" s="7" t="inlineStr">
        <is>
          <t>SEM COTAÇÃO</t>
        </is>
      </c>
      <c r="O1347" s="8" t="n"/>
      <c r="P1347" s="14" t="n"/>
      <c r="Q1347" s="7" t="inlineStr"/>
      <c r="R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7" t="inlineStr">
        <is>
          <t>SEM COTAÇÃO</t>
        </is>
      </c>
      <c r="O1348" s="8" t="n"/>
      <c r="P1348" s="14" t="n"/>
      <c r="Q1348" s="7" t="inlineStr"/>
      <c r="R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8" t="n"/>
      <c r="N1349" s="7" t="inlineStr">
        <is>
          <t>SEM COTAÇÃO</t>
        </is>
      </c>
      <c r="O1349" s="8" t="n"/>
      <c r="P1349" s="14" t="n"/>
      <c r="Q1349" s="7" t="inlineStr"/>
      <c r="R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8" t="n"/>
      <c r="N1350" s="7" t="inlineStr">
        <is>
          <t>SEM COTAÇÃO</t>
        </is>
      </c>
      <c r="O1350" s="8" t="n"/>
      <c r="P1350" s="14" t="n"/>
      <c r="Q1350" s="7" t="inlineStr"/>
      <c r="R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8" t="n"/>
      <c r="N1351" s="7" t="inlineStr">
        <is>
          <t>SEM COTAÇÃO</t>
        </is>
      </c>
      <c r="O1351" s="8" t="n"/>
      <c r="P1351" s="14" t="n"/>
      <c r="Q1351" s="7" t="inlineStr"/>
      <c r="R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8" t="n"/>
      <c r="N1352" s="7" t="inlineStr">
        <is>
          <t>SEM COTAÇÃO</t>
        </is>
      </c>
      <c r="O1352" s="8" t="n"/>
      <c r="P1352" s="14" t="n"/>
      <c r="Q1352" s="7" t="inlineStr"/>
      <c r="R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8" t="n"/>
      <c r="N1353" s="7" t="inlineStr">
        <is>
          <t>SEM COTAÇÃO</t>
        </is>
      </c>
      <c r="O1353" s="8" t="n"/>
      <c r="P1353" s="14" t="n"/>
      <c r="Q1353" s="7" t="inlineStr"/>
      <c r="R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8" t="n"/>
      <c r="N1354" s="7" t="inlineStr">
        <is>
          <t>SEM COTAÇÃO</t>
        </is>
      </c>
      <c r="O1354" s="8" t="n"/>
      <c r="P1354" s="14" t="n"/>
      <c r="Q1354" s="7" t="inlineStr"/>
      <c r="R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8" t="n"/>
      <c r="N1355" s="7" t="inlineStr">
        <is>
          <t>SEM COTAÇÃO</t>
        </is>
      </c>
      <c r="O1355" s="8" t="n"/>
      <c r="P1355" s="14" t="n"/>
      <c r="Q1355" s="7" t="inlineStr"/>
      <c r="R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8" t="n"/>
      <c r="N1356" s="7" t="inlineStr">
        <is>
          <t>SEM COTAÇÃO</t>
        </is>
      </c>
      <c r="O1356" s="8" t="n"/>
      <c r="P1356" s="14" t="n"/>
      <c r="Q1356" s="7" t="inlineStr"/>
      <c r="R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8" t="n"/>
      <c r="N1357" s="7" t="inlineStr">
        <is>
          <t>SEM COTAÇÃO</t>
        </is>
      </c>
      <c r="O1357" s="8" t="n"/>
      <c r="P1357" s="14" t="n"/>
      <c r="Q1357" s="7" t="inlineStr"/>
      <c r="R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8" t="n"/>
      <c r="N1358" s="7" t="inlineStr">
        <is>
          <t>SEM COTAÇÃO</t>
        </is>
      </c>
      <c r="O1358" s="8" t="n"/>
      <c r="P1358" s="14" t="n"/>
      <c r="Q1358" s="7" t="inlineStr"/>
      <c r="R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8" t="n"/>
      <c r="N1359" s="7" t="inlineStr">
        <is>
          <t>SEM COTAÇÃO</t>
        </is>
      </c>
      <c r="O1359" s="8" t="n"/>
      <c r="P1359" s="14" t="n"/>
      <c r="Q1359" s="7" t="inlineStr"/>
      <c r="R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8" t="n"/>
      <c r="N1360" s="7" t="inlineStr">
        <is>
          <t>SEM COTAÇÃO</t>
        </is>
      </c>
      <c r="O1360" s="8" t="n"/>
      <c r="P1360" s="14" t="n"/>
      <c r="Q1360" s="7" t="inlineStr"/>
      <c r="R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8" t="n"/>
      <c r="N1361" s="7" t="inlineStr">
        <is>
          <t>SEM COTAÇÃO</t>
        </is>
      </c>
      <c r="O1361" s="8" t="n"/>
      <c r="P1361" s="14" t="n"/>
      <c r="Q1361" s="7" t="inlineStr"/>
      <c r="R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8" t="n"/>
      <c r="N1362" s="7" t="inlineStr">
        <is>
          <t>SEM COTAÇÃO</t>
        </is>
      </c>
      <c r="O1362" s="8" t="n"/>
      <c r="P1362" s="14" t="n"/>
      <c r="Q1362" s="7" t="inlineStr"/>
      <c r="R1362" s="7" t="inlineStr"/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8" t="n"/>
      <c r="N1363" s="7" t="inlineStr">
        <is>
          <t>SEM COTAÇÃO</t>
        </is>
      </c>
      <c r="O1363" s="8" t="n"/>
      <c r="P1363" s="14" t="n"/>
      <c r="Q1363" s="7" t="inlineStr"/>
      <c r="R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8" t="n"/>
      <c r="N1364" s="7" t="inlineStr">
        <is>
          <t>SEM COTAÇÃO</t>
        </is>
      </c>
      <c r="O1364" s="8" t="n"/>
      <c r="P1364" s="14" t="n"/>
      <c r="Q1364" s="7" t="inlineStr"/>
      <c r="R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8" t="n"/>
      <c r="N1365" s="7" t="inlineStr">
        <is>
          <t>SEM COTAÇÃO</t>
        </is>
      </c>
      <c r="O1365" s="8" t="n"/>
      <c r="P1365" s="14" t="n"/>
      <c r="Q1365" s="7" t="inlineStr"/>
      <c r="R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8" t="n"/>
      <c r="N1366" s="7" t="inlineStr">
        <is>
          <t>SEM COTAÇÃO</t>
        </is>
      </c>
      <c r="O1366" s="8" t="n"/>
      <c r="P1366" s="14" t="n"/>
      <c r="Q1366" s="7" t="inlineStr"/>
      <c r="R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8" t="n"/>
      <c r="N1367" s="7" t="inlineStr">
        <is>
          <t>SEM COTAÇÃO</t>
        </is>
      </c>
      <c r="O1367" s="8" t="n"/>
      <c r="P1367" s="14" t="n"/>
      <c r="Q1367" s="7" t="inlineStr"/>
      <c r="R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8" t="n"/>
      <c r="N1368" s="7" t="inlineStr">
        <is>
          <t>SEM COTAÇÃO</t>
        </is>
      </c>
      <c r="O1368" s="8" t="n"/>
      <c r="P1368" s="14" t="n"/>
      <c r="Q1368" s="7" t="inlineStr"/>
      <c r="R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8" t="n"/>
      <c r="N1369" s="7" t="inlineStr">
        <is>
          <t>SEM COTAÇÃO</t>
        </is>
      </c>
      <c r="O1369" s="8" t="n"/>
      <c r="P1369" s="14" t="n"/>
      <c r="Q1369" s="7" t="inlineStr"/>
      <c r="R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8" t="n"/>
      <c r="N1370" s="7" t="inlineStr">
        <is>
          <t>SEM COTAÇÃO</t>
        </is>
      </c>
      <c r="O1370" s="8" t="n"/>
      <c r="P1370" s="14" t="n"/>
      <c r="Q1370" s="7" t="inlineStr"/>
      <c r="R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8" t="n"/>
      <c r="N1371" s="7" t="inlineStr">
        <is>
          <t>SEM COTAÇÃO</t>
        </is>
      </c>
      <c r="O1371" s="8" t="n"/>
      <c r="P1371" s="14" t="n"/>
      <c r="Q1371" s="7" t="inlineStr"/>
      <c r="R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8" t="n"/>
      <c r="N1372" s="7" t="inlineStr">
        <is>
          <t>SEM COTAÇÃO</t>
        </is>
      </c>
      <c r="O1372" s="8" t="n"/>
      <c r="P1372" s="14" t="n"/>
      <c r="Q1372" s="7" t="inlineStr"/>
      <c r="R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8" t="n"/>
      <c r="N1373" s="7" t="inlineStr">
        <is>
          <t>SEM COTAÇÃO</t>
        </is>
      </c>
      <c r="O1373" s="8" t="n"/>
      <c r="P1373" s="14" t="n"/>
      <c r="Q1373" s="7" t="inlineStr"/>
      <c r="R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8" t="n"/>
      <c r="N1374" s="7" t="inlineStr">
        <is>
          <t>SEM COTAÇÃO</t>
        </is>
      </c>
      <c r="O1374" s="8" t="n"/>
      <c r="P1374" s="14" t="n"/>
      <c r="Q1374" s="7" t="inlineStr"/>
      <c r="R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8" t="n"/>
      <c r="N1375" s="7" t="inlineStr">
        <is>
          <t>SEM COTAÇÃO</t>
        </is>
      </c>
      <c r="O1375" s="8" t="n"/>
      <c r="P1375" s="14" t="n"/>
      <c r="Q1375" s="7" t="inlineStr"/>
      <c r="R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8" t="n"/>
      <c r="N1376" s="7" t="inlineStr">
        <is>
          <t>SEM COTAÇÃO</t>
        </is>
      </c>
      <c r="O1376" s="8" t="n"/>
      <c r="P1376" s="14" t="n"/>
      <c r="Q1376" s="7" t="inlineStr"/>
      <c r="R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8" t="n"/>
      <c r="N1377" s="7" t="inlineStr">
        <is>
          <t>SEM COTAÇÃO</t>
        </is>
      </c>
      <c r="O1377" s="8" t="n"/>
      <c r="P1377" s="14" t="n"/>
      <c r="Q1377" s="7" t="inlineStr"/>
      <c r="R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8" t="n"/>
      <c r="N1378" s="7" t="inlineStr">
        <is>
          <t>SEM COTAÇÃO</t>
        </is>
      </c>
      <c r="O1378" s="8" t="n"/>
      <c r="P1378" s="14" t="n"/>
      <c r="Q1378" s="7" t="inlineStr"/>
      <c r="R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8" t="n"/>
      <c r="N1379" s="7" t="inlineStr">
        <is>
          <t>SEM COTAÇÃO</t>
        </is>
      </c>
      <c r="O1379" s="8" t="n"/>
      <c r="P1379" s="14" t="n"/>
      <c r="Q1379" s="7" t="inlineStr"/>
      <c r="R1379" s="7" t="inlineStr"/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8" t="n"/>
      <c r="N1380" s="7" t="inlineStr">
        <is>
          <t>SEM COTAÇÃO</t>
        </is>
      </c>
      <c r="O1380" s="8" t="n"/>
      <c r="P1380" s="14" t="n"/>
      <c r="Q1380" s="7" t="inlineStr"/>
      <c r="R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8" t="n"/>
      <c r="N1381" s="7" t="inlineStr">
        <is>
          <t>SEM COTAÇÃO</t>
        </is>
      </c>
      <c r="O1381" s="8" t="n"/>
      <c r="P1381" s="14" t="n"/>
      <c r="Q1381" s="7" t="inlineStr"/>
      <c r="R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8" t="n"/>
      <c r="N1382" s="7" t="inlineStr">
        <is>
          <t>SEM COTAÇÃO</t>
        </is>
      </c>
      <c r="O1382" s="8" t="n"/>
      <c r="P1382" s="14" t="n"/>
      <c r="Q1382" s="7" t="inlineStr"/>
      <c r="R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8" t="n"/>
      <c r="N1383" s="7" t="inlineStr">
        <is>
          <t>SEM COTAÇÃO</t>
        </is>
      </c>
      <c r="O1383" s="8" t="n"/>
      <c r="P1383" s="14" t="n"/>
      <c r="Q1383" s="7" t="inlineStr"/>
      <c r="R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8" t="n"/>
      <c r="N1384" s="7" t="inlineStr">
        <is>
          <t>SEM COTAÇÃO</t>
        </is>
      </c>
      <c r="O1384" s="8" t="n"/>
      <c r="P1384" s="14" t="n"/>
      <c r="Q1384" s="7" t="inlineStr"/>
      <c r="R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8" t="n"/>
      <c r="N1385" s="7" t="inlineStr">
        <is>
          <t>SEM COTAÇÃO</t>
        </is>
      </c>
      <c r="O1385" s="8" t="n"/>
      <c r="P1385" s="14" t="n"/>
      <c r="Q1385" s="7" t="inlineStr"/>
      <c r="R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8" t="n"/>
      <c r="N1386" s="7" t="inlineStr">
        <is>
          <t>SEM COTAÇÃO</t>
        </is>
      </c>
      <c r="O1386" s="8" t="n"/>
      <c r="P1386" s="14" t="n"/>
      <c r="Q1386" s="7" t="inlineStr"/>
      <c r="R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8" t="n"/>
      <c r="N1387" s="7" t="inlineStr">
        <is>
          <t>SEM COTAÇÃO</t>
        </is>
      </c>
      <c r="O1387" s="8" t="n"/>
      <c r="P1387" s="14" t="n"/>
      <c r="Q1387" s="7" t="inlineStr"/>
      <c r="R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8" t="n"/>
      <c r="N1388" s="7" t="inlineStr">
        <is>
          <t>SEM COTAÇÃO</t>
        </is>
      </c>
      <c r="O1388" s="8" t="n"/>
      <c r="P1388" s="14" t="n"/>
      <c r="Q1388" s="7" t="inlineStr"/>
      <c r="R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8" t="n"/>
      <c r="N1389" s="7" t="inlineStr">
        <is>
          <t>SEM COTAÇÃO</t>
        </is>
      </c>
      <c r="O1389" s="8" t="n"/>
      <c r="P1389" s="14" t="n"/>
      <c r="Q1389" s="7" t="inlineStr"/>
      <c r="R1389" s="7" t="inlineStr"/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8" t="n"/>
      <c r="N1390" s="7" t="inlineStr">
        <is>
          <t>EPAN</t>
        </is>
      </c>
      <c r="O1390" s="8" t="n">
        <v>6.56</v>
      </c>
      <c r="P1390" s="14">
        <f>O1390/H1390-1</f>
        <v/>
      </c>
      <c r="Q1390" s="17" t="inlineStr">
        <is>
          <t>OK (≤ menor hist.)</t>
        </is>
      </c>
      <c r="R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8" t="n"/>
      <c r="N1391" s="7" t="inlineStr">
        <is>
          <t>SEM COTAÇÃO</t>
        </is>
      </c>
      <c r="O1391" s="8" t="n"/>
      <c r="P1391" s="14" t="n"/>
      <c r="Q1391" s="7" t="inlineStr"/>
      <c r="R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8" t="n"/>
      <c r="N1392" s="7" t="inlineStr">
        <is>
          <t>SEM COTAÇÃO</t>
        </is>
      </c>
      <c r="O1392" s="8" t="n"/>
      <c r="P1392" s="14" t="n"/>
      <c r="Q1392" s="7" t="inlineStr"/>
      <c r="R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8" t="n"/>
      <c r="N1393" s="7" t="inlineStr">
        <is>
          <t>SEM COTAÇÃO</t>
        </is>
      </c>
      <c r="O1393" s="8" t="n"/>
      <c r="P1393" s="14" t="n"/>
      <c r="Q1393" s="7" t="inlineStr"/>
      <c r="R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7" t="inlineStr">
        <is>
          <t>SEM COTAÇÃO</t>
        </is>
      </c>
      <c r="O1394" s="8" t="n"/>
      <c r="P1394" s="14" t="n"/>
      <c r="Q1394" s="7" t="inlineStr"/>
      <c r="R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8" t="n"/>
      <c r="N1395" s="7" t="inlineStr">
        <is>
          <t>SEM COTAÇÃO</t>
        </is>
      </c>
      <c r="O1395" s="8" t="n"/>
      <c r="P1395" s="14" t="n"/>
      <c r="Q1395" s="7" t="inlineStr"/>
      <c r="R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8" t="n"/>
      <c r="N1396" s="7" t="inlineStr">
        <is>
          <t>SEM COTAÇÃO</t>
        </is>
      </c>
      <c r="O1396" s="8" t="n"/>
      <c r="P1396" s="14" t="n"/>
      <c r="Q1396" s="7" t="inlineStr"/>
      <c r="R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8" t="n"/>
      <c r="N1397" s="7" t="inlineStr">
        <is>
          <t>SEM COTAÇÃO</t>
        </is>
      </c>
      <c r="O1397" s="8" t="n"/>
      <c r="P1397" s="14" t="n"/>
      <c r="Q1397" s="7" t="inlineStr"/>
      <c r="R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8" t="n"/>
      <c r="N1398" s="7" t="inlineStr">
        <is>
          <t>SEM COTAÇÃO</t>
        </is>
      </c>
      <c r="O1398" s="8" t="n"/>
      <c r="P1398" s="14" t="n"/>
      <c r="Q1398" s="7" t="inlineStr"/>
      <c r="R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8" t="n"/>
      <c r="N1399" s="7" t="inlineStr">
        <is>
          <t>SEM COTAÇÃO</t>
        </is>
      </c>
      <c r="O1399" s="8" t="n"/>
      <c r="P1399" s="14" t="n"/>
      <c r="Q1399" s="7" t="inlineStr"/>
      <c r="R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8" t="n"/>
      <c r="N1400" s="7" t="inlineStr">
        <is>
          <t>SEM COTAÇÃO</t>
        </is>
      </c>
      <c r="O1400" s="8" t="n"/>
      <c r="P1400" s="14" t="n"/>
      <c r="Q1400" s="7" t="inlineStr"/>
      <c r="R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8" t="n"/>
      <c r="N1401" s="7" t="inlineStr">
        <is>
          <t>SEM COTAÇÃO</t>
        </is>
      </c>
      <c r="O1401" s="8" t="n"/>
      <c r="P1401" s="14" t="n"/>
      <c r="Q1401" s="7" t="inlineStr"/>
      <c r="R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15" t="n">
        <v>2.37</v>
      </c>
      <c r="N1402" s="7" t="inlineStr">
        <is>
          <t>CENTROFARMA</t>
        </is>
      </c>
      <c r="O1402" s="8" t="n">
        <v>2.37</v>
      </c>
      <c r="P1402" s="14">
        <f>O1402/H1402-1</f>
        <v/>
      </c>
      <c r="Q1402" s="16" t="inlineStr">
        <is>
          <t>ACIMA +2.6%</t>
        </is>
      </c>
      <c r="R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15" t="n">
        <v>2.37</v>
      </c>
      <c r="N1403" s="7" t="inlineStr">
        <is>
          <t>CENTROFARMA</t>
        </is>
      </c>
      <c r="O1403" s="8" t="n">
        <v>2.37</v>
      </c>
      <c r="P1403" s="14">
        <f>O1403/H1403-1</f>
        <v/>
      </c>
      <c r="Q1403" s="16" t="inlineStr">
        <is>
          <t>ACIMA +5.3%</t>
        </is>
      </c>
      <c r="R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8" t="n"/>
      <c r="N1404" s="7" t="inlineStr">
        <is>
          <t>SEM COTAÇÃO</t>
        </is>
      </c>
      <c r="O1404" s="8" t="n"/>
      <c r="P1404" s="14" t="n"/>
      <c r="Q1404" s="7" t="inlineStr"/>
      <c r="R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8" t="n"/>
      <c r="N1405" s="7" t="inlineStr">
        <is>
          <t>SEM COTAÇÃO</t>
        </is>
      </c>
      <c r="O1405" s="8" t="n"/>
      <c r="P1405" s="14" t="n"/>
      <c r="Q1405" s="7" t="inlineStr"/>
      <c r="R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8" t="n"/>
      <c r="N1406" s="7" t="inlineStr">
        <is>
          <t>SEM COTAÇÃO</t>
        </is>
      </c>
      <c r="O1406" s="8" t="n"/>
      <c r="P1406" s="14" t="n"/>
      <c r="Q1406" s="7" t="inlineStr"/>
      <c r="R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8" t="n"/>
      <c r="N1407" s="7" t="inlineStr">
        <is>
          <t>SEM COTAÇÃO</t>
        </is>
      </c>
      <c r="O1407" s="8" t="n"/>
      <c r="P1407" s="14" t="n"/>
      <c r="Q1407" s="7" t="inlineStr"/>
      <c r="R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8" t="n"/>
      <c r="N1408" s="7" t="inlineStr">
        <is>
          <t>SEM COTAÇÃO</t>
        </is>
      </c>
      <c r="O1408" s="8" t="n"/>
      <c r="P1408" s="14" t="n"/>
      <c r="Q1408" s="7" t="inlineStr"/>
      <c r="R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8" t="n"/>
      <c r="N1409" s="7" t="inlineStr">
        <is>
          <t>SEM COTAÇÃO</t>
        </is>
      </c>
      <c r="O1409" s="8" t="n"/>
      <c r="P1409" s="14" t="n"/>
      <c r="Q1409" s="7" t="inlineStr"/>
      <c r="R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8" t="n"/>
      <c r="N1410" s="7" t="inlineStr">
        <is>
          <t>SEM COTAÇÃO</t>
        </is>
      </c>
      <c r="O1410" s="8" t="n"/>
      <c r="P1410" s="14" t="n"/>
      <c r="Q1410" s="7" t="inlineStr"/>
      <c r="R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8" t="n"/>
      <c r="N1411" s="7" t="inlineStr">
        <is>
          <t>SEM COTAÇÃO</t>
        </is>
      </c>
      <c r="O1411" s="8" t="n"/>
      <c r="P1411" s="14" t="n"/>
      <c r="Q1411" s="7" t="inlineStr"/>
      <c r="R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8" t="n"/>
      <c r="N1412" s="7" t="inlineStr">
        <is>
          <t>SEM COTAÇÃO</t>
        </is>
      </c>
      <c r="O1412" s="8" t="n"/>
      <c r="P1412" s="14" t="n"/>
      <c r="Q1412" s="7" t="inlineStr"/>
      <c r="R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8" t="n"/>
      <c r="N1413" s="7" t="inlineStr">
        <is>
          <t>SEM COTAÇÃO</t>
        </is>
      </c>
      <c r="O1413" s="8" t="n"/>
      <c r="P1413" s="14" t="n"/>
      <c r="Q1413" s="7" t="inlineStr"/>
      <c r="R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8" t="n"/>
      <c r="N1414" s="7" t="inlineStr">
        <is>
          <t>SEM COTAÇÃO</t>
        </is>
      </c>
      <c r="O1414" s="8" t="n"/>
      <c r="P1414" s="14" t="n"/>
      <c r="Q1414" s="7" t="inlineStr"/>
      <c r="R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8" t="n"/>
      <c r="N1415" s="7" t="inlineStr">
        <is>
          <t>SEM COTAÇÃO</t>
        </is>
      </c>
      <c r="O1415" s="8" t="n"/>
      <c r="P1415" s="14" t="n"/>
      <c r="Q1415" s="7" t="inlineStr"/>
      <c r="R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8" t="n"/>
      <c r="N1416" s="7" t="inlineStr">
        <is>
          <t>SEM COTAÇÃO</t>
        </is>
      </c>
      <c r="O1416" s="8" t="n"/>
      <c r="P1416" s="14" t="n"/>
      <c r="Q1416" s="7" t="inlineStr"/>
      <c r="R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8" t="n"/>
      <c r="N1417" s="7" t="inlineStr">
        <is>
          <t>SEM COTAÇÃO</t>
        </is>
      </c>
      <c r="O1417" s="8" t="n"/>
      <c r="P1417" s="14" t="n"/>
      <c r="Q1417" s="7" t="inlineStr"/>
      <c r="R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8" t="n"/>
      <c r="N1418" s="7" t="inlineStr">
        <is>
          <t>SEM COTAÇÃO</t>
        </is>
      </c>
      <c r="O1418" s="8" t="n"/>
      <c r="P1418" s="14" t="n"/>
      <c r="Q1418" s="7" t="inlineStr"/>
      <c r="R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8" t="n"/>
      <c r="N1419" s="7" t="inlineStr">
        <is>
          <t>SEM COTAÇÃO</t>
        </is>
      </c>
      <c r="O1419" s="8" t="n"/>
      <c r="P1419" s="14" t="n"/>
      <c r="Q1419" s="7" t="inlineStr"/>
      <c r="R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8" t="n"/>
      <c r="N1420" s="7" t="inlineStr">
        <is>
          <t>DIMEC</t>
        </is>
      </c>
      <c r="O1420" s="8" t="n">
        <v>4.83</v>
      </c>
      <c r="P1420" s="14">
        <f>O1420/H1420-1</f>
        <v/>
      </c>
      <c r="Q1420" s="17" t="inlineStr">
        <is>
          <t>OK (≤ menor hist.)</t>
        </is>
      </c>
      <c r="R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8" t="n"/>
      <c r="N1421" s="7" t="inlineStr">
        <is>
          <t>SEM COTAÇÃO</t>
        </is>
      </c>
      <c r="O1421" s="8" t="n"/>
      <c r="P1421" s="14" t="n"/>
      <c r="Q1421" s="7" t="inlineStr"/>
      <c r="R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8" t="n"/>
      <c r="N1422" s="7" t="inlineStr">
        <is>
          <t>SEM COTAÇÃO</t>
        </is>
      </c>
      <c r="O1422" s="8" t="n"/>
      <c r="P1422" s="14" t="n"/>
      <c r="Q1422" s="7" t="inlineStr"/>
      <c r="R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8" t="n"/>
      <c r="N1423" s="7" t="inlineStr">
        <is>
          <t>SEM COTAÇÃO</t>
        </is>
      </c>
      <c r="O1423" s="8" t="n"/>
      <c r="P1423" s="14" t="n"/>
      <c r="Q1423" s="7" t="inlineStr"/>
      <c r="R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8" t="n"/>
      <c r="N1424" s="7" t="inlineStr">
        <is>
          <t>SEM COTAÇÃO</t>
        </is>
      </c>
      <c r="O1424" s="8" t="n"/>
      <c r="P1424" s="14" t="n"/>
      <c r="Q1424" s="7" t="inlineStr"/>
      <c r="R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7" t="inlineStr">
        <is>
          <t>SEM COTAÇÃO</t>
        </is>
      </c>
      <c r="O1425" s="8" t="n"/>
      <c r="P1425" s="14" t="n"/>
      <c r="Q1425" s="7" t="inlineStr"/>
      <c r="R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7" t="inlineStr">
        <is>
          <t>SEM COTAÇÃO</t>
        </is>
      </c>
      <c r="O1426" s="8" t="n"/>
      <c r="P1426" s="14" t="n"/>
      <c r="Q1426" s="7" t="inlineStr"/>
      <c r="R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8" t="n"/>
      <c r="N1427" s="7" t="inlineStr">
        <is>
          <t>SEM COTAÇÃO</t>
        </is>
      </c>
      <c r="O1427" s="8" t="n"/>
      <c r="P1427" s="14" t="n"/>
      <c r="Q1427" s="7" t="inlineStr"/>
      <c r="R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8" t="n"/>
      <c r="N1428" s="7" t="inlineStr">
        <is>
          <t>SEM COTAÇÃO</t>
        </is>
      </c>
      <c r="O1428" s="8" t="n"/>
      <c r="P1428" s="14" t="n"/>
      <c r="Q1428" s="7" t="inlineStr"/>
      <c r="R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8" t="n"/>
      <c r="N1429" s="7" t="inlineStr">
        <is>
          <t>SEM COTAÇÃO</t>
        </is>
      </c>
      <c r="O1429" s="8" t="n"/>
      <c r="P1429" s="14" t="n"/>
      <c r="Q1429" s="7" t="inlineStr"/>
      <c r="R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8" t="n"/>
      <c r="N1430" s="7" t="inlineStr">
        <is>
          <t>SEM COTAÇÃO</t>
        </is>
      </c>
      <c r="O1430" s="8" t="n"/>
      <c r="P1430" s="14" t="n"/>
      <c r="Q1430" s="7" t="inlineStr"/>
      <c r="R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8" t="n"/>
      <c r="N1431" s="7" t="inlineStr">
        <is>
          <t>SEM COTAÇÃO</t>
        </is>
      </c>
      <c r="O1431" s="8" t="n"/>
      <c r="P1431" s="14" t="n"/>
      <c r="Q1431" s="7" t="inlineStr"/>
      <c r="R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8" t="n"/>
      <c r="N1432" s="7" t="inlineStr">
        <is>
          <t>SEM COTAÇÃO</t>
        </is>
      </c>
      <c r="O1432" s="8" t="n"/>
      <c r="P1432" s="14" t="n"/>
      <c r="Q1432" s="7" t="inlineStr"/>
      <c r="R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8" t="n"/>
      <c r="N1433" s="7" t="inlineStr">
        <is>
          <t>SEM COTAÇÃO</t>
        </is>
      </c>
      <c r="O1433" s="8" t="n"/>
      <c r="P1433" s="14" t="n"/>
      <c r="Q1433" s="7" t="inlineStr"/>
      <c r="R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8" t="n"/>
      <c r="N1434" s="7" t="inlineStr">
        <is>
          <t>SEM COTAÇÃO</t>
        </is>
      </c>
      <c r="O1434" s="8" t="n"/>
      <c r="P1434" s="14" t="n"/>
      <c r="Q1434" s="7" t="inlineStr"/>
      <c r="R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8" t="n"/>
      <c r="N1435" s="7" t="inlineStr">
        <is>
          <t>SEM COTAÇÃO</t>
        </is>
      </c>
      <c r="O1435" s="8" t="n"/>
      <c r="P1435" s="14" t="n"/>
      <c r="Q1435" s="7" t="inlineStr"/>
      <c r="R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8" t="n"/>
      <c r="N1436" s="7" t="inlineStr">
        <is>
          <t>SEM COTAÇÃO</t>
        </is>
      </c>
      <c r="O1436" s="8" t="n"/>
      <c r="P1436" s="14" t="n"/>
      <c r="Q1436" s="7" t="inlineStr"/>
      <c r="R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8" t="n"/>
      <c r="N1437" s="7" t="inlineStr">
        <is>
          <t>SEM COTAÇÃO</t>
        </is>
      </c>
      <c r="O1437" s="8" t="n"/>
      <c r="P1437" s="14" t="n"/>
      <c r="Q1437" s="7" t="inlineStr"/>
      <c r="R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8" t="n"/>
      <c r="N1438" s="7" t="inlineStr">
        <is>
          <t>SEM COTAÇÃO</t>
        </is>
      </c>
      <c r="O1438" s="8" t="n"/>
      <c r="P1438" s="14" t="n"/>
      <c r="Q1438" s="7" t="inlineStr"/>
      <c r="R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8" t="n"/>
      <c r="N1439" s="7" t="inlineStr">
        <is>
          <t>SEM COTAÇÃO</t>
        </is>
      </c>
      <c r="O1439" s="8" t="n"/>
      <c r="P1439" s="14" t="n"/>
      <c r="Q1439" s="7" t="inlineStr"/>
      <c r="R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8" t="n"/>
      <c r="N1440" s="7" t="inlineStr">
        <is>
          <t>SEM COTAÇÃO</t>
        </is>
      </c>
      <c r="O1440" s="8" t="n"/>
      <c r="P1440" s="14" t="n"/>
      <c r="Q1440" s="7" t="inlineStr"/>
      <c r="R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7" t="inlineStr">
        <is>
          <t>SEM COTAÇÃO</t>
        </is>
      </c>
      <c r="O1441" s="8" t="n"/>
      <c r="P1441" s="14" t="n"/>
      <c r="Q1441" s="7" t="inlineStr"/>
      <c r="R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8" t="n"/>
      <c r="N1442" s="7" t="inlineStr">
        <is>
          <t>SEM COTAÇÃO</t>
        </is>
      </c>
      <c r="O1442" s="8" t="n"/>
      <c r="P1442" s="14" t="n"/>
      <c r="Q1442" s="7" t="inlineStr"/>
      <c r="R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8" t="n"/>
      <c r="N1443" s="7" t="inlineStr">
        <is>
          <t>SEM COTAÇÃO</t>
        </is>
      </c>
      <c r="O1443" s="8" t="n"/>
      <c r="P1443" s="14" t="n"/>
      <c r="Q1443" s="7" t="inlineStr"/>
      <c r="R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8" t="n"/>
      <c r="N1444" s="7" t="inlineStr">
        <is>
          <t>PLUSFARMA</t>
        </is>
      </c>
      <c r="O1444" s="8" t="n">
        <v>29.27</v>
      </c>
      <c r="P1444" s="14">
        <f>O1444/H1444-1</f>
        <v/>
      </c>
      <c r="Q1444" s="16" t="inlineStr">
        <is>
          <t>ACIMA +19.2%</t>
        </is>
      </c>
      <c r="R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8" t="n"/>
      <c r="N1445" s="7" t="inlineStr">
        <is>
          <t>SEM COTAÇÃO</t>
        </is>
      </c>
      <c r="O1445" s="8" t="n"/>
      <c r="P1445" s="14" t="n"/>
      <c r="Q1445" s="7" t="inlineStr"/>
      <c r="R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8" t="n"/>
      <c r="N1446" s="7" t="inlineStr">
        <is>
          <t>EPAN</t>
        </is>
      </c>
      <c r="O1446" s="8" t="n">
        <v>37.6</v>
      </c>
      <c r="P1446" s="14">
        <f>O1446/H1446-1</f>
        <v/>
      </c>
      <c r="Q1446" s="17" t="inlineStr">
        <is>
          <t>OK (≤ últ. compra)</t>
        </is>
      </c>
      <c r="R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8" t="n"/>
      <c r="N1447" s="7" t="inlineStr">
        <is>
          <t>SEM COTAÇÃO</t>
        </is>
      </c>
      <c r="O1447" s="8" t="n"/>
      <c r="P1447" s="14" t="n"/>
      <c r="Q1447" s="7" t="inlineStr"/>
      <c r="R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8" t="n"/>
      <c r="N1448" s="7" t="inlineStr">
        <is>
          <t>SEM COTAÇÃO</t>
        </is>
      </c>
      <c r="O1448" s="8" t="n"/>
      <c r="P1448" s="14" t="n"/>
      <c r="Q1448" s="7" t="inlineStr"/>
      <c r="R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8" t="n"/>
      <c r="N1449" s="7" t="inlineStr">
        <is>
          <t>SEM COTAÇÃO</t>
        </is>
      </c>
      <c r="O1449" s="8" t="n"/>
      <c r="P1449" s="14" t="n"/>
      <c r="Q1449" s="7" t="inlineStr"/>
      <c r="R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8" t="n"/>
      <c r="N1450" s="7" t="inlineStr">
        <is>
          <t>SEM COTAÇÃO</t>
        </is>
      </c>
      <c r="O1450" s="8" t="n"/>
      <c r="P1450" s="14" t="n"/>
      <c r="Q1450" s="7" t="inlineStr"/>
      <c r="R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8" t="n"/>
      <c r="N1451" s="7" t="inlineStr">
        <is>
          <t>SEM COTAÇÃO</t>
        </is>
      </c>
      <c r="O1451" s="8" t="n"/>
      <c r="P1451" s="14" t="n"/>
      <c r="Q1451" s="7" t="inlineStr"/>
      <c r="R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8" t="n"/>
      <c r="N1452" s="7" t="inlineStr">
        <is>
          <t>SEM COTAÇÃO</t>
        </is>
      </c>
      <c r="O1452" s="8" t="n"/>
      <c r="P1452" s="14" t="n"/>
      <c r="Q1452" s="7" t="inlineStr"/>
      <c r="R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8" t="n"/>
      <c r="N1453" s="7" t="inlineStr">
        <is>
          <t>SEM COTAÇÃO</t>
        </is>
      </c>
      <c r="O1453" s="8" t="n"/>
      <c r="P1453" s="14" t="n"/>
      <c r="Q1453" s="7" t="inlineStr"/>
      <c r="R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15" t="n">
        <v>32.08</v>
      </c>
      <c r="M1454" s="8" t="n"/>
      <c r="N1454" s="7" t="inlineStr">
        <is>
          <t>EPAN</t>
        </is>
      </c>
      <c r="O1454" s="8" t="n">
        <v>32.08</v>
      </c>
      <c r="P1454" s="14">
        <f>O1454/H1454-1</f>
        <v/>
      </c>
      <c r="Q1454" s="17" t="inlineStr">
        <is>
          <t>OK (≤ últ. compra)</t>
        </is>
      </c>
      <c r="R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8" t="n"/>
      <c r="N1455" s="7" t="inlineStr">
        <is>
          <t>SEM COTAÇÃO</t>
        </is>
      </c>
      <c r="O1455" s="8" t="n"/>
      <c r="P1455" s="14" t="n"/>
      <c r="Q1455" s="7" t="inlineStr"/>
      <c r="R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8" t="n"/>
      <c r="N1456" s="7" t="inlineStr">
        <is>
          <t>SEM COTAÇÃO</t>
        </is>
      </c>
      <c r="O1456" s="8" t="n"/>
      <c r="P1456" s="14" t="n"/>
      <c r="Q1456" s="7" t="inlineStr"/>
      <c r="R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8" t="n"/>
      <c r="N1457" s="7" t="inlineStr">
        <is>
          <t>DIMEC</t>
        </is>
      </c>
      <c r="O1457" s="8" t="n">
        <v>1.65</v>
      </c>
      <c r="P1457" s="14">
        <f>O1457/H1457-1</f>
        <v/>
      </c>
      <c r="Q1457" s="17" t="inlineStr">
        <is>
          <t>OK (≤ menor hist.)</t>
        </is>
      </c>
      <c r="R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8" t="n"/>
      <c r="N1458" s="7" t="inlineStr">
        <is>
          <t>PLUSFARMA</t>
        </is>
      </c>
      <c r="O1458" s="8" t="n">
        <v>28.55</v>
      </c>
      <c r="P1458" s="14">
        <f>O1458/H1458-1</f>
        <v/>
      </c>
      <c r="Q1458" s="16" t="inlineStr">
        <is>
          <t>ACIMA +7.5%</t>
        </is>
      </c>
      <c r="R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8" t="n"/>
      <c r="M1459" s="8" t="n"/>
      <c r="N1459" s="7" t="inlineStr">
        <is>
          <t>DIMEC</t>
        </is>
      </c>
      <c r="O1459" s="8" t="n">
        <v>9.17</v>
      </c>
      <c r="P1459" s="14">
        <f>O1459/H1459-1</f>
        <v/>
      </c>
      <c r="Q1459" s="16" t="inlineStr">
        <is>
          <t>ACIMA +8.1%</t>
        </is>
      </c>
      <c r="R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8" t="n"/>
      <c r="N1460" s="7" t="inlineStr">
        <is>
          <t>SEM COTAÇÃO</t>
        </is>
      </c>
      <c r="O1460" s="8" t="n"/>
      <c r="P1460" s="14" t="n"/>
      <c r="Q1460" s="7" t="inlineStr"/>
      <c r="R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8" t="n"/>
      <c r="N1461" s="7" t="inlineStr">
        <is>
          <t>SEM COTAÇÃO</t>
        </is>
      </c>
      <c r="O1461" s="8" t="n"/>
      <c r="P1461" s="14" t="n"/>
      <c r="Q1461" s="7" t="inlineStr"/>
      <c r="R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8" t="n"/>
      <c r="N1462" s="7" t="inlineStr">
        <is>
          <t>SEM COTAÇÃO</t>
        </is>
      </c>
      <c r="O1462" s="8" t="n"/>
      <c r="P1462" s="14" t="n"/>
      <c r="Q1462" s="7" t="inlineStr"/>
      <c r="R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8" t="n"/>
      <c r="N1463" s="7" t="inlineStr">
        <is>
          <t>DIMEC</t>
        </is>
      </c>
      <c r="O1463" s="8" t="n">
        <v>81</v>
      </c>
      <c r="P1463" s="14">
        <f>O1463/H1463-1</f>
        <v/>
      </c>
      <c r="Q1463" s="16" t="inlineStr">
        <is>
          <t>ACIMA +3064.1%</t>
        </is>
      </c>
      <c r="R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8" t="n"/>
      <c r="N1464" s="7" t="inlineStr">
        <is>
          <t>SEM COTAÇÃO</t>
        </is>
      </c>
      <c r="O1464" s="8" t="n"/>
      <c r="P1464" s="14" t="n"/>
      <c r="Q1464" s="7" t="inlineStr"/>
      <c r="R1464" s="7" t="inlineStr"/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8" t="n"/>
      <c r="N1465" s="7" t="inlineStr">
        <is>
          <t>DIMEC</t>
        </is>
      </c>
      <c r="O1465" s="8" t="n">
        <v>17.91</v>
      </c>
      <c r="P1465" s="14" t="n"/>
      <c r="Q1465" s="7" t="inlineStr">
        <is>
          <t>SEM HISTÓRICO</t>
        </is>
      </c>
      <c r="R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8" t="n"/>
      <c r="N1466" s="7" t="inlineStr">
        <is>
          <t>SEM COTAÇÃO</t>
        </is>
      </c>
      <c r="O1466" s="8" t="n"/>
      <c r="P1466" s="14" t="n"/>
      <c r="Q1466" s="7" t="inlineStr"/>
      <c r="R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8" t="n"/>
      <c r="N1467" s="7" t="inlineStr">
        <is>
          <t>SEM COTAÇÃO</t>
        </is>
      </c>
      <c r="O1467" s="8" t="n"/>
      <c r="P1467" s="14" t="n"/>
      <c r="Q1467" s="7" t="inlineStr"/>
      <c r="R1467" s="7" t="inlineStr"/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8" t="n"/>
      <c r="N1468" s="7" t="inlineStr">
        <is>
          <t>SEM COTAÇÃO</t>
        </is>
      </c>
      <c r="O1468" s="8" t="n"/>
      <c r="P1468" s="14" t="n"/>
      <c r="Q1468" s="7" t="inlineStr"/>
      <c r="R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8" t="n"/>
      <c r="N1469" s="7" t="inlineStr">
        <is>
          <t>SEM COTAÇÃO</t>
        </is>
      </c>
      <c r="O1469" s="8" t="n"/>
      <c r="P1469" s="14" t="n"/>
      <c r="Q1469" s="7" t="inlineStr"/>
      <c r="R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8" t="n"/>
      <c r="N1470" s="7" t="inlineStr">
        <is>
          <t>SEM COTAÇÃO</t>
        </is>
      </c>
      <c r="O1470" s="8" t="n"/>
      <c r="P1470" s="14" t="n"/>
      <c r="Q1470" s="7" t="inlineStr"/>
      <c r="R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8" t="n"/>
      <c r="N1471" s="7" t="inlineStr">
        <is>
          <t>SEM COTAÇÃO</t>
        </is>
      </c>
      <c r="O1471" s="8" t="n"/>
      <c r="P1471" s="14" t="n"/>
      <c r="Q1471" s="7" t="inlineStr"/>
      <c r="R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8" t="n"/>
      <c r="N1472" s="7" t="inlineStr">
        <is>
          <t>SEM COTAÇÃO</t>
        </is>
      </c>
      <c r="O1472" s="8" t="n"/>
      <c r="P1472" s="14" t="n"/>
      <c r="Q1472" s="7" t="inlineStr"/>
      <c r="R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8" t="n"/>
      <c r="N1473" s="7" t="inlineStr">
        <is>
          <t>SEM COTAÇÃO</t>
        </is>
      </c>
      <c r="O1473" s="8" t="n"/>
      <c r="P1473" s="14" t="n"/>
      <c r="Q1473" s="7" t="inlineStr"/>
      <c r="R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8" t="n"/>
      <c r="N1474" s="7" t="inlineStr">
        <is>
          <t>SEM COTAÇÃO</t>
        </is>
      </c>
      <c r="O1474" s="8" t="n"/>
      <c r="P1474" s="14" t="n"/>
      <c r="Q1474" s="7" t="inlineStr"/>
      <c r="R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8" t="n"/>
      <c r="N1475" s="7" t="inlineStr">
        <is>
          <t>SEM COTAÇÃO</t>
        </is>
      </c>
      <c r="O1475" s="8" t="n"/>
      <c r="P1475" s="14" t="n"/>
      <c r="Q1475" s="7" t="inlineStr"/>
      <c r="R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8" t="n"/>
      <c r="N1476" s="7" t="inlineStr">
        <is>
          <t>SEM COTAÇÃO</t>
        </is>
      </c>
      <c r="O1476" s="8" t="n"/>
      <c r="P1476" s="14" t="n"/>
      <c r="Q1476" s="7" t="inlineStr"/>
      <c r="R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8" t="n"/>
      <c r="N1477" s="7" t="inlineStr">
        <is>
          <t>SEM COTAÇÃO</t>
        </is>
      </c>
      <c r="O1477" s="8" t="n"/>
      <c r="P1477" s="14" t="n"/>
      <c r="Q1477" s="7" t="inlineStr"/>
      <c r="R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8" t="n"/>
      <c r="N1478" s="7" t="inlineStr">
        <is>
          <t>SEM COTAÇÃO</t>
        </is>
      </c>
      <c r="O1478" s="8" t="n"/>
      <c r="P1478" s="14" t="n"/>
      <c r="Q1478" s="7" t="inlineStr"/>
      <c r="R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8" t="n"/>
      <c r="N1479" s="7" t="inlineStr">
        <is>
          <t>SEM COTAÇÃO</t>
        </is>
      </c>
      <c r="O1479" s="8" t="n"/>
      <c r="P1479" s="14" t="n"/>
      <c r="Q1479" s="7" t="inlineStr"/>
      <c r="R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8" t="n"/>
      <c r="N1480" s="7" t="inlineStr">
        <is>
          <t>SEM COTAÇÃO</t>
        </is>
      </c>
      <c r="O1480" s="8" t="n"/>
      <c r="P1480" s="14" t="n"/>
      <c r="Q1480" s="7" t="inlineStr"/>
      <c r="R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8" t="n"/>
      <c r="N1481" s="7" t="inlineStr">
        <is>
          <t>SEM COTAÇÃO</t>
        </is>
      </c>
      <c r="O1481" s="8" t="n"/>
      <c r="P1481" s="14" t="n"/>
      <c r="Q1481" s="7" t="inlineStr"/>
      <c r="R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8" t="n"/>
      <c r="N1482" s="7" t="inlineStr">
        <is>
          <t>SEM COTAÇÃO</t>
        </is>
      </c>
      <c r="O1482" s="8" t="n"/>
      <c r="P1482" s="14" t="n"/>
      <c r="Q1482" s="7" t="inlineStr"/>
      <c r="R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8" t="n"/>
      <c r="N1483" s="7" t="inlineStr">
        <is>
          <t>DIMEC</t>
        </is>
      </c>
      <c r="O1483" s="8" t="n">
        <v>3.23</v>
      </c>
      <c r="P1483" s="14">
        <f>O1483/H1483-1</f>
        <v/>
      </c>
      <c r="Q1483" s="16" t="inlineStr">
        <is>
          <t>ACIMA +41.7%</t>
        </is>
      </c>
      <c r="R1483" s="7" t="inlineStr"/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8" t="n"/>
      <c r="N1484" s="7" t="inlineStr">
        <is>
          <t>SEM COTAÇÃO</t>
        </is>
      </c>
      <c r="O1484" s="8" t="n"/>
      <c r="P1484" s="14" t="n"/>
      <c r="Q1484" s="7" t="inlineStr"/>
      <c r="R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8" t="n"/>
      <c r="N1485" s="7" t="inlineStr">
        <is>
          <t>SEM COTAÇÃO</t>
        </is>
      </c>
      <c r="O1485" s="8" t="n"/>
      <c r="P1485" s="14" t="n"/>
      <c r="Q1485" s="7" t="inlineStr"/>
      <c r="R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8" t="n"/>
      <c r="N1486" s="7" t="inlineStr">
        <is>
          <t>SEM COTAÇÃO</t>
        </is>
      </c>
      <c r="O1486" s="8" t="n"/>
      <c r="P1486" s="14" t="n"/>
      <c r="Q1486" s="7" t="inlineStr"/>
      <c r="R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8" t="n"/>
      <c r="N1487" s="7" t="inlineStr">
        <is>
          <t>SEM COTAÇÃO</t>
        </is>
      </c>
      <c r="O1487" s="8" t="n"/>
      <c r="P1487" s="14" t="n"/>
      <c r="Q1487" s="7" t="inlineStr"/>
      <c r="R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8" t="n"/>
      <c r="N1488" s="7" t="inlineStr">
        <is>
          <t>SEM COTAÇÃO</t>
        </is>
      </c>
      <c r="O1488" s="8" t="n"/>
      <c r="P1488" s="14" t="n"/>
      <c r="Q1488" s="7" t="inlineStr"/>
      <c r="R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8" t="n"/>
      <c r="N1489" s="7" t="inlineStr">
        <is>
          <t>SEM COTAÇÃO</t>
        </is>
      </c>
      <c r="O1489" s="8" t="n"/>
      <c r="P1489" s="14" t="n"/>
      <c r="Q1489" s="7" t="inlineStr"/>
      <c r="R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8" t="n"/>
      <c r="N1490" s="7" t="inlineStr">
        <is>
          <t>SEM COTAÇÃO</t>
        </is>
      </c>
      <c r="O1490" s="8" t="n"/>
      <c r="P1490" s="14" t="n"/>
      <c r="Q1490" s="7" t="inlineStr"/>
      <c r="R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8" t="n"/>
      <c r="N1491" s="7" t="inlineStr">
        <is>
          <t>SEM COTAÇÃO</t>
        </is>
      </c>
      <c r="O1491" s="8" t="n"/>
      <c r="P1491" s="14" t="n"/>
      <c r="Q1491" s="7" t="inlineStr"/>
      <c r="R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8" t="n"/>
      <c r="N1492" s="7" t="inlineStr">
        <is>
          <t>SEM COTAÇÃO</t>
        </is>
      </c>
      <c r="O1492" s="8" t="n"/>
      <c r="P1492" s="14" t="n"/>
      <c r="Q1492" s="7" t="inlineStr"/>
      <c r="R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8" t="n"/>
      <c r="N1493" s="7" t="inlineStr">
        <is>
          <t>SEM COTAÇÃO</t>
        </is>
      </c>
      <c r="O1493" s="8" t="n"/>
      <c r="P1493" s="14" t="n"/>
      <c r="Q1493" s="7" t="inlineStr"/>
      <c r="R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8" t="n"/>
      <c r="N1494" s="7" t="inlineStr">
        <is>
          <t>SEM COTAÇÃO</t>
        </is>
      </c>
      <c r="O1494" s="8" t="n"/>
      <c r="P1494" s="14" t="n"/>
      <c r="Q1494" s="7" t="inlineStr"/>
      <c r="R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8" t="n"/>
      <c r="N1495" s="7" t="inlineStr">
        <is>
          <t>SEM COTAÇÃO</t>
        </is>
      </c>
      <c r="O1495" s="8" t="n"/>
      <c r="P1495" s="14" t="n"/>
      <c r="Q1495" s="7" t="inlineStr"/>
      <c r="R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8" t="n">
        <v>12.31</v>
      </c>
      <c r="N1496" s="7" t="inlineStr">
        <is>
          <t>DIMEC</t>
        </is>
      </c>
      <c r="O1496" s="8" t="n">
        <v>0.606</v>
      </c>
      <c r="P1496" s="14">
        <f>O1496/H1496-1</f>
        <v/>
      </c>
      <c r="Q1496" s="16" t="inlineStr">
        <is>
          <t>ACIMA +3.0%</t>
        </is>
      </c>
      <c r="R1496" s="7" t="inlineStr">
        <is>
          <t>DIMEC: 1 emb = 20 un; CENTROFARMA: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8" t="n"/>
      <c r="N1497" s="7" t="inlineStr">
        <is>
          <t>SEM COTAÇÃO</t>
        </is>
      </c>
      <c r="O1497" s="8" t="n"/>
      <c r="P1497" s="14" t="n"/>
      <c r="Q1497" s="7" t="inlineStr"/>
      <c r="R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8" t="n"/>
      <c r="N1498" s="7" t="inlineStr">
        <is>
          <t>SEM COTAÇÃO</t>
        </is>
      </c>
      <c r="O1498" s="8" t="n"/>
      <c r="P1498" s="14" t="n"/>
      <c r="Q1498" s="7" t="inlineStr"/>
      <c r="R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8" t="n"/>
      <c r="N1499" s="7" t="inlineStr">
        <is>
          <t>SEM COTAÇÃO</t>
        </is>
      </c>
      <c r="O1499" s="8" t="n"/>
      <c r="P1499" s="14" t="n"/>
      <c r="Q1499" s="7" t="inlineStr"/>
      <c r="R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8" t="n"/>
      <c r="N1500" s="7" t="inlineStr">
        <is>
          <t>SEM COTAÇÃO</t>
        </is>
      </c>
      <c r="O1500" s="8" t="n"/>
      <c r="P1500" s="14" t="n"/>
      <c r="Q1500" s="7" t="inlineStr"/>
      <c r="R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8" t="n"/>
      <c r="N1501" s="7" t="inlineStr">
        <is>
          <t>SEM COTAÇÃO</t>
        </is>
      </c>
      <c r="O1501" s="8" t="n"/>
      <c r="P1501" s="14" t="n"/>
      <c r="Q1501" s="7" t="inlineStr"/>
      <c r="R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8" t="n"/>
      <c r="N1502" s="7" t="inlineStr">
        <is>
          <t>SEM COTAÇÃO</t>
        </is>
      </c>
      <c r="O1502" s="8" t="n"/>
      <c r="P1502" s="14" t="n"/>
      <c r="Q1502" s="7" t="inlineStr"/>
      <c r="R1502" s="7" t="inlineStr"/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8" t="n"/>
      <c r="N1503" s="7" t="inlineStr">
        <is>
          <t>SEM COTAÇÃO</t>
        </is>
      </c>
      <c r="O1503" s="8" t="n"/>
      <c r="P1503" s="14" t="n"/>
      <c r="Q1503" s="7" t="inlineStr"/>
      <c r="R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8" t="n"/>
      <c r="N1504" s="7" t="inlineStr">
        <is>
          <t>SEM COTAÇÃO</t>
        </is>
      </c>
      <c r="O1504" s="8" t="n"/>
      <c r="P1504" s="14" t="n"/>
      <c r="Q1504" s="7" t="inlineStr"/>
      <c r="R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8" t="n"/>
      <c r="N1505" s="7" t="inlineStr">
        <is>
          <t>SEM COTAÇÃO</t>
        </is>
      </c>
      <c r="O1505" s="8" t="n"/>
      <c r="P1505" s="14" t="n"/>
      <c r="Q1505" s="7" t="inlineStr"/>
      <c r="R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8" t="n"/>
      <c r="N1506" s="7" t="inlineStr">
        <is>
          <t>SEM COTAÇÃO</t>
        </is>
      </c>
      <c r="O1506" s="8" t="n"/>
      <c r="P1506" s="14" t="n"/>
      <c r="Q1506" s="7" t="inlineStr"/>
      <c r="R1506" s="7" t="inlineStr"/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8" t="n"/>
      <c r="N1507" s="7" t="inlineStr">
        <is>
          <t>SEM COTAÇÃO</t>
        </is>
      </c>
      <c r="O1507" s="8" t="n"/>
      <c r="P1507" s="14" t="n"/>
      <c r="Q1507" s="7" t="inlineStr"/>
      <c r="R1507" s="7" t="inlineStr"/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8" t="n"/>
      <c r="N1508" s="7" t="inlineStr">
        <is>
          <t>SEM COTAÇÃO</t>
        </is>
      </c>
      <c r="O1508" s="8" t="n"/>
      <c r="P1508" s="14" t="n"/>
      <c r="Q1508" s="7" t="inlineStr"/>
      <c r="R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8" t="n"/>
      <c r="N1509" s="7" t="inlineStr">
        <is>
          <t>SEM COTAÇÃO</t>
        </is>
      </c>
      <c r="O1509" s="8" t="n"/>
      <c r="P1509" s="14" t="n"/>
      <c r="Q1509" s="7" t="inlineStr"/>
      <c r="R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8" t="n"/>
      <c r="N1510" s="7" t="inlineStr">
        <is>
          <t>SEM COTAÇÃO</t>
        </is>
      </c>
      <c r="O1510" s="8" t="n"/>
      <c r="P1510" s="14" t="n"/>
      <c r="Q1510" s="7" t="inlineStr"/>
      <c r="R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8" t="n"/>
      <c r="N1511" s="7" t="inlineStr">
        <is>
          <t>SEM COTAÇÃO</t>
        </is>
      </c>
      <c r="O1511" s="8" t="n"/>
      <c r="P1511" s="14" t="n"/>
      <c r="Q1511" s="7" t="inlineStr"/>
      <c r="R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8" t="n"/>
      <c r="N1512" s="7" t="inlineStr">
        <is>
          <t>SEM COTAÇÃO</t>
        </is>
      </c>
      <c r="O1512" s="8" t="n"/>
      <c r="P1512" s="14" t="n"/>
      <c r="Q1512" s="7" t="inlineStr"/>
      <c r="R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8" t="n"/>
      <c r="N1513" s="7" t="inlineStr">
        <is>
          <t>SEM COTAÇÃO</t>
        </is>
      </c>
      <c r="O1513" s="8" t="n"/>
      <c r="P1513" s="14" t="n"/>
      <c r="Q1513" s="7" t="inlineStr"/>
      <c r="R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8" t="n"/>
      <c r="N1514" s="7" t="inlineStr">
        <is>
          <t>SEM COTAÇÃO</t>
        </is>
      </c>
      <c r="O1514" s="8" t="n"/>
      <c r="P1514" s="14" t="n"/>
      <c r="Q1514" s="7" t="inlineStr"/>
      <c r="R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8" t="n"/>
      <c r="N1515" s="7" t="inlineStr">
        <is>
          <t>SEM COTAÇÃO</t>
        </is>
      </c>
      <c r="O1515" s="8" t="n"/>
      <c r="P1515" s="14" t="n"/>
      <c r="Q1515" s="7" t="inlineStr"/>
      <c r="R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8" t="n"/>
      <c r="N1516" s="7" t="inlineStr">
        <is>
          <t>SEM COTAÇÃO</t>
        </is>
      </c>
      <c r="O1516" s="8" t="n"/>
      <c r="P1516" s="14" t="n"/>
      <c r="Q1516" s="7" t="inlineStr"/>
      <c r="R1516" s="7" t="inlineStr"/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8" t="n"/>
      <c r="N1517" s="7" t="inlineStr">
        <is>
          <t>EPAN</t>
        </is>
      </c>
      <c r="O1517" s="8" t="n">
        <v>19.42</v>
      </c>
      <c r="P1517" s="14">
        <f>O1517/H1517-1</f>
        <v/>
      </c>
      <c r="Q1517" s="17" t="inlineStr">
        <is>
          <t>OK (≤ menor hist.)</t>
        </is>
      </c>
      <c r="R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8" t="n"/>
      <c r="N1518" s="7" t="inlineStr">
        <is>
          <t>SEM COTAÇÃO</t>
        </is>
      </c>
      <c r="O1518" s="8" t="n"/>
      <c r="P1518" s="14" t="n"/>
      <c r="Q1518" s="7" t="inlineStr"/>
      <c r="R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8" t="n"/>
      <c r="N1519" s="7" t="inlineStr">
        <is>
          <t>SEM COTAÇÃO</t>
        </is>
      </c>
      <c r="O1519" s="8" t="n"/>
      <c r="P1519" s="14" t="n"/>
      <c r="Q1519" s="7" t="inlineStr"/>
      <c r="R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8" t="n"/>
      <c r="N1520" s="7" t="inlineStr">
        <is>
          <t>SEM COTAÇÃO</t>
        </is>
      </c>
      <c r="O1520" s="8" t="n"/>
      <c r="P1520" s="14" t="n"/>
      <c r="Q1520" s="7" t="inlineStr"/>
      <c r="R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8" t="n"/>
      <c r="N1521" s="7" t="inlineStr">
        <is>
          <t>SEM COTAÇÃO</t>
        </is>
      </c>
      <c r="O1521" s="8" t="n"/>
      <c r="P1521" s="14" t="n"/>
      <c r="Q1521" s="7" t="inlineStr"/>
      <c r="R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8" t="n"/>
      <c r="N1522" s="7" t="inlineStr">
        <is>
          <t>SEM COTAÇÃO</t>
        </is>
      </c>
      <c r="O1522" s="8" t="n"/>
      <c r="P1522" s="14" t="n"/>
      <c r="Q1522" s="7" t="inlineStr"/>
      <c r="R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7" t="inlineStr">
        <is>
          <t>SEM COTAÇÃO</t>
        </is>
      </c>
      <c r="O1523" s="8" t="n"/>
      <c r="P1523" s="14" t="n"/>
      <c r="Q1523" s="7" t="inlineStr"/>
      <c r="R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15" t="n">
        <v>20.03</v>
      </c>
      <c r="N1524" s="7" t="inlineStr">
        <is>
          <t>CENTROFARMA</t>
        </is>
      </c>
      <c r="O1524" s="8" t="n">
        <v>20.03</v>
      </c>
      <c r="P1524" s="14">
        <f>O1524/H1524-1</f>
        <v/>
      </c>
      <c r="Q1524" s="16" t="inlineStr">
        <is>
          <t>ACIMA +2191.8%</t>
        </is>
      </c>
      <c r="R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8" t="n"/>
      <c r="N1525" s="7" t="inlineStr">
        <is>
          <t>SEM COTAÇÃO</t>
        </is>
      </c>
      <c r="O1525" s="8" t="n"/>
      <c r="P1525" s="14" t="n"/>
      <c r="Q1525" s="7" t="inlineStr"/>
      <c r="R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8" t="n"/>
      <c r="N1526" s="7" t="inlineStr">
        <is>
          <t>SEM COTAÇÃO</t>
        </is>
      </c>
      <c r="O1526" s="8" t="n"/>
      <c r="P1526" s="14" t="n"/>
      <c r="Q1526" s="7" t="inlineStr"/>
      <c r="R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8" t="n"/>
      <c r="N1527" s="7" t="inlineStr">
        <is>
          <t>SEM COTAÇÃO</t>
        </is>
      </c>
      <c r="O1527" s="8" t="n"/>
      <c r="P1527" s="14" t="n"/>
      <c r="Q1527" s="7" t="inlineStr"/>
      <c r="R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8" t="n"/>
      <c r="N1528" s="7" t="inlineStr">
        <is>
          <t>SEM COTAÇÃO</t>
        </is>
      </c>
      <c r="O1528" s="8" t="n"/>
      <c r="P1528" s="14" t="n"/>
      <c r="Q1528" s="7" t="inlineStr"/>
      <c r="R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8" t="n"/>
      <c r="N1529" s="7" t="inlineStr">
        <is>
          <t>SEM COTAÇÃO</t>
        </is>
      </c>
      <c r="O1529" s="8" t="n"/>
      <c r="P1529" s="14" t="n"/>
      <c r="Q1529" s="7" t="inlineStr"/>
      <c r="R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8" t="n"/>
      <c r="N1530" s="7" t="inlineStr">
        <is>
          <t>SEM COTAÇÃO</t>
        </is>
      </c>
      <c r="O1530" s="8" t="n"/>
      <c r="P1530" s="14" t="n"/>
      <c r="Q1530" s="7" t="inlineStr"/>
      <c r="R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8" t="n"/>
      <c r="N1531" s="7" t="inlineStr">
        <is>
          <t>SEM COTAÇÃO</t>
        </is>
      </c>
      <c r="O1531" s="8" t="n"/>
      <c r="P1531" s="14" t="n"/>
      <c r="Q1531" s="7" t="inlineStr"/>
      <c r="R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8" t="n"/>
      <c r="N1532" s="7" t="inlineStr">
        <is>
          <t>SEM COTAÇÃO</t>
        </is>
      </c>
      <c r="O1532" s="8" t="n"/>
      <c r="P1532" s="14" t="n"/>
      <c r="Q1532" s="7" t="inlineStr"/>
      <c r="R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8" t="n"/>
      <c r="N1533" s="7" t="inlineStr">
        <is>
          <t>SEM COTAÇÃO</t>
        </is>
      </c>
      <c r="O1533" s="8" t="n"/>
      <c r="P1533" s="14" t="n"/>
      <c r="Q1533" s="7" t="inlineStr"/>
      <c r="R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8" t="n"/>
      <c r="N1534" s="7" t="inlineStr">
        <is>
          <t>SEM COTAÇÃO</t>
        </is>
      </c>
      <c r="O1534" s="8" t="n"/>
      <c r="P1534" s="14" t="n"/>
      <c r="Q1534" s="7" t="inlineStr"/>
      <c r="R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8" t="n"/>
      <c r="N1535" s="7" t="inlineStr">
        <is>
          <t>SEM COTAÇÃO</t>
        </is>
      </c>
      <c r="O1535" s="8" t="n"/>
      <c r="P1535" s="14" t="n"/>
      <c r="Q1535" s="7" t="inlineStr"/>
      <c r="R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8" t="n"/>
      <c r="N1536" s="7" t="inlineStr">
        <is>
          <t>SEM COTAÇÃO</t>
        </is>
      </c>
      <c r="O1536" s="8" t="n"/>
      <c r="P1536" s="14" t="n"/>
      <c r="Q1536" s="7" t="inlineStr"/>
      <c r="R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8" t="n"/>
      <c r="N1537" s="7" t="inlineStr">
        <is>
          <t>SEM COTAÇÃO</t>
        </is>
      </c>
      <c r="O1537" s="8" t="n"/>
      <c r="P1537" s="14" t="n"/>
      <c r="Q1537" s="7" t="inlineStr"/>
      <c r="R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8" t="n"/>
      <c r="N1538" s="7" t="inlineStr">
        <is>
          <t>PLUSFARMA</t>
        </is>
      </c>
      <c r="O1538" s="8" t="n">
        <v>10.39</v>
      </c>
      <c r="P1538" s="14">
        <f>O1538/H1538-1</f>
        <v/>
      </c>
      <c r="Q1538" s="17" t="inlineStr">
        <is>
          <t>OK (≤ últ. compra)</t>
        </is>
      </c>
      <c r="R1538" s="7" t="inlineStr"/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8" t="n"/>
      <c r="N1539" s="7" t="inlineStr">
        <is>
          <t>SEM COTAÇÃO</t>
        </is>
      </c>
      <c r="O1539" s="8" t="n"/>
      <c r="P1539" s="14" t="n"/>
      <c r="Q1539" s="7" t="inlineStr"/>
      <c r="R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8" t="n"/>
      <c r="N1540" s="7" t="inlineStr">
        <is>
          <t>SEM COTAÇÃO</t>
        </is>
      </c>
      <c r="O1540" s="8" t="n"/>
      <c r="P1540" s="14" t="n"/>
      <c r="Q1540" s="7" t="inlineStr"/>
      <c r="R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8" t="n"/>
      <c r="N1541" s="7" t="inlineStr">
        <is>
          <t>SEM COTAÇÃO</t>
        </is>
      </c>
      <c r="O1541" s="8" t="n"/>
      <c r="P1541" s="14" t="n"/>
      <c r="Q1541" s="7" t="inlineStr"/>
      <c r="R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8" t="n"/>
      <c r="N1542" s="7" t="inlineStr">
        <is>
          <t>SEM COTAÇÃO</t>
        </is>
      </c>
      <c r="O1542" s="8" t="n"/>
      <c r="P1542" s="14" t="n"/>
      <c r="Q1542" s="7" t="inlineStr"/>
      <c r="R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8" t="n"/>
      <c r="N1543" s="7" t="inlineStr">
        <is>
          <t>SEM COTAÇÃO</t>
        </is>
      </c>
      <c r="O1543" s="8" t="n"/>
      <c r="P1543" s="14" t="n"/>
      <c r="Q1543" s="7" t="inlineStr"/>
      <c r="R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8" t="n"/>
      <c r="N1544" s="7" t="inlineStr">
        <is>
          <t>SEM COTAÇÃO</t>
        </is>
      </c>
      <c r="O1544" s="8" t="n"/>
      <c r="P1544" s="14" t="n"/>
      <c r="Q1544" s="7" t="inlineStr"/>
      <c r="R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8" t="n"/>
      <c r="N1545" s="7" t="inlineStr">
        <is>
          <t>SEM COTAÇÃO</t>
        </is>
      </c>
      <c r="O1545" s="8" t="n"/>
      <c r="P1545" s="14" t="n"/>
      <c r="Q1545" s="7" t="inlineStr"/>
      <c r="R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8" t="n"/>
      <c r="N1546" s="7" t="inlineStr">
        <is>
          <t>SEM COTAÇÃO</t>
        </is>
      </c>
      <c r="O1546" s="8" t="n"/>
      <c r="P1546" s="14" t="n"/>
      <c r="Q1546" s="7" t="inlineStr"/>
      <c r="R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8" t="n"/>
      <c r="N1547" s="7" t="inlineStr">
        <is>
          <t>SEM COTAÇÃO</t>
        </is>
      </c>
      <c r="O1547" s="8" t="n"/>
      <c r="P1547" s="14" t="n"/>
      <c r="Q1547" s="7" t="inlineStr"/>
      <c r="R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7" t="inlineStr">
        <is>
          <t>SEM COTAÇÃO</t>
        </is>
      </c>
      <c r="O1548" s="8" t="n"/>
      <c r="P1548" s="14" t="n"/>
      <c r="Q1548" s="7" t="inlineStr"/>
      <c r="R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7" t="inlineStr">
        <is>
          <t>SEM COTAÇÃO</t>
        </is>
      </c>
      <c r="O1549" s="8" t="n"/>
      <c r="P1549" s="14" t="n"/>
      <c r="Q1549" s="7" t="inlineStr"/>
      <c r="R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8" t="n"/>
      <c r="N1550" s="7" t="inlineStr">
        <is>
          <t>SEM COTAÇÃO</t>
        </is>
      </c>
      <c r="O1550" s="8" t="n"/>
      <c r="P1550" s="14" t="n"/>
      <c r="Q1550" s="7" t="inlineStr"/>
      <c r="R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8" t="n"/>
      <c r="N1551" s="7" t="inlineStr">
        <is>
          <t>SEM COTAÇÃO</t>
        </is>
      </c>
      <c r="O1551" s="8" t="n"/>
      <c r="P1551" s="14" t="n"/>
      <c r="Q1551" s="7" t="inlineStr"/>
      <c r="R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8" t="n"/>
      <c r="N1552" s="7" t="inlineStr">
        <is>
          <t>SEM COTAÇÃO</t>
        </is>
      </c>
      <c r="O1552" s="8" t="n"/>
      <c r="P1552" s="14" t="n"/>
      <c r="Q1552" s="7" t="inlineStr"/>
      <c r="R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8" t="n"/>
      <c r="N1553" s="7" t="inlineStr">
        <is>
          <t>SEM COTAÇÃO</t>
        </is>
      </c>
      <c r="O1553" s="8" t="n"/>
      <c r="P1553" s="14" t="n"/>
      <c r="Q1553" s="7" t="inlineStr"/>
      <c r="R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8" t="n"/>
      <c r="N1554" s="7" t="inlineStr">
        <is>
          <t>SEM COTAÇÃO</t>
        </is>
      </c>
      <c r="O1554" s="8" t="n"/>
      <c r="P1554" s="14" t="n"/>
      <c r="Q1554" s="7" t="inlineStr"/>
      <c r="R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8" t="n"/>
      <c r="N1555" s="7" t="inlineStr">
        <is>
          <t>SEM COTAÇÃO</t>
        </is>
      </c>
      <c r="O1555" s="8" t="n"/>
      <c r="P1555" s="14" t="n"/>
      <c r="Q1555" s="7" t="inlineStr"/>
      <c r="R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8" t="n"/>
      <c r="N1556" s="7" t="inlineStr">
        <is>
          <t>SEM COTAÇÃO</t>
        </is>
      </c>
      <c r="O1556" s="8" t="n"/>
      <c r="P1556" s="14" t="n"/>
      <c r="Q1556" s="7" t="inlineStr"/>
      <c r="R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8" t="n"/>
      <c r="N1557" s="7" t="inlineStr">
        <is>
          <t>SEM COTAÇÃO</t>
        </is>
      </c>
      <c r="O1557" s="8" t="n"/>
      <c r="P1557" s="14" t="n"/>
      <c r="Q1557" s="7" t="inlineStr"/>
      <c r="R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8" t="n"/>
      <c r="N1558" s="7" t="inlineStr">
        <is>
          <t>SEM COTAÇÃO</t>
        </is>
      </c>
      <c r="O1558" s="8" t="n"/>
      <c r="P1558" s="14" t="n"/>
      <c r="Q1558" s="7" t="inlineStr"/>
      <c r="R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8" t="n"/>
      <c r="N1559" s="7" t="inlineStr">
        <is>
          <t>SEM COTAÇÃO</t>
        </is>
      </c>
      <c r="O1559" s="8" t="n"/>
      <c r="P1559" s="14" t="n"/>
      <c r="Q1559" s="7" t="inlineStr"/>
      <c r="R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8" t="n"/>
      <c r="N1560" s="7" t="inlineStr">
        <is>
          <t>SEM COTAÇÃO</t>
        </is>
      </c>
      <c r="O1560" s="8" t="n"/>
      <c r="P1560" s="14" t="n"/>
      <c r="Q1560" s="7" t="inlineStr"/>
      <c r="R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8" t="n"/>
      <c r="N1561" s="7" t="inlineStr">
        <is>
          <t>SEM COTAÇÃO</t>
        </is>
      </c>
      <c r="O1561" s="8" t="n"/>
      <c r="P1561" s="14" t="n"/>
      <c r="Q1561" s="7" t="inlineStr"/>
      <c r="R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8" t="n"/>
      <c r="N1562" s="7" t="inlineStr">
        <is>
          <t>SEM COTAÇÃO</t>
        </is>
      </c>
      <c r="O1562" s="8" t="n"/>
      <c r="P1562" s="14" t="n"/>
      <c r="Q1562" s="7" t="inlineStr"/>
      <c r="R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8" t="n"/>
      <c r="N1563" s="7" t="inlineStr">
        <is>
          <t>SEM COTAÇÃO</t>
        </is>
      </c>
      <c r="O1563" s="8" t="n"/>
      <c r="P1563" s="14" t="n"/>
      <c r="Q1563" s="7" t="inlineStr"/>
      <c r="R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8" t="n"/>
      <c r="N1564" s="7" t="inlineStr">
        <is>
          <t>SEM COTAÇÃO</t>
        </is>
      </c>
      <c r="O1564" s="8" t="n"/>
      <c r="P1564" s="14" t="n"/>
      <c r="Q1564" s="7" t="inlineStr"/>
      <c r="R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8" t="n"/>
      <c r="N1565" s="7" t="inlineStr">
        <is>
          <t>SEM COTAÇÃO</t>
        </is>
      </c>
      <c r="O1565" s="8" t="n"/>
      <c r="P1565" s="14" t="n"/>
      <c r="Q1565" s="7" t="inlineStr"/>
      <c r="R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8" t="n"/>
      <c r="N1566" s="7" t="inlineStr">
        <is>
          <t>SEM COTAÇÃO</t>
        </is>
      </c>
      <c r="O1566" s="8" t="n"/>
      <c r="P1566" s="14" t="n"/>
      <c r="Q1566" s="7" t="inlineStr"/>
      <c r="R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8" t="n"/>
      <c r="N1567" s="7" t="inlineStr">
        <is>
          <t>SEM COTAÇÃO</t>
        </is>
      </c>
      <c r="O1567" s="8" t="n"/>
      <c r="P1567" s="14" t="n"/>
      <c r="Q1567" s="7" t="inlineStr"/>
      <c r="R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8" t="n"/>
      <c r="N1568" s="7" t="inlineStr">
        <is>
          <t>SEM COTAÇÃO</t>
        </is>
      </c>
      <c r="O1568" s="8" t="n"/>
      <c r="P1568" s="14" t="n"/>
      <c r="Q1568" s="7" t="inlineStr"/>
      <c r="R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8" t="n"/>
      <c r="N1569" s="7" t="inlineStr">
        <is>
          <t>SEM COTAÇÃO</t>
        </is>
      </c>
      <c r="O1569" s="8" t="n"/>
      <c r="P1569" s="14" t="n"/>
      <c r="Q1569" s="7" t="inlineStr"/>
      <c r="R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8" t="n"/>
      <c r="N1570" s="7" t="inlineStr">
        <is>
          <t>SEM COTAÇÃO</t>
        </is>
      </c>
      <c r="O1570" s="8" t="n"/>
      <c r="P1570" s="14" t="n"/>
      <c r="Q1570" s="7" t="inlineStr"/>
      <c r="R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8" t="n"/>
      <c r="N1571" s="7" t="inlineStr">
        <is>
          <t>SEM COTAÇÃO</t>
        </is>
      </c>
      <c r="O1571" s="8" t="n"/>
      <c r="P1571" s="14" t="n"/>
      <c r="Q1571" s="7" t="inlineStr"/>
      <c r="R1571" s="7" t="inlineStr">
        <is>
          <t>EPAN: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8" t="n"/>
      <c r="N1572" s="7" t="inlineStr">
        <is>
          <t>SEM COTAÇÃO</t>
        </is>
      </c>
      <c r="O1572" s="8" t="n"/>
      <c r="P1572" s="14" t="n"/>
      <c r="Q1572" s="7" t="inlineStr"/>
      <c r="R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8" t="n"/>
      <c r="N1573" s="7" t="inlineStr">
        <is>
          <t>SEM COTAÇÃO</t>
        </is>
      </c>
      <c r="O1573" s="8" t="n"/>
      <c r="P1573" s="14" t="n"/>
      <c r="Q1573" s="7" t="inlineStr"/>
      <c r="R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8" t="n"/>
      <c r="N1574" s="7" t="inlineStr">
        <is>
          <t>SEM COTAÇÃO</t>
        </is>
      </c>
      <c r="O1574" s="8" t="n"/>
      <c r="P1574" s="14" t="n"/>
      <c r="Q1574" s="7" t="inlineStr"/>
      <c r="R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8" t="n"/>
      <c r="N1575" s="7" t="inlineStr">
        <is>
          <t>SEM COTAÇÃO</t>
        </is>
      </c>
      <c r="O1575" s="8" t="n"/>
      <c r="P1575" s="14" t="n"/>
      <c r="Q1575" s="7" t="inlineStr"/>
      <c r="R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8" t="n"/>
      <c r="N1576" s="7" t="inlineStr">
        <is>
          <t>SEM COTAÇÃO</t>
        </is>
      </c>
      <c r="O1576" s="8" t="n"/>
      <c r="P1576" s="14" t="n"/>
      <c r="Q1576" s="7" t="inlineStr"/>
      <c r="R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8" t="n"/>
      <c r="N1577" s="7" t="inlineStr">
        <is>
          <t>SEM COTAÇÃO</t>
        </is>
      </c>
      <c r="O1577" s="8" t="n"/>
      <c r="P1577" s="14" t="n"/>
      <c r="Q1577" s="7" t="inlineStr"/>
      <c r="R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7" t="inlineStr">
        <is>
          <t>SEM COTAÇÃO</t>
        </is>
      </c>
      <c r="O1578" s="8" t="n"/>
      <c r="P1578" s="14" t="n"/>
      <c r="Q1578" s="7" t="inlineStr"/>
      <c r="R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8" t="n"/>
      <c r="N1579" s="7" t="inlineStr">
        <is>
          <t>SEM COTAÇÃO</t>
        </is>
      </c>
      <c r="O1579" s="8" t="n"/>
      <c r="P1579" s="14" t="n"/>
      <c r="Q1579" s="7" t="inlineStr"/>
      <c r="R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8" t="n"/>
      <c r="N1580" s="7" t="inlineStr">
        <is>
          <t>EPAN</t>
        </is>
      </c>
      <c r="O1580" s="8" t="n">
        <v>47.46</v>
      </c>
      <c r="P1580" s="14">
        <f>O1580/H1580-1</f>
        <v/>
      </c>
      <c r="Q1580" s="17" t="inlineStr">
        <is>
          <t>OK (≤ menor hist.)</t>
        </is>
      </c>
      <c r="R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7" t="inlineStr">
        <is>
          <t>SEM COTAÇÃO</t>
        </is>
      </c>
      <c r="O1581" s="8" t="n"/>
      <c r="P1581" s="14" t="n"/>
      <c r="Q1581" s="7" t="inlineStr"/>
      <c r="R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7" t="inlineStr">
        <is>
          <t>SEM COTAÇÃO</t>
        </is>
      </c>
      <c r="O1582" s="8" t="n"/>
      <c r="P1582" s="14" t="n"/>
      <c r="Q1582" s="7" t="inlineStr"/>
      <c r="R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7" t="inlineStr">
        <is>
          <t>SEM COTAÇÃO</t>
        </is>
      </c>
      <c r="O1583" s="8" t="n"/>
      <c r="P1583" s="14" t="n"/>
      <c r="Q1583" s="7" t="inlineStr"/>
      <c r="R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7" t="inlineStr">
        <is>
          <t>SEM COTAÇÃO</t>
        </is>
      </c>
      <c r="O1584" s="8" t="n"/>
      <c r="P1584" s="14" t="n"/>
      <c r="Q1584" s="7" t="inlineStr"/>
      <c r="R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7" t="inlineStr">
        <is>
          <t>SEM COTAÇÃO</t>
        </is>
      </c>
      <c r="O1585" s="8" t="n"/>
      <c r="P1585" s="14" t="n"/>
      <c r="Q1585" s="7" t="inlineStr"/>
      <c r="R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7" t="inlineStr">
        <is>
          <t>SEM COTAÇÃO</t>
        </is>
      </c>
      <c r="O1586" s="8" t="n"/>
      <c r="P1586" s="14" t="n"/>
      <c r="Q1586" s="7" t="inlineStr"/>
      <c r="R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8" t="n"/>
      <c r="N1587" s="7" t="inlineStr">
        <is>
          <t>SEM COTAÇÃO</t>
        </is>
      </c>
      <c r="O1587" s="8" t="n"/>
      <c r="P1587" s="14" t="n"/>
      <c r="Q1587" s="7" t="inlineStr"/>
      <c r="R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8" t="n">
        <v>15.24</v>
      </c>
      <c r="N1588" s="7" t="inlineStr">
        <is>
          <t>DIMEC</t>
        </is>
      </c>
      <c r="O1588" s="8" t="n">
        <v>10.65</v>
      </c>
      <c r="P1588" s="14">
        <f>O1588/H1588-1</f>
        <v/>
      </c>
      <c r="Q1588" s="17" t="inlineStr">
        <is>
          <t>OK (≤ menor hist.)</t>
        </is>
      </c>
      <c r="R1588" s="7" t="inlineStr"/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8" t="n"/>
      <c r="N1589" s="7" t="inlineStr">
        <is>
          <t>SEM COTAÇÃO</t>
        </is>
      </c>
      <c r="O1589" s="8" t="n"/>
      <c r="P1589" s="14" t="n"/>
      <c r="Q1589" s="7" t="inlineStr"/>
      <c r="R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8" t="n"/>
      <c r="N1590" s="7" t="inlineStr">
        <is>
          <t>SEM COTAÇÃO</t>
        </is>
      </c>
      <c r="O1590" s="8" t="n"/>
      <c r="P1590" s="14" t="n"/>
      <c r="Q1590" s="7" t="inlineStr"/>
      <c r="R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8" t="n"/>
      <c r="N1591" s="7" t="inlineStr">
        <is>
          <t>SEM COTAÇÃO</t>
        </is>
      </c>
      <c r="O1591" s="8" t="n"/>
      <c r="P1591" s="14" t="n"/>
      <c r="Q1591" s="7" t="inlineStr"/>
      <c r="R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8" t="n"/>
      <c r="N1592" s="7" t="inlineStr">
        <is>
          <t>SEM COTAÇÃO</t>
        </is>
      </c>
      <c r="O1592" s="8" t="n"/>
      <c r="P1592" s="14" t="n"/>
      <c r="Q1592" s="7" t="inlineStr"/>
      <c r="R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8" t="n"/>
      <c r="N1593" s="7" t="inlineStr">
        <is>
          <t>SEM COTAÇÃO</t>
        </is>
      </c>
      <c r="O1593" s="8" t="n"/>
      <c r="P1593" s="14" t="n"/>
      <c r="Q1593" s="7" t="inlineStr"/>
      <c r="R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7" t="inlineStr">
        <is>
          <t>SEM COTAÇÃO</t>
        </is>
      </c>
      <c r="O1594" s="8" t="n"/>
      <c r="P1594" s="14" t="n"/>
      <c r="Q1594" s="7" t="inlineStr"/>
      <c r="R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7" t="inlineStr">
        <is>
          <t>SEM COTAÇÃO</t>
        </is>
      </c>
      <c r="O1595" s="8" t="n"/>
      <c r="P1595" s="14" t="n"/>
      <c r="Q1595" s="7" t="inlineStr"/>
      <c r="R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8" t="n"/>
      <c r="N1596" s="7" t="inlineStr">
        <is>
          <t>SEM COTAÇÃO</t>
        </is>
      </c>
      <c r="O1596" s="8" t="n"/>
      <c r="P1596" s="14" t="n"/>
      <c r="Q1596" s="7" t="inlineStr"/>
      <c r="R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8" t="n"/>
      <c r="N1597" s="7" t="inlineStr">
        <is>
          <t>SEM COTAÇÃO</t>
        </is>
      </c>
      <c r="O1597" s="8" t="n"/>
      <c r="P1597" s="14" t="n"/>
      <c r="Q1597" s="7" t="inlineStr"/>
      <c r="R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8" t="n"/>
      <c r="N1598" s="7" t="inlineStr">
        <is>
          <t>SEM COTAÇÃO</t>
        </is>
      </c>
      <c r="O1598" s="8" t="n"/>
      <c r="P1598" s="14" t="n"/>
      <c r="Q1598" s="7" t="inlineStr"/>
      <c r="R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8" t="n"/>
      <c r="N1599" s="7" t="inlineStr">
        <is>
          <t>SEM COTAÇÃO</t>
        </is>
      </c>
      <c r="O1599" s="8" t="n"/>
      <c r="P1599" s="14" t="n"/>
      <c r="Q1599" s="7" t="inlineStr"/>
      <c r="R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8" t="n"/>
      <c r="N1600" s="7" t="inlineStr">
        <is>
          <t>SEM COTAÇÃO</t>
        </is>
      </c>
      <c r="O1600" s="8" t="n"/>
      <c r="P1600" s="14" t="n"/>
      <c r="Q1600" s="7" t="inlineStr"/>
      <c r="R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8" t="n"/>
      <c r="N1601" s="7" t="inlineStr">
        <is>
          <t>SEM COTAÇÃO</t>
        </is>
      </c>
      <c r="O1601" s="8" t="n"/>
      <c r="P1601" s="14" t="n"/>
      <c r="Q1601" s="7" t="inlineStr"/>
      <c r="R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8" t="n"/>
      <c r="N1602" s="7" t="inlineStr">
        <is>
          <t>SEM COTAÇÃO</t>
        </is>
      </c>
      <c r="O1602" s="8" t="n"/>
      <c r="P1602" s="14" t="n"/>
      <c r="Q1602" s="7" t="inlineStr"/>
      <c r="R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8" t="n"/>
      <c r="N1603" s="7" t="inlineStr">
        <is>
          <t>SEM COTAÇÃO</t>
        </is>
      </c>
      <c r="O1603" s="8" t="n"/>
      <c r="P1603" s="14" t="n"/>
      <c r="Q1603" s="7" t="inlineStr"/>
      <c r="R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8" t="n"/>
      <c r="N1604" s="7" t="inlineStr">
        <is>
          <t>SEM COTAÇÃO</t>
        </is>
      </c>
      <c r="O1604" s="8" t="n"/>
      <c r="P1604" s="14" t="n"/>
      <c r="Q1604" s="7" t="inlineStr"/>
      <c r="R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8" t="n"/>
      <c r="N1605" s="7" t="inlineStr">
        <is>
          <t>SEM COTAÇÃO</t>
        </is>
      </c>
      <c r="O1605" s="8" t="n"/>
      <c r="P1605" s="14" t="n"/>
      <c r="Q1605" s="7" t="inlineStr"/>
      <c r="R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8" t="n"/>
      <c r="N1606" s="7" t="inlineStr">
        <is>
          <t>SEM COTAÇÃO</t>
        </is>
      </c>
      <c r="O1606" s="8" t="n"/>
      <c r="P1606" s="14" t="n"/>
      <c r="Q1606" s="7" t="inlineStr"/>
      <c r="R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8" t="n"/>
      <c r="N1607" s="7" t="inlineStr">
        <is>
          <t>SEM COTAÇÃO</t>
        </is>
      </c>
      <c r="O1607" s="8" t="n"/>
      <c r="P1607" s="14" t="n"/>
      <c r="Q1607" s="7" t="inlineStr"/>
      <c r="R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8" t="n"/>
      <c r="N1608" s="7" t="inlineStr">
        <is>
          <t>SEM COTAÇÃO</t>
        </is>
      </c>
      <c r="O1608" s="8" t="n"/>
      <c r="P1608" s="14" t="n"/>
      <c r="Q1608" s="7" t="inlineStr"/>
      <c r="R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8" t="n"/>
      <c r="N1609" s="7" t="inlineStr">
        <is>
          <t>SEM COTAÇÃO</t>
        </is>
      </c>
      <c r="O1609" s="8" t="n"/>
      <c r="P1609" s="14" t="n"/>
      <c r="Q1609" s="7" t="inlineStr"/>
      <c r="R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8" t="n"/>
      <c r="N1610" s="7" t="inlineStr">
        <is>
          <t>SEM COTAÇÃO</t>
        </is>
      </c>
      <c r="O1610" s="8" t="n"/>
      <c r="P1610" s="14" t="n"/>
      <c r="Q1610" s="7" t="inlineStr"/>
      <c r="R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8" t="n"/>
      <c r="N1611" s="7" t="inlineStr">
        <is>
          <t>SEM COTAÇÃO</t>
        </is>
      </c>
      <c r="O1611" s="8" t="n"/>
      <c r="P1611" s="14" t="n"/>
      <c r="Q1611" s="7" t="inlineStr"/>
      <c r="R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8" t="n"/>
      <c r="N1612" s="7" t="inlineStr">
        <is>
          <t>SEM COTAÇÃO</t>
        </is>
      </c>
      <c r="O1612" s="8" t="n"/>
      <c r="P1612" s="14" t="n"/>
      <c r="Q1612" s="7" t="inlineStr"/>
      <c r="R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8" t="n"/>
      <c r="N1613" s="7" t="inlineStr">
        <is>
          <t>SEM COTAÇÃO</t>
        </is>
      </c>
      <c r="O1613" s="8" t="n"/>
      <c r="P1613" s="14" t="n"/>
      <c r="Q1613" s="7" t="inlineStr"/>
      <c r="R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7" t="inlineStr">
        <is>
          <t>SEM COTAÇÃO</t>
        </is>
      </c>
      <c r="O1614" s="8" t="n"/>
      <c r="P1614" s="14" t="n"/>
      <c r="Q1614" s="7" t="inlineStr"/>
      <c r="R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8" t="n"/>
      <c r="N1615" s="7" t="inlineStr">
        <is>
          <t>SEM COTAÇÃO</t>
        </is>
      </c>
      <c r="O1615" s="8" t="n"/>
      <c r="P1615" s="14" t="n"/>
      <c r="Q1615" s="7" t="inlineStr"/>
      <c r="R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8" t="n"/>
      <c r="N1616" s="7" t="inlineStr">
        <is>
          <t>SEM COTAÇÃO</t>
        </is>
      </c>
      <c r="O1616" s="8" t="n"/>
      <c r="P1616" s="14" t="n"/>
      <c r="Q1616" s="7" t="inlineStr"/>
      <c r="R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8" t="n"/>
      <c r="N1617" s="7" t="inlineStr">
        <is>
          <t>SEM COTAÇÃO</t>
        </is>
      </c>
      <c r="O1617" s="8" t="n"/>
      <c r="P1617" s="14" t="n"/>
      <c r="Q1617" s="7" t="inlineStr"/>
      <c r="R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8" t="n"/>
      <c r="N1618" s="7" t="inlineStr">
        <is>
          <t>SEM COTAÇÃO</t>
        </is>
      </c>
      <c r="O1618" s="8" t="n"/>
      <c r="P1618" s="14" t="n"/>
      <c r="Q1618" s="7" t="inlineStr"/>
      <c r="R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8" t="n"/>
      <c r="N1619" s="7" t="inlineStr">
        <is>
          <t>SEM COTAÇÃO</t>
        </is>
      </c>
      <c r="O1619" s="8" t="n"/>
      <c r="P1619" s="14" t="n"/>
      <c r="Q1619" s="7" t="inlineStr"/>
      <c r="R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8" t="n"/>
      <c r="N1620" s="7" t="inlineStr">
        <is>
          <t>SEM COTAÇÃO</t>
        </is>
      </c>
      <c r="O1620" s="8" t="n"/>
      <c r="P1620" s="14" t="n"/>
      <c r="Q1620" s="7" t="inlineStr"/>
      <c r="R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8" t="n"/>
      <c r="N1621" s="7" t="inlineStr">
        <is>
          <t>SEM COTAÇÃO</t>
        </is>
      </c>
      <c r="O1621" s="8" t="n"/>
      <c r="P1621" s="14" t="n"/>
      <c r="Q1621" s="7" t="inlineStr"/>
      <c r="R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8" t="n"/>
      <c r="N1622" s="7" t="inlineStr">
        <is>
          <t>SEM COTAÇÃO</t>
        </is>
      </c>
      <c r="O1622" s="8" t="n"/>
      <c r="P1622" s="14" t="n"/>
      <c r="Q1622" s="7" t="inlineStr"/>
      <c r="R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8" t="n"/>
      <c r="N1623" s="7" t="inlineStr">
        <is>
          <t>SEM COTAÇÃO</t>
        </is>
      </c>
      <c r="O1623" s="8" t="n"/>
      <c r="P1623" s="14" t="n"/>
      <c r="Q1623" s="7" t="inlineStr"/>
      <c r="R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8" t="n"/>
      <c r="N1624" s="7" t="inlineStr">
        <is>
          <t>SEM COTAÇÃO</t>
        </is>
      </c>
      <c r="O1624" s="8" t="n"/>
      <c r="P1624" s="14" t="n"/>
      <c r="Q1624" s="7" t="inlineStr"/>
      <c r="R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8" t="n"/>
      <c r="N1625" s="7" t="inlineStr">
        <is>
          <t>EPAN</t>
        </is>
      </c>
      <c r="O1625" s="8" t="n">
        <v>22.24</v>
      </c>
      <c r="P1625" s="14">
        <f>O1625/H1625-1</f>
        <v/>
      </c>
      <c r="Q1625" s="17" t="inlineStr">
        <is>
          <t>OK (≤ menor hist.)</t>
        </is>
      </c>
      <c r="R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8" t="n"/>
      <c r="N1626" s="7" t="inlineStr">
        <is>
          <t>SEM COTAÇÃO</t>
        </is>
      </c>
      <c r="O1626" s="8" t="n"/>
      <c r="P1626" s="14" t="n"/>
      <c r="Q1626" s="7" t="inlineStr"/>
      <c r="R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7" t="inlineStr">
        <is>
          <t>SEM COTAÇÃO</t>
        </is>
      </c>
      <c r="O1627" s="8" t="n"/>
      <c r="P1627" s="14" t="n"/>
      <c r="Q1627" s="7" t="inlineStr"/>
      <c r="R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8" t="n"/>
      <c r="N1628" s="7" t="inlineStr">
        <is>
          <t>SEM COTAÇÃO</t>
        </is>
      </c>
      <c r="O1628" s="8" t="n"/>
      <c r="P1628" s="14" t="n"/>
      <c r="Q1628" s="7" t="inlineStr"/>
      <c r="R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8" t="n"/>
      <c r="N1629" s="7" t="inlineStr">
        <is>
          <t>DIMEC</t>
        </is>
      </c>
      <c r="O1629" s="8" t="n">
        <v>23.73</v>
      </c>
      <c r="P1629" s="14">
        <f>O1629/H1629-1</f>
        <v/>
      </c>
      <c r="Q1629" s="16" t="inlineStr">
        <is>
          <t>ACIMA +24.9%</t>
        </is>
      </c>
      <c r="R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8" t="n"/>
      <c r="N1630" s="7" t="inlineStr">
        <is>
          <t>SEM COTAÇÃO</t>
        </is>
      </c>
      <c r="O1630" s="8" t="n"/>
      <c r="P1630" s="14" t="n"/>
      <c r="Q1630" s="7" t="inlineStr"/>
      <c r="R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8" t="n"/>
      <c r="N1631" s="7" t="inlineStr">
        <is>
          <t>SEM COTAÇÃO</t>
        </is>
      </c>
      <c r="O1631" s="8" t="n"/>
      <c r="P1631" s="14" t="n"/>
      <c r="Q1631" s="7" t="inlineStr"/>
      <c r="R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8" t="n"/>
      <c r="N1632" s="7" t="inlineStr">
        <is>
          <t>SEM COTAÇÃO</t>
        </is>
      </c>
      <c r="O1632" s="8" t="n"/>
      <c r="P1632" s="14" t="n"/>
      <c r="Q1632" s="7" t="inlineStr"/>
      <c r="R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8" t="n"/>
      <c r="N1633" s="7" t="inlineStr">
        <is>
          <t>SEM COTAÇÃO</t>
        </is>
      </c>
      <c r="O1633" s="8" t="n"/>
      <c r="P1633" s="14" t="n"/>
      <c r="Q1633" s="7" t="inlineStr"/>
      <c r="R1633" s="7" t="inlineStr"/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8" t="n"/>
      <c r="N1634" s="7" t="inlineStr">
        <is>
          <t>SEM COTAÇÃO</t>
        </is>
      </c>
      <c r="O1634" s="8" t="n"/>
      <c r="P1634" s="14" t="n"/>
      <c r="Q1634" s="7" t="inlineStr"/>
      <c r="R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8" t="n"/>
      <c r="N1635" s="7" t="inlineStr">
        <is>
          <t>SEM COTAÇÃO</t>
        </is>
      </c>
      <c r="O1635" s="8" t="n"/>
      <c r="P1635" s="14" t="n"/>
      <c r="Q1635" s="7" t="inlineStr"/>
      <c r="R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8" t="n"/>
      <c r="N1636" s="7" t="inlineStr">
        <is>
          <t>SEM COTAÇÃO</t>
        </is>
      </c>
      <c r="O1636" s="8" t="n"/>
      <c r="P1636" s="14" t="n"/>
      <c r="Q1636" s="7" t="inlineStr"/>
      <c r="R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8" t="n"/>
      <c r="N1637" s="7" t="inlineStr">
        <is>
          <t>SEM COTAÇÃO</t>
        </is>
      </c>
      <c r="O1637" s="8" t="n"/>
      <c r="P1637" s="14" t="n"/>
      <c r="Q1637" s="7" t="inlineStr"/>
      <c r="R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8" t="n"/>
      <c r="N1638" s="7" t="inlineStr">
        <is>
          <t>SEM COTAÇÃO</t>
        </is>
      </c>
      <c r="O1638" s="8" t="n"/>
      <c r="P1638" s="14" t="n"/>
      <c r="Q1638" s="7" t="inlineStr"/>
      <c r="R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8" t="n"/>
      <c r="N1639" s="7" t="inlineStr">
        <is>
          <t>SEM COTAÇÃO</t>
        </is>
      </c>
      <c r="O1639" s="8" t="n"/>
      <c r="P1639" s="14" t="n"/>
      <c r="Q1639" s="7" t="inlineStr"/>
      <c r="R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8" t="n"/>
      <c r="N1640" s="7" t="inlineStr">
        <is>
          <t>SEM COTAÇÃO</t>
        </is>
      </c>
      <c r="O1640" s="8" t="n"/>
      <c r="P1640" s="14" t="n"/>
      <c r="Q1640" s="7" t="inlineStr"/>
      <c r="R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8" t="n"/>
      <c r="N1641" s="7" t="inlineStr">
        <is>
          <t>SEM COTAÇÃO</t>
        </is>
      </c>
      <c r="O1641" s="8" t="n"/>
      <c r="P1641" s="14" t="n"/>
      <c r="Q1641" s="7" t="inlineStr"/>
      <c r="R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8" t="n"/>
      <c r="N1642" s="7" t="inlineStr">
        <is>
          <t>DIMEC</t>
        </is>
      </c>
      <c r="O1642" s="8" t="n">
        <v>0.9</v>
      </c>
      <c r="P1642" s="14">
        <f>O1642/H1642-1</f>
        <v/>
      </c>
      <c r="Q1642" s="17" t="inlineStr">
        <is>
          <t>OK (≤ menor hist.)</t>
        </is>
      </c>
      <c r="R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8" t="n"/>
      <c r="N1643" s="7" t="inlineStr">
        <is>
          <t>SEM COTAÇÃO</t>
        </is>
      </c>
      <c r="O1643" s="8" t="n"/>
      <c r="P1643" s="14" t="n"/>
      <c r="Q1643" s="7" t="inlineStr"/>
      <c r="R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8" t="n"/>
      <c r="N1644" s="7" t="inlineStr">
        <is>
          <t>SEM COTAÇÃO</t>
        </is>
      </c>
      <c r="O1644" s="8" t="n"/>
      <c r="P1644" s="14" t="n"/>
      <c r="Q1644" s="7" t="inlineStr"/>
      <c r="R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8" t="n"/>
      <c r="N1645" s="7" t="inlineStr">
        <is>
          <t>SEM COTAÇÃO</t>
        </is>
      </c>
      <c r="O1645" s="8" t="n"/>
      <c r="P1645" s="14" t="n"/>
      <c r="Q1645" s="7" t="inlineStr"/>
      <c r="R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8" t="n"/>
      <c r="N1646" s="7" t="inlineStr">
        <is>
          <t>SEM COTAÇÃO</t>
        </is>
      </c>
      <c r="O1646" s="8" t="n"/>
      <c r="P1646" s="14" t="n"/>
      <c r="Q1646" s="7" t="inlineStr"/>
      <c r="R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8" t="n"/>
      <c r="N1647" s="7" t="inlineStr">
        <is>
          <t>SEM COTAÇÃO</t>
        </is>
      </c>
      <c r="O1647" s="8" t="n"/>
      <c r="P1647" s="14" t="n"/>
      <c r="Q1647" s="7" t="inlineStr"/>
      <c r="R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8" t="n"/>
      <c r="N1648" s="7" t="inlineStr">
        <is>
          <t>SEM COTAÇÃO</t>
        </is>
      </c>
      <c r="O1648" s="8" t="n"/>
      <c r="P1648" s="14" t="n"/>
      <c r="Q1648" s="7" t="inlineStr"/>
      <c r="R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8" t="n"/>
      <c r="N1649" s="7" t="inlineStr">
        <is>
          <t>SEM COTAÇÃO</t>
        </is>
      </c>
      <c r="O1649" s="8" t="n"/>
      <c r="P1649" s="14" t="n"/>
      <c r="Q1649" s="7" t="inlineStr"/>
      <c r="R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8" t="n"/>
      <c r="N1650" s="7" t="inlineStr">
        <is>
          <t>SEM COTAÇÃO</t>
        </is>
      </c>
      <c r="O1650" s="8" t="n"/>
      <c r="P1650" s="14" t="n"/>
      <c r="Q1650" s="7" t="inlineStr"/>
      <c r="R1650" s="7" t="inlineStr"/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8" t="n"/>
      <c r="N1651" s="7" t="inlineStr">
        <is>
          <t>SEM COTAÇÃO</t>
        </is>
      </c>
      <c r="O1651" s="8" t="n"/>
      <c r="P1651" s="14" t="n"/>
      <c r="Q1651" s="7" t="inlineStr"/>
      <c r="R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8" t="n"/>
      <c r="N1652" s="7" t="inlineStr">
        <is>
          <t>SEM COTAÇÃO</t>
        </is>
      </c>
      <c r="O1652" s="8" t="n"/>
      <c r="P1652" s="14" t="n"/>
      <c r="Q1652" s="7" t="inlineStr"/>
      <c r="R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8" t="n"/>
      <c r="N1653" s="7" t="inlineStr">
        <is>
          <t>SEM COTAÇÃO</t>
        </is>
      </c>
      <c r="O1653" s="8" t="n"/>
      <c r="P1653" s="14" t="n"/>
      <c r="Q1653" s="7" t="inlineStr"/>
      <c r="R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8" t="n"/>
      <c r="N1654" s="7" t="inlineStr">
        <is>
          <t>SEM COTAÇÃO</t>
        </is>
      </c>
      <c r="O1654" s="8" t="n"/>
      <c r="P1654" s="14" t="n"/>
      <c r="Q1654" s="7" t="inlineStr"/>
      <c r="R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8" t="n"/>
      <c r="N1655" s="7" t="inlineStr">
        <is>
          <t>SEM COTAÇÃO</t>
        </is>
      </c>
      <c r="O1655" s="8" t="n"/>
      <c r="P1655" s="14" t="n"/>
      <c r="Q1655" s="7" t="inlineStr"/>
      <c r="R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8" t="n"/>
      <c r="N1656" s="7" t="inlineStr">
        <is>
          <t>SEM COTAÇÃO</t>
        </is>
      </c>
      <c r="O1656" s="8" t="n"/>
      <c r="P1656" s="14" t="n"/>
      <c r="Q1656" s="7" t="inlineStr"/>
      <c r="R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8" t="n"/>
      <c r="N1657" s="7" t="inlineStr">
        <is>
          <t>SEM COTAÇÃO</t>
        </is>
      </c>
      <c r="O1657" s="8" t="n"/>
      <c r="P1657" s="14" t="n"/>
      <c r="Q1657" s="7" t="inlineStr"/>
      <c r="R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8" t="n"/>
      <c r="N1658" s="7" t="inlineStr">
        <is>
          <t>SEM COTAÇÃO</t>
        </is>
      </c>
      <c r="O1658" s="8" t="n"/>
      <c r="P1658" s="14" t="n"/>
      <c r="Q1658" s="7" t="inlineStr"/>
      <c r="R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8" t="n"/>
      <c r="N1659" s="7" t="inlineStr">
        <is>
          <t>SEM COTAÇÃO</t>
        </is>
      </c>
      <c r="O1659" s="8" t="n"/>
      <c r="P1659" s="14" t="n"/>
      <c r="Q1659" s="7" t="inlineStr"/>
      <c r="R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8" t="n"/>
      <c r="N1660" s="7" t="inlineStr">
        <is>
          <t>SEM COTAÇÃO</t>
        </is>
      </c>
      <c r="O1660" s="8" t="n"/>
      <c r="P1660" s="14" t="n"/>
      <c r="Q1660" s="7" t="inlineStr"/>
      <c r="R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8" t="n"/>
      <c r="N1661" s="7" t="inlineStr">
        <is>
          <t>SEM COTAÇÃO</t>
        </is>
      </c>
      <c r="O1661" s="8" t="n"/>
      <c r="P1661" s="14" t="n"/>
      <c r="Q1661" s="7" t="inlineStr"/>
      <c r="R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8" t="n"/>
      <c r="N1662" s="7" t="inlineStr">
        <is>
          <t>SEM COTAÇÃO</t>
        </is>
      </c>
      <c r="O1662" s="8" t="n"/>
      <c r="P1662" s="14" t="n"/>
      <c r="Q1662" s="7" t="inlineStr"/>
      <c r="R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8" t="n"/>
      <c r="N1663" s="7" t="inlineStr">
        <is>
          <t>SEM COTAÇÃO</t>
        </is>
      </c>
      <c r="O1663" s="8" t="n"/>
      <c r="P1663" s="14" t="n"/>
      <c r="Q1663" s="7" t="inlineStr"/>
      <c r="R1663" s="7" t="inlineStr"/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7" t="inlineStr">
        <is>
          <t>SEM COTAÇÃO</t>
        </is>
      </c>
      <c r="O1664" s="8" t="n"/>
      <c r="P1664" s="14" t="n"/>
      <c r="Q1664" s="7" t="inlineStr"/>
      <c r="R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8" t="n"/>
      <c r="N1665" s="7" t="inlineStr">
        <is>
          <t>SEM COTAÇÃO</t>
        </is>
      </c>
      <c r="O1665" s="8" t="n"/>
      <c r="P1665" s="14" t="n"/>
      <c r="Q1665" s="7" t="inlineStr"/>
      <c r="R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8" t="n"/>
      <c r="N1666" s="7" t="inlineStr">
        <is>
          <t>SEM COTAÇÃO</t>
        </is>
      </c>
      <c r="O1666" s="8" t="n"/>
      <c r="P1666" s="14" t="n"/>
      <c r="Q1666" s="7" t="inlineStr"/>
      <c r="R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8" t="n"/>
      <c r="N1667" s="7" t="inlineStr">
        <is>
          <t>SEM COTAÇÃO</t>
        </is>
      </c>
      <c r="O1667" s="8" t="n"/>
      <c r="P1667" s="14" t="n"/>
      <c r="Q1667" s="7" t="inlineStr"/>
      <c r="R1667" s="7" t="inlineStr"/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8" t="n"/>
      <c r="N1668" s="7" t="inlineStr">
        <is>
          <t>SEM COTAÇÃO</t>
        </is>
      </c>
      <c r="O1668" s="8" t="n"/>
      <c r="P1668" s="14" t="n"/>
      <c r="Q1668" s="7" t="inlineStr"/>
      <c r="R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8" t="n"/>
      <c r="N1669" s="7" t="inlineStr">
        <is>
          <t>SEM COTAÇÃO</t>
        </is>
      </c>
      <c r="O1669" s="8" t="n"/>
      <c r="P1669" s="14" t="n"/>
      <c r="Q1669" s="7" t="inlineStr"/>
      <c r="R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8" t="n"/>
      <c r="N1670" s="7" t="inlineStr">
        <is>
          <t>SEM COTAÇÃO</t>
        </is>
      </c>
      <c r="O1670" s="8" t="n"/>
      <c r="P1670" s="14" t="n"/>
      <c r="Q1670" s="7" t="inlineStr"/>
      <c r="R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8" t="n"/>
      <c r="N1671" s="7" t="inlineStr">
        <is>
          <t>SEM COTAÇÃO</t>
        </is>
      </c>
      <c r="O1671" s="8" t="n"/>
      <c r="P1671" s="14" t="n"/>
      <c r="Q1671" s="7" t="inlineStr"/>
      <c r="R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8" t="n"/>
      <c r="N1672" s="7" t="inlineStr">
        <is>
          <t>SEM COTAÇÃO</t>
        </is>
      </c>
      <c r="O1672" s="8" t="n"/>
      <c r="P1672" s="14" t="n"/>
      <c r="Q1672" s="7" t="inlineStr"/>
      <c r="R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8" t="n"/>
      <c r="N1673" s="7" t="inlineStr">
        <is>
          <t>SEM COTAÇÃO</t>
        </is>
      </c>
      <c r="O1673" s="8" t="n"/>
      <c r="P1673" s="14" t="n"/>
      <c r="Q1673" s="7" t="inlineStr"/>
      <c r="R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8" t="n"/>
      <c r="N1674" s="7" t="inlineStr">
        <is>
          <t>SEM COTAÇÃO</t>
        </is>
      </c>
      <c r="O1674" s="8" t="n"/>
      <c r="P1674" s="14" t="n"/>
      <c r="Q1674" s="7" t="inlineStr"/>
      <c r="R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8" t="n"/>
      <c r="N1675" s="7" t="inlineStr">
        <is>
          <t>SEM COTAÇÃO</t>
        </is>
      </c>
      <c r="O1675" s="8" t="n"/>
      <c r="P1675" s="14" t="n"/>
      <c r="Q1675" s="7" t="inlineStr"/>
      <c r="R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8" t="n"/>
      <c r="N1676" s="7" t="inlineStr">
        <is>
          <t>SEM COTAÇÃO</t>
        </is>
      </c>
      <c r="O1676" s="8" t="n"/>
      <c r="P1676" s="14" t="n"/>
      <c r="Q1676" s="7" t="inlineStr"/>
      <c r="R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8" t="n"/>
      <c r="N1677" s="7" t="inlineStr">
        <is>
          <t>SEM COTAÇÃO</t>
        </is>
      </c>
      <c r="O1677" s="8" t="n"/>
      <c r="P1677" s="14" t="n"/>
      <c r="Q1677" s="7" t="inlineStr"/>
      <c r="R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8" t="n"/>
      <c r="N1678" s="7" t="inlineStr">
        <is>
          <t>SEM COTAÇÃO</t>
        </is>
      </c>
      <c r="O1678" s="8" t="n"/>
      <c r="P1678" s="14" t="n"/>
      <c r="Q1678" s="7" t="inlineStr"/>
      <c r="R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8" t="n"/>
      <c r="N1679" s="7" t="inlineStr">
        <is>
          <t>SEM COTAÇÃO</t>
        </is>
      </c>
      <c r="O1679" s="8" t="n"/>
      <c r="P1679" s="14" t="n"/>
      <c r="Q1679" s="7" t="inlineStr"/>
      <c r="R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8" t="n"/>
      <c r="N1680" s="7" t="inlineStr">
        <is>
          <t>SEM COTAÇÃO</t>
        </is>
      </c>
      <c r="O1680" s="8" t="n"/>
      <c r="P1680" s="14" t="n"/>
      <c r="Q1680" s="7" t="inlineStr"/>
      <c r="R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8" t="n"/>
      <c r="N1681" s="7" t="inlineStr">
        <is>
          <t>SEM COTAÇÃO</t>
        </is>
      </c>
      <c r="O1681" s="8" t="n"/>
      <c r="P1681" s="14" t="n"/>
      <c r="Q1681" s="7" t="inlineStr"/>
      <c r="R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8" t="n"/>
      <c r="N1682" s="7" t="inlineStr">
        <is>
          <t>SEM COTAÇÃO</t>
        </is>
      </c>
      <c r="O1682" s="8" t="n"/>
      <c r="P1682" s="14" t="n"/>
      <c r="Q1682" s="7" t="inlineStr"/>
      <c r="R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8" t="n"/>
      <c r="N1683" s="7" t="inlineStr">
        <is>
          <t>SEM COTAÇÃO</t>
        </is>
      </c>
      <c r="O1683" s="8" t="n"/>
      <c r="P1683" s="14" t="n"/>
      <c r="Q1683" s="7" t="inlineStr"/>
      <c r="R1683" s="7" t="inlineStr"/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8" t="n"/>
      <c r="N1684" s="7" t="inlineStr">
        <is>
          <t>SEM COTAÇÃO</t>
        </is>
      </c>
      <c r="O1684" s="8" t="n"/>
      <c r="P1684" s="14" t="n"/>
      <c r="Q1684" s="7" t="inlineStr"/>
      <c r="R1684" s="7" t="inlineStr"/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8" t="n"/>
      <c r="N1685" s="7" t="inlineStr">
        <is>
          <t>SEM COTAÇÃO</t>
        </is>
      </c>
      <c r="O1685" s="8" t="n"/>
      <c r="P1685" s="14" t="n"/>
      <c r="Q1685" s="7" t="inlineStr"/>
      <c r="R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8" t="n"/>
      <c r="N1686" s="7" t="inlineStr">
        <is>
          <t>SEM COTAÇÃO</t>
        </is>
      </c>
      <c r="O1686" s="8" t="n"/>
      <c r="P1686" s="14" t="n"/>
      <c r="Q1686" s="7" t="inlineStr"/>
      <c r="R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8" t="n"/>
      <c r="N1687" s="7" t="inlineStr">
        <is>
          <t>SEM COTAÇÃO</t>
        </is>
      </c>
      <c r="O1687" s="8" t="n"/>
      <c r="P1687" s="14" t="n"/>
      <c r="Q1687" s="7" t="inlineStr"/>
      <c r="R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8" t="n"/>
      <c r="N1688" s="7" t="inlineStr">
        <is>
          <t>SEM COTAÇÃO</t>
        </is>
      </c>
      <c r="O1688" s="8" t="n"/>
      <c r="P1688" s="14" t="n"/>
      <c r="Q1688" s="7" t="inlineStr"/>
      <c r="R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8" t="n"/>
      <c r="N1689" s="7" t="inlineStr">
        <is>
          <t>SEM COTAÇÃO</t>
        </is>
      </c>
      <c r="O1689" s="8" t="n"/>
      <c r="P1689" s="14" t="n"/>
      <c r="Q1689" s="7" t="inlineStr"/>
      <c r="R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8" t="n"/>
      <c r="N1690" s="7" t="inlineStr">
        <is>
          <t>SEM COTAÇÃO</t>
        </is>
      </c>
      <c r="O1690" s="8" t="n"/>
      <c r="P1690" s="14" t="n"/>
      <c r="Q1690" s="7" t="inlineStr"/>
      <c r="R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8" t="n"/>
      <c r="N1691" s="7" t="inlineStr">
        <is>
          <t>SEM COTAÇÃO</t>
        </is>
      </c>
      <c r="O1691" s="8" t="n"/>
      <c r="P1691" s="14" t="n"/>
      <c r="Q1691" s="7" t="inlineStr"/>
      <c r="R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8" t="n"/>
      <c r="N1692" s="7" t="inlineStr">
        <is>
          <t>SEM COTAÇÃO</t>
        </is>
      </c>
      <c r="O1692" s="8" t="n"/>
      <c r="P1692" s="14" t="n"/>
      <c r="Q1692" s="7" t="inlineStr"/>
      <c r="R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8" t="n"/>
      <c r="N1693" s="7" t="inlineStr">
        <is>
          <t>SEM COTAÇÃO</t>
        </is>
      </c>
      <c r="O1693" s="8" t="n"/>
      <c r="P1693" s="14" t="n"/>
      <c r="Q1693" s="7" t="inlineStr"/>
      <c r="R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8" t="n"/>
      <c r="N1694" s="7" t="inlineStr">
        <is>
          <t>SEM COTAÇÃO</t>
        </is>
      </c>
      <c r="O1694" s="8" t="n"/>
      <c r="P1694" s="14" t="n"/>
      <c r="Q1694" s="7" t="inlineStr"/>
      <c r="R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8" t="n"/>
      <c r="N1695" s="7" t="inlineStr">
        <is>
          <t>SEM COTAÇÃO</t>
        </is>
      </c>
      <c r="O1695" s="8" t="n"/>
      <c r="P1695" s="14" t="n"/>
      <c r="Q1695" s="7" t="inlineStr"/>
      <c r="R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8" t="n"/>
      <c r="N1696" s="7" t="inlineStr">
        <is>
          <t>SEM COTAÇÃO</t>
        </is>
      </c>
      <c r="O1696" s="8" t="n"/>
      <c r="P1696" s="14" t="n"/>
      <c r="Q1696" s="7" t="inlineStr"/>
      <c r="R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8" t="n"/>
      <c r="N1697" s="7" t="inlineStr">
        <is>
          <t>SEM COTAÇÃO</t>
        </is>
      </c>
      <c r="O1697" s="8" t="n"/>
      <c r="P1697" s="14" t="n"/>
      <c r="Q1697" s="7" t="inlineStr"/>
      <c r="R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8" t="n"/>
      <c r="N1698" s="7" t="inlineStr">
        <is>
          <t>SEM COTAÇÃO</t>
        </is>
      </c>
      <c r="O1698" s="8" t="n"/>
      <c r="P1698" s="14" t="n"/>
      <c r="Q1698" s="7" t="inlineStr"/>
      <c r="R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8" t="n"/>
      <c r="N1699" s="7" t="inlineStr">
        <is>
          <t>SEM COTAÇÃO</t>
        </is>
      </c>
      <c r="O1699" s="8" t="n"/>
      <c r="P1699" s="14" t="n"/>
      <c r="Q1699" s="7" t="inlineStr"/>
      <c r="R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8" t="n"/>
      <c r="N1700" s="7" t="inlineStr">
        <is>
          <t>SEM COTAÇÃO</t>
        </is>
      </c>
      <c r="O1700" s="8" t="n"/>
      <c r="P1700" s="14" t="n"/>
      <c r="Q1700" s="7" t="inlineStr"/>
      <c r="R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8" t="n"/>
      <c r="N1701" s="7" t="inlineStr">
        <is>
          <t>SEM COTAÇÃO</t>
        </is>
      </c>
      <c r="O1701" s="8" t="n"/>
      <c r="P1701" s="14" t="n"/>
      <c r="Q1701" s="7" t="inlineStr"/>
      <c r="R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8" t="n"/>
      <c r="N1702" s="7" t="inlineStr">
        <is>
          <t>SEM COTAÇÃO</t>
        </is>
      </c>
      <c r="O1702" s="8" t="n"/>
      <c r="P1702" s="14" t="n"/>
      <c r="Q1702" s="7" t="inlineStr"/>
      <c r="R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8" t="n"/>
      <c r="N1703" s="7" t="inlineStr">
        <is>
          <t>SEM COTAÇÃO</t>
        </is>
      </c>
      <c r="O1703" s="8" t="n"/>
      <c r="P1703" s="14" t="n"/>
      <c r="Q1703" s="7" t="inlineStr"/>
      <c r="R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8" t="n"/>
      <c r="N1704" s="7" t="inlineStr">
        <is>
          <t>SEM COTAÇÃO</t>
        </is>
      </c>
      <c r="O1704" s="8" t="n"/>
      <c r="P1704" s="14" t="n"/>
      <c r="Q1704" s="7" t="inlineStr"/>
      <c r="R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8" t="n"/>
      <c r="N1705" s="7" t="inlineStr">
        <is>
          <t>SEM COTAÇÃO</t>
        </is>
      </c>
      <c r="O1705" s="8" t="n"/>
      <c r="P1705" s="14" t="n"/>
      <c r="Q1705" s="7" t="inlineStr"/>
      <c r="R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8" t="n"/>
      <c r="N1706" s="7" t="inlineStr">
        <is>
          <t>SEM COTAÇÃO</t>
        </is>
      </c>
      <c r="O1706" s="8" t="n"/>
      <c r="P1706" s="14" t="n"/>
      <c r="Q1706" s="7" t="inlineStr"/>
      <c r="R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8" t="n"/>
      <c r="N1707" s="7" t="inlineStr">
        <is>
          <t>SEM COTAÇÃO</t>
        </is>
      </c>
      <c r="O1707" s="8" t="n"/>
      <c r="P1707" s="14" t="n"/>
      <c r="Q1707" s="7" t="inlineStr"/>
      <c r="R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8" t="n"/>
      <c r="N1708" s="7" t="inlineStr">
        <is>
          <t>SEM COTAÇÃO</t>
        </is>
      </c>
      <c r="O1708" s="8" t="n"/>
      <c r="P1708" s="14" t="n"/>
      <c r="Q1708" s="7" t="inlineStr"/>
      <c r="R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8" t="n"/>
      <c r="N1709" s="7" t="inlineStr">
        <is>
          <t>SEM COTAÇÃO</t>
        </is>
      </c>
      <c r="O1709" s="8" t="n"/>
      <c r="P1709" s="14" t="n"/>
      <c r="Q1709" s="7" t="inlineStr"/>
      <c r="R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8" t="n"/>
      <c r="N1710" s="7" t="inlineStr">
        <is>
          <t>SEM COTAÇÃO</t>
        </is>
      </c>
      <c r="O1710" s="8" t="n"/>
      <c r="P1710" s="14" t="n"/>
      <c r="Q1710" s="7" t="inlineStr"/>
      <c r="R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8" t="n"/>
      <c r="N1711" s="7" t="inlineStr">
        <is>
          <t>SEM COTAÇÃO</t>
        </is>
      </c>
      <c r="O1711" s="8" t="n"/>
      <c r="P1711" s="14" t="n"/>
      <c r="Q1711" s="7" t="inlineStr"/>
      <c r="R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8" t="n"/>
      <c r="N1712" s="7" t="inlineStr">
        <is>
          <t>SEM COTAÇÃO</t>
        </is>
      </c>
      <c r="O1712" s="8" t="n"/>
      <c r="P1712" s="14" t="n"/>
      <c r="Q1712" s="7" t="inlineStr"/>
      <c r="R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8" t="n"/>
      <c r="N1713" s="7" t="inlineStr">
        <is>
          <t>SEM COTAÇÃO</t>
        </is>
      </c>
      <c r="O1713" s="8" t="n"/>
      <c r="P1713" s="14" t="n"/>
      <c r="Q1713" s="7" t="inlineStr"/>
      <c r="R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8" t="n"/>
      <c r="N1714" s="7" t="inlineStr">
        <is>
          <t>SEM COTAÇÃO</t>
        </is>
      </c>
      <c r="O1714" s="8" t="n"/>
      <c r="P1714" s="14" t="n"/>
      <c r="Q1714" s="7" t="inlineStr"/>
      <c r="R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8" t="n"/>
      <c r="N1715" s="7" t="inlineStr">
        <is>
          <t>SEM COTAÇÃO</t>
        </is>
      </c>
      <c r="O1715" s="8" t="n"/>
      <c r="P1715" s="14" t="n"/>
      <c r="Q1715" s="7" t="inlineStr"/>
      <c r="R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8" t="n"/>
      <c r="N1716" s="7" t="inlineStr">
        <is>
          <t>SEM COTAÇÃO</t>
        </is>
      </c>
      <c r="O1716" s="8" t="n"/>
      <c r="P1716" s="14" t="n"/>
      <c r="Q1716" s="7" t="inlineStr"/>
      <c r="R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8" t="n"/>
      <c r="N1717" s="7" t="inlineStr">
        <is>
          <t>SEM COTAÇÃO</t>
        </is>
      </c>
      <c r="O1717" s="8" t="n"/>
      <c r="P1717" s="14" t="n"/>
      <c r="Q1717" s="7" t="inlineStr"/>
      <c r="R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8" t="n"/>
      <c r="N1718" s="7" t="inlineStr">
        <is>
          <t>SEM COTAÇÃO</t>
        </is>
      </c>
      <c r="O1718" s="8" t="n"/>
      <c r="P1718" s="14" t="n"/>
      <c r="Q1718" s="7" t="inlineStr"/>
      <c r="R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8" t="n"/>
      <c r="N1719" s="7" t="inlineStr">
        <is>
          <t>SEM COTAÇÃO</t>
        </is>
      </c>
      <c r="O1719" s="8" t="n"/>
      <c r="P1719" s="14" t="n"/>
      <c r="Q1719" s="7" t="inlineStr"/>
      <c r="R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8" t="n"/>
      <c r="N1720" s="7" t="inlineStr">
        <is>
          <t>SEM COTAÇÃO</t>
        </is>
      </c>
      <c r="O1720" s="8" t="n"/>
      <c r="P1720" s="14" t="n"/>
      <c r="Q1720" s="7" t="inlineStr"/>
      <c r="R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8" t="n"/>
      <c r="N1721" s="7" t="inlineStr">
        <is>
          <t>SEM COTAÇÃO</t>
        </is>
      </c>
      <c r="O1721" s="8" t="n"/>
      <c r="P1721" s="14" t="n"/>
      <c r="Q1721" s="7" t="inlineStr"/>
      <c r="R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8" t="n"/>
      <c r="N1722" s="7" t="inlineStr">
        <is>
          <t>SEM COTAÇÃO</t>
        </is>
      </c>
      <c r="O1722" s="8" t="n"/>
      <c r="P1722" s="14" t="n"/>
      <c r="Q1722" s="7" t="inlineStr"/>
      <c r="R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8" t="n"/>
      <c r="N1723" s="7" t="inlineStr">
        <is>
          <t>SEM COTAÇÃO</t>
        </is>
      </c>
      <c r="O1723" s="8" t="n"/>
      <c r="P1723" s="14" t="n"/>
      <c r="Q1723" s="7" t="inlineStr"/>
      <c r="R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8" t="n"/>
      <c r="N1724" s="7" t="inlineStr">
        <is>
          <t>SEM COTAÇÃO</t>
        </is>
      </c>
      <c r="O1724" s="8" t="n"/>
      <c r="P1724" s="14" t="n"/>
      <c r="Q1724" s="7" t="inlineStr"/>
      <c r="R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8" t="n"/>
      <c r="N1725" s="7" t="inlineStr">
        <is>
          <t>SEM COTAÇÃO</t>
        </is>
      </c>
      <c r="O1725" s="8" t="n"/>
      <c r="P1725" s="14" t="n"/>
      <c r="Q1725" s="7" t="inlineStr"/>
      <c r="R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7" t="inlineStr">
        <is>
          <t>SEM COTAÇÃO</t>
        </is>
      </c>
      <c r="O1726" s="8" t="n"/>
      <c r="P1726" s="14" t="n"/>
      <c r="Q1726" s="7" t="inlineStr"/>
      <c r="R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7" t="inlineStr">
        <is>
          <t>SEM COTAÇÃO</t>
        </is>
      </c>
      <c r="O1727" s="8" t="n"/>
      <c r="P1727" s="14" t="n"/>
      <c r="Q1727" s="7" t="inlineStr"/>
      <c r="R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8" t="n"/>
      <c r="N1728" s="7" t="inlineStr">
        <is>
          <t>SEM COTAÇÃO</t>
        </is>
      </c>
      <c r="O1728" s="8" t="n"/>
      <c r="P1728" s="14" t="n"/>
      <c r="Q1728" s="7" t="inlineStr"/>
      <c r="R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8" t="n"/>
      <c r="N1729" s="7" t="inlineStr">
        <is>
          <t>SEM COTAÇÃO</t>
        </is>
      </c>
      <c r="O1729" s="8" t="n"/>
      <c r="P1729" s="14" t="n"/>
      <c r="Q1729" s="7" t="inlineStr"/>
      <c r="R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8" t="n"/>
      <c r="N1730" s="7" t="inlineStr">
        <is>
          <t>SEM COTAÇÃO</t>
        </is>
      </c>
      <c r="O1730" s="8" t="n"/>
      <c r="P1730" s="14" t="n"/>
      <c r="Q1730" s="7" t="inlineStr"/>
      <c r="R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8" t="n"/>
      <c r="N1731" s="7" t="inlineStr">
        <is>
          <t>SEM COTAÇÃO</t>
        </is>
      </c>
      <c r="O1731" s="8" t="n"/>
      <c r="P1731" s="14" t="n"/>
      <c r="Q1731" s="7" t="inlineStr"/>
      <c r="R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8" t="n"/>
      <c r="N1732" s="7" t="inlineStr">
        <is>
          <t>SEM COTAÇÃO</t>
        </is>
      </c>
      <c r="O1732" s="8" t="n"/>
      <c r="P1732" s="14" t="n"/>
      <c r="Q1732" s="7" t="inlineStr"/>
      <c r="R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8" t="n"/>
      <c r="N1733" s="7" t="inlineStr">
        <is>
          <t>SEM COTAÇÃO</t>
        </is>
      </c>
      <c r="O1733" s="8" t="n"/>
      <c r="P1733" s="14" t="n"/>
      <c r="Q1733" s="7" t="inlineStr"/>
      <c r="R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8" t="n"/>
      <c r="N1734" s="7" t="inlineStr">
        <is>
          <t>SEM COTAÇÃO</t>
        </is>
      </c>
      <c r="O1734" s="8" t="n"/>
      <c r="P1734" s="14" t="n"/>
      <c r="Q1734" s="7" t="inlineStr"/>
      <c r="R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8" t="n"/>
      <c r="N1735" s="7" t="inlineStr">
        <is>
          <t>SEM COTAÇÃO</t>
        </is>
      </c>
      <c r="O1735" s="8" t="n"/>
      <c r="P1735" s="14" t="n"/>
      <c r="Q1735" s="7" t="inlineStr"/>
      <c r="R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8" t="n"/>
      <c r="N1736" s="7" t="inlineStr">
        <is>
          <t>SEM COTAÇÃO</t>
        </is>
      </c>
      <c r="O1736" s="8" t="n"/>
      <c r="P1736" s="14" t="n"/>
      <c r="Q1736" s="7" t="inlineStr"/>
      <c r="R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8" t="n"/>
      <c r="N1737" s="7" t="inlineStr">
        <is>
          <t>SEM COTAÇÃO</t>
        </is>
      </c>
      <c r="O1737" s="8" t="n"/>
      <c r="P1737" s="14" t="n"/>
      <c r="Q1737" s="7" t="inlineStr"/>
      <c r="R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8" t="n"/>
      <c r="N1738" s="7" t="inlineStr">
        <is>
          <t>SEM COTAÇÃO</t>
        </is>
      </c>
      <c r="O1738" s="8" t="n"/>
      <c r="P1738" s="14" t="n"/>
      <c r="Q1738" s="7" t="inlineStr"/>
      <c r="R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8" t="n"/>
      <c r="N1739" s="7" t="inlineStr">
        <is>
          <t>SEM COTAÇÃO</t>
        </is>
      </c>
      <c r="O1739" s="8" t="n"/>
      <c r="P1739" s="14" t="n"/>
      <c r="Q1739" s="7" t="inlineStr"/>
      <c r="R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8" t="n"/>
      <c r="N1740" s="7" t="inlineStr">
        <is>
          <t>SEM COTAÇÃO</t>
        </is>
      </c>
      <c r="O1740" s="8" t="n"/>
      <c r="P1740" s="14" t="n"/>
      <c r="Q1740" s="7" t="inlineStr"/>
      <c r="R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8" t="n"/>
      <c r="N1741" s="7" t="inlineStr">
        <is>
          <t>SEM COTAÇÃO</t>
        </is>
      </c>
      <c r="O1741" s="8" t="n"/>
      <c r="P1741" s="14" t="n"/>
      <c r="Q1741" s="7" t="inlineStr"/>
      <c r="R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7" t="inlineStr">
        <is>
          <t>SEM COTAÇÃO</t>
        </is>
      </c>
      <c r="O1742" s="8" t="n"/>
      <c r="P1742" s="14" t="n"/>
      <c r="Q1742" s="7" t="inlineStr"/>
      <c r="R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8" t="n"/>
      <c r="N1743" s="7" t="inlineStr">
        <is>
          <t>SEM COTAÇÃO</t>
        </is>
      </c>
      <c r="O1743" s="8" t="n"/>
      <c r="P1743" s="14" t="n"/>
      <c r="Q1743" s="7" t="inlineStr"/>
      <c r="R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8" t="n"/>
      <c r="N1744" s="7" t="inlineStr">
        <is>
          <t>SEM COTAÇÃO</t>
        </is>
      </c>
      <c r="O1744" s="8" t="n"/>
      <c r="P1744" s="14" t="n"/>
      <c r="Q1744" s="7" t="inlineStr"/>
      <c r="R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8" t="n"/>
      <c r="N1745" s="7" t="inlineStr">
        <is>
          <t>SEM COTAÇÃO</t>
        </is>
      </c>
      <c r="O1745" s="8" t="n"/>
      <c r="P1745" s="14" t="n"/>
      <c r="Q1745" s="7" t="inlineStr"/>
      <c r="R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8" t="n"/>
      <c r="N1746" s="7" t="inlineStr">
        <is>
          <t>SEM COTAÇÃO</t>
        </is>
      </c>
      <c r="O1746" s="8" t="n"/>
      <c r="P1746" s="14" t="n"/>
      <c r="Q1746" s="7" t="inlineStr"/>
      <c r="R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8" t="n"/>
      <c r="N1747" s="7" t="inlineStr">
        <is>
          <t>SEM COTAÇÃO</t>
        </is>
      </c>
      <c r="O1747" s="8" t="n"/>
      <c r="P1747" s="14" t="n"/>
      <c r="Q1747" s="7" t="inlineStr"/>
      <c r="R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8" t="n"/>
      <c r="N1748" s="7" t="inlineStr">
        <is>
          <t>SEM COTAÇÃO</t>
        </is>
      </c>
      <c r="O1748" s="8" t="n"/>
      <c r="P1748" s="14" t="n"/>
      <c r="Q1748" s="7" t="inlineStr"/>
      <c r="R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8" t="n"/>
      <c r="N1749" s="7" t="inlineStr">
        <is>
          <t>SEM COTAÇÃO</t>
        </is>
      </c>
      <c r="O1749" s="8" t="n"/>
      <c r="P1749" s="14" t="n"/>
      <c r="Q1749" s="7" t="inlineStr"/>
      <c r="R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8" t="n"/>
      <c r="N1750" s="7" t="inlineStr">
        <is>
          <t>SEM COTAÇÃO</t>
        </is>
      </c>
      <c r="O1750" s="8" t="n"/>
      <c r="P1750" s="14" t="n"/>
      <c r="Q1750" s="7" t="inlineStr"/>
      <c r="R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8" t="n"/>
      <c r="N1751" s="7" t="inlineStr">
        <is>
          <t>SEM COTAÇÃO</t>
        </is>
      </c>
      <c r="O1751" s="8" t="n"/>
      <c r="P1751" s="14" t="n"/>
      <c r="Q1751" s="7" t="inlineStr"/>
      <c r="R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8" t="n"/>
      <c r="N1752" s="7" t="inlineStr">
        <is>
          <t>SEM COTAÇÃO</t>
        </is>
      </c>
      <c r="O1752" s="8" t="n"/>
      <c r="P1752" s="14" t="n"/>
      <c r="Q1752" s="7" t="inlineStr"/>
      <c r="R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8" t="n"/>
      <c r="N1753" s="7" t="inlineStr">
        <is>
          <t>SEM COTAÇÃO</t>
        </is>
      </c>
      <c r="O1753" s="8" t="n"/>
      <c r="P1753" s="14" t="n"/>
      <c r="Q1753" s="7" t="inlineStr"/>
      <c r="R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8" t="n"/>
      <c r="N1754" s="7" t="inlineStr">
        <is>
          <t>SEM COTAÇÃO</t>
        </is>
      </c>
      <c r="O1754" s="8" t="n"/>
      <c r="P1754" s="14" t="n"/>
      <c r="Q1754" s="7" t="inlineStr"/>
      <c r="R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8" t="n"/>
      <c r="N1755" s="7" t="inlineStr">
        <is>
          <t>SEM COTAÇÃO</t>
        </is>
      </c>
      <c r="O1755" s="8" t="n"/>
      <c r="P1755" s="14" t="n"/>
      <c r="Q1755" s="7" t="inlineStr"/>
      <c r="R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8" t="n"/>
      <c r="N1756" s="7" t="inlineStr">
        <is>
          <t>SEM COTAÇÃO</t>
        </is>
      </c>
      <c r="O1756" s="8" t="n"/>
      <c r="P1756" s="14" t="n"/>
      <c r="Q1756" s="7" t="inlineStr"/>
      <c r="R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7" t="inlineStr">
        <is>
          <t>SEM COTAÇÃO</t>
        </is>
      </c>
      <c r="O1757" s="8" t="n"/>
      <c r="P1757" s="14" t="n"/>
      <c r="Q1757" s="7" t="inlineStr"/>
      <c r="R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8" t="n"/>
      <c r="N1758" s="7" t="inlineStr">
        <is>
          <t>SEM COTAÇÃO</t>
        </is>
      </c>
      <c r="O1758" s="8" t="n"/>
      <c r="P1758" s="14" t="n"/>
      <c r="Q1758" s="7" t="inlineStr"/>
      <c r="R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8" t="n"/>
      <c r="N1759" s="7" t="inlineStr">
        <is>
          <t>SEM COTAÇÃO</t>
        </is>
      </c>
      <c r="O1759" s="8" t="n"/>
      <c r="P1759" s="14" t="n"/>
      <c r="Q1759" s="7" t="inlineStr"/>
      <c r="R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8" t="n"/>
      <c r="N1760" s="7" t="inlineStr">
        <is>
          <t>SEM COTAÇÃO</t>
        </is>
      </c>
      <c r="O1760" s="8" t="n"/>
      <c r="P1760" s="14" t="n"/>
      <c r="Q1760" s="7" t="inlineStr"/>
      <c r="R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8" t="n"/>
      <c r="N1761" s="7" t="inlineStr">
        <is>
          <t>SEM COTAÇÃO</t>
        </is>
      </c>
      <c r="O1761" s="8" t="n"/>
      <c r="P1761" s="14" t="n"/>
      <c r="Q1761" s="7" t="inlineStr"/>
      <c r="R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8" t="n"/>
      <c r="N1762" s="7" t="inlineStr">
        <is>
          <t>SEM COTAÇÃO</t>
        </is>
      </c>
      <c r="O1762" s="8" t="n"/>
      <c r="P1762" s="14" t="n"/>
      <c r="Q1762" s="7" t="inlineStr"/>
      <c r="R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8" t="n"/>
      <c r="N1763" s="7" t="inlineStr">
        <is>
          <t>SEM COTAÇÃO</t>
        </is>
      </c>
      <c r="O1763" s="8" t="n"/>
      <c r="P1763" s="14" t="n"/>
      <c r="Q1763" s="7" t="inlineStr"/>
      <c r="R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8" t="n"/>
      <c r="N1764" s="7" t="inlineStr">
        <is>
          <t>SEM COTAÇÃO</t>
        </is>
      </c>
      <c r="O1764" s="8" t="n"/>
      <c r="P1764" s="14" t="n"/>
      <c r="Q1764" s="7" t="inlineStr"/>
      <c r="R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8" t="n"/>
      <c r="N1765" s="7" t="inlineStr">
        <is>
          <t>SEM COTAÇÃO</t>
        </is>
      </c>
      <c r="O1765" s="8" t="n"/>
      <c r="P1765" s="14" t="n"/>
      <c r="Q1765" s="7" t="inlineStr"/>
      <c r="R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8" t="n"/>
      <c r="N1766" s="7" t="inlineStr">
        <is>
          <t>SEM COTAÇÃO</t>
        </is>
      </c>
      <c r="O1766" s="8" t="n"/>
      <c r="P1766" s="14" t="n"/>
      <c r="Q1766" s="7" t="inlineStr"/>
      <c r="R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8" t="n"/>
      <c r="N1767" s="7" t="inlineStr">
        <is>
          <t>SEM COTAÇÃO</t>
        </is>
      </c>
      <c r="O1767" s="8" t="n"/>
      <c r="P1767" s="14" t="n"/>
      <c r="Q1767" s="7" t="inlineStr"/>
      <c r="R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8" t="n"/>
      <c r="N1768" s="7" t="inlineStr">
        <is>
          <t>SEM COTAÇÃO</t>
        </is>
      </c>
      <c r="O1768" s="8" t="n"/>
      <c r="P1768" s="14" t="n"/>
      <c r="Q1768" s="7" t="inlineStr"/>
      <c r="R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8" t="n"/>
      <c r="N1769" s="7" t="inlineStr">
        <is>
          <t>SEM COTAÇÃO</t>
        </is>
      </c>
      <c r="O1769" s="8" t="n"/>
      <c r="P1769" s="14" t="n"/>
      <c r="Q1769" s="7" t="inlineStr"/>
      <c r="R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8" t="n"/>
      <c r="N1770" s="7" t="inlineStr">
        <is>
          <t>SEM COTAÇÃO</t>
        </is>
      </c>
      <c r="O1770" s="8" t="n"/>
      <c r="P1770" s="14" t="n"/>
      <c r="Q1770" s="7" t="inlineStr"/>
      <c r="R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8" t="n"/>
      <c r="N1771" s="7" t="inlineStr">
        <is>
          <t>SEM COTAÇÃO</t>
        </is>
      </c>
      <c r="O1771" s="8" t="n"/>
      <c r="P1771" s="14" t="n"/>
      <c r="Q1771" s="7" t="inlineStr"/>
      <c r="R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8" t="n"/>
      <c r="N1772" s="7" t="inlineStr">
        <is>
          <t>SEM COTAÇÃO</t>
        </is>
      </c>
      <c r="O1772" s="8" t="n"/>
      <c r="P1772" s="14" t="n"/>
      <c r="Q1772" s="7" t="inlineStr"/>
      <c r="R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8" t="n"/>
      <c r="N1773" s="7" t="inlineStr">
        <is>
          <t>SEM COTAÇÃO</t>
        </is>
      </c>
      <c r="O1773" s="8" t="n"/>
      <c r="P1773" s="14" t="n"/>
      <c r="Q1773" s="7" t="inlineStr"/>
      <c r="R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8" t="n"/>
      <c r="N1774" s="7" t="inlineStr">
        <is>
          <t>SEM COTAÇÃO</t>
        </is>
      </c>
      <c r="O1774" s="8" t="n"/>
      <c r="P1774" s="14" t="n"/>
      <c r="Q1774" s="7" t="inlineStr"/>
      <c r="R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8" t="n"/>
      <c r="N1775" s="7" t="inlineStr">
        <is>
          <t>SEM COTAÇÃO</t>
        </is>
      </c>
      <c r="O1775" s="8" t="n"/>
      <c r="P1775" s="14" t="n"/>
      <c r="Q1775" s="7" t="inlineStr"/>
      <c r="R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8" t="n"/>
      <c r="N1776" s="7" t="inlineStr">
        <is>
          <t>SEM COTAÇÃO</t>
        </is>
      </c>
      <c r="O1776" s="8" t="n"/>
      <c r="P1776" s="14" t="n"/>
      <c r="Q1776" s="7" t="inlineStr"/>
      <c r="R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8" t="n"/>
      <c r="N1777" s="7" t="inlineStr">
        <is>
          <t>SEM COTAÇÃO</t>
        </is>
      </c>
      <c r="O1777" s="8" t="n"/>
      <c r="P1777" s="14" t="n"/>
      <c r="Q1777" s="7" t="inlineStr"/>
      <c r="R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8" t="n"/>
      <c r="N1778" s="7" t="inlineStr">
        <is>
          <t>DIMEC</t>
        </is>
      </c>
      <c r="O1778" s="8" t="n">
        <v>24.96</v>
      </c>
      <c r="P1778" s="14">
        <f>O1778/H1778-1</f>
        <v/>
      </c>
      <c r="Q1778" s="16" t="inlineStr">
        <is>
          <t>ACIMA +15.0%</t>
        </is>
      </c>
      <c r="R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8" t="n">
        <v>43.92</v>
      </c>
      <c r="N1779" s="7" t="inlineStr">
        <is>
          <t>DIMEC</t>
        </is>
      </c>
      <c r="O1779" s="8" t="n">
        <v>43.2</v>
      </c>
      <c r="P1779" s="14">
        <f>O1779/H1779-1</f>
        <v/>
      </c>
      <c r="Q1779" s="16" t="inlineStr">
        <is>
          <t>ACIMA +3.5%</t>
        </is>
      </c>
      <c r="R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8" t="n"/>
      <c r="N1780" s="7" t="inlineStr">
        <is>
          <t>SEM COTAÇÃO</t>
        </is>
      </c>
      <c r="O1780" s="8" t="n"/>
      <c r="P1780" s="14" t="n"/>
      <c r="Q1780" s="7" t="inlineStr"/>
      <c r="R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8" t="n"/>
      <c r="N1781" s="7" t="inlineStr">
        <is>
          <t>SEM COTAÇÃO</t>
        </is>
      </c>
      <c r="O1781" s="8" t="n"/>
      <c r="P1781" s="14" t="n"/>
      <c r="Q1781" s="7" t="inlineStr"/>
      <c r="R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8" t="n"/>
      <c r="N1782" s="7" t="inlineStr">
        <is>
          <t>DIMEC</t>
        </is>
      </c>
      <c r="O1782" s="8" t="n">
        <v>2.83</v>
      </c>
      <c r="P1782" s="14">
        <f>O1782/H1782-1</f>
        <v/>
      </c>
      <c r="Q1782" s="17" t="inlineStr">
        <is>
          <t>OK (≤ menor hist.)</t>
        </is>
      </c>
      <c r="R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15" t="n">
        <v>13.85</v>
      </c>
      <c r="L1783" s="8" t="n"/>
      <c r="M1783" s="8" t="n"/>
      <c r="N1783" s="7" t="inlineStr">
        <is>
          <t>PLUSFARMA</t>
        </is>
      </c>
      <c r="O1783" s="8" t="n">
        <v>13.85</v>
      </c>
      <c r="P1783" s="14">
        <f>O1783/H1783-1</f>
        <v/>
      </c>
      <c r="Q1783" s="16" t="inlineStr">
        <is>
          <t>ACIMA +21.5%</t>
        </is>
      </c>
      <c r="R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8" t="n"/>
      <c r="N1784" s="7" t="inlineStr">
        <is>
          <t>SEM COTAÇÃO</t>
        </is>
      </c>
      <c r="O1784" s="8" t="n"/>
      <c r="P1784" s="14" t="n"/>
      <c r="Q1784" s="7" t="inlineStr"/>
      <c r="R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8" t="n">
        <v>13.97</v>
      </c>
      <c r="N1785" s="7" t="inlineStr">
        <is>
          <t>DIMEC</t>
        </is>
      </c>
      <c r="O1785" s="8" t="n">
        <v>12.33</v>
      </c>
      <c r="P1785" s="14">
        <f>O1785/H1785-1</f>
        <v/>
      </c>
      <c r="Q1785" s="16" t="inlineStr">
        <is>
          <t>ACIMA +0.1%</t>
        </is>
      </c>
      <c r="R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8" t="n"/>
      <c r="N1786" s="7" t="inlineStr">
        <is>
          <t>SEM COTAÇÃO</t>
        </is>
      </c>
      <c r="O1786" s="8" t="n"/>
      <c r="P1786" s="14" t="n"/>
      <c r="Q1786" s="7" t="inlineStr"/>
      <c r="R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8" t="n">
        <v>2.58</v>
      </c>
      <c r="N1787" s="7" t="inlineStr">
        <is>
          <t>DIMEC</t>
        </is>
      </c>
      <c r="O1787" s="8" t="n">
        <v>2.15</v>
      </c>
      <c r="P1787" s="14">
        <f>O1787/H1787-1</f>
        <v/>
      </c>
      <c r="Q1787" s="17" t="inlineStr">
        <is>
          <t>OK (≤ menor hist.)</t>
        </is>
      </c>
      <c r="R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8" t="n">
        <v>4.37</v>
      </c>
      <c r="N1788" s="7" t="inlineStr">
        <is>
          <t>DIMEC</t>
        </is>
      </c>
      <c r="O1788" s="8" t="n">
        <v>3.71</v>
      </c>
      <c r="P1788" s="14">
        <f>O1788/H1788-1</f>
        <v/>
      </c>
      <c r="Q1788" s="17" t="inlineStr">
        <is>
          <t>OK (≤ menor hist.)</t>
        </is>
      </c>
      <c r="R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8" t="n">
        <v>6.9</v>
      </c>
      <c r="N1789" s="7" t="inlineStr">
        <is>
          <t>DIMEC</t>
        </is>
      </c>
      <c r="O1789" s="8" t="n">
        <v>5.98</v>
      </c>
      <c r="P1789" s="14">
        <f>O1789/H1789-1</f>
        <v/>
      </c>
      <c r="Q1789" s="17" t="inlineStr">
        <is>
          <t>OK (≤ últ. compra)</t>
        </is>
      </c>
      <c r="R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8" t="n"/>
      <c r="N1790" s="7" t="inlineStr">
        <is>
          <t>SEM COTAÇÃO</t>
        </is>
      </c>
      <c r="O1790" s="8" t="n"/>
      <c r="P1790" s="14" t="n"/>
      <c r="Q1790" s="7" t="inlineStr"/>
      <c r="R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8" t="n"/>
      <c r="N1791" s="7" t="inlineStr">
        <is>
          <t>SEM COTAÇÃO</t>
        </is>
      </c>
      <c r="O1791" s="8" t="n"/>
      <c r="P1791" s="14" t="n"/>
      <c r="Q1791" s="7" t="inlineStr"/>
      <c r="R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8" t="n"/>
      <c r="N1792" s="7" t="inlineStr">
        <is>
          <t>SEM COTAÇÃO</t>
        </is>
      </c>
      <c r="O1792" s="8" t="n"/>
      <c r="P1792" s="14" t="n"/>
      <c r="Q1792" s="7" t="inlineStr"/>
      <c r="R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8" t="n"/>
      <c r="N1793" s="7" t="inlineStr">
        <is>
          <t>SEM COTAÇÃO</t>
        </is>
      </c>
      <c r="O1793" s="8" t="n"/>
      <c r="P1793" s="14" t="n"/>
      <c r="Q1793" s="7" t="inlineStr"/>
      <c r="R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8" t="n"/>
      <c r="N1794" s="7" t="inlineStr">
        <is>
          <t>SEM COTAÇÃO</t>
        </is>
      </c>
      <c r="O1794" s="8" t="n"/>
      <c r="P1794" s="14" t="n"/>
      <c r="Q1794" s="7" t="inlineStr"/>
      <c r="R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8" t="n"/>
      <c r="N1795" s="7" t="inlineStr">
        <is>
          <t>SEM COTAÇÃO</t>
        </is>
      </c>
      <c r="O1795" s="8" t="n"/>
      <c r="P1795" s="14" t="n"/>
      <c r="Q1795" s="7" t="inlineStr"/>
      <c r="R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8" t="n"/>
      <c r="N1796" s="7" t="inlineStr">
        <is>
          <t>SEM COTAÇÃO</t>
        </is>
      </c>
      <c r="O1796" s="8" t="n"/>
      <c r="P1796" s="14" t="n"/>
      <c r="Q1796" s="7" t="inlineStr"/>
      <c r="R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8" t="n"/>
      <c r="N1797" s="7" t="inlineStr">
        <is>
          <t>SEM COTAÇÃO</t>
        </is>
      </c>
      <c r="O1797" s="8" t="n"/>
      <c r="P1797" s="14" t="n"/>
      <c r="Q1797" s="7" t="inlineStr"/>
      <c r="R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8" t="n"/>
      <c r="N1798" s="7" t="inlineStr">
        <is>
          <t>SEM COTAÇÃO</t>
        </is>
      </c>
      <c r="O1798" s="8" t="n"/>
      <c r="P1798" s="14" t="n"/>
      <c r="Q1798" s="7" t="inlineStr"/>
      <c r="R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15" t="n">
        <v>57.04</v>
      </c>
      <c r="N1799" s="7" t="inlineStr">
        <is>
          <t>CENTROFARMA</t>
        </is>
      </c>
      <c r="O1799" s="8" t="n">
        <v>57.04</v>
      </c>
      <c r="P1799" s="14">
        <f>O1799/H1799-1</f>
        <v/>
      </c>
      <c r="Q1799" s="16" t="inlineStr">
        <is>
          <t>ACIMA +29.6%</t>
        </is>
      </c>
      <c r="R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8" t="n"/>
      <c r="N1800" s="7" t="inlineStr">
        <is>
          <t>SEM COTAÇÃO</t>
        </is>
      </c>
      <c r="O1800" s="8" t="n"/>
      <c r="P1800" s="14" t="n"/>
      <c r="Q1800" s="7" t="inlineStr"/>
      <c r="R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8" t="n"/>
      <c r="N1801" s="7" t="inlineStr">
        <is>
          <t>SEM COTAÇÃO</t>
        </is>
      </c>
      <c r="O1801" s="8" t="n"/>
      <c r="P1801" s="14" t="n"/>
      <c r="Q1801" s="7" t="inlineStr"/>
      <c r="R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8" t="n">
        <v>20.09</v>
      </c>
      <c r="N1802" s="7" t="inlineStr">
        <is>
          <t>DIMEC</t>
        </is>
      </c>
      <c r="O1802" s="8" t="n">
        <v>19.83</v>
      </c>
      <c r="P1802" s="14">
        <f>O1802/H1802-1</f>
        <v/>
      </c>
      <c r="Q1802" s="16" t="inlineStr">
        <is>
          <t>ACIMA +21.3%</t>
        </is>
      </c>
      <c r="R1802" s="7" t="inlineStr"/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8" t="n"/>
      <c r="N1803" s="7" t="inlineStr">
        <is>
          <t>SEM COTAÇÃO</t>
        </is>
      </c>
      <c r="O1803" s="8" t="n"/>
      <c r="P1803" s="14" t="n"/>
      <c r="Q1803" s="7" t="inlineStr"/>
      <c r="R1803" s="7" t="inlineStr"/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8" t="n"/>
      <c r="N1804" s="7" t="inlineStr">
        <is>
          <t>SEM COTAÇÃO</t>
        </is>
      </c>
      <c r="O1804" s="8" t="n"/>
      <c r="P1804" s="14" t="n"/>
      <c r="Q1804" s="7" t="inlineStr"/>
      <c r="R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15" t="n">
        <v>13.82</v>
      </c>
      <c r="N1805" s="7" t="inlineStr">
        <is>
          <t>CENTROFARMA</t>
        </is>
      </c>
      <c r="O1805" s="8" t="n">
        <v>13.82</v>
      </c>
      <c r="P1805" s="14">
        <f>O1805/H1805-1</f>
        <v/>
      </c>
      <c r="Q1805" s="17" t="inlineStr">
        <is>
          <t>OK (≤ menor hist.)</t>
        </is>
      </c>
      <c r="R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15" t="n">
        <v>24.82</v>
      </c>
      <c r="N1806" s="7" t="inlineStr">
        <is>
          <t>CENTROFARMA</t>
        </is>
      </c>
      <c r="O1806" s="8" t="n">
        <v>24.82</v>
      </c>
      <c r="P1806" s="14">
        <f>O1806/H1806-1</f>
        <v/>
      </c>
      <c r="Q1806" s="16" t="inlineStr">
        <is>
          <t>ACIMA +47.2%</t>
        </is>
      </c>
      <c r="R1806" s="7" t="inlineStr"/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8" t="n"/>
      <c r="N1807" s="7" t="inlineStr">
        <is>
          <t>SEM COTAÇÃO</t>
        </is>
      </c>
      <c r="O1807" s="8" t="n"/>
      <c r="P1807" s="14" t="n"/>
      <c r="Q1807" s="7" t="inlineStr"/>
      <c r="R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8" t="n"/>
      <c r="N1808" s="7" t="inlineStr">
        <is>
          <t>SEM COTAÇÃO</t>
        </is>
      </c>
      <c r="O1808" s="8" t="n"/>
      <c r="P1808" s="14" t="n"/>
      <c r="Q1808" s="7" t="inlineStr"/>
      <c r="R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8" t="n"/>
      <c r="N1809" s="7" t="inlineStr">
        <is>
          <t>SEM COTAÇÃO</t>
        </is>
      </c>
      <c r="O1809" s="8" t="n"/>
      <c r="P1809" s="14" t="n"/>
      <c r="Q1809" s="7" t="inlineStr"/>
      <c r="R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8" t="n">
        <v>10.01</v>
      </c>
      <c r="N1810" s="7" t="inlineStr">
        <is>
          <t>DIMEC</t>
        </is>
      </c>
      <c r="O1810" s="8" t="n">
        <v>9.76</v>
      </c>
      <c r="P1810" s="14">
        <f>O1810/H1810-1</f>
        <v/>
      </c>
      <c r="Q1810" s="16" t="inlineStr">
        <is>
          <t>ACIMA +2.6%</t>
        </is>
      </c>
      <c r="R1810" s="7" t="inlineStr"/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8" t="n"/>
      <c r="N1811" s="7" t="inlineStr">
        <is>
          <t>PLUSFARMA</t>
        </is>
      </c>
      <c r="O1811" s="8" t="n">
        <v>16.49</v>
      </c>
      <c r="P1811" s="14">
        <f>O1811/H1811-1</f>
        <v/>
      </c>
      <c r="Q1811" s="16" t="inlineStr">
        <is>
          <t>ACIMA +3.1%</t>
        </is>
      </c>
      <c r="R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16.45</v>
      </c>
      <c r="K1812" s="8" t="n">
        <v>17.1</v>
      </c>
      <c r="L1812" s="8" t="n"/>
      <c r="M1812" s="15" t="n">
        <v>16.4</v>
      </c>
      <c r="N1812" s="7" t="inlineStr">
        <is>
          <t>CENTROFARMA</t>
        </is>
      </c>
      <c r="O1812" s="8" t="n">
        <v>16.4</v>
      </c>
      <c r="P1812" s="14">
        <f>O1812/H1812-1</f>
        <v/>
      </c>
      <c r="Q1812" s="16" t="inlineStr">
        <is>
          <t>ACIMA +5.3%</t>
        </is>
      </c>
      <c r="R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15" t="n">
        <v>15.49</v>
      </c>
      <c r="N1813" s="7" t="inlineStr">
        <is>
          <t>CENTROFARMA</t>
        </is>
      </c>
      <c r="O1813" s="8" t="n">
        <v>15.49</v>
      </c>
      <c r="P1813" s="14">
        <f>O1813/H1813-1</f>
        <v/>
      </c>
      <c r="Q1813" s="17" t="inlineStr">
        <is>
          <t>OK (≤ menor hist.)</t>
        </is>
      </c>
      <c r="R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8" t="n"/>
      <c r="N1814" s="7" t="inlineStr">
        <is>
          <t>SEM COTAÇÃO</t>
        </is>
      </c>
      <c r="O1814" s="8" t="n"/>
      <c r="P1814" s="14" t="n"/>
      <c r="Q1814" s="7" t="inlineStr"/>
      <c r="R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7" t="inlineStr">
        <is>
          <t>SEM COTAÇÃO</t>
        </is>
      </c>
      <c r="O1815" s="8" t="n"/>
      <c r="P1815" s="14" t="n"/>
      <c r="Q1815" s="7" t="inlineStr"/>
      <c r="R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8" t="n"/>
      <c r="N1816" s="7" t="inlineStr">
        <is>
          <t>SEM COTAÇÃO</t>
        </is>
      </c>
      <c r="O1816" s="8" t="n"/>
      <c r="P1816" s="14" t="n"/>
      <c r="Q1816" s="7" t="inlineStr"/>
      <c r="R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8" t="n"/>
      <c r="N1817" s="7" t="inlineStr">
        <is>
          <t>SEM COTAÇÃO</t>
        </is>
      </c>
      <c r="O1817" s="8" t="n"/>
      <c r="P1817" s="14" t="n"/>
      <c r="Q1817" s="7" t="inlineStr"/>
      <c r="R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8" t="n"/>
      <c r="N1818" s="7" t="inlineStr">
        <is>
          <t>SEM COTAÇÃO</t>
        </is>
      </c>
      <c r="O1818" s="8" t="n"/>
      <c r="P1818" s="14" t="n"/>
      <c r="Q1818" s="7" t="inlineStr"/>
      <c r="R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8" t="n"/>
      <c r="N1819" s="7" t="inlineStr">
        <is>
          <t>DIMEC</t>
        </is>
      </c>
      <c r="O1819" s="8" t="n">
        <v>0.32</v>
      </c>
      <c r="P1819" s="14">
        <f>O1819/H1819-1</f>
        <v/>
      </c>
      <c r="Q1819" s="17" t="inlineStr">
        <is>
          <t>OK (≤ menor hist.)</t>
        </is>
      </c>
      <c r="R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7.42</v>
      </c>
      <c r="K1820" s="8" t="n">
        <v>99999999</v>
      </c>
      <c r="L1820" s="8" t="n"/>
      <c r="M1820" s="15" t="n">
        <v>7.41</v>
      </c>
      <c r="N1820" s="7" t="inlineStr">
        <is>
          <t>CENTROFARMA</t>
        </is>
      </c>
      <c r="O1820" s="8" t="n">
        <v>7.41</v>
      </c>
      <c r="P1820" s="14">
        <f>O1820/H1820-1</f>
        <v/>
      </c>
      <c r="Q1820" s="16" t="inlineStr">
        <is>
          <t>ACIMA +4.5%</t>
        </is>
      </c>
      <c r="R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15" t="n">
        <v>2.01</v>
      </c>
      <c r="N1821" s="7" t="inlineStr">
        <is>
          <t>CENTROFARMA</t>
        </is>
      </c>
      <c r="O1821" s="8" t="n">
        <v>2.01</v>
      </c>
      <c r="P1821" s="14">
        <f>O1821/H1821-1</f>
        <v/>
      </c>
      <c r="Q1821" s="16" t="inlineStr">
        <is>
          <t>ACIMA +9.2%</t>
        </is>
      </c>
      <c r="R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15" t="n">
        <v>2.14</v>
      </c>
      <c r="N1822" s="7" t="inlineStr">
        <is>
          <t>CENTROFARMA</t>
        </is>
      </c>
      <c r="O1822" s="8" t="n">
        <v>2.14</v>
      </c>
      <c r="P1822" s="14">
        <f>O1822/H1822-1</f>
        <v/>
      </c>
      <c r="Q1822" s="16" t="inlineStr">
        <is>
          <t>ACIMA +19.6%</t>
        </is>
      </c>
      <c r="R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8" t="n">
        <v>4.41</v>
      </c>
      <c r="N1823" s="7" t="inlineStr">
        <is>
          <t>DIMEC</t>
        </is>
      </c>
      <c r="O1823" s="8" t="n">
        <v>4.4</v>
      </c>
      <c r="P1823" s="14">
        <f>O1823/H1823-1</f>
        <v/>
      </c>
      <c r="Q1823" s="16" t="inlineStr">
        <is>
          <t>ACIMA +25.0%</t>
        </is>
      </c>
      <c r="R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8" t="n"/>
      <c r="N1824" s="7" t="inlineStr">
        <is>
          <t>SEM COTAÇÃO</t>
        </is>
      </c>
      <c r="O1824" s="8" t="n"/>
      <c r="P1824" s="14" t="n"/>
      <c r="Q1824" s="7" t="inlineStr"/>
      <c r="R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8" t="n"/>
      <c r="N1825" s="7" t="inlineStr">
        <is>
          <t>SEM COTAÇÃO</t>
        </is>
      </c>
      <c r="O1825" s="8" t="n"/>
      <c r="P1825" s="14" t="n"/>
      <c r="Q1825" s="7" t="inlineStr"/>
      <c r="R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8" t="n"/>
      <c r="N1826" s="7" t="inlineStr">
        <is>
          <t>SEM COTAÇÃO</t>
        </is>
      </c>
      <c r="O1826" s="8" t="n"/>
      <c r="P1826" s="14" t="n"/>
      <c r="Q1826" s="7" t="inlineStr"/>
      <c r="R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8" t="n"/>
      <c r="N1827" s="7" t="inlineStr">
        <is>
          <t>SEM COTAÇÃO</t>
        </is>
      </c>
      <c r="O1827" s="8" t="n"/>
      <c r="P1827" s="14" t="n"/>
      <c r="Q1827" s="7" t="inlineStr"/>
      <c r="R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8" t="n"/>
      <c r="N1828" s="7" t="inlineStr">
        <is>
          <t>SEM COTAÇÃO</t>
        </is>
      </c>
      <c r="O1828" s="8" t="n"/>
      <c r="P1828" s="14" t="n"/>
      <c r="Q1828" s="7" t="inlineStr"/>
      <c r="R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8" t="n"/>
      <c r="N1829" s="7" t="inlineStr">
        <is>
          <t>SEM COTAÇÃO</t>
        </is>
      </c>
      <c r="O1829" s="8" t="n"/>
      <c r="P1829" s="14" t="n"/>
      <c r="Q1829" s="7" t="inlineStr"/>
      <c r="R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8" t="n"/>
      <c r="N1830" s="7" t="inlineStr">
        <is>
          <t>SEM COTAÇÃO</t>
        </is>
      </c>
      <c r="O1830" s="8" t="n"/>
      <c r="P1830" s="14" t="n"/>
      <c r="Q1830" s="7" t="inlineStr"/>
      <c r="R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8" t="n"/>
      <c r="N1831" s="7" t="inlineStr">
        <is>
          <t>SEM COTAÇÃO</t>
        </is>
      </c>
      <c r="O1831" s="8" t="n"/>
      <c r="P1831" s="14" t="n"/>
      <c r="Q1831" s="7" t="inlineStr"/>
      <c r="R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2.256458333333333</v>
      </c>
      <c r="K1832" s="8" t="n"/>
      <c r="L1832" s="8" t="n">
        <v>5.723958333333333</v>
      </c>
      <c r="M1832" s="15" t="n">
        <v>1.959583333333333</v>
      </c>
      <c r="N1832" s="7" t="inlineStr">
        <is>
          <t>CENTROFARMA</t>
        </is>
      </c>
      <c r="O1832" s="8" t="n">
        <v>1.959583333333333</v>
      </c>
      <c r="P1832" s="14">
        <f>O1832/H1832-1</f>
        <v/>
      </c>
      <c r="Q1832" s="17" t="inlineStr">
        <is>
          <t>OK (≤ últ. compra)</t>
        </is>
      </c>
      <c r="R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7" t="inlineStr">
        <is>
          <t>SEM COTAÇÃO</t>
        </is>
      </c>
      <c r="O1833" s="8" t="n"/>
      <c r="P1833" s="14" t="n"/>
      <c r="Q1833" s="7" t="inlineStr"/>
      <c r="R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8" t="n"/>
      <c r="N1834" s="7" t="inlineStr">
        <is>
          <t>SEM COTAÇÃO</t>
        </is>
      </c>
      <c r="O1834" s="8" t="n"/>
      <c r="P1834" s="14" t="n"/>
      <c r="Q1834" s="7" t="inlineStr"/>
      <c r="R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8" t="n"/>
      <c r="N1835" s="7" t="inlineStr">
        <is>
          <t>SEM COTAÇÃO</t>
        </is>
      </c>
      <c r="O1835" s="8" t="n"/>
      <c r="P1835" s="14" t="n"/>
      <c r="Q1835" s="7" t="inlineStr"/>
      <c r="R1835" s="7" t="inlineStr"/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8" t="n"/>
      <c r="N1836" s="7" t="inlineStr">
        <is>
          <t>SEM COTAÇÃO</t>
        </is>
      </c>
      <c r="O1836" s="8" t="n"/>
      <c r="P1836" s="14" t="n"/>
      <c r="Q1836" s="7" t="inlineStr"/>
      <c r="R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8" t="n"/>
      <c r="N1837" s="7" t="inlineStr">
        <is>
          <t>SEM COTAÇÃO</t>
        </is>
      </c>
      <c r="O1837" s="8" t="n"/>
      <c r="P1837" s="14" t="n"/>
      <c r="Q1837" s="7" t="inlineStr"/>
      <c r="R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8" t="n"/>
      <c r="N1838" s="7" t="inlineStr">
        <is>
          <t>SEM COTAÇÃO</t>
        </is>
      </c>
      <c r="O1838" s="8" t="n"/>
      <c r="P1838" s="14" t="n"/>
      <c r="Q1838" s="7" t="inlineStr"/>
      <c r="R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8" t="n"/>
      <c r="N1839" s="7" t="inlineStr">
        <is>
          <t>SEM COTAÇÃO</t>
        </is>
      </c>
      <c r="O1839" s="8" t="n"/>
      <c r="P1839" s="14" t="n"/>
      <c r="Q1839" s="7" t="inlineStr"/>
      <c r="R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8" t="n"/>
      <c r="N1840" s="7" t="inlineStr">
        <is>
          <t>SEM COTAÇÃO</t>
        </is>
      </c>
      <c r="O1840" s="8" t="n"/>
      <c r="P1840" s="14" t="n"/>
      <c r="Q1840" s="7" t="inlineStr"/>
      <c r="R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8" t="n"/>
      <c r="N1841" s="7" t="inlineStr">
        <is>
          <t>SEM COTAÇÃO</t>
        </is>
      </c>
      <c r="O1841" s="8" t="n"/>
      <c r="P1841" s="14" t="n"/>
      <c r="Q1841" s="7" t="inlineStr"/>
      <c r="R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8" t="n"/>
      <c r="N1842" s="7" t="inlineStr">
        <is>
          <t>SEM COTAÇÃO</t>
        </is>
      </c>
      <c r="O1842" s="8" t="n"/>
      <c r="P1842" s="14" t="n"/>
      <c r="Q1842" s="7" t="inlineStr"/>
      <c r="R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8" t="n"/>
      <c r="N1843" s="7" t="inlineStr">
        <is>
          <t>SEM COTAÇÃO</t>
        </is>
      </c>
      <c r="O1843" s="8" t="n"/>
      <c r="P1843" s="14" t="n"/>
      <c r="Q1843" s="7" t="inlineStr"/>
      <c r="R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7" t="inlineStr">
        <is>
          <t>SEM COTAÇÃO</t>
        </is>
      </c>
      <c r="O1844" s="8" t="n"/>
      <c r="P1844" s="14" t="n"/>
      <c r="Q1844" s="7" t="inlineStr"/>
      <c r="R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8" t="n"/>
      <c r="N1845" s="7" t="inlineStr">
        <is>
          <t>SEM COTAÇÃO</t>
        </is>
      </c>
      <c r="O1845" s="8" t="n"/>
      <c r="P1845" s="14" t="n"/>
      <c r="Q1845" s="7" t="inlineStr"/>
      <c r="R1845" s="7" t="inlineStr"/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8" t="n"/>
      <c r="N1846" s="7" t="inlineStr">
        <is>
          <t>SEM COTAÇÃO</t>
        </is>
      </c>
      <c r="O1846" s="8" t="n"/>
      <c r="P1846" s="14" t="n"/>
      <c r="Q1846" s="7" t="inlineStr"/>
      <c r="R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8" t="n"/>
      <c r="N1847" s="7" t="inlineStr">
        <is>
          <t>PLUSFARMA</t>
        </is>
      </c>
      <c r="O1847" s="8" t="n">
        <v>19.99</v>
      </c>
      <c r="P1847" s="14">
        <f>O1847/H1847-1</f>
        <v/>
      </c>
      <c r="Q1847" s="16" t="inlineStr">
        <is>
          <t>ACIMA +6.4%</t>
        </is>
      </c>
      <c r="R1847" s="7" t="inlineStr"/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8" t="n"/>
      <c r="N1848" s="7" t="inlineStr">
        <is>
          <t>SEM COTAÇÃO</t>
        </is>
      </c>
      <c r="O1848" s="8" t="n"/>
      <c r="P1848" s="14" t="n"/>
      <c r="Q1848" s="7" t="inlineStr"/>
      <c r="R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8" t="n"/>
      <c r="N1849" s="7" t="inlineStr">
        <is>
          <t>SEM COTAÇÃO</t>
        </is>
      </c>
      <c r="O1849" s="8" t="n"/>
      <c r="P1849" s="14" t="n"/>
      <c r="Q1849" s="7" t="inlineStr"/>
      <c r="R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8" t="n"/>
      <c r="N1850" s="7" t="inlineStr">
        <is>
          <t>SEM COTAÇÃO</t>
        </is>
      </c>
      <c r="O1850" s="8" t="n"/>
      <c r="P1850" s="14" t="n"/>
      <c r="Q1850" s="7" t="inlineStr"/>
      <c r="R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8" t="n"/>
      <c r="N1851" s="7" t="inlineStr">
        <is>
          <t>SEM COTAÇÃO</t>
        </is>
      </c>
      <c r="O1851" s="8" t="n"/>
      <c r="P1851" s="14" t="n"/>
      <c r="Q1851" s="7" t="inlineStr"/>
      <c r="R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8" t="n"/>
      <c r="N1852" s="7" t="inlineStr">
        <is>
          <t>SEM COTAÇÃO</t>
        </is>
      </c>
      <c r="O1852" s="8" t="n"/>
      <c r="P1852" s="14" t="n"/>
      <c r="Q1852" s="7" t="inlineStr"/>
      <c r="R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8" t="n"/>
      <c r="N1853" s="7" t="inlineStr">
        <is>
          <t>SEM COTAÇÃO</t>
        </is>
      </c>
      <c r="O1853" s="8" t="n"/>
      <c r="P1853" s="14" t="n"/>
      <c r="Q1853" s="7" t="inlineStr"/>
      <c r="R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8" t="n"/>
      <c r="N1854" s="7" t="inlineStr">
        <is>
          <t>SEM COTAÇÃO</t>
        </is>
      </c>
      <c r="O1854" s="8" t="n"/>
      <c r="P1854" s="14" t="n"/>
      <c r="Q1854" s="7" t="inlineStr"/>
      <c r="R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8" t="n"/>
      <c r="N1855" s="7" t="inlineStr">
        <is>
          <t>SEM COTAÇÃO</t>
        </is>
      </c>
      <c r="O1855" s="8" t="n"/>
      <c r="P1855" s="14" t="n"/>
      <c r="Q1855" s="7" t="inlineStr"/>
      <c r="R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8" t="n"/>
      <c r="N1856" s="7" t="inlineStr">
        <is>
          <t>SEM COTAÇÃO</t>
        </is>
      </c>
      <c r="O1856" s="8" t="n"/>
      <c r="P1856" s="14" t="n"/>
      <c r="Q1856" s="7" t="inlineStr"/>
      <c r="R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8" t="n"/>
      <c r="N1857" s="7" t="inlineStr">
        <is>
          <t>SEM COTAÇÃO</t>
        </is>
      </c>
      <c r="O1857" s="8" t="n"/>
      <c r="P1857" s="14" t="n"/>
      <c r="Q1857" s="7" t="inlineStr"/>
      <c r="R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8" t="n"/>
      <c r="N1858" s="7" t="inlineStr">
        <is>
          <t>SEM COTAÇÃO</t>
        </is>
      </c>
      <c r="O1858" s="8" t="n"/>
      <c r="P1858" s="14" t="n"/>
      <c r="Q1858" s="7" t="inlineStr"/>
      <c r="R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8" t="n"/>
      <c r="N1859" s="7" t="inlineStr">
        <is>
          <t>SEM COTAÇÃO</t>
        </is>
      </c>
      <c r="O1859" s="8" t="n"/>
      <c r="P1859" s="14" t="n"/>
      <c r="Q1859" s="7" t="inlineStr"/>
      <c r="R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8" t="n"/>
      <c r="N1860" s="7" t="inlineStr">
        <is>
          <t>SEM COTAÇÃO</t>
        </is>
      </c>
      <c r="O1860" s="8" t="n"/>
      <c r="P1860" s="14" t="n"/>
      <c r="Q1860" s="7" t="inlineStr"/>
      <c r="R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8" t="n"/>
      <c r="N1861" s="7" t="inlineStr">
        <is>
          <t>SEM COTAÇÃO</t>
        </is>
      </c>
      <c r="O1861" s="8" t="n"/>
      <c r="P1861" s="14" t="n"/>
      <c r="Q1861" s="7" t="inlineStr"/>
      <c r="R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8" t="n"/>
      <c r="N1862" s="7" t="inlineStr">
        <is>
          <t>SEM COTAÇÃO</t>
        </is>
      </c>
      <c r="O1862" s="8" t="n"/>
      <c r="P1862" s="14" t="n"/>
      <c r="Q1862" s="7" t="inlineStr"/>
      <c r="R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8" t="n"/>
      <c r="N1863" s="7" t="inlineStr">
        <is>
          <t>SEM COTAÇÃO</t>
        </is>
      </c>
      <c r="O1863" s="8" t="n"/>
      <c r="P1863" s="14" t="n"/>
      <c r="Q1863" s="7" t="inlineStr"/>
      <c r="R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8" t="n"/>
      <c r="N1864" s="7" t="inlineStr">
        <is>
          <t>SEM COTAÇÃO</t>
        </is>
      </c>
      <c r="O1864" s="8" t="n"/>
      <c r="P1864" s="14" t="n"/>
      <c r="Q1864" s="7" t="inlineStr"/>
      <c r="R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8" t="n"/>
      <c r="N1865" s="7" t="inlineStr">
        <is>
          <t>SEM COTAÇÃO</t>
        </is>
      </c>
      <c r="O1865" s="8" t="n"/>
      <c r="P1865" s="14" t="n"/>
      <c r="Q1865" s="7" t="inlineStr"/>
      <c r="R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8" t="n"/>
      <c r="N1866" s="7" t="inlineStr">
        <is>
          <t>SEM COTAÇÃO</t>
        </is>
      </c>
      <c r="O1866" s="8" t="n"/>
      <c r="P1866" s="14" t="n"/>
      <c r="Q1866" s="7" t="inlineStr"/>
      <c r="R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8" t="n"/>
      <c r="N1867" s="7" t="inlineStr">
        <is>
          <t>SEM COTAÇÃO</t>
        </is>
      </c>
      <c r="O1867" s="8" t="n"/>
      <c r="P1867" s="14" t="n"/>
      <c r="Q1867" s="7" t="inlineStr"/>
      <c r="R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8" t="n"/>
      <c r="N1868" s="7" t="inlineStr">
        <is>
          <t>SEM COTAÇÃO</t>
        </is>
      </c>
      <c r="O1868" s="8" t="n"/>
      <c r="P1868" s="14" t="n"/>
      <c r="Q1868" s="7" t="inlineStr"/>
      <c r="R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8" t="n"/>
      <c r="N1869" s="7" t="inlineStr">
        <is>
          <t>SEM COTAÇÃO</t>
        </is>
      </c>
      <c r="O1869" s="8" t="n"/>
      <c r="P1869" s="14" t="n"/>
      <c r="Q1869" s="7" t="inlineStr"/>
      <c r="R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8" t="n"/>
      <c r="N1870" s="7" t="inlineStr">
        <is>
          <t>SEM COTAÇÃO</t>
        </is>
      </c>
      <c r="O1870" s="8" t="n"/>
      <c r="P1870" s="14" t="n"/>
      <c r="Q1870" s="7" t="inlineStr"/>
      <c r="R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8" t="n"/>
      <c r="N1871" s="7" t="inlineStr">
        <is>
          <t>SEM COTAÇÃO</t>
        </is>
      </c>
      <c r="O1871" s="8" t="n"/>
      <c r="P1871" s="14" t="n"/>
      <c r="Q1871" s="7" t="inlineStr"/>
      <c r="R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8" t="n"/>
      <c r="N1872" s="7" t="inlineStr">
        <is>
          <t>SEM COTAÇÃO</t>
        </is>
      </c>
      <c r="O1872" s="8" t="n"/>
      <c r="P1872" s="14" t="n"/>
      <c r="Q1872" s="7" t="inlineStr"/>
      <c r="R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8" t="n"/>
      <c r="N1873" s="7" t="inlineStr">
        <is>
          <t>SEM COTAÇÃO</t>
        </is>
      </c>
      <c r="O1873" s="8" t="n"/>
      <c r="P1873" s="14" t="n"/>
      <c r="Q1873" s="7" t="inlineStr"/>
      <c r="R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8" t="n"/>
      <c r="N1874" s="7" t="inlineStr">
        <is>
          <t>SEM COTAÇÃO</t>
        </is>
      </c>
      <c r="O1874" s="8" t="n"/>
      <c r="P1874" s="14" t="n"/>
      <c r="Q1874" s="7" t="inlineStr"/>
      <c r="R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8" t="n"/>
      <c r="N1875" s="7" t="inlineStr">
        <is>
          <t>SEM COTAÇÃO</t>
        </is>
      </c>
      <c r="O1875" s="8" t="n"/>
      <c r="P1875" s="14" t="n"/>
      <c r="Q1875" s="7" t="inlineStr"/>
      <c r="R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8" t="n"/>
      <c r="N1876" s="7" t="inlineStr">
        <is>
          <t>SEM COTAÇÃO</t>
        </is>
      </c>
      <c r="O1876" s="8" t="n"/>
      <c r="P1876" s="14" t="n"/>
      <c r="Q1876" s="7" t="inlineStr"/>
      <c r="R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8" t="n"/>
      <c r="N1877" s="7" t="inlineStr">
        <is>
          <t>SEM COTAÇÃO</t>
        </is>
      </c>
      <c r="O1877" s="8" t="n"/>
      <c r="P1877" s="14" t="n"/>
      <c r="Q1877" s="7" t="inlineStr"/>
      <c r="R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8" t="n"/>
      <c r="N1878" s="7" t="inlineStr">
        <is>
          <t>SEM COTAÇÃO</t>
        </is>
      </c>
      <c r="O1878" s="8" t="n"/>
      <c r="P1878" s="14" t="n"/>
      <c r="Q1878" s="7" t="inlineStr"/>
      <c r="R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8" t="n"/>
      <c r="N1879" s="7" t="inlineStr">
        <is>
          <t>SEM COTAÇÃO</t>
        </is>
      </c>
      <c r="O1879" s="8" t="n"/>
      <c r="P1879" s="14" t="n"/>
      <c r="Q1879" s="7" t="inlineStr"/>
      <c r="R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8" t="n"/>
      <c r="N1880" s="7" t="inlineStr">
        <is>
          <t>SEM COTAÇÃO</t>
        </is>
      </c>
      <c r="O1880" s="8" t="n"/>
      <c r="P1880" s="14" t="n"/>
      <c r="Q1880" s="7" t="inlineStr"/>
      <c r="R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8" t="n"/>
      <c r="N1881" s="7" t="inlineStr">
        <is>
          <t>SEM COTAÇÃO</t>
        </is>
      </c>
      <c r="O1881" s="8" t="n"/>
      <c r="P1881" s="14" t="n"/>
      <c r="Q1881" s="7" t="inlineStr"/>
      <c r="R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8" t="n"/>
      <c r="N1882" s="7" t="inlineStr">
        <is>
          <t>SEM COTAÇÃO</t>
        </is>
      </c>
      <c r="O1882" s="8" t="n"/>
      <c r="P1882" s="14" t="n"/>
      <c r="Q1882" s="7" t="inlineStr"/>
      <c r="R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8" t="n"/>
      <c r="N1883" s="7" t="inlineStr">
        <is>
          <t>SEM COTAÇÃO</t>
        </is>
      </c>
      <c r="O1883" s="8" t="n"/>
      <c r="P1883" s="14" t="n"/>
      <c r="Q1883" s="7" t="inlineStr"/>
      <c r="R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8" t="n"/>
      <c r="N1884" s="7" t="inlineStr">
        <is>
          <t>SEM COTAÇÃO</t>
        </is>
      </c>
      <c r="O1884" s="8" t="n"/>
      <c r="P1884" s="14" t="n"/>
      <c r="Q1884" s="7" t="inlineStr"/>
      <c r="R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8" t="n"/>
      <c r="N1885" s="7" t="inlineStr">
        <is>
          <t>SEM COTAÇÃO</t>
        </is>
      </c>
      <c r="O1885" s="8" t="n"/>
      <c r="P1885" s="14" t="n"/>
      <c r="Q1885" s="7" t="inlineStr"/>
      <c r="R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7" t="inlineStr">
        <is>
          <t>SEM COTAÇÃO</t>
        </is>
      </c>
      <c r="O1886" s="8" t="n"/>
      <c r="P1886" s="14" t="n"/>
      <c r="Q1886" s="7" t="inlineStr"/>
      <c r="R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8" t="n"/>
      <c r="N1887" s="7" t="inlineStr">
        <is>
          <t>EPAN</t>
        </is>
      </c>
      <c r="O1887" s="8" t="n">
        <v>41.94</v>
      </c>
      <c r="P1887" s="14">
        <f>O1887/H1887-1</f>
        <v/>
      </c>
      <c r="Q1887" s="16" t="inlineStr">
        <is>
          <t>ACIMA +4.9%</t>
        </is>
      </c>
      <c r="R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8" t="n">
        <v>2.7</v>
      </c>
      <c r="N1888" s="7" t="inlineStr">
        <is>
          <t>DIMEC</t>
        </is>
      </c>
      <c r="O1888" s="8" t="n">
        <v>2.23</v>
      </c>
      <c r="P1888" s="14">
        <f>O1888/H1888-1</f>
        <v/>
      </c>
      <c r="Q1888" s="17" t="inlineStr">
        <is>
          <t>OK (≤ menor hist.)</t>
        </is>
      </c>
      <c r="R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8" t="n"/>
      <c r="N1889" s="7" t="inlineStr">
        <is>
          <t>DIMEC</t>
        </is>
      </c>
      <c r="O1889" s="8" t="n">
        <v>3.14</v>
      </c>
      <c r="P1889" s="14">
        <f>O1889/H1889-1</f>
        <v/>
      </c>
      <c r="Q1889" s="17" t="inlineStr">
        <is>
          <t>OK (≤ menor hist.)</t>
        </is>
      </c>
      <c r="R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8" t="n"/>
      <c r="N1890" s="7" t="inlineStr">
        <is>
          <t>SEM COTAÇÃO</t>
        </is>
      </c>
      <c r="O1890" s="8" t="n"/>
      <c r="P1890" s="14" t="n"/>
      <c r="Q1890" s="7" t="inlineStr"/>
      <c r="R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8" t="n">
        <v>22.02</v>
      </c>
      <c r="N1891" s="7" t="inlineStr">
        <is>
          <t>DIMEC</t>
        </is>
      </c>
      <c r="O1891" s="8" t="n">
        <v>20.48</v>
      </c>
      <c r="P1891" s="14">
        <f>O1891/H1891-1</f>
        <v/>
      </c>
      <c r="Q1891" s="17" t="inlineStr">
        <is>
          <t>OK (≤ menor hist.)</t>
        </is>
      </c>
      <c r="R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8" t="n"/>
      <c r="N1892" s="7" t="inlineStr">
        <is>
          <t>SEM COTAÇÃO</t>
        </is>
      </c>
      <c r="O1892" s="8" t="n"/>
      <c r="P1892" s="14" t="n"/>
      <c r="Q1892" s="7" t="inlineStr"/>
      <c r="R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8" t="n"/>
      <c r="N1893" s="7" t="inlineStr">
        <is>
          <t>SEM COTAÇÃO</t>
        </is>
      </c>
      <c r="O1893" s="8" t="n"/>
      <c r="P1893" s="14" t="n"/>
      <c r="Q1893" s="7" t="inlineStr"/>
      <c r="R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8" t="n"/>
      <c r="N1894" s="7" t="inlineStr">
        <is>
          <t>SEM COTAÇÃO</t>
        </is>
      </c>
      <c r="O1894" s="8" t="n"/>
      <c r="P1894" s="14" t="n"/>
      <c r="Q1894" s="7" t="inlineStr"/>
      <c r="R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8" t="n"/>
      <c r="N1895" s="7" t="inlineStr">
        <is>
          <t>SEM COTAÇÃO</t>
        </is>
      </c>
      <c r="O1895" s="8" t="n"/>
      <c r="P1895" s="14" t="n"/>
      <c r="Q1895" s="7" t="inlineStr"/>
      <c r="R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19.89</v>
      </c>
      <c r="K1896" s="8" t="n"/>
      <c r="L1896" s="8" t="n"/>
      <c r="M1896" s="15" t="n">
        <v>19.67</v>
      </c>
      <c r="N1896" s="7" t="inlineStr">
        <is>
          <t>CENTROFARMA</t>
        </is>
      </c>
      <c r="O1896" s="8" t="n">
        <v>19.67</v>
      </c>
      <c r="P1896" s="14">
        <f>O1896/H1896-1</f>
        <v/>
      </c>
      <c r="Q1896" s="16" t="inlineStr">
        <is>
          <t>ACIMA +5.2%</t>
        </is>
      </c>
      <c r="R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15" t="n">
        <v>27.32</v>
      </c>
      <c r="N1897" s="7" t="inlineStr">
        <is>
          <t>CENTROFARMA</t>
        </is>
      </c>
      <c r="O1897" s="8" t="n">
        <v>27.32</v>
      </c>
      <c r="P1897" s="14">
        <f>O1897/H1897-1</f>
        <v/>
      </c>
      <c r="Q1897" s="16" t="inlineStr">
        <is>
          <t>ACIMA +24.2%</t>
        </is>
      </c>
      <c r="R1897" s="7" t="inlineStr"/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8" t="n"/>
      <c r="N1898" s="7" t="inlineStr">
        <is>
          <t>DIMEC</t>
        </is>
      </c>
      <c r="O1898" s="8" t="n">
        <v>20.43</v>
      </c>
      <c r="P1898" s="14">
        <f>O1898/H1898-1</f>
        <v/>
      </c>
      <c r="Q1898" s="17" t="inlineStr">
        <is>
          <t>OK (≤ últ. compra)</t>
        </is>
      </c>
      <c r="R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8" t="n">
        <v>22.56</v>
      </c>
      <c r="N1899" s="7" t="inlineStr">
        <is>
          <t>DIMEC</t>
        </is>
      </c>
      <c r="O1899" s="8" t="n">
        <v>20.48</v>
      </c>
      <c r="P1899" s="14">
        <f>O1899/H1899-1</f>
        <v/>
      </c>
      <c r="Q1899" s="17" t="inlineStr">
        <is>
          <t>OK (≤ menor hist.)</t>
        </is>
      </c>
      <c r="R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8" t="n"/>
      <c r="N1900" s="7" t="inlineStr">
        <is>
          <t>SEM COTAÇÃO</t>
        </is>
      </c>
      <c r="O1900" s="8" t="n"/>
      <c r="P1900" s="14" t="n"/>
      <c r="Q1900" s="7" t="inlineStr"/>
      <c r="R1900" s="7" t="inlineStr"/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8" t="n"/>
      <c r="N1901" s="7" t="inlineStr">
        <is>
          <t>SEM COTAÇÃO</t>
        </is>
      </c>
      <c r="O1901" s="8" t="n"/>
      <c r="P1901" s="14" t="n"/>
      <c r="Q1901" s="7" t="inlineStr"/>
      <c r="R1901" s="7" t="inlineStr"/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8" t="n">
        <v>2.14</v>
      </c>
      <c r="N1902" s="7" t="inlineStr">
        <is>
          <t>DIMEC</t>
        </is>
      </c>
      <c r="O1902" s="8" t="n">
        <v>1.86</v>
      </c>
      <c r="P1902" s="14">
        <f>O1902/H1902-1</f>
        <v/>
      </c>
      <c r="Q1902" s="17" t="inlineStr">
        <is>
          <t>OK (≤ menor hist.)</t>
        </is>
      </c>
      <c r="R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8" t="n">
        <v>9.880000000000001</v>
      </c>
      <c r="N1903" s="7" t="inlineStr">
        <is>
          <t>DIMEC</t>
        </is>
      </c>
      <c r="O1903" s="8" t="n">
        <v>8.1</v>
      </c>
      <c r="P1903" s="14">
        <f>O1903/H1903-1</f>
        <v/>
      </c>
      <c r="Q1903" s="17" t="inlineStr">
        <is>
          <t>OK (≤ menor hist.)</t>
        </is>
      </c>
      <c r="R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8" t="n">
        <v>5.66</v>
      </c>
      <c r="N1904" s="7" t="inlineStr">
        <is>
          <t>DIMEC</t>
        </is>
      </c>
      <c r="O1904" s="8" t="n">
        <v>5.02</v>
      </c>
      <c r="P1904" s="14">
        <f>O1904/H1904-1</f>
        <v/>
      </c>
      <c r="Q1904" s="17" t="inlineStr">
        <is>
          <t>OK (≤ menor hist.)</t>
        </is>
      </c>
      <c r="R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8" t="n"/>
      <c r="N1905" s="7" t="inlineStr">
        <is>
          <t>SEM COTAÇÃO</t>
        </is>
      </c>
      <c r="O1905" s="8" t="n"/>
      <c r="P1905" s="14" t="n"/>
      <c r="Q1905" s="7" t="inlineStr"/>
      <c r="R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8" t="n"/>
      <c r="N1906" s="7" t="inlineStr">
        <is>
          <t>SEM COTAÇÃO</t>
        </is>
      </c>
      <c r="O1906" s="8" t="n"/>
      <c r="P1906" s="14" t="n"/>
      <c r="Q1906" s="7" t="inlineStr"/>
      <c r="R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8" t="n"/>
      <c r="N1907" s="7" t="inlineStr">
        <is>
          <t>SEM COTAÇÃO</t>
        </is>
      </c>
      <c r="O1907" s="8" t="n"/>
      <c r="P1907" s="14" t="n"/>
      <c r="Q1907" s="7" t="inlineStr"/>
      <c r="R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8" t="n"/>
      <c r="N1908" s="7" t="inlineStr">
        <is>
          <t>SEM COTAÇÃO</t>
        </is>
      </c>
      <c r="O1908" s="8" t="n"/>
      <c r="P1908" s="14" t="n"/>
      <c r="Q1908" s="7" t="inlineStr"/>
      <c r="R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8" t="n"/>
      <c r="N1909" s="7" t="inlineStr">
        <is>
          <t>SEM COTAÇÃO</t>
        </is>
      </c>
      <c r="O1909" s="8" t="n"/>
      <c r="P1909" s="14" t="n"/>
      <c r="Q1909" s="7" t="inlineStr"/>
      <c r="R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8" t="n"/>
      <c r="M1910" s="8" t="n"/>
      <c r="N1910" s="7" t="inlineStr">
        <is>
          <t>PLUSFARMA</t>
        </is>
      </c>
      <c r="O1910" s="8" t="n">
        <v>4.65</v>
      </c>
      <c r="P1910" s="14">
        <f>O1910/H1910-1</f>
        <v/>
      </c>
      <c r="Q1910" s="16" t="inlineStr">
        <is>
          <t>ACIMA +13.7%</t>
        </is>
      </c>
      <c r="R1910" s="7" t="inlineStr"/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8" t="n"/>
      <c r="N1911" s="7" t="inlineStr">
        <is>
          <t>SEM COTAÇÃO</t>
        </is>
      </c>
      <c r="O1911" s="8" t="n"/>
      <c r="P1911" s="14" t="n"/>
      <c r="Q1911" s="7" t="inlineStr"/>
      <c r="R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8" t="n"/>
      <c r="N1912" s="7" t="inlineStr">
        <is>
          <t>SEM COTAÇÃO</t>
        </is>
      </c>
      <c r="O1912" s="8" t="n"/>
      <c r="P1912" s="14" t="n"/>
      <c r="Q1912" s="7" t="inlineStr"/>
      <c r="R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8" t="n"/>
      <c r="N1913" s="7" t="inlineStr">
        <is>
          <t>SEM COTAÇÃO</t>
        </is>
      </c>
      <c r="O1913" s="8" t="n"/>
      <c r="P1913" s="14" t="n"/>
      <c r="Q1913" s="7" t="inlineStr"/>
      <c r="R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8" t="n"/>
      <c r="N1914" s="7" t="inlineStr">
        <is>
          <t>SEM COTAÇÃO</t>
        </is>
      </c>
      <c r="O1914" s="8" t="n"/>
      <c r="P1914" s="14" t="n"/>
      <c r="Q1914" s="7" t="inlineStr"/>
      <c r="R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8" t="n"/>
      <c r="N1915" s="7" t="inlineStr">
        <is>
          <t>SEM COTAÇÃO</t>
        </is>
      </c>
      <c r="O1915" s="8" t="n"/>
      <c r="P1915" s="14" t="n"/>
      <c r="Q1915" s="7" t="inlineStr"/>
      <c r="R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8" t="n"/>
      <c r="N1916" s="7" t="inlineStr">
        <is>
          <t>SEM COTAÇÃO</t>
        </is>
      </c>
      <c r="O1916" s="8" t="n"/>
      <c r="P1916" s="14" t="n"/>
      <c r="Q1916" s="7" t="inlineStr"/>
      <c r="R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8" t="n"/>
      <c r="N1917" s="7" t="inlineStr">
        <is>
          <t>SEM COTAÇÃO</t>
        </is>
      </c>
      <c r="O1917" s="8" t="n"/>
      <c r="P1917" s="14" t="n"/>
      <c r="Q1917" s="7" t="inlineStr"/>
      <c r="R1917" s="7" t="inlineStr"/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8" t="n"/>
      <c r="N1918" s="7" t="inlineStr">
        <is>
          <t>SEM COTAÇÃO</t>
        </is>
      </c>
      <c r="O1918" s="8" t="n"/>
      <c r="P1918" s="14" t="n"/>
      <c r="Q1918" s="7" t="inlineStr"/>
      <c r="R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8" t="n"/>
      <c r="N1919" s="7" t="inlineStr">
        <is>
          <t>SEM COTAÇÃO</t>
        </is>
      </c>
      <c r="O1919" s="8" t="n"/>
      <c r="P1919" s="14" t="n"/>
      <c r="Q1919" s="7" t="inlineStr"/>
      <c r="R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8" t="n"/>
      <c r="N1920" s="7" t="inlineStr">
        <is>
          <t>EPAN</t>
        </is>
      </c>
      <c r="O1920" s="8" t="n">
        <v>27.92</v>
      </c>
      <c r="P1920" s="14">
        <f>O1920/H1920-1</f>
        <v/>
      </c>
      <c r="Q1920" s="17" t="inlineStr">
        <is>
          <t>OK (≤ últ. compra)</t>
        </is>
      </c>
      <c r="R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8" t="n"/>
      <c r="N1921" s="7" t="inlineStr">
        <is>
          <t>SEM COTAÇÃO</t>
        </is>
      </c>
      <c r="O1921" s="8" t="n"/>
      <c r="P1921" s="14" t="n"/>
      <c r="Q1921" s="7" t="inlineStr"/>
      <c r="R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8" t="n"/>
      <c r="N1922" s="7" t="inlineStr">
        <is>
          <t>EPAN</t>
        </is>
      </c>
      <c r="O1922" s="8" t="n">
        <v>49.13</v>
      </c>
      <c r="P1922" s="14">
        <f>O1922/H1922-1</f>
        <v/>
      </c>
      <c r="Q1922" s="17" t="inlineStr">
        <is>
          <t>OK (≤ últ. compra)</t>
        </is>
      </c>
      <c r="R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8" t="n">
        <v>14.67</v>
      </c>
      <c r="N1923" s="7" t="inlineStr">
        <is>
          <t>DIMEC</t>
        </is>
      </c>
      <c r="O1923" s="8" t="n">
        <v>14.17</v>
      </c>
      <c r="P1923" s="14">
        <f>O1923/H1923-1</f>
        <v/>
      </c>
      <c r="Q1923" s="16" t="inlineStr">
        <is>
          <t>ACIMA +5.0%</t>
        </is>
      </c>
      <c r="R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8" t="n"/>
      <c r="N1924" s="7" t="inlineStr">
        <is>
          <t>SEM COTAÇÃO</t>
        </is>
      </c>
      <c r="O1924" s="8" t="n"/>
      <c r="P1924" s="14" t="n"/>
      <c r="Q1924" s="7" t="inlineStr"/>
      <c r="R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8" t="n"/>
      <c r="N1925" s="7" t="inlineStr">
        <is>
          <t>SEM COTAÇÃO</t>
        </is>
      </c>
      <c r="O1925" s="8" t="n"/>
      <c r="P1925" s="14" t="n"/>
      <c r="Q1925" s="7" t="inlineStr"/>
      <c r="R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8" t="n"/>
      <c r="N1926" s="7" t="inlineStr">
        <is>
          <t>DIMEC</t>
        </is>
      </c>
      <c r="O1926" s="8" t="n">
        <v>1.35</v>
      </c>
      <c r="P1926" s="14">
        <f>O1926/H1926-1</f>
        <v/>
      </c>
      <c r="Q1926" s="17" t="inlineStr">
        <is>
          <t>OK (≤ menor hist.)</t>
        </is>
      </c>
      <c r="R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7" t="inlineStr">
        <is>
          <t>SEM COTAÇÃO</t>
        </is>
      </c>
      <c r="O1927" s="8" t="n"/>
      <c r="P1927" s="14" t="n"/>
      <c r="Q1927" s="7" t="inlineStr"/>
      <c r="R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8" t="n"/>
      <c r="N1928" s="7" t="inlineStr">
        <is>
          <t>SEM COTAÇÃO</t>
        </is>
      </c>
      <c r="O1928" s="8" t="n"/>
      <c r="P1928" s="14" t="n"/>
      <c r="Q1928" s="7" t="inlineStr"/>
      <c r="R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15" t="n">
        <v>37.34</v>
      </c>
      <c r="M1929" s="8" t="n"/>
      <c r="N1929" s="7" t="inlineStr">
        <is>
          <t>EPAN</t>
        </is>
      </c>
      <c r="O1929" s="8" t="n">
        <v>37.34</v>
      </c>
      <c r="P1929" s="14">
        <f>O1929/H1929-1</f>
        <v/>
      </c>
      <c r="Q1929" s="16" t="inlineStr">
        <is>
          <t>ACIMA +0.4%</t>
        </is>
      </c>
      <c r="R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8" t="n"/>
      <c r="N1930" s="7" t="inlineStr">
        <is>
          <t>EPAN</t>
        </is>
      </c>
      <c r="O1930" s="8" t="n">
        <v>28</v>
      </c>
      <c r="P1930" s="14">
        <f>O1930/H1930-1</f>
        <v/>
      </c>
      <c r="Q1930" s="17" t="inlineStr">
        <is>
          <t>OK (≤ últ. compra)</t>
        </is>
      </c>
      <c r="R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8" t="n"/>
      <c r="N1931" s="7" t="inlineStr">
        <is>
          <t>EPAN</t>
        </is>
      </c>
      <c r="O1931" s="8" t="n">
        <v>36.53</v>
      </c>
      <c r="P1931" s="14">
        <f>O1931/H1931-1</f>
        <v/>
      </c>
      <c r="Q1931" s="17" t="inlineStr">
        <is>
          <t>OK (≤ últ. compra)</t>
        </is>
      </c>
      <c r="R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8" t="n"/>
      <c r="N1932" s="7" t="inlineStr">
        <is>
          <t>SEM COTAÇÃO</t>
        </is>
      </c>
      <c r="O1932" s="8" t="n"/>
      <c r="P1932" s="14" t="n"/>
      <c r="Q1932" s="7" t="inlineStr"/>
      <c r="R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8" t="n"/>
      <c r="N1933" s="7" t="inlineStr">
        <is>
          <t>SEM COTAÇÃO</t>
        </is>
      </c>
      <c r="O1933" s="8" t="n"/>
      <c r="P1933" s="14" t="n"/>
      <c r="Q1933" s="7" t="inlineStr"/>
      <c r="R1933" s="7" t="inlineStr"/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8" t="n"/>
      <c r="N1934" s="7" t="inlineStr">
        <is>
          <t>SEM COTAÇÃO</t>
        </is>
      </c>
      <c r="O1934" s="8" t="n"/>
      <c r="P1934" s="14" t="n"/>
      <c r="Q1934" s="7" t="inlineStr"/>
      <c r="R1934" s="7" t="inlineStr"/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8" t="n"/>
      <c r="N1935" s="7" t="inlineStr">
        <is>
          <t>SEM COTAÇÃO</t>
        </is>
      </c>
      <c r="O1935" s="8" t="n"/>
      <c r="P1935" s="14" t="n"/>
      <c r="Q1935" s="7" t="inlineStr"/>
      <c r="R1935" s="7" t="inlineStr"/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8" t="n"/>
      <c r="N1936" s="7" t="inlineStr">
        <is>
          <t>SEM COTAÇÃO</t>
        </is>
      </c>
      <c r="O1936" s="8" t="n"/>
      <c r="P1936" s="14" t="n"/>
      <c r="Q1936" s="7" t="inlineStr"/>
      <c r="R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8" t="n"/>
      <c r="N1937" s="7" t="inlineStr">
        <is>
          <t>SEM COTAÇÃO</t>
        </is>
      </c>
      <c r="O1937" s="8" t="n"/>
      <c r="P1937" s="14" t="n"/>
      <c r="Q1937" s="7" t="inlineStr"/>
      <c r="R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8" t="n"/>
      <c r="N1938" s="7" t="inlineStr">
        <is>
          <t>SEM COTAÇÃO</t>
        </is>
      </c>
      <c r="O1938" s="8" t="n"/>
      <c r="P1938" s="14" t="n"/>
      <c r="Q1938" s="7" t="inlineStr"/>
      <c r="R1938" s="7" t="inlineStr"/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8" t="n"/>
      <c r="N1939" s="7" t="inlineStr">
        <is>
          <t>SEM COTAÇÃO</t>
        </is>
      </c>
      <c r="O1939" s="8" t="n"/>
      <c r="P1939" s="14" t="n"/>
      <c r="Q1939" s="7" t="inlineStr"/>
      <c r="R1939" s="7" t="inlineStr"/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8" t="n"/>
      <c r="N1940" s="7" t="inlineStr">
        <is>
          <t>SEM COTAÇÃO</t>
        </is>
      </c>
      <c r="O1940" s="8" t="n"/>
      <c r="P1940" s="14" t="n"/>
      <c r="Q1940" s="7" t="inlineStr"/>
      <c r="R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8" t="n"/>
      <c r="N1941" s="7" t="inlineStr">
        <is>
          <t>SEM COTAÇÃO</t>
        </is>
      </c>
      <c r="O1941" s="8" t="n"/>
      <c r="P1941" s="14" t="n"/>
      <c r="Q1941" s="7" t="inlineStr"/>
      <c r="R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8" t="n"/>
      <c r="N1942" s="7" t="inlineStr">
        <is>
          <t>SEM COTAÇÃO</t>
        </is>
      </c>
      <c r="O1942" s="8" t="n"/>
      <c r="P1942" s="14" t="n"/>
      <c r="Q1942" s="7" t="inlineStr"/>
      <c r="R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8" t="n"/>
      <c r="N1943" s="7" t="inlineStr">
        <is>
          <t>SEM COTAÇÃO</t>
        </is>
      </c>
      <c r="O1943" s="8" t="n"/>
      <c r="P1943" s="14" t="n"/>
      <c r="Q1943" s="7" t="inlineStr"/>
      <c r="R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15" t="n">
        <v>64.67</v>
      </c>
      <c r="N1944" s="7" t="inlineStr">
        <is>
          <t>CENTROFARMA</t>
        </is>
      </c>
      <c r="O1944" s="8" t="n">
        <v>64.67</v>
      </c>
      <c r="P1944" s="14">
        <f>O1944/H1944-1</f>
        <v/>
      </c>
      <c r="Q1944" s="17" t="inlineStr">
        <is>
          <t>OK (≤ menor hist.)</t>
        </is>
      </c>
      <c r="R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8" t="n"/>
      <c r="N1945" s="7" t="inlineStr">
        <is>
          <t>SEM COTAÇÃO</t>
        </is>
      </c>
      <c r="O1945" s="8" t="n"/>
      <c r="P1945" s="14" t="n"/>
      <c r="Q1945" s="7" t="inlineStr"/>
      <c r="R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8" t="n"/>
      <c r="N1946" s="7" t="inlineStr">
        <is>
          <t>SEM COTAÇÃO</t>
        </is>
      </c>
      <c r="O1946" s="8" t="n"/>
      <c r="P1946" s="14" t="n"/>
      <c r="Q1946" s="7" t="inlineStr"/>
      <c r="R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8" t="n"/>
      <c r="N1947" s="7" t="inlineStr">
        <is>
          <t>SEM COTAÇÃO</t>
        </is>
      </c>
      <c r="O1947" s="8" t="n"/>
      <c r="P1947" s="14" t="n"/>
      <c r="Q1947" s="7" t="inlineStr"/>
      <c r="R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8" t="n"/>
      <c r="N1948" s="7" t="inlineStr">
        <is>
          <t>SEM COTAÇÃO</t>
        </is>
      </c>
      <c r="O1948" s="8" t="n"/>
      <c r="P1948" s="14" t="n"/>
      <c r="Q1948" s="7" t="inlineStr"/>
      <c r="R1948" s="7" t="inlineStr"/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8" t="n"/>
      <c r="N1949" s="7" t="inlineStr">
        <is>
          <t>SEM COTAÇÃO</t>
        </is>
      </c>
      <c r="O1949" s="8" t="n"/>
      <c r="P1949" s="14" t="n"/>
      <c r="Q1949" s="7" t="inlineStr"/>
      <c r="R1949" s="7" t="inlineStr"/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8" t="n"/>
      <c r="N1950" s="7" t="inlineStr">
        <is>
          <t>SEM COTAÇÃO</t>
        </is>
      </c>
      <c r="O1950" s="8" t="n"/>
      <c r="P1950" s="14" t="n"/>
      <c r="Q1950" s="7" t="inlineStr"/>
      <c r="R1950" s="7" t="inlineStr"/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8" t="n"/>
      <c r="N1951" s="7" t="inlineStr">
        <is>
          <t>SEM COTAÇÃO</t>
        </is>
      </c>
      <c r="O1951" s="8" t="n"/>
      <c r="P1951" s="14" t="n"/>
      <c r="Q1951" s="7" t="inlineStr"/>
      <c r="R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8" t="n"/>
      <c r="N1952" s="7" t="inlineStr">
        <is>
          <t>SEM COTAÇÃO</t>
        </is>
      </c>
      <c r="O1952" s="8" t="n"/>
      <c r="P1952" s="14" t="n"/>
      <c r="Q1952" s="7" t="inlineStr"/>
      <c r="R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8" t="n"/>
      <c r="N1953" s="7" t="inlineStr">
        <is>
          <t>SEM COTAÇÃO</t>
        </is>
      </c>
      <c r="O1953" s="8" t="n"/>
      <c r="P1953" s="14" t="n"/>
      <c r="Q1953" s="7" t="inlineStr"/>
      <c r="R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8" t="n"/>
      <c r="N1954" s="7" t="inlineStr">
        <is>
          <t>SEM COTAÇÃO</t>
        </is>
      </c>
      <c r="O1954" s="8" t="n"/>
      <c r="P1954" s="14" t="n"/>
      <c r="Q1954" s="7" t="inlineStr"/>
      <c r="R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8" t="n"/>
      <c r="N1955" s="7" t="inlineStr">
        <is>
          <t>SEM COTAÇÃO</t>
        </is>
      </c>
      <c r="O1955" s="8" t="n"/>
      <c r="P1955" s="14" t="n"/>
      <c r="Q1955" s="7" t="inlineStr"/>
      <c r="R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8" t="n"/>
      <c r="N1956" s="7" t="inlineStr">
        <is>
          <t>SEM COTAÇÃO</t>
        </is>
      </c>
      <c r="O1956" s="8" t="n"/>
      <c r="P1956" s="14" t="n"/>
      <c r="Q1956" s="7" t="inlineStr"/>
      <c r="R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8" t="n"/>
      <c r="N1957" s="7" t="inlineStr">
        <is>
          <t>SEM COTAÇÃO</t>
        </is>
      </c>
      <c r="O1957" s="8" t="n"/>
      <c r="P1957" s="14" t="n"/>
      <c r="Q1957" s="7" t="inlineStr"/>
      <c r="R1957" s="7" t="inlineStr"/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8" t="n"/>
      <c r="N1958" s="7" t="inlineStr">
        <is>
          <t>SEM COTAÇÃO</t>
        </is>
      </c>
      <c r="O1958" s="8" t="n"/>
      <c r="P1958" s="14" t="n"/>
      <c r="Q1958" s="7" t="inlineStr"/>
      <c r="R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8" t="n"/>
      <c r="N1959" s="7" t="inlineStr">
        <is>
          <t>SEM COTAÇÃO</t>
        </is>
      </c>
      <c r="O1959" s="8" t="n"/>
      <c r="P1959" s="14" t="n"/>
      <c r="Q1959" s="7" t="inlineStr"/>
      <c r="R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8" t="n"/>
      <c r="N1960" s="7" t="inlineStr">
        <is>
          <t>SEM COTAÇÃO</t>
        </is>
      </c>
      <c r="O1960" s="8" t="n"/>
      <c r="P1960" s="14" t="n"/>
      <c r="Q1960" s="7" t="inlineStr"/>
      <c r="R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8" t="n"/>
      <c r="N1961" s="7" t="inlineStr">
        <is>
          <t>SEM COTAÇÃO</t>
        </is>
      </c>
      <c r="O1961" s="8" t="n"/>
      <c r="P1961" s="14" t="n"/>
      <c r="Q1961" s="7" t="inlineStr"/>
      <c r="R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8" t="n"/>
      <c r="N1962" s="7" t="inlineStr">
        <is>
          <t>SEM COTAÇÃO</t>
        </is>
      </c>
      <c r="O1962" s="8" t="n"/>
      <c r="P1962" s="14" t="n"/>
      <c r="Q1962" s="7" t="inlineStr"/>
      <c r="R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8" t="n"/>
      <c r="N1963" s="7" t="inlineStr">
        <is>
          <t>SEM COTAÇÃO</t>
        </is>
      </c>
      <c r="O1963" s="8" t="n"/>
      <c r="P1963" s="14" t="n"/>
      <c r="Q1963" s="7" t="inlineStr"/>
      <c r="R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8" t="n"/>
      <c r="N1964" s="7" t="inlineStr">
        <is>
          <t>SEM COTAÇÃO</t>
        </is>
      </c>
      <c r="O1964" s="8" t="n"/>
      <c r="P1964" s="14" t="n"/>
      <c r="Q1964" s="7" t="inlineStr"/>
      <c r="R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8" t="n"/>
      <c r="N1965" s="7" t="inlineStr">
        <is>
          <t>SEM COTAÇÃO</t>
        </is>
      </c>
      <c r="O1965" s="8" t="n"/>
      <c r="P1965" s="14" t="n"/>
      <c r="Q1965" s="7" t="inlineStr"/>
      <c r="R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8" t="n"/>
      <c r="N1966" s="7" t="inlineStr">
        <is>
          <t>SEM COTAÇÃO</t>
        </is>
      </c>
      <c r="O1966" s="8" t="n"/>
      <c r="P1966" s="14" t="n"/>
      <c r="Q1966" s="7" t="inlineStr"/>
      <c r="R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8" t="n"/>
      <c r="N1967" s="7" t="inlineStr">
        <is>
          <t>SEM COTAÇÃO</t>
        </is>
      </c>
      <c r="O1967" s="8" t="n"/>
      <c r="P1967" s="14" t="n"/>
      <c r="Q1967" s="7" t="inlineStr"/>
      <c r="R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8" t="n"/>
      <c r="N1968" s="7" t="inlineStr">
        <is>
          <t>SEM COTAÇÃO</t>
        </is>
      </c>
      <c r="O1968" s="8" t="n"/>
      <c r="P1968" s="14" t="n"/>
      <c r="Q1968" s="7" t="inlineStr"/>
      <c r="R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8" t="n"/>
      <c r="N1969" s="7" t="inlineStr">
        <is>
          <t>SEM COTAÇÃO</t>
        </is>
      </c>
      <c r="O1969" s="8" t="n"/>
      <c r="P1969" s="14" t="n"/>
      <c r="Q1969" s="7" t="inlineStr"/>
      <c r="R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8" t="n"/>
      <c r="N1970" s="7" t="inlineStr">
        <is>
          <t>SEM COTAÇÃO</t>
        </is>
      </c>
      <c r="O1970" s="8" t="n"/>
      <c r="P1970" s="14" t="n"/>
      <c r="Q1970" s="7" t="inlineStr"/>
      <c r="R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8" t="n"/>
      <c r="N1971" s="7" t="inlineStr">
        <is>
          <t>SEM COTAÇÃO</t>
        </is>
      </c>
      <c r="O1971" s="8" t="n"/>
      <c r="P1971" s="14" t="n"/>
      <c r="Q1971" s="7" t="inlineStr"/>
      <c r="R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8" t="n"/>
      <c r="N1972" s="7" t="inlineStr">
        <is>
          <t>SEM COTAÇÃO</t>
        </is>
      </c>
      <c r="O1972" s="8" t="n"/>
      <c r="P1972" s="14" t="n"/>
      <c r="Q1972" s="7" t="inlineStr"/>
      <c r="R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8" t="n"/>
      <c r="N1973" s="7" t="inlineStr">
        <is>
          <t>SEM COTAÇÃO</t>
        </is>
      </c>
      <c r="O1973" s="8" t="n"/>
      <c r="P1973" s="14" t="n"/>
      <c r="Q1973" s="7" t="inlineStr"/>
      <c r="R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8" t="n"/>
      <c r="N1974" s="7" t="inlineStr">
        <is>
          <t>SEM COTAÇÃO</t>
        </is>
      </c>
      <c r="O1974" s="8" t="n"/>
      <c r="P1974" s="14" t="n"/>
      <c r="Q1974" s="7" t="inlineStr"/>
      <c r="R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8" t="n"/>
      <c r="N1975" s="7" t="inlineStr">
        <is>
          <t>SEM COTAÇÃO</t>
        </is>
      </c>
      <c r="O1975" s="8" t="n"/>
      <c r="P1975" s="14" t="n"/>
      <c r="Q1975" s="7" t="inlineStr"/>
      <c r="R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8" t="n"/>
      <c r="N1976" s="7" t="inlineStr">
        <is>
          <t>SEM COTAÇÃO</t>
        </is>
      </c>
      <c r="O1976" s="8" t="n"/>
      <c r="P1976" s="14" t="n"/>
      <c r="Q1976" s="7" t="inlineStr"/>
      <c r="R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8" t="n"/>
      <c r="N1977" s="7" t="inlineStr">
        <is>
          <t>SEM COTAÇÃO</t>
        </is>
      </c>
      <c r="O1977" s="8" t="n"/>
      <c r="P1977" s="14" t="n"/>
      <c r="Q1977" s="7" t="inlineStr"/>
      <c r="R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8" t="n"/>
      <c r="N1978" s="7" t="inlineStr">
        <is>
          <t>SEM COTAÇÃO</t>
        </is>
      </c>
      <c r="O1978" s="8" t="n"/>
      <c r="P1978" s="14" t="n"/>
      <c r="Q1978" s="7" t="inlineStr"/>
      <c r="R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8" t="n"/>
      <c r="N1979" s="7" t="inlineStr">
        <is>
          <t>SEM COTAÇÃO</t>
        </is>
      </c>
      <c r="O1979" s="8" t="n"/>
      <c r="P1979" s="14" t="n"/>
      <c r="Q1979" s="7" t="inlineStr"/>
      <c r="R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8" t="n"/>
      <c r="N1980" s="7" t="inlineStr">
        <is>
          <t>SEM COTAÇÃO</t>
        </is>
      </c>
      <c r="O1980" s="8" t="n"/>
      <c r="P1980" s="14" t="n"/>
      <c r="Q1980" s="7" t="inlineStr"/>
      <c r="R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8" t="n"/>
      <c r="N1981" s="7" t="inlineStr">
        <is>
          <t>SEM COTAÇÃO</t>
        </is>
      </c>
      <c r="O1981" s="8" t="n"/>
      <c r="P1981" s="14" t="n"/>
      <c r="Q1981" s="7" t="inlineStr"/>
      <c r="R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8" t="n"/>
      <c r="N1982" s="7" t="inlineStr">
        <is>
          <t>SEM COTAÇÃO</t>
        </is>
      </c>
      <c r="O1982" s="8" t="n"/>
      <c r="P1982" s="14" t="n"/>
      <c r="Q1982" s="7" t="inlineStr"/>
      <c r="R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8" t="n"/>
      <c r="N1983" s="7" t="inlineStr">
        <is>
          <t>SEM COTAÇÃO</t>
        </is>
      </c>
      <c r="O1983" s="8" t="n"/>
      <c r="P1983" s="14" t="n"/>
      <c r="Q1983" s="7" t="inlineStr"/>
      <c r="R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8" t="n"/>
      <c r="N1984" s="7" t="inlineStr">
        <is>
          <t>SEM COTAÇÃO</t>
        </is>
      </c>
      <c r="O1984" s="8" t="n"/>
      <c r="P1984" s="14" t="n"/>
      <c r="Q1984" s="7" t="inlineStr"/>
      <c r="R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8" t="n"/>
      <c r="N1985" s="7" t="inlineStr">
        <is>
          <t>SEM COTAÇÃO</t>
        </is>
      </c>
      <c r="O1985" s="8" t="n"/>
      <c r="P1985" s="14" t="n"/>
      <c r="Q1985" s="7" t="inlineStr"/>
      <c r="R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8" t="n"/>
      <c r="N1986" s="7" t="inlineStr">
        <is>
          <t>SEM COTAÇÃO</t>
        </is>
      </c>
      <c r="O1986" s="8" t="n"/>
      <c r="P1986" s="14" t="n"/>
      <c r="Q1986" s="7" t="inlineStr"/>
      <c r="R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8" t="n"/>
      <c r="N1987" s="7" t="inlineStr">
        <is>
          <t>SEM COTAÇÃO</t>
        </is>
      </c>
      <c r="O1987" s="8" t="n"/>
      <c r="P1987" s="14" t="n"/>
      <c r="Q1987" s="7" t="inlineStr"/>
      <c r="R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8" t="n"/>
      <c r="N1988" s="7" t="inlineStr">
        <is>
          <t>SEM COTAÇÃO</t>
        </is>
      </c>
      <c r="O1988" s="8" t="n"/>
      <c r="P1988" s="14" t="n"/>
      <c r="Q1988" s="7" t="inlineStr"/>
      <c r="R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8" t="n"/>
      <c r="N1989" s="7" t="inlineStr">
        <is>
          <t>SEM COTAÇÃO</t>
        </is>
      </c>
      <c r="O1989" s="8" t="n"/>
      <c r="P1989" s="14" t="n"/>
      <c r="Q1989" s="7" t="inlineStr"/>
      <c r="R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8" t="n"/>
      <c r="N1990" s="7" t="inlineStr">
        <is>
          <t>SEM COTAÇÃO</t>
        </is>
      </c>
      <c r="O1990" s="8" t="n"/>
      <c r="P1990" s="14" t="n"/>
      <c r="Q1990" s="7" t="inlineStr"/>
      <c r="R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8" t="n"/>
      <c r="N1991" s="7" t="inlineStr">
        <is>
          <t>SEM COTAÇÃO</t>
        </is>
      </c>
      <c r="O1991" s="8" t="n"/>
      <c r="P1991" s="14" t="n"/>
      <c r="Q1991" s="7" t="inlineStr"/>
      <c r="R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8" t="n"/>
      <c r="N1992" s="7" t="inlineStr">
        <is>
          <t>SEM COTAÇÃO</t>
        </is>
      </c>
      <c r="O1992" s="8" t="n"/>
      <c r="P1992" s="14" t="n"/>
      <c r="Q1992" s="7" t="inlineStr"/>
      <c r="R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8" t="n"/>
      <c r="N1993" s="7" t="inlineStr">
        <is>
          <t>SEM COTAÇÃO</t>
        </is>
      </c>
      <c r="O1993" s="8" t="n"/>
      <c r="P1993" s="14" t="n"/>
      <c r="Q1993" s="7" t="inlineStr"/>
      <c r="R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8" t="n"/>
      <c r="N1994" s="7" t="inlineStr">
        <is>
          <t>SEM COTAÇÃO</t>
        </is>
      </c>
      <c r="O1994" s="8" t="n"/>
      <c r="P1994" s="14" t="n"/>
      <c r="Q1994" s="7" t="inlineStr"/>
      <c r="R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8" t="n"/>
      <c r="N1995" s="7" t="inlineStr">
        <is>
          <t>SEM COTAÇÃO</t>
        </is>
      </c>
      <c r="O1995" s="8" t="n"/>
      <c r="P1995" s="14" t="n"/>
      <c r="Q1995" s="7" t="inlineStr"/>
      <c r="R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8" t="n"/>
      <c r="N1996" s="7" t="inlineStr">
        <is>
          <t>SEM COTAÇÃO</t>
        </is>
      </c>
      <c r="O1996" s="8" t="n"/>
      <c r="P1996" s="14" t="n"/>
      <c r="Q1996" s="7" t="inlineStr"/>
      <c r="R1996" s="7" t="inlineStr"/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8" t="n"/>
      <c r="N1997" s="7" t="inlineStr">
        <is>
          <t>SEM COTAÇÃO</t>
        </is>
      </c>
      <c r="O1997" s="8" t="n"/>
      <c r="P1997" s="14" t="n"/>
      <c r="Q1997" s="7" t="inlineStr"/>
      <c r="R1997" s="7" t="inlineStr"/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8" t="n"/>
      <c r="N1998" s="7" t="inlineStr">
        <is>
          <t>SEM COTAÇÃO</t>
        </is>
      </c>
      <c r="O1998" s="8" t="n"/>
      <c r="P1998" s="14" t="n"/>
      <c r="Q1998" s="7" t="inlineStr"/>
      <c r="R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8" t="n"/>
      <c r="N1999" s="7" t="inlineStr">
        <is>
          <t>SEM COTAÇÃO</t>
        </is>
      </c>
      <c r="O1999" s="8" t="n"/>
      <c r="P1999" s="14" t="n"/>
      <c r="Q1999" s="7" t="inlineStr"/>
      <c r="R1999" s="7" t="inlineStr"/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8" t="n"/>
      <c r="N2000" s="7" t="inlineStr">
        <is>
          <t>SEM COTAÇÃO</t>
        </is>
      </c>
      <c r="O2000" s="8" t="n"/>
      <c r="P2000" s="14" t="n"/>
      <c r="Q2000" s="7" t="inlineStr"/>
      <c r="R2000" s="7" t="inlineStr"/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8" t="n"/>
      <c r="N2001" s="7" t="inlineStr">
        <is>
          <t>SEM COTAÇÃO</t>
        </is>
      </c>
      <c r="O2001" s="8" t="n"/>
      <c r="P2001" s="14" t="n"/>
      <c r="Q2001" s="7" t="inlineStr"/>
      <c r="R2001" s="7" t="inlineStr"/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8" t="n"/>
      <c r="N2002" s="7" t="inlineStr">
        <is>
          <t>SEM COTAÇÃO</t>
        </is>
      </c>
      <c r="O2002" s="8" t="n"/>
      <c r="P2002" s="14" t="n"/>
      <c r="Q2002" s="7" t="inlineStr"/>
      <c r="R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8" t="n"/>
      <c r="N2003" s="7" t="inlineStr">
        <is>
          <t>SEM COTAÇÃO</t>
        </is>
      </c>
      <c r="O2003" s="8" t="n"/>
      <c r="P2003" s="14" t="n"/>
      <c r="Q2003" s="7" t="inlineStr"/>
      <c r="R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8" t="n"/>
      <c r="N2004" s="7" t="inlineStr">
        <is>
          <t>SEM COTAÇÃO</t>
        </is>
      </c>
      <c r="O2004" s="8" t="n"/>
      <c r="P2004" s="14" t="n"/>
      <c r="Q2004" s="7" t="inlineStr"/>
      <c r="R2004" s="7" t="inlineStr"/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8" t="n"/>
      <c r="N2005" s="7" t="inlineStr">
        <is>
          <t>SEM COTAÇÃO</t>
        </is>
      </c>
      <c r="O2005" s="8" t="n"/>
      <c r="P2005" s="14" t="n"/>
      <c r="Q2005" s="7" t="inlineStr"/>
      <c r="R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8" t="n"/>
      <c r="N2006" s="7" t="inlineStr">
        <is>
          <t>SEM COTAÇÃO</t>
        </is>
      </c>
      <c r="O2006" s="8" t="n"/>
      <c r="P2006" s="14" t="n"/>
      <c r="Q2006" s="7" t="inlineStr"/>
      <c r="R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8" t="n"/>
      <c r="N2007" s="7" t="inlineStr">
        <is>
          <t>SEM COTAÇÃO</t>
        </is>
      </c>
      <c r="O2007" s="8" t="n"/>
      <c r="P2007" s="14" t="n"/>
      <c r="Q2007" s="7" t="inlineStr"/>
      <c r="R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8" t="n"/>
      <c r="N2008" s="7" t="inlineStr">
        <is>
          <t>SEM COTAÇÃO</t>
        </is>
      </c>
      <c r="O2008" s="8" t="n"/>
      <c r="P2008" s="14" t="n"/>
      <c r="Q2008" s="7" t="inlineStr"/>
      <c r="R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8" t="n"/>
      <c r="N2009" s="7" t="inlineStr">
        <is>
          <t>SEM COTAÇÃO</t>
        </is>
      </c>
      <c r="O2009" s="8" t="n"/>
      <c r="P2009" s="14" t="n"/>
      <c r="Q2009" s="7" t="inlineStr"/>
      <c r="R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8" t="n"/>
      <c r="N2010" s="7" t="inlineStr">
        <is>
          <t>SEM COTAÇÃO</t>
        </is>
      </c>
      <c r="O2010" s="8" t="n"/>
      <c r="P2010" s="14" t="n"/>
      <c r="Q2010" s="7" t="inlineStr"/>
      <c r="R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8" t="n"/>
      <c r="N2011" s="7" t="inlineStr">
        <is>
          <t>SEM COTAÇÃO</t>
        </is>
      </c>
      <c r="O2011" s="8" t="n"/>
      <c r="P2011" s="14" t="n"/>
      <c r="Q2011" s="7" t="inlineStr"/>
      <c r="R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8" t="n"/>
      <c r="N2012" s="7" t="inlineStr">
        <is>
          <t>SEM COTAÇÃO</t>
        </is>
      </c>
      <c r="O2012" s="8" t="n"/>
      <c r="P2012" s="14" t="n"/>
      <c r="Q2012" s="7" t="inlineStr"/>
      <c r="R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7" t="inlineStr">
        <is>
          <t>SEM COTAÇÃO</t>
        </is>
      </c>
      <c r="O2013" s="8" t="n"/>
      <c r="P2013" s="14" t="n"/>
      <c r="Q2013" s="7" t="inlineStr"/>
      <c r="R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8" t="n"/>
      <c r="N2014" s="7" t="inlineStr">
        <is>
          <t>SEM COTAÇÃO</t>
        </is>
      </c>
      <c r="O2014" s="8" t="n"/>
      <c r="P2014" s="14" t="n"/>
      <c r="Q2014" s="7" t="inlineStr"/>
      <c r="R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8" t="n"/>
      <c r="N2015" s="7" t="inlineStr">
        <is>
          <t>SEM COTAÇÃO</t>
        </is>
      </c>
      <c r="O2015" s="8" t="n"/>
      <c r="P2015" s="14" t="n"/>
      <c r="Q2015" s="7" t="inlineStr"/>
      <c r="R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8" t="n"/>
      <c r="N2016" s="7" t="inlineStr">
        <is>
          <t>SEM COTAÇÃO</t>
        </is>
      </c>
      <c r="O2016" s="8" t="n"/>
      <c r="P2016" s="14" t="n"/>
      <c r="Q2016" s="7" t="inlineStr"/>
      <c r="R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8" t="n"/>
      <c r="N2017" s="7" t="inlineStr">
        <is>
          <t>SEM COTAÇÃO</t>
        </is>
      </c>
      <c r="O2017" s="8" t="n"/>
      <c r="P2017" s="14" t="n"/>
      <c r="Q2017" s="7" t="inlineStr"/>
      <c r="R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8" t="n"/>
      <c r="N2018" s="7" t="inlineStr">
        <is>
          <t>SEM COTAÇÃO</t>
        </is>
      </c>
      <c r="O2018" s="8" t="n"/>
      <c r="P2018" s="14" t="n"/>
      <c r="Q2018" s="7" t="inlineStr"/>
      <c r="R2018" s="7" t="inlineStr"/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8" t="n"/>
      <c r="N2019" s="7" t="inlineStr">
        <is>
          <t>SEM COTAÇÃO</t>
        </is>
      </c>
      <c r="O2019" s="8" t="n"/>
      <c r="P2019" s="14" t="n"/>
      <c r="Q2019" s="7" t="inlineStr"/>
      <c r="R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8" t="n"/>
      <c r="N2020" s="7" t="inlineStr">
        <is>
          <t>SEM COTAÇÃO</t>
        </is>
      </c>
      <c r="O2020" s="8" t="n"/>
      <c r="P2020" s="14" t="n"/>
      <c r="Q2020" s="7" t="inlineStr"/>
      <c r="R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8" t="n"/>
      <c r="N2021" s="7" t="inlineStr">
        <is>
          <t>SEM COTAÇÃO</t>
        </is>
      </c>
      <c r="O2021" s="8" t="n"/>
      <c r="P2021" s="14" t="n"/>
      <c r="Q2021" s="7" t="inlineStr"/>
      <c r="R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8" t="n"/>
      <c r="N2022" s="7" t="inlineStr">
        <is>
          <t>SEM COTAÇÃO</t>
        </is>
      </c>
      <c r="O2022" s="8" t="n"/>
      <c r="P2022" s="14" t="n"/>
      <c r="Q2022" s="7" t="inlineStr"/>
      <c r="R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8" t="n"/>
      <c r="N2023" s="7" t="inlineStr">
        <is>
          <t>SEM COTAÇÃO</t>
        </is>
      </c>
      <c r="O2023" s="8" t="n"/>
      <c r="P2023" s="14" t="n"/>
      <c r="Q2023" s="7" t="inlineStr"/>
      <c r="R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7" t="inlineStr">
        <is>
          <t>SEM COTAÇÃO</t>
        </is>
      </c>
      <c r="O2024" s="8" t="n"/>
      <c r="P2024" s="14" t="n"/>
      <c r="Q2024" s="7" t="inlineStr"/>
      <c r="R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8" t="n"/>
      <c r="N2025" s="7" t="inlineStr">
        <is>
          <t>SEM COTAÇÃO</t>
        </is>
      </c>
      <c r="O2025" s="8" t="n"/>
      <c r="P2025" s="14" t="n"/>
      <c r="Q2025" s="7" t="inlineStr"/>
      <c r="R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8" t="n"/>
      <c r="N2026" s="7" t="inlineStr">
        <is>
          <t>SEM COTAÇÃO</t>
        </is>
      </c>
      <c r="O2026" s="8" t="n"/>
      <c r="P2026" s="14" t="n"/>
      <c r="Q2026" s="7" t="inlineStr"/>
      <c r="R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8" t="n"/>
      <c r="N2027" s="7" t="inlineStr">
        <is>
          <t>SEM COTAÇÃO</t>
        </is>
      </c>
      <c r="O2027" s="8" t="n"/>
      <c r="P2027" s="14" t="n"/>
      <c r="Q2027" s="7" t="inlineStr"/>
      <c r="R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8" t="n"/>
      <c r="N2028" s="7" t="inlineStr">
        <is>
          <t>SEM COTAÇÃO</t>
        </is>
      </c>
      <c r="O2028" s="8" t="n"/>
      <c r="P2028" s="14" t="n"/>
      <c r="Q2028" s="7" t="inlineStr"/>
      <c r="R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8" t="n"/>
      <c r="N2029" s="7" t="inlineStr">
        <is>
          <t>SEM COTAÇÃO</t>
        </is>
      </c>
      <c r="O2029" s="8" t="n"/>
      <c r="P2029" s="14" t="n"/>
      <c r="Q2029" s="7" t="inlineStr"/>
      <c r="R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8" t="n"/>
      <c r="N2030" s="7" t="inlineStr">
        <is>
          <t>SEM COTAÇÃO</t>
        </is>
      </c>
      <c r="O2030" s="8" t="n"/>
      <c r="P2030" s="14" t="n"/>
      <c r="Q2030" s="7" t="inlineStr"/>
      <c r="R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8" t="n"/>
      <c r="N2031" s="7" t="inlineStr">
        <is>
          <t>SEM COTAÇÃO</t>
        </is>
      </c>
      <c r="O2031" s="8" t="n"/>
      <c r="P2031" s="14" t="n"/>
      <c r="Q2031" s="7" t="inlineStr"/>
      <c r="R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8" t="n"/>
      <c r="N2032" s="7" t="inlineStr">
        <is>
          <t>SEM COTAÇÃO</t>
        </is>
      </c>
      <c r="O2032" s="8" t="n"/>
      <c r="P2032" s="14" t="n"/>
      <c r="Q2032" s="7" t="inlineStr"/>
      <c r="R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8" t="n"/>
      <c r="N2033" s="7" t="inlineStr">
        <is>
          <t>SEM COTAÇÃO</t>
        </is>
      </c>
      <c r="O2033" s="8" t="n"/>
      <c r="P2033" s="14" t="n"/>
      <c r="Q2033" s="7" t="inlineStr"/>
      <c r="R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8" t="n"/>
      <c r="N2034" s="7" t="inlineStr">
        <is>
          <t>SEM COTAÇÃO</t>
        </is>
      </c>
      <c r="O2034" s="8" t="n"/>
      <c r="P2034" s="14" t="n"/>
      <c r="Q2034" s="7" t="inlineStr"/>
      <c r="R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8" t="n"/>
      <c r="N2035" s="7" t="inlineStr">
        <is>
          <t>SEM COTAÇÃO</t>
        </is>
      </c>
      <c r="O2035" s="8" t="n"/>
      <c r="P2035" s="14" t="n"/>
      <c r="Q2035" s="7" t="inlineStr"/>
      <c r="R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8" t="n"/>
      <c r="N2036" s="7" t="inlineStr">
        <is>
          <t>SEM COTAÇÃO</t>
        </is>
      </c>
      <c r="O2036" s="8" t="n"/>
      <c r="P2036" s="14" t="n"/>
      <c r="Q2036" s="7" t="inlineStr"/>
      <c r="R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8" t="n"/>
      <c r="N2037" s="7" t="inlineStr">
        <is>
          <t>SEM COTAÇÃO</t>
        </is>
      </c>
      <c r="O2037" s="8" t="n"/>
      <c r="P2037" s="14" t="n"/>
      <c r="Q2037" s="7" t="inlineStr"/>
      <c r="R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8" t="n"/>
      <c r="N2038" s="7" t="inlineStr">
        <is>
          <t>SEM COTAÇÃO</t>
        </is>
      </c>
      <c r="O2038" s="8" t="n"/>
      <c r="P2038" s="14" t="n"/>
      <c r="Q2038" s="7" t="inlineStr"/>
      <c r="R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8" t="n"/>
      <c r="N2039" s="7" t="inlineStr">
        <is>
          <t>SEM COTAÇÃO</t>
        </is>
      </c>
      <c r="O2039" s="8" t="n"/>
      <c r="P2039" s="14" t="n"/>
      <c r="Q2039" s="7" t="inlineStr"/>
      <c r="R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8" t="n"/>
      <c r="N2040" s="7" t="inlineStr">
        <is>
          <t>SEM COTAÇÃO</t>
        </is>
      </c>
      <c r="O2040" s="8" t="n"/>
      <c r="P2040" s="14" t="n"/>
      <c r="Q2040" s="7" t="inlineStr"/>
      <c r="R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8" t="n"/>
      <c r="N2041" s="7" t="inlineStr">
        <is>
          <t>SEM COTAÇÃO</t>
        </is>
      </c>
      <c r="O2041" s="8" t="n"/>
      <c r="P2041" s="14" t="n"/>
      <c r="Q2041" s="7" t="inlineStr"/>
      <c r="R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8" t="n"/>
      <c r="N2042" s="7" t="inlineStr">
        <is>
          <t>SEM COTAÇÃO</t>
        </is>
      </c>
      <c r="O2042" s="8" t="n"/>
      <c r="P2042" s="14" t="n"/>
      <c r="Q2042" s="7" t="inlineStr"/>
      <c r="R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8" t="n"/>
      <c r="N2043" s="7" t="inlineStr">
        <is>
          <t>SEM COTAÇÃO</t>
        </is>
      </c>
      <c r="O2043" s="8" t="n"/>
      <c r="P2043" s="14" t="n"/>
      <c r="Q2043" s="7" t="inlineStr"/>
      <c r="R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8" t="n"/>
      <c r="N2044" s="7" t="inlineStr">
        <is>
          <t>SEM COTAÇÃO</t>
        </is>
      </c>
      <c r="O2044" s="8" t="n"/>
      <c r="P2044" s="14" t="n"/>
      <c r="Q2044" s="7" t="inlineStr"/>
      <c r="R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8" t="n"/>
      <c r="N2045" s="7" t="inlineStr">
        <is>
          <t>SEM COTAÇÃO</t>
        </is>
      </c>
      <c r="O2045" s="8" t="n"/>
      <c r="P2045" s="14" t="n"/>
      <c r="Q2045" s="7" t="inlineStr"/>
      <c r="R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8" t="n"/>
      <c r="N2046" s="7" t="inlineStr">
        <is>
          <t>SEM COTAÇÃO</t>
        </is>
      </c>
      <c r="O2046" s="8" t="n"/>
      <c r="P2046" s="14" t="n"/>
      <c r="Q2046" s="7" t="inlineStr"/>
      <c r="R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8" t="n"/>
      <c r="N2047" s="7" t="inlineStr">
        <is>
          <t>SEM COTAÇÃO</t>
        </is>
      </c>
      <c r="O2047" s="8" t="n"/>
      <c r="P2047" s="14" t="n"/>
      <c r="Q2047" s="7" t="inlineStr"/>
      <c r="R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8" t="n"/>
      <c r="N2048" s="7" t="inlineStr">
        <is>
          <t>SEM COTAÇÃO</t>
        </is>
      </c>
      <c r="O2048" s="8" t="n"/>
      <c r="P2048" s="14" t="n"/>
      <c r="Q2048" s="7" t="inlineStr"/>
      <c r="R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8" t="n"/>
      <c r="N2049" s="7" t="inlineStr">
        <is>
          <t>SEM COTAÇÃO</t>
        </is>
      </c>
      <c r="O2049" s="8" t="n"/>
      <c r="P2049" s="14" t="n"/>
      <c r="Q2049" s="7" t="inlineStr"/>
      <c r="R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8" t="n"/>
      <c r="N2050" s="7" t="inlineStr">
        <is>
          <t>SEM COTAÇÃO</t>
        </is>
      </c>
      <c r="O2050" s="8" t="n"/>
      <c r="P2050" s="14" t="n"/>
      <c r="Q2050" s="7" t="inlineStr"/>
      <c r="R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8" t="n"/>
      <c r="N2051" s="7" t="inlineStr">
        <is>
          <t>SEM COTAÇÃO</t>
        </is>
      </c>
      <c r="O2051" s="8" t="n"/>
      <c r="P2051" s="14" t="n"/>
      <c r="Q2051" s="7" t="inlineStr"/>
      <c r="R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8" t="n"/>
      <c r="N2052" s="7" t="inlineStr">
        <is>
          <t>SEM COTAÇÃO</t>
        </is>
      </c>
      <c r="O2052" s="8" t="n"/>
      <c r="P2052" s="14" t="n"/>
      <c r="Q2052" s="7" t="inlineStr"/>
      <c r="R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8" t="n"/>
      <c r="N2053" s="7" t="inlineStr">
        <is>
          <t>SEM COTAÇÃO</t>
        </is>
      </c>
      <c r="O2053" s="8" t="n"/>
      <c r="P2053" s="14" t="n"/>
      <c r="Q2053" s="7" t="inlineStr"/>
      <c r="R2053" s="7" t="inlineStr"/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8" t="n"/>
      <c r="N2054" s="7" t="inlineStr">
        <is>
          <t>SEM COTAÇÃO</t>
        </is>
      </c>
      <c r="O2054" s="8" t="n"/>
      <c r="P2054" s="14" t="n"/>
      <c r="Q2054" s="7" t="inlineStr"/>
      <c r="R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8" t="n"/>
      <c r="N2055" s="7" t="inlineStr">
        <is>
          <t>SEM COTAÇÃO</t>
        </is>
      </c>
      <c r="O2055" s="8" t="n"/>
      <c r="P2055" s="14" t="n"/>
      <c r="Q2055" s="7" t="inlineStr"/>
      <c r="R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8" t="n"/>
      <c r="N2056" s="7" t="inlineStr">
        <is>
          <t>SEM COTAÇÃO</t>
        </is>
      </c>
      <c r="O2056" s="8" t="n"/>
      <c r="P2056" s="14" t="n"/>
      <c r="Q2056" s="7" t="inlineStr"/>
      <c r="R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8" t="n"/>
      <c r="N2057" s="7" t="inlineStr">
        <is>
          <t>SEM COTAÇÃO</t>
        </is>
      </c>
      <c r="O2057" s="8" t="n"/>
      <c r="P2057" s="14" t="n"/>
      <c r="Q2057" s="7" t="inlineStr"/>
      <c r="R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8" t="n"/>
      <c r="N2058" s="7" t="inlineStr">
        <is>
          <t>SEM COTAÇÃO</t>
        </is>
      </c>
      <c r="O2058" s="8" t="n"/>
      <c r="P2058" s="14" t="n"/>
      <c r="Q2058" s="7" t="inlineStr"/>
      <c r="R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7" t="inlineStr">
        <is>
          <t>SEM COTAÇÃO</t>
        </is>
      </c>
      <c r="O2059" s="8" t="n"/>
      <c r="P2059" s="14" t="n"/>
      <c r="Q2059" s="7" t="inlineStr"/>
      <c r="R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8" t="n"/>
      <c r="N2060" s="7" t="inlineStr">
        <is>
          <t>SEM COTAÇÃO</t>
        </is>
      </c>
      <c r="O2060" s="8" t="n"/>
      <c r="P2060" s="14" t="n"/>
      <c r="Q2060" s="7" t="inlineStr"/>
      <c r="R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8" t="n"/>
      <c r="N2061" s="7" t="inlineStr">
        <is>
          <t>SEM COTAÇÃO</t>
        </is>
      </c>
      <c r="O2061" s="8" t="n"/>
      <c r="P2061" s="14" t="n"/>
      <c r="Q2061" s="7" t="inlineStr"/>
      <c r="R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8" t="n"/>
      <c r="N2062" s="7" t="inlineStr">
        <is>
          <t>SEM COTAÇÃO</t>
        </is>
      </c>
      <c r="O2062" s="8" t="n"/>
      <c r="P2062" s="14" t="n"/>
      <c r="Q2062" s="7" t="inlineStr"/>
      <c r="R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8" t="n"/>
      <c r="N2063" s="7" t="inlineStr">
        <is>
          <t>SEM COTAÇÃO</t>
        </is>
      </c>
      <c r="O2063" s="8" t="n"/>
      <c r="P2063" s="14" t="n"/>
      <c r="Q2063" s="7" t="inlineStr"/>
      <c r="R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8" t="n"/>
      <c r="N2064" s="7" t="inlineStr">
        <is>
          <t>SEM COTAÇÃO</t>
        </is>
      </c>
      <c r="O2064" s="8" t="n"/>
      <c r="P2064" s="14" t="n"/>
      <c r="Q2064" s="7" t="inlineStr"/>
      <c r="R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8" t="n"/>
      <c r="N2065" s="7" t="inlineStr">
        <is>
          <t>SEM COTAÇÃO</t>
        </is>
      </c>
      <c r="O2065" s="8" t="n"/>
      <c r="P2065" s="14" t="n"/>
      <c r="Q2065" s="7" t="inlineStr"/>
      <c r="R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8" t="n"/>
      <c r="N2066" s="7" t="inlineStr">
        <is>
          <t>SEM COTAÇÃO</t>
        </is>
      </c>
      <c r="O2066" s="8" t="n"/>
      <c r="P2066" s="14" t="n"/>
      <c r="Q2066" s="7" t="inlineStr"/>
      <c r="R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8" t="n"/>
      <c r="N2067" s="7" t="inlineStr">
        <is>
          <t>SEM COTAÇÃO</t>
        </is>
      </c>
      <c r="O2067" s="8" t="n"/>
      <c r="P2067" s="14" t="n"/>
      <c r="Q2067" s="7" t="inlineStr"/>
      <c r="R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8" t="n"/>
      <c r="N2068" s="7" t="inlineStr">
        <is>
          <t>SEM COTAÇÃO</t>
        </is>
      </c>
      <c r="O2068" s="8" t="n"/>
      <c r="P2068" s="14" t="n"/>
      <c r="Q2068" s="7" t="inlineStr"/>
      <c r="R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8" t="n"/>
      <c r="N2069" s="7" t="inlineStr">
        <is>
          <t>SEM COTAÇÃO</t>
        </is>
      </c>
      <c r="O2069" s="8" t="n"/>
      <c r="P2069" s="14" t="n"/>
      <c r="Q2069" s="7" t="inlineStr"/>
      <c r="R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8" t="n"/>
      <c r="N2070" s="7" t="inlineStr">
        <is>
          <t>SEM COTAÇÃO</t>
        </is>
      </c>
      <c r="O2070" s="8" t="n"/>
      <c r="P2070" s="14" t="n"/>
      <c r="Q2070" s="7" t="inlineStr"/>
      <c r="R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8" t="n"/>
      <c r="N2071" s="7" t="inlineStr">
        <is>
          <t>SEM COTAÇÃO</t>
        </is>
      </c>
      <c r="O2071" s="8" t="n"/>
      <c r="P2071" s="14" t="n"/>
      <c r="Q2071" s="7" t="inlineStr"/>
      <c r="R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8" t="n"/>
      <c r="N2072" s="7" t="inlineStr">
        <is>
          <t>SEM COTAÇÃO</t>
        </is>
      </c>
      <c r="O2072" s="8" t="n"/>
      <c r="P2072" s="14" t="n"/>
      <c r="Q2072" s="7" t="inlineStr"/>
      <c r="R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8" t="n"/>
      <c r="N2073" s="7" t="inlineStr">
        <is>
          <t>SEM COTAÇÃO</t>
        </is>
      </c>
      <c r="O2073" s="8" t="n"/>
      <c r="P2073" s="14" t="n"/>
      <c r="Q2073" s="7" t="inlineStr"/>
      <c r="R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8" t="n"/>
      <c r="N2074" s="7" t="inlineStr">
        <is>
          <t>SEM COTAÇÃO</t>
        </is>
      </c>
      <c r="O2074" s="8" t="n"/>
      <c r="P2074" s="14" t="n"/>
      <c r="Q2074" s="7" t="inlineStr"/>
      <c r="R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8" t="n"/>
      <c r="N2075" s="7" t="inlineStr">
        <is>
          <t>SEM COTAÇÃO</t>
        </is>
      </c>
      <c r="O2075" s="8" t="n"/>
      <c r="P2075" s="14" t="n"/>
      <c r="Q2075" s="7" t="inlineStr"/>
      <c r="R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8" t="n"/>
      <c r="N2076" s="7" t="inlineStr">
        <is>
          <t>SEM COTAÇÃO</t>
        </is>
      </c>
      <c r="O2076" s="8" t="n"/>
      <c r="P2076" s="14" t="n"/>
      <c r="Q2076" s="7" t="inlineStr"/>
      <c r="R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8" t="n"/>
      <c r="N2077" s="7" t="inlineStr">
        <is>
          <t>SEM COTAÇÃO</t>
        </is>
      </c>
      <c r="O2077" s="8" t="n"/>
      <c r="P2077" s="14" t="n"/>
      <c r="Q2077" s="7" t="inlineStr"/>
      <c r="R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8" t="n"/>
      <c r="N2078" s="7" t="inlineStr">
        <is>
          <t>SEM COTAÇÃO</t>
        </is>
      </c>
      <c r="O2078" s="8" t="n"/>
      <c r="P2078" s="14" t="n"/>
      <c r="Q2078" s="7" t="inlineStr"/>
      <c r="R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8" t="n"/>
      <c r="N2079" s="7" t="inlineStr">
        <is>
          <t>SEM COTAÇÃO</t>
        </is>
      </c>
      <c r="O2079" s="8" t="n"/>
      <c r="P2079" s="14" t="n"/>
      <c r="Q2079" s="7" t="inlineStr"/>
      <c r="R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8" t="n"/>
      <c r="N2080" s="7" t="inlineStr">
        <is>
          <t>SEM COTAÇÃO</t>
        </is>
      </c>
      <c r="O2080" s="8" t="n"/>
      <c r="P2080" s="14" t="n"/>
      <c r="Q2080" s="7" t="inlineStr"/>
      <c r="R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8" t="n"/>
      <c r="N2081" s="7" t="inlineStr">
        <is>
          <t>SEM COTAÇÃO</t>
        </is>
      </c>
      <c r="O2081" s="8" t="n"/>
      <c r="P2081" s="14" t="n"/>
      <c r="Q2081" s="7" t="inlineStr"/>
      <c r="R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8" t="n"/>
      <c r="N2082" s="7" t="inlineStr">
        <is>
          <t>SEM COTAÇÃO</t>
        </is>
      </c>
      <c r="O2082" s="8" t="n"/>
      <c r="P2082" s="14" t="n"/>
      <c r="Q2082" s="7" t="inlineStr"/>
      <c r="R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8" t="n"/>
      <c r="N2083" s="7" t="inlineStr">
        <is>
          <t>SEM COTAÇÃO</t>
        </is>
      </c>
      <c r="O2083" s="8" t="n"/>
      <c r="P2083" s="14" t="n"/>
      <c r="Q2083" s="7" t="inlineStr"/>
      <c r="R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8" t="n"/>
      <c r="N2084" s="7" t="inlineStr">
        <is>
          <t>SEM COTAÇÃO</t>
        </is>
      </c>
      <c r="O2084" s="8" t="n"/>
      <c r="P2084" s="14" t="n"/>
      <c r="Q2084" s="7" t="inlineStr"/>
      <c r="R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8" t="n"/>
      <c r="N2085" s="7" t="inlineStr">
        <is>
          <t>SEM COTAÇÃO</t>
        </is>
      </c>
      <c r="O2085" s="8" t="n"/>
      <c r="P2085" s="14" t="n"/>
      <c r="Q2085" s="7" t="inlineStr"/>
      <c r="R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8" t="n"/>
      <c r="N2086" s="7" t="inlineStr">
        <is>
          <t>SEM COTAÇÃO</t>
        </is>
      </c>
      <c r="O2086" s="8" t="n"/>
      <c r="P2086" s="14" t="n"/>
      <c r="Q2086" s="7" t="inlineStr"/>
      <c r="R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8" t="n"/>
      <c r="N2087" s="7" t="inlineStr">
        <is>
          <t>SEM COTAÇÃO</t>
        </is>
      </c>
      <c r="O2087" s="8" t="n"/>
      <c r="P2087" s="14" t="n"/>
      <c r="Q2087" s="7" t="inlineStr"/>
      <c r="R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8" t="n"/>
      <c r="N2088" s="7" t="inlineStr">
        <is>
          <t>SEM COTAÇÃO</t>
        </is>
      </c>
      <c r="O2088" s="8" t="n"/>
      <c r="P2088" s="14" t="n"/>
      <c r="Q2088" s="7" t="inlineStr"/>
      <c r="R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8" t="n"/>
      <c r="N2089" s="7" t="inlineStr">
        <is>
          <t>SEM COTAÇÃO</t>
        </is>
      </c>
      <c r="O2089" s="8" t="n"/>
      <c r="P2089" s="14" t="n"/>
      <c r="Q2089" s="7" t="inlineStr"/>
      <c r="R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8" t="n"/>
      <c r="N2090" s="7" t="inlineStr">
        <is>
          <t>SEM COTAÇÃO</t>
        </is>
      </c>
      <c r="O2090" s="8" t="n"/>
      <c r="P2090" s="14" t="n"/>
      <c r="Q2090" s="7" t="inlineStr"/>
      <c r="R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8" t="n"/>
      <c r="N2091" s="7" t="inlineStr">
        <is>
          <t>SEM COTAÇÃO</t>
        </is>
      </c>
      <c r="O2091" s="8" t="n"/>
      <c r="P2091" s="14" t="n"/>
      <c r="Q2091" s="7" t="inlineStr"/>
      <c r="R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8" t="n"/>
      <c r="N2092" s="7" t="inlineStr">
        <is>
          <t>SEM COTAÇÃO</t>
        </is>
      </c>
      <c r="O2092" s="8" t="n"/>
      <c r="P2092" s="14" t="n"/>
      <c r="Q2092" s="7" t="inlineStr"/>
      <c r="R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8" t="n"/>
      <c r="N2093" s="7" t="inlineStr">
        <is>
          <t>SEM COTAÇÃO</t>
        </is>
      </c>
      <c r="O2093" s="8" t="n"/>
      <c r="P2093" s="14" t="n"/>
      <c r="Q2093" s="7" t="inlineStr"/>
      <c r="R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8" t="n"/>
      <c r="N2094" s="7" t="inlineStr">
        <is>
          <t>SEM COTAÇÃO</t>
        </is>
      </c>
      <c r="O2094" s="8" t="n"/>
      <c r="P2094" s="14" t="n"/>
      <c r="Q2094" s="7" t="inlineStr"/>
      <c r="R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8" t="n"/>
      <c r="N2095" s="7" t="inlineStr">
        <is>
          <t>SEM COTAÇÃO</t>
        </is>
      </c>
      <c r="O2095" s="8" t="n"/>
      <c r="P2095" s="14" t="n"/>
      <c r="Q2095" s="7" t="inlineStr"/>
      <c r="R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8" t="n"/>
      <c r="N2096" s="7" t="inlineStr">
        <is>
          <t>SEM COTAÇÃO</t>
        </is>
      </c>
      <c r="O2096" s="8" t="n"/>
      <c r="P2096" s="14" t="n"/>
      <c r="Q2096" s="7" t="inlineStr"/>
      <c r="R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8" t="n"/>
      <c r="N2097" s="7" t="inlineStr">
        <is>
          <t>SEM COTAÇÃO</t>
        </is>
      </c>
      <c r="O2097" s="8" t="n"/>
      <c r="P2097" s="14" t="n"/>
      <c r="Q2097" s="7" t="inlineStr"/>
      <c r="R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8" t="n"/>
      <c r="N2098" s="7" t="inlineStr">
        <is>
          <t>SEM COTAÇÃO</t>
        </is>
      </c>
      <c r="O2098" s="8" t="n"/>
      <c r="P2098" s="14" t="n"/>
      <c r="Q2098" s="7" t="inlineStr"/>
      <c r="R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8" t="n"/>
      <c r="N2099" s="7" t="inlineStr">
        <is>
          <t>SEM COTAÇÃO</t>
        </is>
      </c>
      <c r="O2099" s="8" t="n"/>
      <c r="P2099" s="14" t="n"/>
      <c r="Q2099" s="7" t="inlineStr"/>
      <c r="R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8" t="n"/>
      <c r="N2100" s="7" t="inlineStr">
        <is>
          <t>SEM COTAÇÃO</t>
        </is>
      </c>
      <c r="O2100" s="8" t="n"/>
      <c r="P2100" s="14" t="n"/>
      <c r="Q2100" s="7" t="inlineStr"/>
      <c r="R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8" t="n"/>
      <c r="N2101" s="7" t="inlineStr">
        <is>
          <t>SEM COTAÇÃO</t>
        </is>
      </c>
      <c r="O2101" s="8" t="n"/>
      <c r="P2101" s="14" t="n"/>
      <c r="Q2101" s="7" t="inlineStr"/>
      <c r="R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8" t="n"/>
      <c r="N2102" s="7" t="inlineStr">
        <is>
          <t>SEM COTAÇÃO</t>
        </is>
      </c>
      <c r="O2102" s="8" t="n"/>
      <c r="P2102" s="14" t="n"/>
      <c r="Q2102" s="7" t="inlineStr"/>
      <c r="R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8" t="n"/>
      <c r="N2103" s="7" t="inlineStr">
        <is>
          <t>SEM COTAÇÃO</t>
        </is>
      </c>
      <c r="O2103" s="8" t="n"/>
      <c r="P2103" s="14" t="n"/>
      <c r="Q2103" s="7" t="inlineStr"/>
      <c r="R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8" t="n"/>
      <c r="N2104" s="7" t="inlineStr">
        <is>
          <t>SEM COTAÇÃO</t>
        </is>
      </c>
      <c r="O2104" s="8" t="n"/>
      <c r="P2104" s="14" t="n"/>
      <c r="Q2104" s="7" t="inlineStr"/>
      <c r="R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8" t="n"/>
      <c r="N2105" s="7" t="inlineStr">
        <is>
          <t>SEM COTAÇÃO</t>
        </is>
      </c>
      <c r="O2105" s="8" t="n"/>
      <c r="P2105" s="14" t="n"/>
      <c r="Q2105" s="7" t="inlineStr"/>
      <c r="R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8" t="n"/>
      <c r="N2106" s="7" t="inlineStr">
        <is>
          <t>SEM COTAÇÃO</t>
        </is>
      </c>
      <c r="O2106" s="8" t="n"/>
      <c r="P2106" s="14" t="n"/>
      <c r="Q2106" s="7" t="inlineStr"/>
      <c r="R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8" t="n"/>
      <c r="N2107" s="7" t="inlineStr">
        <is>
          <t>SEM COTAÇÃO</t>
        </is>
      </c>
      <c r="O2107" s="8" t="n"/>
      <c r="P2107" s="14" t="n"/>
      <c r="Q2107" s="7" t="inlineStr"/>
      <c r="R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8" t="n"/>
      <c r="N2108" s="7" t="inlineStr">
        <is>
          <t>SEM COTAÇÃO</t>
        </is>
      </c>
      <c r="O2108" s="8" t="n"/>
      <c r="P2108" s="14" t="n"/>
      <c r="Q2108" s="7" t="inlineStr"/>
      <c r="R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8" t="n"/>
      <c r="N2109" s="7" t="inlineStr">
        <is>
          <t>SEM COTAÇÃO</t>
        </is>
      </c>
      <c r="O2109" s="8" t="n"/>
      <c r="P2109" s="14" t="n"/>
      <c r="Q2109" s="7" t="inlineStr"/>
      <c r="R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8" t="n"/>
      <c r="N2110" s="7" t="inlineStr">
        <is>
          <t>SEM COTAÇÃO</t>
        </is>
      </c>
      <c r="O2110" s="8" t="n"/>
      <c r="P2110" s="14" t="n"/>
      <c r="Q2110" s="7" t="inlineStr"/>
      <c r="R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8" t="n"/>
      <c r="N2111" s="7" t="inlineStr">
        <is>
          <t>SEM COTAÇÃO</t>
        </is>
      </c>
      <c r="O2111" s="8" t="n"/>
      <c r="P2111" s="14" t="n"/>
      <c r="Q2111" s="7" t="inlineStr"/>
      <c r="R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8" t="n"/>
      <c r="N2112" s="7" t="inlineStr">
        <is>
          <t>SEM COTAÇÃO</t>
        </is>
      </c>
      <c r="O2112" s="8" t="n"/>
      <c r="P2112" s="14" t="n"/>
      <c r="Q2112" s="7" t="inlineStr"/>
      <c r="R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8" t="n"/>
      <c r="N2113" s="7" t="inlineStr">
        <is>
          <t>SEM COTAÇÃO</t>
        </is>
      </c>
      <c r="O2113" s="8" t="n"/>
      <c r="P2113" s="14" t="n"/>
      <c r="Q2113" s="7" t="inlineStr"/>
      <c r="R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8" t="n"/>
      <c r="N2114" s="7" t="inlineStr">
        <is>
          <t>SEM COTAÇÃO</t>
        </is>
      </c>
      <c r="O2114" s="8" t="n"/>
      <c r="P2114" s="14" t="n"/>
      <c r="Q2114" s="7" t="inlineStr"/>
      <c r="R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8" t="n"/>
      <c r="N2115" s="7" t="inlineStr">
        <is>
          <t>SEM COTAÇÃO</t>
        </is>
      </c>
      <c r="O2115" s="8" t="n"/>
      <c r="P2115" s="14" t="n"/>
      <c r="Q2115" s="7" t="inlineStr"/>
      <c r="R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8" t="n"/>
      <c r="N2116" s="7" t="inlineStr">
        <is>
          <t>SEM COTAÇÃO</t>
        </is>
      </c>
      <c r="O2116" s="8" t="n"/>
      <c r="P2116" s="14" t="n"/>
      <c r="Q2116" s="7" t="inlineStr"/>
      <c r="R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8" t="n"/>
      <c r="N2117" s="7" t="inlineStr">
        <is>
          <t>SEM COTAÇÃO</t>
        </is>
      </c>
      <c r="O2117" s="8" t="n"/>
      <c r="P2117" s="14" t="n"/>
      <c r="Q2117" s="7" t="inlineStr"/>
      <c r="R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8" t="n"/>
      <c r="N2118" s="7" t="inlineStr">
        <is>
          <t>SEM COTAÇÃO</t>
        </is>
      </c>
      <c r="O2118" s="8" t="n"/>
      <c r="P2118" s="14" t="n"/>
      <c r="Q2118" s="7" t="inlineStr"/>
      <c r="R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8" t="n"/>
      <c r="N2119" s="7" t="inlineStr">
        <is>
          <t>SEM COTAÇÃO</t>
        </is>
      </c>
      <c r="O2119" s="8" t="n"/>
      <c r="P2119" s="14" t="n"/>
      <c r="Q2119" s="7" t="inlineStr"/>
      <c r="R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8" t="n"/>
      <c r="N2120" s="7" t="inlineStr">
        <is>
          <t>SEM COTAÇÃO</t>
        </is>
      </c>
      <c r="O2120" s="8" t="n"/>
      <c r="P2120" s="14" t="n"/>
      <c r="Q2120" s="7" t="inlineStr"/>
      <c r="R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8" t="n"/>
      <c r="N2121" s="7" t="inlineStr">
        <is>
          <t>SEM COTAÇÃO</t>
        </is>
      </c>
      <c r="O2121" s="8" t="n"/>
      <c r="P2121" s="14" t="n"/>
      <c r="Q2121" s="7" t="inlineStr"/>
      <c r="R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8" t="n"/>
      <c r="N2122" s="7" t="inlineStr">
        <is>
          <t>SEM COTAÇÃO</t>
        </is>
      </c>
      <c r="O2122" s="8" t="n"/>
      <c r="P2122" s="14" t="n"/>
      <c r="Q2122" s="7" t="inlineStr"/>
      <c r="R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8" t="n"/>
      <c r="N2123" s="7" t="inlineStr">
        <is>
          <t>SEM COTAÇÃO</t>
        </is>
      </c>
      <c r="O2123" s="8" t="n"/>
      <c r="P2123" s="14" t="n"/>
      <c r="Q2123" s="7" t="inlineStr"/>
      <c r="R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8" t="n"/>
      <c r="N2124" s="7" t="inlineStr">
        <is>
          <t>SEM COTAÇÃO</t>
        </is>
      </c>
      <c r="O2124" s="8" t="n"/>
      <c r="P2124" s="14" t="n"/>
      <c r="Q2124" s="7" t="inlineStr"/>
      <c r="R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8" t="n"/>
      <c r="N2125" s="7" t="inlineStr">
        <is>
          <t>SEM COTAÇÃO</t>
        </is>
      </c>
      <c r="O2125" s="8" t="n"/>
      <c r="P2125" s="14" t="n"/>
      <c r="Q2125" s="7" t="inlineStr"/>
      <c r="R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8" t="n"/>
      <c r="N2126" s="7" t="inlineStr">
        <is>
          <t>SEM COTAÇÃO</t>
        </is>
      </c>
      <c r="O2126" s="8" t="n"/>
      <c r="P2126" s="14" t="n"/>
      <c r="Q2126" s="7" t="inlineStr"/>
      <c r="R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8" t="n"/>
      <c r="N2127" s="7" t="inlineStr">
        <is>
          <t>SEM COTAÇÃO</t>
        </is>
      </c>
      <c r="O2127" s="8" t="n"/>
      <c r="P2127" s="14" t="n"/>
      <c r="Q2127" s="7" t="inlineStr"/>
      <c r="R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8" t="n"/>
      <c r="N2128" s="7" t="inlineStr">
        <is>
          <t>SEM COTAÇÃO</t>
        </is>
      </c>
      <c r="O2128" s="8" t="n"/>
      <c r="P2128" s="14" t="n"/>
      <c r="Q2128" s="7" t="inlineStr"/>
      <c r="R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8" t="n"/>
      <c r="N2129" s="7" t="inlineStr">
        <is>
          <t>SEM COTAÇÃO</t>
        </is>
      </c>
      <c r="O2129" s="8" t="n"/>
      <c r="P2129" s="14" t="n"/>
      <c r="Q2129" s="7" t="inlineStr"/>
      <c r="R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8" t="n"/>
      <c r="N2130" s="7" t="inlineStr">
        <is>
          <t>SEM COTAÇÃO</t>
        </is>
      </c>
      <c r="O2130" s="8" t="n"/>
      <c r="P2130" s="14" t="n"/>
      <c r="Q2130" s="7" t="inlineStr"/>
      <c r="R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8" t="n"/>
      <c r="N2131" s="7" t="inlineStr">
        <is>
          <t>SEM COTAÇÃO</t>
        </is>
      </c>
      <c r="O2131" s="8" t="n"/>
      <c r="P2131" s="14" t="n"/>
      <c r="Q2131" s="7" t="inlineStr"/>
      <c r="R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8" t="n"/>
      <c r="N2132" s="7" t="inlineStr">
        <is>
          <t>SEM COTAÇÃO</t>
        </is>
      </c>
      <c r="O2132" s="8" t="n"/>
      <c r="P2132" s="14" t="n"/>
      <c r="Q2132" s="7" t="inlineStr"/>
      <c r="R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8" t="n"/>
      <c r="N2133" s="7" t="inlineStr">
        <is>
          <t>SEM COTAÇÃO</t>
        </is>
      </c>
      <c r="O2133" s="8" t="n"/>
      <c r="P2133" s="14" t="n"/>
      <c r="Q2133" s="7" t="inlineStr"/>
      <c r="R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8" t="n"/>
      <c r="N2134" s="7" t="inlineStr">
        <is>
          <t>SEM COTAÇÃO</t>
        </is>
      </c>
      <c r="O2134" s="8" t="n"/>
      <c r="P2134" s="14" t="n"/>
      <c r="Q2134" s="7" t="inlineStr"/>
      <c r="R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8" t="n"/>
      <c r="N2135" s="7" t="inlineStr">
        <is>
          <t>SEM COTAÇÃO</t>
        </is>
      </c>
      <c r="O2135" s="8" t="n"/>
      <c r="P2135" s="14" t="n"/>
      <c r="Q2135" s="7" t="inlineStr"/>
      <c r="R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8" t="n"/>
      <c r="N2136" s="7" t="inlineStr">
        <is>
          <t>SEM COTAÇÃO</t>
        </is>
      </c>
      <c r="O2136" s="8" t="n"/>
      <c r="P2136" s="14" t="n"/>
      <c r="Q2136" s="7" t="inlineStr"/>
      <c r="R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8" t="n"/>
      <c r="N2137" s="7" t="inlineStr">
        <is>
          <t>SEM COTAÇÃO</t>
        </is>
      </c>
      <c r="O2137" s="8" t="n"/>
      <c r="P2137" s="14" t="n"/>
      <c r="Q2137" s="7" t="inlineStr"/>
      <c r="R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8" t="n"/>
      <c r="N2138" s="7" t="inlineStr">
        <is>
          <t>SEM COTAÇÃO</t>
        </is>
      </c>
      <c r="O2138" s="8" t="n"/>
      <c r="P2138" s="14" t="n"/>
      <c r="Q2138" s="7" t="inlineStr"/>
      <c r="R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7" t="inlineStr">
        <is>
          <t>SEM COTAÇÃO</t>
        </is>
      </c>
      <c r="O2139" s="8" t="n"/>
      <c r="P2139" s="14" t="n"/>
      <c r="Q2139" s="7" t="inlineStr"/>
      <c r="R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8" t="n"/>
      <c r="N2140" s="7" t="inlineStr">
        <is>
          <t>SEM COTAÇÃO</t>
        </is>
      </c>
      <c r="O2140" s="8" t="n"/>
      <c r="P2140" s="14" t="n"/>
      <c r="Q2140" s="7" t="inlineStr"/>
      <c r="R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8" t="n"/>
      <c r="N2141" s="7" t="inlineStr">
        <is>
          <t>SEM COTAÇÃO</t>
        </is>
      </c>
      <c r="O2141" s="8" t="n"/>
      <c r="P2141" s="14" t="n"/>
      <c r="Q2141" s="7" t="inlineStr"/>
      <c r="R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8" t="n"/>
      <c r="N2142" s="7" t="inlineStr">
        <is>
          <t>SEM COTAÇÃO</t>
        </is>
      </c>
      <c r="O2142" s="8" t="n"/>
      <c r="P2142" s="14" t="n"/>
      <c r="Q2142" s="7" t="inlineStr"/>
      <c r="R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8" t="n"/>
      <c r="N2143" s="7" t="inlineStr">
        <is>
          <t>SEM COTAÇÃO</t>
        </is>
      </c>
      <c r="O2143" s="8" t="n"/>
      <c r="P2143" s="14" t="n"/>
      <c r="Q2143" s="7" t="inlineStr"/>
      <c r="R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8" t="n"/>
      <c r="N2144" s="7" t="inlineStr">
        <is>
          <t>SEM COTAÇÃO</t>
        </is>
      </c>
      <c r="O2144" s="8" t="n"/>
      <c r="P2144" s="14" t="n"/>
      <c r="Q2144" s="7" t="inlineStr"/>
      <c r="R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8" t="n"/>
      <c r="N2145" s="7" t="inlineStr">
        <is>
          <t>SEM COTAÇÃO</t>
        </is>
      </c>
      <c r="O2145" s="8" t="n"/>
      <c r="P2145" s="14" t="n"/>
      <c r="Q2145" s="7" t="inlineStr"/>
      <c r="R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8" t="n"/>
      <c r="N2146" s="7" t="inlineStr">
        <is>
          <t>SEM COTAÇÃO</t>
        </is>
      </c>
      <c r="O2146" s="8" t="n"/>
      <c r="P2146" s="14" t="n"/>
      <c r="Q2146" s="7" t="inlineStr"/>
      <c r="R2146" s="7" t="inlineStr"/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8" t="n"/>
      <c r="N2147" s="7" t="inlineStr">
        <is>
          <t>SEM COTAÇÃO</t>
        </is>
      </c>
      <c r="O2147" s="8" t="n"/>
      <c r="P2147" s="14" t="n"/>
      <c r="Q2147" s="7" t="inlineStr"/>
      <c r="R2147" s="7" t="inlineStr"/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8" t="n"/>
      <c r="N2148" s="7" t="inlineStr">
        <is>
          <t>SEM COTAÇÃO</t>
        </is>
      </c>
      <c r="O2148" s="8" t="n"/>
      <c r="P2148" s="14" t="n"/>
      <c r="Q2148" s="7" t="inlineStr"/>
      <c r="R2148" s="7" t="inlineStr"/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8" t="n"/>
      <c r="N2149" s="7" t="inlineStr">
        <is>
          <t>SEM COTAÇÃO</t>
        </is>
      </c>
      <c r="O2149" s="8" t="n"/>
      <c r="P2149" s="14" t="n"/>
      <c r="Q2149" s="7" t="inlineStr"/>
      <c r="R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8" t="n"/>
      <c r="N2150" s="7" t="inlineStr">
        <is>
          <t>SEM COTAÇÃO</t>
        </is>
      </c>
      <c r="O2150" s="8" t="n"/>
      <c r="P2150" s="14" t="n"/>
      <c r="Q2150" s="7" t="inlineStr"/>
      <c r="R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8" t="n"/>
      <c r="N2151" s="7" t="inlineStr">
        <is>
          <t>SEM COTAÇÃO</t>
        </is>
      </c>
      <c r="O2151" s="8" t="n"/>
      <c r="P2151" s="14" t="n"/>
      <c r="Q2151" s="7" t="inlineStr"/>
      <c r="R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8" t="n"/>
      <c r="N2152" s="7" t="inlineStr">
        <is>
          <t>SEM COTAÇÃO</t>
        </is>
      </c>
      <c r="O2152" s="8" t="n"/>
      <c r="P2152" s="14" t="n"/>
      <c r="Q2152" s="7" t="inlineStr"/>
      <c r="R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8" t="n"/>
      <c r="N2153" s="7" t="inlineStr">
        <is>
          <t>SEM COTAÇÃO</t>
        </is>
      </c>
      <c r="O2153" s="8" t="n"/>
      <c r="P2153" s="14" t="n"/>
      <c r="Q2153" s="7" t="inlineStr"/>
      <c r="R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8" t="n"/>
      <c r="N2154" s="7" t="inlineStr">
        <is>
          <t>SEM COTAÇÃO</t>
        </is>
      </c>
      <c r="O2154" s="8" t="n"/>
      <c r="P2154" s="14" t="n"/>
      <c r="Q2154" s="7" t="inlineStr"/>
      <c r="R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8" t="n"/>
      <c r="N2155" s="7" t="inlineStr">
        <is>
          <t>SEM COTAÇÃO</t>
        </is>
      </c>
      <c r="O2155" s="8" t="n"/>
      <c r="P2155" s="14" t="n"/>
      <c r="Q2155" s="7" t="inlineStr"/>
      <c r="R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8" t="n"/>
      <c r="N2156" s="7" t="inlineStr">
        <is>
          <t>SEM COTAÇÃO</t>
        </is>
      </c>
      <c r="O2156" s="8" t="n"/>
      <c r="P2156" s="14" t="n"/>
      <c r="Q2156" s="7" t="inlineStr"/>
      <c r="R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8" t="n"/>
      <c r="N2157" s="7" t="inlineStr">
        <is>
          <t>SEM COTAÇÃO</t>
        </is>
      </c>
      <c r="O2157" s="8" t="n"/>
      <c r="P2157" s="14" t="n"/>
      <c r="Q2157" s="7" t="inlineStr"/>
      <c r="R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8" t="n"/>
      <c r="N2158" s="7" t="inlineStr">
        <is>
          <t>SEM COTAÇÃO</t>
        </is>
      </c>
      <c r="O2158" s="8" t="n"/>
      <c r="P2158" s="14" t="n"/>
      <c r="Q2158" s="7" t="inlineStr"/>
      <c r="R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8" t="n"/>
      <c r="N2159" s="7" t="inlineStr">
        <is>
          <t>SEM COTAÇÃO</t>
        </is>
      </c>
      <c r="O2159" s="8" t="n"/>
      <c r="P2159" s="14" t="n"/>
      <c r="Q2159" s="7" t="inlineStr"/>
      <c r="R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8" t="n"/>
      <c r="N2160" s="7" t="inlineStr">
        <is>
          <t>SEM COTAÇÃO</t>
        </is>
      </c>
      <c r="O2160" s="8" t="n"/>
      <c r="P2160" s="14" t="n"/>
      <c r="Q2160" s="7" t="inlineStr"/>
      <c r="R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8" t="n"/>
      <c r="N2161" s="7" t="inlineStr">
        <is>
          <t>SEM COTAÇÃO</t>
        </is>
      </c>
      <c r="O2161" s="8" t="n"/>
      <c r="P2161" s="14" t="n"/>
      <c r="Q2161" s="7" t="inlineStr"/>
      <c r="R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8" t="n"/>
      <c r="N2162" s="7" t="inlineStr">
        <is>
          <t>SEM COTAÇÃO</t>
        </is>
      </c>
      <c r="O2162" s="8" t="n"/>
      <c r="P2162" s="14" t="n"/>
      <c r="Q2162" s="7" t="inlineStr"/>
      <c r="R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8" t="n"/>
      <c r="N2163" s="7" t="inlineStr">
        <is>
          <t>SEM COTAÇÃO</t>
        </is>
      </c>
      <c r="O2163" s="8" t="n"/>
      <c r="P2163" s="14" t="n"/>
      <c r="Q2163" s="7" t="inlineStr"/>
      <c r="R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8" t="n"/>
      <c r="N2164" s="7" t="inlineStr">
        <is>
          <t>SEM COTAÇÃO</t>
        </is>
      </c>
      <c r="O2164" s="8" t="n"/>
      <c r="P2164" s="14" t="n"/>
      <c r="Q2164" s="7" t="inlineStr"/>
      <c r="R2164" s="7" t="inlineStr"/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8" t="n"/>
      <c r="N2165" s="7" t="inlineStr">
        <is>
          <t>SEM COTAÇÃO</t>
        </is>
      </c>
      <c r="O2165" s="8" t="n"/>
      <c r="P2165" s="14" t="n"/>
      <c r="Q2165" s="7" t="inlineStr"/>
      <c r="R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8" t="n"/>
      <c r="N2166" s="7" t="inlineStr">
        <is>
          <t>SEM COTAÇÃO</t>
        </is>
      </c>
      <c r="O2166" s="8" t="n"/>
      <c r="P2166" s="14" t="n"/>
      <c r="Q2166" s="7" t="inlineStr"/>
      <c r="R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8" t="n"/>
      <c r="N2167" s="7" t="inlineStr">
        <is>
          <t>SEM COTAÇÃO</t>
        </is>
      </c>
      <c r="O2167" s="8" t="n"/>
      <c r="P2167" s="14" t="n"/>
      <c r="Q2167" s="7" t="inlineStr"/>
      <c r="R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8" t="n"/>
      <c r="N2168" s="7" t="inlineStr">
        <is>
          <t>SEM COTAÇÃO</t>
        </is>
      </c>
      <c r="O2168" s="8" t="n"/>
      <c r="P2168" s="14" t="n"/>
      <c r="Q2168" s="7" t="inlineStr"/>
      <c r="R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8" t="n"/>
      <c r="N2169" s="7" t="inlineStr">
        <is>
          <t>SEM COTAÇÃO</t>
        </is>
      </c>
      <c r="O2169" s="8" t="n"/>
      <c r="P2169" s="14" t="n"/>
      <c r="Q2169" s="7" t="inlineStr"/>
      <c r="R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8" t="n"/>
      <c r="N2170" s="7" t="inlineStr">
        <is>
          <t>SEM COTAÇÃO</t>
        </is>
      </c>
      <c r="O2170" s="8" t="n"/>
      <c r="P2170" s="14" t="n"/>
      <c r="Q2170" s="7" t="inlineStr"/>
      <c r="R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8" t="n"/>
      <c r="N2171" s="7" t="inlineStr">
        <is>
          <t>SEM COTAÇÃO</t>
        </is>
      </c>
      <c r="O2171" s="8" t="n"/>
      <c r="P2171" s="14" t="n"/>
      <c r="Q2171" s="7" t="inlineStr"/>
      <c r="R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8" t="n"/>
      <c r="N2172" s="7" t="inlineStr">
        <is>
          <t>SEM COTAÇÃO</t>
        </is>
      </c>
      <c r="O2172" s="8" t="n"/>
      <c r="P2172" s="14" t="n"/>
      <c r="Q2172" s="7" t="inlineStr"/>
      <c r="R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8" t="n"/>
      <c r="N2173" s="7" t="inlineStr">
        <is>
          <t>SEM COTAÇÃO</t>
        </is>
      </c>
      <c r="O2173" s="8" t="n"/>
      <c r="P2173" s="14" t="n"/>
      <c r="Q2173" s="7" t="inlineStr"/>
      <c r="R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8" t="n"/>
      <c r="N2174" s="7" t="inlineStr">
        <is>
          <t>SEM COTAÇÃO</t>
        </is>
      </c>
      <c r="O2174" s="8" t="n"/>
      <c r="P2174" s="14" t="n"/>
      <c r="Q2174" s="7" t="inlineStr"/>
      <c r="R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8" t="n"/>
      <c r="N2175" s="7" t="inlineStr">
        <is>
          <t>SEM COTAÇÃO</t>
        </is>
      </c>
      <c r="O2175" s="8" t="n"/>
      <c r="P2175" s="14" t="n"/>
      <c r="Q2175" s="7" t="inlineStr"/>
      <c r="R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8" t="n"/>
      <c r="N2176" s="7" t="inlineStr">
        <is>
          <t>SEM COTAÇÃO</t>
        </is>
      </c>
      <c r="O2176" s="8" t="n"/>
      <c r="P2176" s="14" t="n"/>
      <c r="Q2176" s="7" t="inlineStr"/>
      <c r="R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8" t="n"/>
      <c r="N2177" s="7" t="inlineStr">
        <is>
          <t>SEM COTAÇÃO</t>
        </is>
      </c>
      <c r="O2177" s="8" t="n"/>
      <c r="P2177" s="14" t="n"/>
      <c r="Q2177" s="7" t="inlineStr"/>
      <c r="R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8" t="n"/>
      <c r="N2178" s="7" t="inlineStr">
        <is>
          <t>SEM COTAÇÃO</t>
        </is>
      </c>
      <c r="O2178" s="8" t="n"/>
      <c r="P2178" s="14" t="n"/>
      <c r="Q2178" s="7" t="inlineStr"/>
      <c r="R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8" t="n"/>
      <c r="N2179" s="7" t="inlineStr">
        <is>
          <t>SEM COTAÇÃO</t>
        </is>
      </c>
      <c r="O2179" s="8" t="n"/>
      <c r="P2179" s="14" t="n"/>
      <c r="Q2179" s="7" t="inlineStr"/>
      <c r="R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8" t="n"/>
      <c r="N2180" s="7" t="inlineStr">
        <is>
          <t>SEM COTAÇÃO</t>
        </is>
      </c>
      <c r="O2180" s="8" t="n"/>
      <c r="P2180" s="14" t="n"/>
      <c r="Q2180" s="7" t="inlineStr"/>
      <c r="R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8" t="n"/>
      <c r="N2181" s="7" t="inlineStr">
        <is>
          <t>SEM COTAÇÃO</t>
        </is>
      </c>
      <c r="O2181" s="8" t="n"/>
      <c r="P2181" s="14" t="n"/>
      <c r="Q2181" s="7" t="inlineStr"/>
      <c r="R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8" t="n"/>
      <c r="N2182" s="7" t="inlineStr">
        <is>
          <t>SEM COTAÇÃO</t>
        </is>
      </c>
      <c r="O2182" s="8" t="n"/>
      <c r="P2182" s="14" t="n"/>
      <c r="Q2182" s="7" t="inlineStr"/>
      <c r="R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8" t="n"/>
      <c r="N2183" s="7" t="inlineStr">
        <is>
          <t>SEM COTAÇÃO</t>
        </is>
      </c>
      <c r="O2183" s="8" t="n"/>
      <c r="P2183" s="14" t="n"/>
      <c r="Q2183" s="7" t="inlineStr"/>
      <c r="R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8" t="n"/>
      <c r="N2184" s="7" t="inlineStr">
        <is>
          <t>SEM COTAÇÃO</t>
        </is>
      </c>
      <c r="O2184" s="8" t="n"/>
      <c r="P2184" s="14" t="n"/>
      <c r="Q2184" s="7" t="inlineStr"/>
      <c r="R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8" t="n"/>
      <c r="N2185" s="7" t="inlineStr">
        <is>
          <t>SEM COTAÇÃO</t>
        </is>
      </c>
      <c r="O2185" s="8" t="n"/>
      <c r="P2185" s="14" t="n"/>
      <c r="Q2185" s="7" t="inlineStr"/>
      <c r="R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8" t="n"/>
      <c r="N2186" s="7" t="inlineStr">
        <is>
          <t>SEM COTAÇÃO</t>
        </is>
      </c>
      <c r="O2186" s="8" t="n"/>
      <c r="P2186" s="14" t="n"/>
      <c r="Q2186" s="7" t="inlineStr"/>
      <c r="R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8" t="n"/>
      <c r="N2187" s="7" t="inlineStr">
        <is>
          <t>SEM COTAÇÃO</t>
        </is>
      </c>
      <c r="O2187" s="8" t="n"/>
      <c r="P2187" s="14" t="n"/>
      <c r="Q2187" s="7" t="inlineStr"/>
      <c r="R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8" t="n"/>
      <c r="N2188" s="7" t="inlineStr">
        <is>
          <t>SEM COTAÇÃO</t>
        </is>
      </c>
      <c r="O2188" s="8" t="n"/>
      <c r="P2188" s="14" t="n"/>
      <c r="Q2188" s="7" t="inlineStr"/>
      <c r="R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8" t="n"/>
      <c r="N2189" s="7" t="inlineStr">
        <is>
          <t>SEM COTAÇÃO</t>
        </is>
      </c>
      <c r="O2189" s="8" t="n"/>
      <c r="P2189" s="14" t="n"/>
      <c r="Q2189" s="7" t="inlineStr"/>
      <c r="R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8" t="n"/>
      <c r="N2190" s="7" t="inlineStr">
        <is>
          <t>SEM COTAÇÃO</t>
        </is>
      </c>
      <c r="O2190" s="8" t="n"/>
      <c r="P2190" s="14" t="n"/>
      <c r="Q2190" s="7" t="inlineStr"/>
      <c r="R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8" t="n"/>
      <c r="N2191" s="7" t="inlineStr">
        <is>
          <t>SEM COTAÇÃO</t>
        </is>
      </c>
      <c r="O2191" s="8" t="n"/>
      <c r="P2191" s="14" t="n"/>
      <c r="Q2191" s="7" t="inlineStr"/>
      <c r="R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8" t="n"/>
      <c r="N2192" s="7" t="inlineStr">
        <is>
          <t>SEM COTAÇÃO</t>
        </is>
      </c>
      <c r="O2192" s="8" t="n"/>
      <c r="P2192" s="14" t="n"/>
      <c r="Q2192" s="7" t="inlineStr"/>
      <c r="R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8" t="n"/>
      <c r="N2193" s="7" t="inlineStr">
        <is>
          <t>SEM COTAÇÃO</t>
        </is>
      </c>
      <c r="O2193" s="8" t="n"/>
      <c r="P2193" s="14" t="n"/>
      <c r="Q2193" s="7" t="inlineStr"/>
      <c r="R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8" t="n"/>
      <c r="N2194" s="7" t="inlineStr">
        <is>
          <t>SEM COTAÇÃO</t>
        </is>
      </c>
      <c r="O2194" s="8" t="n"/>
      <c r="P2194" s="14" t="n"/>
      <c r="Q2194" s="7" t="inlineStr"/>
      <c r="R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8" t="n"/>
      <c r="N2195" s="7" t="inlineStr">
        <is>
          <t>SEM COTAÇÃO</t>
        </is>
      </c>
      <c r="O2195" s="8" t="n"/>
      <c r="P2195" s="14" t="n"/>
      <c r="Q2195" s="7" t="inlineStr"/>
      <c r="R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8" t="n"/>
      <c r="N2196" s="7" t="inlineStr">
        <is>
          <t>SEM COTAÇÃO</t>
        </is>
      </c>
      <c r="O2196" s="8" t="n"/>
      <c r="P2196" s="14" t="n"/>
      <c r="Q2196" s="7" t="inlineStr"/>
      <c r="R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8" t="n"/>
      <c r="N2197" s="7" t="inlineStr">
        <is>
          <t>SEM COTAÇÃO</t>
        </is>
      </c>
      <c r="O2197" s="8" t="n"/>
      <c r="P2197" s="14" t="n"/>
      <c r="Q2197" s="7" t="inlineStr"/>
      <c r="R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8" t="n"/>
      <c r="N2198" s="7" t="inlineStr">
        <is>
          <t>SEM COTAÇÃO</t>
        </is>
      </c>
      <c r="O2198" s="8" t="n"/>
      <c r="P2198" s="14" t="n"/>
      <c r="Q2198" s="7" t="inlineStr"/>
      <c r="R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8" t="n"/>
      <c r="N2199" s="7" t="inlineStr">
        <is>
          <t>SEM COTAÇÃO</t>
        </is>
      </c>
      <c r="O2199" s="8" t="n"/>
      <c r="P2199" s="14" t="n"/>
      <c r="Q2199" s="7" t="inlineStr"/>
      <c r="R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8" t="n"/>
      <c r="N2200" s="7" t="inlineStr">
        <is>
          <t>SEM COTAÇÃO</t>
        </is>
      </c>
      <c r="O2200" s="8" t="n"/>
      <c r="P2200" s="14" t="n"/>
      <c r="Q2200" s="7" t="inlineStr"/>
      <c r="R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8" t="n"/>
      <c r="N2201" s="7" t="inlineStr">
        <is>
          <t>SEM COTAÇÃO</t>
        </is>
      </c>
      <c r="O2201" s="8" t="n"/>
      <c r="P2201" s="14" t="n"/>
      <c r="Q2201" s="7" t="inlineStr"/>
      <c r="R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8" t="n"/>
      <c r="N2202" s="7" t="inlineStr">
        <is>
          <t>SEM COTAÇÃO</t>
        </is>
      </c>
      <c r="O2202" s="8" t="n"/>
      <c r="P2202" s="14" t="n"/>
      <c r="Q2202" s="7" t="inlineStr"/>
      <c r="R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8" t="n"/>
      <c r="N2203" s="7" t="inlineStr">
        <is>
          <t>SEM COTAÇÃO</t>
        </is>
      </c>
      <c r="O2203" s="8" t="n"/>
      <c r="P2203" s="14" t="n"/>
      <c r="Q2203" s="7" t="inlineStr"/>
      <c r="R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8" t="n"/>
      <c r="N2204" s="7" t="inlineStr">
        <is>
          <t>SEM COTAÇÃO</t>
        </is>
      </c>
      <c r="O2204" s="8" t="n"/>
      <c r="P2204" s="14" t="n"/>
      <c r="Q2204" s="7" t="inlineStr"/>
      <c r="R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8" t="n"/>
      <c r="N2205" s="7" t="inlineStr">
        <is>
          <t>SEM COTAÇÃO</t>
        </is>
      </c>
      <c r="O2205" s="8" t="n"/>
      <c r="P2205" s="14" t="n"/>
      <c r="Q2205" s="7" t="inlineStr"/>
      <c r="R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8" t="n"/>
      <c r="N2206" s="7" t="inlineStr">
        <is>
          <t>SEM COTAÇÃO</t>
        </is>
      </c>
      <c r="O2206" s="8" t="n"/>
      <c r="P2206" s="14" t="n"/>
      <c r="Q2206" s="7" t="inlineStr"/>
      <c r="R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8" t="n"/>
      <c r="N2207" s="7" t="inlineStr">
        <is>
          <t>SEM COTAÇÃO</t>
        </is>
      </c>
      <c r="O2207" s="8" t="n"/>
      <c r="P2207" s="14" t="n"/>
      <c r="Q2207" s="7" t="inlineStr"/>
      <c r="R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8" t="n"/>
      <c r="N2208" s="7" t="inlineStr">
        <is>
          <t>SEM COTAÇÃO</t>
        </is>
      </c>
      <c r="O2208" s="8" t="n"/>
      <c r="P2208" s="14" t="n"/>
      <c r="Q2208" s="7" t="inlineStr"/>
      <c r="R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8" t="n"/>
      <c r="N2209" s="7" t="inlineStr">
        <is>
          <t>SEM COTAÇÃO</t>
        </is>
      </c>
      <c r="O2209" s="8" t="n"/>
      <c r="P2209" s="14" t="n"/>
      <c r="Q2209" s="7" t="inlineStr"/>
      <c r="R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8" t="n"/>
      <c r="N2210" s="7" t="inlineStr">
        <is>
          <t>SEM COTAÇÃO</t>
        </is>
      </c>
      <c r="O2210" s="8" t="n"/>
      <c r="P2210" s="14" t="n"/>
      <c r="Q2210" s="7" t="inlineStr"/>
      <c r="R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8" t="n"/>
      <c r="N2211" s="7" t="inlineStr">
        <is>
          <t>SEM COTAÇÃO</t>
        </is>
      </c>
      <c r="O2211" s="8" t="n"/>
      <c r="P2211" s="14" t="n"/>
      <c r="Q2211" s="7" t="inlineStr"/>
      <c r="R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8" t="n"/>
      <c r="N2212" s="7" t="inlineStr">
        <is>
          <t>SEM COTAÇÃO</t>
        </is>
      </c>
      <c r="O2212" s="8" t="n"/>
      <c r="P2212" s="14" t="n"/>
      <c r="Q2212" s="7" t="inlineStr"/>
      <c r="R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8" t="n"/>
      <c r="N2213" s="7" t="inlineStr">
        <is>
          <t>SEM COTAÇÃO</t>
        </is>
      </c>
      <c r="O2213" s="8" t="n"/>
      <c r="P2213" s="14" t="n"/>
      <c r="Q2213" s="7" t="inlineStr"/>
      <c r="R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8" t="n"/>
      <c r="N2214" s="7" t="inlineStr">
        <is>
          <t>SEM COTAÇÃO</t>
        </is>
      </c>
      <c r="O2214" s="8" t="n"/>
      <c r="P2214" s="14" t="n"/>
      <c r="Q2214" s="7" t="inlineStr"/>
      <c r="R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8" t="n"/>
      <c r="N2215" s="7" t="inlineStr">
        <is>
          <t>SEM COTAÇÃO</t>
        </is>
      </c>
      <c r="O2215" s="8" t="n"/>
      <c r="P2215" s="14" t="n"/>
      <c r="Q2215" s="7" t="inlineStr"/>
      <c r="R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8" t="n"/>
      <c r="N2216" s="7" t="inlineStr">
        <is>
          <t>SEM COTAÇÃO</t>
        </is>
      </c>
      <c r="O2216" s="8" t="n"/>
      <c r="P2216" s="14" t="n"/>
      <c r="Q2216" s="7" t="inlineStr"/>
      <c r="R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8" t="n"/>
      <c r="N2217" s="7" t="inlineStr">
        <is>
          <t>SEM COTAÇÃO</t>
        </is>
      </c>
      <c r="O2217" s="8" t="n"/>
      <c r="P2217" s="14" t="n"/>
      <c r="Q2217" s="7" t="inlineStr"/>
      <c r="R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8" t="n"/>
      <c r="N2218" s="7" t="inlineStr">
        <is>
          <t>SEM COTAÇÃO</t>
        </is>
      </c>
      <c r="O2218" s="8" t="n"/>
      <c r="P2218" s="14" t="n"/>
      <c r="Q2218" s="7" t="inlineStr"/>
      <c r="R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8" t="n"/>
      <c r="N2219" s="7" t="inlineStr">
        <is>
          <t>SEM COTAÇÃO</t>
        </is>
      </c>
      <c r="O2219" s="8" t="n"/>
      <c r="P2219" s="14" t="n"/>
      <c r="Q2219" s="7" t="inlineStr"/>
      <c r="R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8" t="n"/>
      <c r="N2220" s="7" t="inlineStr">
        <is>
          <t>SEM COTAÇÃO</t>
        </is>
      </c>
      <c r="O2220" s="8" t="n"/>
      <c r="P2220" s="14" t="n"/>
      <c r="Q2220" s="7" t="inlineStr"/>
      <c r="R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8" t="n"/>
      <c r="N2221" s="7" t="inlineStr">
        <is>
          <t>SEM COTAÇÃO</t>
        </is>
      </c>
      <c r="O2221" s="8" t="n"/>
      <c r="P2221" s="14" t="n"/>
      <c r="Q2221" s="7" t="inlineStr"/>
      <c r="R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8" t="n"/>
      <c r="N2222" s="7" t="inlineStr">
        <is>
          <t>SEM COTAÇÃO</t>
        </is>
      </c>
      <c r="O2222" s="8" t="n"/>
      <c r="P2222" s="14" t="n"/>
      <c r="Q2222" s="7" t="inlineStr"/>
      <c r="R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15" t="n">
        <v>8.529999999999999</v>
      </c>
      <c r="K2223" s="8" t="n">
        <v>8.99</v>
      </c>
      <c r="L2223" s="8" t="n"/>
      <c r="M2223" s="8" t="n"/>
      <c r="N2223" s="7" t="inlineStr">
        <is>
          <t>DIMEC</t>
        </is>
      </c>
      <c r="O2223" s="8" t="n">
        <v>8.529999999999999</v>
      </c>
      <c r="P2223" s="14">
        <f>O2223/H2223-1</f>
        <v/>
      </c>
      <c r="Q2223" s="16" t="inlineStr">
        <is>
          <t>ACIMA +6.8%</t>
        </is>
      </c>
      <c r="R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8" t="n"/>
      <c r="N2224" s="7" t="inlineStr">
        <is>
          <t>SEM COTAÇÃO</t>
        </is>
      </c>
      <c r="O2224" s="8" t="n"/>
      <c r="P2224" s="14" t="n"/>
      <c r="Q2224" s="7" t="inlineStr"/>
      <c r="R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8" t="n"/>
      <c r="N2225" s="7" t="inlineStr">
        <is>
          <t>SEM COTAÇÃO</t>
        </is>
      </c>
      <c r="O2225" s="8" t="n"/>
      <c r="P2225" s="14" t="n"/>
      <c r="Q2225" s="7" t="inlineStr"/>
      <c r="R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8" t="n"/>
      <c r="N2226" s="7" t="inlineStr">
        <is>
          <t>SEM COTAÇÃO</t>
        </is>
      </c>
      <c r="O2226" s="8" t="n"/>
      <c r="P2226" s="14" t="n"/>
      <c r="Q2226" s="7" t="inlineStr"/>
      <c r="R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7" t="inlineStr">
        <is>
          <t>SEM COTAÇÃO</t>
        </is>
      </c>
      <c r="O2227" s="8" t="n"/>
      <c r="P2227" s="14" t="n"/>
      <c r="Q2227" s="7" t="inlineStr"/>
      <c r="R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8" t="n"/>
      <c r="N2228" s="7" t="inlineStr">
        <is>
          <t>SEM COTAÇÃO</t>
        </is>
      </c>
      <c r="O2228" s="8" t="n"/>
      <c r="P2228" s="14" t="n"/>
      <c r="Q2228" s="7" t="inlineStr"/>
      <c r="R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8" t="n"/>
      <c r="N2229" s="7" t="inlineStr">
        <is>
          <t>SEM COTAÇÃO</t>
        </is>
      </c>
      <c r="O2229" s="8" t="n"/>
      <c r="P2229" s="14" t="n"/>
      <c r="Q2229" s="7" t="inlineStr"/>
      <c r="R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8" t="n"/>
      <c r="N2230" s="7" t="inlineStr">
        <is>
          <t>SEM COTAÇÃO</t>
        </is>
      </c>
      <c r="O2230" s="8" t="n"/>
      <c r="P2230" s="14" t="n"/>
      <c r="Q2230" s="7" t="inlineStr"/>
      <c r="R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8" t="n"/>
      <c r="N2231" s="7" t="inlineStr">
        <is>
          <t>SEM COTAÇÃO</t>
        </is>
      </c>
      <c r="O2231" s="8" t="n"/>
      <c r="P2231" s="14" t="n"/>
      <c r="Q2231" s="7" t="inlineStr"/>
      <c r="R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7" t="inlineStr">
        <is>
          <t>SEM COTAÇÃO</t>
        </is>
      </c>
      <c r="O2232" s="8" t="n"/>
      <c r="P2232" s="14" t="n"/>
      <c r="Q2232" s="7" t="inlineStr"/>
      <c r="R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8" t="n"/>
      <c r="N2233" s="7" t="inlineStr">
        <is>
          <t>SEM COTAÇÃO</t>
        </is>
      </c>
      <c r="O2233" s="8" t="n"/>
      <c r="P2233" s="14" t="n"/>
      <c r="Q2233" s="7" t="inlineStr"/>
      <c r="R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8" t="n"/>
      <c r="N2234" s="7" t="inlineStr">
        <is>
          <t>SEM COTAÇÃO</t>
        </is>
      </c>
      <c r="O2234" s="8" t="n"/>
      <c r="P2234" s="14" t="n"/>
      <c r="Q2234" s="7" t="inlineStr"/>
      <c r="R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7" t="inlineStr">
        <is>
          <t>SEM COTAÇÃO</t>
        </is>
      </c>
      <c r="O2235" s="8" t="n"/>
      <c r="P2235" s="14" t="n"/>
      <c r="Q2235" s="7" t="inlineStr"/>
      <c r="R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8" t="n"/>
      <c r="N2236" s="7" t="inlineStr">
        <is>
          <t>SEM COTAÇÃO</t>
        </is>
      </c>
      <c r="O2236" s="8" t="n"/>
      <c r="P2236" s="14" t="n"/>
      <c r="Q2236" s="7" t="inlineStr"/>
      <c r="R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8" t="n"/>
      <c r="N2237" s="7" t="inlineStr">
        <is>
          <t>SEM COTAÇÃO</t>
        </is>
      </c>
      <c r="O2237" s="8" t="n"/>
      <c r="P2237" s="14" t="n"/>
      <c r="Q2237" s="7" t="inlineStr"/>
      <c r="R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8" t="n"/>
      <c r="N2238" s="7" t="inlineStr">
        <is>
          <t>SEM COTAÇÃO</t>
        </is>
      </c>
      <c r="O2238" s="8" t="n"/>
      <c r="P2238" s="14" t="n"/>
      <c r="Q2238" s="7" t="inlineStr"/>
      <c r="R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8" t="n"/>
      <c r="N2239" s="7" t="inlineStr">
        <is>
          <t>SEM COTAÇÃO</t>
        </is>
      </c>
      <c r="O2239" s="8" t="n"/>
      <c r="P2239" s="14" t="n"/>
      <c r="Q2239" s="7" t="inlineStr"/>
      <c r="R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8" t="n"/>
      <c r="N2240" s="7" t="inlineStr">
        <is>
          <t>SEM COTAÇÃO</t>
        </is>
      </c>
      <c r="O2240" s="8" t="n"/>
      <c r="P2240" s="14" t="n"/>
      <c r="Q2240" s="7" t="inlineStr"/>
      <c r="R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8" t="n"/>
      <c r="N2241" s="7" t="inlineStr">
        <is>
          <t>SEM COTAÇÃO</t>
        </is>
      </c>
      <c r="O2241" s="8" t="n"/>
      <c r="P2241" s="14" t="n"/>
      <c r="Q2241" s="7" t="inlineStr"/>
      <c r="R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8" t="n"/>
      <c r="N2242" s="7" t="inlineStr">
        <is>
          <t>SEM COTAÇÃO</t>
        </is>
      </c>
      <c r="O2242" s="8" t="n"/>
      <c r="P2242" s="14" t="n"/>
      <c r="Q2242" s="7" t="inlineStr"/>
      <c r="R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8" t="n"/>
      <c r="N2243" s="7" t="inlineStr">
        <is>
          <t>SEM COTAÇÃO</t>
        </is>
      </c>
      <c r="O2243" s="8" t="n"/>
      <c r="P2243" s="14" t="n"/>
      <c r="Q2243" s="7" t="inlineStr"/>
      <c r="R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8" t="n"/>
      <c r="N2244" s="7" t="inlineStr">
        <is>
          <t>SEM COTAÇÃO</t>
        </is>
      </c>
      <c r="O2244" s="8" t="n"/>
      <c r="P2244" s="14" t="n"/>
      <c r="Q2244" s="7" t="inlineStr"/>
      <c r="R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8" t="n"/>
      <c r="N2245" s="7" t="inlineStr">
        <is>
          <t>SEM COTAÇÃO</t>
        </is>
      </c>
      <c r="O2245" s="8" t="n"/>
      <c r="P2245" s="14" t="n"/>
      <c r="Q2245" s="7" t="inlineStr"/>
      <c r="R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8" t="n"/>
      <c r="N2246" s="7" t="inlineStr">
        <is>
          <t>SEM COTAÇÃO</t>
        </is>
      </c>
      <c r="O2246" s="8" t="n"/>
      <c r="P2246" s="14" t="n"/>
      <c r="Q2246" s="7" t="inlineStr"/>
      <c r="R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8" t="n">
        <v>7.55</v>
      </c>
      <c r="N2247" s="7" t="inlineStr">
        <is>
          <t>DIMEC</t>
        </is>
      </c>
      <c r="O2247" s="8" t="n">
        <v>7.05</v>
      </c>
      <c r="P2247" s="14">
        <f>O2247/H2247-1</f>
        <v/>
      </c>
      <c r="Q2247" s="16" t="inlineStr">
        <is>
          <t>ACIMA +12.8%</t>
        </is>
      </c>
      <c r="R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8" t="n">
        <v>16.35</v>
      </c>
      <c r="N2248" s="7" t="inlineStr">
        <is>
          <t>DIMEC</t>
        </is>
      </c>
      <c r="O2248" s="8" t="n">
        <v>15.36</v>
      </c>
      <c r="P2248" s="14">
        <f>O2248/H2248-1</f>
        <v/>
      </c>
      <c r="Q2248" s="16" t="inlineStr">
        <is>
          <t>ACIMA +13.4%</t>
        </is>
      </c>
      <c r="R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8" t="n"/>
      <c r="N2249" s="7" t="inlineStr">
        <is>
          <t>DIMEC</t>
        </is>
      </c>
      <c r="O2249" s="8" t="n">
        <v>23.26</v>
      </c>
      <c r="P2249" s="14">
        <f>O2249/H2249-1</f>
        <v/>
      </c>
      <c r="Q2249" s="17" t="inlineStr">
        <is>
          <t>OK (≤ menor hist.)</t>
        </is>
      </c>
      <c r="R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8" t="n"/>
      <c r="N2250" s="7" t="inlineStr">
        <is>
          <t>SEM COTAÇÃO</t>
        </is>
      </c>
      <c r="O2250" s="8" t="n"/>
      <c r="P2250" s="14" t="n"/>
      <c r="Q2250" s="7" t="inlineStr"/>
      <c r="R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8" t="n">
        <v>7.55</v>
      </c>
      <c r="N2251" s="7" t="inlineStr">
        <is>
          <t>DIMEC</t>
        </is>
      </c>
      <c r="O2251" s="8" t="n">
        <v>7.07</v>
      </c>
      <c r="P2251" s="14">
        <f>O2251/H2251-1</f>
        <v/>
      </c>
      <c r="Q2251" s="16" t="inlineStr">
        <is>
          <t>ACIMA +13.1%</t>
        </is>
      </c>
      <c r="R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8" t="n">
        <v>7.09</v>
      </c>
      <c r="N2252" s="7" t="inlineStr">
        <is>
          <t>DIMEC</t>
        </is>
      </c>
      <c r="O2252" s="8" t="n">
        <v>6.64</v>
      </c>
      <c r="P2252" s="14">
        <f>O2252/H2252-1</f>
        <v/>
      </c>
      <c r="Q2252" s="16" t="inlineStr">
        <is>
          <t>ACIMA +1.1%</t>
        </is>
      </c>
      <c r="R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8" t="n"/>
      <c r="N2253" s="7" t="inlineStr">
        <is>
          <t>SEM COTAÇÃO</t>
        </is>
      </c>
      <c r="O2253" s="8" t="n"/>
      <c r="P2253" s="14" t="n"/>
      <c r="Q2253" s="7" t="inlineStr"/>
      <c r="R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8" t="n"/>
      <c r="N2254" s="7" t="inlineStr">
        <is>
          <t>SEM COTAÇÃO</t>
        </is>
      </c>
      <c r="O2254" s="8" t="n"/>
      <c r="P2254" s="14" t="n"/>
      <c r="Q2254" s="7" t="inlineStr"/>
      <c r="R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8" t="n"/>
      <c r="N2255" s="7" t="inlineStr">
        <is>
          <t>SEM COTAÇÃO</t>
        </is>
      </c>
      <c r="O2255" s="8" t="n"/>
      <c r="P2255" s="14" t="n"/>
      <c r="Q2255" s="7" t="inlineStr"/>
      <c r="R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8" t="n"/>
      <c r="N2256" s="7" t="inlineStr">
        <is>
          <t>DIMEC</t>
        </is>
      </c>
      <c r="O2256" s="8" t="n">
        <v>6.15</v>
      </c>
      <c r="P2256" s="14">
        <f>O2256/H2256-1</f>
        <v/>
      </c>
      <c r="Q2256" s="17" t="inlineStr">
        <is>
          <t>OK (≤ menor hist.)</t>
        </is>
      </c>
      <c r="R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8" t="n"/>
      <c r="N2257" s="7" t="inlineStr">
        <is>
          <t>SEM COTAÇÃO</t>
        </is>
      </c>
      <c r="O2257" s="8" t="n"/>
      <c r="P2257" s="14" t="n"/>
      <c r="Q2257" s="7" t="inlineStr"/>
      <c r="R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8" t="n"/>
      <c r="N2258" s="7" t="inlineStr">
        <is>
          <t>DIMEC</t>
        </is>
      </c>
      <c r="O2258" s="8" t="n">
        <v>4.19</v>
      </c>
      <c r="P2258" s="14">
        <f>O2258/H2258-1</f>
        <v/>
      </c>
      <c r="Q2258" s="17" t="inlineStr">
        <is>
          <t>OK (≤ menor hist.)</t>
        </is>
      </c>
      <c r="R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8" t="n"/>
      <c r="N2259" s="7" t="inlineStr">
        <is>
          <t>SEM COTAÇÃO</t>
        </is>
      </c>
      <c r="O2259" s="8" t="n"/>
      <c r="P2259" s="14" t="n"/>
      <c r="Q2259" s="7" t="inlineStr"/>
      <c r="R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8" t="n"/>
      <c r="N2260" s="7" t="inlineStr">
        <is>
          <t>DIMEC</t>
        </is>
      </c>
      <c r="O2260" s="8" t="n">
        <v>3.67</v>
      </c>
      <c r="P2260" s="14">
        <f>O2260/H2260-1</f>
        <v/>
      </c>
      <c r="Q2260" s="17" t="inlineStr">
        <is>
          <t>OK (≤ menor hist.)</t>
        </is>
      </c>
      <c r="R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8" t="n"/>
      <c r="N2261" s="7" t="inlineStr">
        <is>
          <t>SEM COTAÇÃO</t>
        </is>
      </c>
      <c r="O2261" s="8" t="n"/>
      <c r="P2261" s="14" t="n"/>
      <c r="Q2261" s="7" t="inlineStr"/>
      <c r="R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8" t="n"/>
      <c r="N2262" s="7" t="inlineStr">
        <is>
          <t>SEM COTAÇÃO</t>
        </is>
      </c>
      <c r="O2262" s="8" t="n"/>
      <c r="P2262" s="14" t="n"/>
      <c r="Q2262" s="7" t="inlineStr"/>
      <c r="R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8" t="n"/>
      <c r="N2263" s="7" t="inlineStr">
        <is>
          <t>DIMEC</t>
        </is>
      </c>
      <c r="O2263" s="8" t="n">
        <v>4.36</v>
      </c>
      <c r="P2263" s="14">
        <f>O2263/H2263-1</f>
        <v/>
      </c>
      <c r="Q2263" s="17" t="inlineStr">
        <is>
          <t>OK (≤ menor hist.)</t>
        </is>
      </c>
      <c r="R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8" t="n"/>
      <c r="N2264" s="7" t="inlineStr">
        <is>
          <t>DIMEC</t>
        </is>
      </c>
      <c r="O2264" s="8" t="n">
        <v>4.39</v>
      </c>
      <c r="P2264" s="14">
        <f>O2264/H2264-1</f>
        <v/>
      </c>
      <c r="Q2264" s="17" t="inlineStr">
        <is>
          <t>OK (≤ menor hist.)</t>
        </is>
      </c>
      <c r="R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8" t="n"/>
      <c r="N2265" s="7" t="inlineStr">
        <is>
          <t>DIMEC</t>
        </is>
      </c>
      <c r="O2265" s="8" t="n">
        <v>3.7</v>
      </c>
      <c r="P2265" s="14">
        <f>O2265/H2265-1</f>
        <v/>
      </c>
      <c r="Q2265" s="17" t="inlineStr">
        <is>
          <t>OK (≤ menor hist.)</t>
        </is>
      </c>
      <c r="R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8" t="n"/>
      <c r="N2266" s="7" t="inlineStr">
        <is>
          <t>SEM COTAÇÃO</t>
        </is>
      </c>
      <c r="O2266" s="8" t="n"/>
      <c r="P2266" s="14" t="n"/>
      <c r="Q2266" s="7" t="inlineStr"/>
      <c r="R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8" t="n"/>
      <c r="N2267" s="7" t="inlineStr">
        <is>
          <t>SEM COTAÇÃO</t>
        </is>
      </c>
      <c r="O2267" s="8" t="n"/>
      <c r="P2267" s="14" t="n"/>
      <c r="Q2267" s="7" t="inlineStr"/>
      <c r="R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8" t="n"/>
      <c r="N2268" s="7" t="inlineStr">
        <is>
          <t>SEM COTAÇÃO</t>
        </is>
      </c>
      <c r="O2268" s="8" t="n"/>
      <c r="P2268" s="14" t="n"/>
      <c r="Q2268" s="7" t="inlineStr"/>
      <c r="R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8" t="n"/>
      <c r="N2269" s="7" t="inlineStr">
        <is>
          <t>SEM COTAÇÃO</t>
        </is>
      </c>
      <c r="O2269" s="8" t="n"/>
      <c r="P2269" s="14" t="n"/>
      <c r="Q2269" s="7" t="inlineStr"/>
      <c r="R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8" t="n"/>
      <c r="N2270" s="7" t="inlineStr">
        <is>
          <t>SEM COTAÇÃO</t>
        </is>
      </c>
      <c r="O2270" s="8" t="n"/>
      <c r="P2270" s="14" t="n"/>
      <c r="Q2270" s="7" t="inlineStr"/>
      <c r="R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8" t="n"/>
      <c r="N2271" s="7" t="inlineStr">
        <is>
          <t>SEM COTAÇÃO</t>
        </is>
      </c>
      <c r="O2271" s="8" t="n"/>
      <c r="P2271" s="14" t="n"/>
      <c r="Q2271" s="7" t="inlineStr"/>
      <c r="R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8" t="n"/>
      <c r="N2272" s="7" t="inlineStr">
        <is>
          <t>SEM COTAÇÃO</t>
        </is>
      </c>
      <c r="O2272" s="8" t="n"/>
      <c r="P2272" s="14" t="n"/>
      <c r="Q2272" s="7" t="inlineStr"/>
      <c r="R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8" t="n"/>
      <c r="N2273" s="7" t="inlineStr">
        <is>
          <t>SEM COTAÇÃO</t>
        </is>
      </c>
      <c r="O2273" s="8" t="n"/>
      <c r="P2273" s="14" t="n"/>
      <c r="Q2273" s="7" t="inlineStr"/>
      <c r="R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8" t="n"/>
      <c r="N2274" s="7" t="inlineStr">
        <is>
          <t>SEM COTAÇÃO</t>
        </is>
      </c>
      <c r="O2274" s="8" t="n"/>
      <c r="P2274" s="14" t="n"/>
      <c r="Q2274" s="7" t="inlineStr"/>
      <c r="R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8" t="n"/>
      <c r="N2275" s="7" t="inlineStr">
        <is>
          <t>SEM COTAÇÃO</t>
        </is>
      </c>
      <c r="O2275" s="8" t="n"/>
      <c r="P2275" s="14" t="n"/>
      <c r="Q2275" s="7" t="inlineStr"/>
      <c r="R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8" t="n"/>
      <c r="N2276" s="7" t="inlineStr">
        <is>
          <t>SEM COTAÇÃO</t>
        </is>
      </c>
      <c r="O2276" s="8" t="n"/>
      <c r="P2276" s="14" t="n"/>
      <c r="Q2276" s="7" t="inlineStr"/>
      <c r="R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8" t="n"/>
      <c r="N2277" s="7" t="inlineStr">
        <is>
          <t>SEM COTAÇÃO</t>
        </is>
      </c>
      <c r="O2277" s="8" t="n"/>
      <c r="P2277" s="14" t="n"/>
      <c r="Q2277" s="7" t="inlineStr"/>
      <c r="R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8" t="n"/>
      <c r="N2278" s="7" t="inlineStr">
        <is>
          <t>SEM COTAÇÃO</t>
        </is>
      </c>
      <c r="O2278" s="8" t="n"/>
      <c r="P2278" s="14" t="n"/>
      <c r="Q2278" s="7" t="inlineStr"/>
      <c r="R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8" t="n"/>
      <c r="N2279" s="7" t="inlineStr">
        <is>
          <t>SEM COTAÇÃO</t>
        </is>
      </c>
      <c r="O2279" s="8" t="n"/>
      <c r="P2279" s="14" t="n"/>
      <c r="Q2279" s="7" t="inlineStr"/>
      <c r="R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8" t="n"/>
      <c r="M2280" s="8" t="n"/>
      <c r="N2280" s="7" t="inlineStr">
        <is>
          <t>DIMEC</t>
        </is>
      </c>
      <c r="O2280" s="8" t="n">
        <v>12.1</v>
      </c>
      <c r="P2280" s="14">
        <f>O2280/H2280-1</f>
        <v/>
      </c>
      <c r="Q2280" s="17" t="inlineStr">
        <is>
          <t>OK (≤ menor hist.)</t>
        </is>
      </c>
      <c r="R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8" t="n"/>
      <c r="N2281" s="7" t="inlineStr">
        <is>
          <t>DIMEC</t>
        </is>
      </c>
      <c r="O2281" s="8" t="n">
        <v>42.612902</v>
      </c>
      <c r="P2281" s="14">
        <f>O2281/H2281-1</f>
        <v/>
      </c>
      <c r="Q2281" s="16" t="inlineStr">
        <is>
          <t>ACIMA +13.7%</t>
        </is>
      </c>
      <c r="R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8" t="n"/>
      <c r="N2282" s="7" t="inlineStr">
        <is>
          <t>SEM COTAÇÃO</t>
        </is>
      </c>
      <c r="O2282" s="8" t="n"/>
      <c r="P2282" s="14" t="n"/>
      <c r="Q2282" s="7" t="inlineStr"/>
      <c r="R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8" t="n"/>
      <c r="N2283" s="7" t="inlineStr">
        <is>
          <t>SEM COTAÇÃO</t>
        </is>
      </c>
      <c r="O2283" s="8" t="n"/>
      <c r="P2283" s="14" t="n"/>
      <c r="Q2283" s="7" t="inlineStr"/>
      <c r="R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8" t="n"/>
      <c r="N2284" s="7" t="inlineStr">
        <is>
          <t>EPAN</t>
        </is>
      </c>
      <c r="O2284" s="8" t="n">
        <v>72.45</v>
      </c>
      <c r="P2284" s="14">
        <f>O2284/H2284-1</f>
        <v/>
      </c>
      <c r="Q2284" s="17" t="inlineStr">
        <is>
          <t>OK (≤ últ. compra)</t>
        </is>
      </c>
      <c r="R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8" t="n"/>
      <c r="N2285" s="7" t="inlineStr">
        <is>
          <t>EPAN</t>
        </is>
      </c>
      <c r="O2285" s="8" t="n">
        <v>72.78</v>
      </c>
      <c r="P2285" s="14">
        <f>O2285/H2285-1</f>
        <v/>
      </c>
      <c r="Q2285" s="16" t="inlineStr">
        <is>
          <t>ACIMA +2.6%</t>
        </is>
      </c>
      <c r="R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8" t="n"/>
      <c r="N2286" s="7" t="inlineStr">
        <is>
          <t>SEM COTAÇÃO</t>
        </is>
      </c>
      <c r="O2286" s="8" t="n"/>
      <c r="P2286" s="14" t="n"/>
      <c r="Q2286" s="7" t="inlineStr"/>
      <c r="R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8" t="n"/>
      <c r="N2287" s="7" t="inlineStr">
        <is>
          <t>SEM COTAÇÃO</t>
        </is>
      </c>
      <c r="O2287" s="8" t="n"/>
      <c r="P2287" s="14" t="n"/>
      <c r="Q2287" s="7" t="inlineStr"/>
      <c r="R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8" t="n"/>
      <c r="N2288" s="7" t="inlineStr">
        <is>
          <t>SEM COTAÇÃO</t>
        </is>
      </c>
      <c r="O2288" s="8" t="n"/>
      <c r="P2288" s="14" t="n"/>
      <c r="Q2288" s="7" t="inlineStr"/>
      <c r="R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8" t="n"/>
      <c r="N2289" s="7" t="inlineStr">
        <is>
          <t>SEM COTAÇÃO</t>
        </is>
      </c>
      <c r="O2289" s="8" t="n"/>
      <c r="P2289" s="14" t="n"/>
      <c r="Q2289" s="7" t="inlineStr"/>
      <c r="R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8" t="n"/>
      <c r="N2290" s="7" t="inlineStr">
        <is>
          <t>SEM COTAÇÃO</t>
        </is>
      </c>
      <c r="O2290" s="8" t="n"/>
      <c r="P2290" s="14" t="n"/>
      <c r="Q2290" s="7" t="inlineStr"/>
      <c r="R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8" t="n"/>
      <c r="N2291" s="7" t="inlineStr">
        <is>
          <t>SEM COTAÇÃO</t>
        </is>
      </c>
      <c r="O2291" s="8" t="n"/>
      <c r="P2291" s="14" t="n"/>
      <c r="Q2291" s="7" t="inlineStr"/>
      <c r="R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8" t="n"/>
      <c r="N2292" s="7" t="inlineStr">
        <is>
          <t>DIMEC</t>
        </is>
      </c>
      <c r="O2292" s="8" t="n">
        <v>5.94</v>
      </c>
      <c r="P2292" s="14">
        <f>O2292/H2292-1</f>
        <v/>
      </c>
      <c r="Q2292" s="16" t="inlineStr">
        <is>
          <t>ACIMA +2.6%</t>
        </is>
      </c>
      <c r="R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6.05</v>
      </c>
      <c r="K2293" s="8" t="n"/>
      <c r="L2293" s="8" t="n"/>
      <c r="M2293" s="15" t="n">
        <v>5.98</v>
      </c>
      <c r="N2293" s="7" t="inlineStr">
        <is>
          <t>CENTROFARMA</t>
        </is>
      </c>
      <c r="O2293" s="8" t="n">
        <v>5.98</v>
      </c>
      <c r="P2293" s="14">
        <f>O2293/H2293-1</f>
        <v/>
      </c>
      <c r="Q2293" s="16" t="inlineStr">
        <is>
          <t>ACIMA +5.3%</t>
        </is>
      </c>
      <c r="R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8" t="n"/>
      <c r="N2294" s="7" t="inlineStr">
        <is>
          <t>SEM COTAÇÃO</t>
        </is>
      </c>
      <c r="O2294" s="8" t="n"/>
      <c r="P2294" s="14" t="n"/>
      <c r="Q2294" s="7" t="inlineStr"/>
      <c r="R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6.76</v>
      </c>
      <c r="K2295" s="8" t="n"/>
      <c r="L2295" s="8" t="n"/>
      <c r="M2295" s="15" t="n">
        <v>6.71</v>
      </c>
      <c r="N2295" s="7" t="inlineStr">
        <is>
          <t>CENTROFARMA</t>
        </is>
      </c>
      <c r="O2295" s="8" t="n">
        <v>6.71</v>
      </c>
      <c r="P2295" s="14">
        <f>O2295/H2295-1</f>
        <v/>
      </c>
      <c r="Q2295" s="16" t="inlineStr">
        <is>
          <t>ACIMA +11.1%</t>
        </is>
      </c>
      <c r="R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8" t="n"/>
      <c r="N2296" s="7" t="inlineStr">
        <is>
          <t>EPAN</t>
        </is>
      </c>
      <c r="O2296" s="8" t="n">
        <v>11.56</v>
      </c>
      <c r="P2296" s="14">
        <f>O2296/H2296-1</f>
        <v/>
      </c>
      <c r="Q2296" s="16" t="inlineStr">
        <is>
          <t>ACIMA +0.1%</t>
        </is>
      </c>
      <c r="R2296" s="7" t="inlineStr"/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8" t="n"/>
      <c r="N2297" s="7" t="inlineStr">
        <is>
          <t>SEM COTAÇÃO</t>
        </is>
      </c>
      <c r="O2297" s="8" t="n"/>
      <c r="P2297" s="14" t="n"/>
      <c r="Q2297" s="7" t="inlineStr"/>
      <c r="R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8" t="n"/>
      <c r="M2298" s="8" t="n">
        <v>9.789999999999999</v>
      </c>
      <c r="N2298" s="7" t="inlineStr">
        <is>
          <t>DIMEC</t>
        </is>
      </c>
      <c r="O2298" s="8" t="n">
        <v>9.67</v>
      </c>
      <c r="P2298" s="14">
        <f>O2298/H2298-1</f>
        <v/>
      </c>
      <c r="Q2298" s="16" t="inlineStr">
        <is>
          <t>ACIMA +16.5%</t>
        </is>
      </c>
      <c r="R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8" t="n"/>
      <c r="N2299" s="7" t="inlineStr">
        <is>
          <t>SEM COTAÇÃO</t>
        </is>
      </c>
      <c r="O2299" s="8" t="n"/>
      <c r="P2299" s="14" t="n"/>
      <c r="Q2299" s="7" t="inlineStr"/>
      <c r="R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8" t="n"/>
      <c r="N2300" s="7" t="inlineStr">
        <is>
          <t>SEM COTAÇÃO</t>
        </is>
      </c>
      <c r="O2300" s="8" t="n"/>
      <c r="P2300" s="14" t="n"/>
      <c r="Q2300" s="7" t="inlineStr"/>
      <c r="R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8" t="n"/>
      <c r="N2301" s="7" t="inlineStr">
        <is>
          <t>EPAN</t>
        </is>
      </c>
      <c r="O2301" s="8" t="n">
        <v>7.42</v>
      </c>
      <c r="P2301" s="14">
        <f>O2301/H2301-1</f>
        <v/>
      </c>
      <c r="Q2301" s="16" t="inlineStr">
        <is>
          <t>ACIMA +2.2%</t>
        </is>
      </c>
      <c r="R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8" t="n"/>
      <c r="N2302" s="7" t="inlineStr">
        <is>
          <t>SEM COTAÇÃO</t>
        </is>
      </c>
      <c r="O2302" s="8" t="n"/>
      <c r="P2302" s="14" t="n"/>
      <c r="Q2302" s="7" t="inlineStr"/>
      <c r="R2302" s="7" t="inlineStr"/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8" t="n"/>
      <c r="N2303" s="7" t="inlineStr">
        <is>
          <t>SEM COTAÇÃO</t>
        </is>
      </c>
      <c r="O2303" s="8" t="n"/>
      <c r="P2303" s="14" t="n"/>
      <c r="Q2303" s="7" t="inlineStr"/>
      <c r="R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8" t="n"/>
      <c r="N2304" s="7" t="inlineStr">
        <is>
          <t>SEM COTAÇÃO</t>
        </is>
      </c>
      <c r="O2304" s="8" t="n"/>
      <c r="P2304" s="14" t="n"/>
      <c r="Q2304" s="7" t="inlineStr"/>
      <c r="R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8" t="n"/>
      <c r="N2305" s="7" t="inlineStr">
        <is>
          <t>SEM COTAÇÃO</t>
        </is>
      </c>
      <c r="O2305" s="8" t="n"/>
      <c r="P2305" s="14" t="n"/>
      <c r="Q2305" s="7" t="inlineStr"/>
      <c r="R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15" t="n">
        <v>41.36</v>
      </c>
      <c r="M2306" s="8" t="n"/>
      <c r="N2306" s="7" t="inlineStr">
        <is>
          <t>EPAN</t>
        </is>
      </c>
      <c r="O2306" s="8" t="n">
        <v>41.36</v>
      </c>
      <c r="P2306" s="14">
        <f>O2306/H2306-1</f>
        <v/>
      </c>
      <c r="Q2306" s="17" t="inlineStr">
        <is>
          <t>OK (≤ últ. compra)</t>
        </is>
      </c>
      <c r="R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15" t="n">
        <v>16.67</v>
      </c>
      <c r="N2307" s="7" t="inlineStr">
        <is>
          <t>CENTROFARMA</t>
        </is>
      </c>
      <c r="O2307" s="8" t="n">
        <v>16.67</v>
      </c>
      <c r="P2307" s="14">
        <f>O2307/H2307-1</f>
        <v/>
      </c>
      <c r="Q2307" s="17" t="inlineStr">
        <is>
          <t>OK (≤ menor hist.)</t>
        </is>
      </c>
      <c r="R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8" t="n"/>
      <c r="N2308" s="7" t="inlineStr">
        <is>
          <t>SEM COTAÇÃO</t>
        </is>
      </c>
      <c r="O2308" s="8" t="n"/>
      <c r="P2308" s="14" t="n"/>
      <c r="Q2308" s="7" t="inlineStr"/>
      <c r="R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8" t="n"/>
      <c r="N2309" s="7" t="inlineStr">
        <is>
          <t>SEM COTAÇÃO</t>
        </is>
      </c>
      <c r="O2309" s="8" t="n"/>
      <c r="P2309" s="14" t="n"/>
      <c r="Q2309" s="7" t="inlineStr"/>
      <c r="R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8" t="n"/>
      <c r="N2310" s="7" t="inlineStr">
        <is>
          <t>SEM COTAÇÃO</t>
        </is>
      </c>
      <c r="O2310" s="8" t="n"/>
      <c r="P2310" s="14" t="n"/>
      <c r="Q2310" s="7" t="inlineStr"/>
      <c r="R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8" t="n"/>
      <c r="N2311" s="7" t="inlineStr">
        <is>
          <t>SEM COTAÇÃO</t>
        </is>
      </c>
      <c r="O2311" s="8" t="n"/>
      <c r="P2311" s="14" t="n"/>
      <c r="Q2311" s="7" t="inlineStr"/>
      <c r="R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8" t="n"/>
      <c r="N2312" s="7" t="inlineStr">
        <is>
          <t>SEM COTAÇÃO</t>
        </is>
      </c>
      <c r="O2312" s="8" t="n"/>
      <c r="P2312" s="14" t="n"/>
      <c r="Q2312" s="7" t="inlineStr"/>
      <c r="R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8" t="n"/>
      <c r="N2313" s="7" t="inlineStr">
        <is>
          <t>SEM COTAÇÃO</t>
        </is>
      </c>
      <c r="O2313" s="8" t="n"/>
      <c r="P2313" s="14" t="n"/>
      <c r="Q2313" s="7" t="inlineStr"/>
      <c r="R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7" t="inlineStr">
        <is>
          <t>SEM COTAÇÃO</t>
        </is>
      </c>
      <c r="O2314" s="8" t="n"/>
      <c r="P2314" s="14" t="n"/>
      <c r="Q2314" s="7" t="inlineStr"/>
      <c r="R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8" t="n"/>
      <c r="N2315" s="7" t="inlineStr">
        <is>
          <t>SEM COTAÇÃO</t>
        </is>
      </c>
      <c r="O2315" s="8" t="n"/>
      <c r="P2315" s="14" t="n"/>
      <c r="Q2315" s="7" t="inlineStr"/>
      <c r="R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8" t="n"/>
      <c r="N2316" s="7" t="inlineStr">
        <is>
          <t>SEM COTAÇÃO</t>
        </is>
      </c>
      <c r="O2316" s="8" t="n"/>
      <c r="P2316" s="14" t="n"/>
      <c r="Q2316" s="7" t="inlineStr"/>
      <c r="R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8" t="n"/>
      <c r="N2317" s="7" t="inlineStr">
        <is>
          <t>SEM COTAÇÃO</t>
        </is>
      </c>
      <c r="O2317" s="8" t="n"/>
      <c r="P2317" s="14" t="n"/>
      <c r="Q2317" s="7" t="inlineStr"/>
      <c r="R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8" t="n"/>
      <c r="N2318" s="7" t="inlineStr">
        <is>
          <t>SEM COTAÇÃO</t>
        </is>
      </c>
      <c r="O2318" s="8" t="n"/>
      <c r="P2318" s="14" t="n"/>
      <c r="Q2318" s="7" t="inlineStr"/>
      <c r="R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8" t="n"/>
      <c r="N2319" s="7" t="inlineStr">
        <is>
          <t>SEM COTAÇÃO</t>
        </is>
      </c>
      <c r="O2319" s="8" t="n"/>
      <c r="P2319" s="14" t="n"/>
      <c r="Q2319" s="7" t="inlineStr"/>
      <c r="R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8" t="n"/>
      <c r="N2320" s="7" t="inlineStr">
        <is>
          <t>SEM COTAÇÃO</t>
        </is>
      </c>
      <c r="O2320" s="8" t="n"/>
      <c r="P2320" s="14" t="n"/>
      <c r="Q2320" s="7" t="inlineStr"/>
      <c r="R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8" t="n"/>
      <c r="N2321" s="7" t="inlineStr">
        <is>
          <t>SEM COTAÇÃO</t>
        </is>
      </c>
      <c r="O2321" s="8" t="n"/>
      <c r="P2321" s="14" t="n"/>
      <c r="Q2321" s="7" t="inlineStr"/>
      <c r="R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8" t="n"/>
      <c r="N2322" s="7" t="inlineStr">
        <is>
          <t>SEM COTAÇÃO</t>
        </is>
      </c>
      <c r="O2322" s="8" t="n"/>
      <c r="P2322" s="14" t="n"/>
      <c r="Q2322" s="7" t="inlineStr"/>
      <c r="R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8" t="n"/>
      <c r="N2323" s="7" t="inlineStr">
        <is>
          <t>SEM COTAÇÃO</t>
        </is>
      </c>
      <c r="O2323" s="8" t="n"/>
      <c r="P2323" s="14" t="n"/>
      <c r="Q2323" s="7" t="inlineStr"/>
      <c r="R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8" t="n"/>
      <c r="N2324" s="7" t="inlineStr">
        <is>
          <t>SEM COTAÇÃO</t>
        </is>
      </c>
      <c r="O2324" s="8" t="n"/>
      <c r="P2324" s="14" t="n"/>
      <c r="Q2324" s="7" t="inlineStr"/>
      <c r="R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8" t="n"/>
      <c r="N2325" s="7" t="inlineStr">
        <is>
          <t>SEM COTAÇÃO</t>
        </is>
      </c>
      <c r="O2325" s="8" t="n"/>
      <c r="P2325" s="14" t="n"/>
      <c r="Q2325" s="7" t="inlineStr"/>
      <c r="R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8" t="n"/>
      <c r="N2326" s="7" t="inlineStr">
        <is>
          <t>SEM COTAÇÃO</t>
        </is>
      </c>
      <c r="O2326" s="8" t="n"/>
      <c r="P2326" s="14" t="n"/>
      <c r="Q2326" s="7" t="inlineStr"/>
      <c r="R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8" t="n"/>
      <c r="N2327" s="7" t="inlineStr">
        <is>
          <t>SEM COTAÇÃO</t>
        </is>
      </c>
      <c r="O2327" s="8" t="n"/>
      <c r="P2327" s="14" t="n"/>
      <c r="Q2327" s="7" t="inlineStr"/>
      <c r="R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8" t="n"/>
      <c r="N2328" s="7" t="inlineStr">
        <is>
          <t>SEM COTAÇÃO</t>
        </is>
      </c>
      <c r="O2328" s="8" t="n"/>
      <c r="P2328" s="14" t="n"/>
      <c r="Q2328" s="7" t="inlineStr"/>
      <c r="R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8" t="n"/>
      <c r="N2329" s="7" t="inlineStr">
        <is>
          <t>SEM COTAÇÃO</t>
        </is>
      </c>
      <c r="O2329" s="8" t="n"/>
      <c r="P2329" s="14" t="n"/>
      <c r="Q2329" s="7" t="inlineStr"/>
      <c r="R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8" t="n"/>
      <c r="N2330" s="7" t="inlineStr">
        <is>
          <t>EPAN</t>
        </is>
      </c>
      <c r="O2330" s="8" t="n">
        <v>9.06</v>
      </c>
      <c r="P2330" s="14">
        <f>O2330/H2330-1</f>
        <v/>
      </c>
      <c r="Q2330" s="17" t="inlineStr">
        <is>
          <t>OK (≤ menor hist.)</t>
        </is>
      </c>
      <c r="R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8" t="n"/>
      <c r="N2331" s="7" t="inlineStr">
        <is>
          <t>SEM COTAÇÃO</t>
        </is>
      </c>
      <c r="O2331" s="8" t="n"/>
      <c r="P2331" s="14" t="n"/>
      <c r="Q2331" s="7" t="inlineStr"/>
      <c r="R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8" t="n"/>
      <c r="N2332" s="7" t="inlineStr">
        <is>
          <t>SEM COTAÇÃO</t>
        </is>
      </c>
      <c r="O2332" s="8" t="n"/>
      <c r="P2332" s="14" t="n"/>
      <c r="Q2332" s="7" t="inlineStr"/>
      <c r="R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8" t="n"/>
      <c r="N2333" s="7" t="inlineStr">
        <is>
          <t>SEM COTAÇÃO</t>
        </is>
      </c>
      <c r="O2333" s="8" t="n"/>
      <c r="P2333" s="14" t="n"/>
      <c r="Q2333" s="7" t="inlineStr"/>
      <c r="R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8" t="n">
        <v>43.63</v>
      </c>
      <c r="N2334" s="7" t="inlineStr">
        <is>
          <t>DIMEC</t>
        </is>
      </c>
      <c r="O2334" s="8" t="n">
        <v>2.2485</v>
      </c>
      <c r="P2334" s="14">
        <f>O2334/H2334-1</f>
        <v/>
      </c>
      <c r="Q2334" s="16" t="inlineStr">
        <is>
          <t>ACIMA +13.3%</t>
        </is>
      </c>
      <c r="R2334" s="7" t="inlineStr">
        <is>
          <t>DIMEC: 1 emb = 20 un; CENTROFARMA: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8" t="n">
        <v>28.67</v>
      </c>
      <c r="N2335" s="7" t="inlineStr">
        <is>
          <t>DIMEC</t>
        </is>
      </c>
      <c r="O2335" s="8" t="n">
        <v>1.3495</v>
      </c>
      <c r="P2335" s="14">
        <f>O2335/H2335-1</f>
        <v/>
      </c>
      <c r="Q2335" s="16" t="inlineStr">
        <is>
          <t>ACIMA +29.4%</t>
        </is>
      </c>
      <c r="R2335" s="7" t="inlineStr">
        <is>
          <t>DIMEC: 1 emb = 20 un; CENTROFARMA: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8" t="n"/>
      <c r="N2336" s="7" t="inlineStr">
        <is>
          <t>SEM COTAÇÃO</t>
        </is>
      </c>
      <c r="O2336" s="8" t="n"/>
      <c r="P2336" s="14" t="n"/>
      <c r="Q2336" s="7" t="inlineStr"/>
      <c r="R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8" t="n"/>
      <c r="N2337" s="7" t="inlineStr">
        <is>
          <t>SEM COTAÇÃO</t>
        </is>
      </c>
      <c r="O2337" s="8" t="n"/>
      <c r="P2337" s="14" t="n"/>
      <c r="Q2337" s="7" t="inlineStr"/>
      <c r="R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8" t="n"/>
      <c r="N2338" s="7" t="inlineStr">
        <is>
          <t>SEM COTAÇÃO</t>
        </is>
      </c>
      <c r="O2338" s="8" t="n"/>
      <c r="P2338" s="14" t="n"/>
      <c r="Q2338" s="7" t="inlineStr"/>
      <c r="R2338" s="7" t="inlineStr"/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8" t="n"/>
      <c r="N2339" s="7" t="inlineStr">
        <is>
          <t>SEM COTAÇÃO</t>
        </is>
      </c>
      <c r="O2339" s="8" t="n"/>
      <c r="P2339" s="14" t="n"/>
      <c r="Q2339" s="7" t="inlineStr"/>
      <c r="R2339" s="7" t="inlineStr"/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8" t="n"/>
      <c r="N2340" s="7" t="inlineStr">
        <is>
          <t>SEM COTAÇÃO</t>
        </is>
      </c>
      <c r="O2340" s="8" t="n"/>
      <c r="P2340" s="14" t="n"/>
      <c r="Q2340" s="7" t="inlineStr"/>
      <c r="R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8" t="n"/>
      <c r="N2341" s="7" t="inlineStr">
        <is>
          <t>SEM COTAÇÃO</t>
        </is>
      </c>
      <c r="O2341" s="8" t="n"/>
      <c r="P2341" s="14" t="n"/>
      <c r="Q2341" s="7" t="inlineStr"/>
      <c r="R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8" t="n"/>
      <c r="N2342" s="7" t="inlineStr">
        <is>
          <t>SEM COTAÇÃO</t>
        </is>
      </c>
      <c r="O2342" s="8" t="n"/>
      <c r="P2342" s="14" t="n"/>
      <c r="Q2342" s="7" t="inlineStr"/>
      <c r="R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8" t="n"/>
      <c r="N2343" s="7" t="inlineStr">
        <is>
          <t>SEM COTAÇÃO</t>
        </is>
      </c>
      <c r="O2343" s="8" t="n"/>
      <c r="P2343" s="14" t="n"/>
      <c r="Q2343" s="7" t="inlineStr"/>
      <c r="R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8" t="n"/>
      <c r="N2344" s="7" t="inlineStr">
        <is>
          <t>SEM COTAÇÃO</t>
        </is>
      </c>
      <c r="O2344" s="8" t="n"/>
      <c r="P2344" s="14" t="n"/>
      <c r="Q2344" s="7" t="inlineStr"/>
      <c r="R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8" t="n"/>
      <c r="N2345" s="7" t="inlineStr">
        <is>
          <t>SEM COTAÇÃO</t>
        </is>
      </c>
      <c r="O2345" s="8" t="n"/>
      <c r="P2345" s="14" t="n"/>
      <c r="Q2345" s="7" t="inlineStr"/>
      <c r="R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8" t="n"/>
      <c r="N2346" s="7" t="inlineStr">
        <is>
          <t>SEM COTAÇÃO</t>
        </is>
      </c>
      <c r="O2346" s="8" t="n"/>
      <c r="P2346" s="14" t="n"/>
      <c r="Q2346" s="7" t="inlineStr"/>
      <c r="R2346" s="7" t="inlineStr"/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8" t="n"/>
      <c r="N2347" s="7" t="inlineStr">
        <is>
          <t>SEM COTAÇÃO</t>
        </is>
      </c>
      <c r="O2347" s="8" t="n"/>
      <c r="P2347" s="14" t="n"/>
      <c r="Q2347" s="7" t="inlineStr"/>
      <c r="R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8" t="n"/>
      <c r="N2348" s="7" t="inlineStr">
        <is>
          <t>SEM COTAÇÃO</t>
        </is>
      </c>
      <c r="O2348" s="8" t="n"/>
      <c r="P2348" s="14" t="n"/>
      <c r="Q2348" s="7" t="inlineStr"/>
      <c r="R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8" t="n"/>
      <c r="N2349" s="7" t="inlineStr">
        <is>
          <t>SEM COTAÇÃO</t>
        </is>
      </c>
      <c r="O2349" s="8" t="n"/>
      <c r="P2349" s="14" t="n"/>
      <c r="Q2349" s="7" t="inlineStr"/>
      <c r="R2349" s="7" t="inlineStr"/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8" t="n"/>
      <c r="N2350" s="7" t="inlineStr">
        <is>
          <t>SEM COTAÇÃO</t>
        </is>
      </c>
      <c r="O2350" s="8" t="n"/>
      <c r="P2350" s="14" t="n"/>
      <c r="Q2350" s="7" t="inlineStr"/>
      <c r="R2350" s="7" t="inlineStr"/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8" t="n"/>
      <c r="N2351" s="7" t="inlineStr">
        <is>
          <t>SEM COTAÇÃO</t>
        </is>
      </c>
      <c r="O2351" s="8" t="n"/>
      <c r="P2351" s="14" t="n"/>
      <c r="Q2351" s="7" t="inlineStr"/>
      <c r="R2351" s="7" t="inlineStr"/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15" t="n">
        <v>72.22</v>
      </c>
      <c r="N2352" s="7" t="inlineStr">
        <is>
          <t>CENTROFARMA</t>
        </is>
      </c>
      <c r="O2352" s="8" t="n">
        <v>72.22</v>
      </c>
      <c r="P2352" s="14">
        <f>O2352/H2352-1</f>
        <v/>
      </c>
      <c r="Q2352" s="16" t="inlineStr">
        <is>
          <t>ACIMA +22.5%</t>
        </is>
      </c>
      <c r="R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15" t="n">
        <v>72.22</v>
      </c>
      <c r="N2353" s="7" t="inlineStr">
        <is>
          <t>CENTROFARMA</t>
        </is>
      </c>
      <c r="O2353" s="8" t="n">
        <v>72.22</v>
      </c>
      <c r="P2353" s="14">
        <f>O2353/H2353-1</f>
        <v/>
      </c>
      <c r="Q2353" s="16" t="inlineStr">
        <is>
          <t>ACIMA +39.7%</t>
        </is>
      </c>
      <c r="R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8" t="n"/>
      <c r="N2354" s="7" t="inlineStr">
        <is>
          <t>SEM COTAÇÃO</t>
        </is>
      </c>
      <c r="O2354" s="8" t="n"/>
      <c r="P2354" s="14" t="n"/>
      <c r="Q2354" s="7" t="inlineStr"/>
      <c r="R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8" t="n"/>
      <c r="N2355" s="7" t="inlineStr">
        <is>
          <t>SEM COTAÇÃO</t>
        </is>
      </c>
      <c r="O2355" s="8" t="n"/>
      <c r="P2355" s="14" t="n"/>
      <c r="Q2355" s="7" t="inlineStr"/>
      <c r="R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8" t="n"/>
      <c r="N2356" s="7" t="inlineStr">
        <is>
          <t>SEM COTAÇÃO</t>
        </is>
      </c>
      <c r="O2356" s="8" t="n"/>
      <c r="P2356" s="14" t="n"/>
      <c r="Q2356" s="7" t="inlineStr"/>
      <c r="R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8" t="n"/>
      <c r="N2357" s="7" t="inlineStr">
        <is>
          <t>SEM COTAÇÃO</t>
        </is>
      </c>
      <c r="O2357" s="8" t="n"/>
      <c r="P2357" s="14" t="n"/>
      <c r="Q2357" s="7" t="inlineStr"/>
      <c r="R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8" t="n"/>
      <c r="N2358" s="7" t="inlineStr">
        <is>
          <t>SEM COTAÇÃO</t>
        </is>
      </c>
      <c r="O2358" s="8" t="n"/>
      <c r="P2358" s="14" t="n"/>
      <c r="Q2358" s="7" t="inlineStr"/>
      <c r="R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8" t="n"/>
      <c r="N2359" s="7" t="inlineStr">
        <is>
          <t>SEM COTAÇÃO</t>
        </is>
      </c>
      <c r="O2359" s="8" t="n"/>
      <c r="P2359" s="14" t="n"/>
      <c r="Q2359" s="7" t="inlineStr"/>
      <c r="R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8" t="n"/>
      <c r="N2360" s="7" t="inlineStr">
        <is>
          <t>SEM COTAÇÃO</t>
        </is>
      </c>
      <c r="O2360" s="8" t="n"/>
      <c r="P2360" s="14" t="n"/>
      <c r="Q2360" s="7" t="inlineStr"/>
      <c r="R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8" t="n"/>
      <c r="N2361" s="7" t="inlineStr">
        <is>
          <t>SEM COTAÇÃO</t>
        </is>
      </c>
      <c r="O2361" s="8" t="n"/>
      <c r="P2361" s="14" t="n"/>
      <c r="Q2361" s="7" t="inlineStr"/>
      <c r="R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8" t="n"/>
      <c r="N2362" s="7" t="inlineStr">
        <is>
          <t>SEM COTAÇÃO</t>
        </is>
      </c>
      <c r="O2362" s="8" t="n"/>
      <c r="P2362" s="14" t="n"/>
      <c r="Q2362" s="7" t="inlineStr"/>
      <c r="R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8" t="n"/>
      <c r="N2363" s="7" t="inlineStr">
        <is>
          <t>SEM COTAÇÃO</t>
        </is>
      </c>
      <c r="O2363" s="8" t="n"/>
      <c r="P2363" s="14" t="n"/>
      <c r="Q2363" s="7" t="inlineStr"/>
      <c r="R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15" t="n">
        <v>1.78</v>
      </c>
      <c r="K2364" s="8" t="n">
        <v>1.95</v>
      </c>
      <c r="L2364" s="8" t="n"/>
      <c r="M2364" s="8" t="n">
        <v>1.82</v>
      </c>
      <c r="N2364" s="7" t="inlineStr">
        <is>
          <t>DIMEC</t>
        </is>
      </c>
      <c r="O2364" s="8" t="n">
        <v>1.78</v>
      </c>
      <c r="P2364" s="14">
        <f>O2364/H2364-1</f>
        <v/>
      </c>
      <c r="Q2364" s="17" t="inlineStr">
        <is>
          <t>OK (≤ menor hist.)</t>
        </is>
      </c>
      <c r="R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8" t="n"/>
      <c r="N2365" s="7" t="inlineStr">
        <is>
          <t>SEM COTAÇÃO</t>
        </is>
      </c>
      <c r="O2365" s="8" t="n"/>
      <c r="P2365" s="14" t="n"/>
      <c r="Q2365" s="7" t="inlineStr"/>
      <c r="R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8" t="n"/>
      <c r="N2366" s="7" t="inlineStr">
        <is>
          <t>SEM COTAÇÃO</t>
        </is>
      </c>
      <c r="O2366" s="8" t="n"/>
      <c r="P2366" s="14" t="n"/>
      <c r="Q2366" s="7" t="inlineStr"/>
      <c r="R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8" t="n"/>
      <c r="N2367" s="7" t="inlineStr">
        <is>
          <t>SEM COTAÇÃO</t>
        </is>
      </c>
      <c r="O2367" s="8" t="n"/>
      <c r="P2367" s="14" t="n"/>
      <c r="Q2367" s="7" t="inlineStr"/>
      <c r="R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8" t="n"/>
      <c r="N2368" s="7" t="inlineStr">
        <is>
          <t>SEM COTAÇÃO</t>
        </is>
      </c>
      <c r="O2368" s="8" t="n"/>
      <c r="P2368" s="14" t="n"/>
      <c r="Q2368" s="7" t="inlineStr"/>
      <c r="R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8" t="n"/>
      <c r="N2369" s="7" t="inlineStr">
        <is>
          <t>SEM COTAÇÃO</t>
        </is>
      </c>
      <c r="O2369" s="8" t="n"/>
      <c r="P2369" s="14" t="n"/>
      <c r="Q2369" s="7" t="inlineStr"/>
      <c r="R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8" t="n"/>
      <c r="N2370" s="7" t="inlineStr">
        <is>
          <t>SEM COTAÇÃO</t>
        </is>
      </c>
      <c r="O2370" s="8" t="n"/>
      <c r="P2370" s="14" t="n"/>
      <c r="Q2370" s="7" t="inlineStr"/>
      <c r="R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8" t="n"/>
      <c r="N2371" s="7" t="inlineStr">
        <is>
          <t>SEM COTAÇÃO</t>
        </is>
      </c>
      <c r="O2371" s="8" t="n"/>
      <c r="P2371" s="14" t="n"/>
      <c r="Q2371" s="7" t="inlineStr"/>
      <c r="R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15" t="n">
        <v>14.51</v>
      </c>
      <c r="N2372" s="7" t="inlineStr">
        <is>
          <t>CENTROFARMA</t>
        </is>
      </c>
      <c r="O2372" s="8" t="n">
        <v>14.51</v>
      </c>
      <c r="P2372" s="14">
        <f>O2372/H2372-1</f>
        <v/>
      </c>
      <c r="Q2372" s="16" t="inlineStr">
        <is>
          <t>ACIMA +11.3%</t>
        </is>
      </c>
      <c r="R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8" t="n"/>
      <c r="N2373" s="7" t="inlineStr">
        <is>
          <t>SEM COTAÇÃO</t>
        </is>
      </c>
      <c r="O2373" s="8" t="n"/>
      <c r="P2373" s="14" t="n"/>
      <c r="Q2373" s="7" t="inlineStr"/>
      <c r="R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15" t="n">
        <v>11.81</v>
      </c>
      <c r="N2374" s="7" t="inlineStr">
        <is>
          <t>CENTROFARMA</t>
        </is>
      </c>
      <c r="O2374" s="8" t="n">
        <v>11.81</v>
      </c>
      <c r="P2374" s="14">
        <f>O2374/H2374-1</f>
        <v/>
      </c>
      <c r="Q2374" s="17" t="inlineStr">
        <is>
          <t>OK (≤ menor hist.)</t>
        </is>
      </c>
      <c r="R2374" s="7" t="inlineStr"/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8" t="n"/>
      <c r="N2375" s="7" t="inlineStr">
        <is>
          <t>SEM COTAÇÃO</t>
        </is>
      </c>
      <c r="O2375" s="8" t="n"/>
      <c r="P2375" s="14" t="n"/>
      <c r="Q2375" s="7" t="inlineStr"/>
      <c r="R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8" t="n"/>
      <c r="N2376" s="7" t="inlineStr">
        <is>
          <t>SEM COTAÇÃO</t>
        </is>
      </c>
      <c r="O2376" s="8" t="n"/>
      <c r="P2376" s="14" t="n"/>
      <c r="Q2376" s="7" t="inlineStr"/>
      <c r="R2376" s="7" t="inlineStr"/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15" t="n">
        <v>7.29</v>
      </c>
      <c r="N2377" s="7" t="inlineStr">
        <is>
          <t>CENTROFARMA</t>
        </is>
      </c>
      <c r="O2377" s="8" t="n">
        <v>7.29</v>
      </c>
      <c r="P2377" s="14">
        <f>O2377/H2377-1</f>
        <v/>
      </c>
      <c r="Q2377" s="16" t="inlineStr">
        <is>
          <t>ACIMA +5.3%</t>
        </is>
      </c>
      <c r="R2377" s="7" t="inlineStr"/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8" t="n"/>
      <c r="N2378" s="7" t="inlineStr">
        <is>
          <t>SEM COTAÇÃO</t>
        </is>
      </c>
      <c r="O2378" s="8" t="n"/>
      <c r="P2378" s="14" t="n"/>
      <c r="Q2378" s="7" t="inlineStr"/>
      <c r="R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8" t="n"/>
      <c r="N2379" s="7" t="inlineStr">
        <is>
          <t>SEM COTAÇÃO</t>
        </is>
      </c>
      <c r="O2379" s="8" t="n"/>
      <c r="P2379" s="14" t="n"/>
      <c r="Q2379" s="7" t="inlineStr"/>
      <c r="R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8" t="n"/>
      <c r="N2380" s="7" t="inlineStr">
        <is>
          <t>SEM COTAÇÃO</t>
        </is>
      </c>
      <c r="O2380" s="8" t="n"/>
      <c r="P2380" s="14" t="n"/>
      <c r="Q2380" s="7" t="inlineStr"/>
      <c r="R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8" t="n"/>
      <c r="N2381" s="7" t="inlineStr">
        <is>
          <t>SEM COTAÇÃO</t>
        </is>
      </c>
      <c r="O2381" s="8" t="n"/>
      <c r="P2381" s="14" t="n"/>
      <c r="Q2381" s="7" t="inlineStr"/>
      <c r="R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8" t="n"/>
      <c r="N2382" s="7" t="inlineStr">
        <is>
          <t>SEM COTAÇÃO</t>
        </is>
      </c>
      <c r="O2382" s="8" t="n"/>
      <c r="P2382" s="14" t="n"/>
      <c r="Q2382" s="7" t="inlineStr"/>
      <c r="R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8" t="n"/>
      <c r="N2383" s="7" t="inlineStr">
        <is>
          <t>SEM COTAÇÃO</t>
        </is>
      </c>
      <c r="O2383" s="8" t="n"/>
      <c r="P2383" s="14" t="n"/>
      <c r="Q2383" s="7" t="inlineStr"/>
      <c r="R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8" t="n"/>
      <c r="N2384" s="7" t="inlineStr">
        <is>
          <t>SEM COTAÇÃO</t>
        </is>
      </c>
      <c r="O2384" s="8" t="n"/>
      <c r="P2384" s="14" t="n"/>
      <c r="Q2384" s="7" t="inlineStr"/>
      <c r="R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7" t="inlineStr">
        <is>
          <t>SEM COTAÇÃO</t>
        </is>
      </c>
      <c r="O2385" s="8" t="n"/>
      <c r="P2385" s="14" t="n"/>
      <c r="Q2385" s="7" t="inlineStr"/>
      <c r="R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8" t="n"/>
      <c r="N2386" s="7" t="inlineStr">
        <is>
          <t>SEM COTAÇÃO</t>
        </is>
      </c>
      <c r="O2386" s="8" t="n"/>
      <c r="P2386" s="14" t="n"/>
      <c r="Q2386" s="7" t="inlineStr"/>
      <c r="R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8" t="n"/>
      <c r="N2387" s="7" t="inlineStr">
        <is>
          <t>SEM COTAÇÃO</t>
        </is>
      </c>
      <c r="O2387" s="8" t="n"/>
      <c r="P2387" s="14" t="n"/>
      <c r="Q2387" s="7" t="inlineStr"/>
      <c r="R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8" t="n"/>
      <c r="N2388" s="7" t="inlineStr">
        <is>
          <t>SEM COTAÇÃO</t>
        </is>
      </c>
      <c r="O2388" s="8" t="n"/>
      <c r="P2388" s="14" t="n"/>
      <c r="Q2388" s="7" t="inlineStr"/>
      <c r="R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8" t="n"/>
      <c r="N2389" s="7" t="inlineStr">
        <is>
          <t>SEM COTAÇÃO</t>
        </is>
      </c>
      <c r="O2389" s="8" t="n"/>
      <c r="P2389" s="14" t="n"/>
      <c r="Q2389" s="7" t="inlineStr"/>
      <c r="R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8" t="n"/>
      <c r="N2390" s="7" t="inlineStr">
        <is>
          <t>SEM COTAÇÃO</t>
        </is>
      </c>
      <c r="O2390" s="8" t="n"/>
      <c r="P2390" s="14" t="n"/>
      <c r="Q2390" s="7" t="inlineStr"/>
      <c r="R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7" t="inlineStr">
        <is>
          <t>SEM COTAÇÃO</t>
        </is>
      </c>
      <c r="O2391" s="8" t="n"/>
      <c r="P2391" s="14" t="n"/>
      <c r="Q2391" s="7" t="inlineStr"/>
      <c r="R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7" t="inlineStr">
        <is>
          <t>SEM COTAÇÃO</t>
        </is>
      </c>
      <c r="O2392" s="8" t="n"/>
      <c r="P2392" s="14" t="n"/>
      <c r="Q2392" s="7" t="inlineStr"/>
      <c r="R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7" t="inlineStr">
        <is>
          <t>SEM COTAÇÃO</t>
        </is>
      </c>
      <c r="O2393" s="8" t="n"/>
      <c r="P2393" s="14" t="n"/>
      <c r="Q2393" s="7" t="inlineStr"/>
      <c r="R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7" t="inlineStr">
        <is>
          <t>SEM COTAÇÃO</t>
        </is>
      </c>
      <c r="O2394" s="8" t="n"/>
      <c r="P2394" s="14" t="n"/>
      <c r="Q2394" s="7" t="inlineStr"/>
      <c r="R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7" t="inlineStr">
        <is>
          <t>SEM COTAÇÃO</t>
        </is>
      </c>
      <c r="O2395" s="8" t="n"/>
      <c r="P2395" s="14" t="n"/>
      <c r="Q2395" s="7" t="inlineStr"/>
      <c r="R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7" t="inlineStr">
        <is>
          <t>SEM COTAÇÃO</t>
        </is>
      </c>
      <c r="O2396" s="8" t="n"/>
      <c r="P2396" s="14" t="n"/>
      <c r="Q2396" s="7" t="inlineStr"/>
      <c r="R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7" t="inlineStr">
        <is>
          <t>SEM COTAÇÃO</t>
        </is>
      </c>
      <c r="O2397" s="8" t="n"/>
      <c r="P2397" s="14" t="n"/>
      <c r="Q2397" s="7" t="inlineStr"/>
      <c r="R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8" t="n"/>
      <c r="N2398" s="7" t="inlineStr">
        <is>
          <t>SEM COTAÇÃO</t>
        </is>
      </c>
      <c r="O2398" s="8" t="n"/>
      <c r="P2398" s="14" t="n"/>
      <c r="Q2398" s="7" t="inlineStr"/>
      <c r="R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15" t="n">
        <v>9.050000000000001</v>
      </c>
      <c r="N2399" s="7" t="inlineStr">
        <is>
          <t>CENTROFARMA</t>
        </is>
      </c>
      <c r="O2399" s="8" t="n">
        <v>9.050000000000001</v>
      </c>
      <c r="P2399" s="14">
        <f>O2399/H2399-1</f>
        <v/>
      </c>
      <c r="Q2399" s="16" t="inlineStr">
        <is>
          <t>ACIMA +285.5%</t>
        </is>
      </c>
      <c r="R2399" s="7" t="inlineStr">
        <is>
          <t>CENTROFARMA: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8" t="n"/>
      <c r="M2400" s="8" t="n"/>
      <c r="N2400" s="7" t="inlineStr">
        <is>
          <t>DIMEC</t>
        </is>
      </c>
      <c r="O2400" s="8" t="n">
        <v>8.359999999999999</v>
      </c>
      <c r="P2400" s="14">
        <f>O2400/H2400-1</f>
        <v/>
      </c>
      <c r="Q2400" s="16" t="inlineStr">
        <is>
          <t>ACIMA +0.7%</t>
        </is>
      </c>
      <c r="R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8" t="n"/>
      <c r="N2401" s="7" t="inlineStr">
        <is>
          <t>SEM COTAÇÃO</t>
        </is>
      </c>
      <c r="O2401" s="8" t="n"/>
      <c r="P2401" s="14" t="n"/>
      <c r="Q2401" s="7" t="inlineStr"/>
      <c r="R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8" t="n"/>
      <c r="N2402" s="7" t="inlineStr">
        <is>
          <t>DIMEC</t>
        </is>
      </c>
      <c r="O2402" s="8" t="n">
        <v>8.359999999999999</v>
      </c>
      <c r="P2402" s="14">
        <f>O2402/H2402-1</f>
        <v/>
      </c>
      <c r="Q2402" s="16" t="inlineStr">
        <is>
          <t>ACIMA +0.7%</t>
        </is>
      </c>
      <c r="R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8" t="n"/>
      <c r="N2403" s="7" t="inlineStr">
        <is>
          <t>SEM COTAÇÃO</t>
        </is>
      </c>
      <c r="O2403" s="8" t="n"/>
      <c r="P2403" s="14" t="n"/>
      <c r="Q2403" s="7" t="inlineStr"/>
      <c r="R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8" t="n"/>
      <c r="N2404" s="7" t="inlineStr">
        <is>
          <t>DIMEC</t>
        </is>
      </c>
      <c r="O2404" s="8" t="n">
        <v>8.94</v>
      </c>
      <c r="P2404" s="14">
        <f>O2404/H2404-1</f>
        <v/>
      </c>
      <c r="Q2404" s="17" t="inlineStr">
        <is>
          <t>OK (≤ últ. compra)</t>
        </is>
      </c>
      <c r="R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8" t="n"/>
      <c r="N2405" s="7" t="inlineStr">
        <is>
          <t>DIMEC</t>
        </is>
      </c>
      <c r="O2405" s="8" t="n">
        <v>8.94</v>
      </c>
      <c r="P2405" s="14">
        <f>O2405/H2405-1</f>
        <v/>
      </c>
      <c r="Q2405" s="16" t="inlineStr">
        <is>
          <t>ACIMA +4.0%</t>
        </is>
      </c>
      <c r="R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8" t="n"/>
      <c r="N2406" s="7" t="inlineStr">
        <is>
          <t>SEM COTAÇÃO</t>
        </is>
      </c>
      <c r="O2406" s="8" t="n"/>
      <c r="P2406" s="14" t="n"/>
      <c r="Q2406" s="7" t="inlineStr"/>
      <c r="R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8" t="n">
        <v>9.050000000000001</v>
      </c>
      <c r="N2407" s="7" t="inlineStr">
        <is>
          <t>DIMEC</t>
        </is>
      </c>
      <c r="O2407" s="8" t="n">
        <v>8.94</v>
      </c>
      <c r="P2407" s="14">
        <f>O2407/H2407-1</f>
        <v/>
      </c>
      <c r="Q2407" s="16" t="inlineStr">
        <is>
          <t>ACIMA +0.6%</t>
        </is>
      </c>
      <c r="R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7" t="inlineStr">
        <is>
          <t>SEM COTAÇÃO</t>
        </is>
      </c>
      <c r="O2408" s="8" t="n"/>
      <c r="P2408" s="14" t="n"/>
      <c r="Q2408" s="7" t="inlineStr"/>
      <c r="R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8" t="n"/>
      <c r="N2409" s="7" t="inlineStr">
        <is>
          <t>SEM COTAÇÃO</t>
        </is>
      </c>
      <c r="O2409" s="8" t="n"/>
      <c r="P2409" s="14" t="n"/>
      <c r="Q2409" s="7" t="inlineStr"/>
      <c r="R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8" t="n"/>
      <c r="N2410" s="7" t="inlineStr">
        <is>
          <t>SEM COTAÇÃO</t>
        </is>
      </c>
      <c r="O2410" s="8" t="n"/>
      <c r="P2410" s="14" t="n"/>
      <c r="Q2410" s="7" t="inlineStr"/>
      <c r="R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8" t="n"/>
      <c r="N2411" s="7" t="inlineStr">
        <is>
          <t>SEM COTAÇÃO</t>
        </is>
      </c>
      <c r="O2411" s="8" t="n"/>
      <c r="P2411" s="14" t="n"/>
      <c r="Q2411" s="7" t="inlineStr"/>
      <c r="R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8" t="n"/>
      <c r="N2412" s="7" t="inlineStr">
        <is>
          <t>DIMEC</t>
        </is>
      </c>
      <c r="O2412" s="8" t="n">
        <v>11.41</v>
      </c>
      <c r="P2412" s="14">
        <f>O2412/H2412-1</f>
        <v/>
      </c>
      <c r="Q2412" s="16" t="inlineStr">
        <is>
          <t>ACIMA +361.0%</t>
        </is>
      </c>
      <c r="R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8" t="n"/>
      <c r="N2413" s="7" t="inlineStr">
        <is>
          <t>SEM COTAÇÃO</t>
        </is>
      </c>
      <c r="O2413" s="8" t="n"/>
      <c r="P2413" s="14" t="n"/>
      <c r="Q2413" s="7" t="inlineStr"/>
      <c r="R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8" t="n"/>
      <c r="N2414" s="7" t="inlineStr">
        <is>
          <t>SEM COTAÇÃO</t>
        </is>
      </c>
      <c r="O2414" s="8" t="n"/>
      <c r="P2414" s="14" t="n"/>
      <c r="Q2414" s="7" t="inlineStr"/>
      <c r="R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8" t="n"/>
      <c r="N2415" s="7" t="inlineStr">
        <is>
          <t>SEM COTAÇÃO</t>
        </is>
      </c>
      <c r="O2415" s="8" t="n"/>
      <c r="P2415" s="14" t="n"/>
      <c r="Q2415" s="7" t="inlineStr"/>
      <c r="R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8" t="n"/>
      <c r="N2416" s="7" t="inlineStr">
        <is>
          <t>SEM COTAÇÃO</t>
        </is>
      </c>
      <c r="O2416" s="8" t="n"/>
      <c r="P2416" s="14" t="n"/>
      <c r="Q2416" s="7" t="inlineStr"/>
      <c r="R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8" t="n"/>
      <c r="N2417" s="7" t="inlineStr">
        <is>
          <t>SEM COTAÇÃO</t>
        </is>
      </c>
      <c r="O2417" s="8" t="n"/>
      <c r="P2417" s="14" t="n"/>
      <c r="Q2417" s="7" t="inlineStr"/>
      <c r="R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8" t="n"/>
      <c r="N2418" s="7" t="inlineStr">
        <is>
          <t>SEM COTAÇÃO</t>
        </is>
      </c>
      <c r="O2418" s="8" t="n"/>
      <c r="P2418" s="14" t="n"/>
      <c r="Q2418" s="7" t="inlineStr"/>
      <c r="R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8" t="n"/>
      <c r="N2419" s="7" t="inlineStr">
        <is>
          <t>SEM COTAÇÃO</t>
        </is>
      </c>
      <c r="O2419" s="8" t="n"/>
      <c r="P2419" s="14" t="n"/>
      <c r="Q2419" s="7" t="inlineStr"/>
      <c r="R2419" s="7" t="inlineStr"/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8" t="n"/>
      <c r="N2420" s="7" t="inlineStr">
        <is>
          <t>SEM COTAÇÃO</t>
        </is>
      </c>
      <c r="O2420" s="8" t="n"/>
      <c r="P2420" s="14" t="n"/>
      <c r="Q2420" s="7" t="inlineStr"/>
      <c r="R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8" t="n"/>
      <c r="N2421" s="7" t="inlineStr">
        <is>
          <t>SEM COTAÇÃO</t>
        </is>
      </c>
      <c r="O2421" s="8" t="n"/>
      <c r="P2421" s="14" t="n"/>
      <c r="Q2421" s="7" t="inlineStr"/>
      <c r="R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8" t="n"/>
      <c r="M2422" s="8" t="n">
        <v>6.17</v>
      </c>
      <c r="N2422" s="7" t="inlineStr">
        <is>
          <t>DIMEC</t>
        </is>
      </c>
      <c r="O2422" s="8" t="n">
        <v>6.08</v>
      </c>
      <c r="P2422" s="14">
        <f>O2422/H2422-1</f>
        <v/>
      </c>
      <c r="Q2422" s="16" t="inlineStr">
        <is>
          <t>ACIMA +15.2%</t>
        </is>
      </c>
      <c r="R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8" t="n">
        <v>7.86</v>
      </c>
      <c r="N2423" s="7" t="inlineStr">
        <is>
          <t>DIMEC</t>
        </is>
      </c>
      <c r="O2423" s="8" t="n">
        <v>7.25</v>
      </c>
      <c r="P2423" s="14">
        <f>O2423/H2423-1</f>
        <v/>
      </c>
      <c r="Q2423" s="17" t="inlineStr">
        <is>
          <t>OK (≤ menor hist.)</t>
        </is>
      </c>
      <c r="R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8" t="n"/>
      <c r="N2424" s="7" t="inlineStr">
        <is>
          <t>EPAN</t>
        </is>
      </c>
      <c r="O2424" s="8" t="n">
        <v>36.09</v>
      </c>
      <c r="P2424" s="14">
        <f>O2424/H2424-1</f>
        <v/>
      </c>
      <c r="Q2424" s="17" t="inlineStr">
        <is>
          <t>OK (≤ últ. compra)</t>
        </is>
      </c>
      <c r="R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8" t="n"/>
      <c r="N2425" s="7" t="inlineStr">
        <is>
          <t>SEM COTAÇÃO</t>
        </is>
      </c>
      <c r="O2425" s="8" t="n"/>
      <c r="P2425" s="14" t="n"/>
      <c r="Q2425" s="7" t="inlineStr"/>
      <c r="R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8" t="n"/>
      <c r="N2426" s="7" t="inlineStr">
        <is>
          <t>EPAN</t>
        </is>
      </c>
      <c r="O2426" s="8" t="n">
        <v>19.49</v>
      </c>
      <c r="P2426" s="14">
        <f>O2426/H2426-1</f>
        <v/>
      </c>
      <c r="Q2426" s="17" t="inlineStr">
        <is>
          <t>OK (≤ últ. compra)</t>
        </is>
      </c>
      <c r="R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8" t="n"/>
      <c r="N2427" s="7" t="inlineStr">
        <is>
          <t>SEM COTAÇÃO</t>
        </is>
      </c>
      <c r="O2427" s="8" t="n"/>
      <c r="P2427" s="14" t="n"/>
      <c r="Q2427" s="7" t="inlineStr"/>
      <c r="R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15" t="n">
        <v>32.92</v>
      </c>
      <c r="M2428" s="8" t="n"/>
      <c r="N2428" s="7" t="inlineStr">
        <is>
          <t>EPAN</t>
        </is>
      </c>
      <c r="O2428" s="8" t="n">
        <v>32.92</v>
      </c>
      <c r="P2428" s="14">
        <f>O2428/H2428-1</f>
        <v/>
      </c>
      <c r="Q2428" s="17" t="inlineStr">
        <is>
          <t>OK (≤ últ. compra)</t>
        </is>
      </c>
      <c r="R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15" t="n">
        <v>36.05</v>
      </c>
      <c r="M2429" s="8" t="n"/>
      <c r="N2429" s="7" t="inlineStr">
        <is>
          <t>EPAN</t>
        </is>
      </c>
      <c r="O2429" s="8" t="n">
        <v>36.05</v>
      </c>
      <c r="P2429" s="14">
        <f>O2429/H2429-1</f>
        <v/>
      </c>
      <c r="Q2429" s="17" t="inlineStr">
        <is>
          <t>OK (≤ últ. compra)</t>
        </is>
      </c>
      <c r="R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8" t="n"/>
      <c r="N2430" s="7" t="inlineStr">
        <is>
          <t>SEM COTAÇÃO</t>
        </is>
      </c>
      <c r="O2430" s="8" t="n"/>
      <c r="P2430" s="14" t="n"/>
      <c r="Q2430" s="7" t="inlineStr"/>
      <c r="R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8" t="n"/>
      <c r="N2431" s="7" t="inlineStr">
        <is>
          <t>SEM COTAÇÃO</t>
        </is>
      </c>
      <c r="O2431" s="8" t="n"/>
      <c r="P2431" s="14" t="n"/>
      <c r="Q2431" s="7" t="inlineStr"/>
      <c r="R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15" t="n">
        <v>41.64</v>
      </c>
      <c r="N2432" s="7" t="inlineStr">
        <is>
          <t>CENTROFARMA</t>
        </is>
      </c>
      <c r="O2432" s="8" t="n">
        <v>41.64</v>
      </c>
      <c r="P2432" s="14">
        <f>O2432/H2432-1</f>
        <v/>
      </c>
      <c r="Q2432" s="17" t="inlineStr">
        <is>
          <t>OK (≤ menor hist.)</t>
        </is>
      </c>
      <c r="R2432" s="7" t="inlineStr"/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15" t="n">
        <v>41.64</v>
      </c>
      <c r="N2433" s="7" t="inlineStr">
        <is>
          <t>CENTROFARMA</t>
        </is>
      </c>
      <c r="O2433" s="8" t="n">
        <v>41.64</v>
      </c>
      <c r="P2433" s="14">
        <f>O2433/H2433-1</f>
        <v/>
      </c>
      <c r="Q2433" s="17" t="inlineStr">
        <is>
          <t>OK (≤ menor hist.)</t>
        </is>
      </c>
      <c r="R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15" t="n">
        <v>41.64</v>
      </c>
      <c r="N2434" s="7" t="inlineStr">
        <is>
          <t>CENTROFARMA</t>
        </is>
      </c>
      <c r="O2434" s="8" t="n">
        <v>41.64</v>
      </c>
      <c r="P2434" s="14">
        <f>O2434/H2434-1</f>
        <v/>
      </c>
      <c r="Q2434" s="17" t="inlineStr">
        <is>
          <t>OK (≤ menor hist.)</t>
        </is>
      </c>
      <c r="R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8" t="n"/>
      <c r="N2435" s="7" t="inlineStr">
        <is>
          <t>SEM COTAÇÃO</t>
        </is>
      </c>
      <c r="O2435" s="8" t="n"/>
      <c r="P2435" s="14" t="n"/>
      <c r="Q2435" s="7" t="inlineStr"/>
      <c r="R2435" s="7" t="inlineStr"/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8" t="n"/>
      <c r="N2436" s="7" t="inlineStr">
        <is>
          <t>SEM COTAÇÃO</t>
        </is>
      </c>
      <c r="O2436" s="8" t="n"/>
      <c r="P2436" s="14" t="n"/>
      <c r="Q2436" s="7" t="inlineStr"/>
      <c r="R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8" t="n"/>
      <c r="N2437" s="7" t="inlineStr">
        <is>
          <t>SEM COTAÇÃO</t>
        </is>
      </c>
      <c r="O2437" s="8" t="n"/>
      <c r="P2437" s="14" t="n"/>
      <c r="Q2437" s="7" t="inlineStr"/>
      <c r="R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8" t="n"/>
      <c r="N2438" s="7" t="inlineStr">
        <is>
          <t>SEM COTAÇÃO</t>
        </is>
      </c>
      <c r="O2438" s="8" t="n"/>
      <c r="P2438" s="14" t="n"/>
      <c r="Q2438" s="7" t="inlineStr"/>
      <c r="R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8" t="n"/>
      <c r="N2439" s="7" t="inlineStr">
        <is>
          <t>SEM COTAÇÃO</t>
        </is>
      </c>
      <c r="O2439" s="8" t="n"/>
      <c r="P2439" s="14" t="n"/>
      <c r="Q2439" s="7" t="inlineStr"/>
      <c r="R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8" t="n"/>
      <c r="N2440" s="7" t="inlineStr">
        <is>
          <t>SEM COTAÇÃO</t>
        </is>
      </c>
      <c r="O2440" s="8" t="n"/>
      <c r="P2440" s="14" t="n"/>
      <c r="Q2440" s="7" t="inlineStr"/>
      <c r="R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8" t="n"/>
      <c r="N2441" s="7" t="inlineStr">
        <is>
          <t>DIMEC</t>
        </is>
      </c>
      <c r="O2441" s="8" t="n">
        <v>126.14</v>
      </c>
      <c r="P2441" s="14">
        <f>O2441/H2441-1</f>
        <v/>
      </c>
      <c r="Q2441" s="16" t="inlineStr">
        <is>
          <t>ACIMA +8876.7%</t>
        </is>
      </c>
      <c r="R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8" t="n"/>
      <c r="N2442" s="7" t="inlineStr">
        <is>
          <t>SEM COTAÇÃO</t>
        </is>
      </c>
      <c r="O2442" s="8" t="n"/>
      <c r="P2442" s="14" t="n"/>
      <c r="Q2442" s="7" t="inlineStr"/>
      <c r="R2442" s="7" t="inlineStr"/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8" t="n"/>
      <c r="N2443" s="7" t="inlineStr">
        <is>
          <t>PLUSFARMA</t>
        </is>
      </c>
      <c r="O2443" s="8" t="n">
        <v>24.46</v>
      </c>
      <c r="P2443" s="14">
        <f>O2443/H2443-1</f>
        <v/>
      </c>
      <c r="Q2443" s="16" t="inlineStr">
        <is>
          <t>ACIMA +25.4%</t>
        </is>
      </c>
      <c r="R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15" t="n">
        <v>33.56</v>
      </c>
      <c r="N2444" s="7" t="inlineStr">
        <is>
          <t>CENTROFARMA</t>
        </is>
      </c>
      <c r="O2444" s="8" t="n">
        <v>33.56</v>
      </c>
      <c r="P2444" s="14">
        <f>O2444/H2444-1</f>
        <v/>
      </c>
      <c r="Q2444" s="16" t="inlineStr">
        <is>
          <t>ACIMA +1013.3%</t>
        </is>
      </c>
      <c r="R2444" s="7" t="inlineStr">
        <is>
          <t>CENTROFARMA: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8" t="n"/>
      <c r="N2445" s="7" t="inlineStr">
        <is>
          <t>SEM COTAÇÃO</t>
        </is>
      </c>
      <c r="O2445" s="8" t="n"/>
      <c r="P2445" s="14" t="n"/>
      <c r="Q2445" s="7" t="inlineStr"/>
      <c r="R2445" s="7" t="inlineStr"/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8" t="n">
        <v>3.25</v>
      </c>
      <c r="L2446" s="8" t="n"/>
      <c r="M2446" s="15" t="n">
        <v>3.19</v>
      </c>
      <c r="N2446" s="7" t="inlineStr">
        <is>
          <t>CENTROFARMA</t>
        </is>
      </c>
      <c r="O2446" s="8" t="n">
        <v>3.19</v>
      </c>
      <c r="P2446" s="14">
        <f>O2446/H2446-1</f>
        <v/>
      </c>
      <c r="Q2446" s="16" t="inlineStr">
        <is>
          <t>ACIMA +20.8%</t>
        </is>
      </c>
      <c r="R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8" t="n"/>
      <c r="N2447" s="7" t="inlineStr">
        <is>
          <t>SEM COTAÇÃO</t>
        </is>
      </c>
      <c r="O2447" s="8" t="n"/>
      <c r="P2447" s="14" t="n"/>
      <c r="Q2447" s="7" t="inlineStr"/>
      <c r="R2447" s="7" t="inlineStr"/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15" t="n">
        <v>15.04</v>
      </c>
      <c r="N2448" s="7" t="inlineStr">
        <is>
          <t>CENTROFARMA</t>
        </is>
      </c>
      <c r="O2448" s="8" t="n">
        <v>15.04</v>
      </c>
      <c r="P2448" s="14">
        <f>O2448/H2448-1</f>
        <v/>
      </c>
      <c r="Q2448" s="16" t="inlineStr">
        <is>
          <t>ACIMA +15.2%</t>
        </is>
      </c>
      <c r="R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8" t="n"/>
      <c r="N2449" s="7" t="inlineStr">
        <is>
          <t>DIMEC</t>
        </is>
      </c>
      <c r="O2449" s="8" t="n">
        <v>8.1</v>
      </c>
      <c r="P2449" s="14">
        <f>O2449/H2449-1</f>
        <v/>
      </c>
      <c r="Q2449" s="17" t="inlineStr">
        <is>
          <t>OK (≤ menor hist.)</t>
        </is>
      </c>
      <c r="R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8" t="n"/>
      <c r="N2450" s="7" t="inlineStr">
        <is>
          <t>SEM COTAÇÃO</t>
        </is>
      </c>
      <c r="O2450" s="8" t="n"/>
      <c r="P2450" s="14" t="n"/>
      <c r="Q2450" s="7" t="inlineStr"/>
      <c r="R2450" s="7" t="inlineStr"/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8" t="n"/>
      <c r="N2451" s="7" t="inlineStr">
        <is>
          <t>SEM COTAÇÃO</t>
        </is>
      </c>
      <c r="O2451" s="8" t="n"/>
      <c r="P2451" s="14" t="n"/>
      <c r="Q2451" s="7" t="inlineStr"/>
      <c r="R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8" t="n"/>
      <c r="N2452" s="7" t="inlineStr">
        <is>
          <t>SEM COTAÇÃO</t>
        </is>
      </c>
      <c r="O2452" s="8" t="n"/>
      <c r="P2452" s="14" t="n"/>
      <c r="Q2452" s="7" t="inlineStr"/>
      <c r="R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8" t="n"/>
      <c r="N2453" s="7" t="inlineStr">
        <is>
          <t>SEM COTAÇÃO</t>
        </is>
      </c>
      <c r="O2453" s="8" t="n"/>
      <c r="P2453" s="14" t="n"/>
      <c r="Q2453" s="7" t="inlineStr"/>
      <c r="R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8" t="n">
        <v>160.39</v>
      </c>
      <c r="N2454" s="7" t="inlineStr">
        <is>
          <t>EPAN</t>
        </is>
      </c>
      <c r="O2454" s="8" t="n">
        <v>117.53</v>
      </c>
      <c r="P2454" s="14">
        <f>O2454/H2454-1</f>
        <v/>
      </c>
      <c r="Q2454" s="17" t="inlineStr">
        <is>
          <t>OK (≤ menor hist.)</t>
        </is>
      </c>
      <c r="R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8" t="n"/>
      <c r="N2455" s="7" t="inlineStr">
        <is>
          <t>SEM COTAÇÃO</t>
        </is>
      </c>
      <c r="O2455" s="8" t="n"/>
      <c r="P2455" s="14" t="n"/>
      <c r="Q2455" s="7" t="inlineStr"/>
      <c r="R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8" t="n"/>
      <c r="N2456" s="7" t="inlineStr">
        <is>
          <t>SEM COTAÇÃO</t>
        </is>
      </c>
      <c r="O2456" s="8" t="n"/>
      <c r="P2456" s="14" t="n"/>
      <c r="Q2456" s="7" t="inlineStr"/>
      <c r="R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8" t="n"/>
      <c r="N2457" s="7" t="inlineStr">
        <is>
          <t>SEM COTAÇÃO</t>
        </is>
      </c>
      <c r="O2457" s="8" t="n"/>
      <c r="P2457" s="14" t="n"/>
      <c r="Q2457" s="7" t="inlineStr"/>
      <c r="R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8" t="n">
        <v>2.13</v>
      </c>
      <c r="N2458" s="7" t="inlineStr">
        <is>
          <t>DIMEC</t>
        </is>
      </c>
      <c r="O2458" s="8" t="n">
        <v>2.08</v>
      </c>
      <c r="P2458" s="14">
        <f>O2458/H2458-1</f>
        <v/>
      </c>
      <c r="Q2458" s="16" t="inlineStr">
        <is>
          <t>ACIMA +3.0%</t>
        </is>
      </c>
      <c r="R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8" t="n"/>
      <c r="N2459" s="7" t="inlineStr">
        <is>
          <t>PLUSFARMA</t>
        </is>
      </c>
      <c r="O2459" s="8" t="n">
        <v>15.11</v>
      </c>
      <c r="P2459" s="14">
        <f>O2459/H2459-1</f>
        <v/>
      </c>
      <c r="Q2459" s="16" t="inlineStr">
        <is>
          <t>ACIMA +3.8%</t>
        </is>
      </c>
      <c r="R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15" t="n">
        <v>7.85</v>
      </c>
      <c r="K2460" s="8" t="n"/>
      <c r="L2460" s="8" t="n"/>
      <c r="M2460" s="8" t="n"/>
      <c r="N2460" s="7" t="inlineStr">
        <is>
          <t>DIMEC</t>
        </is>
      </c>
      <c r="O2460" s="8" t="n">
        <v>7.85</v>
      </c>
      <c r="P2460" s="14">
        <f>O2460/H2460-1</f>
        <v/>
      </c>
      <c r="Q2460" s="16" t="inlineStr">
        <is>
          <t>ACIMA +7.2%</t>
        </is>
      </c>
      <c r="R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8" t="n"/>
      <c r="N2461" s="7" t="inlineStr">
        <is>
          <t>SEM COTAÇÃO</t>
        </is>
      </c>
      <c r="O2461" s="8" t="n"/>
      <c r="P2461" s="14" t="n"/>
      <c r="Q2461" s="7" t="inlineStr"/>
      <c r="R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8" t="n"/>
      <c r="N2462" s="7" t="inlineStr">
        <is>
          <t>SEM COTAÇÃO</t>
        </is>
      </c>
      <c r="O2462" s="8" t="n"/>
      <c r="P2462" s="14" t="n"/>
      <c r="Q2462" s="7" t="inlineStr"/>
      <c r="R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8" t="n"/>
      <c r="N2463" s="7" t="inlineStr">
        <is>
          <t>SEM COTAÇÃO</t>
        </is>
      </c>
      <c r="O2463" s="8" t="n"/>
      <c r="P2463" s="14" t="n"/>
      <c r="Q2463" s="7" t="inlineStr"/>
      <c r="R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8" t="n"/>
      <c r="N2464" s="7" t="inlineStr">
        <is>
          <t>SEM COTAÇÃO</t>
        </is>
      </c>
      <c r="O2464" s="8" t="n"/>
      <c r="P2464" s="14" t="n"/>
      <c r="Q2464" s="7" t="inlineStr"/>
      <c r="R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8" t="n"/>
      <c r="N2465" s="7" t="inlineStr">
        <is>
          <t>SEM COTAÇÃO</t>
        </is>
      </c>
      <c r="O2465" s="8" t="n"/>
      <c r="P2465" s="14" t="n"/>
      <c r="Q2465" s="7" t="inlineStr"/>
      <c r="R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8" t="n"/>
      <c r="N2466" s="7" t="inlineStr">
        <is>
          <t>SEM COTAÇÃO</t>
        </is>
      </c>
      <c r="O2466" s="8" t="n"/>
      <c r="P2466" s="14" t="n"/>
      <c r="Q2466" s="7" t="inlineStr"/>
      <c r="R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8" t="n"/>
      <c r="N2467" s="7" t="inlineStr">
        <is>
          <t>SEM COTAÇÃO</t>
        </is>
      </c>
      <c r="O2467" s="8" t="n"/>
      <c r="P2467" s="14" t="n"/>
      <c r="Q2467" s="7" t="inlineStr"/>
      <c r="R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8" t="n"/>
      <c r="N2468" s="7" t="inlineStr">
        <is>
          <t>SEM COTAÇÃO</t>
        </is>
      </c>
      <c r="O2468" s="8" t="n"/>
      <c r="P2468" s="14" t="n"/>
      <c r="Q2468" s="7" t="inlineStr"/>
      <c r="R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8" t="n"/>
      <c r="N2469" s="7" t="inlineStr">
        <is>
          <t>SEM COTAÇÃO</t>
        </is>
      </c>
      <c r="O2469" s="8" t="n"/>
      <c r="P2469" s="14" t="n"/>
      <c r="Q2469" s="7" t="inlineStr"/>
      <c r="R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8" t="n"/>
      <c r="N2470" s="7" t="inlineStr">
        <is>
          <t>SEM COTAÇÃO</t>
        </is>
      </c>
      <c r="O2470" s="8" t="n"/>
      <c r="P2470" s="14" t="n"/>
      <c r="Q2470" s="7" t="inlineStr"/>
      <c r="R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8" t="n"/>
      <c r="N2471" s="7" t="inlineStr">
        <is>
          <t>SEM COTAÇÃO</t>
        </is>
      </c>
      <c r="O2471" s="8" t="n"/>
      <c r="P2471" s="14" t="n"/>
      <c r="Q2471" s="7" t="inlineStr"/>
      <c r="R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8" t="n"/>
      <c r="N2472" s="7" t="inlineStr">
        <is>
          <t>SEM COTAÇÃO</t>
        </is>
      </c>
      <c r="O2472" s="8" t="n"/>
      <c r="P2472" s="14" t="n"/>
      <c r="Q2472" s="7" t="inlineStr"/>
      <c r="R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7" t="inlineStr">
        <is>
          <t>SEM COTAÇÃO</t>
        </is>
      </c>
      <c r="O2473" s="8" t="n"/>
      <c r="P2473" s="14" t="n"/>
      <c r="Q2473" s="7" t="inlineStr"/>
      <c r="R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8" t="n"/>
      <c r="N2474" s="7" t="inlineStr">
        <is>
          <t>SEM COTAÇÃO</t>
        </is>
      </c>
      <c r="O2474" s="8" t="n"/>
      <c r="P2474" s="14" t="n"/>
      <c r="Q2474" s="7" t="inlineStr"/>
      <c r="R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8" t="n"/>
      <c r="N2475" s="7" t="inlineStr">
        <is>
          <t>SEM COTAÇÃO</t>
        </is>
      </c>
      <c r="O2475" s="8" t="n"/>
      <c r="P2475" s="14" t="n"/>
      <c r="Q2475" s="7" t="inlineStr"/>
      <c r="R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8" t="n"/>
      <c r="N2476" s="7" t="inlineStr">
        <is>
          <t>SEM COTAÇÃO</t>
        </is>
      </c>
      <c r="O2476" s="8" t="n"/>
      <c r="P2476" s="14" t="n"/>
      <c r="Q2476" s="7" t="inlineStr"/>
      <c r="R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8" t="n"/>
      <c r="N2477" s="7" t="inlineStr">
        <is>
          <t>SEM COTAÇÃO</t>
        </is>
      </c>
      <c r="O2477" s="8" t="n"/>
      <c r="P2477" s="14" t="n"/>
      <c r="Q2477" s="7" t="inlineStr"/>
      <c r="R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8" t="n"/>
      <c r="N2478" s="7" t="inlineStr">
        <is>
          <t>SEM COTAÇÃO</t>
        </is>
      </c>
      <c r="O2478" s="8" t="n"/>
      <c r="P2478" s="14" t="n"/>
      <c r="Q2478" s="7" t="inlineStr"/>
      <c r="R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8" t="n"/>
      <c r="N2479" s="7" t="inlineStr">
        <is>
          <t>SEM COTAÇÃO</t>
        </is>
      </c>
      <c r="O2479" s="8" t="n"/>
      <c r="P2479" s="14" t="n"/>
      <c r="Q2479" s="7" t="inlineStr"/>
      <c r="R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8" t="n"/>
      <c r="N2480" s="7" t="inlineStr">
        <is>
          <t>SEM COTAÇÃO</t>
        </is>
      </c>
      <c r="O2480" s="8" t="n"/>
      <c r="P2480" s="14" t="n"/>
      <c r="Q2480" s="7" t="inlineStr"/>
      <c r="R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8" t="n"/>
      <c r="N2481" s="7" t="inlineStr">
        <is>
          <t>SEM COTAÇÃO</t>
        </is>
      </c>
      <c r="O2481" s="8" t="n"/>
      <c r="P2481" s="14" t="n"/>
      <c r="Q2481" s="7" t="inlineStr"/>
      <c r="R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8" t="n"/>
      <c r="N2482" s="7" t="inlineStr">
        <is>
          <t>PLUSFARMA</t>
        </is>
      </c>
      <c r="O2482" s="8" t="n">
        <v>36.39</v>
      </c>
      <c r="P2482" s="14">
        <f>O2482/H2482-1</f>
        <v/>
      </c>
      <c r="Q2482" s="16" t="inlineStr">
        <is>
          <t>ACIMA +17.0%</t>
        </is>
      </c>
      <c r="R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8" t="n"/>
      <c r="N2483" s="7" t="inlineStr">
        <is>
          <t>SEM COTAÇÃO</t>
        </is>
      </c>
      <c r="O2483" s="8" t="n"/>
      <c r="P2483" s="14" t="n"/>
      <c r="Q2483" s="7" t="inlineStr"/>
      <c r="R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15" t="n">
        <v>58.84</v>
      </c>
      <c r="M2484" s="8" t="n"/>
      <c r="N2484" s="7" t="inlineStr">
        <is>
          <t>EPAN</t>
        </is>
      </c>
      <c r="O2484" s="8" t="n">
        <v>58.84</v>
      </c>
      <c r="P2484" s="14">
        <f>O2484/H2484-1</f>
        <v/>
      </c>
      <c r="Q2484" s="17" t="inlineStr">
        <is>
          <t>OK (≤ últ. compra)</t>
        </is>
      </c>
      <c r="R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8" t="n"/>
      <c r="N2485" s="7" t="inlineStr">
        <is>
          <t>SEM COTAÇÃO</t>
        </is>
      </c>
      <c r="O2485" s="8" t="n"/>
      <c r="P2485" s="14" t="n"/>
      <c r="Q2485" s="7" t="inlineStr"/>
      <c r="R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8" t="n"/>
      <c r="N2486" s="7" t="inlineStr">
        <is>
          <t>SEM COTAÇÃO</t>
        </is>
      </c>
      <c r="O2486" s="8" t="n"/>
      <c r="P2486" s="14" t="n"/>
      <c r="Q2486" s="7" t="inlineStr"/>
      <c r="R2486" s="7" t="inlineStr"/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8" t="n"/>
      <c r="N2487" s="7" t="inlineStr">
        <is>
          <t>SEM COTAÇÃO</t>
        </is>
      </c>
      <c r="O2487" s="8" t="n"/>
      <c r="P2487" s="14" t="n"/>
      <c r="Q2487" s="7" t="inlineStr"/>
      <c r="R2487" s="7" t="inlineStr"/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8" t="n"/>
      <c r="N2488" s="7" t="inlineStr">
        <is>
          <t>SEM COTAÇÃO</t>
        </is>
      </c>
      <c r="O2488" s="8" t="n"/>
      <c r="P2488" s="14" t="n"/>
      <c r="Q2488" s="7" t="inlineStr"/>
      <c r="R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8" t="n"/>
      <c r="N2489" s="7" t="inlineStr">
        <is>
          <t>SEM COTAÇÃO</t>
        </is>
      </c>
      <c r="O2489" s="8" t="n"/>
      <c r="P2489" s="14" t="n"/>
      <c r="Q2489" s="7" t="inlineStr"/>
      <c r="R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8" t="n"/>
      <c r="N2490" s="7" t="inlineStr">
        <is>
          <t>SEM COTAÇÃO</t>
        </is>
      </c>
      <c r="O2490" s="8" t="n"/>
      <c r="P2490" s="14" t="n"/>
      <c r="Q2490" s="7" t="inlineStr"/>
      <c r="R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8" t="n"/>
      <c r="N2491" s="7" t="inlineStr">
        <is>
          <t>SEM COTAÇÃO</t>
        </is>
      </c>
      <c r="O2491" s="8" t="n"/>
      <c r="P2491" s="14" t="n"/>
      <c r="Q2491" s="7" t="inlineStr"/>
      <c r="R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8" t="n"/>
      <c r="N2492" s="7" t="inlineStr">
        <is>
          <t>SEM COTAÇÃO</t>
        </is>
      </c>
      <c r="O2492" s="8" t="n"/>
      <c r="P2492" s="14" t="n"/>
      <c r="Q2492" s="7" t="inlineStr"/>
      <c r="R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8" t="n"/>
      <c r="N2493" s="7" t="inlineStr">
        <is>
          <t>SEM COTAÇÃO</t>
        </is>
      </c>
      <c r="O2493" s="8" t="n"/>
      <c r="P2493" s="14" t="n"/>
      <c r="Q2493" s="7" t="inlineStr"/>
      <c r="R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8" t="n"/>
      <c r="N2494" s="7" t="inlineStr">
        <is>
          <t>SEM COTAÇÃO</t>
        </is>
      </c>
      <c r="O2494" s="8" t="n"/>
      <c r="P2494" s="14" t="n"/>
      <c r="Q2494" s="7" t="inlineStr"/>
      <c r="R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8" t="n"/>
      <c r="N2495" s="7" t="inlineStr">
        <is>
          <t>SEM COTAÇÃO</t>
        </is>
      </c>
      <c r="O2495" s="8" t="n"/>
      <c r="P2495" s="14" t="n"/>
      <c r="Q2495" s="7" t="inlineStr"/>
      <c r="R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8" t="n"/>
      <c r="N2496" s="7" t="inlineStr">
        <is>
          <t>SEM COTAÇÃO</t>
        </is>
      </c>
      <c r="O2496" s="8" t="n"/>
      <c r="P2496" s="14" t="n"/>
      <c r="Q2496" s="7" t="inlineStr"/>
      <c r="R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8" t="n"/>
      <c r="N2497" s="7" t="inlineStr">
        <is>
          <t>SEM COTAÇÃO</t>
        </is>
      </c>
      <c r="O2497" s="8" t="n"/>
      <c r="P2497" s="14" t="n"/>
      <c r="Q2497" s="7" t="inlineStr"/>
      <c r="R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8" t="n"/>
      <c r="N2498" s="7" t="inlineStr">
        <is>
          <t>DIMEC</t>
        </is>
      </c>
      <c r="O2498" s="8" t="n">
        <v>5.67</v>
      </c>
      <c r="P2498" s="14">
        <f>O2498/H2498-1</f>
        <v/>
      </c>
      <c r="Q2498" s="17" t="inlineStr">
        <is>
          <t>OK (≤ últ. compra)</t>
        </is>
      </c>
      <c r="R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8" t="n"/>
      <c r="N2499" s="7" t="inlineStr">
        <is>
          <t>SEM COTAÇÃO</t>
        </is>
      </c>
      <c r="O2499" s="8" t="n"/>
      <c r="P2499" s="14" t="n"/>
      <c r="Q2499" s="7" t="inlineStr"/>
      <c r="R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8" t="n"/>
      <c r="N2500" s="7" t="inlineStr">
        <is>
          <t>SEM COTAÇÃO</t>
        </is>
      </c>
      <c r="O2500" s="8" t="n"/>
      <c r="P2500" s="14" t="n"/>
      <c r="Q2500" s="7" t="inlineStr"/>
      <c r="R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7" t="inlineStr">
        <is>
          <t>SEM COTAÇÃO</t>
        </is>
      </c>
      <c r="O2501" s="8" t="n"/>
      <c r="P2501" s="14" t="n"/>
      <c r="Q2501" s="7" t="inlineStr"/>
      <c r="R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7" t="inlineStr">
        <is>
          <t>SEM COTAÇÃO</t>
        </is>
      </c>
      <c r="O2502" s="8" t="n"/>
      <c r="P2502" s="14" t="n"/>
      <c r="Q2502" s="7" t="inlineStr"/>
      <c r="R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7" t="inlineStr">
        <is>
          <t>SEM COTAÇÃO</t>
        </is>
      </c>
      <c r="O2503" s="8" t="n"/>
      <c r="P2503" s="14" t="n"/>
      <c r="Q2503" s="7" t="inlineStr"/>
      <c r="R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7" t="inlineStr">
        <is>
          <t>SEM COTAÇÃO</t>
        </is>
      </c>
      <c r="O2504" s="8" t="n"/>
      <c r="P2504" s="14" t="n"/>
      <c r="Q2504" s="7" t="inlineStr"/>
      <c r="R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7" t="inlineStr">
        <is>
          <t>SEM COTAÇÃO</t>
        </is>
      </c>
      <c r="O2505" s="8" t="n"/>
      <c r="P2505" s="14" t="n"/>
      <c r="Q2505" s="7" t="inlineStr"/>
      <c r="R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8" t="n"/>
      <c r="N2506" s="7" t="inlineStr">
        <is>
          <t>EPAN</t>
        </is>
      </c>
      <c r="O2506" s="8" t="n">
        <v>17.47</v>
      </c>
      <c r="P2506" s="14">
        <f>O2506/H2506-1</f>
        <v/>
      </c>
      <c r="Q2506" s="17" t="inlineStr">
        <is>
          <t>OK (≤ menor hist.)</t>
        </is>
      </c>
      <c r="R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8" t="n"/>
      <c r="N2507" s="7" t="inlineStr">
        <is>
          <t>EPAN</t>
        </is>
      </c>
      <c r="O2507" s="8" t="n">
        <v>77.37</v>
      </c>
      <c r="P2507" s="14">
        <f>O2507/H2507-1</f>
        <v/>
      </c>
      <c r="Q2507" s="17" t="inlineStr">
        <is>
          <t>OK (≤ últ. compra)</t>
        </is>
      </c>
      <c r="R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15" t="n">
        <v>128.35</v>
      </c>
      <c r="M2508" s="8" t="n"/>
      <c r="N2508" s="7" t="inlineStr">
        <is>
          <t>EPAN</t>
        </is>
      </c>
      <c r="O2508" s="8" t="n">
        <v>128.35</v>
      </c>
      <c r="P2508" s="14">
        <f>O2508/H2508-1</f>
        <v/>
      </c>
      <c r="Q2508" s="17" t="inlineStr">
        <is>
          <t>OK (≤ últ. compra)</t>
        </is>
      </c>
      <c r="R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15" t="n">
        <v>8.73</v>
      </c>
      <c r="K2509" s="8" t="n"/>
      <c r="L2509" s="8" t="n"/>
      <c r="M2509" s="8" t="n">
        <v>8.85</v>
      </c>
      <c r="N2509" s="7" t="inlineStr">
        <is>
          <t>DIMEC</t>
        </is>
      </c>
      <c r="O2509" s="8" t="n">
        <v>8.73</v>
      </c>
      <c r="P2509" s="14">
        <f>O2509/H2509-1</f>
        <v/>
      </c>
      <c r="Q2509" s="16" t="inlineStr">
        <is>
          <t>ACIMA +3.8%</t>
        </is>
      </c>
      <c r="R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8" t="n"/>
      <c r="N2510" s="7" t="inlineStr">
        <is>
          <t>SEM COTAÇÃO</t>
        </is>
      </c>
      <c r="O2510" s="8" t="n"/>
      <c r="P2510" s="14" t="n"/>
      <c r="Q2510" s="7" t="inlineStr"/>
      <c r="R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8" t="n"/>
      <c r="N2511" s="7" t="inlineStr">
        <is>
          <t>SEM COTAÇÃO</t>
        </is>
      </c>
      <c r="O2511" s="8" t="n"/>
      <c r="P2511" s="14" t="n"/>
      <c r="Q2511" s="7" t="inlineStr"/>
      <c r="R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8" t="n"/>
      <c r="N2512" s="7" t="inlineStr">
        <is>
          <t>SEM COTAÇÃO</t>
        </is>
      </c>
      <c r="O2512" s="8" t="n"/>
      <c r="P2512" s="14" t="n"/>
      <c r="Q2512" s="7" t="inlineStr"/>
      <c r="R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8" t="n"/>
      <c r="N2513" s="7" t="inlineStr">
        <is>
          <t>SEM COTAÇÃO</t>
        </is>
      </c>
      <c r="O2513" s="8" t="n"/>
      <c r="P2513" s="14" t="n"/>
      <c r="Q2513" s="7" t="inlineStr"/>
      <c r="R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8" t="n"/>
      <c r="N2514" s="7" t="inlineStr">
        <is>
          <t>SEM COTAÇÃO</t>
        </is>
      </c>
      <c r="O2514" s="8" t="n"/>
      <c r="P2514" s="14" t="n"/>
      <c r="Q2514" s="7" t="inlineStr"/>
      <c r="R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8" t="n"/>
      <c r="N2515" s="7" t="inlineStr">
        <is>
          <t>SEM COTAÇÃO</t>
        </is>
      </c>
      <c r="O2515" s="8" t="n"/>
      <c r="P2515" s="14" t="n"/>
      <c r="Q2515" s="7" t="inlineStr"/>
      <c r="R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8" t="n"/>
      <c r="N2516" s="7" t="inlineStr">
        <is>
          <t>SEM COTAÇÃO</t>
        </is>
      </c>
      <c r="O2516" s="8" t="n"/>
      <c r="P2516" s="14" t="n"/>
      <c r="Q2516" s="7" t="inlineStr"/>
      <c r="R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8" t="n"/>
      <c r="N2517" s="7" t="inlineStr">
        <is>
          <t>SEM COTAÇÃO</t>
        </is>
      </c>
      <c r="O2517" s="8" t="n"/>
      <c r="P2517" s="14" t="n"/>
      <c r="Q2517" s="7" t="inlineStr"/>
      <c r="R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8" t="n"/>
      <c r="N2518" s="7" t="inlineStr">
        <is>
          <t>SEM COTAÇÃO</t>
        </is>
      </c>
      <c r="O2518" s="8" t="n"/>
      <c r="P2518" s="14" t="n"/>
      <c r="Q2518" s="7" t="inlineStr"/>
      <c r="R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8" t="n"/>
      <c r="N2519" s="7" t="inlineStr">
        <is>
          <t>SEM COTAÇÃO</t>
        </is>
      </c>
      <c r="O2519" s="8" t="n"/>
      <c r="P2519" s="14" t="n"/>
      <c r="Q2519" s="7" t="inlineStr"/>
      <c r="R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8" t="n"/>
      <c r="N2520" s="7" t="inlineStr">
        <is>
          <t>SEM COTAÇÃO</t>
        </is>
      </c>
      <c r="O2520" s="8" t="n"/>
      <c r="P2520" s="14" t="n"/>
      <c r="Q2520" s="7" t="inlineStr"/>
      <c r="R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8" t="n"/>
      <c r="N2521" s="7" t="inlineStr">
        <is>
          <t>SEM COTAÇÃO</t>
        </is>
      </c>
      <c r="O2521" s="8" t="n"/>
      <c r="P2521" s="14" t="n"/>
      <c r="Q2521" s="7" t="inlineStr"/>
      <c r="R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8" t="n"/>
      <c r="N2522" s="7" t="inlineStr">
        <is>
          <t>SEM COTAÇÃO</t>
        </is>
      </c>
      <c r="O2522" s="8" t="n"/>
      <c r="P2522" s="14" t="n"/>
      <c r="Q2522" s="7" t="inlineStr"/>
      <c r="R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8" t="n"/>
      <c r="N2523" s="7" t="inlineStr">
        <is>
          <t>SEM COTAÇÃO</t>
        </is>
      </c>
      <c r="O2523" s="8" t="n"/>
      <c r="P2523" s="14" t="n"/>
      <c r="Q2523" s="7" t="inlineStr"/>
      <c r="R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8" t="n"/>
      <c r="N2524" s="7" t="inlineStr">
        <is>
          <t>SEM COTAÇÃO</t>
        </is>
      </c>
      <c r="O2524" s="8" t="n"/>
      <c r="P2524" s="14" t="n"/>
      <c r="Q2524" s="7" t="inlineStr"/>
      <c r="R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8" t="n"/>
      <c r="N2525" s="7" t="inlineStr">
        <is>
          <t>SEM COTAÇÃO</t>
        </is>
      </c>
      <c r="O2525" s="8" t="n"/>
      <c r="P2525" s="14" t="n"/>
      <c r="Q2525" s="7" t="inlineStr"/>
      <c r="R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8" t="n"/>
      <c r="N2526" s="7" t="inlineStr">
        <is>
          <t>SEM COTAÇÃO</t>
        </is>
      </c>
      <c r="O2526" s="8" t="n"/>
      <c r="P2526" s="14" t="n"/>
      <c r="Q2526" s="7" t="inlineStr"/>
      <c r="R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8" t="n"/>
      <c r="N2527" s="7" t="inlineStr">
        <is>
          <t>SEM COTAÇÃO</t>
        </is>
      </c>
      <c r="O2527" s="8" t="n"/>
      <c r="P2527" s="14" t="n"/>
      <c r="Q2527" s="7" t="inlineStr"/>
      <c r="R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8" t="n"/>
      <c r="N2528" s="7" t="inlineStr">
        <is>
          <t>SEM COTAÇÃO</t>
        </is>
      </c>
      <c r="O2528" s="8" t="n"/>
      <c r="P2528" s="14" t="n"/>
      <c r="Q2528" s="7" t="inlineStr"/>
      <c r="R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8" t="n"/>
      <c r="N2529" s="7" t="inlineStr">
        <is>
          <t>SEM COTAÇÃO</t>
        </is>
      </c>
      <c r="O2529" s="8" t="n"/>
      <c r="P2529" s="14" t="n"/>
      <c r="Q2529" s="7" t="inlineStr"/>
      <c r="R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8" t="n"/>
      <c r="N2530" s="7" t="inlineStr">
        <is>
          <t>SEM COTAÇÃO</t>
        </is>
      </c>
      <c r="O2530" s="8" t="n"/>
      <c r="P2530" s="14" t="n"/>
      <c r="Q2530" s="7" t="inlineStr"/>
      <c r="R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7" t="inlineStr">
        <is>
          <t>SEM COTAÇÃO</t>
        </is>
      </c>
      <c r="O2531" s="8" t="n"/>
      <c r="P2531" s="14" t="n"/>
      <c r="Q2531" s="7" t="inlineStr"/>
      <c r="R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8" t="n"/>
      <c r="N2532" s="7" t="inlineStr">
        <is>
          <t>SEM COTAÇÃO</t>
        </is>
      </c>
      <c r="O2532" s="8" t="n"/>
      <c r="P2532" s="14" t="n"/>
      <c r="Q2532" s="7" t="inlineStr"/>
      <c r="R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8" t="n"/>
      <c r="N2533" s="7" t="inlineStr">
        <is>
          <t>SEM COTAÇÃO</t>
        </is>
      </c>
      <c r="O2533" s="8" t="n"/>
      <c r="P2533" s="14" t="n"/>
      <c r="Q2533" s="7" t="inlineStr"/>
      <c r="R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7" t="inlineStr">
        <is>
          <t>SEM COTAÇÃO</t>
        </is>
      </c>
      <c r="O2534" s="8" t="n"/>
      <c r="P2534" s="14" t="n"/>
      <c r="Q2534" s="7" t="inlineStr"/>
      <c r="R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8" t="n"/>
      <c r="N2535" s="7" t="inlineStr">
        <is>
          <t>SEM COTAÇÃO</t>
        </is>
      </c>
      <c r="O2535" s="8" t="n"/>
      <c r="P2535" s="14" t="n"/>
      <c r="Q2535" s="7" t="inlineStr"/>
      <c r="R2535" s="7" t="inlineStr"/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8" t="n"/>
      <c r="N2536" s="7" t="inlineStr">
        <is>
          <t>SEM COTAÇÃO</t>
        </is>
      </c>
      <c r="O2536" s="8" t="n"/>
      <c r="P2536" s="14" t="n"/>
      <c r="Q2536" s="7" t="inlineStr"/>
      <c r="R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8" t="n"/>
      <c r="N2537" s="7" t="inlineStr">
        <is>
          <t>SEM COTAÇÃO</t>
        </is>
      </c>
      <c r="O2537" s="8" t="n"/>
      <c r="P2537" s="14" t="n"/>
      <c r="Q2537" s="7" t="inlineStr"/>
      <c r="R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8" t="n"/>
      <c r="N2538" s="7" t="inlineStr">
        <is>
          <t>SEM COTAÇÃO</t>
        </is>
      </c>
      <c r="O2538" s="8" t="n"/>
      <c r="P2538" s="14" t="n"/>
      <c r="Q2538" s="7" t="inlineStr"/>
      <c r="R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8" t="n"/>
      <c r="N2539" s="7" t="inlineStr">
        <is>
          <t>SEM COTAÇÃO</t>
        </is>
      </c>
      <c r="O2539" s="8" t="n"/>
      <c r="P2539" s="14" t="n"/>
      <c r="Q2539" s="7" t="inlineStr"/>
      <c r="R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8" t="n"/>
      <c r="N2540" s="7" t="inlineStr">
        <is>
          <t>SEM COTAÇÃO</t>
        </is>
      </c>
      <c r="O2540" s="8" t="n"/>
      <c r="P2540" s="14" t="n"/>
      <c r="Q2540" s="7" t="inlineStr"/>
      <c r="R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8" t="n"/>
      <c r="N2541" s="7" t="inlineStr">
        <is>
          <t>SEM COTAÇÃO</t>
        </is>
      </c>
      <c r="O2541" s="8" t="n"/>
      <c r="P2541" s="14" t="n"/>
      <c r="Q2541" s="7" t="inlineStr"/>
      <c r="R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8" t="n"/>
      <c r="N2542" s="7" t="inlineStr">
        <is>
          <t>SEM COTAÇÃO</t>
        </is>
      </c>
      <c r="O2542" s="8" t="n"/>
      <c r="P2542" s="14" t="n"/>
      <c r="Q2542" s="7" t="inlineStr"/>
      <c r="R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8" t="n"/>
      <c r="N2543" s="7" t="inlineStr">
        <is>
          <t>SEM COTAÇÃO</t>
        </is>
      </c>
      <c r="O2543" s="8" t="n"/>
      <c r="P2543" s="14" t="n"/>
      <c r="Q2543" s="7" t="inlineStr"/>
      <c r="R2543" s="7" t="inlineStr"/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8" t="n"/>
      <c r="N2544" s="7" t="inlineStr">
        <is>
          <t>SEM COTAÇÃO</t>
        </is>
      </c>
      <c r="O2544" s="8" t="n"/>
      <c r="P2544" s="14" t="n"/>
      <c r="Q2544" s="7" t="inlineStr"/>
      <c r="R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8" t="n"/>
      <c r="N2545" s="7" t="inlineStr">
        <is>
          <t>SEM COTAÇÃO</t>
        </is>
      </c>
      <c r="O2545" s="8" t="n"/>
      <c r="P2545" s="14" t="n"/>
      <c r="Q2545" s="7" t="inlineStr"/>
      <c r="R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8" t="n"/>
      <c r="N2546" s="7" t="inlineStr">
        <is>
          <t>SEM COTAÇÃO</t>
        </is>
      </c>
      <c r="O2546" s="8" t="n"/>
      <c r="P2546" s="14" t="n"/>
      <c r="Q2546" s="7" t="inlineStr"/>
      <c r="R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8" t="n"/>
      <c r="N2547" s="7" t="inlineStr">
        <is>
          <t>SEM COTAÇÃO</t>
        </is>
      </c>
      <c r="O2547" s="8" t="n"/>
      <c r="P2547" s="14" t="n"/>
      <c r="Q2547" s="7" t="inlineStr"/>
      <c r="R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8" t="n"/>
      <c r="N2548" s="7" t="inlineStr">
        <is>
          <t>SEM COTAÇÃO</t>
        </is>
      </c>
      <c r="O2548" s="8" t="n"/>
      <c r="P2548" s="14" t="n"/>
      <c r="Q2548" s="7" t="inlineStr"/>
      <c r="R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7" t="inlineStr">
        <is>
          <t>SEM COTAÇÃO</t>
        </is>
      </c>
      <c r="O2549" s="8" t="n"/>
      <c r="P2549" s="14" t="n"/>
      <c r="Q2549" s="7" t="inlineStr"/>
      <c r="R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7" t="inlineStr">
        <is>
          <t>SEM COTAÇÃO</t>
        </is>
      </c>
      <c r="O2550" s="8" t="n"/>
      <c r="P2550" s="14" t="n"/>
      <c r="Q2550" s="7" t="inlineStr"/>
      <c r="R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8" t="n"/>
      <c r="N2551" s="7" t="inlineStr">
        <is>
          <t>SEM COTAÇÃO</t>
        </is>
      </c>
      <c r="O2551" s="8" t="n"/>
      <c r="P2551" s="14" t="n"/>
      <c r="Q2551" s="7" t="inlineStr"/>
      <c r="R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8" t="n"/>
      <c r="N2552" s="7" t="inlineStr">
        <is>
          <t>SEM COTAÇÃO</t>
        </is>
      </c>
      <c r="O2552" s="8" t="n"/>
      <c r="P2552" s="14" t="n"/>
      <c r="Q2552" s="7" t="inlineStr"/>
      <c r="R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8" t="n"/>
      <c r="N2553" s="7" t="inlineStr">
        <is>
          <t>SEM COTAÇÃO</t>
        </is>
      </c>
      <c r="O2553" s="8" t="n"/>
      <c r="P2553" s="14" t="n"/>
      <c r="Q2553" s="7" t="inlineStr"/>
      <c r="R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8" t="n"/>
      <c r="N2554" s="7" t="inlineStr">
        <is>
          <t>SEM COTAÇÃO</t>
        </is>
      </c>
      <c r="O2554" s="8" t="n"/>
      <c r="P2554" s="14" t="n"/>
      <c r="Q2554" s="7" t="inlineStr"/>
      <c r="R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8" t="n"/>
      <c r="N2555" s="7" t="inlineStr">
        <is>
          <t>SEM COTAÇÃO</t>
        </is>
      </c>
      <c r="O2555" s="8" t="n"/>
      <c r="P2555" s="14" t="n"/>
      <c r="Q2555" s="7" t="inlineStr"/>
      <c r="R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8" t="n"/>
      <c r="N2556" s="7" t="inlineStr">
        <is>
          <t>SEM COTAÇÃO</t>
        </is>
      </c>
      <c r="O2556" s="8" t="n"/>
      <c r="P2556" s="14" t="n"/>
      <c r="Q2556" s="7" t="inlineStr"/>
      <c r="R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8" t="n"/>
      <c r="N2557" s="7" t="inlineStr">
        <is>
          <t>SEM COTAÇÃO</t>
        </is>
      </c>
      <c r="O2557" s="8" t="n"/>
      <c r="P2557" s="14" t="n"/>
      <c r="Q2557" s="7" t="inlineStr"/>
      <c r="R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8" t="n"/>
      <c r="N2558" s="7" t="inlineStr">
        <is>
          <t>SEM COTAÇÃO</t>
        </is>
      </c>
      <c r="O2558" s="8" t="n"/>
      <c r="P2558" s="14" t="n"/>
      <c r="Q2558" s="7" t="inlineStr"/>
      <c r="R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7" t="inlineStr">
        <is>
          <t>SEM COTAÇÃO</t>
        </is>
      </c>
      <c r="O2559" s="8" t="n"/>
      <c r="P2559" s="14" t="n"/>
      <c r="Q2559" s="7" t="inlineStr"/>
      <c r="R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7" t="inlineStr">
        <is>
          <t>SEM COTAÇÃO</t>
        </is>
      </c>
      <c r="O2560" s="8" t="n"/>
      <c r="P2560" s="14" t="n"/>
      <c r="Q2560" s="7" t="inlineStr"/>
      <c r="R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8" t="n"/>
      <c r="N2561" s="7" t="inlineStr">
        <is>
          <t>SEM COTAÇÃO</t>
        </is>
      </c>
      <c r="O2561" s="8" t="n"/>
      <c r="P2561" s="14" t="n"/>
      <c r="Q2561" s="7" t="inlineStr"/>
      <c r="R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8" t="n"/>
      <c r="N2562" s="7" t="inlineStr">
        <is>
          <t>SEM COTAÇÃO</t>
        </is>
      </c>
      <c r="O2562" s="8" t="n"/>
      <c r="P2562" s="14" t="n"/>
      <c r="Q2562" s="7" t="inlineStr"/>
      <c r="R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8" t="n"/>
      <c r="N2563" s="7" t="inlineStr">
        <is>
          <t>DIMEC</t>
        </is>
      </c>
      <c r="O2563" s="8" t="n">
        <v>1.03</v>
      </c>
      <c r="P2563" s="14">
        <f>O2563/H2563-1</f>
        <v/>
      </c>
      <c r="Q2563" s="16" t="inlineStr">
        <is>
          <t>ACIMA +15.7%</t>
        </is>
      </c>
      <c r="R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8" t="n"/>
      <c r="N2564" s="7" t="inlineStr">
        <is>
          <t>SEM COTAÇÃO</t>
        </is>
      </c>
      <c r="O2564" s="8" t="n"/>
      <c r="P2564" s="14" t="n"/>
      <c r="Q2564" s="7" t="inlineStr"/>
      <c r="R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7" t="inlineStr">
        <is>
          <t>SEM COTAÇÃO</t>
        </is>
      </c>
      <c r="O2565" s="8" t="n"/>
      <c r="P2565" s="14" t="n"/>
      <c r="Q2565" s="7" t="inlineStr"/>
      <c r="R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8" t="n"/>
      <c r="N2566" s="7" t="inlineStr">
        <is>
          <t>SEM COTAÇÃO</t>
        </is>
      </c>
      <c r="O2566" s="8" t="n"/>
      <c r="P2566" s="14" t="n"/>
      <c r="Q2566" s="7" t="inlineStr"/>
      <c r="R2566" s="7" t="inlineStr"/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8" t="n"/>
      <c r="N2567" s="7" t="inlineStr">
        <is>
          <t>SEM COTAÇÃO</t>
        </is>
      </c>
      <c r="O2567" s="8" t="n"/>
      <c r="P2567" s="14" t="n"/>
      <c r="Q2567" s="7" t="inlineStr"/>
      <c r="R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8" t="n"/>
      <c r="N2568" s="7" t="inlineStr">
        <is>
          <t>SEM COTAÇÃO</t>
        </is>
      </c>
      <c r="O2568" s="8" t="n"/>
      <c r="P2568" s="14" t="n"/>
      <c r="Q2568" s="7" t="inlineStr"/>
      <c r="R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8" t="n"/>
      <c r="N2569" s="7" t="inlineStr">
        <is>
          <t>SEM COTAÇÃO</t>
        </is>
      </c>
      <c r="O2569" s="8" t="n"/>
      <c r="P2569" s="14" t="n"/>
      <c r="Q2569" s="7" t="inlineStr"/>
      <c r="R2569" s="7" t="inlineStr"/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8" t="n"/>
      <c r="N2570" s="7" t="inlineStr">
        <is>
          <t>SEM COTAÇÃO</t>
        </is>
      </c>
      <c r="O2570" s="8" t="n"/>
      <c r="P2570" s="14" t="n"/>
      <c r="Q2570" s="7" t="inlineStr"/>
      <c r="R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8" t="n"/>
      <c r="N2571" s="7" t="inlineStr">
        <is>
          <t>SEM COTAÇÃO</t>
        </is>
      </c>
      <c r="O2571" s="8" t="n"/>
      <c r="P2571" s="14" t="n"/>
      <c r="Q2571" s="7" t="inlineStr"/>
      <c r="R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8" t="n"/>
      <c r="N2572" s="7" t="inlineStr">
        <is>
          <t>SEM COTAÇÃO</t>
        </is>
      </c>
      <c r="O2572" s="8" t="n"/>
      <c r="P2572" s="14" t="n"/>
      <c r="Q2572" s="7" t="inlineStr"/>
      <c r="R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8" t="n"/>
      <c r="N2573" s="7" t="inlineStr">
        <is>
          <t>SEM COTAÇÃO</t>
        </is>
      </c>
      <c r="O2573" s="8" t="n"/>
      <c r="P2573" s="14" t="n"/>
      <c r="Q2573" s="7" t="inlineStr"/>
      <c r="R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8" t="n"/>
      <c r="N2574" s="7" t="inlineStr">
        <is>
          <t>SEM COTAÇÃO</t>
        </is>
      </c>
      <c r="O2574" s="8" t="n"/>
      <c r="P2574" s="14" t="n"/>
      <c r="Q2574" s="7" t="inlineStr"/>
      <c r="R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8" t="n"/>
      <c r="N2575" s="7" t="inlineStr">
        <is>
          <t>SEM COTAÇÃO</t>
        </is>
      </c>
      <c r="O2575" s="8" t="n"/>
      <c r="P2575" s="14" t="n"/>
      <c r="Q2575" s="7" t="inlineStr"/>
      <c r="R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8" t="n"/>
      <c r="N2576" s="7" t="inlineStr">
        <is>
          <t>SEM COTAÇÃO</t>
        </is>
      </c>
      <c r="O2576" s="8" t="n"/>
      <c r="P2576" s="14" t="n"/>
      <c r="Q2576" s="7" t="inlineStr"/>
      <c r="R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8" t="n"/>
      <c r="N2577" s="7" t="inlineStr">
        <is>
          <t>SEM COTAÇÃO</t>
        </is>
      </c>
      <c r="O2577" s="8" t="n"/>
      <c r="P2577" s="14" t="n"/>
      <c r="Q2577" s="7" t="inlineStr"/>
      <c r="R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8" t="n"/>
      <c r="N2578" s="7" t="inlineStr">
        <is>
          <t>SEM COTAÇÃO</t>
        </is>
      </c>
      <c r="O2578" s="8" t="n"/>
      <c r="P2578" s="14" t="n"/>
      <c r="Q2578" s="7" t="inlineStr"/>
      <c r="R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8" t="n"/>
      <c r="N2579" s="7" t="inlineStr">
        <is>
          <t>SEM COTAÇÃO</t>
        </is>
      </c>
      <c r="O2579" s="8" t="n"/>
      <c r="P2579" s="14" t="n"/>
      <c r="Q2579" s="7" t="inlineStr"/>
      <c r="R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8" t="n"/>
      <c r="N2580" s="7" t="inlineStr">
        <is>
          <t>SEM COTAÇÃO</t>
        </is>
      </c>
      <c r="O2580" s="8" t="n"/>
      <c r="P2580" s="14" t="n"/>
      <c r="Q2580" s="7" t="inlineStr"/>
      <c r="R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8" t="n"/>
      <c r="N2581" s="7" t="inlineStr">
        <is>
          <t>SEM COTAÇÃO</t>
        </is>
      </c>
      <c r="O2581" s="8" t="n"/>
      <c r="P2581" s="14" t="n"/>
      <c r="Q2581" s="7" t="inlineStr"/>
      <c r="R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8" t="n"/>
      <c r="N2582" s="7" t="inlineStr">
        <is>
          <t>SEM COTAÇÃO</t>
        </is>
      </c>
      <c r="O2582" s="8" t="n"/>
      <c r="P2582" s="14" t="n"/>
      <c r="Q2582" s="7" t="inlineStr"/>
      <c r="R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8" t="n"/>
      <c r="N2583" s="7" t="inlineStr">
        <is>
          <t>SEM COTAÇÃO</t>
        </is>
      </c>
      <c r="O2583" s="8" t="n"/>
      <c r="P2583" s="14" t="n"/>
      <c r="Q2583" s="7" t="inlineStr"/>
      <c r="R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8" t="n"/>
      <c r="N2584" s="7" t="inlineStr">
        <is>
          <t>SEM COTAÇÃO</t>
        </is>
      </c>
      <c r="O2584" s="8" t="n"/>
      <c r="P2584" s="14" t="n"/>
      <c r="Q2584" s="7" t="inlineStr"/>
      <c r="R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8" t="n"/>
      <c r="N2585" s="7" t="inlineStr">
        <is>
          <t>SEM COTAÇÃO</t>
        </is>
      </c>
      <c r="O2585" s="8" t="n"/>
      <c r="P2585" s="14" t="n"/>
      <c r="Q2585" s="7" t="inlineStr"/>
      <c r="R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8" t="n"/>
      <c r="N2586" s="7" t="inlineStr">
        <is>
          <t>SEM COTAÇÃO</t>
        </is>
      </c>
      <c r="O2586" s="8" t="n"/>
      <c r="P2586" s="14" t="n"/>
      <c r="Q2586" s="7" t="inlineStr"/>
      <c r="R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8" t="n"/>
      <c r="N2587" s="7" t="inlineStr">
        <is>
          <t>SEM COTAÇÃO</t>
        </is>
      </c>
      <c r="O2587" s="8" t="n"/>
      <c r="P2587" s="14" t="n"/>
      <c r="Q2587" s="7" t="inlineStr"/>
      <c r="R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8" t="n"/>
      <c r="N2588" s="7" t="inlineStr">
        <is>
          <t>SEM COTAÇÃO</t>
        </is>
      </c>
      <c r="O2588" s="8" t="n"/>
      <c r="P2588" s="14" t="n"/>
      <c r="Q2588" s="7" t="inlineStr"/>
      <c r="R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8" t="n"/>
      <c r="N2589" s="7" t="inlineStr">
        <is>
          <t>SEM COTAÇÃO</t>
        </is>
      </c>
      <c r="O2589" s="8" t="n"/>
      <c r="P2589" s="14" t="n"/>
      <c r="Q2589" s="7" t="inlineStr"/>
      <c r="R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8" t="n"/>
      <c r="N2590" s="7" t="inlineStr">
        <is>
          <t>SEM COTAÇÃO</t>
        </is>
      </c>
      <c r="O2590" s="8" t="n"/>
      <c r="P2590" s="14" t="n"/>
      <c r="Q2590" s="7" t="inlineStr"/>
      <c r="R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8" t="n"/>
      <c r="N2591" s="7" t="inlineStr">
        <is>
          <t>SEM COTAÇÃO</t>
        </is>
      </c>
      <c r="O2591" s="8" t="n"/>
      <c r="P2591" s="14" t="n"/>
      <c r="Q2591" s="7" t="inlineStr"/>
      <c r="R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8" t="n"/>
      <c r="N2592" s="7" t="inlineStr">
        <is>
          <t>SEM COTAÇÃO</t>
        </is>
      </c>
      <c r="O2592" s="8" t="n"/>
      <c r="P2592" s="14" t="n"/>
      <c r="Q2592" s="7" t="inlineStr"/>
      <c r="R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8" t="n"/>
      <c r="N2593" s="7" t="inlineStr">
        <is>
          <t>SEM COTAÇÃO</t>
        </is>
      </c>
      <c r="O2593" s="8" t="n"/>
      <c r="P2593" s="14" t="n"/>
      <c r="Q2593" s="7" t="inlineStr"/>
      <c r="R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8" t="n"/>
      <c r="N2594" s="7" t="inlineStr">
        <is>
          <t>SEM COTAÇÃO</t>
        </is>
      </c>
      <c r="O2594" s="8" t="n"/>
      <c r="P2594" s="14" t="n"/>
      <c r="Q2594" s="7" t="inlineStr"/>
      <c r="R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8" t="n"/>
      <c r="N2595" s="7" t="inlineStr">
        <is>
          <t>SEM COTAÇÃO</t>
        </is>
      </c>
      <c r="O2595" s="8" t="n"/>
      <c r="P2595" s="14" t="n"/>
      <c r="Q2595" s="7" t="inlineStr"/>
      <c r="R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8" t="n"/>
      <c r="N2596" s="7" t="inlineStr">
        <is>
          <t>SEM COTAÇÃO</t>
        </is>
      </c>
      <c r="O2596" s="8" t="n"/>
      <c r="P2596" s="14" t="n"/>
      <c r="Q2596" s="7" t="inlineStr"/>
      <c r="R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8" t="n"/>
      <c r="N2597" s="7" t="inlineStr">
        <is>
          <t>SEM COTAÇÃO</t>
        </is>
      </c>
      <c r="O2597" s="8" t="n"/>
      <c r="P2597" s="14" t="n"/>
      <c r="Q2597" s="7" t="inlineStr"/>
      <c r="R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8" t="n"/>
      <c r="N2598" s="7" t="inlineStr">
        <is>
          <t>SEM COTAÇÃO</t>
        </is>
      </c>
      <c r="O2598" s="8" t="n"/>
      <c r="P2598" s="14" t="n"/>
      <c r="Q2598" s="7" t="inlineStr"/>
      <c r="R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8" t="n"/>
      <c r="N2599" s="7" t="inlineStr">
        <is>
          <t>SEM COTAÇÃO</t>
        </is>
      </c>
      <c r="O2599" s="8" t="n"/>
      <c r="P2599" s="14" t="n"/>
      <c r="Q2599" s="7" t="inlineStr"/>
      <c r="R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8" t="n"/>
      <c r="N2600" s="7" t="inlineStr">
        <is>
          <t>SEM COTAÇÃO</t>
        </is>
      </c>
      <c r="O2600" s="8" t="n"/>
      <c r="P2600" s="14" t="n"/>
      <c r="Q2600" s="7" t="inlineStr"/>
      <c r="R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8" t="n"/>
      <c r="N2601" s="7" t="inlineStr">
        <is>
          <t>SEM COTAÇÃO</t>
        </is>
      </c>
      <c r="O2601" s="8" t="n"/>
      <c r="P2601" s="14" t="n"/>
      <c r="Q2601" s="7" t="inlineStr"/>
      <c r="R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8" t="n"/>
      <c r="N2602" s="7" t="inlineStr">
        <is>
          <t>SEM COTAÇÃO</t>
        </is>
      </c>
      <c r="O2602" s="8" t="n"/>
      <c r="P2602" s="14" t="n"/>
      <c r="Q2602" s="7" t="inlineStr"/>
      <c r="R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8" t="n"/>
      <c r="N2603" s="7" t="inlineStr">
        <is>
          <t>SEM COTAÇÃO</t>
        </is>
      </c>
      <c r="O2603" s="8" t="n"/>
      <c r="P2603" s="14" t="n"/>
      <c r="Q2603" s="7" t="inlineStr"/>
      <c r="R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8" t="n"/>
      <c r="N2604" s="7" t="inlineStr">
        <is>
          <t>SEM COTAÇÃO</t>
        </is>
      </c>
      <c r="O2604" s="8" t="n"/>
      <c r="P2604" s="14" t="n"/>
      <c r="Q2604" s="7" t="inlineStr"/>
      <c r="R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8" t="n"/>
      <c r="N2605" s="7" t="inlineStr">
        <is>
          <t>SEM COTAÇÃO</t>
        </is>
      </c>
      <c r="O2605" s="8" t="n"/>
      <c r="P2605" s="14" t="n"/>
      <c r="Q2605" s="7" t="inlineStr"/>
      <c r="R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8" t="n"/>
      <c r="N2606" s="7" t="inlineStr">
        <is>
          <t>SEM COTAÇÃO</t>
        </is>
      </c>
      <c r="O2606" s="8" t="n"/>
      <c r="P2606" s="14" t="n"/>
      <c r="Q2606" s="7" t="inlineStr"/>
      <c r="R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8" t="n"/>
      <c r="N2607" s="7" t="inlineStr">
        <is>
          <t>SEM COTAÇÃO</t>
        </is>
      </c>
      <c r="O2607" s="8" t="n"/>
      <c r="P2607" s="14" t="n"/>
      <c r="Q2607" s="7" t="inlineStr"/>
      <c r="R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8" t="n"/>
      <c r="N2608" s="7" t="inlineStr">
        <is>
          <t>SEM COTAÇÃO</t>
        </is>
      </c>
      <c r="O2608" s="8" t="n"/>
      <c r="P2608" s="14" t="n"/>
      <c r="Q2608" s="7" t="inlineStr"/>
      <c r="R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8" t="n"/>
      <c r="N2609" s="7" t="inlineStr">
        <is>
          <t>SEM COTAÇÃO</t>
        </is>
      </c>
      <c r="O2609" s="8" t="n"/>
      <c r="P2609" s="14" t="n"/>
      <c r="Q2609" s="7" t="inlineStr"/>
      <c r="R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8" t="n"/>
      <c r="N2610" s="7" t="inlineStr">
        <is>
          <t>SEM COTAÇÃO</t>
        </is>
      </c>
      <c r="O2610" s="8" t="n"/>
      <c r="P2610" s="14" t="n"/>
      <c r="Q2610" s="7" t="inlineStr"/>
      <c r="R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8" t="n"/>
      <c r="N2611" s="7" t="inlineStr">
        <is>
          <t>SEM COTAÇÃO</t>
        </is>
      </c>
      <c r="O2611" s="8" t="n"/>
      <c r="P2611" s="14" t="n"/>
      <c r="Q2611" s="7" t="inlineStr"/>
      <c r="R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15" t="n">
        <v>57.09</v>
      </c>
      <c r="M2612" s="8" t="n"/>
      <c r="N2612" s="7" t="inlineStr">
        <is>
          <t>EPAN</t>
        </is>
      </c>
      <c r="O2612" s="8" t="n">
        <v>57.09</v>
      </c>
      <c r="P2612" s="14">
        <f>O2612/H2612-1</f>
        <v/>
      </c>
      <c r="Q2612" s="16" t="inlineStr">
        <is>
          <t>ACIMA +5.0%</t>
        </is>
      </c>
      <c r="R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8" t="n"/>
      <c r="N2613" s="7" t="inlineStr">
        <is>
          <t>SEM COTAÇÃO</t>
        </is>
      </c>
      <c r="O2613" s="8" t="n"/>
      <c r="P2613" s="14" t="n"/>
      <c r="Q2613" s="7" t="inlineStr"/>
      <c r="R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8" t="n"/>
      <c r="N2614" s="7" t="inlineStr">
        <is>
          <t>SEM COTAÇÃO</t>
        </is>
      </c>
      <c r="O2614" s="8" t="n"/>
      <c r="P2614" s="14" t="n"/>
      <c r="Q2614" s="7" t="inlineStr"/>
      <c r="R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8" t="n"/>
      <c r="N2615" s="7" t="inlineStr">
        <is>
          <t>SEM COTAÇÃO</t>
        </is>
      </c>
      <c r="O2615" s="8" t="n"/>
      <c r="P2615" s="14" t="n"/>
      <c r="Q2615" s="7" t="inlineStr"/>
      <c r="R2615" s="7" t="inlineStr"/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8" t="n"/>
      <c r="N2616" s="7" t="inlineStr">
        <is>
          <t>SEM COTAÇÃO</t>
        </is>
      </c>
      <c r="O2616" s="8" t="n"/>
      <c r="P2616" s="14" t="n"/>
      <c r="Q2616" s="7" t="inlineStr"/>
      <c r="R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7" t="inlineStr">
        <is>
          <t>SEM COTAÇÃO</t>
        </is>
      </c>
      <c r="O2617" s="8" t="n"/>
      <c r="P2617" s="14" t="n"/>
      <c r="Q2617" s="7" t="inlineStr"/>
      <c r="R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15" t="n">
        <v>8.82</v>
      </c>
      <c r="K2618" s="8" t="n"/>
      <c r="L2618" s="8" t="n"/>
      <c r="M2618" s="8" t="n">
        <v>8.94</v>
      </c>
      <c r="N2618" s="7" t="inlineStr">
        <is>
          <t>DIMEC</t>
        </is>
      </c>
      <c r="O2618" s="8" t="n">
        <v>8.82</v>
      </c>
      <c r="P2618" s="14">
        <f>O2618/H2618-1</f>
        <v/>
      </c>
      <c r="Q2618" s="16" t="inlineStr">
        <is>
          <t>ACIMA +22.3%</t>
        </is>
      </c>
      <c r="R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8" t="n"/>
      <c r="N2619" s="7" t="inlineStr">
        <is>
          <t>SEM COTAÇÃO</t>
        </is>
      </c>
      <c r="O2619" s="8" t="n"/>
      <c r="P2619" s="14" t="n"/>
      <c r="Q2619" s="7" t="inlineStr"/>
      <c r="R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8" t="n"/>
      <c r="N2620" s="7" t="inlineStr">
        <is>
          <t>SEM COTAÇÃO</t>
        </is>
      </c>
      <c r="O2620" s="8" t="n"/>
      <c r="P2620" s="14" t="n"/>
      <c r="Q2620" s="7" t="inlineStr"/>
      <c r="R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8" t="n"/>
      <c r="N2621" s="7" t="inlineStr">
        <is>
          <t>SEM COTAÇÃO</t>
        </is>
      </c>
      <c r="O2621" s="8" t="n"/>
      <c r="P2621" s="14" t="n"/>
      <c r="Q2621" s="7" t="inlineStr"/>
      <c r="R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8" t="n"/>
      <c r="N2622" s="7" t="inlineStr">
        <is>
          <t>SEM COTAÇÃO</t>
        </is>
      </c>
      <c r="O2622" s="8" t="n"/>
      <c r="P2622" s="14" t="n"/>
      <c r="Q2622" s="7" t="inlineStr"/>
      <c r="R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8" t="n"/>
      <c r="N2623" s="7" t="inlineStr">
        <is>
          <t>SEM COTAÇÃO</t>
        </is>
      </c>
      <c r="O2623" s="8" t="n"/>
      <c r="P2623" s="14" t="n"/>
      <c r="Q2623" s="7" t="inlineStr"/>
      <c r="R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8" t="n"/>
      <c r="N2624" s="7" t="inlineStr">
        <is>
          <t>SEM COTAÇÃO</t>
        </is>
      </c>
      <c r="O2624" s="8" t="n"/>
      <c r="P2624" s="14" t="n"/>
      <c r="Q2624" s="7" t="inlineStr"/>
      <c r="R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8" t="n"/>
      <c r="N2625" s="7" t="inlineStr">
        <is>
          <t>SEM COTAÇÃO</t>
        </is>
      </c>
      <c r="O2625" s="8" t="n"/>
      <c r="P2625" s="14" t="n"/>
      <c r="Q2625" s="7" t="inlineStr"/>
      <c r="R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8" t="n"/>
      <c r="N2626" s="7" t="inlineStr">
        <is>
          <t>EPAN</t>
        </is>
      </c>
      <c r="O2626" s="8" t="n">
        <v>19.44</v>
      </c>
      <c r="P2626" s="14">
        <f>O2626/H2626-1</f>
        <v/>
      </c>
      <c r="Q2626" s="17" t="inlineStr">
        <is>
          <t>OK (≤ últ. compra)</t>
        </is>
      </c>
      <c r="R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8" t="n"/>
      <c r="N2627" s="7" t="inlineStr">
        <is>
          <t>SEM COTAÇÃO</t>
        </is>
      </c>
      <c r="O2627" s="8" t="n"/>
      <c r="P2627" s="14" t="n"/>
      <c r="Q2627" s="7" t="inlineStr"/>
      <c r="R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8" t="n"/>
      <c r="N2628" s="7" t="inlineStr">
        <is>
          <t>SEM COTAÇÃO</t>
        </is>
      </c>
      <c r="O2628" s="8" t="n"/>
      <c r="P2628" s="14" t="n"/>
      <c r="Q2628" s="7" t="inlineStr"/>
      <c r="R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8" t="n"/>
      <c r="N2629" s="7" t="inlineStr">
        <is>
          <t>SEM COTAÇÃO</t>
        </is>
      </c>
      <c r="O2629" s="8" t="n"/>
      <c r="P2629" s="14" t="n"/>
      <c r="Q2629" s="7" t="inlineStr"/>
      <c r="R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8" t="n"/>
      <c r="N2630" s="7" t="inlineStr">
        <is>
          <t>SEM COTAÇÃO</t>
        </is>
      </c>
      <c r="O2630" s="8" t="n"/>
      <c r="P2630" s="14" t="n"/>
      <c r="Q2630" s="7" t="inlineStr"/>
      <c r="R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8" t="n"/>
      <c r="N2631" s="7" t="inlineStr">
        <is>
          <t>SEM COTAÇÃO</t>
        </is>
      </c>
      <c r="O2631" s="8" t="n"/>
      <c r="P2631" s="14" t="n"/>
      <c r="Q2631" s="7" t="inlineStr"/>
      <c r="R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8" t="n"/>
      <c r="N2632" s="7" t="inlineStr">
        <is>
          <t>SEM COTAÇÃO</t>
        </is>
      </c>
      <c r="O2632" s="8" t="n"/>
      <c r="P2632" s="14" t="n"/>
      <c r="Q2632" s="7" t="inlineStr"/>
      <c r="R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8" t="n"/>
      <c r="N2633" s="7" t="inlineStr">
        <is>
          <t>SEM COTAÇÃO</t>
        </is>
      </c>
      <c r="O2633" s="8" t="n"/>
      <c r="P2633" s="14" t="n"/>
      <c r="Q2633" s="7" t="inlineStr"/>
      <c r="R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8" t="n"/>
      <c r="N2634" s="7" t="inlineStr">
        <is>
          <t>SEM COTAÇÃO</t>
        </is>
      </c>
      <c r="O2634" s="8" t="n"/>
      <c r="P2634" s="14" t="n"/>
      <c r="Q2634" s="7" t="inlineStr"/>
      <c r="R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8" t="n"/>
      <c r="N2635" s="7" t="inlineStr">
        <is>
          <t>SEM COTAÇÃO</t>
        </is>
      </c>
      <c r="O2635" s="8" t="n"/>
      <c r="P2635" s="14" t="n"/>
      <c r="Q2635" s="7" t="inlineStr"/>
      <c r="R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8" t="n"/>
      <c r="N2636" s="7" t="inlineStr">
        <is>
          <t>SEM COTAÇÃO</t>
        </is>
      </c>
      <c r="O2636" s="8" t="n"/>
      <c r="P2636" s="14" t="n"/>
      <c r="Q2636" s="7" t="inlineStr"/>
      <c r="R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8" t="n"/>
      <c r="N2637" s="7" t="inlineStr">
        <is>
          <t>SEM COTAÇÃO</t>
        </is>
      </c>
      <c r="O2637" s="8" t="n"/>
      <c r="P2637" s="14" t="n"/>
      <c r="Q2637" s="7" t="inlineStr"/>
      <c r="R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8" t="n"/>
      <c r="N2638" s="7" t="inlineStr">
        <is>
          <t>SEM COTAÇÃO</t>
        </is>
      </c>
      <c r="O2638" s="8" t="n"/>
      <c r="P2638" s="14" t="n"/>
      <c r="Q2638" s="7" t="inlineStr"/>
      <c r="R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8" t="n"/>
      <c r="N2639" s="7" t="inlineStr">
        <is>
          <t>SEM COTAÇÃO</t>
        </is>
      </c>
      <c r="O2639" s="8" t="n"/>
      <c r="P2639" s="14" t="n"/>
      <c r="Q2639" s="7" t="inlineStr"/>
      <c r="R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8" t="n"/>
      <c r="N2640" s="7" t="inlineStr">
        <is>
          <t>SEM COTAÇÃO</t>
        </is>
      </c>
      <c r="O2640" s="8" t="n"/>
      <c r="P2640" s="14" t="n"/>
      <c r="Q2640" s="7" t="inlineStr"/>
      <c r="R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8" t="n"/>
      <c r="N2641" s="7" t="inlineStr">
        <is>
          <t>SEM COTAÇÃO</t>
        </is>
      </c>
      <c r="O2641" s="8" t="n"/>
      <c r="P2641" s="14" t="n"/>
      <c r="Q2641" s="7" t="inlineStr"/>
      <c r="R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8" t="n"/>
      <c r="N2642" s="7" t="inlineStr">
        <is>
          <t>SEM COTAÇÃO</t>
        </is>
      </c>
      <c r="O2642" s="8" t="n"/>
      <c r="P2642" s="14" t="n"/>
      <c r="Q2642" s="7" t="inlineStr"/>
      <c r="R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8" t="n"/>
      <c r="N2643" s="7" t="inlineStr">
        <is>
          <t>SEM COTAÇÃO</t>
        </is>
      </c>
      <c r="O2643" s="8" t="n"/>
      <c r="P2643" s="14" t="n"/>
      <c r="Q2643" s="7" t="inlineStr"/>
      <c r="R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8" t="n"/>
      <c r="N2644" s="7" t="inlineStr">
        <is>
          <t>SEM COTAÇÃO</t>
        </is>
      </c>
      <c r="O2644" s="8" t="n"/>
      <c r="P2644" s="14" t="n"/>
      <c r="Q2644" s="7" t="inlineStr"/>
      <c r="R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8" t="n"/>
      <c r="N2645" s="7" t="inlineStr">
        <is>
          <t>SEM COTAÇÃO</t>
        </is>
      </c>
      <c r="O2645" s="8" t="n"/>
      <c r="P2645" s="14" t="n"/>
      <c r="Q2645" s="7" t="inlineStr"/>
      <c r="R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8" t="n"/>
      <c r="N2646" s="7" t="inlineStr">
        <is>
          <t>SEM COTAÇÃO</t>
        </is>
      </c>
      <c r="O2646" s="8" t="n"/>
      <c r="P2646" s="14" t="n"/>
      <c r="Q2646" s="7" t="inlineStr"/>
      <c r="R2646" s="7" t="inlineStr">
        <is>
          <t>EPAN: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15" t="n">
        <v>19.53</v>
      </c>
      <c r="M2647" s="8" t="n"/>
      <c r="N2647" s="7" t="inlineStr">
        <is>
          <t>EPAN</t>
        </is>
      </c>
      <c r="O2647" s="8" t="n">
        <v>19.53</v>
      </c>
      <c r="P2647" s="14">
        <f>O2647/H2647-1</f>
        <v/>
      </c>
      <c r="Q2647" s="17" t="inlineStr">
        <is>
          <t>OK (≤ últ. compra)</t>
        </is>
      </c>
      <c r="R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8" t="n"/>
      <c r="N2648" s="7" t="inlineStr">
        <is>
          <t>SEM COTAÇÃO</t>
        </is>
      </c>
      <c r="O2648" s="8" t="n"/>
      <c r="P2648" s="14" t="n"/>
      <c r="Q2648" s="7" t="inlineStr"/>
      <c r="R2648" s="7" t="inlineStr"/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15" t="n">
        <v>14.15</v>
      </c>
      <c r="N2649" s="7" t="inlineStr">
        <is>
          <t>CENTROFARMA</t>
        </is>
      </c>
      <c r="O2649" s="8" t="n">
        <v>14.15</v>
      </c>
      <c r="P2649" s="14">
        <f>O2649/H2649-1</f>
        <v/>
      </c>
      <c r="Q2649" s="16" t="inlineStr">
        <is>
          <t>ACIMA +5.4%</t>
        </is>
      </c>
      <c r="R2649" s="7" t="inlineStr"/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15" t="n">
        <v>13.95</v>
      </c>
      <c r="N2650" s="7" t="inlineStr">
        <is>
          <t>CENTROFARMA</t>
        </is>
      </c>
      <c r="O2650" s="8" t="n">
        <v>13.95</v>
      </c>
      <c r="P2650" s="14">
        <f>O2650/H2650-1</f>
        <v/>
      </c>
      <c r="Q2650" s="16" t="inlineStr">
        <is>
          <t>ACIMA +234.5%</t>
        </is>
      </c>
      <c r="R2650" s="7" t="inlineStr">
        <is>
          <t>CENTROFARMA: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15" t="n">
        <v>48.17</v>
      </c>
      <c r="M2651" s="8" t="n"/>
      <c r="N2651" s="7" t="inlineStr">
        <is>
          <t>EPAN</t>
        </is>
      </c>
      <c r="O2651" s="8" t="n">
        <v>48.17</v>
      </c>
      <c r="P2651" s="14">
        <f>O2651/H2651-1</f>
        <v/>
      </c>
      <c r="Q2651" s="17" t="inlineStr">
        <is>
          <t>OK (≤ últ. compra)</t>
        </is>
      </c>
      <c r="R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8" t="n"/>
      <c r="N2652" s="7" t="inlineStr">
        <is>
          <t>SEM COTAÇÃO</t>
        </is>
      </c>
      <c r="O2652" s="8" t="n"/>
      <c r="P2652" s="14" t="n"/>
      <c r="Q2652" s="7" t="inlineStr"/>
      <c r="R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8" t="n"/>
      <c r="N2653" s="7" t="inlineStr">
        <is>
          <t>SEM COTAÇÃO</t>
        </is>
      </c>
      <c r="O2653" s="8" t="n"/>
      <c r="P2653" s="14" t="n"/>
      <c r="Q2653" s="7" t="inlineStr"/>
      <c r="R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7" t="inlineStr">
        <is>
          <t>SEM COTAÇÃO</t>
        </is>
      </c>
      <c r="O2654" s="8" t="n"/>
      <c r="P2654" s="14" t="n"/>
      <c r="Q2654" s="7" t="inlineStr"/>
      <c r="R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8" t="n"/>
      <c r="N2655" s="7" t="inlineStr">
        <is>
          <t>SEM COTAÇÃO</t>
        </is>
      </c>
      <c r="O2655" s="8" t="n"/>
      <c r="P2655" s="14" t="n"/>
      <c r="Q2655" s="7" t="inlineStr"/>
      <c r="R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8" t="n"/>
      <c r="N2656" s="7" t="inlineStr">
        <is>
          <t>SEM COTAÇÃO</t>
        </is>
      </c>
      <c r="O2656" s="8" t="n"/>
      <c r="P2656" s="14" t="n"/>
      <c r="Q2656" s="7" t="inlineStr"/>
      <c r="R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8" t="n"/>
      <c r="N2657" s="7" t="inlineStr">
        <is>
          <t>SEM COTAÇÃO</t>
        </is>
      </c>
      <c r="O2657" s="8" t="n"/>
      <c r="P2657" s="14" t="n"/>
      <c r="Q2657" s="7" t="inlineStr"/>
      <c r="R2657" s="7" t="inlineStr"/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8" t="n"/>
      <c r="N2658" s="7" t="inlineStr">
        <is>
          <t>SEM COTAÇÃO</t>
        </is>
      </c>
      <c r="O2658" s="8" t="n"/>
      <c r="P2658" s="14" t="n"/>
      <c r="Q2658" s="7" t="inlineStr"/>
      <c r="R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8" t="n">
        <v>12.22</v>
      </c>
      <c r="N2659" s="7" t="inlineStr">
        <is>
          <t>DIMEC</t>
        </is>
      </c>
      <c r="O2659" s="8" t="n">
        <v>11.49</v>
      </c>
      <c r="P2659" s="14">
        <f>O2659/H2659-1</f>
        <v/>
      </c>
      <c r="Q2659" s="17" t="inlineStr">
        <is>
          <t>OK (≤ menor hist.)</t>
        </is>
      </c>
      <c r="R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8" t="n"/>
      <c r="N2660" s="7" t="inlineStr">
        <is>
          <t>SEM COTAÇÃO</t>
        </is>
      </c>
      <c r="O2660" s="8" t="n"/>
      <c r="P2660" s="14" t="n"/>
      <c r="Q2660" s="7" t="inlineStr"/>
      <c r="R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8" t="n"/>
      <c r="N2661" s="7" t="inlineStr">
        <is>
          <t>SEM COTAÇÃO</t>
        </is>
      </c>
      <c r="O2661" s="8" t="n"/>
      <c r="P2661" s="14" t="n"/>
      <c r="Q2661" s="7" t="inlineStr"/>
      <c r="R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8" t="n"/>
      <c r="N2662" s="7" t="inlineStr">
        <is>
          <t>SEM COTAÇÃO</t>
        </is>
      </c>
      <c r="O2662" s="8" t="n"/>
      <c r="P2662" s="14" t="n"/>
      <c r="Q2662" s="7" t="inlineStr"/>
      <c r="R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8" t="n"/>
      <c r="N2663" s="7" t="inlineStr">
        <is>
          <t>SEM COTAÇÃO</t>
        </is>
      </c>
      <c r="O2663" s="8" t="n"/>
      <c r="P2663" s="14" t="n"/>
      <c r="Q2663" s="7" t="inlineStr"/>
      <c r="R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7" t="inlineStr">
        <is>
          <t>SEM COTAÇÃO</t>
        </is>
      </c>
      <c r="O2664" s="8" t="n"/>
      <c r="P2664" s="14" t="n"/>
      <c r="Q2664" s="7" t="inlineStr"/>
      <c r="R2664" s="7" t="inlineStr"/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8" t="n"/>
      <c r="N2665" s="7" t="inlineStr">
        <is>
          <t>SEM COTAÇÃO</t>
        </is>
      </c>
      <c r="O2665" s="8" t="n"/>
      <c r="P2665" s="14" t="n"/>
      <c r="Q2665" s="7" t="inlineStr"/>
      <c r="R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7" t="inlineStr">
        <is>
          <t>SEM COTAÇÃO</t>
        </is>
      </c>
      <c r="O2666" s="8" t="n"/>
      <c r="P2666" s="14" t="n"/>
      <c r="Q2666" s="7" t="inlineStr"/>
      <c r="R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7" t="inlineStr">
        <is>
          <t>SEM COTAÇÃO</t>
        </is>
      </c>
      <c r="O2667" s="8" t="n"/>
      <c r="P2667" s="14" t="n"/>
      <c r="Q2667" s="7" t="inlineStr"/>
      <c r="R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8" t="n"/>
      <c r="N2668" s="7" t="inlineStr">
        <is>
          <t>SEM COTAÇÃO</t>
        </is>
      </c>
      <c r="O2668" s="8" t="n"/>
      <c r="P2668" s="14" t="n"/>
      <c r="Q2668" s="7" t="inlineStr"/>
      <c r="R2668" s="7" t="inlineStr"/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7" t="inlineStr">
        <is>
          <t>SEM COTAÇÃO</t>
        </is>
      </c>
      <c r="O2669" s="8" t="n"/>
      <c r="P2669" s="14" t="n"/>
      <c r="Q2669" s="7" t="inlineStr"/>
      <c r="R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8" t="n"/>
      <c r="N2670" s="7" t="inlineStr">
        <is>
          <t>SEM COTAÇÃO</t>
        </is>
      </c>
      <c r="O2670" s="8" t="n"/>
      <c r="P2670" s="14" t="n"/>
      <c r="Q2670" s="7" t="inlineStr"/>
      <c r="R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8" t="n"/>
      <c r="N2671" s="7" t="inlineStr">
        <is>
          <t>SEM COTAÇÃO</t>
        </is>
      </c>
      <c r="O2671" s="8" t="n"/>
      <c r="P2671" s="14" t="n"/>
      <c r="Q2671" s="7" t="inlineStr"/>
      <c r="R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8" t="n"/>
      <c r="N2672" s="7" t="inlineStr">
        <is>
          <t>SEM COTAÇÃO</t>
        </is>
      </c>
      <c r="O2672" s="8" t="n"/>
      <c r="P2672" s="14" t="n"/>
      <c r="Q2672" s="7" t="inlineStr"/>
      <c r="R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8" t="n"/>
      <c r="N2673" s="7" t="inlineStr">
        <is>
          <t>SEM COTAÇÃO</t>
        </is>
      </c>
      <c r="O2673" s="8" t="n"/>
      <c r="P2673" s="14" t="n"/>
      <c r="Q2673" s="7" t="inlineStr"/>
      <c r="R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8" t="n"/>
      <c r="N2674" s="7" t="inlineStr">
        <is>
          <t>DIMEC</t>
        </is>
      </c>
      <c r="O2674" s="8" t="n">
        <v>14.85</v>
      </c>
      <c r="P2674" s="14">
        <f>O2674/H2674-1</f>
        <v/>
      </c>
      <c r="Q2674" s="17" t="inlineStr">
        <is>
          <t>OK (≤ menor hist.)</t>
        </is>
      </c>
      <c r="R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8" t="n"/>
      <c r="N2675" s="7" t="inlineStr">
        <is>
          <t>SEM COTAÇÃO</t>
        </is>
      </c>
      <c r="O2675" s="8" t="n"/>
      <c r="P2675" s="14" t="n"/>
      <c r="Q2675" s="7" t="inlineStr"/>
      <c r="R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8" t="n"/>
      <c r="N2676" s="7" t="inlineStr">
        <is>
          <t>SEM COTAÇÃO</t>
        </is>
      </c>
      <c r="O2676" s="8" t="n"/>
      <c r="P2676" s="14" t="n"/>
      <c r="Q2676" s="7" t="inlineStr"/>
      <c r="R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7" t="inlineStr">
        <is>
          <t>SEM COTAÇÃO</t>
        </is>
      </c>
      <c r="O2677" s="8" t="n"/>
      <c r="P2677" s="14" t="n"/>
      <c r="Q2677" s="7" t="inlineStr"/>
      <c r="R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8" t="n"/>
      <c r="N2678" s="7" t="inlineStr">
        <is>
          <t>SEM COTAÇÃO</t>
        </is>
      </c>
      <c r="O2678" s="8" t="n"/>
      <c r="P2678" s="14" t="n"/>
      <c r="Q2678" s="7" t="inlineStr"/>
      <c r="R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8" t="n"/>
      <c r="N2679" s="7" t="inlineStr">
        <is>
          <t>SEM COTAÇÃO</t>
        </is>
      </c>
      <c r="O2679" s="8" t="n"/>
      <c r="P2679" s="14" t="n"/>
      <c r="Q2679" s="7" t="inlineStr"/>
      <c r="R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7" t="inlineStr">
        <is>
          <t>SEM COTAÇÃO</t>
        </is>
      </c>
      <c r="O2680" s="8" t="n"/>
      <c r="P2680" s="14" t="n"/>
      <c r="Q2680" s="7" t="inlineStr"/>
      <c r="R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7" t="inlineStr">
        <is>
          <t>SEM COTAÇÃO</t>
        </is>
      </c>
      <c r="O2681" s="8" t="n"/>
      <c r="P2681" s="14" t="n"/>
      <c r="Q2681" s="7" t="inlineStr"/>
      <c r="R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7" t="inlineStr">
        <is>
          <t>SEM COTAÇÃO</t>
        </is>
      </c>
      <c r="O2682" s="8" t="n"/>
      <c r="P2682" s="14" t="n"/>
      <c r="Q2682" s="7" t="inlineStr"/>
      <c r="R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7" t="inlineStr">
        <is>
          <t>SEM COTAÇÃO</t>
        </is>
      </c>
      <c r="O2683" s="8" t="n"/>
      <c r="P2683" s="14" t="n"/>
      <c r="Q2683" s="7" t="inlineStr"/>
      <c r="R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8" t="n"/>
      <c r="N2684" s="7" t="inlineStr">
        <is>
          <t>SEM COTAÇÃO</t>
        </is>
      </c>
      <c r="O2684" s="8" t="n"/>
      <c r="P2684" s="14" t="n"/>
      <c r="Q2684" s="7" t="inlineStr"/>
      <c r="R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8" t="n"/>
      <c r="N2685" s="7" t="inlineStr">
        <is>
          <t>DIMEC</t>
        </is>
      </c>
      <c r="O2685" s="8" t="n">
        <v>14.85</v>
      </c>
      <c r="P2685" s="14">
        <f>O2685/H2685-1</f>
        <v/>
      </c>
      <c r="Q2685" s="17" t="inlineStr">
        <is>
          <t>OK (≤ menor hist.)</t>
        </is>
      </c>
      <c r="R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8" t="n"/>
      <c r="N2686" s="7" t="inlineStr">
        <is>
          <t>SEM COTAÇÃO</t>
        </is>
      </c>
      <c r="O2686" s="8" t="n"/>
      <c r="P2686" s="14" t="n"/>
      <c r="Q2686" s="7" t="inlineStr"/>
      <c r="R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8" t="n"/>
      <c r="N2687" s="7" t="inlineStr">
        <is>
          <t>DIMEC</t>
        </is>
      </c>
      <c r="O2687" s="8" t="n">
        <v>14.85</v>
      </c>
      <c r="P2687" s="14">
        <f>O2687/H2687-1</f>
        <v/>
      </c>
      <c r="Q2687" s="16" t="inlineStr">
        <is>
          <t>ACIMA +48.6%</t>
        </is>
      </c>
      <c r="R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8" t="n"/>
      <c r="N2688" s="7" t="inlineStr">
        <is>
          <t>SEM COTAÇÃO</t>
        </is>
      </c>
      <c r="O2688" s="8" t="n"/>
      <c r="P2688" s="14" t="n"/>
      <c r="Q2688" s="7" t="inlineStr"/>
      <c r="R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8" t="n"/>
      <c r="N2689" s="7" t="inlineStr">
        <is>
          <t>DIMEC</t>
        </is>
      </c>
      <c r="O2689" s="8" t="n">
        <v>12.62</v>
      </c>
      <c r="P2689" s="14">
        <f>O2689/H2689-1</f>
        <v/>
      </c>
      <c r="Q2689" s="16" t="inlineStr">
        <is>
          <t>ACIMA +40.4%</t>
        </is>
      </c>
      <c r="R2689" s="7" t="inlineStr"/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8" t="n"/>
      <c r="N2690" s="7" t="inlineStr">
        <is>
          <t>SEM COTAÇÃO</t>
        </is>
      </c>
      <c r="O2690" s="8" t="n"/>
      <c r="P2690" s="14" t="n"/>
      <c r="Q2690" s="7" t="inlineStr"/>
      <c r="R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8" t="n"/>
      <c r="N2691" s="7" t="inlineStr">
        <is>
          <t>SEM COTAÇÃO</t>
        </is>
      </c>
      <c r="O2691" s="8" t="n"/>
      <c r="P2691" s="14" t="n"/>
      <c r="Q2691" s="7" t="inlineStr"/>
      <c r="R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8" t="n"/>
      <c r="N2692" s="7" t="inlineStr">
        <is>
          <t>DIMEC</t>
        </is>
      </c>
      <c r="O2692" s="8" t="n">
        <v>13.85</v>
      </c>
      <c r="P2692" s="14">
        <f>O2692/H2692-1</f>
        <v/>
      </c>
      <c r="Q2692" s="16" t="inlineStr">
        <is>
          <t>ACIMA +26.0%</t>
        </is>
      </c>
      <c r="R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8" t="n"/>
      <c r="N2693" s="7" t="inlineStr">
        <is>
          <t>SEM COTAÇÃO</t>
        </is>
      </c>
      <c r="O2693" s="8" t="n"/>
      <c r="P2693" s="14" t="n"/>
      <c r="Q2693" s="7" t="inlineStr"/>
      <c r="R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7" t="inlineStr">
        <is>
          <t>SEM COTAÇÃO</t>
        </is>
      </c>
      <c r="O2694" s="8" t="n"/>
      <c r="P2694" s="14" t="n"/>
      <c r="Q2694" s="7" t="inlineStr"/>
      <c r="R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8" t="n"/>
      <c r="N2695" s="7" t="inlineStr">
        <is>
          <t>SEM COTAÇÃO</t>
        </is>
      </c>
      <c r="O2695" s="8" t="n"/>
      <c r="P2695" s="14" t="n"/>
      <c r="Q2695" s="7" t="inlineStr"/>
      <c r="R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8" t="n"/>
      <c r="N2696" s="7" t="inlineStr">
        <is>
          <t>DIMEC</t>
        </is>
      </c>
      <c r="O2696" s="8" t="n">
        <v>13.5</v>
      </c>
      <c r="P2696" s="14">
        <f>O2696/H2696-1</f>
        <v/>
      </c>
      <c r="Q2696" s="17" t="inlineStr">
        <is>
          <t>OK (≤ menor hist.)</t>
        </is>
      </c>
      <c r="R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8" t="n"/>
      <c r="N2697" s="7" t="inlineStr">
        <is>
          <t>SEM COTAÇÃO</t>
        </is>
      </c>
      <c r="O2697" s="8" t="n"/>
      <c r="P2697" s="14" t="n"/>
      <c r="Q2697" s="7" t="inlineStr"/>
      <c r="R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8" t="n"/>
      <c r="N2698" s="7" t="inlineStr">
        <is>
          <t>SEM COTAÇÃO</t>
        </is>
      </c>
      <c r="O2698" s="8" t="n"/>
      <c r="P2698" s="14" t="n"/>
      <c r="Q2698" s="7" t="inlineStr"/>
      <c r="R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8" t="n"/>
      <c r="N2699" s="7" t="inlineStr">
        <is>
          <t>SEM COTAÇÃO</t>
        </is>
      </c>
      <c r="O2699" s="8" t="n"/>
      <c r="P2699" s="14" t="n"/>
      <c r="Q2699" s="7" t="inlineStr"/>
      <c r="R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8" t="n"/>
      <c r="N2700" s="7" t="inlineStr">
        <is>
          <t>SEM COTAÇÃO</t>
        </is>
      </c>
      <c r="O2700" s="8" t="n"/>
      <c r="P2700" s="14" t="n"/>
      <c r="Q2700" s="7" t="inlineStr"/>
      <c r="R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15" t="n">
        <v>10.52</v>
      </c>
      <c r="K2701" s="8" t="n"/>
      <c r="L2701" s="8" t="n"/>
      <c r="M2701" s="8" t="n">
        <v>11.13</v>
      </c>
      <c r="N2701" s="7" t="inlineStr">
        <is>
          <t>DIMEC</t>
        </is>
      </c>
      <c r="O2701" s="8" t="n">
        <v>10.52</v>
      </c>
      <c r="P2701" s="14">
        <f>O2701/H2701-1</f>
        <v/>
      </c>
      <c r="Q2701" s="16" t="inlineStr">
        <is>
          <t>ACIMA +1.0%</t>
        </is>
      </c>
      <c r="R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8" t="n"/>
      <c r="N2702" s="7" t="inlineStr">
        <is>
          <t>SEM COTAÇÃO</t>
        </is>
      </c>
      <c r="O2702" s="8" t="n"/>
      <c r="P2702" s="14" t="n"/>
      <c r="Q2702" s="7" t="inlineStr"/>
      <c r="R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8" t="n"/>
      <c r="N2703" s="7" t="inlineStr">
        <is>
          <t>DIMEC</t>
        </is>
      </c>
      <c r="O2703" s="8" t="n">
        <v>1.99</v>
      </c>
      <c r="P2703" s="14">
        <f>O2703/H2703-1</f>
        <v/>
      </c>
      <c r="Q2703" s="17" t="inlineStr">
        <is>
          <t>OK (≤ menor hist.)</t>
        </is>
      </c>
      <c r="R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4.65</v>
      </c>
      <c r="K2704" s="8" t="n"/>
      <c r="L2704" s="8" t="n"/>
      <c r="M2704" s="15" t="n">
        <v>4.34</v>
      </c>
      <c r="N2704" s="7" t="inlineStr">
        <is>
          <t>CENTROFARMA</t>
        </is>
      </c>
      <c r="O2704" s="8" t="n">
        <v>4.34</v>
      </c>
      <c r="P2704" s="14">
        <f>O2704/H2704-1</f>
        <v/>
      </c>
      <c r="Q2704" s="16" t="inlineStr">
        <is>
          <t>ACIMA +5.3%</t>
        </is>
      </c>
      <c r="R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8" t="n"/>
      <c r="N2705" s="7" t="inlineStr">
        <is>
          <t>DIMEC</t>
        </is>
      </c>
      <c r="O2705" s="8" t="n">
        <v>5</v>
      </c>
      <c r="P2705" s="14">
        <f>O2705/H2705-1</f>
        <v/>
      </c>
      <c r="Q2705" s="17" t="inlineStr">
        <is>
          <t>OK (≤ menor hist.)</t>
        </is>
      </c>
      <c r="R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8" t="n">
        <v>4.74</v>
      </c>
      <c r="N2706" s="7" t="inlineStr">
        <is>
          <t>DIMEC</t>
        </is>
      </c>
      <c r="O2706" s="8" t="n">
        <v>4.58</v>
      </c>
      <c r="P2706" s="14">
        <f>O2706/H2706-1</f>
        <v/>
      </c>
      <c r="Q2706" s="16" t="inlineStr">
        <is>
          <t>ACIMA +1.8%</t>
        </is>
      </c>
      <c r="R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8" t="n"/>
      <c r="N2707" s="7" t="inlineStr">
        <is>
          <t>SEM COTAÇÃO</t>
        </is>
      </c>
      <c r="O2707" s="8" t="n"/>
      <c r="P2707" s="14" t="n"/>
      <c r="Q2707" s="7" t="inlineStr"/>
      <c r="R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8" t="n"/>
      <c r="N2708" s="7" t="inlineStr">
        <is>
          <t>SEM COTAÇÃO</t>
        </is>
      </c>
      <c r="O2708" s="8" t="n"/>
      <c r="P2708" s="14" t="n"/>
      <c r="Q2708" s="7" t="inlineStr"/>
      <c r="R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8" t="n"/>
      <c r="N2709" s="7" t="inlineStr">
        <is>
          <t>SEM COTAÇÃO</t>
        </is>
      </c>
      <c r="O2709" s="8" t="n"/>
      <c r="P2709" s="14" t="n"/>
      <c r="Q2709" s="7" t="inlineStr"/>
      <c r="R2709" s="7" t="inlineStr"/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8" t="n"/>
      <c r="N2710" s="7" t="inlineStr">
        <is>
          <t>EPAN</t>
        </is>
      </c>
      <c r="O2710" s="8" t="n">
        <v>13.74</v>
      </c>
      <c r="P2710" s="14">
        <f>O2710/H2710-1</f>
        <v/>
      </c>
      <c r="Q2710" s="17" t="inlineStr">
        <is>
          <t>OK (≤ últ. compra)</t>
        </is>
      </c>
      <c r="R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8" t="n"/>
      <c r="N2711" s="7" t="inlineStr">
        <is>
          <t>EPAN</t>
        </is>
      </c>
      <c r="O2711" s="8" t="n">
        <v>22.18</v>
      </c>
      <c r="P2711" s="14">
        <f>O2711/H2711-1</f>
        <v/>
      </c>
      <c r="Q2711" s="17" t="inlineStr">
        <is>
          <t>OK (≤ últ. compra)</t>
        </is>
      </c>
      <c r="R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8" t="n"/>
      <c r="N2712" s="7" t="inlineStr">
        <is>
          <t>SEM COTAÇÃO</t>
        </is>
      </c>
      <c r="O2712" s="8" t="n"/>
      <c r="P2712" s="14" t="n"/>
      <c r="Q2712" s="7" t="inlineStr"/>
      <c r="R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8" t="n"/>
      <c r="N2713" s="7" t="inlineStr">
        <is>
          <t>SEM COTAÇÃO</t>
        </is>
      </c>
      <c r="O2713" s="8" t="n"/>
      <c r="P2713" s="14" t="n"/>
      <c r="Q2713" s="7" t="inlineStr"/>
      <c r="R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8" t="n"/>
      <c r="N2714" s="7" t="inlineStr">
        <is>
          <t>SEM COTAÇÃO</t>
        </is>
      </c>
      <c r="O2714" s="8" t="n"/>
      <c r="P2714" s="14" t="n"/>
      <c r="Q2714" s="7" t="inlineStr"/>
      <c r="R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8" t="n"/>
      <c r="N2715" s="7" t="inlineStr">
        <is>
          <t>SEM COTAÇÃO</t>
        </is>
      </c>
      <c r="O2715" s="8" t="n"/>
      <c r="P2715" s="14" t="n"/>
      <c r="Q2715" s="7" t="inlineStr"/>
      <c r="R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7" t="inlineStr">
        <is>
          <t>SEM COTAÇÃO</t>
        </is>
      </c>
      <c r="O2716" s="8" t="n"/>
      <c r="P2716" s="14" t="n"/>
      <c r="Q2716" s="7" t="inlineStr"/>
      <c r="R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8" t="n"/>
      <c r="N2717" s="7" t="inlineStr">
        <is>
          <t>SEM COTAÇÃO</t>
        </is>
      </c>
      <c r="O2717" s="8" t="n"/>
      <c r="P2717" s="14" t="n"/>
      <c r="Q2717" s="7" t="inlineStr"/>
      <c r="R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8" t="n"/>
      <c r="N2718" s="7" t="inlineStr">
        <is>
          <t>SEM COTAÇÃO</t>
        </is>
      </c>
      <c r="O2718" s="8" t="n"/>
      <c r="P2718" s="14" t="n"/>
      <c r="Q2718" s="7" t="inlineStr"/>
      <c r="R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8" t="n"/>
      <c r="N2719" s="7" t="inlineStr">
        <is>
          <t>SEM COTAÇÃO</t>
        </is>
      </c>
      <c r="O2719" s="8" t="n"/>
      <c r="P2719" s="14" t="n"/>
      <c r="Q2719" s="7" t="inlineStr"/>
      <c r="R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8" t="n"/>
      <c r="N2720" s="7" t="inlineStr">
        <is>
          <t>SEM COTAÇÃO</t>
        </is>
      </c>
      <c r="O2720" s="8" t="n"/>
      <c r="P2720" s="14" t="n"/>
      <c r="Q2720" s="7" t="inlineStr"/>
      <c r="R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8" t="n"/>
      <c r="N2721" s="7" t="inlineStr">
        <is>
          <t>SEM COTAÇÃO</t>
        </is>
      </c>
      <c r="O2721" s="8" t="n"/>
      <c r="P2721" s="14" t="n"/>
      <c r="Q2721" s="7" t="inlineStr"/>
      <c r="R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8" t="n"/>
      <c r="N2722" s="7" t="inlineStr">
        <is>
          <t>SEM COTAÇÃO</t>
        </is>
      </c>
      <c r="O2722" s="8" t="n"/>
      <c r="P2722" s="14" t="n"/>
      <c r="Q2722" s="7" t="inlineStr"/>
      <c r="R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8" t="n"/>
      <c r="N2723" s="7" t="inlineStr">
        <is>
          <t>SEM COTAÇÃO</t>
        </is>
      </c>
      <c r="O2723" s="8" t="n"/>
      <c r="P2723" s="14" t="n"/>
      <c r="Q2723" s="7" t="inlineStr"/>
      <c r="R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8" t="n">
        <v>4.62</v>
      </c>
      <c r="N2724" s="7" t="inlineStr">
        <is>
          <t>DIMEC</t>
        </is>
      </c>
      <c r="O2724" s="8" t="n">
        <v>4.5</v>
      </c>
      <c r="P2724" s="14">
        <f>O2724/H2724-1</f>
        <v/>
      </c>
      <c r="Q2724" s="16" t="inlineStr">
        <is>
          <t>ACIMA +4.4%</t>
        </is>
      </c>
      <c r="R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7" t="inlineStr">
        <is>
          <t>SEM COTAÇÃO</t>
        </is>
      </c>
      <c r="O2725" s="8" t="n"/>
      <c r="P2725" s="14" t="n"/>
      <c r="Q2725" s="7" t="inlineStr"/>
      <c r="R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8" t="n"/>
      <c r="N2726" s="7" t="inlineStr">
        <is>
          <t>SEM COTAÇÃO</t>
        </is>
      </c>
      <c r="O2726" s="8" t="n"/>
      <c r="P2726" s="14" t="n"/>
      <c r="Q2726" s="7" t="inlineStr"/>
      <c r="R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8" t="n"/>
      <c r="N2727" s="7" t="inlineStr">
        <is>
          <t>SEM COTAÇÃO</t>
        </is>
      </c>
      <c r="O2727" s="8" t="n"/>
      <c r="P2727" s="14" t="n"/>
      <c r="Q2727" s="7" t="inlineStr"/>
      <c r="R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8" t="n"/>
      <c r="N2728" s="7" t="inlineStr">
        <is>
          <t>EPAN</t>
        </is>
      </c>
      <c r="O2728" s="8" t="n">
        <v>20.33</v>
      </c>
      <c r="P2728" s="14">
        <f>O2728/H2728-1</f>
        <v/>
      </c>
      <c r="Q2728" s="17" t="inlineStr">
        <is>
          <t>OK (≤ últ. compra)</t>
        </is>
      </c>
      <c r="R2728" s="7" t="inlineStr"/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15" t="n">
        <v>3.4</v>
      </c>
      <c r="N2729" s="7" t="inlineStr">
        <is>
          <t>CENTROFARMA</t>
        </is>
      </c>
      <c r="O2729" s="8" t="n">
        <v>3.4</v>
      </c>
      <c r="P2729" s="14">
        <f>O2729/H2729-1</f>
        <v/>
      </c>
      <c r="Q2729" s="16" t="inlineStr">
        <is>
          <t>ACIMA +5.3%</t>
        </is>
      </c>
      <c r="R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8" t="n"/>
      <c r="N2730" s="7" t="inlineStr">
        <is>
          <t>SEM COTAÇÃO</t>
        </is>
      </c>
      <c r="O2730" s="8" t="n"/>
      <c r="P2730" s="14" t="n"/>
      <c r="Q2730" s="7" t="inlineStr"/>
      <c r="R2730" s="7" t="inlineStr"/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8" t="n"/>
      <c r="N2731" s="7" t="inlineStr">
        <is>
          <t>SEM COTAÇÃO</t>
        </is>
      </c>
      <c r="O2731" s="8" t="n"/>
      <c r="P2731" s="14" t="n"/>
      <c r="Q2731" s="7" t="inlineStr"/>
      <c r="R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8" t="n"/>
      <c r="N2732" s="7" t="inlineStr">
        <is>
          <t>SEM COTAÇÃO</t>
        </is>
      </c>
      <c r="O2732" s="8" t="n"/>
      <c r="P2732" s="14" t="n"/>
      <c r="Q2732" s="7" t="inlineStr"/>
      <c r="R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8" t="n"/>
      <c r="N2733" s="7" t="inlineStr">
        <is>
          <t>SEM COTAÇÃO</t>
        </is>
      </c>
      <c r="O2733" s="8" t="n"/>
      <c r="P2733" s="14" t="n"/>
      <c r="Q2733" s="7" t="inlineStr"/>
      <c r="R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8" t="n"/>
      <c r="N2734" s="7" t="inlineStr">
        <is>
          <t>SEM COTAÇÃO</t>
        </is>
      </c>
      <c r="O2734" s="8" t="n"/>
      <c r="P2734" s="14" t="n"/>
      <c r="Q2734" s="7" t="inlineStr"/>
      <c r="R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8" t="n">
        <v>7.08</v>
      </c>
      <c r="N2735" s="7" t="inlineStr">
        <is>
          <t>DIMEC</t>
        </is>
      </c>
      <c r="O2735" s="8" t="n">
        <v>6.95</v>
      </c>
      <c r="P2735" s="14">
        <f>O2735/H2735-1</f>
        <v/>
      </c>
      <c r="Q2735" s="16" t="inlineStr">
        <is>
          <t>ACIMA +3.3%</t>
        </is>
      </c>
      <c r="R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8" t="n"/>
      <c r="N2736" s="7" t="inlineStr">
        <is>
          <t>SEM COTAÇÃO</t>
        </is>
      </c>
      <c r="O2736" s="8" t="n"/>
      <c r="P2736" s="14" t="n"/>
      <c r="Q2736" s="7" t="inlineStr"/>
      <c r="R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8" t="n"/>
      <c r="N2737" s="7" t="inlineStr">
        <is>
          <t>SEM COTAÇÃO</t>
        </is>
      </c>
      <c r="O2737" s="8" t="n"/>
      <c r="P2737" s="14" t="n"/>
      <c r="Q2737" s="7" t="inlineStr"/>
      <c r="R2737" s="7" t="inlineStr"/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8" t="n"/>
      <c r="N2738" s="7" t="inlineStr">
        <is>
          <t>SEM COTAÇÃO</t>
        </is>
      </c>
      <c r="O2738" s="8" t="n"/>
      <c r="P2738" s="14" t="n"/>
      <c r="Q2738" s="7" t="inlineStr"/>
      <c r="R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7" t="inlineStr">
        <is>
          <t>SEM COTAÇÃO</t>
        </is>
      </c>
      <c r="O2739" s="8" t="n"/>
      <c r="P2739" s="14" t="n"/>
      <c r="Q2739" s="7" t="inlineStr"/>
      <c r="R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7" t="inlineStr">
        <is>
          <t>SEM COTAÇÃO</t>
        </is>
      </c>
      <c r="O2740" s="8" t="n"/>
      <c r="P2740" s="14" t="n"/>
      <c r="Q2740" s="7" t="inlineStr"/>
      <c r="R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8" t="n"/>
      <c r="N2741" s="7" t="inlineStr">
        <is>
          <t>SEM COTAÇÃO</t>
        </is>
      </c>
      <c r="O2741" s="8" t="n"/>
      <c r="P2741" s="14" t="n"/>
      <c r="Q2741" s="7" t="inlineStr"/>
      <c r="R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8" t="n"/>
      <c r="N2742" s="7" t="inlineStr">
        <is>
          <t>SEM COTAÇÃO</t>
        </is>
      </c>
      <c r="O2742" s="8" t="n"/>
      <c r="P2742" s="14" t="n"/>
      <c r="Q2742" s="7" t="inlineStr"/>
      <c r="R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8" t="n"/>
      <c r="N2743" s="7" t="inlineStr">
        <is>
          <t>SEM COTAÇÃO</t>
        </is>
      </c>
      <c r="O2743" s="8" t="n"/>
      <c r="P2743" s="14" t="n"/>
      <c r="Q2743" s="7" t="inlineStr"/>
      <c r="R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8" t="n"/>
      <c r="N2744" s="7" t="inlineStr">
        <is>
          <t>SEM COTAÇÃO</t>
        </is>
      </c>
      <c r="O2744" s="8" t="n"/>
      <c r="P2744" s="14" t="n"/>
      <c r="Q2744" s="7" t="inlineStr"/>
      <c r="R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8" t="n"/>
      <c r="N2745" s="7" t="inlineStr">
        <is>
          <t>SEM COTAÇÃO</t>
        </is>
      </c>
      <c r="O2745" s="8" t="n"/>
      <c r="P2745" s="14" t="n"/>
      <c r="Q2745" s="7" t="inlineStr"/>
      <c r="R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8" t="n"/>
      <c r="N2746" s="7" t="inlineStr">
        <is>
          <t>SEM COTAÇÃO</t>
        </is>
      </c>
      <c r="O2746" s="8" t="n"/>
      <c r="P2746" s="14" t="n"/>
      <c r="Q2746" s="7" t="inlineStr"/>
      <c r="R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8" t="n"/>
      <c r="N2747" s="7" t="inlineStr">
        <is>
          <t>SEM COTAÇÃO</t>
        </is>
      </c>
      <c r="O2747" s="8" t="n"/>
      <c r="P2747" s="14" t="n"/>
      <c r="Q2747" s="7" t="inlineStr"/>
      <c r="R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8" t="n"/>
      <c r="N2748" s="7" t="inlineStr">
        <is>
          <t>SEM COTAÇÃO</t>
        </is>
      </c>
      <c r="O2748" s="8" t="n"/>
      <c r="P2748" s="14" t="n"/>
      <c r="Q2748" s="7" t="inlineStr"/>
      <c r="R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8" t="n"/>
      <c r="N2749" s="7" t="inlineStr">
        <is>
          <t>SEM COTAÇÃO</t>
        </is>
      </c>
      <c r="O2749" s="8" t="n"/>
      <c r="P2749" s="14" t="n"/>
      <c r="Q2749" s="7" t="inlineStr"/>
      <c r="R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8" t="n"/>
      <c r="N2750" s="7" t="inlineStr">
        <is>
          <t>SEM COTAÇÃO</t>
        </is>
      </c>
      <c r="O2750" s="8" t="n"/>
      <c r="P2750" s="14" t="n"/>
      <c r="Q2750" s="7" t="inlineStr"/>
      <c r="R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8" t="n"/>
      <c r="N2751" s="7" t="inlineStr">
        <is>
          <t>SEM COTAÇÃO</t>
        </is>
      </c>
      <c r="O2751" s="8" t="n"/>
      <c r="P2751" s="14" t="n"/>
      <c r="Q2751" s="7" t="inlineStr"/>
      <c r="R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8" t="n"/>
      <c r="N2752" s="7" t="inlineStr">
        <is>
          <t>SEM COTAÇÃO</t>
        </is>
      </c>
      <c r="O2752" s="8" t="n"/>
      <c r="P2752" s="14" t="n"/>
      <c r="Q2752" s="7" t="inlineStr"/>
      <c r="R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8" t="n"/>
      <c r="N2753" s="7" t="inlineStr">
        <is>
          <t>SEM COTAÇÃO</t>
        </is>
      </c>
      <c r="O2753" s="8" t="n"/>
      <c r="P2753" s="14" t="n"/>
      <c r="Q2753" s="7" t="inlineStr"/>
      <c r="R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8" t="n"/>
      <c r="N2754" s="7" t="inlineStr">
        <is>
          <t>SEM COTAÇÃO</t>
        </is>
      </c>
      <c r="O2754" s="8" t="n"/>
      <c r="P2754" s="14" t="n"/>
      <c r="Q2754" s="7" t="inlineStr"/>
      <c r="R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8" t="n"/>
      <c r="N2755" s="7" t="inlineStr">
        <is>
          <t>SEM COTAÇÃO</t>
        </is>
      </c>
      <c r="O2755" s="8" t="n"/>
      <c r="P2755" s="14" t="n"/>
      <c r="Q2755" s="7" t="inlineStr"/>
      <c r="R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8" t="n"/>
      <c r="N2756" s="7" t="inlineStr">
        <is>
          <t>SEM COTAÇÃO</t>
        </is>
      </c>
      <c r="O2756" s="8" t="n"/>
      <c r="P2756" s="14" t="n"/>
      <c r="Q2756" s="7" t="inlineStr"/>
      <c r="R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8" t="n"/>
      <c r="N2757" s="7" t="inlineStr">
        <is>
          <t>SEM COTAÇÃO</t>
        </is>
      </c>
      <c r="O2757" s="8" t="n"/>
      <c r="P2757" s="14" t="n"/>
      <c r="Q2757" s="7" t="inlineStr"/>
      <c r="R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8" t="n"/>
      <c r="N2758" s="7" t="inlineStr">
        <is>
          <t>SEM COTAÇÃO</t>
        </is>
      </c>
      <c r="O2758" s="8" t="n"/>
      <c r="P2758" s="14" t="n"/>
      <c r="Q2758" s="7" t="inlineStr"/>
      <c r="R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8" t="n"/>
      <c r="N2759" s="7" t="inlineStr">
        <is>
          <t>SEM COTAÇÃO</t>
        </is>
      </c>
      <c r="O2759" s="8" t="n"/>
      <c r="P2759" s="14" t="n"/>
      <c r="Q2759" s="7" t="inlineStr"/>
      <c r="R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8" t="n"/>
      <c r="N2760" s="7" t="inlineStr">
        <is>
          <t>SEM COTAÇÃO</t>
        </is>
      </c>
      <c r="O2760" s="8" t="n"/>
      <c r="P2760" s="14" t="n"/>
      <c r="Q2760" s="7" t="inlineStr"/>
      <c r="R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8" t="n"/>
      <c r="N2761" s="7" t="inlineStr">
        <is>
          <t>SEM COTAÇÃO</t>
        </is>
      </c>
      <c r="O2761" s="8" t="n"/>
      <c r="P2761" s="14" t="n"/>
      <c r="Q2761" s="7" t="inlineStr"/>
      <c r="R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8" t="n"/>
      <c r="N2762" s="7" t="inlineStr">
        <is>
          <t>SEM COTAÇÃO</t>
        </is>
      </c>
      <c r="O2762" s="8" t="n"/>
      <c r="P2762" s="14" t="n"/>
      <c r="Q2762" s="7" t="inlineStr"/>
      <c r="R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8" t="n"/>
      <c r="N2763" s="7" t="inlineStr">
        <is>
          <t>SEM COTAÇÃO</t>
        </is>
      </c>
      <c r="O2763" s="8" t="n"/>
      <c r="P2763" s="14" t="n"/>
      <c r="Q2763" s="7" t="inlineStr"/>
      <c r="R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8" t="n"/>
      <c r="N2764" s="7" t="inlineStr">
        <is>
          <t>SEM COTAÇÃO</t>
        </is>
      </c>
      <c r="O2764" s="8" t="n"/>
      <c r="P2764" s="14" t="n"/>
      <c r="Q2764" s="7" t="inlineStr"/>
      <c r="R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8" t="n"/>
      <c r="N2765" s="7" t="inlineStr">
        <is>
          <t>SEM COTAÇÃO</t>
        </is>
      </c>
      <c r="O2765" s="8" t="n"/>
      <c r="P2765" s="14" t="n"/>
      <c r="Q2765" s="7" t="inlineStr"/>
      <c r="R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8" t="n"/>
      <c r="N2766" s="7" t="inlineStr">
        <is>
          <t>SEM COTAÇÃO</t>
        </is>
      </c>
      <c r="O2766" s="8" t="n"/>
      <c r="P2766" s="14" t="n"/>
      <c r="Q2766" s="7" t="inlineStr"/>
      <c r="R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8" t="n"/>
      <c r="N2767" s="7" t="inlineStr">
        <is>
          <t>SEM COTAÇÃO</t>
        </is>
      </c>
      <c r="O2767" s="8" t="n"/>
      <c r="P2767" s="14" t="n"/>
      <c r="Q2767" s="7" t="inlineStr"/>
      <c r="R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8" t="n"/>
      <c r="N2768" s="7" t="inlineStr">
        <is>
          <t>SEM COTAÇÃO</t>
        </is>
      </c>
      <c r="O2768" s="8" t="n"/>
      <c r="P2768" s="14" t="n"/>
      <c r="Q2768" s="7" t="inlineStr"/>
      <c r="R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8" t="n"/>
      <c r="N2769" s="7" t="inlineStr">
        <is>
          <t>SEM COTAÇÃO</t>
        </is>
      </c>
      <c r="O2769" s="8" t="n"/>
      <c r="P2769" s="14" t="n"/>
      <c r="Q2769" s="7" t="inlineStr"/>
      <c r="R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8" t="n"/>
      <c r="N2770" s="7" t="inlineStr">
        <is>
          <t>SEM COTAÇÃO</t>
        </is>
      </c>
      <c r="O2770" s="8" t="n"/>
      <c r="P2770" s="14" t="n"/>
      <c r="Q2770" s="7" t="inlineStr"/>
      <c r="R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8" t="n"/>
      <c r="N2771" s="7" t="inlineStr">
        <is>
          <t>SEM COTAÇÃO</t>
        </is>
      </c>
      <c r="O2771" s="8" t="n"/>
      <c r="P2771" s="14" t="n"/>
      <c r="Q2771" s="7" t="inlineStr"/>
      <c r="R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8" t="n"/>
      <c r="N2772" s="7" t="inlineStr">
        <is>
          <t>SEM COTAÇÃO</t>
        </is>
      </c>
      <c r="O2772" s="8" t="n"/>
      <c r="P2772" s="14" t="n"/>
      <c r="Q2772" s="7" t="inlineStr"/>
      <c r="R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8" t="n"/>
      <c r="N2773" s="7" t="inlineStr">
        <is>
          <t>SEM COTAÇÃO</t>
        </is>
      </c>
      <c r="O2773" s="8" t="n"/>
      <c r="P2773" s="14" t="n"/>
      <c r="Q2773" s="7" t="inlineStr"/>
      <c r="R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8" t="n"/>
      <c r="N2774" s="7" t="inlineStr">
        <is>
          <t>SEM COTAÇÃO</t>
        </is>
      </c>
      <c r="O2774" s="8" t="n"/>
      <c r="P2774" s="14" t="n"/>
      <c r="Q2774" s="7" t="inlineStr"/>
      <c r="R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8" t="n"/>
      <c r="N2775" s="7" t="inlineStr">
        <is>
          <t>SEM COTAÇÃO</t>
        </is>
      </c>
      <c r="O2775" s="8" t="n"/>
      <c r="P2775" s="14" t="n"/>
      <c r="Q2775" s="7" t="inlineStr"/>
      <c r="R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7" t="inlineStr">
        <is>
          <t>SEM COTAÇÃO</t>
        </is>
      </c>
      <c r="O2776" s="8" t="n"/>
      <c r="P2776" s="14" t="n"/>
      <c r="Q2776" s="7" t="inlineStr"/>
      <c r="R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8" t="n"/>
      <c r="N2777" s="7" t="inlineStr">
        <is>
          <t>SEM COTAÇÃO</t>
        </is>
      </c>
      <c r="O2777" s="8" t="n"/>
      <c r="P2777" s="14" t="n"/>
      <c r="Q2777" s="7" t="inlineStr"/>
      <c r="R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8" t="n"/>
      <c r="M2778" s="8" t="n">
        <v>6</v>
      </c>
      <c r="N2778" s="7" t="inlineStr">
        <is>
          <t>DIMEC</t>
        </is>
      </c>
      <c r="O2778" s="8" t="n">
        <v>5.93</v>
      </c>
      <c r="P2778" s="14">
        <f>O2778/H2778-1</f>
        <v/>
      </c>
      <c r="Q2778" s="16" t="inlineStr">
        <is>
          <t>ACIMA +5.0%</t>
        </is>
      </c>
      <c r="R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8" t="n"/>
      <c r="N2779" s="7" t="inlineStr">
        <is>
          <t>SEM COTAÇÃO</t>
        </is>
      </c>
      <c r="O2779" s="8" t="n"/>
      <c r="P2779" s="14" t="n"/>
      <c r="Q2779" s="7" t="inlineStr"/>
      <c r="R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8" t="n"/>
      <c r="N2780" s="7" t="inlineStr">
        <is>
          <t>DIMEC</t>
        </is>
      </c>
      <c r="O2780" s="8" t="n">
        <v>1.76</v>
      </c>
      <c r="P2780" s="14">
        <f>O2780/H2780-1</f>
        <v/>
      </c>
      <c r="Q2780" s="16" t="inlineStr">
        <is>
          <t>ACIMA +4.1%</t>
        </is>
      </c>
      <c r="R2780" s="7" t="inlineStr"/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8" t="n"/>
      <c r="N2781" s="7" t="inlineStr">
        <is>
          <t>SEM COTAÇÃO</t>
        </is>
      </c>
      <c r="O2781" s="8" t="n"/>
      <c r="P2781" s="14" t="n"/>
      <c r="Q2781" s="7" t="inlineStr"/>
      <c r="R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8" t="n"/>
      <c r="N2782" s="7" t="inlineStr">
        <is>
          <t>DIMEC</t>
        </is>
      </c>
      <c r="O2782" s="8" t="n">
        <v>9.07</v>
      </c>
      <c r="P2782" s="14">
        <f>O2782/H2782-1</f>
        <v/>
      </c>
      <c r="Q2782" s="17" t="inlineStr">
        <is>
          <t>OK (≤ menor hist.)</t>
        </is>
      </c>
      <c r="R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8" t="n">
        <v>16.27</v>
      </c>
      <c r="N2783" s="7" t="inlineStr">
        <is>
          <t>DIMEC</t>
        </is>
      </c>
      <c r="O2783" s="8" t="n">
        <v>15.34</v>
      </c>
      <c r="P2783" s="14">
        <f>O2783/H2783-1</f>
        <v/>
      </c>
      <c r="Q2783" s="16" t="inlineStr">
        <is>
          <t>ACIMA +0.5%</t>
        </is>
      </c>
      <c r="R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8" t="n"/>
      <c r="N2784" s="7" t="inlineStr">
        <is>
          <t>DIMEC</t>
        </is>
      </c>
      <c r="O2784" s="8" t="n">
        <v>4.32</v>
      </c>
      <c r="P2784" s="14">
        <f>O2784/H2784-1</f>
        <v/>
      </c>
      <c r="Q2784" s="17" t="inlineStr">
        <is>
          <t>OK (≤ menor hist.)</t>
        </is>
      </c>
      <c r="R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7" t="inlineStr">
        <is>
          <t>SEM COTAÇÃO</t>
        </is>
      </c>
      <c r="O2785" s="8" t="n"/>
      <c r="P2785" s="14" t="n"/>
      <c r="Q2785" s="7" t="inlineStr"/>
      <c r="R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7" t="inlineStr">
        <is>
          <t>SEM COTAÇÃO</t>
        </is>
      </c>
      <c r="O2786" s="8" t="n"/>
      <c r="P2786" s="14" t="n"/>
      <c r="Q2786" s="7" t="inlineStr"/>
      <c r="R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7" t="inlineStr">
        <is>
          <t>SEM COTAÇÃO</t>
        </is>
      </c>
      <c r="O2787" s="8" t="n"/>
      <c r="P2787" s="14" t="n"/>
      <c r="Q2787" s="7" t="inlineStr"/>
      <c r="R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15" t="n">
        <v>42.72</v>
      </c>
      <c r="M2788" s="8" t="n"/>
      <c r="N2788" s="7" t="inlineStr">
        <is>
          <t>EPAN</t>
        </is>
      </c>
      <c r="O2788" s="8" t="n">
        <v>42.72</v>
      </c>
      <c r="P2788" s="14">
        <f>O2788/H2788-1</f>
        <v/>
      </c>
      <c r="Q2788" s="17" t="inlineStr">
        <is>
          <t>OK (≤ últ. compra)</t>
        </is>
      </c>
      <c r="R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8" t="n"/>
      <c r="N2789" s="7" t="inlineStr">
        <is>
          <t>SEM COTAÇÃO</t>
        </is>
      </c>
      <c r="O2789" s="8" t="n"/>
      <c r="P2789" s="14" t="n"/>
      <c r="Q2789" s="7" t="inlineStr"/>
      <c r="R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8" t="n"/>
      <c r="N2790" s="7" t="inlineStr">
        <is>
          <t>DIMEC</t>
        </is>
      </c>
      <c r="O2790" s="8" t="n">
        <v>1.76</v>
      </c>
      <c r="P2790" s="14">
        <f>O2790/H2790-1</f>
        <v/>
      </c>
      <c r="Q2790" s="17" t="inlineStr">
        <is>
          <t>OK (≤ menor hist.)</t>
        </is>
      </c>
      <c r="R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8" t="n"/>
      <c r="N2791" s="7" t="inlineStr">
        <is>
          <t>DIMEC</t>
        </is>
      </c>
      <c r="O2791" s="8" t="n">
        <v>1.74</v>
      </c>
      <c r="P2791" s="14">
        <f>O2791/H2791-1</f>
        <v/>
      </c>
      <c r="Q2791" s="17" t="inlineStr">
        <is>
          <t>OK (≤ menor hist.)</t>
        </is>
      </c>
      <c r="R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8" t="n"/>
      <c r="N2792" s="7" t="inlineStr">
        <is>
          <t>SEM COTAÇÃO</t>
        </is>
      </c>
      <c r="O2792" s="8" t="n"/>
      <c r="P2792" s="14" t="n"/>
      <c r="Q2792" s="7" t="inlineStr"/>
      <c r="R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8" t="n"/>
      <c r="N2793" s="7" t="inlineStr">
        <is>
          <t>SEM COTAÇÃO</t>
        </is>
      </c>
      <c r="O2793" s="8" t="n"/>
      <c r="P2793" s="14" t="n"/>
      <c r="Q2793" s="7" t="inlineStr"/>
      <c r="R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8" t="n"/>
      <c r="N2794" s="7" t="inlineStr">
        <is>
          <t>SEM COTAÇÃO</t>
        </is>
      </c>
      <c r="O2794" s="8" t="n"/>
      <c r="P2794" s="14" t="n"/>
      <c r="Q2794" s="7" t="inlineStr"/>
      <c r="R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8" t="n"/>
      <c r="N2795" s="7" t="inlineStr">
        <is>
          <t>SEM COTAÇÃO</t>
        </is>
      </c>
      <c r="O2795" s="8" t="n"/>
      <c r="P2795" s="14" t="n"/>
      <c r="Q2795" s="7" t="inlineStr"/>
      <c r="R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8" t="n"/>
      <c r="N2796" s="7" t="inlineStr">
        <is>
          <t>SEM COTAÇÃO</t>
        </is>
      </c>
      <c r="O2796" s="8" t="n"/>
      <c r="P2796" s="14" t="n"/>
      <c r="Q2796" s="7" t="inlineStr"/>
      <c r="R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8" t="n"/>
      <c r="N2797" s="7" t="inlineStr">
        <is>
          <t>SEM COTAÇÃO</t>
        </is>
      </c>
      <c r="O2797" s="8" t="n"/>
      <c r="P2797" s="14" t="n"/>
      <c r="Q2797" s="7" t="inlineStr"/>
      <c r="R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8" t="n"/>
      <c r="N2798" s="7" t="inlineStr">
        <is>
          <t>SEM COTAÇÃO</t>
        </is>
      </c>
      <c r="O2798" s="8" t="n"/>
      <c r="P2798" s="14" t="n"/>
      <c r="Q2798" s="7" t="inlineStr"/>
      <c r="R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8" t="n"/>
      <c r="N2799" s="7" t="inlineStr">
        <is>
          <t>SEM COTAÇÃO</t>
        </is>
      </c>
      <c r="O2799" s="8" t="n"/>
      <c r="P2799" s="14" t="n"/>
      <c r="Q2799" s="7" t="inlineStr"/>
      <c r="R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8" t="n"/>
      <c r="N2800" s="7" t="inlineStr">
        <is>
          <t>DIMEC</t>
        </is>
      </c>
      <c r="O2800" s="8" t="n">
        <v>26.33</v>
      </c>
      <c r="P2800" s="14">
        <f>O2800/H2800-1</f>
        <v/>
      </c>
      <c r="Q2800" s="16" t="inlineStr">
        <is>
          <t>ACIMA +32.3%</t>
        </is>
      </c>
      <c r="R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8" t="n"/>
      <c r="N2801" s="7" t="inlineStr">
        <is>
          <t>SEM COTAÇÃO</t>
        </is>
      </c>
      <c r="O2801" s="8" t="n"/>
      <c r="P2801" s="14" t="n"/>
      <c r="Q2801" s="7" t="inlineStr"/>
      <c r="R2801" s="7" t="inlineStr"/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8" t="n"/>
      <c r="N2802" s="7" t="inlineStr">
        <is>
          <t>SEM COTAÇÃO</t>
        </is>
      </c>
      <c r="O2802" s="8" t="n"/>
      <c r="P2802" s="14" t="n"/>
      <c r="Q2802" s="7" t="inlineStr"/>
      <c r="R2802" s="7" t="inlineStr"/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8" t="n"/>
      <c r="N2803" s="7" t="inlineStr">
        <is>
          <t>SEM COTAÇÃO</t>
        </is>
      </c>
      <c r="O2803" s="8" t="n"/>
      <c r="P2803" s="14" t="n"/>
      <c r="Q2803" s="7" t="inlineStr"/>
      <c r="R2803" s="7" t="inlineStr"/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8" t="n"/>
      <c r="N2804" s="7" t="inlineStr">
        <is>
          <t>SEM COTAÇÃO</t>
        </is>
      </c>
      <c r="O2804" s="8" t="n"/>
      <c r="P2804" s="14" t="n"/>
      <c r="Q2804" s="7" t="inlineStr"/>
      <c r="R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8" t="n"/>
      <c r="N2805" s="7" t="inlineStr">
        <is>
          <t>SEM COTAÇÃO</t>
        </is>
      </c>
      <c r="O2805" s="8" t="n"/>
      <c r="P2805" s="14" t="n"/>
      <c r="Q2805" s="7" t="inlineStr"/>
      <c r="R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8" t="n"/>
      <c r="N2806" s="7" t="inlineStr">
        <is>
          <t>SEM COTAÇÃO</t>
        </is>
      </c>
      <c r="O2806" s="8" t="n"/>
      <c r="P2806" s="14" t="n"/>
      <c r="Q2806" s="7" t="inlineStr"/>
      <c r="R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8" t="n"/>
      <c r="N2807" s="7" t="inlineStr">
        <is>
          <t>SEM COTAÇÃO</t>
        </is>
      </c>
      <c r="O2807" s="8" t="n"/>
      <c r="P2807" s="14" t="n"/>
      <c r="Q2807" s="7" t="inlineStr"/>
      <c r="R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8" t="n"/>
      <c r="N2808" s="7" t="inlineStr">
        <is>
          <t>SEM COTAÇÃO</t>
        </is>
      </c>
      <c r="O2808" s="8" t="n"/>
      <c r="P2808" s="14" t="n"/>
      <c r="Q2808" s="7" t="inlineStr"/>
      <c r="R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8" t="n"/>
      <c r="N2809" s="7" t="inlineStr">
        <is>
          <t>SEM COTAÇÃO</t>
        </is>
      </c>
      <c r="O2809" s="8" t="n"/>
      <c r="P2809" s="14" t="n"/>
      <c r="Q2809" s="7" t="inlineStr"/>
      <c r="R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8" t="n"/>
      <c r="N2810" s="7" t="inlineStr">
        <is>
          <t>SEM COTAÇÃO</t>
        </is>
      </c>
      <c r="O2810" s="8" t="n"/>
      <c r="P2810" s="14" t="n"/>
      <c r="Q2810" s="7" t="inlineStr"/>
      <c r="R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8" t="n"/>
      <c r="N2811" s="7" t="inlineStr">
        <is>
          <t>SEM COTAÇÃO</t>
        </is>
      </c>
      <c r="O2811" s="8" t="n"/>
      <c r="P2811" s="14" t="n"/>
      <c r="Q2811" s="7" t="inlineStr"/>
      <c r="R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8" t="n"/>
      <c r="N2812" s="7" t="inlineStr">
        <is>
          <t>SEM COTAÇÃO</t>
        </is>
      </c>
      <c r="O2812" s="8" t="n"/>
      <c r="P2812" s="14" t="n"/>
      <c r="Q2812" s="7" t="inlineStr"/>
      <c r="R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8" t="n"/>
      <c r="N2813" s="7" t="inlineStr">
        <is>
          <t>SEM COTAÇÃO</t>
        </is>
      </c>
      <c r="O2813" s="8" t="n"/>
      <c r="P2813" s="14" t="n"/>
      <c r="Q2813" s="7" t="inlineStr"/>
      <c r="R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8" t="n"/>
      <c r="N2814" s="7" t="inlineStr">
        <is>
          <t>SEM COTAÇÃO</t>
        </is>
      </c>
      <c r="O2814" s="8" t="n"/>
      <c r="P2814" s="14" t="n"/>
      <c r="Q2814" s="7" t="inlineStr"/>
      <c r="R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8" t="n"/>
      <c r="N2815" s="7" t="inlineStr">
        <is>
          <t>SEM COTAÇÃO</t>
        </is>
      </c>
      <c r="O2815" s="8" t="n"/>
      <c r="P2815" s="14" t="n"/>
      <c r="Q2815" s="7" t="inlineStr"/>
      <c r="R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8" t="n"/>
      <c r="N2816" s="7" t="inlineStr">
        <is>
          <t>SEM COTAÇÃO</t>
        </is>
      </c>
      <c r="O2816" s="8" t="n"/>
      <c r="P2816" s="14" t="n"/>
      <c r="Q2816" s="7" t="inlineStr"/>
      <c r="R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8" t="n"/>
      <c r="N2817" s="7" t="inlineStr">
        <is>
          <t>SEM COTAÇÃO</t>
        </is>
      </c>
      <c r="O2817" s="8" t="n"/>
      <c r="P2817" s="14" t="n"/>
      <c r="Q2817" s="7" t="inlineStr"/>
      <c r="R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7" t="inlineStr">
        <is>
          <t>SEM COTAÇÃO</t>
        </is>
      </c>
      <c r="O2818" s="8" t="n"/>
      <c r="P2818" s="14" t="n"/>
      <c r="Q2818" s="7" t="inlineStr"/>
      <c r="R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15" t="n">
        <v>4.85</v>
      </c>
      <c r="K2819" s="8" t="n"/>
      <c r="L2819" s="8" t="n"/>
      <c r="M2819" s="8" t="n">
        <v>5.02</v>
      </c>
      <c r="N2819" s="7" t="inlineStr">
        <is>
          <t>DIMEC</t>
        </is>
      </c>
      <c r="O2819" s="8" t="n">
        <v>4.85</v>
      </c>
      <c r="P2819" s="14">
        <f>O2819/H2819-1</f>
        <v/>
      </c>
      <c r="Q2819" s="16" t="inlineStr">
        <is>
          <t>ACIMA +17.1%</t>
        </is>
      </c>
      <c r="R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15" t="n">
        <v>4.71</v>
      </c>
      <c r="K2820" s="8" t="n"/>
      <c r="L2820" s="8" t="n"/>
      <c r="M2820" s="8" t="n">
        <v>4.78</v>
      </c>
      <c r="N2820" s="7" t="inlineStr">
        <is>
          <t>DIMEC</t>
        </is>
      </c>
      <c r="O2820" s="8" t="n">
        <v>4.71</v>
      </c>
      <c r="P2820" s="14">
        <f>O2820/H2820-1</f>
        <v/>
      </c>
      <c r="Q2820" s="17" t="inlineStr">
        <is>
          <t>OK (≤ menor hist.)</t>
        </is>
      </c>
      <c r="R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8" t="n"/>
      <c r="N2821" s="7" t="inlineStr">
        <is>
          <t>SEM COTAÇÃO</t>
        </is>
      </c>
      <c r="O2821" s="8" t="n"/>
      <c r="P2821" s="14" t="n"/>
      <c r="Q2821" s="7" t="inlineStr"/>
      <c r="R2821" s="7" t="inlineStr"/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8" t="n"/>
      <c r="N2822" s="7" t="inlineStr">
        <is>
          <t>SEM COTAÇÃO</t>
        </is>
      </c>
      <c r="O2822" s="8" t="n"/>
      <c r="P2822" s="14" t="n"/>
      <c r="Q2822" s="7" t="inlineStr"/>
      <c r="R2822" s="7" t="inlineStr"/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8" t="n"/>
      <c r="N2823" s="7" t="inlineStr">
        <is>
          <t>SEM COTAÇÃO</t>
        </is>
      </c>
      <c r="O2823" s="8" t="n"/>
      <c r="P2823" s="14" t="n"/>
      <c r="Q2823" s="7" t="inlineStr"/>
      <c r="R2823" s="7" t="inlineStr"/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8" t="n"/>
      <c r="N2824" s="7" t="inlineStr">
        <is>
          <t>SEM COTAÇÃO</t>
        </is>
      </c>
      <c r="O2824" s="8" t="n"/>
      <c r="P2824" s="14" t="n"/>
      <c r="Q2824" s="7" t="inlineStr"/>
      <c r="R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8" t="n"/>
      <c r="N2825" s="7" t="inlineStr">
        <is>
          <t>SEM COTAÇÃO</t>
        </is>
      </c>
      <c r="O2825" s="8" t="n"/>
      <c r="P2825" s="14" t="n"/>
      <c r="Q2825" s="7" t="inlineStr"/>
      <c r="R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8" t="n"/>
      <c r="N2826" s="7" t="inlineStr">
        <is>
          <t>SEM COTAÇÃO</t>
        </is>
      </c>
      <c r="O2826" s="8" t="n"/>
      <c r="P2826" s="14" t="n"/>
      <c r="Q2826" s="7" t="inlineStr"/>
      <c r="R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8" t="n"/>
      <c r="N2827" s="7" t="inlineStr">
        <is>
          <t>SEM COTAÇÃO</t>
        </is>
      </c>
      <c r="O2827" s="8" t="n"/>
      <c r="P2827" s="14" t="n"/>
      <c r="Q2827" s="7" t="inlineStr"/>
      <c r="R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8" t="n"/>
      <c r="N2828" s="7" t="inlineStr">
        <is>
          <t>SEM COTAÇÃO</t>
        </is>
      </c>
      <c r="O2828" s="8" t="n"/>
      <c r="P2828" s="14" t="n"/>
      <c r="Q2828" s="7" t="inlineStr"/>
      <c r="R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8" t="n"/>
      <c r="N2829" s="7" t="inlineStr">
        <is>
          <t>DIMEC</t>
        </is>
      </c>
      <c r="O2829" s="8" t="n">
        <v>15.98</v>
      </c>
      <c r="P2829" s="14">
        <f>O2829/H2829-1</f>
        <v/>
      </c>
      <c r="Q2829" s="17" t="inlineStr">
        <is>
          <t>OK (≤ últ. compra)</t>
        </is>
      </c>
      <c r="R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8" t="n"/>
      <c r="N2830" s="7" t="inlineStr">
        <is>
          <t>SEM COTAÇÃO</t>
        </is>
      </c>
      <c r="O2830" s="8" t="n"/>
      <c r="P2830" s="14" t="n"/>
      <c r="Q2830" s="7" t="inlineStr"/>
      <c r="R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8" t="n"/>
      <c r="N2831" s="7" t="inlineStr">
        <is>
          <t>SEM COTAÇÃO</t>
        </is>
      </c>
      <c r="O2831" s="8" t="n"/>
      <c r="P2831" s="14" t="n"/>
      <c r="Q2831" s="7" t="inlineStr"/>
      <c r="R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7" t="inlineStr">
        <is>
          <t>SEM COTAÇÃO</t>
        </is>
      </c>
      <c r="O2832" s="8" t="n"/>
      <c r="P2832" s="14" t="n"/>
      <c r="Q2832" s="7" t="inlineStr"/>
      <c r="R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4.68</v>
      </c>
      <c r="K2833" s="8" t="n"/>
      <c r="L2833" s="8" t="n"/>
      <c r="M2833" s="15" t="n">
        <v>4.65</v>
      </c>
      <c r="N2833" s="7" t="inlineStr">
        <is>
          <t>CENTROFARMA</t>
        </is>
      </c>
      <c r="O2833" s="8" t="n">
        <v>4.65</v>
      </c>
      <c r="P2833" s="14">
        <f>O2833/H2833-1</f>
        <v/>
      </c>
      <c r="Q2833" s="17" t="inlineStr">
        <is>
          <t>OK (≤ menor hist.)</t>
        </is>
      </c>
      <c r="R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8" t="n"/>
      <c r="N2834" s="7" t="inlineStr">
        <is>
          <t>SEM COTAÇÃO</t>
        </is>
      </c>
      <c r="O2834" s="8" t="n"/>
      <c r="P2834" s="14" t="n"/>
      <c r="Q2834" s="7" t="inlineStr"/>
      <c r="R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8" t="n"/>
      <c r="N2835" s="7" t="inlineStr">
        <is>
          <t>SEM COTAÇÃO</t>
        </is>
      </c>
      <c r="O2835" s="8" t="n"/>
      <c r="P2835" s="14" t="n"/>
      <c r="Q2835" s="7" t="inlineStr"/>
      <c r="R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8" t="n"/>
      <c r="N2836" s="7" t="inlineStr">
        <is>
          <t>SEM COTAÇÃO</t>
        </is>
      </c>
      <c r="O2836" s="8" t="n"/>
      <c r="P2836" s="14" t="n"/>
      <c r="Q2836" s="7" t="inlineStr"/>
      <c r="R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8" t="n"/>
      <c r="N2837" s="7" t="inlineStr">
        <is>
          <t>SEM COTAÇÃO</t>
        </is>
      </c>
      <c r="O2837" s="8" t="n"/>
      <c r="P2837" s="14" t="n"/>
      <c r="Q2837" s="7" t="inlineStr"/>
      <c r="R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8" t="n"/>
      <c r="N2838" s="7" t="inlineStr">
        <is>
          <t>DIMEC</t>
        </is>
      </c>
      <c r="O2838" s="8" t="n">
        <v>2.86</v>
      </c>
      <c r="P2838" s="14">
        <f>O2838/H2838-1</f>
        <v/>
      </c>
      <c r="Q2838" s="16" t="inlineStr">
        <is>
          <t>ACIMA +21.7%</t>
        </is>
      </c>
      <c r="R2838" s="7" t="inlineStr"/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15" t="n">
        <v>2</v>
      </c>
      <c r="N2839" s="7" t="inlineStr">
        <is>
          <t>CENTROFARMA</t>
        </is>
      </c>
      <c r="O2839" s="8" t="n">
        <v>2</v>
      </c>
      <c r="P2839" s="14">
        <f>O2839/H2839-1</f>
        <v/>
      </c>
      <c r="Q2839" s="17" t="inlineStr">
        <is>
          <t>OK (≤ menor hist.)</t>
        </is>
      </c>
      <c r="R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8" t="n">
        <v>35.84</v>
      </c>
      <c r="N2840" s="7" t="inlineStr">
        <is>
          <t>PLUSFARMA</t>
        </is>
      </c>
      <c r="O2840" s="8" t="n">
        <v>34.66</v>
      </c>
      <c r="P2840" s="14">
        <f>O2840/H2840-1</f>
        <v/>
      </c>
      <c r="Q2840" s="16" t="inlineStr">
        <is>
          <t>ACIMA +2.5%</t>
        </is>
      </c>
      <c r="R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8" t="n"/>
      <c r="N2841" s="7" t="inlineStr">
        <is>
          <t>SEM COTAÇÃO</t>
        </is>
      </c>
      <c r="O2841" s="8" t="n"/>
      <c r="P2841" s="14" t="n"/>
      <c r="Q2841" s="7" t="inlineStr"/>
      <c r="R2841" s="7" t="inlineStr"/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8" t="n"/>
      <c r="N2842" s="7" t="inlineStr">
        <is>
          <t>SEM COTAÇÃO</t>
        </is>
      </c>
      <c r="O2842" s="8" t="n"/>
      <c r="P2842" s="14" t="n"/>
      <c r="Q2842" s="7" t="inlineStr"/>
      <c r="R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8" t="n"/>
      <c r="N2843" s="7" t="inlineStr">
        <is>
          <t>SEM COTAÇÃO</t>
        </is>
      </c>
      <c r="O2843" s="8" t="n"/>
      <c r="P2843" s="14" t="n"/>
      <c r="Q2843" s="7" t="inlineStr"/>
      <c r="R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8" t="n"/>
      <c r="N2844" s="7" t="inlineStr">
        <is>
          <t>SEM COTAÇÃO</t>
        </is>
      </c>
      <c r="O2844" s="8" t="n"/>
      <c r="P2844" s="14" t="n"/>
      <c r="Q2844" s="7" t="inlineStr"/>
      <c r="R2844" s="7" t="inlineStr"/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8" t="n"/>
      <c r="N2845" s="7" t="inlineStr">
        <is>
          <t>SEM COTAÇÃO</t>
        </is>
      </c>
      <c r="O2845" s="8" t="n"/>
      <c r="P2845" s="14" t="n"/>
      <c r="Q2845" s="7" t="inlineStr"/>
      <c r="R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8" t="n"/>
      <c r="N2846" s="7" t="inlineStr">
        <is>
          <t>SEM COTAÇÃO</t>
        </is>
      </c>
      <c r="O2846" s="8" t="n"/>
      <c r="P2846" s="14" t="n"/>
      <c r="Q2846" s="7" t="inlineStr"/>
      <c r="R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8" t="n"/>
      <c r="N2847" s="7" t="inlineStr">
        <is>
          <t>SEM COTAÇÃO</t>
        </is>
      </c>
      <c r="O2847" s="8" t="n"/>
      <c r="P2847" s="14" t="n"/>
      <c r="Q2847" s="7" t="inlineStr"/>
      <c r="R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8" t="n"/>
      <c r="N2848" s="7" t="inlineStr">
        <is>
          <t>SEM COTAÇÃO</t>
        </is>
      </c>
      <c r="O2848" s="8" t="n"/>
      <c r="P2848" s="14" t="n"/>
      <c r="Q2848" s="7" t="inlineStr"/>
      <c r="R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8" t="n"/>
      <c r="N2849" s="7" t="inlineStr">
        <is>
          <t>SEM COTAÇÃO</t>
        </is>
      </c>
      <c r="O2849" s="8" t="n"/>
      <c r="P2849" s="14" t="n"/>
      <c r="Q2849" s="7" t="inlineStr"/>
      <c r="R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8" t="n"/>
      <c r="N2850" s="7" t="inlineStr">
        <is>
          <t>SEM COTAÇÃO</t>
        </is>
      </c>
      <c r="O2850" s="8" t="n"/>
      <c r="P2850" s="14" t="n"/>
      <c r="Q2850" s="7" t="inlineStr"/>
      <c r="R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8" t="n"/>
      <c r="N2851" s="7" t="inlineStr">
        <is>
          <t>SEM COTAÇÃO</t>
        </is>
      </c>
      <c r="O2851" s="8" t="n"/>
      <c r="P2851" s="14" t="n"/>
      <c r="Q2851" s="7" t="inlineStr"/>
      <c r="R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8" t="n"/>
      <c r="N2852" s="7" t="inlineStr">
        <is>
          <t>SEM COTAÇÃO</t>
        </is>
      </c>
      <c r="O2852" s="8" t="n"/>
      <c r="P2852" s="14" t="n"/>
      <c r="Q2852" s="7" t="inlineStr"/>
      <c r="R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8" t="n"/>
      <c r="N2853" s="7" t="inlineStr">
        <is>
          <t>SEM COTAÇÃO</t>
        </is>
      </c>
      <c r="O2853" s="8" t="n"/>
      <c r="P2853" s="14" t="n"/>
      <c r="Q2853" s="7" t="inlineStr"/>
      <c r="R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8" t="n"/>
      <c r="N2854" s="7" t="inlineStr">
        <is>
          <t>PLUSFARMA</t>
        </is>
      </c>
      <c r="O2854" s="8" t="n">
        <v>39.15</v>
      </c>
      <c r="P2854" s="14">
        <f>O2854/H2854-1</f>
        <v/>
      </c>
      <c r="Q2854" s="17" t="inlineStr">
        <is>
          <t>OK (≤ menor hist.)</t>
        </is>
      </c>
      <c r="R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8" t="n"/>
      <c r="N2855" s="7" t="inlineStr">
        <is>
          <t>SEM COTAÇÃO</t>
        </is>
      </c>
      <c r="O2855" s="8" t="n"/>
      <c r="P2855" s="14" t="n"/>
      <c r="Q2855" s="7" t="inlineStr"/>
      <c r="R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15" t="n">
        <v>12.09</v>
      </c>
      <c r="N2856" s="7" t="inlineStr">
        <is>
          <t>CENTROFARMA</t>
        </is>
      </c>
      <c r="O2856" s="8" t="n">
        <v>12.09</v>
      </c>
      <c r="P2856" s="14">
        <f>O2856/H2856-1</f>
        <v/>
      </c>
      <c r="Q2856" s="16" t="inlineStr">
        <is>
          <t>ACIMA +1.2%</t>
        </is>
      </c>
      <c r="R2856" s="7" t="inlineStr"/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8" t="n"/>
      <c r="N2857" s="7" t="inlineStr">
        <is>
          <t>SEM COTAÇÃO</t>
        </is>
      </c>
      <c r="O2857" s="8" t="n"/>
      <c r="P2857" s="14" t="n"/>
      <c r="Q2857" s="7" t="inlineStr"/>
      <c r="R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8" t="n"/>
      <c r="N2858" s="7" t="inlineStr">
        <is>
          <t>SEM COTAÇÃO</t>
        </is>
      </c>
      <c r="O2858" s="8" t="n"/>
      <c r="P2858" s="14" t="n"/>
      <c r="Q2858" s="7" t="inlineStr"/>
      <c r="R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8" t="n"/>
      <c r="N2859" s="7" t="inlineStr">
        <is>
          <t>SEM COTAÇÃO</t>
        </is>
      </c>
      <c r="O2859" s="8" t="n"/>
      <c r="P2859" s="14" t="n"/>
      <c r="Q2859" s="7" t="inlineStr"/>
      <c r="R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8" t="n"/>
      <c r="N2860" s="7" t="inlineStr">
        <is>
          <t>SEM COTAÇÃO</t>
        </is>
      </c>
      <c r="O2860" s="8" t="n"/>
      <c r="P2860" s="14" t="n"/>
      <c r="Q2860" s="7" t="inlineStr"/>
      <c r="R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8" t="n"/>
      <c r="N2861" s="7" t="inlineStr">
        <is>
          <t>SEM COTAÇÃO</t>
        </is>
      </c>
      <c r="O2861" s="8" t="n"/>
      <c r="P2861" s="14" t="n"/>
      <c r="Q2861" s="7" t="inlineStr"/>
      <c r="R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8" t="n"/>
      <c r="N2862" s="7" t="inlineStr">
        <is>
          <t>SEM COTAÇÃO</t>
        </is>
      </c>
      <c r="O2862" s="8" t="n"/>
      <c r="P2862" s="14" t="n"/>
      <c r="Q2862" s="7" t="inlineStr"/>
      <c r="R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8" t="n"/>
      <c r="N2863" s="7" t="inlineStr">
        <is>
          <t>EPAN</t>
        </is>
      </c>
      <c r="O2863" s="8" t="n">
        <v>62.16</v>
      </c>
      <c r="P2863" s="14">
        <f>O2863/H2863-1</f>
        <v/>
      </c>
      <c r="Q2863" s="16" t="inlineStr">
        <is>
          <t>ACIMA +17.8%</t>
        </is>
      </c>
      <c r="R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8" t="n"/>
      <c r="N2864" s="7" t="inlineStr">
        <is>
          <t>SEM COTAÇÃO</t>
        </is>
      </c>
      <c r="O2864" s="8" t="n"/>
      <c r="P2864" s="14" t="n"/>
      <c r="Q2864" s="7" t="inlineStr"/>
      <c r="R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8" t="n"/>
      <c r="N2865" s="7" t="inlineStr">
        <is>
          <t>SEM COTAÇÃO</t>
        </is>
      </c>
      <c r="O2865" s="8" t="n"/>
      <c r="P2865" s="14" t="n"/>
      <c r="Q2865" s="7" t="inlineStr"/>
      <c r="R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8" t="n"/>
      <c r="N2866" s="7" t="inlineStr">
        <is>
          <t>SEM COTAÇÃO</t>
        </is>
      </c>
      <c r="O2866" s="8" t="n"/>
      <c r="P2866" s="14" t="n"/>
      <c r="Q2866" s="7" t="inlineStr"/>
      <c r="R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8" t="n"/>
      <c r="N2867" s="7" t="inlineStr">
        <is>
          <t>SEM COTAÇÃO</t>
        </is>
      </c>
      <c r="O2867" s="8" t="n"/>
      <c r="P2867" s="14" t="n"/>
      <c r="Q2867" s="7" t="inlineStr"/>
      <c r="R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8" t="n"/>
      <c r="N2868" s="7" t="inlineStr">
        <is>
          <t>SEM COTAÇÃO</t>
        </is>
      </c>
      <c r="O2868" s="8" t="n"/>
      <c r="P2868" s="14" t="n"/>
      <c r="Q2868" s="7" t="inlineStr"/>
      <c r="R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7" t="inlineStr">
        <is>
          <t>SEM COTAÇÃO</t>
        </is>
      </c>
      <c r="O2869" s="8" t="n"/>
      <c r="P2869" s="14" t="n"/>
      <c r="Q2869" s="7" t="inlineStr"/>
      <c r="R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8" t="n"/>
      <c r="N2870" s="7" t="inlineStr">
        <is>
          <t>SEM COTAÇÃO</t>
        </is>
      </c>
      <c r="O2870" s="8" t="n"/>
      <c r="P2870" s="14" t="n"/>
      <c r="Q2870" s="7" t="inlineStr"/>
      <c r="R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8" t="n"/>
      <c r="N2871" s="7" t="inlineStr">
        <is>
          <t>SEM COTAÇÃO</t>
        </is>
      </c>
      <c r="O2871" s="8" t="n"/>
      <c r="P2871" s="14" t="n"/>
      <c r="Q2871" s="7" t="inlineStr"/>
      <c r="R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8" t="n"/>
      <c r="N2872" s="7" t="inlineStr">
        <is>
          <t>SEM COTAÇÃO</t>
        </is>
      </c>
      <c r="O2872" s="8" t="n"/>
      <c r="P2872" s="14" t="n"/>
      <c r="Q2872" s="7" t="inlineStr"/>
      <c r="R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8" t="n"/>
      <c r="N2873" s="7" t="inlineStr">
        <is>
          <t>SEM COTAÇÃO</t>
        </is>
      </c>
      <c r="O2873" s="8" t="n"/>
      <c r="P2873" s="14" t="n"/>
      <c r="Q2873" s="7" t="inlineStr"/>
      <c r="R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8" t="n"/>
      <c r="N2874" s="7" t="inlineStr">
        <is>
          <t>SEM COTAÇÃO</t>
        </is>
      </c>
      <c r="O2874" s="8" t="n"/>
      <c r="P2874" s="14" t="n"/>
      <c r="Q2874" s="7" t="inlineStr"/>
      <c r="R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8" t="n"/>
      <c r="N2875" s="7" t="inlineStr">
        <is>
          <t>SEM COTAÇÃO</t>
        </is>
      </c>
      <c r="O2875" s="8" t="n"/>
      <c r="P2875" s="14" t="n"/>
      <c r="Q2875" s="7" t="inlineStr"/>
      <c r="R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8" t="n"/>
      <c r="N2876" s="7" t="inlineStr">
        <is>
          <t>SEM COTAÇÃO</t>
        </is>
      </c>
      <c r="O2876" s="8" t="n"/>
      <c r="P2876" s="14" t="n"/>
      <c r="Q2876" s="7" t="inlineStr"/>
      <c r="R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8" t="n"/>
      <c r="N2877" s="7" t="inlineStr">
        <is>
          <t>SEM COTAÇÃO</t>
        </is>
      </c>
      <c r="O2877" s="8" t="n"/>
      <c r="P2877" s="14" t="n"/>
      <c r="Q2877" s="7" t="inlineStr"/>
      <c r="R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8" t="n"/>
      <c r="N2878" s="7" t="inlineStr">
        <is>
          <t>SEM COTAÇÃO</t>
        </is>
      </c>
      <c r="O2878" s="8" t="n"/>
      <c r="P2878" s="14" t="n"/>
      <c r="Q2878" s="7" t="inlineStr"/>
      <c r="R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8" t="n"/>
      <c r="N2879" s="7" t="inlineStr">
        <is>
          <t>SEM COTAÇÃO</t>
        </is>
      </c>
      <c r="O2879" s="8" t="n"/>
      <c r="P2879" s="14" t="n"/>
      <c r="Q2879" s="7" t="inlineStr"/>
      <c r="R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8" t="n"/>
      <c r="N2880" s="7" t="inlineStr">
        <is>
          <t>SEM COTAÇÃO</t>
        </is>
      </c>
      <c r="O2880" s="8" t="n"/>
      <c r="P2880" s="14" t="n"/>
      <c r="Q2880" s="7" t="inlineStr"/>
      <c r="R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8" t="n"/>
      <c r="N2881" s="7" t="inlineStr">
        <is>
          <t>SEM COTAÇÃO</t>
        </is>
      </c>
      <c r="O2881" s="8" t="n"/>
      <c r="P2881" s="14" t="n"/>
      <c r="Q2881" s="7" t="inlineStr"/>
      <c r="R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8" t="n"/>
      <c r="N2882" s="7" t="inlineStr">
        <is>
          <t>SEM COTAÇÃO</t>
        </is>
      </c>
      <c r="O2882" s="8" t="n"/>
      <c r="P2882" s="14" t="n"/>
      <c r="Q2882" s="7" t="inlineStr"/>
      <c r="R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8" t="n"/>
      <c r="N2883" s="7" t="inlineStr">
        <is>
          <t>SEM COTAÇÃO</t>
        </is>
      </c>
      <c r="O2883" s="8" t="n"/>
      <c r="P2883" s="14" t="n"/>
      <c r="Q2883" s="7" t="inlineStr"/>
      <c r="R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8" t="n"/>
      <c r="N2884" s="7" t="inlineStr">
        <is>
          <t>SEM COTAÇÃO</t>
        </is>
      </c>
      <c r="O2884" s="8" t="n"/>
      <c r="P2884" s="14" t="n"/>
      <c r="Q2884" s="7" t="inlineStr"/>
      <c r="R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7" t="inlineStr">
        <is>
          <t>SEM COTAÇÃO</t>
        </is>
      </c>
      <c r="O2885" s="8" t="n"/>
      <c r="P2885" s="14" t="n"/>
      <c r="Q2885" s="7" t="inlineStr"/>
      <c r="R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8" t="n"/>
      <c r="N2886" s="7" t="inlineStr">
        <is>
          <t>SEM COTAÇÃO</t>
        </is>
      </c>
      <c r="O2886" s="8" t="n"/>
      <c r="P2886" s="14" t="n"/>
      <c r="Q2886" s="7" t="inlineStr"/>
      <c r="R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8" t="n"/>
      <c r="N2887" s="7" t="inlineStr">
        <is>
          <t>SEM COTAÇÃO</t>
        </is>
      </c>
      <c r="O2887" s="8" t="n"/>
      <c r="P2887" s="14" t="n"/>
      <c r="Q2887" s="7" t="inlineStr"/>
      <c r="R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8" t="n"/>
      <c r="N2888" s="7" t="inlineStr">
        <is>
          <t>SEM COTAÇÃO</t>
        </is>
      </c>
      <c r="O2888" s="8" t="n"/>
      <c r="P2888" s="14" t="n"/>
      <c r="Q2888" s="7" t="inlineStr"/>
      <c r="R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8" t="n"/>
      <c r="N2889" s="7" t="inlineStr">
        <is>
          <t>SEM COTAÇÃO</t>
        </is>
      </c>
      <c r="O2889" s="8" t="n"/>
      <c r="P2889" s="14" t="n"/>
      <c r="Q2889" s="7" t="inlineStr"/>
      <c r="R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8" t="n"/>
      <c r="N2890" s="7" t="inlineStr">
        <is>
          <t>SEM COTAÇÃO</t>
        </is>
      </c>
      <c r="O2890" s="8" t="n"/>
      <c r="P2890" s="14" t="n"/>
      <c r="Q2890" s="7" t="inlineStr"/>
      <c r="R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8" t="n"/>
      <c r="N2891" s="7" t="inlineStr">
        <is>
          <t>SEM COTAÇÃO</t>
        </is>
      </c>
      <c r="O2891" s="8" t="n"/>
      <c r="P2891" s="14" t="n"/>
      <c r="Q2891" s="7" t="inlineStr"/>
      <c r="R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8" t="n"/>
      <c r="N2892" s="7" t="inlineStr">
        <is>
          <t>SEM COTAÇÃO</t>
        </is>
      </c>
      <c r="O2892" s="8" t="n"/>
      <c r="P2892" s="14" t="n"/>
      <c r="Q2892" s="7" t="inlineStr"/>
      <c r="R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8" t="n"/>
      <c r="N2893" s="7" t="inlineStr">
        <is>
          <t>SEM COTAÇÃO</t>
        </is>
      </c>
      <c r="O2893" s="8" t="n"/>
      <c r="P2893" s="14" t="n"/>
      <c r="Q2893" s="7" t="inlineStr"/>
      <c r="R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8" t="n"/>
      <c r="N2894" s="7" t="inlineStr">
        <is>
          <t>SEM COTAÇÃO</t>
        </is>
      </c>
      <c r="O2894" s="8" t="n"/>
      <c r="P2894" s="14" t="n"/>
      <c r="Q2894" s="7" t="inlineStr"/>
      <c r="R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8" t="n"/>
      <c r="N2895" s="7" t="inlineStr">
        <is>
          <t>SEM COTAÇÃO</t>
        </is>
      </c>
      <c r="O2895" s="8" t="n"/>
      <c r="P2895" s="14" t="n"/>
      <c r="Q2895" s="7" t="inlineStr"/>
      <c r="R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8" t="n"/>
      <c r="N2896" s="7" t="inlineStr">
        <is>
          <t>SEM COTAÇÃO</t>
        </is>
      </c>
      <c r="O2896" s="8" t="n"/>
      <c r="P2896" s="14" t="n"/>
      <c r="Q2896" s="7" t="inlineStr"/>
      <c r="R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8" t="n"/>
      <c r="N2897" s="7" t="inlineStr">
        <is>
          <t>SEM COTAÇÃO</t>
        </is>
      </c>
      <c r="O2897" s="8" t="n"/>
      <c r="P2897" s="14" t="n"/>
      <c r="Q2897" s="7" t="inlineStr"/>
      <c r="R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8" t="n"/>
      <c r="N2898" s="7" t="inlineStr">
        <is>
          <t>SEM COTAÇÃO</t>
        </is>
      </c>
      <c r="O2898" s="8" t="n"/>
      <c r="P2898" s="14" t="n"/>
      <c r="Q2898" s="7" t="inlineStr"/>
      <c r="R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15" t="n">
        <v>8.109999999999999</v>
      </c>
      <c r="N2899" s="7" t="inlineStr">
        <is>
          <t>CENTROFARMA</t>
        </is>
      </c>
      <c r="O2899" s="8" t="n">
        <v>8.109999999999999</v>
      </c>
      <c r="P2899" s="14">
        <f>O2899/H2899-1</f>
        <v/>
      </c>
      <c r="Q2899" s="17" t="inlineStr">
        <is>
          <t>OK (≤ menor hist.)</t>
        </is>
      </c>
      <c r="R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7" t="inlineStr">
        <is>
          <t>SEM COTAÇÃO</t>
        </is>
      </c>
      <c r="O2900" s="8" t="n"/>
      <c r="P2900" s="14" t="n"/>
      <c r="Q2900" s="7" t="inlineStr"/>
      <c r="R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15" t="n">
        <v>98.44</v>
      </c>
      <c r="N2901" s="7" t="inlineStr">
        <is>
          <t>CENTROFARMA</t>
        </is>
      </c>
      <c r="O2901" s="8" t="n">
        <v>98.44</v>
      </c>
      <c r="P2901" s="14">
        <f>O2901/H2901-1</f>
        <v/>
      </c>
      <c r="Q2901" s="16" t="inlineStr">
        <is>
          <t>ACIMA +5.6%</t>
        </is>
      </c>
      <c r="R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8" t="n"/>
      <c r="N2902" s="7" t="inlineStr">
        <is>
          <t>SEM COTAÇÃO</t>
        </is>
      </c>
      <c r="O2902" s="8" t="n"/>
      <c r="P2902" s="14" t="n"/>
      <c r="Q2902" s="7" t="inlineStr"/>
      <c r="R2902" s="7" t="inlineStr">
        <is>
          <t>EPAN: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8" t="n"/>
      <c r="N2903" s="7" t="inlineStr">
        <is>
          <t>SEM COTAÇÃO</t>
        </is>
      </c>
      <c r="O2903" s="8" t="n"/>
      <c r="P2903" s="14" t="n"/>
      <c r="Q2903" s="7" t="inlineStr"/>
      <c r="R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8" t="n"/>
      <c r="N2904" s="7" t="inlineStr">
        <is>
          <t>SEM COTAÇÃO</t>
        </is>
      </c>
      <c r="O2904" s="8" t="n"/>
      <c r="P2904" s="14" t="n"/>
      <c r="Q2904" s="7" t="inlineStr"/>
      <c r="R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8" t="n"/>
      <c r="N2905" s="7" t="inlineStr">
        <is>
          <t>SEM COTAÇÃO</t>
        </is>
      </c>
      <c r="O2905" s="8" t="n"/>
      <c r="P2905" s="14" t="n"/>
      <c r="Q2905" s="7" t="inlineStr"/>
      <c r="R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8" t="n"/>
      <c r="N2906" s="7" t="inlineStr">
        <is>
          <t>EPAN</t>
        </is>
      </c>
      <c r="O2906" s="8" t="n">
        <v>8.23</v>
      </c>
      <c r="P2906" s="14">
        <f>O2906/H2906-1</f>
        <v/>
      </c>
      <c r="Q2906" s="17" t="inlineStr">
        <is>
          <t>OK (≤ últ. compra)</t>
        </is>
      </c>
      <c r="R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8" t="n"/>
      <c r="N2907" s="7" t="inlineStr">
        <is>
          <t>SEM COTAÇÃO</t>
        </is>
      </c>
      <c r="O2907" s="8" t="n"/>
      <c r="P2907" s="14" t="n"/>
      <c r="Q2907" s="7" t="inlineStr"/>
      <c r="R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8" t="n"/>
      <c r="N2908" s="7" t="inlineStr">
        <is>
          <t>SEM COTAÇÃO</t>
        </is>
      </c>
      <c r="O2908" s="8" t="n"/>
      <c r="P2908" s="14" t="n"/>
      <c r="Q2908" s="7" t="inlineStr"/>
      <c r="R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8" t="n"/>
      <c r="N2909" s="7" t="inlineStr">
        <is>
          <t>SEM COTAÇÃO</t>
        </is>
      </c>
      <c r="O2909" s="8" t="n"/>
      <c r="P2909" s="14" t="n"/>
      <c r="Q2909" s="7" t="inlineStr"/>
      <c r="R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8" t="n">
        <v>7.45</v>
      </c>
      <c r="N2910" s="7" t="inlineStr">
        <is>
          <t>DIMEC</t>
        </is>
      </c>
      <c r="O2910" s="8" t="n">
        <v>7.35</v>
      </c>
      <c r="P2910" s="14">
        <f>O2910/H2910-1</f>
        <v/>
      </c>
      <c r="Q2910" s="16" t="inlineStr">
        <is>
          <t>ACIMA +3.8%</t>
        </is>
      </c>
      <c r="R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8" t="n"/>
      <c r="N2911" s="7" t="inlineStr">
        <is>
          <t>SEM COTAÇÃO</t>
        </is>
      </c>
      <c r="O2911" s="8" t="n"/>
      <c r="P2911" s="14" t="n"/>
      <c r="Q2911" s="7" t="inlineStr"/>
      <c r="R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8" t="n"/>
      <c r="N2912" s="7" t="inlineStr">
        <is>
          <t>SEM COTAÇÃO</t>
        </is>
      </c>
      <c r="O2912" s="8" t="n"/>
      <c r="P2912" s="14" t="n"/>
      <c r="Q2912" s="7" t="inlineStr"/>
      <c r="R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8" t="n"/>
      <c r="N2913" s="7" t="inlineStr">
        <is>
          <t>SEM COTAÇÃO</t>
        </is>
      </c>
      <c r="O2913" s="8" t="n"/>
      <c r="P2913" s="14" t="n"/>
      <c r="Q2913" s="7" t="inlineStr"/>
      <c r="R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8" t="n"/>
      <c r="N2914" s="7" t="inlineStr">
        <is>
          <t>SEM COTAÇÃO</t>
        </is>
      </c>
      <c r="O2914" s="8" t="n"/>
      <c r="P2914" s="14" t="n"/>
      <c r="Q2914" s="7" t="inlineStr"/>
      <c r="R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8" t="n"/>
      <c r="N2915" s="7" t="inlineStr">
        <is>
          <t>SEM COTAÇÃO</t>
        </is>
      </c>
      <c r="O2915" s="8" t="n"/>
      <c r="P2915" s="14" t="n"/>
      <c r="Q2915" s="7" t="inlineStr"/>
      <c r="R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8" t="n"/>
      <c r="N2916" s="7" t="inlineStr">
        <is>
          <t>SEM COTAÇÃO</t>
        </is>
      </c>
      <c r="O2916" s="8" t="n"/>
      <c r="P2916" s="14" t="n"/>
      <c r="Q2916" s="7" t="inlineStr"/>
      <c r="R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8" t="n"/>
      <c r="N2917" s="7" t="inlineStr">
        <is>
          <t>SEM COTAÇÃO</t>
        </is>
      </c>
      <c r="O2917" s="8" t="n"/>
      <c r="P2917" s="14" t="n"/>
      <c r="Q2917" s="7" t="inlineStr"/>
      <c r="R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8" t="n"/>
      <c r="N2918" s="7" t="inlineStr">
        <is>
          <t>SEM COTAÇÃO</t>
        </is>
      </c>
      <c r="O2918" s="8" t="n"/>
      <c r="P2918" s="14" t="n"/>
      <c r="Q2918" s="7" t="inlineStr"/>
      <c r="R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8" t="n"/>
      <c r="N2919" s="7" t="inlineStr">
        <is>
          <t>SEM COTAÇÃO</t>
        </is>
      </c>
      <c r="O2919" s="8" t="n"/>
      <c r="P2919" s="14" t="n"/>
      <c r="Q2919" s="7" t="inlineStr"/>
      <c r="R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7" t="inlineStr">
        <is>
          <t>SEM COTAÇÃO</t>
        </is>
      </c>
      <c r="O2920" s="8" t="n"/>
      <c r="P2920" s="14" t="n"/>
      <c r="Q2920" s="7" t="inlineStr"/>
      <c r="R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15" t="n">
        <v>12.76</v>
      </c>
      <c r="K2921" s="8" t="n"/>
      <c r="L2921" s="8" t="n"/>
      <c r="M2921" s="8" t="n"/>
      <c r="N2921" s="7" t="inlineStr">
        <is>
          <t>DIMEC</t>
        </is>
      </c>
      <c r="O2921" s="8" t="n">
        <v>12.76</v>
      </c>
      <c r="P2921" s="14">
        <f>O2921/H2921-1</f>
        <v/>
      </c>
      <c r="Q2921" s="16" t="inlineStr">
        <is>
          <t>ACIMA +11.2%</t>
        </is>
      </c>
      <c r="R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15" t="n">
        <v>10.61</v>
      </c>
      <c r="K2922" s="8" t="n"/>
      <c r="L2922" s="8" t="n"/>
      <c r="M2922" s="8" t="n"/>
      <c r="N2922" s="7" t="inlineStr">
        <is>
          <t>DIMEC</t>
        </is>
      </c>
      <c r="O2922" s="8" t="n">
        <v>10.61</v>
      </c>
      <c r="P2922" s="14">
        <f>O2922/H2922-1</f>
        <v/>
      </c>
      <c r="Q2922" s="16" t="inlineStr">
        <is>
          <t>ACIMA +0.7%</t>
        </is>
      </c>
      <c r="R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15" t="n">
        <v>7.52</v>
      </c>
      <c r="K2923" s="8" t="n"/>
      <c r="L2923" s="8" t="n"/>
      <c r="M2923" s="8" t="n"/>
      <c r="N2923" s="7" t="inlineStr">
        <is>
          <t>DIMEC</t>
        </is>
      </c>
      <c r="O2923" s="8" t="n">
        <v>7.52</v>
      </c>
      <c r="P2923" s="14">
        <f>O2923/H2923-1</f>
        <v/>
      </c>
      <c r="Q2923" s="16" t="inlineStr">
        <is>
          <t>ACIMA +11.4%</t>
        </is>
      </c>
      <c r="R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8" t="n"/>
      <c r="N2924" s="7" t="inlineStr">
        <is>
          <t>SEM COTAÇÃO</t>
        </is>
      </c>
      <c r="O2924" s="8" t="n"/>
      <c r="P2924" s="14" t="n"/>
      <c r="Q2924" s="7" t="inlineStr"/>
      <c r="R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8" t="n"/>
      <c r="N2925" s="7" t="inlineStr">
        <is>
          <t>SEM COTAÇÃO</t>
        </is>
      </c>
      <c r="O2925" s="8" t="n"/>
      <c r="P2925" s="14" t="n"/>
      <c r="Q2925" s="7" t="inlineStr"/>
      <c r="R2925" s="7" t="inlineStr"/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8" t="n">
        <v>15.64</v>
      </c>
      <c r="N2926" s="7" t="inlineStr">
        <is>
          <t>EPAN</t>
        </is>
      </c>
      <c r="O2926" s="8" t="n">
        <v>11.42</v>
      </c>
      <c r="P2926" s="14">
        <f>O2926/H2926-1</f>
        <v/>
      </c>
      <c r="Q2926" s="17" t="inlineStr">
        <is>
          <t>OK (≤ menor hist.)</t>
        </is>
      </c>
      <c r="R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8" t="n">
        <v>21.74</v>
      </c>
      <c r="N2927" s="7" t="inlineStr">
        <is>
          <t>DIMEC</t>
        </is>
      </c>
      <c r="O2927" s="8" t="n">
        <v>13.22</v>
      </c>
      <c r="P2927" s="14">
        <f>O2927/H2927-1</f>
        <v/>
      </c>
      <c r="Q2927" s="17" t="inlineStr">
        <is>
          <t>OK (≤ menor hist.)</t>
        </is>
      </c>
      <c r="R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8" t="n"/>
      <c r="N2928" s="7" t="inlineStr">
        <is>
          <t>SEM COTAÇÃO</t>
        </is>
      </c>
      <c r="O2928" s="8" t="n"/>
      <c r="P2928" s="14" t="n"/>
      <c r="Q2928" s="7" t="inlineStr"/>
      <c r="R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8" t="n">
        <v>17.09</v>
      </c>
      <c r="N2929" s="7" t="inlineStr">
        <is>
          <t>DIMEC</t>
        </is>
      </c>
      <c r="O2929" s="8" t="n">
        <v>15.82</v>
      </c>
      <c r="P2929" s="14">
        <f>O2929/H2929-1</f>
        <v/>
      </c>
      <c r="Q2929" s="17" t="inlineStr">
        <is>
          <t>OK (≤ últ. compra)</t>
        </is>
      </c>
      <c r="R2929" s="7" t="inlineStr">
        <is>
          <t>DIMEC: conferir emb.; CENTROFARMA: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8" t="n">
        <v>11.35</v>
      </c>
      <c r="N2930" s="7" t="inlineStr">
        <is>
          <t>DIMEC</t>
        </is>
      </c>
      <c r="O2930" s="8" t="n">
        <v>10.65</v>
      </c>
      <c r="P2930" s="14">
        <f>O2930/H2930-1</f>
        <v/>
      </c>
      <c r="Q2930" s="17" t="inlineStr">
        <is>
          <t>OK (≤ últ. compra)</t>
        </is>
      </c>
      <c r="R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8" t="n"/>
      <c r="N2931" s="7" t="inlineStr">
        <is>
          <t>SEM COTAÇÃO</t>
        </is>
      </c>
      <c r="O2931" s="8" t="n"/>
      <c r="P2931" s="14" t="n"/>
      <c r="Q2931" s="7" t="inlineStr"/>
      <c r="R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8" t="n"/>
      <c r="N2932" s="7" t="inlineStr">
        <is>
          <t>SEM COTAÇÃO</t>
        </is>
      </c>
      <c r="O2932" s="8" t="n"/>
      <c r="P2932" s="14" t="n"/>
      <c r="Q2932" s="7" t="inlineStr"/>
      <c r="R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8" t="n"/>
      <c r="N2933" s="7" t="inlineStr">
        <is>
          <t>SEM COTAÇÃO</t>
        </is>
      </c>
      <c r="O2933" s="8" t="n"/>
      <c r="P2933" s="14" t="n"/>
      <c r="Q2933" s="7" t="inlineStr"/>
      <c r="R2933" s="7" t="inlineStr">
        <is>
          <t>EPAN: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7" t="inlineStr">
        <is>
          <t>SEM COTAÇÃO</t>
        </is>
      </c>
      <c r="O2934" s="8" t="n"/>
      <c r="P2934" s="14" t="n"/>
      <c r="Q2934" s="7" t="inlineStr"/>
      <c r="R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8" t="n"/>
      <c r="N2935" s="7" t="inlineStr">
        <is>
          <t>SEM COTAÇÃO</t>
        </is>
      </c>
      <c r="O2935" s="8" t="n"/>
      <c r="P2935" s="14" t="n"/>
      <c r="Q2935" s="7" t="inlineStr"/>
      <c r="R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8" t="n"/>
      <c r="N2936" s="7" t="inlineStr">
        <is>
          <t>SEM COTAÇÃO</t>
        </is>
      </c>
      <c r="O2936" s="8" t="n"/>
      <c r="P2936" s="14" t="n"/>
      <c r="Q2936" s="7" t="inlineStr"/>
      <c r="R2936" s="7" t="inlineStr"/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8" t="n"/>
      <c r="N2937" s="7" t="inlineStr">
        <is>
          <t>SEM COTAÇÃO</t>
        </is>
      </c>
      <c r="O2937" s="8" t="n"/>
      <c r="P2937" s="14" t="n"/>
      <c r="Q2937" s="7" t="inlineStr"/>
      <c r="R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8" t="n"/>
      <c r="N2938" s="7" t="inlineStr">
        <is>
          <t>SEM COTAÇÃO</t>
        </is>
      </c>
      <c r="O2938" s="8" t="n"/>
      <c r="P2938" s="14" t="n"/>
      <c r="Q2938" s="7" t="inlineStr"/>
      <c r="R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8" t="n"/>
      <c r="N2939" s="7" t="inlineStr">
        <is>
          <t>SEM COTAÇÃO</t>
        </is>
      </c>
      <c r="O2939" s="8" t="n"/>
      <c r="P2939" s="14" t="n"/>
      <c r="Q2939" s="7" t="inlineStr"/>
      <c r="R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8" t="n"/>
      <c r="N2940" s="7" t="inlineStr">
        <is>
          <t>SEM COTAÇÃO</t>
        </is>
      </c>
      <c r="O2940" s="8" t="n"/>
      <c r="P2940" s="14" t="n"/>
      <c r="Q2940" s="7" t="inlineStr"/>
      <c r="R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8" t="n"/>
      <c r="N2941" s="7" t="inlineStr">
        <is>
          <t>SEM COTAÇÃO</t>
        </is>
      </c>
      <c r="O2941" s="8" t="n"/>
      <c r="P2941" s="14" t="n"/>
      <c r="Q2941" s="7" t="inlineStr"/>
      <c r="R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7" t="inlineStr">
        <is>
          <t>SEM COTAÇÃO</t>
        </is>
      </c>
      <c r="O2942" s="8" t="n"/>
      <c r="P2942" s="14" t="n"/>
      <c r="Q2942" s="7" t="inlineStr"/>
      <c r="R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8" t="n"/>
      <c r="N2943" s="7" t="inlineStr">
        <is>
          <t>SEM COTAÇÃO</t>
        </is>
      </c>
      <c r="O2943" s="8" t="n"/>
      <c r="P2943" s="14" t="n"/>
      <c r="Q2943" s="7" t="inlineStr"/>
      <c r="R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8" t="n"/>
      <c r="N2944" s="7" t="inlineStr">
        <is>
          <t>SEM COTAÇÃO</t>
        </is>
      </c>
      <c r="O2944" s="8" t="n"/>
      <c r="P2944" s="14" t="n"/>
      <c r="Q2944" s="7" t="inlineStr"/>
      <c r="R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8" t="n"/>
      <c r="N2945" s="7" t="inlineStr">
        <is>
          <t>SEM COTAÇÃO</t>
        </is>
      </c>
      <c r="O2945" s="8" t="n"/>
      <c r="P2945" s="14" t="n"/>
      <c r="Q2945" s="7" t="inlineStr"/>
      <c r="R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8" t="n"/>
      <c r="N2946" s="7" t="inlineStr">
        <is>
          <t>SEM COTAÇÃO</t>
        </is>
      </c>
      <c r="O2946" s="8" t="n"/>
      <c r="P2946" s="14" t="n"/>
      <c r="Q2946" s="7" t="inlineStr"/>
      <c r="R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8" t="n"/>
      <c r="N2947" s="7" t="inlineStr">
        <is>
          <t>SEM COTAÇÃO</t>
        </is>
      </c>
      <c r="O2947" s="8" t="n"/>
      <c r="P2947" s="14" t="n"/>
      <c r="Q2947" s="7" t="inlineStr"/>
      <c r="R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8" t="n"/>
      <c r="N2948" s="7" t="inlineStr">
        <is>
          <t>SEM COTAÇÃO</t>
        </is>
      </c>
      <c r="O2948" s="8" t="n"/>
      <c r="P2948" s="14" t="n"/>
      <c r="Q2948" s="7" t="inlineStr"/>
      <c r="R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8" t="n"/>
      <c r="N2949" s="7" t="inlineStr">
        <is>
          <t>SEM COTAÇÃO</t>
        </is>
      </c>
      <c r="O2949" s="8" t="n"/>
      <c r="P2949" s="14" t="n"/>
      <c r="Q2949" s="7" t="inlineStr"/>
      <c r="R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8" t="n"/>
      <c r="N2950" s="7" t="inlineStr">
        <is>
          <t>SEM COTAÇÃO</t>
        </is>
      </c>
      <c r="O2950" s="8" t="n"/>
      <c r="P2950" s="14" t="n"/>
      <c r="Q2950" s="7" t="inlineStr"/>
      <c r="R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8" t="n"/>
      <c r="N2951" s="7" t="inlineStr">
        <is>
          <t>EPAN</t>
        </is>
      </c>
      <c r="O2951" s="8" t="n">
        <v>35.54</v>
      </c>
      <c r="P2951" s="14">
        <f>O2951/H2951-1</f>
        <v/>
      </c>
      <c r="Q2951" s="17" t="inlineStr">
        <is>
          <t>OK (≤ últ. compra)</t>
        </is>
      </c>
      <c r="R2951" s="7" t="inlineStr"/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8" t="n"/>
      <c r="N2952" s="7" t="inlineStr">
        <is>
          <t>SEM COTAÇÃO</t>
        </is>
      </c>
      <c r="O2952" s="8" t="n"/>
      <c r="P2952" s="14" t="n"/>
      <c r="Q2952" s="7" t="inlineStr"/>
      <c r="R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8" t="n"/>
      <c r="N2953" s="7" t="inlineStr">
        <is>
          <t>SEM COTAÇÃO</t>
        </is>
      </c>
      <c r="O2953" s="8" t="n"/>
      <c r="P2953" s="14" t="n"/>
      <c r="Q2953" s="7" t="inlineStr"/>
      <c r="R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8" t="n"/>
      <c r="N2954" s="7" t="inlineStr">
        <is>
          <t>DIMEC</t>
        </is>
      </c>
      <c r="O2954" s="8" t="n">
        <v>8.26</v>
      </c>
      <c r="P2954" s="14">
        <f>O2954/H2954-1</f>
        <v/>
      </c>
      <c r="Q2954" s="17" t="inlineStr">
        <is>
          <t>OK (≤ últ. compra)</t>
        </is>
      </c>
      <c r="R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8" t="n"/>
      <c r="N2955" s="7" t="inlineStr">
        <is>
          <t>SEM COTAÇÃO</t>
        </is>
      </c>
      <c r="O2955" s="8" t="n"/>
      <c r="P2955" s="14" t="n"/>
      <c r="Q2955" s="7" t="inlineStr"/>
      <c r="R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8" t="n"/>
      <c r="N2956" s="7" t="inlineStr">
        <is>
          <t>DIMEC</t>
        </is>
      </c>
      <c r="O2956" s="8" t="n">
        <v>10.3</v>
      </c>
      <c r="P2956" s="14">
        <f>O2956/H2956-1</f>
        <v/>
      </c>
      <c r="Q2956" s="17" t="inlineStr">
        <is>
          <t>OK (≤ menor hist.)</t>
        </is>
      </c>
      <c r="R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8" t="n"/>
      <c r="N2957" s="7" t="inlineStr">
        <is>
          <t>SEM COTAÇÃO</t>
        </is>
      </c>
      <c r="O2957" s="8" t="n"/>
      <c r="P2957" s="14" t="n"/>
      <c r="Q2957" s="7" t="inlineStr"/>
      <c r="R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8" t="n"/>
      <c r="N2958" s="7" t="inlineStr">
        <is>
          <t>EPAN</t>
        </is>
      </c>
      <c r="O2958" s="8" t="n">
        <v>5.07</v>
      </c>
      <c r="P2958" s="14">
        <f>O2958/H2958-1</f>
        <v/>
      </c>
      <c r="Q2958" s="17" t="inlineStr">
        <is>
          <t>OK (≤ menor hist.)</t>
        </is>
      </c>
      <c r="R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8" t="n"/>
      <c r="N2959" s="7" t="inlineStr">
        <is>
          <t>SEM COTAÇÃO</t>
        </is>
      </c>
      <c r="O2959" s="8" t="n"/>
      <c r="P2959" s="14" t="n"/>
      <c r="Q2959" s="7" t="inlineStr"/>
      <c r="R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8" t="n"/>
      <c r="N2960" s="7" t="inlineStr">
        <is>
          <t>SEM COTAÇÃO</t>
        </is>
      </c>
      <c r="O2960" s="8" t="n"/>
      <c r="P2960" s="14" t="n"/>
      <c r="Q2960" s="7" t="inlineStr"/>
      <c r="R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8" t="n"/>
      <c r="N2961" s="7" t="inlineStr">
        <is>
          <t>DIMEC</t>
        </is>
      </c>
      <c r="O2961" s="8" t="n">
        <v>26.484262</v>
      </c>
      <c r="P2961" s="14">
        <f>O2961/H2961-1</f>
        <v/>
      </c>
      <c r="Q2961" s="16" t="inlineStr">
        <is>
          <t>ACIMA +24.2%</t>
        </is>
      </c>
      <c r="R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8" t="n"/>
      <c r="N2962" s="7" t="inlineStr">
        <is>
          <t>DIMEC</t>
        </is>
      </c>
      <c r="O2962" s="8" t="n">
        <v>42.609678</v>
      </c>
      <c r="P2962" s="14">
        <f>O2962/H2962-1</f>
        <v/>
      </c>
      <c r="Q2962" s="16" t="inlineStr">
        <is>
          <t>ACIMA +13.2%</t>
        </is>
      </c>
      <c r="R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8" t="n"/>
      <c r="N2963" s="7" t="inlineStr">
        <is>
          <t>SEM COTAÇÃO</t>
        </is>
      </c>
      <c r="O2963" s="8" t="n"/>
      <c r="P2963" s="14" t="n"/>
      <c r="Q2963" s="7" t="inlineStr"/>
      <c r="R2963" s="7" t="inlineStr"/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8" t="n"/>
      <c r="N2964" s="7" t="inlineStr">
        <is>
          <t>SEM COTAÇÃO</t>
        </is>
      </c>
      <c r="O2964" s="8" t="n"/>
      <c r="P2964" s="14" t="n"/>
      <c r="Q2964" s="7" t="inlineStr"/>
      <c r="R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8" t="n"/>
      <c r="N2965" s="7" t="inlineStr">
        <is>
          <t>SEM COTAÇÃO</t>
        </is>
      </c>
      <c r="O2965" s="8" t="n"/>
      <c r="P2965" s="14" t="n"/>
      <c r="Q2965" s="7" t="inlineStr"/>
      <c r="R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8" t="n"/>
      <c r="N2966" s="7" t="inlineStr">
        <is>
          <t>SEM COTAÇÃO</t>
        </is>
      </c>
      <c r="O2966" s="8" t="n"/>
      <c r="P2966" s="14" t="n"/>
      <c r="Q2966" s="7" t="inlineStr"/>
      <c r="R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8" t="n"/>
      <c r="N2967" s="7" t="inlineStr">
        <is>
          <t>SEM COTAÇÃO</t>
        </is>
      </c>
      <c r="O2967" s="8" t="n"/>
      <c r="P2967" s="14" t="n"/>
      <c r="Q2967" s="7" t="inlineStr"/>
      <c r="R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8" t="n"/>
      <c r="N2968" s="7" t="inlineStr">
        <is>
          <t>SEM COTAÇÃO</t>
        </is>
      </c>
      <c r="O2968" s="8" t="n"/>
      <c r="P2968" s="14" t="n"/>
      <c r="Q2968" s="7" t="inlineStr"/>
      <c r="R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8" t="n"/>
      <c r="N2969" s="7" t="inlineStr">
        <is>
          <t>SEM COTAÇÃO</t>
        </is>
      </c>
      <c r="O2969" s="8" t="n"/>
      <c r="P2969" s="14" t="n"/>
      <c r="Q2969" s="7" t="inlineStr"/>
      <c r="R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8" t="n"/>
      <c r="N2970" s="7" t="inlineStr">
        <is>
          <t>SEM COTAÇÃO</t>
        </is>
      </c>
      <c r="O2970" s="8" t="n"/>
      <c r="P2970" s="14" t="n"/>
      <c r="Q2970" s="7" t="inlineStr"/>
      <c r="R2970" s="7" t="inlineStr"/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8" t="n"/>
      <c r="N2971" s="7" t="inlineStr">
        <is>
          <t>EPAN</t>
        </is>
      </c>
      <c r="O2971" s="8" t="n">
        <v>44.5</v>
      </c>
      <c r="P2971" s="14">
        <f>O2971/H2971-1</f>
        <v/>
      </c>
      <c r="Q2971" s="16" t="inlineStr">
        <is>
          <t>ACIMA +0.0%</t>
        </is>
      </c>
      <c r="R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8" t="n"/>
      <c r="N2972" s="7" t="inlineStr">
        <is>
          <t>SEM COTAÇÃO</t>
        </is>
      </c>
      <c r="O2972" s="8" t="n"/>
      <c r="P2972" s="14" t="n"/>
      <c r="Q2972" s="7" t="inlineStr"/>
      <c r="R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8" t="n"/>
      <c r="N2973" s="7" t="inlineStr">
        <is>
          <t>EPAN</t>
        </is>
      </c>
      <c r="O2973" s="8" t="n">
        <v>12.44</v>
      </c>
      <c r="P2973" s="14">
        <f>O2973/H2973-1</f>
        <v/>
      </c>
      <c r="Q2973" s="17" t="inlineStr">
        <is>
          <t>OK (≤ últ. compra)</t>
        </is>
      </c>
      <c r="R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8" t="n"/>
      <c r="N2974" s="7" t="inlineStr">
        <is>
          <t>SEM COTAÇÃO</t>
        </is>
      </c>
      <c r="O2974" s="8" t="n"/>
      <c r="P2974" s="14" t="n"/>
      <c r="Q2974" s="7" t="inlineStr"/>
      <c r="R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8" t="n"/>
      <c r="N2975" s="7" t="inlineStr">
        <is>
          <t>SEM COTAÇÃO</t>
        </is>
      </c>
      <c r="O2975" s="8" t="n"/>
      <c r="P2975" s="14" t="n"/>
      <c r="Q2975" s="7" t="inlineStr"/>
      <c r="R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15" t="n">
        <v>20.79</v>
      </c>
      <c r="M2976" s="8" t="n"/>
      <c r="N2976" s="7" t="inlineStr">
        <is>
          <t>EPAN</t>
        </is>
      </c>
      <c r="O2976" s="8" t="n">
        <v>20.79</v>
      </c>
      <c r="P2976" s="14">
        <f>O2976/H2976-1</f>
        <v/>
      </c>
      <c r="Q2976" s="16" t="inlineStr">
        <is>
          <t>ACIMA +5.0%</t>
        </is>
      </c>
      <c r="R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8" t="n"/>
      <c r="N2977" s="7" t="inlineStr">
        <is>
          <t>SEM COTAÇÃO</t>
        </is>
      </c>
      <c r="O2977" s="8" t="n"/>
      <c r="P2977" s="14" t="n"/>
      <c r="Q2977" s="7" t="inlineStr"/>
      <c r="R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8" t="n"/>
      <c r="N2978" s="7" t="inlineStr">
        <is>
          <t>SEM COTAÇÃO</t>
        </is>
      </c>
      <c r="O2978" s="8" t="n"/>
      <c r="P2978" s="14" t="n"/>
      <c r="Q2978" s="7" t="inlineStr"/>
      <c r="R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8" t="n"/>
      <c r="N2979" s="7" t="inlineStr">
        <is>
          <t>SEM COTAÇÃO</t>
        </is>
      </c>
      <c r="O2979" s="8" t="n"/>
      <c r="P2979" s="14" t="n"/>
      <c r="Q2979" s="7" t="inlineStr"/>
      <c r="R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8" t="n"/>
      <c r="N2980" s="7" t="inlineStr">
        <is>
          <t>SEM COTAÇÃO</t>
        </is>
      </c>
      <c r="O2980" s="8" t="n"/>
      <c r="P2980" s="14" t="n"/>
      <c r="Q2980" s="7" t="inlineStr"/>
      <c r="R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8" t="n"/>
      <c r="N2981" s="7" t="inlineStr">
        <is>
          <t>SEM COTAÇÃO</t>
        </is>
      </c>
      <c r="O2981" s="8" t="n"/>
      <c r="P2981" s="14" t="n"/>
      <c r="Q2981" s="7" t="inlineStr"/>
      <c r="R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8" t="n"/>
      <c r="N2982" s="7" t="inlineStr">
        <is>
          <t>SEM COTAÇÃO</t>
        </is>
      </c>
      <c r="O2982" s="8" t="n"/>
      <c r="P2982" s="14" t="n"/>
      <c r="Q2982" s="7" t="inlineStr"/>
      <c r="R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8" t="n"/>
      <c r="N2983" s="7" t="inlineStr">
        <is>
          <t>SEM COTAÇÃO</t>
        </is>
      </c>
      <c r="O2983" s="8" t="n"/>
      <c r="P2983" s="14" t="n"/>
      <c r="Q2983" s="7" t="inlineStr"/>
      <c r="R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8" t="n"/>
      <c r="N2984" s="7" t="inlineStr">
        <is>
          <t>SEM COTAÇÃO</t>
        </is>
      </c>
      <c r="O2984" s="8" t="n"/>
      <c r="P2984" s="14" t="n"/>
      <c r="Q2984" s="7" t="inlineStr"/>
      <c r="R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8" t="n"/>
      <c r="N2985" s="7" t="inlineStr">
        <is>
          <t>SEM COTAÇÃO</t>
        </is>
      </c>
      <c r="O2985" s="8" t="n"/>
      <c r="P2985" s="14" t="n"/>
      <c r="Q2985" s="7" t="inlineStr"/>
      <c r="R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8" t="n"/>
      <c r="N2986" s="7" t="inlineStr">
        <is>
          <t>SEM COTAÇÃO</t>
        </is>
      </c>
      <c r="O2986" s="8" t="n"/>
      <c r="P2986" s="14" t="n"/>
      <c r="Q2986" s="7" t="inlineStr"/>
      <c r="R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7" t="inlineStr">
        <is>
          <t>SEM COTAÇÃO</t>
        </is>
      </c>
      <c r="O2987" s="8" t="n"/>
      <c r="P2987" s="14" t="n"/>
      <c r="Q2987" s="7" t="inlineStr"/>
      <c r="R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8" t="n"/>
      <c r="N2988" s="7" t="inlineStr">
        <is>
          <t>SEM COTAÇÃO</t>
        </is>
      </c>
      <c r="O2988" s="8" t="n"/>
      <c r="P2988" s="14" t="n"/>
      <c r="Q2988" s="7" t="inlineStr"/>
      <c r="R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8" t="n"/>
      <c r="N2989" s="7" t="inlineStr">
        <is>
          <t>SEM COTAÇÃO</t>
        </is>
      </c>
      <c r="O2989" s="8" t="n"/>
      <c r="P2989" s="14" t="n"/>
      <c r="Q2989" s="7" t="inlineStr"/>
      <c r="R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8" t="n"/>
      <c r="N2990" s="7" t="inlineStr">
        <is>
          <t>SEM COTAÇÃO</t>
        </is>
      </c>
      <c r="O2990" s="8" t="n"/>
      <c r="P2990" s="14" t="n"/>
      <c r="Q2990" s="7" t="inlineStr"/>
      <c r="R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8" t="n"/>
      <c r="N2991" s="7" t="inlineStr">
        <is>
          <t>SEM COTAÇÃO</t>
        </is>
      </c>
      <c r="O2991" s="8" t="n"/>
      <c r="P2991" s="14" t="n"/>
      <c r="Q2991" s="7" t="inlineStr"/>
      <c r="R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7" t="inlineStr">
        <is>
          <t>SEM COTAÇÃO</t>
        </is>
      </c>
      <c r="O2992" s="8" t="n"/>
      <c r="P2992" s="14" t="n"/>
      <c r="Q2992" s="7" t="inlineStr"/>
      <c r="R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8" t="n"/>
      <c r="N2993" s="7" t="inlineStr">
        <is>
          <t>SEM COTAÇÃO</t>
        </is>
      </c>
      <c r="O2993" s="8" t="n"/>
      <c r="P2993" s="14" t="n"/>
      <c r="Q2993" s="7" t="inlineStr"/>
      <c r="R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8" t="n"/>
      <c r="N2994" s="7" t="inlineStr">
        <is>
          <t>SEM COTAÇÃO</t>
        </is>
      </c>
      <c r="O2994" s="8" t="n"/>
      <c r="P2994" s="14" t="n"/>
      <c r="Q2994" s="7" t="inlineStr"/>
      <c r="R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8" t="n"/>
      <c r="N2995" s="7" t="inlineStr">
        <is>
          <t>SEM COTAÇÃO</t>
        </is>
      </c>
      <c r="O2995" s="8" t="n"/>
      <c r="P2995" s="14" t="n"/>
      <c r="Q2995" s="7" t="inlineStr"/>
      <c r="R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8" t="n"/>
      <c r="N2996" s="7" t="inlineStr">
        <is>
          <t>SEM COTAÇÃO</t>
        </is>
      </c>
      <c r="O2996" s="8" t="n"/>
      <c r="P2996" s="14" t="n"/>
      <c r="Q2996" s="7" t="inlineStr"/>
      <c r="R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8" t="n"/>
      <c r="N2997" s="7" t="inlineStr">
        <is>
          <t>SEM COTAÇÃO</t>
        </is>
      </c>
      <c r="O2997" s="8" t="n"/>
      <c r="P2997" s="14" t="n"/>
      <c r="Q2997" s="7" t="inlineStr"/>
      <c r="R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8" t="n"/>
      <c r="N2998" s="7" t="inlineStr">
        <is>
          <t>SEM COTAÇÃO</t>
        </is>
      </c>
      <c r="O2998" s="8" t="n"/>
      <c r="P2998" s="14" t="n"/>
      <c r="Q2998" s="7" t="inlineStr"/>
      <c r="R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8" t="n"/>
      <c r="N2999" s="7" t="inlineStr">
        <is>
          <t>SEM COTAÇÃO</t>
        </is>
      </c>
      <c r="O2999" s="8" t="n"/>
      <c r="P2999" s="14" t="n"/>
      <c r="Q2999" s="7" t="inlineStr"/>
      <c r="R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8" t="n"/>
      <c r="N3000" s="7" t="inlineStr">
        <is>
          <t>SEM COTAÇÃO</t>
        </is>
      </c>
      <c r="O3000" s="8" t="n"/>
      <c r="P3000" s="14" t="n"/>
      <c r="Q3000" s="7" t="inlineStr"/>
      <c r="R3000" s="7" t="inlineStr"/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8" t="n"/>
      <c r="N3001" s="7" t="inlineStr">
        <is>
          <t>SEM COTAÇÃO</t>
        </is>
      </c>
      <c r="O3001" s="8" t="n"/>
      <c r="P3001" s="14" t="n"/>
      <c r="Q3001" s="7" t="inlineStr"/>
      <c r="R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8" t="n"/>
      <c r="N3002" s="7" t="inlineStr">
        <is>
          <t>SEM COTAÇÃO</t>
        </is>
      </c>
      <c r="O3002" s="8" t="n"/>
      <c r="P3002" s="14" t="n"/>
      <c r="Q3002" s="7" t="inlineStr"/>
      <c r="R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8" t="n"/>
      <c r="N3003" s="7" t="inlineStr">
        <is>
          <t>SEM COTAÇÃO</t>
        </is>
      </c>
      <c r="O3003" s="8" t="n"/>
      <c r="P3003" s="14" t="n"/>
      <c r="Q3003" s="7" t="inlineStr"/>
      <c r="R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8" t="n"/>
      <c r="N3004" s="7" t="inlineStr">
        <is>
          <t>SEM COTAÇÃO</t>
        </is>
      </c>
      <c r="O3004" s="8" t="n"/>
      <c r="P3004" s="14" t="n"/>
      <c r="Q3004" s="7" t="inlineStr"/>
      <c r="R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8" t="n"/>
      <c r="N3005" s="7" t="inlineStr">
        <is>
          <t>SEM COTAÇÃO</t>
        </is>
      </c>
      <c r="O3005" s="8" t="n"/>
      <c r="P3005" s="14" t="n"/>
      <c r="Q3005" s="7" t="inlineStr"/>
      <c r="R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8" t="n"/>
      <c r="N3006" s="7" t="inlineStr">
        <is>
          <t>SEM COTAÇÃO</t>
        </is>
      </c>
      <c r="O3006" s="8" t="n"/>
      <c r="P3006" s="14" t="n"/>
      <c r="Q3006" s="7" t="inlineStr"/>
      <c r="R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8" t="n"/>
      <c r="N3007" s="7" t="inlineStr">
        <is>
          <t>SEM COTAÇÃO</t>
        </is>
      </c>
      <c r="O3007" s="8" t="n"/>
      <c r="P3007" s="14" t="n"/>
      <c r="Q3007" s="7" t="inlineStr"/>
      <c r="R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8" t="n"/>
      <c r="N3008" s="7" t="inlineStr">
        <is>
          <t>SEM COTAÇÃO</t>
        </is>
      </c>
      <c r="O3008" s="8" t="n"/>
      <c r="P3008" s="14" t="n"/>
      <c r="Q3008" s="7" t="inlineStr"/>
      <c r="R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8" t="n"/>
      <c r="N3009" s="7" t="inlineStr">
        <is>
          <t>SEM COTAÇÃO</t>
        </is>
      </c>
      <c r="O3009" s="8" t="n"/>
      <c r="P3009" s="14" t="n"/>
      <c r="Q3009" s="7" t="inlineStr"/>
      <c r="R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8" t="n"/>
      <c r="N3010" s="7" t="inlineStr">
        <is>
          <t>SEM COTAÇÃO</t>
        </is>
      </c>
      <c r="O3010" s="8" t="n"/>
      <c r="P3010" s="14" t="n"/>
      <c r="Q3010" s="7" t="inlineStr"/>
      <c r="R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8" t="n"/>
      <c r="N3011" s="7" t="inlineStr">
        <is>
          <t>SEM COTAÇÃO</t>
        </is>
      </c>
      <c r="O3011" s="8" t="n"/>
      <c r="P3011" s="14" t="n"/>
      <c r="Q3011" s="7" t="inlineStr"/>
      <c r="R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8" t="n"/>
      <c r="N3012" s="7" t="inlineStr">
        <is>
          <t>SEM COTAÇÃO</t>
        </is>
      </c>
      <c r="O3012" s="8" t="n"/>
      <c r="P3012" s="14" t="n"/>
      <c r="Q3012" s="7" t="inlineStr"/>
      <c r="R3012" s="7" t="inlineStr"/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8" t="n"/>
      <c r="N3013" s="7" t="inlineStr">
        <is>
          <t>SEM COTAÇÃO</t>
        </is>
      </c>
      <c r="O3013" s="8" t="n"/>
      <c r="P3013" s="14" t="n"/>
      <c r="Q3013" s="7" t="inlineStr"/>
      <c r="R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8" t="n"/>
      <c r="N3014" s="7" t="inlineStr">
        <is>
          <t>DIMEC</t>
        </is>
      </c>
      <c r="O3014" s="8" t="n">
        <v>2.9</v>
      </c>
      <c r="P3014" s="14">
        <f>O3014/H3014-1</f>
        <v/>
      </c>
      <c r="Q3014" s="16" t="inlineStr">
        <is>
          <t>ACIMA +14.6%</t>
        </is>
      </c>
      <c r="R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8" t="n"/>
      <c r="N3015" s="7" t="inlineStr">
        <is>
          <t>SEM COTAÇÃO</t>
        </is>
      </c>
      <c r="O3015" s="8" t="n"/>
      <c r="P3015" s="14" t="n"/>
      <c r="Q3015" s="7" t="inlineStr"/>
      <c r="R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8" t="n"/>
      <c r="N3016" s="7" t="inlineStr">
        <is>
          <t>SEM COTAÇÃO</t>
        </is>
      </c>
      <c r="O3016" s="8" t="n"/>
      <c r="P3016" s="14" t="n"/>
      <c r="Q3016" s="7" t="inlineStr"/>
      <c r="R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8" t="n"/>
      <c r="N3017" s="7" t="inlineStr">
        <is>
          <t>SEM COTAÇÃO</t>
        </is>
      </c>
      <c r="O3017" s="8" t="n"/>
      <c r="P3017" s="14" t="n"/>
      <c r="Q3017" s="7" t="inlineStr"/>
      <c r="R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7" t="inlineStr">
        <is>
          <t>SEM COTAÇÃO</t>
        </is>
      </c>
      <c r="O3018" s="8" t="n"/>
      <c r="P3018" s="14" t="n"/>
      <c r="Q3018" s="7" t="inlineStr"/>
      <c r="R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7" t="inlineStr">
        <is>
          <t>SEM COTAÇÃO</t>
        </is>
      </c>
      <c r="O3019" s="8" t="n"/>
      <c r="P3019" s="14" t="n"/>
      <c r="Q3019" s="7" t="inlineStr"/>
      <c r="R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8" t="n"/>
      <c r="N3020" s="7" t="inlineStr">
        <is>
          <t>SEM COTAÇÃO</t>
        </is>
      </c>
      <c r="O3020" s="8" t="n"/>
      <c r="P3020" s="14" t="n"/>
      <c r="Q3020" s="7" t="inlineStr"/>
      <c r="R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8" t="n"/>
      <c r="N3021" s="7" t="inlineStr">
        <is>
          <t>SEM COTAÇÃO</t>
        </is>
      </c>
      <c r="O3021" s="8" t="n"/>
      <c r="P3021" s="14" t="n"/>
      <c r="Q3021" s="7" t="inlineStr"/>
      <c r="R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8" t="n"/>
      <c r="N3022" s="7" t="inlineStr">
        <is>
          <t>SEM COTAÇÃO</t>
        </is>
      </c>
      <c r="O3022" s="8" t="n"/>
      <c r="P3022" s="14" t="n"/>
      <c r="Q3022" s="7" t="inlineStr"/>
      <c r="R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8" t="n"/>
      <c r="N3023" s="7" t="inlineStr">
        <is>
          <t>SEM COTAÇÃO</t>
        </is>
      </c>
      <c r="O3023" s="8" t="n"/>
      <c r="P3023" s="14" t="n"/>
      <c r="Q3023" s="7" t="inlineStr"/>
      <c r="R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8" t="n"/>
      <c r="N3024" s="7" t="inlineStr">
        <is>
          <t>SEM COTAÇÃO</t>
        </is>
      </c>
      <c r="O3024" s="8" t="n"/>
      <c r="P3024" s="14" t="n"/>
      <c r="Q3024" s="7" t="inlineStr"/>
      <c r="R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8" t="n"/>
      <c r="N3025" s="7" t="inlineStr">
        <is>
          <t>SEM COTAÇÃO</t>
        </is>
      </c>
      <c r="O3025" s="8" t="n"/>
      <c r="P3025" s="14" t="n"/>
      <c r="Q3025" s="7" t="inlineStr"/>
      <c r="R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8" t="n"/>
      <c r="N3026" s="7" t="inlineStr">
        <is>
          <t>SEM COTAÇÃO</t>
        </is>
      </c>
      <c r="O3026" s="8" t="n"/>
      <c r="P3026" s="14" t="n"/>
      <c r="Q3026" s="7" t="inlineStr"/>
      <c r="R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8" t="n"/>
      <c r="N3027" s="7" t="inlineStr">
        <is>
          <t>SEM COTAÇÃO</t>
        </is>
      </c>
      <c r="O3027" s="8" t="n"/>
      <c r="P3027" s="14" t="n"/>
      <c r="Q3027" s="7" t="inlineStr"/>
      <c r="R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8" t="n"/>
      <c r="N3028" s="7" t="inlineStr">
        <is>
          <t>SEM COTAÇÃO</t>
        </is>
      </c>
      <c r="O3028" s="8" t="n"/>
      <c r="P3028" s="14" t="n"/>
      <c r="Q3028" s="7" t="inlineStr"/>
      <c r="R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8" t="n"/>
      <c r="N3029" s="7" t="inlineStr">
        <is>
          <t>SEM COTAÇÃO</t>
        </is>
      </c>
      <c r="O3029" s="8" t="n"/>
      <c r="P3029" s="14" t="n"/>
      <c r="Q3029" s="7" t="inlineStr"/>
      <c r="R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8" t="n"/>
      <c r="N3030" s="7" t="inlineStr">
        <is>
          <t>SEM COTAÇÃO</t>
        </is>
      </c>
      <c r="O3030" s="8" t="n"/>
      <c r="P3030" s="14" t="n"/>
      <c r="Q3030" s="7" t="inlineStr"/>
      <c r="R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8" t="n"/>
      <c r="N3031" s="7" t="inlineStr">
        <is>
          <t>SEM COTAÇÃO</t>
        </is>
      </c>
      <c r="O3031" s="8" t="n"/>
      <c r="P3031" s="14" t="n"/>
      <c r="Q3031" s="7" t="inlineStr"/>
      <c r="R3031" s="7" t="inlineStr"/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8" t="n"/>
      <c r="N3032" s="7" t="inlineStr">
        <is>
          <t>SEM COTAÇÃO</t>
        </is>
      </c>
      <c r="O3032" s="8" t="n"/>
      <c r="P3032" s="14" t="n"/>
      <c r="Q3032" s="7" t="inlineStr"/>
      <c r="R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8" t="n"/>
      <c r="N3033" s="7" t="inlineStr">
        <is>
          <t>SEM COTAÇÃO</t>
        </is>
      </c>
      <c r="O3033" s="8" t="n"/>
      <c r="P3033" s="14" t="n"/>
      <c r="Q3033" s="7" t="inlineStr"/>
      <c r="R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8" t="n"/>
      <c r="N3034" s="7" t="inlineStr">
        <is>
          <t>SEM COTAÇÃO</t>
        </is>
      </c>
      <c r="O3034" s="8" t="n"/>
      <c r="P3034" s="14" t="n"/>
      <c r="Q3034" s="7" t="inlineStr"/>
      <c r="R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8" t="n"/>
      <c r="N3035" s="7" t="inlineStr">
        <is>
          <t>SEM COTAÇÃO</t>
        </is>
      </c>
      <c r="O3035" s="8" t="n"/>
      <c r="P3035" s="14" t="n"/>
      <c r="Q3035" s="7" t="inlineStr"/>
      <c r="R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8" t="n"/>
      <c r="N3036" s="7" t="inlineStr">
        <is>
          <t>SEM COTAÇÃO</t>
        </is>
      </c>
      <c r="O3036" s="8" t="n"/>
      <c r="P3036" s="14" t="n"/>
      <c r="Q3036" s="7" t="inlineStr"/>
      <c r="R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8" t="n"/>
      <c r="N3037" s="7" t="inlineStr">
        <is>
          <t>SEM COTAÇÃO</t>
        </is>
      </c>
      <c r="O3037" s="8" t="n"/>
      <c r="P3037" s="14" t="n"/>
      <c r="Q3037" s="7" t="inlineStr"/>
      <c r="R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8" t="n"/>
      <c r="N3038" s="7" t="inlineStr">
        <is>
          <t>SEM COTAÇÃO</t>
        </is>
      </c>
      <c r="O3038" s="8" t="n"/>
      <c r="P3038" s="14" t="n"/>
      <c r="Q3038" s="7" t="inlineStr"/>
      <c r="R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8" t="n"/>
      <c r="N3039" s="7" t="inlineStr">
        <is>
          <t>SEM COTAÇÃO</t>
        </is>
      </c>
      <c r="O3039" s="8" t="n"/>
      <c r="P3039" s="14" t="n"/>
      <c r="Q3039" s="7" t="inlineStr"/>
      <c r="R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8" t="n"/>
      <c r="N3040" s="7" t="inlineStr">
        <is>
          <t>SEM COTAÇÃO</t>
        </is>
      </c>
      <c r="O3040" s="8" t="n"/>
      <c r="P3040" s="14" t="n"/>
      <c r="Q3040" s="7" t="inlineStr"/>
      <c r="R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7" t="inlineStr">
        <is>
          <t>SEM COTAÇÃO</t>
        </is>
      </c>
      <c r="O3041" s="8" t="n"/>
      <c r="P3041" s="14" t="n"/>
      <c r="Q3041" s="7" t="inlineStr"/>
      <c r="R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8" t="n"/>
      <c r="N3042" s="7" t="inlineStr">
        <is>
          <t>SEM COTAÇÃO</t>
        </is>
      </c>
      <c r="O3042" s="8" t="n"/>
      <c r="P3042" s="14" t="n"/>
      <c r="Q3042" s="7" t="inlineStr"/>
      <c r="R3042" s="7" t="inlineStr"/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8" t="n"/>
      <c r="N3043" s="7" t="inlineStr">
        <is>
          <t>SEM COTAÇÃO</t>
        </is>
      </c>
      <c r="O3043" s="8" t="n"/>
      <c r="P3043" s="14" t="n"/>
      <c r="Q3043" s="7" t="inlineStr"/>
      <c r="R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8" t="n"/>
      <c r="N3044" s="7" t="inlineStr">
        <is>
          <t>SEM COTAÇÃO</t>
        </is>
      </c>
      <c r="O3044" s="8" t="n"/>
      <c r="P3044" s="14" t="n"/>
      <c r="Q3044" s="7" t="inlineStr"/>
      <c r="R3044" s="7" t="inlineStr"/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8" t="n"/>
      <c r="N3045" s="7" t="inlineStr">
        <is>
          <t>SEM COTAÇÃO</t>
        </is>
      </c>
      <c r="O3045" s="8" t="n"/>
      <c r="P3045" s="14" t="n"/>
      <c r="Q3045" s="7" t="inlineStr"/>
      <c r="R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15" t="n">
        <v>1.03</v>
      </c>
      <c r="K3046" s="8" t="n">
        <v>1.05</v>
      </c>
      <c r="L3046" s="8" t="n"/>
      <c r="M3046" s="8" t="n"/>
      <c r="N3046" s="7" t="inlineStr">
        <is>
          <t>DIMEC</t>
        </is>
      </c>
      <c r="O3046" s="8" t="n">
        <v>1.03</v>
      </c>
      <c r="P3046" s="14">
        <f>O3046/H3046-1</f>
        <v/>
      </c>
      <c r="Q3046" s="16" t="inlineStr">
        <is>
          <t>ACIMA +12.0%</t>
        </is>
      </c>
      <c r="R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8" t="n"/>
      <c r="N3047" s="7" t="inlineStr">
        <is>
          <t>SEM COTAÇÃO</t>
        </is>
      </c>
      <c r="O3047" s="8" t="n"/>
      <c r="P3047" s="14" t="n"/>
      <c r="Q3047" s="7" t="inlineStr"/>
      <c r="R3047" s="7" t="inlineStr"/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8" t="n"/>
      <c r="N3048" s="7" t="inlineStr">
        <is>
          <t>SEM COTAÇÃO</t>
        </is>
      </c>
      <c r="O3048" s="8" t="n"/>
      <c r="P3048" s="14" t="n"/>
      <c r="Q3048" s="7" t="inlineStr"/>
      <c r="R3048" s="7" t="inlineStr"/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8" t="n"/>
      <c r="N3049" s="7" t="inlineStr">
        <is>
          <t>SEM COTAÇÃO</t>
        </is>
      </c>
      <c r="O3049" s="8" t="n"/>
      <c r="P3049" s="14" t="n"/>
      <c r="Q3049" s="7" t="inlineStr"/>
      <c r="R3049" s="7" t="inlineStr"/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8" t="n"/>
      <c r="N3050" s="7" t="inlineStr">
        <is>
          <t>SEM COTAÇÃO</t>
        </is>
      </c>
      <c r="O3050" s="8" t="n"/>
      <c r="P3050" s="14" t="n"/>
      <c r="Q3050" s="7" t="inlineStr"/>
      <c r="R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8" t="n"/>
      <c r="N3051" s="7" t="inlineStr">
        <is>
          <t>SEM COTAÇÃO</t>
        </is>
      </c>
      <c r="O3051" s="8" t="n"/>
      <c r="P3051" s="14" t="n"/>
      <c r="Q3051" s="7" t="inlineStr"/>
      <c r="R3051" s="7" t="inlineStr"/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8" t="n"/>
      <c r="N3052" s="7" t="inlineStr">
        <is>
          <t>SEM COTAÇÃO</t>
        </is>
      </c>
      <c r="O3052" s="8" t="n"/>
      <c r="P3052" s="14" t="n"/>
      <c r="Q3052" s="7" t="inlineStr"/>
      <c r="R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8" t="n"/>
      <c r="N3053" s="7" t="inlineStr">
        <is>
          <t>SEM COTAÇÃO</t>
        </is>
      </c>
      <c r="O3053" s="8" t="n"/>
      <c r="P3053" s="14" t="n"/>
      <c r="Q3053" s="7" t="inlineStr"/>
      <c r="R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8" t="n"/>
      <c r="N3054" s="7" t="inlineStr">
        <is>
          <t>SEM COTAÇÃO</t>
        </is>
      </c>
      <c r="O3054" s="8" t="n"/>
      <c r="P3054" s="14" t="n"/>
      <c r="Q3054" s="7" t="inlineStr"/>
      <c r="R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8" t="n"/>
      <c r="N3055" s="7" t="inlineStr">
        <is>
          <t>SEM COTAÇÃO</t>
        </is>
      </c>
      <c r="O3055" s="8" t="n"/>
      <c r="P3055" s="14" t="n"/>
      <c r="Q3055" s="7" t="inlineStr"/>
      <c r="R3055" s="7" t="inlineStr"/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8" t="n"/>
      <c r="N3056" s="7" t="inlineStr">
        <is>
          <t>SEM COTAÇÃO</t>
        </is>
      </c>
      <c r="O3056" s="8" t="n"/>
      <c r="P3056" s="14" t="n"/>
      <c r="Q3056" s="7" t="inlineStr"/>
      <c r="R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8" t="n"/>
      <c r="N3057" s="7" t="inlineStr">
        <is>
          <t>SEM COTAÇÃO</t>
        </is>
      </c>
      <c r="O3057" s="8" t="n"/>
      <c r="P3057" s="14" t="n"/>
      <c r="Q3057" s="7" t="inlineStr"/>
      <c r="R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8" t="n"/>
      <c r="N3058" s="7" t="inlineStr">
        <is>
          <t>SEM COTAÇÃO</t>
        </is>
      </c>
      <c r="O3058" s="8" t="n"/>
      <c r="P3058" s="14" t="n"/>
      <c r="Q3058" s="7" t="inlineStr"/>
      <c r="R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8" t="n"/>
      <c r="N3059" s="7" t="inlineStr">
        <is>
          <t>SEM COTAÇÃO</t>
        </is>
      </c>
      <c r="O3059" s="8" t="n"/>
      <c r="P3059" s="14" t="n"/>
      <c r="Q3059" s="7" t="inlineStr"/>
      <c r="R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8" t="n"/>
      <c r="N3060" s="7" t="inlineStr">
        <is>
          <t>SEM COTAÇÃO</t>
        </is>
      </c>
      <c r="O3060" s="8" t="n"/>
      <c r="P3060" s="14" t="n"/>
      <c r="Q3060" s="7" t="inlineStr"/>
      <c r="R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8" t="n"/>
      <c r="N3061" s="7" t="inlineStr">
        <is>
          <t>SEM COTAÇÃO</t>
        </is>
      </c>
      <c r="O3061" s="8" t="n"/>
      <c r="P3061" s="14" t="n"/>
      <c r="Q3061" s="7" t="inlineStr"/>
      <c r="R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8" t="n"/>
      <c r="N3062" s="7" t="inlineStr">
        <is>
          <t>EPAN</t>
        </is>
      </c>
      <c r="O3062" s="8" t="n">
        <v>37.12</v>
      </c>
      <c r="P3062" s="14">
        <f>O3062/H3062-1</f>
        <v/>
      </c>
      <c r="Q3062" s="17" t="inlineStr">
        <is>
          <t>OK (≤ últ. compra)</t>
        </is>
      </c>
      <c r="R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8" t="n"/>
      <c r="N3063" s="7" t="inlineStr">
        <is>
          <t>SEM COTAÇÃO</t>
        </is>
      </c>
      <c r="O3063" s="8" t="n"/>
      <c r="P3063" s="14" t="n"/>
      <c r="Q3063" s="7" t="inlineStr"/>
      <c r="R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8" t="n"/>
      <c r="N3064" s="7" t="inlineStr">
        <is>
          <t>SEM COTAÇÃO</t>
        </is>
      </c>
      <c r="O3064" s="8" t="n"/>
      <c r="P3064" s="14" t="n"/>
      <c r="Q3064" s="7" t="inlineStr"/>
      <c r="R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8" t="n"/>
      <c r="N3065" s="7" t="inlineStr">
        <is>
          <t>SEM COTAÇÃO</t>
        </is>
      </c>
      <c r="O3065" s="8" t="n"/>
      <c r="P3065" s="14" t="n"/>
      <c r="Q3065" s="7" t="inlineStr"/>
      <c r="R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8" t="n"/>
      <c r="N3066" s="7" t="inlineStr">
        <is>
          <t>SEM COTAÇÃO</t>
        </is>
      </c>
      <c r="O3066" s="8" t="n"/>
      <c r="P3066" s="14" t="n"/>
      <c r="Q3066" s="7" t="inlineStr"/>
      <c r="R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8" t="n"/>
      <c r="N3067" s="7" t="inlineStr">
        <is>
          <t>SEM COTAÇÃO</t>
        </is>
      </c>
      <c r="O3067" s="8" t="n"/>
      <c r="P3067" s="14" t="n"/>
      <c r="Q3067" s="7" t="inlineStr"/>
      <c r="R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8" t="n"/>
      <c r="N3068" s="7" t="inlineStr">
        <is>
          <t>SEM COTAÇÃO</t>
        </is>
      </c>
      <c r="O3068" s="8" t="n"/>
      <c r="P3068" s="14" t="n"/>
      <c r="Q3068" s="7" t="inlineStr"/>
      <c r="R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8" t="n"/>
      <c r="N3069" s="7" t="inlineStr">
        <is>
          <t>SEM COTAÇÃO</t>
        </is>
      </c>
      <c r="O3069" s="8" t="n"/>
      <c r="P3069" s="14" t="n"/>
      <c r="Q3069" s="7" t="inlineStr"/>
      <c r="R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8" t="n"/>
      <c r="N3070" s="7" t="inlineStr">
        <is>
          <t>SEM COTAÇÃO</t>
        </is>
      </c>
      <c r="O3070" s="8" t="n"/>
      <c r="P3070" s="14" t="n"/>
      <c r="Q3070" s="7" t="inlineStr"/>
      <c r="R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8" t="n"/>
      <c r="N3071" s="7" t="inlineStr">
        <is>
          <t>SEM COTAÇÃO</t>
        </is>
      </c>
      <c r="O3071" s="8" t="n"/>
      <c r="P3071" s="14" t="n"/>
      <c r="Q3071" s="7" t="inlineStr"/>
      <c r="R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8" t="n"/>
      <c r="N3072" s="7" t="inlineStr">
        <is>
          <t>SEM COTAÇÃO</t>
        </is>
      </c>
      <c r="O3072" s="8" t="n"/>
      <c r="P3072" s="14" t="n"/>
      <c r="Q3072" s="7" t="inlineStr"/>
      <c r="R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8" t="n"/>
      <c r="N3073" s="7" t="inlineStr">
        <is>
          <t>SEM COTAÇÃO</t>
        </is>
      </c>
      <c r="O3073" s="8" t="n"/>
      <c r="P3073" s="14" t="n"/>
      <c r="Q3073" s="7" t="inlineStr"/>
      <c r="R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8" t="n"/>
      <c r="N3074" s="7" t="inlineStr">
        <is>
          <t>SEM COTAÇÃO</t>
        </is>
      </c>
      <c r="O3074" s="8" t="n"/>
      <c r="P3074" s="14" t="n"/>
      <c r="Q3074" s="7" t="inlineStr"/>
      <c r="R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8" t="n"/>
      <c r="N3075" s="7" t="inlineStr">
        <is>
          <t>SEM COTAÇÃO</t>
        </is>
      </c>
      <c r="O3075" s="8" t="n"/>
      <c r="P3075" s="14" t="n"/>
      <c r="Q3075" s="7" t="inlineStr"/>
      <c r="R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8" t="n"/>
      <c r="N3076" s="7" t="inlineStr">
        <is>
          <t>EPAN</t>
        </is>
      </c>
      <c r="O3076" s="8" t="n">
        <v>128.52</v>
      </c>
      <c r="P3076" s="14">
        <f>O3076/H3076-1</f>
        <v/>
      </c>
      <c r="Q3076" s="16" t="inlineStr">
        <is>
          <t>ACIMA +1.3%</t>
        </is>
      </c>
      <c r="R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8" t="n"/>
      <c r="N3077" s="7" t="inlineStr">
        <is>
          <t>SEM COTAÇÃO</t>
        </is>
      </c>
      <c r="O3077" s="8" t="n"/>
      <c r="P3077" s="14" t="n"/>
      <c r="Q3077" s="7" t="inlineStr"/>
      <c r="R3077" s="7" t="inlineStr"/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15" t="n">
        <v>30.46</v>
      </c>
      <c r="K3078" s="8" t="n"/>
      <c r="L3078" s="8" t="n"/>
      <c r="M3078" s="8" t="n"/>
      <c r="N3078" s="7" t="inlineStr">
        <is>
          <t>DIMEC</t>
        </is>
      </c>
      <c r="O3078" s="8" t="n">
        <v>30.46</v>
      </c>
      <c r="P3078" s="14">
        <f>O3078/H3078-1</f>
        <v/>
      </c>
      <c r="Q3078" s="17" t="inlineStr">
        <is>
          <t>OK (≤ últ. compra)</t>
        </is>
      </c>
      <c r="R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8" t="n"/>
      <c r="N3079" s="7" t="inlineStr">
        <is>
          <t>SEM COTAÇÃO</t>
        </is>
      </c>
      <c r="O3079" s="8" t="n"/>
      <c r="P3079" s="14" t="n"/>
      <c r="Q3079" s="7" t="inlineStr"/>
      <c r="R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8" t="n"/>
      <c r="N3080" s="7" t="inlineStr">
        <is>
          <t>SEM COTAÇÃO</t>
        </is>
      </c>
      <c r="O3080" s="8" t="n"/>
      <c r="P3080" s="14" t="n"/>
      <c r="Q3080" s="7" t="inlineStr"/>
      <c r="R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8" t="n"/>
      <c r="N3081" s="7" t="inlineStr">
        <is>
          <t>SEM COTAÇÃO</t>
        </is>
      </c>
      <c r="O3081" s="8" t="n"/>
      <c r="P3081" s="14" t="n"/>
      <c r="Q3081" s="7" t="inlineStr"/>
      <c r="R3081" s="7" t="inlineStr"/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8" t="n"/>
      <c r="N3082" s="7" t="inlineStr">
        <is>
          <t>SEM COTAÇÃO</t>
        </is>
      </c>
      <c r="O3082" s="8" t="n"/>
      <c r="P3082" s="14" t="n"/>
      <c r="Q3082" s="7" t="inlineStr"/>
      <c r="R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8" t="n"/>
      <c r="N3083" s="7" t="inlineStr">
        <is>
          <t>SEM COTAÇÃO</t>
        </is>
      </c>
      <c r="O3083" s="8" t="n"/>
      <c r="P3083" s="14" t="n"/>
      <c r="Q3083" s="7" t="inlineStr"/>
      <c r="R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8" t="n"/>
      <c r="N3084" s="7" t="inlineStr">
        <is>
          <t>SEM COTAÇÃO</t>
        </is>
      </c>
      <c r="O3084" s="8" t="n"/>
      <c r="P3084" s="14" t="n"/>
      <c r="Q3084" s="7" t="inlineStr"/>
      <c r="R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8" t="n"/>
      <c r="N3085" s="7" t="inlineStr">
        <is>
          <t>SEM COTAÇÃO</t>
        </is>
      </c>
      <c r="O3085" s="8" t="n"/>
      <c r="P3085" s="14" t="n"/>
      <c r="Q3085" s="7" t="inlineStr"/>
      <c r="R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8" t="n"/>
      <c r="N3086" s="7" t="inlineStr">
        <is>
          <t>SEM COTAÇÃO</t>
        </is>
      </c>
      <c r="O3086" s="8" t="n"/>
      <c r="P3086" s="14" t="n"/>
      <c r="Q3086" s="7" t="inlineStr"/>
      <c r="R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8" t="n"/>
      <c r="N3087" s="7" t="inlineStr">
        <is>
          <t>SEM COTAÇÃO</t>
        </is>
      </c>
      <c r="O3087" s="8" t="n"/>
      <c r="P3087" s="14" t="n"/>
      <c r="Q3087" s="7" t="inlineStr"/>
      <c r="R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8" t="n"/>
      <c r="N3088" s="7" t="inlineStr">
        <is>
          <t>SEM COTAÇÃO</t>
        </is>
      </c>
      <c r="O3088" s="8" t="n"/>
      <c r="P3088" s="14" t="n"/>
      <c r="Q3088" s="7" t="inlineStr"/>
      <c r="R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8" t="n"/>
      <c r="N3089" s="7" t="inlineStr">
        <is>
          <t>SEM COTAÇÃO</t>
        </is>
      </c>
      <c r="O3089" s="8" t="n"/>
      <c r="P3089" s="14" t="n"/>
      <c r="Q3089" s="7" t="inlineStr"/>
      <c r="R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8" t="n"/>
      <c r="N3090" s="7" t="inlineStr">
        <is>
          <t>SEM COTAÇÃO</t>
        </is>
      </c>
      <c r="O3090" s="8" t="n"/>
      <c r="P3090" s="14" t="n"/>
      <c r="Q3090" s="7" t="inlineStr"/>
      <c r="R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8" t="n"/>
      <c r="N3091" s="7" t="inlineStr">
        <is>
          <t>SEM COTAÇÃO</t>
        </is>
      </c>
      <c r="O3091" s="8" t="n"/>
      <c r="P3091" s="14" t="n"/>
      <c r="Q3091" s="7" t="inlineStr"/>
      <c r="R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8" t="n"/>
      <c r="N3092" s="7" t="inlineStr">
        <is>
          <t>SEM COTAÇÃO</t>
        </is>
      </c>
      <c r="O3092" s="8" t="n"/>
      <c r="P3092" s="14" t="n"/>
      <c r="Q3092" s="7" t="inlineStr"/>
      <c r="R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8" t="n"/>
      <c r="N3093" s="7" t="inlineStr">
        <is>
          <t>SEM COTAÇÃO</t>
        </is>
      </c>
      <c r="O3093" s="8" t="n"/>
      <c r="P3093" s="14" t="n"/>
      <c r="Q3093" s="7" t="inlineStr"/>
      <c r="R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8" t="n"/>
      <c r="N3094" s="7" t="inlineStr">
        <is>
          <t>SEM COTAÇÃO</t>
        </is>
      </c>
      <c r="O3094" s="8" t="n"/>
      <c r="P3094" s="14" t="n"/>
      <c r="Q3094" s="7" t="inlineStr"/>
      <c r="R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8" t="n"/>
      <c r="N3095" s="7" t="inlineStr">
        <is>
          <t>SEM COTAÇÃO</t>
        </is>
      </c>
      <c r="O3095" s="8" t="n"/>
      <c r="P3095" s="14" t="n"/>
      <c r="Q3095" s="7" t="inlineStr"/>
      <c r="R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8" t="n"/>
      <c r="N3096" s="7" t="inlineStr">
        <is>
          <t>SEM COTAÇÃO</t>
        </is>
      </c>
      <c r="O3096" s="8" t="n"/>
      <c r="P3096" s="14" t="n"/>
      <c r="Q3096" s="7" t="inlineStr"/>
      <c r="R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8" t="n"/>
      <c r="N3097" s="7" t="inlineStr">
        <is>
          <t>SEM COTAÇÃO</t>
        </is>
      </c>
      <c r="O3097" s="8" t="n"/>
      <c r="P3097" s="14" t="n"/>
      <c r="Q3097" s="7" t="inlineStr"/>
      <c r="R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8" t="n"/>
      <c r="N3098" s="7" t="inlineStr">
        <is>
          <t>SEM COTAÇÃO</t>
        </is>
      </c>
      <c r="O3098" s="8" t="n"/>
      <c r="P3098" s="14" t="n"/>
      <c r="Q3098" s="7" t="inlineStr"/>
      <c r="R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8" t="n"/>
      <c r="N3099" s="7" t="inlineStr">
        <is>
          <t>SEM COTAÇÃO</t>
        </is>
      </c>
      <c r="O3099" s="8" t="n"/>
      <c r="P3099" s="14" t="n"/>
      <c r="Q3099" s="7" t="inlineStr"/>
      <c r="R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8" t="n"/>
      <c r="N3100" s="7" t="inlineStr">
        <is>
          <t>SEM COTAÇÃO</t>
        </is>
      </c>
      <c r="O3100" s="8" t="n"/>
      <c r="P3100" s="14" t="n"/>
      <c r="Q3100" s="7" t="inlineStr"/>
      <c r="R3100" s="7" t="inlineStr"/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8" t="n"/>
      <c r="N3101" s="7" t="inlineStr">
        <is>
          <t>SEM COTAÇÃO</t>
        </is>
      </c>
      <c r="O3101" s="8" t="n"/>
      <c r="P3101" s="14" t="n"/>
      <c r="Q3101" s="7" t="inlineStr"/>
      <c r="R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8" t="n"/>
      <c r="N3102" s="7" t="inlineStr">
        <is>
          <t>SEM COTAÇÃO</t>
        </is>
      </c>
      <c r="O3102" s="8" t="n"/>
      <c r="P3102" s="14" t="n"/>
      <c r="Q3102" s="7" t="inlineStr"/>
      <c r="R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8" t="n"/>
      <c r="N3103" s="7" t="inlineStr">
        <is>
          <t>SEM COTAÇÃO</t>
        </is>
      </c>
      <c r="O3103" s="8" t="n"/>
      <c r="P3103" s="14" t="n"/>
      <c r="Q3103" s="7" t="inlineStr"/>
      <c r="R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8" t="n"/>
      <c r="N3104" s="7" t="inlineStr">
        <is>
          <t>SEM COTAÇÃO</t>
        </is>
      </c>
      <c r="O3104" s="8" t="n"/>
      <c r="P3104" s="14" t="n"/>
      <c r="Q3104" s="7" t="inlineStr"/>
      <c r="R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8" t="n"/>
      <c r="N3105" s="7" t="inlineStr">
        <is>
          <t>EPAN</t>
        </is>
      </c>
      <c r="O3105" s="8" t="n">
        <v>82.93000000000001</v>
      </c>
      <c r="P3105" s="14">
        <f>O3105/H3105-1</f>
        <v/>
      </c>
      <c r="Q3105" s="16" t="inlineStr">
        <is>
          <t>ACIMA +7.8%</t>
        </is>
      </c>
      <c r="R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8" t="n"/>
      <c r="N3106" s="7" t="inlineStr">
        <is>
          <t>SEM COTAÇÃO</t>
        </is>
      </c>
      <c r="O3106" s="8" t="n"/>
      <c r="P3106" s="14" t="n"/>
      <c r="Q3106" s="7" t="inlineStr"/>
      <c r="R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8" t="n"/>
      <c r="N3107" s="7" t="inlineStr">
        <is>
          <t>SEM COTAÇÃO</t>
        </is>
      </c>
      <c r="O3107" s="8" t="n"/>
      <c r="P3107" s="14" t="n"/>
      <c r="Q3107" s="7" t="inlineStr"/>
      <c r="R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8" t="n"/>
      <c r="N3108" s="7" t="inlineStr">
        <is>
          <t>SEM COTAÇÃO</t>
        </is>
      </c>
      <c r="O3108" s="8" t="n"/>
      <c r="P3108" s="14" t="n"/>
      <c r="Q3108" s="7" t="inlineStr"/>
      <c r="R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8" t="n"/>
      <c r="N3109" s="7" t="inlineStr">
        <is>
          <t>SEM COTAÇÃO</t>
        </is>
      </c>
      <c r="O3109" s="8" t="n"/>
      <c r="P3109" s="14" t="n"/>
      <c r="Q3109" s="7" t="inlineStr"/>
      <c r="R3109" s="7" t="inlineStr"/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8" t="n"/>
      <c r="N3110" s="7" t="inlineStr">
        <is>
          <t>SEM COTAÇÃO</t>
        </is>
      </c>
      <c r="O3110" s="8" t="n"/>
      <c r="P3110" s="14" t="n"/>
      <c r="Q3110" s="7" t="inlineStr"/>
      <c r="R3110" s="7" t="inlineStr">
        <is>
          <t>EPAN: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8" t="n"/>
      <c r="N3111" s="7" t="inlineStr">
        <is>
          <t>SEM COTAÇÃO</t>
        </is>
      </c>
      <c r="O3111" s="8" t="n"/>
      <c r="P3111" s="14" t="n"/>
      <c r="Q3111" s="7" t="inlineStr"/>
      <c r="R3111" s="7" t="inlineStr">
        <is>
          <t>EPAN: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8" t="n"/>
      <c r="N3112" s="7" t="inlineStr">
        <is>
          <t>SEM COTAÇÃO</t>
        </is>
      </c>
      <c r="O3112" s="8" t="n"/>
      <c r="P3112" s="14" t="n"/>
      <c r="Q3112" s="7" t="inlineStr"/>
      <c r="R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8" t="n"/>
      <c r="N3113" s="7" t="inlineStr">
        <is>
          <t>EPAN</t>
        </is>
      </c>
      <c r="O3113" s="8" t="n">
        <v>17.13</v>
      </c>
      <c r="P3113" s="14">
        <f>O3113/H3113-1</f>
        <v/>
      </c>
      <c r="Q3113" s="17" t="inlineStr">
        <is>
          <t>OK (≤ menor hist.)</t>
        </is>
      </c>
      <c r="R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8" t="n"/>
      <c r="N3114" s="7" t="inlineStr">
        <is>
          <t>SEM COTAÇÃO</t>
        </is>
      </c>
      <c r="O3114" s="8" t="n"/>
      <c r="P3114" s="14" t="n"/>
      <c r="Q3114" s="7" t="inlineStr"/>
      <c r="R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8" t="n"/>
      <c r="N3115" s="7" t="inlineStr">
        <is>
          <t>SEM COTAÇÃO</t>
        </is>
      </c>
      <c r="O3115" s="8" t="n"/>
      <c r="P3115" s="14" t="n"/>
      <c r="Q3115" s="7" t="inlineStr"/>
      <c r="R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8" t="n"/>
      <c r="N3116" s="7" t="inlineStr">
        <is>
          <t>SEM COTAÇÃO</t>
        </is>
      </c>
      <c r="O3116" s="8" t="n"/>
      <c r="P3116" s="14" t="n"/>
      <c r="Q3116" s="7" t="inlineStr"/>
      <c r="R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8" t="n"/>
      <c r="N3117" s="7" t="inlineStr">
        <is>
          <t>SEM COTAÇÃO</t>
        </is>
      </c>
      <c r="O3117" s="8" t="n"/>
      <c r="P3117" s="14" t="n"/>
      <c r="Q3117" s="7" t="inlineStr"/>
      <c r="R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8" t="n"/>
      <c r="M3118" s="8" t="n">
        <v>1.44</v>
      </c>
      <c r="N3118" s="7" t="inlineStr">
        <is>
          <t>DIMEC</t>
        </is>
      </c>
      <c r="O3118" s="8" t="n">
        <v>1.37</v>
      </c>
      <c r="P3118" s="14">
        <f>O3118/H3118-1</f>
        <v/>
      </c>
      <c r="Q3118" s="16" t="inlineStr">
        <is>
          <t>ACIMA +24.5%</t>
        </is>
      </c>
      <c r="R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8" t="n"/>
      <c r="N3119" s="7" t="inlineStr">
        <is>
          <t>SEM COTAÇÃO</t>
        </is>
      </c>
      <c r="O3119" s="8" t="n"/>
      <c r="P3119" s="14" t="n"/>
      <c r="Q3119" s="7" t="inlineStr"/>
      <c r="R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8" t="n"/>
      <c r="N3120" s="7" t="inlineStr">
        <is>
          <t>SEM COTAÇÃO</t>
        </is>
      </c>
      <c r="O3120" s="8" t="n"/>
      <c r="P3120" s="14" t="n"/>
      <c r="Q3120" s="7" t="inlineStr"/>
      <c r="R3120" s="7" t="inlineStr"/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8" t="n"/>
      <c r="N3121" s="7" t="inlineStr">
        <is>
          <t>SEM COTAÇÃO</t>
        </is>
      </c>
      <c r="O3121" s="8" t="n"/>
      <c r="P3121" s="14" t="n"/>
      <c r="Q3121" s="7" t="inlineStr"/>
      <c r="R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8" t="n"/>
      <c r="N3122" s="7" t="inlineStr">
        <is>
          <t>SEM COTAÇÃO</t>
        </is>
      </c>
      <c r="O3122" s="8" t="n"/>
      <c r="P3122" s="14" t="n"/>
      <c r="Q3122" s="7" t="inlineStr"/>
      <c r="R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8" t="n"/>
      <c r="N3123" s="7" t="inlineStr">
        <is>
          <t>SEM COTAÇÃO</t>
        </is>
      </c>
      <c r="O3123" s="8" t="n"/>
      <c r="P3123" s="14" t="n"/>
      <c r="Q3123" s="7" t="inlineStr"/>
      <c r="R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8" t="n"/>
      <c r="N3124" s="7" t="inlineStr">
        <is>
          <t>SEM COTAÇÃO</t>
        </is>
      </c>
      <c r="O3124" s="8" t="n"/>
      <c r="P3124" s="14" t="n"/>
      <c r="Q3124" s="7" t="inlineStr"/>
      <c r="R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8" t="n"/>
      <c r="N3125" s="7" t="inlineStr">
        <is>
          <t>SEM COTAÇÃO</t>
        </is>
      </c>
      <c r="O3125" s="8" t="n"/>
      <c r="P3125" s="14" t="n"/>
      <c r="Q3125" s="7" t="inlineStr"/>
      <c r="R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8" t="n"/>
      <c r="N3126" s="7" t="inlineStr">
        <is>
          <t>SEM COTAÇÃO</t>
        </is>
      </c>
      <c r="O3126" s="8" t="n"/>
      <c r="P3126" s="14" t="n"/>
      <c r="Q3126" s="7" t="inlineStr"/>
      <c r="R3126" s="7" t="inlineStr"/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8" t="n"/>
      <c r="N3127" s="7" t="inlineStr">
        <is>
          <t>SEM COTAÇÃO</t>
        </is>
      </c>
      <c r="O3127" s="8" t="n"/>
      <c r="P3127" s="14" t="n"/>
      <c r="Q3127" s="7" t="inlineStr"/>
      <c r="R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15" t="n">
        <v>17.78</v>
      </c>
      <c r="N3128" s="7" t="inlineStr">
        <is>
          <t>CENTROFARMA</t>
        </is>
      </c>
      <c r="O3128" s="8" t="n">
        <v>17.78</v>
      </c>
      <c r="P3128" s="14">
        <f>O3128/H3128-1</f>
        <v/>
      </c>
      <c r="Q3128" s="16" t="inlineStr">
        <is>
          <t>ACIMA +5.6%</t>
        </is>
      </c>
      <c r="R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15" t="n">
        <v>13.79</v>
      </c>
      <c r="N3129" s="7" t="inlineStr">
        <is>
          <t>CENTROFARMA</t>
        </is>
      </c>
      <c r="O3129" s="8" t="n">
        <v>13.79</v>
      </c>
      <c r="P3129" s="14">
        <f>O3129/H3129-1</f>
        <v/>
      </c>
      <c r="Q3129" s="16" t="inlineStr">
        <is>
          <t>ACIMA +5.3%</t>
        </is>
      </c>
      <c r="R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8" t="n"/>
      <c r="N3130" s="7" t="inlineStr">
        <is>
          <t>SEM COTAÇÃO</t>
        </is>
      </c>
      <c r="O3130" s="8" t="n"/>
      <c r="P3130" s="14" t="n"/>
      <c r="Q3130" s="7" t="inlineStr"/>
      <c r="R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8" t="n">
        <v>15.62</v>
      </c>
      <c r="N3131" s="7" t="inlineStr">
        <is>
          <t>PLUSFARMA</t>
        </is>
      </c>
      <c r="O3131" s="8" t="n">
        <v>15.07</v>
      </c>
      <c r="P3131" s="14">
        <f>O3131/H3131-1</f>
        <v/>
      </c>
      <c r="Q3131" s="16" t="inlineStr">
        <is>
          <t>ACIMA +23.2%</t>
        </is>
      </c>
      <c r="R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8" t="n">
        <v>7.93</v>
      </c>
      <c r="N3132" s="7" t="inlineStr">
        <is>
          <t>PLUSFARMA</t>
        </is>
      </c>
      <c r="O3132" s="8" t="n">
        <v>7.68</v>
      </c>
      <c r="P3132" s="14">
        <f>O3132/H3132-1</f>
        <v/>
      </c>
      <c r="Q3132" s="16" t="inlineStr">
        <is>
          <t>ACIMA +16.0%</t>
        </is>
      </c>
      <c r="R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8" t="n">
        <v>14.8</v>
      </c>
      <c r="L3133" s="8" t="n"/>
      <c r="M3133" s="15" t="n">
        <v>13.79</v>
      </c>
      <c r="N3133" s="7" t="inlineStr">
        <is>
          <t>CENTROFARMA</t>
        </is>
      </c>
      <c r="O3133" s="8" t="n">
        <v>13.79</v>
      </c>
      <c r="P3133" s="14">
        <f>O3133/H3133-1</f>
        <v/>
      </c>
      <c r="Q3133" s="16" t="inlineStr">
        <is>
          <t>ACIMA +6.2%</t>
        </is>
      </c>
      <c r="R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8" t="n"/>
      <c r="N3134" s="7" t="inlineStr">
        <is>
          <t>SEM COTAÇÃO</t>
        </is>
      </c>
      <c r="O3134" s="8" t="n"/>
      <c r="P3134" s="14" t="n"/>
      <c r="Q3134" s="7" t="inlineStr"/>
      <c r="R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8" t="n"/>
      <c r="N3135" s="7" t="inlineStr">
        <is>
          <t>SEM COTAÇÃO</t>
        </is>
      </c>
      <c r="O3135" s="8" t="n"/>
      <c r="P3135" s="14" t="n"/>
      <c r="Q3135" s="7" t="inlineStr"/>
      <c r="R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8" t="n"/>
      <c r="N3136" s="7" t="inlineStr">
        <is>
          <t>SEM COTAÇÃO</t>
        </is>
      </c>
      <c r="O3136" s="8" t="n"/>
      <c r="P3136" s="14" t="n"/>
      <c r="Q3136" s="7" t="inlineStr"/>
      <c r="R3136" s="7" t="inlineStr"/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8" t="n"/>
      <c r="N3137" s="7" t="inlineStr">
        <is>
          <t>SEM COTAÇÃO</t>
        </is>
      </c>
      <c r="O3137" s="8" t="n"/>
      <c r="P3137" s="14" t="n"/>
      <c r="Q3137" s="7" t="inlineStr"/>
      <c r="R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8" t="n"/>
      <c r="N3138" s="7" t="inlineStr">
        <is>
          <t>SEM COTAÇÃO</t>
        </is>
      </c>
      <c r="O3138" s="8" t="n"/>
      <c r="P3138" s="14" t="n"/>
      <c r="Q3138" s="7" t="inlineStr"/>
      <c r="R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8" t="n"/>
      <c r="N3139" s="7" t="inlineStr">
        <is>
          <t>SEM COTAÇÃO</t>
        </is>
      </c>
      <c r="O3139" s="8" t="n"/>
      <c r="P3139" s="14" t="n"/>
      <c r="Q3139" s="7" t="inlineStr"/>
      <c r="R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15" t="n">
        <v>22.84</v>
      </c>
      <c r="M3140" s="8" t="n"/>
      <c r="N3140" s="7" t="inlineStr">
        <is>
          <t>EPAN</t>
        </is>
      </c>
      <c r="O3140" s="8" t="n">
        <v>22.84</v>
      </c>
      <c r="P3140" s="14">
        <f>O3140/H3140-1</f>
        <v/>
      </c>
      <c r="Q3140" s="16" t="inlineStr">
        <is>
          <t>ACIMA +34.8%</t>
        </is>
      </c>
      <c r="R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8" t="n"/>
      <c r="N3141" s="7" t="inlineStr">
        <is>
          <t>SEM COTAÇÃO</t>
        </is>
      </c>
      <c r="O3141" s="8" t="n"/>
      <c r="P3141" s="14" t="n"/>
      <c r="Q3141" s="7" t="inlineStr"/>
      <c r="R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7" t="inlineStr">
        <is>
          <t>SEM COTAÇÃO</t>
        </is>
      </c>
      <c r="O3142" s="8" t="n"/>
      <c r="P3142" s="14" t="n"/>
      <c r="Q3142" s="7" t="inlineStr"/>
      <c r="R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8" t="n"/>
      <c r="N3143" s="7" t="inlineStr">
        <is>
          <t>SEM COTAÇÃO</t>
        </is>
      </c>
      <c r="O3143" s="8" t="n"/>
      <c r="P3143" s="14" t="n"/>
      <c r="Q3143" s="7" t="inlineStr"/>
      <c r="R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8" t="n"/>
      <c r="N3144" s="7" t="inlineStr">
        <is>
          <t>SEM COTAÇÃO</t>
        </is>
      </c>
      <c r="O3144" s="8" t="n"/>
      <c r="P3144" s="14" t="n"/>
      <c r="Q3144" s="7" t="inlineStr"/>
      <c r="R3144" s="7" t="inlineStr">
        <is>
          <t>EPAN: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8" t="n"/>
      <c r="N3145" s="7" t="inlineStr">
        <is>
          <t>EPAN</t>
        </is>
      </c>
      <c r="O3145" s="8" t="n">
        <v>26.06</v>
      </c>
      <c r="P3145" s="14">
        <f>O3145/H3145-1</f>
        <v/>
      </c>
      <c r="Q3145" s="17" t="inlineStr">
        <is>
          <t>OK (≤ menor hist.)</t>
        </is>
      </c>
      <c r="R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8" t="n"/>
      <c r="N3146" s="7" t="inlineStr">
        <is>
          <t>SEM COTAÇÃO</t>
        </is>
      </c>
      <c r="O3146" s="8" t="n"/>
      <c r="P3146" s="14" t="n"/>
      <c r="Q3146" s="7" t="inlineStr"/>
      <c r="R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8" t="n"/>
      <c r="N3147" s="7" t="inlineStr">
        <is>
          <t>SEM COTAÇÃO</t>
        </is>
      </c>
      <c r="O3147" s="8" t="n"/>
      <c r="P3147" s="14" t="n"/>
      <c r="Q3147" s="7" t="inlineStr"/>
      <c r="R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8" t="n"/>
      <c r="N3148" s="7" t="inlineStr">
        <is>
          <t>SEM COTAÇÃO</t>
        </is>
      </c>
      <c r="O3148" s="8" t="n"/>
      <c r="P3148" s="14" t="n"/>
      <c r="Q3148" s="7" t="inlineStr"/>
      <c r="R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8" t="n"/>
      <c r="N3149" s="7" t="inlineStr">
        <is>
          <t>SEM COTAÇÃO</t>
        </is>
      </c>
      <c r="O3149" s="8" t="n"/>
      <c r="P3149" s="14" t="n"/>
      <c r="Q3149" s="7" t="inlineStr"/>
      <c r="R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8" t="n"/>
      <c r="N3150" s="7" t="inlineStr">
        <is>
          <t>SEM COTAÇÃO</t>
        </is>
      </c>
      <c r="O3150" s="8" t="n"/>
      <c r="P3150" s="14" t="n"/>
      <c r="Q3150" s="7" t="inlineStr"/>
      <c r="R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8" t="n"/>
      <c r="N3151" s="7" t="inlineStr">
        <is>
          <t>SEM COTAÇÃO</t>
        </is>
      </c>
      <c r="O3151" s="8" t="n"/>
      <c r="P3151" s="14" t="n"/>
      <c r="Q3151" s="7" t="inlineStr"/>
      <c r="R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8" t="n"/>
      <c r="N3152" s="7" t="inlineStr">
        <is>
          <t>SEM COTAÇÃO</t>
        </is>
      </c>
      <c r="O3152" s="8" t="n"/>
      <c r="P3152" s="14" t="n"/>
      <c r="Q3152" s="7" t="inlineStr"/>
      <c r="R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8" t="n"/>
      <c r="N3153" s="7" t="inlineStr">
        <is>
          <t>SEM COTAÇÃO</t>
        </is>
      </c>
      <c r="O3153" s="8" t="n"/>
      <c r="P3153" s="14" t="n"/>
      <c r="Q3153" s="7" t="inlineStr"/>
      <c r="R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8" t="n"/>
      <c r="N3154" s="7" t="inlineStr">
        <is>
          <t>SEM COTAÇÃO</t>
        </is>
      </c>
      <c r="O3154" s="8" t="n"/>
      <c r="P3154" s="14" t="n"/>
      <c r="Q3154" s="7" t="inlineStr"/>
      <c r="R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8" t="n"/>
      <c r="N3155" s="7" t="inlineStr">
        <is>
          <t>SEM COTAÇÃO</t>
        </is>
      </c>
      <c r="O3155" s="8" t="n"/>
      <c r="P3155" s="14" t="n"/>
      <c r="Q3155" s="7" t="inlineStr"/>
      <c r="R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8" t="n"/>
      <c r="N3156" s="7" t="inlineStr">
        <is>
          <t>SEM COTAÇÃO</t>
        </is>
      </c>
      <c r="O3156" s="8" t="n"/>
      <c r="P3156" s="14" t="n"/>
      <c r="Q3156" s="7" t="inlineStr"/>
      <c r="R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8" t="n"/>
      <c r="N3157" s="7" t="inlineStr">
        <is>
          <t>SEM COTAÇÃO</t>
        </is>
      </c>
      <c r="O3157" s="8" t="n"/>
      <c r="P3157" s="14" t="n"/>
      <c r="Q3157" s="7" t="inlineStr"/>
      <c r="R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8" t="n"/>
      <c r="N3158" s="7" t="inlineStr">
        <is>
          <t>SEM COTAÇÃO</t>
        </is>
      </c>
      <c r="O3158" s="8" t="n"/>
      <c r="P3158" s="14" t="n"/>
      <c r="Q3158" s="7" t="inlineStr"/>
      <c r="R3158" s="7" t="inlineStr"/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8" t="n"/>
      <c r="N3159" s="7" t="inlineStr">
        <is>
          <t>SEM COTAÇÃO</t>
        </is>
      </c>
      <c r="O3159" s="8" t="n"/>
      <c r="P3159" s="14" t="n"/>
      <c r="Q3159" s="7" t="inlineStr"/>
      <c r="R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8" t="n"/>
      <c r="N3160" s="7" t="inlineStr">
        <is>
          <t>SEM COTAÇÃO</t>
        </is>
      </c>
      <c r="O3160" s="8" t="n"/>
      <c r="P3160" s="14" t="n"/>
      <c r="Q3160" s="7" t="inlineStr"/>
      <c r="R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8" t="n"/>
      <c r="N3161" s="7" t="inlineStr">
        <is>
          <t>SEM COTAÇÃO</t>
        </is>
      </c>
      <c r="O3161" s="8" t="n"/>
      <c r="P3161" s="14" t="n"/>
      <c r="Q3161" s="7" t="inlineStr"/>
      <c r="R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8" t="n"/>
      <c r="N3162" s="7" t="inlineStr">
        <is>
          <t>SEM COTAÇÃO</t>
        </is>
      </c>
      <c r="O3162" s="8" t="n"/>
      <c r="P3162" s="14" t="n"/>
      <c r="Q3162" s="7" t="inlineStr"/>
      <c r="R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8" t="n"/>
      <c r="N3163" s="7" t="inlineStr">
        <is>
          <t>SEM COTAÇÃO</t>
        </is>
      </c>
      <c r="O3163" s="8" t="n"/>
      <c r="P3163" s="14" t="n"/>
      <c r="Q3163" s="7" t="inlineStr"/>
      <c r="R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8" t="n"/>
      <c r="N3164" s="7" t="inlineStr">
        <is>
          <t>SEM COTAÇÃO</t>
        </is>
      </c>
      <c r="O3164" s="8" t="n"/>
      <c r="P3164" s="14" t="n"/>
      <c r="Q3164" s="7" t="inlineStr"/>
      <c r="R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8" t="n"/>
      <c r="N3165" s="7" t="inlineStr">
        <is>
          <t>SEM COTAÇÃO</t>
        </is>
      </c>
      <c r="O3165" s="8" t="n"/>
      <c r="P3165" s="14" t="n"/>
      <c r="Q3165" s="7" t="inlineStr"/>
      <c r="R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8" t="n"/>
      <c r="N3166" s="7" t="inlineStr">
        <is>
          <t>SEM COTAÇÃO</t>
        </is>
      </c>
      <c r="O3166" s="8" t="n"/>
      <c r="P3166" s="14" t="n"/>
      <c r="Q3166" s="7" t="inlineStr"/>
      <c r="R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8" t="n"/>
      <c r="N3167" s="7" t="inlineStr">
        <is>
          <t>SEM COTAÇÃO</t>
        </is>
      </c>
      <c r="O3167" s="8" t="n"/>
      <c r="P3167" s="14" t="n"/>
      <c r="Q3167" s="7" t="inlineStr"/>
      <c r="R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8" t="n"/>
      <c r="N3168" s="7" t="inlineStr">
        <is>
          <t>SEM COTAÇÃO</t>
        </is>
      </c>
      <c r="O3168" s="8" t="n"/>
      <c r="P3168" s="14" t="n"/>
      <c r="Q3168" s="7" t="inlineStr"/>
      <c r="R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8" t="n"/>
      <c r="N3169" s="7" t="inlineStr">
        <is>
          <t>SEM COTAÇÃO</t>
        </is>
      </c>
      <c r="O3169" s="8" t="n"/>
      <c r="P3169" s="14" t="n"/>
      <c r="Q3169" s="7" t="inlineStr"/>
      <c r="R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8" t="n"/>
      <c r="N3170" s="7" t="inlineStr">
        <is>
          <t>SEM COTAÇÃO</t>
        </is>
      </c>
      <c r="O3170" s="8" t="n"/>
      <c r="P3170" s="14" t="n"/>
      <c r="Q3170" s="7" t="inlineStr"/>
      <c r="R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15" t="n">
        <v>4.61</v>
      </c>
      <c r="N3171" s="7" t="inlineStr">
        <is>
          <t>CENTROFARMA</t>
        </is>
      </c>
      <c r="O3171" s="8" t="n">
        <v>4.61</v>
      </c>
      <c r="P3171" s="14">
        <f>O3171/H3171-1</f>
        <v/>
      </c>
      <c r="Q3171" s="17" t="inlineStr">
        <is>
          <t>OK (≤ menor hist.)</t>
        </is>
      </c>
      <c r="R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8" t="n"/>
      <c r="N3172" s="7" t="inlineStr">
        <is>
          <t>SEM COTAÇÃO</t>
        </is>
      </c>
      <c r="O3172" s="8" t="n"/>
      <c r="P3172" s="14" t="n"/>
      <c r="Q3172" s="7" t="inlineStr"/>
      <c r="R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8" t="n"/>
      <c r="N3173" s="7" t="inlineStr">
        <is>
          <t>SEM COTAÇÃO</t>
        </is>
      </c>
      <c r="O3173" s="8" t="n"/>
      <c r="P3173" s="14" t="n"/>
      <c r="Q3173" s="7" t="inlineStr"/>
      <c r="R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8" t="n"/>
      <c r="N3174" s="7" t="inlineStr">
        <is>
          <t>SEM COTAÇÃO</t>
        </is>
      </c>
      <c r="O3174" s="8" t="n"/>
      <c r="P3174" s="14" t="n"/>
      <c r="Q3174" s="7" t="inlineStr"/>
      <c r="R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8" t="n"/>
      <c r="N3175" s="7" t="inlineStr">
        <is>
          <t>SEM COTAÇÃO</t>
        </is>
      </c>
      <c r="O3175" s="8" t="n"/>
      <c r="P3175" s="14" t="n"/>
      <c r="Q3175" s="7" t="inlineStr"/>
      <c r="R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8" t="n"/>
      <c r="N3176" s="7" t="inlineStr">
        <is>
          <t>SEM COTAÇÃO</t>
        </is>
      </c>
      <c r="O3176" s="8" t="n"/>
      <c r="P3176" s="14" t="n"/>
      <c r="Q3176" s="7" t="inlineStr"/>
      <c r="R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8" t="n"/>
      <c r="N3177" s="7" t="inlineStr">
        <is>
          <t>SEM COTAÇÃO</t>
        </is>
      </c>
      <c r="O3177" s="8" t="n"/>
      <c r="P3177" s="14" t="n"/>
      <c r="Q3177" s="7" t="inlineStr"/>
      <c r="R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8" t="n"/>
      <c r="N3178" s="7" t="inlineStr">
        <is>
          <t>SEM COTAÇÃO</t>
        </is>
      </c>
      <c r="O3178" s="8" t="n"/>
      <c r="P3178" s="14" t="n"/>
      <c r="Q3178" s="7" t="inlineStr"/>
      <c r="R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8" t="n"/>
      <c r="N3179" s="7" t="inlineStr">
        <is>
          <t>SEM COTAÇÃO</t>
        </is>
      </c>
      <c r="O3179" s="8" t="n"/>
      <c r="P3179" s="14" t="n"/>
      <c r="Q3179" s="7" t="inlineStr"/>
      <c r="R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8" t="n"/>
      <c r="N3180" s="7" t="inlineStr">
        <is>
          <t>SEM COTAÇÃO</t>
        </is>
      </c>
      <c r="O3180" s="8" t="n"/>
      <c r="P3180" s="14" t="n"/>
      <c r="Q3180" s="7" t="inlineStr"/>
      <c r="R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8" t="n"/>
      <c r="N3181" s="7" t="inlineStr">
        <is>
          <t>SEM COTAÇÃO</t>
        </is>
      </c>
      <c r="O3181" s="8" t="n"/>
      <c r="P3181" s="14" t="n"/>
      <c r="Q3181" s="7" t="inlineStr"/>
      <c r="R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8" t="n"/>
      <c r="N3182" s="7" t="inlineStr">
        <is>
          <t>DIMEC</t>
        </is>
      </c>
      <c r="O3182" s="8" t="n">
        <v>7.59</v>
      </c>
      <c r="P3182" s="14">
        <f>O3182/H3182-1</f>
        <v/>
      </c>
      <c r="Q3182" s="17" t="inlineStr">
        <is>
          <t>OK (≤ menor hist.)</t>
        </is>
      </c>
      <c r="R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8" t="n"/>
      <c r="N3183" s="7" t="inlineStr">
        <is>
          <t>SEM COTAÇÃO</t>
        </is>
      </c>
      <c r="O3183" s="8" t="n"/>
      <c r="P3183" s="14" t="n"/>
      <c r="Q3183" s="7" t="inlineStr"/>
      <c r="R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8" t="n"/>
      <c r="N3184" s="7" t="inlineStr">
        <is>
          <t>SEM COTAÇÃO</t>
        </is>
      </c>
      <c r="O3184" s="8" t="n"/>
      <c r="P3184" s="14" t="n"/>
      <c r="Q3184" s="7" t="inlineStr"/>
      <c r="R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8" t="n"/>
      <c r="N3185" s="7" t="inlineStr">
        <is>
          <t>DIMEC</t>
        </is>
      </c>
      <c r="O3185" s="8" t="n">
        <v>7.16</v>
      </c>
      <c r="P3185" s="14">
        <f>O3185/H3185-1</f>
        <v/>
      </c>
      <c r="Q3185" s="17" t="inlineStr">
        <is>
          <t>OK (≤ menor hist.)</t>
        </is>
      </c>
      <c r="R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8" t="n"/>
      <c r="N3186" s="7" t="inlineStr">
        <is>
          <t>SEM COTAÇÃO</t>
        </is>
      </c>
      <c r="O3186" s="8" t="n"/>
      <c r="P3186" s="14" t="n"/>
      <c r="Q3186" s="7" t="inlineStr"/>
      <c r="R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8" t="n"/>
      <c r="N3187" s="7" t="inlineStr">
        <is>
          <t>SEM COTAÇÃO</t>
        </is>
      </c>
      <c r="O3187" s="8" t="n"/>
      <c r="P3187" s="14" t="n"/>
      <c r="Q3187" s="7" t="inlineStr"/>
      <c r="R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8" t="n"/>
      <c r="N3188" s="7" t="inlineStr">
        <is>
          <t>DIMEC</t>
        </is>
      </c>
      <c r="O3188" s="8" t="n">
        <v>3.6</v>
      </c>
      <c r="P3188" s="14">
        <f>O3188/H3188-1</f>
        <v/>
      </c>
      <c r="Q3188" s="17" t="inlineStr">
        <is>
          <t>OK (≤ menor hist.)</t>
        </is>
      </c>
      <c r="R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8" t="n"/>
      <c r="N3189" s="7" t="inlineStr">
        <is>
          <t>DIMEC</t>
        </is>
      </c>
      <c r="O3189" s="8" t="n">
        <v>5.79</v>
      </c>
      <c r="P3189" s="14">
        <f>O3189/H3189-1</f>
        <v/>
      </c>
      <c r="Q3189" s="16" t="inlineStr">
        <is>
          <t>ACIMA +6.2%</t>
        </is>
      </c>
      <c r="R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8" t="n"/>
      <c r="N3190" s="7" t="inlineStr">
        <is>
          <t>DIMEC</t>
        </is>
      </c>
      <c r="O3190" s="8" t="n">
        <v>5.3</v>
      </c>
      <c r="P3190" s="14">
        <f>O3190/H3190-1</f>
        <v/>
      </c>
      <c r="Q3190" s="16" t="inlineStr">
        <is>
          <t>ACIMA +1.5%</t>
        </is>
      </c>
      <c r="R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8" t="n"/>
      <c r="N3191" s="7" t="inlineStr">
        <is>
          <t>DIMEC</t>
        </is>
      </c>
      <c r="O3191" s="8" t="n">
        <v>8.67</v>
      </c>
      <c r="P3191" s="14">
        <f>O3191/H3191-1</f>
        <v/>
      </c>
      <c r="Q3191" s="17" t="inlineStr">
        <is>
          <t>OK (≤ menor hist.)</t>
        </is>
      </c>
      <c r="R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8" t="n">
        <v>7.92</v>
      </c>
      <c r="N3192" s="7" t="inlineStr">
        <is>
          <t>DIMEC</t>
        </is>
      </c>
      <c r="O3192" s="8" t="n">
        <v>6.89</v>
      </c>
      <c r="P3192" s="14">
        <f>O3192/H3192-1</f>
        <v/>
      </c>
      <c r="Q3192" s="16" t="inlineStr">
        <is>
          <t>ACIMA +21.7%</t>
        </is>
      </c>
      <c r="R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8" t="n"/>
      <c r="N3193" s="7" t="inlineStr">
        <is>
          <t>SEM COTAÇÃO</t>
        </is>
      </c>
      <c r="O3193" s="8" t="n"/>
      <c r="P3193" s="14" t="n"/>
      <c r="Q3193" s="7" t="inlineStr"/>
      <c r="R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15" t="n">
        <v>4.73</v>
      </c>
      <c r="N3194" s="7" t="inlineStr">
        <is>
          <t>CENTROFARMA</t>
        </is>
      </c>
      <c r="O3194" s="8" t="n">
        <v>4.73</v>
      </c>
      <c r="P3194" s="14">
        <f>O3194/H3194-1</f>
        <v/>
      </c>
      <c r="Q3194" s="16" t="inlineStr">
        <is>
          <t>ACIMA +9.7%</t>
        </is>
      </c>
      <c r="R3194" s="7" t="inlineStr"/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8" t="n"/>
      <c r="N3195" s="7" t="inlineStr">
        <is>
          <t>SEM COTAÇÃO</t>
        </is>
      </c>
      <c r="O3195" s="8" t="n"/>
      <c r="P3195" s="14" t="n"/>
      <c r="Q3195" s="7" t="inlineStr"/>
      <c r="R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8" t="n"/>
      <c r="N3196" s="7" t="inlineStr">
        <is>
          <t>SEM COTAÇÃO</t>
        </is>
      </c>
      <c r="O3196" s="8" t="n"/>
      <c r="P3196" s="14" t="n"/>
      <c r="Q3196" s="7" t="inlineStr"/>
      <c r="R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8" t="n"/>
      <c r="N3197" s="7" t="inlineStr">
        <is>
          <t>SEM COTAÇÃO</t>
        </is>
      </c>
      <c r="O3197" s="8" t="n"/>
      <c r="P3197" s="14" t="n"/>
      <c r="Q3197" s="7" t="inlineStr"/>
      <c r="R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8" t="n"/>
      <c r="N3198" s="7" t="inlineStr">
        <is>
          <t>SEM COTAÇÃO</t>
        </is>
      </c>
      <c r="O3198" s="8" t="n"/>
      <c r="P3198" s="14" t="n"/>
      <c r="Q3198" s="7" t="inlineStr"/>
      <c r="R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8" t="n"/>
      <c r="N3199" s="7" t="inlineStr">
        <is>
          <t>SEM COTAÇÃO</t>
        </is>
      </c>
      <c r="O3199" s="8" t="n"/>
      <c r="P3199" s="14" t="n"/>
      <c r="Q3199" s="7" t="inlineStr"/>
      <c r="R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8" t="n"/>
      <c r="N3200" s="7" t="inlineStr">
        <is>
          <t>SEM COTAÇÃO</t>
        </is>
      </c>
      <c r="O3200" s="8" t="n"/>
      <c r="P3200" s="14" t="n"/>
      <c r="Q3200" s="7" t="inlineStr"/>
      <c r="R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8" t="n"/>
      <c r="N3201" s="7" t="inlineStr">
        <is>
          <t>SEM COTAÇÃO</t>
        </is>
      </c>
      <c r="O3201" s="8" t="n"/>
      <c r="P3201" s="14" t="n"/>
      <c r="Q3201" s="7" t="inlineStr"/>
      <c r="R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8" t="n"/>
      <c r="N3202" s="7" t="inlineStr">
        <is>
          <t>SEM COTAÇÃO</t>
        </is>
      </c>
      <c r="O3202" s="8" t="n"/>
      <c r="P3202" s="14" t="n"/>
      <c r="Q3202" s="7" t="inlineStr"/>
      <c r="R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8" t="n"/>
      <c r="N3203" s="7" t="inlineStr">
        <is>
          <t>SEM COTAÇÃO</t>
        </is>
      </c>
      <c r="O3203" s="8" t="n"/>
      <c r="P3203" s="14" t="n"/>
      <c r="Q3203" s="7" t="inlineStr"/>
      <c r="R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8" t="n"/>
      <c r="N3204" s="7" t="inlineStr">
        <is>
          <t>SEM COTAÇÃO</t>
        </is>
      </c>
      <c r="O3204" s="8" t="n"/>
      <c r="P3204" s="14" t="n"/>
      <c r="Q3204" s="7" t="inlineStr"/>
      <c r="R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8" t="n"/>
      <c r="N3205" s="7" t="inlineStr">
        <is>
          <t>SEM COTAÇÃO</t>
        </is>
      </c>
      <c r="O3205" s="8" t="n"/>
      <c r="P3205" s="14" t="n"/>
      <c r="Q3205" s="7" t="inlineStr"/>
      <c r="R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8" t="n"/>
      <c r="N3206" s="7" t="inlineStr">
        <is>
          <t>SEM COTAÇÃO</t>
        </is>
      </c>
      <c r="O3206" s="8" t="n"/>
      <c r="P3206" s="14" t="n"/>
      <c r="Q3206" s="7" t="inlineStr"/>
      <c r="R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8" t="n"/>
      <c r="N3207" s="7" t="inlineStr">
        <is>
          <t>SEM COTAÇÃO</t>
        </is>
      </c>
      <c r="O3207" s="8" t="n"/>
      <c r="P3207" s="14" t="n"/>
      <c r="Q3207" s="7" t="inlineStr"/>
      <c r="R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8" t="n"/>
      <c r="N3208" s="7" t="inlineStr">
        <is>
          <t>SEM COTAÇÃO</t>
        </is>
      </c>
      <c r="O3208" s="8" t="n"/>
      <c r="P3208" s="14" t="n"/>
      <c r="Q3208" s="7" t="inlineStr"/>
      <c r="R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8" t="n"/>
      <c r="N3209" s="7" t="inlineStr">
        <is>
          <t>SEM COTAÇÃO</t>
        </is>
      </c>
      <c r="O3209" s="8" t="n"/>
      <c r="P3209" s="14" t="n"/>
      <c r="Q3209" s="7" t="inlineStr"/>
      <c r="R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8" t="n"/>
      <c r="N3210" s="7" t="inlineStr">
        <is>
          <t>SEM COTAÇÃO</t>
        </is>
      </c>
      <c r="O3210" s="8" t="n"/>
      <c r="P3210" s="14" t="n"/>
      <c r="Q3210" s="7" t="inlineStr"/>
      <c r="R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8" t="n"/>
      <c r="N3211" s="7" t="inlineStr">
        <is>
          <t>SEM COTAÇÃO</t>
        </is>
      </c>
      <c r="O3211" s="8" t="n"/>
      <c r="P3211" s="14" t="n"/>
      <c r="Q3211" s="7" t="inlineStr"/>
      <c r="R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8" t="n"/>
      <c r="N3212" s="7" t="inlineStr">
        <is>
          <t>SEM COTAÇÃO</t>
        </is>
      </c>
      <c r="O3212" s="8" t="n"/>
      <c r="P3212" s="14" t="n"/>
      <c r="Q3212" s="7" t="inlineStr"/>
      <c r="R3212" s="7" t="inlineStr"/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8" t="n"/>
      <c r="N3213" s="7" t="inlineStr">
        <is>
          <t>SEM COTAÇÃO</t>
        </is>
      </c>
      <c r="O3213" s="8" t="n"/>
      <c r="P3213" s="14" t="n"/>
      <c r="Q3213" s="7" t="inlineStr"/>
      <c r="R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8" t="n">
        <v>14.59</v>
      </c>
      <c r="N3214" s="7" t="inlineStr">
        <is>
          <t>PLUSFARMA</t>
        </is>
      </c>
      <c r="O3214" s="8" t="n">
        <v>14.13</v>
      </c>
      <c r="P3214" s="14">
        <f>O3214/H3214-1</f>
        <v/>
      </c>
      <c r="Q3214" s="16" t="inlineStr">
        <is>
          <t>ACIMA +20.1%</t>
        </is>
      </c>
      <c r="R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8" t="n"/>
      <c r="N3215" s="7" t="inlineStr">
        <is>
          <t>SEM COTAÇÃO</t>
        </is>
      </c>
      <c r="O3215" s="8" t="n"/>
      <c r="P3215" s="14" t="n"/>
      <c r="Q3215" s="7" t="inlineStr"/>
      <c r="R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8" t="n">
        <v>20.61</v>
      </c>
      <c r="L3216" s="8" t="n"/>
      <c r="M3216" s="15" t="n">
        <v>20.42</v>
      </c>
      <c r="N3216" s="7" t="inlineStr">
        <is>
          <t>CENTROFARMA</t>
        </is>
      </c>
      <c r="O3216" s="8" t="n">
        <v>20.42</v>
      </c>
      <c r="P3216" s="14">
        <f>O3216/H3216-1</f>
        <v/>
      </c>
      <c r="Q3216" s="16" t="inlineStr">
        <is>
          <t>ACIMA +19.2%</t>
        </is>
      </c>
      <c r="R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8" t="n"/>
      <c r="N3217" s="7" t="inlineStr">
        <is>
          <t>SEM COTAÇÃO</t>
        </is>
      </c>
      <c r="O3217" s="8" t="n"/>
      <c r="P3217" s="14" t="n"/>
      <c r="Q3217" s="7" t="inlineStr"/>
      <c r="R3217" s="7" t="inlineStr">
        <is>
          <t>EPAN: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8" t="n"/>
      <c r="N3218" s="7" t="inlineStr">
        <is>
          <t>SEM COTAÇÃO</t>
        </is>
      </c>
      <c r="O3218" s="8" t="n"/>
      <c r="P3218" s="14" t="n"/>
      <c r="Q3218" s="7" t="inlineStr"/>
      <c r="R3218" s="7" t="inlineStr"/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8" t="n"/>
      <c r="N3219" s="7" t="inlineStr">
        <is>
          <t>EPAN</t>
        </is>
      </c>
      <c r="O3219" s="8" t="n">
        <v>18.94</v>
      </c>
      <c r="P3219" s="14">
        <f>O3219/H3219-1</f>
        <v/>
      </c>
      <c r="Q3219" s="17" t="inlineStr">
        <is>
          <t>OK (≤ últ. compra)</t>
        </is>
      </c>
      <c r="R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8" t="n">
        <v>34.48</v>
      </c>
      <c r="N3220" s="7" t="inlineStr">
        <is>
          <t>EPAN</t>
        </is>
      </c>
      <c r="O3220" s="8" t="n">
        <v>19.03</v>
      </c>
      <c r="P3220" s="14">
        <f>O3220/H3220-1</f>
        <v/>
      </c>
      <c r="Q3220" s="17" t="inlineStr">
        <is>
          <t>OK (≤ menor hist.)</t>
        </is>
      </c>
      <c r="R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15" t="n">
        <v>30.14</v>
      </c>
      <c r="N3221" s="7" t="inlineStr">
        <is>
          <t>CENTROFARMA</t>
        </is>
      </c>
      <c r="O3221" s="8" t="n">
        <v>30.14</v>
      </c>
      <c r="P3221" s="14">
        <f>O3221/H3221-1</f>
        <v/>
      </c>
      <c r="Q3221" s="16" t="inlineStr">
        <is>
          <t>ACIMA +50.0%</t>
        </is>
      </c>
      <c r="R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8" t="n"/>
      <c r="N3222" s="7" t="inlineStr">
        <is>
          <t>SEM COTAÇÃO</t>
        </is>
      </c>
      <c r="O3222" s="8" t="n"/>
      <c r="P3222" s="14" t="n"/>
      <c r="Q3222" s="7" t="inlineStr"/>
      <c r="R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8" t="n"/>
      <c r="N3223" s="7" t="inlineStr">
        <is>
          <t>SEM COTAÇÃO</t>
        </is>
      </c>
      <c r="O3223" s="8" t="n"/>
      <c r="P3223" s="14" t="n"/>
      <c r="Q3223" s="7" t="inlineStr"/>
      <c r="R3223" s="7" t="inlineStr"/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8" t="n"/>
      <c r="N3224" s="7" t="inlineStr">
        <is>
          <t>SEM COTAÇÃO</t>
        </is>
      </c>
      <c r="O3224" s="8" t="n"/>
      <c r="P3224" s="14" t="n"/>
      <c r="Q3224" s="7" t="inlineStr"/>
      <c r="R3224" s="7" t="inlineStr"/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8" t="n"/>
      <c r="N3225" s="7" t="inlineStr">
        <is>
          <t>SEM COTAÇÃO</t>
        </is>
      </c>
      <c r="O3225" s="8" t="n"/>
      <c r="P3225" s="14" t="n"/>
      <c r="Q3225" s="7" t="inlineStr"/>
      <c r="R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15" t="n">
        <v>15.01</v>
      </c>
      <c r="N3226" s="7" t="inlineStr">
        <is>
          <t>CENTROFARMA</t>
        </is>
      </c>
      <c r="O3226" s="8" t="n">
        <v>15.01</v>
      </c>
      <c r="P3226" s="14">
        <f>O3226/H3226-1</f>
        <v/>
      </c>
      <c r="Q3226" s="16" t="inlineStr">
        <is>
          <t>ACIMA +65.1%</t>
        </is>
      </c>
      <c r="R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15" t="n">
        <v>67.69</v>
      </c>
      <c r="M3227" s="8" t="n"/>
      <c r="N3227" s="7" t="inlineStr">
        <is>
          <t>EPAN</t>
        </is>
      </c>
      <c r="O3227" s="8" t="n">
        <v>67.69</v>
      </c>
      <c r="P3227" s="14">
        <f>O3227/H3227-1</f>
        <v/>
      </c>
      <c r="Q3227" s="17" t="inlineStr">
        <is>
          <t>OK (≤ menor hist.)</t>
        </is>
      </c>
      <c r="R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8" t="n"/>
      <c r="N3228" s="7" t="inlineStr">
        <is>
          <t>SEM COTAÇÃO</t>
        </is>
      </c>
      <c r="O3228" s="8" t="n"/>
      <c r="P3228" s="14" t="n"/>
      <c r="Q3228" s="7" t="inlineStr"/>
      <c r="R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8" t="n"/>
      <c r="N3229" s="7" t="inlineStr">
        <is>
          <t>SEM COTAÇÃO</t>
        </is>
      </c>
      <c r="O3229" s="8" t="n"/>
      <c r="P3229" s="14" t="n"/>
      <c r="Q3229" s="7" t="inlineStr"/>
      <c r="R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8" t="n"/>
      <c r="N3230" s="7" t="inlineStr">
        <is>
          <t>SEM COTAÇÃO</t>
        </is>
      </c>
      <c r="O3230" s="8" t="n"/>
      <c r="P3230" s="14" t="n"/>
      <c r="Q3230" s="7" t="inlineStr"/>
      <c r="R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8" t="n"/>
      <c r="N3231" s="7" t="inlineStr">
        <is>
          <t>SEM COTAÇÃO</t>
        </is>
      </c>
      <c r="O3231" s="8" t="n"/>
      <c r="P3231" s="14" t="n"/>
      <c r="Q3231" s="7" t="inlineStr"/>
      <c r="R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8" t="n"/>
      <c r="N3232" s="7" t="inlineStr">
        <is>
          <t>SEM COTAÇÃO</t>
        </is>
      </c>
      <c r="O3232" s="8" t="n"/>
      <c r="P3232" s="14" t="n"/>
      <c r="Q3232" s="7" t="inlineStr"/>
      <c r="R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8" t="n"/>
      <c r="N3233" s="7" t="inlineStr">
        <is>
          <t>SEM COTAÇÃO</t>
        </is>
      </c>
      <c r="O3233" s="8" t="n"/>
      <c r="P3233" s="14" t="n"/>
      <c r="Q3233" s="7" t="inlineStr"/>
      <c r="R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8" t="n"/>
      <c r="N3234" s="7" t="inlineStr">
        <is>
          <t>SEM COTAÇÃO</t>
        </is>
      </c>
      <c r="O3234" s="8" t="n"/>
      <c r="P3234" s="14" t="n"/>
      <c r="Q3234" s="7" t="inlineStr"/>
      <c r="R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8" t="n"/>
      <c r="N3235" s="7" t="inlineStr">
        <is>
          <t>SEM COTAÇÃO</t>
        </is>
      </c>
      <c r="O3235" s="8" t="n"/>
      <c r="P3235" s="14" t="n"/>
      <c r="Q3235" s="7" t="inlineStr"/>
      <c r="R3235" s="7" t="inlineStr"/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8" t="n">
        <v>78.81</v>
      </c>
      <c r="N3236" s="7" t="inlineStr">
        <is>
          <t>DIMEC</t>
        </is>
      </c>
      <c r="O3236" s="8" t="n">
        <v>78.61</v>
      </c>
      <c r="P3236" s="14">
        <f>O3236/H3236-1</f>
        <v/>
      </c>
      <c r="Q3236" s="16" t="inlineStr">
        <is>
          <t>ACIMA +8.4%</t>
        </is>
      </c>
      <c r="R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8" t="n"/>
      <c r="N3237" s="7" t="inlineStr">
        <is>
          <t>SEM COTAÇÃO</t>
        </is>
      </c>
      <c r="O3237" s="8" t="n"/>
      <c r="P3237" s="14" t="n"/>
      <c r="Q3237" s="7" t="inlineStr"/>
      <c r="R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8" t="n"/>
      <c r="N3238" s="7" t="inlineStr">
        <is>
          <t>SEM COTAÇÃO</t>
        </is>
      </c>
      <c r="O3238" s="8" t="n"/>
      <c r="P3238" s="14" t="n"/>
      <c r="Q3238" s="7" t="inlineStr"/>
      <c r="R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8" t="n"/>
      <c r="N3239" s="7" t="inlineStr">
        <is>
          <t>SEM COTAÇÃO</t>
        </is>
      </c>
      <c r="O3239" s="8" t="n"/>
      <c r="P3239" s="14" t="n"/>
      <c r="Q3239" s="7" t="inlineStr"/>
      <c r="R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8" t="n"/>
      <c r="N3240" s="7" t="inlineStr">
        <is>
          <t>SEM COTAÇÃO</t>
        </is>
      </c>
      <c r="O3240" s="8" t="n"/>
      <c r="P3240" s="14" t="n"/>
      <c r="Q3240" s="7" t="inlineStr"/>
      <c r="R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8" t="n"/>
      <c r="N3241" s="7" t="inlineStr">
        <is>
          <t>SEM COTAÇÃO</t>
        </is>
      </c>
      <c r="O3241" s="8" t="n"/>
      <c r="P3241" s="14" t="n"/>
      <c r="Q3241" s="7" t="inlineStr"/>
      <c r="R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8" t="n"/>
      <c r="N3242" s="7" t="inlineStr">
        <is>
          <t>SEM COTAÇÃO</t>
        </is>
      </c>
      <c r="O3242" s="8" t="n"/>
      <c r="P3242" s="14" t="n"/>
      <c r="Q3242" s="7" t="inlineStr"/>
      <c r="R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8" t="n"/>
      <c r="N3243" s="7" t="inlineStr">
        <is>
          <t>SEM COTAÇÃO</t>
        </is>
      </c>
      <c r="O3243" s="8" t="n"/>
      <c r="P3243" s="14" t="n"/>
      <c r="Q3243" s="7" t="inlineStr"/>
      <c r="R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8" t="n"/>
      <c r="N3244" s="7" t="inlineStr">
        <is>
          <t>SEM COTAÇÃO</t>
        </is>
      </c>
      <c r="O3244" s="8" t="n"/>
      <c r="P3244" s="14" t="n"/>
      <c r="Q3244" s="7" t="inlineStr"/>
      <c r="R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8" t="n"/>
      <c r="N3245" s="7" t="inlineStr">
        <is>
          <t>SEM COTAÇÃO</t>
        </is>
      </c>
      <c r="O3245" s="8" t="n"/>
      <c r="P3245" s="14" t="n"/>
      <c r="Q3245" s="7" t="inlineStr"/>
      <c r="R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8" t="n"/>
      <c r="N3246" s="7" t="inlineStr">
        <is>
          <t>SEM COTAÇÃO</t>
        </is>
      </c>
      <c r="O3246" s="8" t="n"/>
      <c r="P3246" s="14" t="n"/>
      <c r="Q3246" s="7" t="inlineStr"/>
      <c r="R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8" t="n"/>
      <c r="N3247" s="7" t="inlineStr">
        <is>
          <t>SEM COTAÇÃO</t>
        </is>
      </c>
      <c r="O3247" s="8" t="n"/>
      <c r="P3247" s="14" t="n"/>
      <c r="Q3247" s="7" t="inlineStr"/>
      <c r="R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8" t="n"/>
      <c r="N3248" s="7" t="inlineStr">
        <is>
          <t>SEM COTAÇÃO</t>
        </is>
      </c>
      <c r="O3248" s="8" t="n"/>
      <c r="P3248" s="14" t="n"/>
      <c r="Q3248" s="7" t="inlineStr"/>
      <c r="R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8" t="n"/>
      <c r="N3249" s="7" t="inlineStr">
        <is>
          <t>EPAN</t>
        </is>
      </c>
      <c r="O3249" s="8" t="n">
        <v>11.92</v>
      </c>
      <c r="P3249" s="14">
        <f>O3249/H3249-1</f>
        <v/>
      </c>
      <c r="Q3249" s="17" t="inlineStr">
        <is>
          <t>OK (≤ últ. compra)</t>
        </is>
      </c>
      <c r="R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8" t="n"/>
      <c r="N3250" s="7" t="inlineStr">
        <is>
          <t>SEM COTAÇÃO</t>
        </is>
      </c>
      <c r="O3250" s="8" t="n"/>
      <c r="P3250" s="14" t="n"/>
      <c r="Q3250" s="7" t="inlineStr"/>
      <c r="R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8" t="n"/>
      <c r="N3251" s="7" t="inlineStr">
        <is>
          <t>SEM COTAÇÃO</t>
        </is>
      </c>
      <c r="O3251" s="8" t="n"/>
      <c r="P3251" s="14" t="n"/>
      <c r="Q3251" s="7" t="inlineStr"/>
      <c r="R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8" t="n"/>
      <c r="N3252" s="7" t="inlineStr">
        <is>
          <t>PLUSFARMA</t>
        </is>
      </c>
      <c r="O3252" s="8" t="n">
        <v>4.69</v>
      </c>
      <c r="P3252" s="14">
        <f>O3252/H3252-1</f>
        <v/>
      </c>
      <c r="Q3252" s="17" t="inlineStr">
        <is>
          <t>OK (≤ menor hist.)</t>
        </is>
      </c>
      <c r="R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8" t="n"/>
      <c r="N3253" s="7" t="inlineStr">
        <is>
          <t>SEM COTAÇÃO</t>
        </is>
      </c>
      <c r="O3253" s="8" t="n"/>
      <c r="P3253" s="14" t="n"/>
      <c r="Q3253" s="7" t="inlineStr"/>
      <c r="R3253" s="7" t="inlineStr"/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8" t="n"/>
      <c r="N3254" s="7" t="inlineStr">
        <is>
          <t>SEM COTAÇÃO</t>
        </is>
      </c>
      <c r="O3254" s="8" t="n"/>
      <c r="P3254" s="14" t="n"/>
      <c r="Q3254" s="7" t="inlineStr"/>
      <c r="R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8" t="n">
        <v>5.05</v>
      </c>
      <c r="L3255" s="8" t="n"/>
      <c r="M3255" s="15" t="n">
        <v>4.98</v>
      </c>
      <c r="N3255" s="7" t="inlineStr">
        <is>
          <t>CENTROFARMA</t>
        </is>
      </c>
      <c r="O3255" s="8" t="n">
        <v>4.98</v>
      </c>
      <c r="P3255" s="14">
        <f>O3255/H3255-1</f>
        <v/>
      </c>
      <c r="Q3255" s="16" t="inlineStr">
        <is>
          <t>ACIMA +24.8%</t>
        </is>
      </c>
      <c r="R3255" s="7" t="inlineStr"/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7" t="inlineStr">
        <is>
          <t>SEM COTAÇÃO</t>
        </is>
      </c>
      <c r="O3256" s="8" t="n"/>
      <c r="P3256" s="14" t="n"/>
      <c r="Q3256" s="7" t="inlineStr"/>
      <c r="R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8" t="n"/>
      <c r="N3257" s="7" t="inlineStr">
        <is>
          <t>SEM COTAÇÃO</t>
        </is>
      </c>
      <c r="O3257" s="8" t="n"/>
      <c r="P3257" s="14" t="n"/>
      <c r="Q3257" s="7" t="inlineStr"/>
      <c r="R3257" s="7" t="inlineStr"/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8" t="n"/>
      <c r="N3258" s="7" t="inlineStr">
        <is>
          <t>SEM COTAÇÃO</t>
        </is>
      </c>
      <c r="O3258" s="8" t="n"/>
      <c r="P3258" s="14" t="n"/>
      <c r="Q3258" s="7" t="inlineStr"/>
      <c r="R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8" t="n"/>
      <c r="N3259" s="7" t="inlineStr">
        <is>
          <t>SEM COTAÇÃO</t>
        </is>
      </c>
      <c r="O3259" s="8" t="n"/>
      <c r="P3259" s="14" t="n"/>
      <c r="Q3259" s="7" t="inlineStr"/>
      <c r="R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8" t="n"/>
      <c r="N3260" s="7" t="inlineStr">
        <is>
          <t>SEM COTAÇÃO</t>
        </is>
      </c>
      <c r="O3260" s="8" t="n"/>
      <c r="P3260" s="14" t="n"/>
      <c r="Q3260" s="7" t="inlineStr"/>
      <c r="R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8" t="n"/>
      <c r="N3261" s="7" t="inlineStr">
        <is>
          <t>SEM COTAÇÃO</t>
        </is>
      </c>
      <c r="O3261" s="8" t="n"/>
      <c r="P3261" s="14" t="n"/>
      <c r="Q3261" s="7" t="inlineStr"/>
      <c r="R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8" t="n"/>
      <c r="N3262" s="7" t="inlineStr">
        <is>
          <t>SEM COTAÇÃO</t>
        </is>
      </c>
      <c r="O3262" s="8" t="n"/>
      <c r="P3262" s="14" t="n"/>
      <c r="Q3262" s="7" t="inlineStr"/>
      <c r="R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8" t="n"/>
      <c r="N3263" s="7" t="inlineStr">
        <is>
          <t>DIMEC</t>
        </is>
      </c>
      <c r="O3263" s="8" t="n">
        <v>6.28</v>
      </c>
      <c r="P3263" s="14">
        <f>O3263/H3263-1</f>
        <v/>
      </c>
      <c r="Q3263" s="17" t="inlineStr">
        <is>
          <t>OK (≤ últ. compra)</t>
        </is>
      </c>
      <c r="R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8" t="n"/>
      <c r="N3264" s="7" t="inlineStr">
        <is>
          <t>SEM COTAÇÃO</t>
        </is>
      </c>
      <c r="O3264" s="8" t="n"/>
      <c r="P3264" s="14" t="n"/>
      <c r="Q3264" s="7" t="inlineStr"/>
      <c r="R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8" t="n"/>
      <c r="N3265" s="7" t="inlineStr">
        <is>
          <t>DIMEC</t>
        </is>
      </c>
      <c r="O3265" s="8" t="n">
        <v>7.74</v>
      </c>
      <c r="P3265" s="14">
        <f>O3265/H3265-1</f>
        <v/>
      </c>
      <c r="Q3265" s="17" t="inlineStr">
        <is>
          <t>OK (≤ últ. compra)</t>
        </is>
      </c>
      <c r="R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8" t="n"/>
      <c r="N3266" s="7" t="inlineStr">
        <is>
          <t>SEM COTAÇÃO</t>
        </is>
      </c>
      <c r="O3266" s="8" t="n"/>
      <c r="P3266" s="14" t="n"/>
      <c r="Q3266" s="7" t="inlineStr"/>
      <c r="R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8" t="n"/>
      <c r="N3267" s="7" t="inlineStr">
        <is>
          <t>SEM COTAÇÃO</t>
        </is>
      </c>
      <c r="O3267" s="8" t="n"/>
      <c r="P3267" s="14" t="n"/>
      <c r="Q3267" s="7" t="inlineStr"/>
      <c r="R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8" t="n"/>
      <c r="N3268" s="7" t="inlineStr">
        <is>
          <t>SEM COTAÇÃO</t>
        </is>
      </c>
      <c r="O3268" s="8" t="n"/>
      <c r="P3268" s="14" t="n"/>
      <c r="Q3268" s="7" t="inlineStr"/>
      <c r="R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8" t="n"/>
      <c r="N3269" s="7" t="inlineStr">
        <is>
          <t>SEM COTAÇÃO</t>
        </is>
      </c>
      <c r="O3269" s="8" t="n"/>
      <c r="P3269" s="14" t="n"/>
      <c r="Q3269" s="7" t="inlineStr"/>
      <c r="R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8" t="n"/>
      <c r="N3270" s="7" t="inlineStr">
        <is>
          <t>SEM COTAÇÃO</t>
        </is>
      </c>
      <c r="O3270" s="8" t="n"/>
      <c r="P3270" s="14" t="n"/>
      <c r="Q3270" s="7" t="inlineStr"/>
      <c r="R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8" t="n"/>
      <c r="N3271" s="7" t="inlineStr">
        <is>
          <t>SEM COTAÇÃO</t>
        </is>
      </c>
      <c r="O3271" s="8" t="n"/>
      <c r="P3271" s="14" t="n"/>
      <c r="Q3271" s="7" t="inlineStr"/>
      <c r="R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8" t="n"/>
      <c r="N3272" s="7" t="inlineStr">
        <is>
          <t>SEM COTAÇÃO</t>
        </is>
      </c>
      <c r="O3272" s="8" t="n"/>
      <c r="P3272" s="14" t="n"/>
      <c r="Q3272" s="7" t="inlineStr"/>
      <c r="R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8" t="n"/>
      <c r="N3273" s="7" t="inlineStr">
        <is>
          <t>SEM COTAÇÃO</t>
        </is>
      </c>
      <c r="O3273" s="8" t="n"/>
      <c r="P3273" s="14" t="n"/>
      <c r="Q3273" s="7" t="inlineStr"/>
      <c r="R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8" t="n"/>
      <c r="N3274" s="7" t="inlineStr">
        <is>
          <t>DIMEC</t>
        </is>
      </c>
      <c r="O3274" s="8" t="n">
        <v>6.59</v>
      </c>
      <c r="P3274" s="14">
        <f>O3274/H3274-1</f>
        <v/>
      </c>
      <c r="Q3274" s="17" t="inlineStr">
        <is>
          <t>OK (≤ menor hist.)</t>
        </is>
      </c>
      <c r="R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8" t="n"/>
      <c r="N3275" s="7" t="inlineStr">
        <is>
          <t>SEM COTAÇÃO</t>
        </is>
      </c>
      <c r="O3275" s="8" t="n"/>
      <c r="P3275" s="14" t="n"/>
      <c r="Q3275" s="7" t="inlineStr"/>
      <c r="R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8" t="n"/>
      <c r="N3276" s="7" t="inlineStr">
        <is>
          <t>SEM COTAÇÃO</t>
        </is>
      </c>
      <c r="O3276" s="8" t="n"/>
      <c r="P3276" s="14" t="n"/>
      <c r="Q3276" s="7" t="inlineStr"/>
      <c r="R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15" t="n">
        <v>5.45</v>
      </c>
      <c r="K3277" s="8" t="n"/>
      <c r="L3277" s="8" t="n"/>
      <c r="M3277" s="8" t="n"/>
      <c r="N3277" s="7" t="inlineStr">
        <is>
          <t>DIMEC</t>
        </is>
      </c>
      <c r="O3277" s="8" t="n">
        <v>5.45</v>
      </c>
      <c r="P3277" s="14">
        <f>O3277/H3277-1</f>
        <v/>
      </c>
      <c r="Q3277" s="17" t="inlineStr">
        <is>
          <t>OK (≤ menor hist.)</t>
        </is>
      </c>
      <c r="R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8" t="n"/>
      <c r="N3278" s="7" t="inlineStr">
        <is>
          <t>SEM COTAÇÃO</t>
        </is>
      </c>
      <c r="O3278" s="8" t="n"/>
      <c r="P3278" s="14" t="n"/>
      <c r="Q3278" s="7" t="inlineStr"/>
      <c r="R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8" t="n"/>
      <c r="N3279" s="7" t="inlineStr">
        <is>
          <t>SEM COTAÇÃO</t>
        </is>
      </c>
      <c r="O3279" s="8" t="n"/>
      <c r="P3279" s="14" t="n"/>
      <c r="Q3279" s="7" t="inlineStr"/>
      <c r="R3279" s="7" t="inlineStr"/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8" t="n"/>
      <c r="N3280" s="7" t="inlineStr">
        <is>
          <t>SEM COTAÇÃO</t>
        </is>
      </c>
      <c r="O3280" s="8" t="n"/>
      <c r="P3280" s="14" t="n"/>
      <c r="Q3280" s="7" t="inlineStr"/>
      <c r="R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7" t="inlineStr">
        <is>
          <t>SEM COTAÇÃO</t>
        </is>
      </c>
      <c r="O3281" s="8" t="n"/>
      <c r="P3281" s="14" t="n"/>
      <c r="Q3281" s="7" t="inlineStr"/>
      <c r="R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8" t="n"/>
      <c r="N3282" s="7" t="inlineStr">
        <is>
          <t>SEM COTAÇÃO</t>
        </is>
      </c>
      <c r="O3282" s="8" t="n"/>
      <c r="P3282" s="14" t="n"/>
      <c r="Q3282" s="7" t="inlineStr"/>
      <c r="R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8" t="n">
        <v>12.59</v>
      </c>
      <c r="N3283" s="7" t="inlineStr">
        <is>
          <t>DIMEC</t>
        </is>
      </c>
      <c r="O3283" s="8" t="n">
        <v>11.84</v>
      </c>
      <c r="P3283" s="14">
        <f>O3283/H3283-1</f>
        <v/>
      </c>
      <c r="Q3283" s="17" t="inlineStr">
        <is>
          <t>OK (≤ menor hist.)</t>
        </is>
      </c>
      <c r="R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8" t="n"/>
      <c r="N3284" s="7" t="inlineStr">
        <is>
          <t>SEM COTAÇÃO</t>
        </is>
      </c>
      <c r="O3284" s="8" t="n"/>
      <c r="P3284" s="14" t="n"/>
      <c r="Q3284" s="7" t="inlineStr"/>
      <c r="R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8" t="n"/>
      <c r="N3285" s="7" t="inlineStr">
        <is>
          <t>SEM COTAÇÃO</t>
        </is>
      </c>
      <c r="O3285" s="8" t="n"/>
      <c r="P3285" s="14" t="n"/>
      <c r="Q3285" s="7" t="inlineStr"/>
      <c r="R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8" t="n"/>
      <c r="N3286" s="7" t="inlineStr">
        <is>
          <t>SEM COTAÇÃO</t>
        </is>
      </c>
      <c r="O3286" s="8" t="n"/>
      <c r="P3286" s="14" t="n"/>
      <c r="Q3286" s="7" t="inlineStr"/>
      <c r="R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8" t="n"/>
      <c r="N3287" s="7" t="inlineStr">
        <is>
          <t>SEM COTAÇÃO</t>
        </is>
      </c>
      <c r="O3287" s="8" t="n"/>
      <c r="P3287" s="14" t="n"/>
      <c r="Q3287" s="7" t="inlineStr"/>
      <c r="R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8" t="n"/>
      <c r="N3288" s="7" t="inlineStr">
        <is>
          <t>SEM COTAÇÃO</t>
        </is>
      </c>
      <c r="O3288" s="8" t="n"/>
      <c r="P3288" s="14" t="n"/>
      <c r="Q3288" s="7" t="inlineStr"/>
      <c r="R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8" t="n"/>
      <c r="N3289" s="7" t="inlineStr">
        <is>
          <t>DIMEC</t>
        </is>
      </c>
      <c r="O3289" s="8" t="n">
        <v>12.95</v>
      </c>
      <c r="P3289" s="14">
        <f>O3289/H3289-1</f>
        <v/>
      </c>
      <c r="Q3289" s="16" t="inlineStr">
        <is>
          <t>ACIMA +8.0%</t>
        </is>
      </c>
      <c r="R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8" t="n">
        <v>11.47</v>
      </c>
      <c r="N3290" s="7" t="inlineStr">
        <is>
          <t>DIMEC</t>
        </is>
      </c>
      <c r="O3290" s="8" t="n">
        <v>10.79</v>
      </c>
      <c r="P3290" s="14">
        <f>O3290/H3290-1</f>
        <v/>
      </c>
      <c r="Q3290" s="17" t="inlineStr">
        <is>
          <t>OK (≤ menor hist.)</t>
        </is>
      </c>
      <c r="R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8" t="n"/>
      <c r="N3291" s="7" t="inlineStr">
        <is>
          <t>SEM COTAÇÃO</t>
        </is>
      </c>
      <c r="O3291" s="8" t="n"/>
      <c r="P3291" s="14" t="n"/>
      <c r="Q3291" s="7" t="inlineStr"/>
      <c r="R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8" t="n"/>
      <c r="N3292" s="7" t="inlineStr">
        <is>
          <t>SEM COTAÇÃO</t>
        </is>
      </c>
      <c r="O3292" s="8" t="n"/>
      <c r="P3292" s="14" t="n"/>
      <c r="Q3292" s="7" t="inlineStr"/>
      <c r="R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8" t="n"/>
      <c r="N3293" s="7" t="inlineStr">
        <is>
          <t>SEM COTAÇÃO</t>
        </is>
      </c>
      <c r="O3293" s="8" t="n"/>
      <c r="P3293" s="14" t="n"/>
      <c r="Q3293" s="7" t="inlineStr"/>
      <c r="R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8.800000000000001</v>
      </c>
      <c r="K3294" s="8" t="n"/>
      <c r="L3294" s="8" t="n"/>
      <c r="M3294" s="15" t="n">
        <v>8.199999999999999</v>
      </c>
      <c r="N3294" s="7" t="inlineStr">
        <is>
          <t>CENTROFARMA</t>
        </is>
      </c>
      <c r="O3294" s="8" t="n">
        <v>8.199999999999999</v>
      </c>
      <c r="P3294" s="14">
        <f>O3294/H3294-1</f>
        <v/>
      </c>
      <c r="Q3294" s="16" t="inlineStr">
        <is>
          <t>ACIMA +17.3%</t>
        </is>
      </c>
      <c r="R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6.61</v>
      </c>
      <c r="K3295" s="8" t="n"/>
      <c r="L3295" s="8" t="n"/>
      <c r="M3295" s="15" t="n">
        <v>5.67</v>
      </c>
      <c r="N3295" s="7" t="inlineStr">
        <is>
          <t>CENTROFARMA</t>
        </is>
      </c>
      <c r="O3295" s="8" t="n">
        <v>5.67</v>
      </c>
      <c r="P3295" s="14">
        <f>O3295/H3295-1</f>
        <v/>
      </c>
      <c r="Q3295" s="16" t="inlineStr">
        <is>
          <t>ACIMA +3.3%</t>
        </is>
      </c>
      <c r="R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8" t="n"/>
      <c r="M3296" s="8" t="n">
        <v>7.08</v>
      </c>
      <c r="N3296" s="7" t="inlineStr">
        <is>
          <t>DIMEC</t>
        </is>
      </c>
      <c r="O3296" s="8" t="n">
        <v>6.96</v>
      </c>
      <c r="P3296" s="14">
        <f>O3296/H3296-1</f>
        <v/>
      </c>
      <c r="Q3296" s="16" t="inlineStr">
        <is>
          <t>ACIMA +23.0%</t>
        </is>
      </c>
      <c r="R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8" t="n"/>
      <c r="N3297" s="7" t="inlineStr">
        <is>
          <t>SEM COTAÇÃO</t>
        </is>
      </c>
      <c r="O3297" s="8" t="n"/>
      <c r="P3297" s="14" t="n"/>
      <c r="Q3297" s="7" t="inlineStr"/>
      <c r="R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8" t="n"/>
      <c r="N3298" s="7" t="inlineStr">
        <is>
          <t>SEM COTAÇÃO</t>
        </is>
      </c>
      <c r="O3298" s="8" t="n"/>
      <c r="P3298" s="14" t="n"/>
      <c r="Q3298" s="7" t="inlineStr"/>
      <c r="R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8" t="n"/>
      <c r="N3299" s="7" t="inlineStr">
        <is>
          <t>SEM COTAÇÃO</t>
        </is>
      </c>
      <c r="O3299" s="8" t="n"/>
      <c r="P3299" s="14" t="n"/>
      <c r="Q3299" s="7" t="inlineStr"/>
      <c r="R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8" t="n"/>
      <c r="N3300" s="7" t="inlineStr">
        <is>
          <t>SEM COTAÇÃO</t>
        </is>
      </c>
      <c r="O3300" s="8" t="n"/>
      <c r="P3300" s="14" t="n"/>
      <c r="Q3300" s="7" t="inlineStr"/>
      <c r="R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8" t="n"/>
      <c r="N3301" s="7" t="inlineStr">
        <is>
          <t>SEM COTAÇÃO</t>
        </is>
      </c>
      <c r="O3301" s="8" t="n"/>
      <c r="P3301" s="14" t="n"/>
      <c r="Q3301" s="7" t="inlineStr"/>
      <c r="R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8" t="n"/>
      <c r="N3302" s="7" t="inlineStr">
        <is>
          <t>SEM COTAÇÃO</t>
        </is>
      </c>
      <c r="O3302" s="8" t="n"/>
      <c r="P3302" s="14" t="n"/>
      <c r="Q3302" s="7" t="inlineStr"/>
      <c r="R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8" t="n"/>
      <c r="N3303" s="7" t="inlineStr">
        <is>
          <t>SEM COTAÇÃO</t>
        </is>
      </c>
      <c r="O3303" s="8" t="n"/>
      <c r="P3303" s="14" t="n"/>
      <c r="Q3303" s="7" t="inlineStr"/>
      <c r="R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8" t="n"/>
      <c r="N3304" s="7" t="inlineStr">
        <is>
          <t>SEM COTAÇÃO</t>
        </is>
      </c>
      <c r="O3304" s="8" t="n"/>
      <c r="P3304" s="14" t="n"/>
      <c r="Q3304" s="7" t="inlineStr"/>
      <c r="R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8" t="n"/>
      <c r="N3305" s="7" t="inlineStr">
        <is>
          <t>SEM COTAÇÃO</t>
        </is>
      </c>
      <c r="O3305" s="8" t="n"/>
      <c r="P3305" s="14" t="n"/>
      <c r="Q3305" s="7" t="inlineStr"/>
      <c r="R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8" t="n"/>
      <c r="N3306" s="7" t="inlineStr">
        <is>
          <t>SEM COTAÇÃO</t>
        </is>
      </c>
      <c r="O3306" s="8" t="n"/>
      <c r="P3306" s="14" t="n"/>
      <c r="Q3306" s="7" t="inlineStr"/>
      <c r="R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8" t="n"/>
      <c r="N3307" s="7" t="inlineStr">
        <is>
          <t>SEM COTAÇÃO</t>
        </is>
      </c>
      <c r="O3307" s="8" t="n"/>
      <c r="P3307" s="14" t="n"/>
      <c r="Q3307" s="7" t="inlineStr"/>
      <c r="R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8" t="n"/>
      <c r="N3308" s="7" t="inlineStr">
        <is>
          <t>SEM COTAÇÃO</t>
        </is>
      </c>
      <c r="O3308" s="8" t="n"/>
      <c r="P3308" s="14" t="n"/>
      <c r="Q3308" s="7" t="inlineStr"/>
      <c r="R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8" t="n"/>
      <c r="N3309" s="7" t="inlineStr">
        <is>
          <t>SEM COTAÇÃO</t>
        </is>
      </c>
      <c r="O3309" s="8" t="n"/>
      <c r="P3309" s="14" t="n"/>
      <c r="Q3309" s="7" t="inlineStr"/>
      <c r="R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8" t="n"/>
      <c r="N3310" s="7" t="inlineStr">
        <is>
          <t>SEM COTAÇÃO</t>
        </is>
      </c>
      <c r="O3310" s="8" t="n"/>
      <c r="P3310" s="14" t="n"/>
      <c r="Q3310" s="7" t="inlineStr"/>
      <c r="R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8" t="n"/>
      <c r="N3311" s="7" t="inlineStr">
        <is>
          <t>SEM COTAÇÃO</t>
        </is>
      </c>
      <c r="O3311" s="8" t="n"/>
      <c r="P3311" s="14" t="n"/>
      <c r="Q3311" s="7" t="inlineStr"/>
      <c r="R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8" t="n"/>
      <c r="N3312" s="7" t="inlineStr">
        <is>
          <t>SEM COTAÇÃO</t>
        </is>
      </c>
      <c r="O3312" s="8" t="n"/>
      <c r="P3312" s="14" t="n"/>
      <c r="Q3312" s="7" t="inlineStr"/>
      <c r="R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8" t="n"/>
      <c r="N3313" s="7" t="inlineStr">
        <is>
          <t>SEM COTAÇÃO</t>
        </is>
      </c>
      <c r="O3313" s="8" t="n"/>
      <c r="P3313" s="14" t="n"/>
      <c r="Q3313" s="7" t="inlineStr"/>
      <c r="R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8" t="n"/>
      <c r="N3314" s="7" t="inlineStr">
        <is>
          <t>SEM COTAÇÃO</t>
        </is>
      </c>
      <c r="O3314" s="8" t="n"/>
      <c r="P3314" s="14" t="n"/>
      <c r="Q3314" s="7" t="inlineStr"/>
      <c r="R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8" t="n"/>
      <c r="N3315" s="7" t="inlineStr">
        <is>
          <t>SEM COTAÇÃO</t>
        </is>
      </c>
      <c r="O3315" s="8" t="n"/>
      <c r="P3315" s="14" t="n"/>
      <c r="Q3315" s="7" t="inlineStr"/>
      <c r="R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8" t="n"/>
      <c r="N3316" s="7" t="inlineStr">
        <is>
          <t>SEM COTAÇÃO</t>
        </is>
      </c>
      <c r="O3316" s="8" t="n"/>
      <c r="P3316" s="14" t="n"/>
      <c r="Q3316" s="7" t="inlineStr"/>
      <c r="R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8" t="n"/>
      <c r="N3317" s="7" t="inlineStr">
        <is>
          <t>SEM COTAÇÃO</t>
        </is>
      </c>
      <c r="O3317" s="8" t="n"/>
      <c r="P3317" s="14" t="n"/>
      <c r="Q3317" s="7" t="inlineStr"/>
      <c r="R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8" t="n"/>
      <c r="N3318" s="7" t="inlineStr">
        <is>
          <t>SEM COTAÇÃO</t>
        </is>
      </c>
      <c r="O3318" s="8" t="n"/>
      <c r="P3318" s="14" t="n"/>
      <c r="Q3318" s="7" t="inlineStr"/>
      <c r="R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8" t="n"/>
      <c r="N3319" s="7" t="inlineStr">
        <is>
          <t>SEM COTAÇÃO</t>
        </is>
      </c>
      <c r="O3319" s="8" t="n"/>
      <c r="P3319" s="14" t="n"/>
      <c r="Q3319" s="7" t="inlineStr"/>
      <c r="R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8" t="n"/>
      <c r="N3320" s="7" t="inlineStr">
        <is>
          <t>SEM COTAÇÃO</t>
        </is>
      </c>
      <c r="O3320" s="8" t="n"/>
      <c r="P3320" s="14" t="n"/>
      <c r="Q3320" s="7" t="inlineStr"/>
      <c r="R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8" t="n"/>
      <c r="N3321" s="7" t="inlineStr">
        <is>
          <t>SEM COTAÇÃO</t>
        </is>
      </c>
      <c r="O3321" s="8" t="n"/>
      <c r="P3321" s="14" t="n"/>
      <c r="Q3321" s="7" t="inlineStr"/>
      <c r="R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8" t="n"/>
      <c r="N3322" s="7" t="inlineStr">
        <is>
          <t>SEM COTAÇÃO</t>
        </is>
      </c>
      <c r="O3322" s="8" t="n"/>
      <c r="P3322" s="14" t="n"/>
      <c r="Q3322" s="7" t="inlineStr"/>
      <c r="R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8" t="n"/>
      <c r="N3323" s="7" t="inlineStr">
        <is>
          <t>SEM COTAÇÃO</t>
        </is>
      </c>
      <c r="O3323" s="8" t="n"/>
      <c r="P3323" s="14" t="n"/>
      <c r="Q3323" s="7" t="inlineStr"/>
      <c r="R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8" t="n"/>
      <c r="N3324" s="7" t="inlineStr">
        <is>
          <t>SEM COTAÇÃO</t>
        </is>
      </c>
      <c r="O3324" s="8" t="n"/>
      <c r="P3324" s="14" t="n"/>
      <c r="Q3324" s="7" t="inlineStr"/>
      <c r="R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8" t="n"/>
      <c r="N3325" s="7" t="inlineStr">
        <is>
          <t>SEM COTAÇÃO</t>
        </is>
      </c>
      <c r="O3325" s="8" t="n"/>
      <c r="P3325" s="14" t="n"/>
      <c r="Q3325" s="7" t="inlineStr"/>
      <c r="R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8" t="n"/>
      <c r="N3326" s="7" t="inlineStr">
        <is>
          <t>SEM COTAÇÃO</t>
        </is>
      </c>
      <c r="O3326" s="8" t="n"/>
      <c r="P3326" s="14" t="n"/>
      <c r="Q3326" s="7" t="inlineStr"/>
      <c r="R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7" t="inlineStr">
        <is>
          <t>SEM COTAÇÃO</t>
        </is>
      </c>
      <c r="O3327" s="8" t="n"/>
      <c r="P3327" s="14" t="n"/>
      <c r="Q3327" s="7" t="inlineStr"/>
      <c r="R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7" t="inlineStr">
        <is>
          <t>SEM COTAÇÃO</t>
        </is>
      </c>
      <c r="O3328" s="8" t="n"/>
      <c r="P3328" s="14" t="n"/>
      <c r="Q3328" s="7" t="inlineStr"/>
      <c r="R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7" t="inlineStr">
        <is>
          <t>SEM COTAÇÃO</t>
        </is>
      </c>
      <c r="O3329" s="8" t="n"/>
      <c r="P3329" s="14" t="n"/>
      <c r="Q3329" s="7" t="inlineStr"/>
      <c r="R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7" t="inlineStr">
        <is>
          <t>SEM COTAÇÃO</t>
        </is>
      </c>
      <c r="O3330" s="8" t="n"/>
      <c r="P3330" s="14" t="n"/>
      <c r="Q3330" s="7" t="inlineStr"/>
      <c r="R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7" t="inlineStr">
        <is>
          <t>SEM COTAÇÃO</t>
        </is>
      </c>
      <c r="O3331" s="8" t="n"/>
      <c r="P3331" s="14" t="n"/>
      <c r="Q3331" s="7" t="inlineStr"/>
      <c r="R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7" t="inlineStr">
        <is>
          <t>SEM COTAÇÃO</t>
        </is>
      </c>
      <c r="O3332" s="8" t="n"/>
      <c r="P3332" s="14" t="n"/>
      <c r="Q3332" s="7" t="inlineStr"/>
      <c r="R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15" t="n">
        <v>4.38</v>
      </c>
      <c r="K3333" s="8" t="n"/>
      <c r="L3333" s="8" t="n"/>
      <c r="M3333" s="8" t="n">
        <v>4.45</v>
      </c>
      <c r="N3333" s="7" t="inlineStr">
        <is>
          <t>DIMEC</t>
        </is>
      </c>
      <c r="O3333" s="8" t="n">
        <v>4.38</v>
      </c>
      <c r="P3333" s="14">
        <f>O3333/H3333-1</f>
        <v/>
      </c>
      <c r="Q3333" s="16" t="inlineStr">
        <is>
          <t>ACIMA +5.5%</t>
        </is>
      </c>
      <c r="R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8" t="n"/>
      <c r="N3334" s="7" t="inlineStr">
        <is>
          <t>SEM COTAÇÃO</t>
        </is>
      </c>
      <c r="O3334" s="8" t="n"/>
      <c r="P3334" s="14" t="n"/>
      <c r="Q3334" s="7" t="inlineStr"/>
      <c r="R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8" t="n"/>
      <c r="N3335" s="7" t="inlineStr">
        <is>
          <t>SEM COTAÇÃO</t>
        </is>
      </c>
      <c r="O3335" s="8" t="n"/>
      <c r="P3335" s="14" t="n"/>
      <c r="Q3335" s="7" t="inlineStr"/>
      <c r="R3335" s="7" t="inlineStr"/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8" t="n"/>
      <c r="N3336" s="7" t="inlineStr">
        <is>
          <t>SEM COTAÇÃO</t>
        </is>
      </c>
      <c r="O3336" s="8" t="n"/>
      <c r="P3336" s="14" t="n"/>
      <c r="Q3336" s="7" t="inlineStr"/>
      <c r="R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8" t="n"/>
      <c r="N3337" s="7" t="inlineStr">
        <is>
          <t>SEM COTAÇÃO</t>
        </is>
      </c>
      <c r="O3337" s="8" t="n"/>
      <c r="P3337" s="14" t="n"/>
      <c r="Q3337" s="7" t="inlineStr"/>
      <c r="R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8" t="n"/>
      <c r="N3338" s="7" t="inlineStr">
        <is>
          <t>SEM COTAÇÃO</t>
        </is>
      </c>
      <c r="O3338" s="8" t="n"/>
      <c r="P3338" s="14" t="n"/>
      <c r="Q3338" s="7" t="inlineStr"/>
      <c r="R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8" t="n"/>
      <c r="N3339" s="7" t="inlineStr">
        <is>
          <t>SEM COTAÇÃO</t>
        </is>
      </c>
      <c r="O3339" s="8" t="n"/>
      <c r="P3339" s="14" t="n"/>
      <c r="Q3339" s="7" t="inlineStr"/>
      <c r="R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8" t="n"/>
      <c r="N3340" s="7" t="inlineStr">
        <is>
          <t>SEM COTAÇÃO</t>
        </is>
      </c>
      <c r="O3340" s="8" t="n"/>
      <c r="P3340" s="14" t="n"/>
      <c r="Q3340" s="7" t="inlineStr"/>
      <c r="R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8" t="n"/>
      <c r="N3341" s="7" t="inlineStr">
        <is>
          <t>SEM COTAÇÃO</t>
        </is>
      </c>
      <c r="O3341" s="8" t="n"/>
      <c r="P3341" s="14" t="n"/>
      <c r="Q3341" s="7" t="inlineStr"/>
      <c r="R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8" t="n"/>
      <c r="N3342" s="7" t="inlineStr">
        <is>
          <t>SEM COTAÇÃO</t>
        </is>
      </c>
      <c r="O3342" s="8" t="n"/>
      <c r="P3342" s="14" t="n"/>
      <c r="Q3342" s="7" t="inlineStr"/>
      <c r="R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8" t="n"/>
      <c r="N3343" s="7" t="inlineStr">
        <is>
          <t>SEM COTAÇÃO</t>
        </is>
      </c>
      <c r="O3343" s="8" t="n"/>
      <c r="P3343" s="14" t="n"/>
      <c r="Q3343" s="7" t="inlineStr"/>
      <c r="R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8" t="n"/>
      <c r="N3344" s="7" t="inlineStr">
        <is>
          <t>DIMEC</t>
        </is>
      </c>
      <c r="O3344" s="8" t="n">
        <v>12.62</v>
      </c>
      <c r="P3344" s="14" t="n"/>
      <c r="Q3344" s="7" t="inlineStr">
        <is>
          <t>SEM HISTÓRICO</t>
        </is>
      </c>
      <c r="R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8" t="n"/>
      <c r="N3345" s="7" t="inlineStr">
        <is>
          <t>SEM COTAÇÃO</t>
        </is>
      </c>
      <c r="O3345" s="8" t="n"/>
      <c r="P3345" s="14" t="n"/>
      <c r="Q3345" s="7" t="inlineStr"/>
      <c r="R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8" t="n"/>
      <c r="N3346" s="7" t="inlineStr">
        <is>
          <t>SEM COTAÇÃO</t>
        </is>
      </c>
      <c r="O3346" s="8" t="n"/>
      <c r="P3346" s="14" t="n"/>
      <c r="Q3346" s="7" t="inlineStr"/>
      <c r="R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8" t="n"/>
      <c r="N3347" s="7" t="inlineStr">
        <is>
          <t>SEM COTAÇÃO</t>
        </is>
      </c>
      <c r="O3347" s="8" t="n"/>
      <c r="P3347" s="14" t="n"/>
      <c r="Q3347" s="7" t="inlineStr"/>
      <c r="R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8" t="n"/>
      <c r="N3348" s="7" t="inlineStr">
        <is>
          <t>SEM COTAÇÃO</t>
        </is>
      </c>
      <c r="O3348" s="8" t="n"/>
      <c r="P3348" s="14" t="n"/>
      <c r="Q3348" s="7" t="inlineStr"/>
      <c r="R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8" t="n"/>
      <c r="N3349" s="7" t="inlineStr">
        <is>
          <t>EPAN</t>
        </is>
      </c>
      <c r="O3349" s="8" t="n">
        <v>16.07</v>
      </c>
      <c r="P3349" s="14">
        <f>O3349/H3349-1</f>
        <v/>
      </c>
      <c r="Q3349" s="17" t="inlineStr">
        <is>
          <t>OK (≤ últ. compra)</t>
        </is>
      </c>
      <c r="R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8" t="n"/>
      <c r="N3350" s="7" t="inlineStr">
        <is>
          <t>SEM COTAÇÃO</t>
        </is>
      </c>
      <c r="O3350" s="8" t="n"/>
      <c r="P3350" s="14" t="n"/>
      <c r="Q3350" s="7" t="inlineStr"/>
      <c r="R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8" t="n"/>
      <c r="N3351" s="7" t="inlineStr">
        <is>
          <t>SEM COTAÇÃO</t>
        </is>
      </c>
      <c r="O3351" s="8" t="n"/>
      <c r="P3351" s="14" t="n"/>
      <c r="Q3351" s="7" t="inlineStr"/>
      <c r="R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15" t="n">
        <v>3.03</v>
      </c>
      <c r="N3352" s="7" t="inlineStr">
        <is>
          <t>CENTROFARMA</t>
        </is>
      </c>
      <c r="O3352" s="8" t="n">
        <v>3.03</v>
      </c>
      <c r="P3352" s="14">
        <f>O3352/H3352-1</f>
        <v/>
      </c>
      <c r="Q3352" s="16" t="inlineStr">
        <is>
          <t>ACIMA +131.3%</t>
        </is>
      </c>
      <c r="R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8" t="n"/>
      <c r="N3353" s="7" t="inlineStr">
        <is>
          <t>SEM COTAÇÃO</t>
        </is>
      </c>
      <c r="O3353" s="8" t="n"/>
      <c r="P3353" s="14" t="n"/>
      <c r="Q3353" s="7" t="inlineStr"/>
      <c r="R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8" t="n"/>
      <c r="N3354" s="7" t="inlineStr">
        <is>
          <t>SEM COTAÇÃO</t>
        </is>
      </c>
      <c r="O3354" s="8" t="n"/>
      <c r="P3354" s="14" t="n"/>
      <c r="Q3354" s="7" t="inlineStr"/>
      <c r="R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8" t="n"/>
      <c r="N3355" s="7" t="inlineStr">
        <is>
          <t>SEM COTAÇÃO</t>
        </is>
      </c>
      <c r="O3355" s="8" t="n"/>
      <c r="P3355" s="14" t="n"/>
      <c r="Q3355" s="7" t="inlineStr"/>
      <c r="R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8" t="n"/>
      <c r="N3356" s="7" t="inlineStr">
        <is>
          <t>SEM COTAÇÃO</t>
        </is>
      </c>
      <c r="O3356" s="8" t="n"/>
      <c r="P3356" s="14" t="n"/>
      <c r="Q3356" s="7" t="inlineStr"/>
      <c r="R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8" t="n"/>
      <c r="N3357" s="7" t="inlineStr">
        <is>
          <t>SEM COTAÇÃO</t>
        </is>
      </c>
      <c r="O3357" s="8" t="n"/>
      <c r="P3357" s="14" t="n"/>
      <c r="Q3357" s="7" t="inlineStr"/>
      <c r="R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8" t="n"/>
      <c r="N3358" s="7" t="inlineStr">
        <is>
          <t>SEM COTAÇÃO</t>
        </is>
      </c>
      <c r="O3358" s="8" t="n"/>
      <c r="P3358" s="14" t="n"/>
      <c r="Q3358" s="7" t="inlineStr"/>
      <c r="R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8" t="n"/>
      <c r="N3359" s="7" t="inlineStr">
        <is>
          <t>SEM COTAÇÃO</t>
        </is>
      </c>
      <c r="O3359" s="8" t="n"/>
      <c r="P3359" s="14" t="n"/>
      <c r="Q3359" s="7" t="inlineStr"/>
      <c r="R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8" t="n"/>
      <c r="N3360" s="7" t="inlineStr">
        <is>
          <t>SEM COTAÇÃO</t>
        </is>
      </c>
      <c r="O3360" s="8" t="n"/>
      <c r="P3360" s="14" t="n"/>
      <c r="Q3360" s="7" t="inlineStr"/>
      <c r="R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8" t="n"/>
      <c r="N3361" s="7" t="inlineStr">
        <is>
          <t>SEM COTAÇÃO</t>
        </is>
      </c>
      <c r="O3361" s="8" t="n"/>
      <c r="P3361" s="14" t="n"/>
      <c r="Q3361" s="7" t="inlineStr"/>
      <c r="R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8" t="n"/>
      <c r="N3362" s="7" t="inlineStr">
        <is>
          <t>SEM COTAÇÃO</t>
        </is>
      </c>
      <c r="O3362" s="8" t="n"/>
      <c r="P3362" s="14" t="n"/>
      <c r="Q3362" s="7" t="inlineStr"/>
      <c r="R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8" t="n"/>
      <c r="N3363" s="7" t="inlineStr">
        <is>
          <t>SEM COTAÇÃO</t>
        </is>
      </c>
      <c r="O3363" s="8" t="n"/>
      <c r="P3363" s="14" t="n"/>
      <c r="Q3363" s="7" t="inlineStr"/>
      <c r="R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8" t="n"/>
      <c r="N3364" s="7" t="inlineStr">
        <is>
          <t>SEM COTAÇÃO</t>
        </is>
      </c>
      <c r="O3364" s="8" t="n"/>
      <c r="P3364" s="14" t="n"/>
      <c r="Q3364" s="7" t="inlineStr"/>
      <c r="R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8" t="n"/>
      <c r="N3365" s="7" t="inlineStr">
        <is>
          <t>SEM COTAÇÃO</t>
        </is>
      </c>
      <c r="O3365" s="8" t="n"/>
      <c r="P3365" s="14" t="n"/>
      <c r="Q3365" s="7" t="inlineStr"/>
      <c r="R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8" t="n"/>
      <c r="N3366" s="7" t="inlineStr">
        <is>
          <t>SEM COTAÇÃO</t>
        </is>
      </c>
      <c r="O3366" s="8" t="n"/>
      <c r="P3366" s="14" t="n"/>
      <c r="Q3366" s="7" t="inlineStr"/>
      <c r="R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8" t="n"/>
      <c r="N3367" s="7" t="inlineStr">
        <is>
          <t>SEM COTAÇÃO</t>
        </is>
      </c>
      <c r="O3367" s="8" t="n"/>
      <c r="P3367" s="14" t="n"/>
      <c r="Q3367" s="7" t="inlineStr"/>
      <c r="R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8" t="n"/>
      <c r="N3368" s="7" t="inlineStr">
        <is>
          <t>SEM COTAÇÃO</t>
        </is>
      </c>
      <c r="O3368" s="8" t="n"/>
      <c r="P3368" s="14" t="n"/>
      <c r="Q3368" s="7" t="inlineStr"/>
      <c r="R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8" t="n"/>
      <c r="N3369" s="7" t="inlineStr">
        <is>
          <t>SEM COTAÇÃO</t>
        </is>
      </c>
      <c r="O3369" s="8" t="n"/>
      <c r="P3369" s="14" t="n"/>
      <c r="Q3369" s="7" t="inlineStr"/>
      <c r="R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8" t="n"/>
      <c r="N3370" s="7" t="inlineStr">
        <is>
          <t>SEM COTAÇÃO</t>
        </is>
      </c>
      <c r="O3370" s="8" t="n"/>
      <c r="P3370" s="14" t="n"/>
      <c r="Q3370" s="7" t="inlineStr"/>
      <c r="R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8" t="n"/>
      <c r="N3371" s="7" t="inlineStr">
        <is>
          <t>SEM COTAÇÃO</t>
        </is>
      </c>
      <c r="O3371" s="8" t="n"/>
      <c r="P3371" s="14" t="n"/>
      <c r="Q3371" s="7" t="inlineStr"/>
      <c r="R3371" s="7" t="inlineStr"/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8" t="n"/>
      <c r="N3372" s="7" t="inlineStr">
        <is>
          <t>DIMEC</t>
        </is>
      </c>
      <c r="O3372" s="8" t="n">
        <v>0.4048333333333333</v>
      </c>
      <c r="P3372" s="14">
        <f>O3372/H3372-1</f>
        <v/>
      </c>
      <c r="Q3372" s="17" t="inlineStr">
        <is>
          <t>OK (≤ menor hist.)</t>
        </is>
      </c>
      <c r="R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7" t="inlineStr">
        <is>
          <t>SEM COTAÇÃO</t>
        </is>
      </c>
      <c r="O3373" s="8" t="n"/>
      <c r="P3373" s="14" t="n"/>
      <c r="Q3373" s="7" t="inlineStr"/>
      <c r="R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8" t="n"/>
      <c r="N3374" s="7" t="inlineStr">
        <is>
          <t>DIMEC</t>
        </is>
      </c>
      <c r="O3374" s="8" t="n">
        <v>0.5625</v>
      </c>
      <c r="P3374" s="14">
        <f>O3374/H3374-1</f>
        <v/>
      </c>
      <c r="Q3374" s="17" t="inlineStr">
        <is>
          <t>OK (≤ últ. compra)</t>
        </is>
      </c>
      <c r="R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15" t="n">
        <v>7.16</v>
      </c>
      <c r="N3375" s="7" t="inlineStr">
        <is>
          <t>CENTROFARMA</t>
        </is>
      </c>
      <c r="O3375" s="8" t="n">
        <v>7.16</v>
      </c>
      <c r="P3375" s="14">
        <f>O3375/H3375-1</f>
        <v/>
      </c>
      <c r="Q3375" s="16" t="inlineStr">
        <is>
          <t>ACIMA +5.3%</t>
        </is>
      </c>
      <c r="R3375" s="7" t="inlineStr"/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8" t="n"/>
      <c r="N3376" s="7" t="inlineStr">
        <is>
          <t>SEM COTAÇÃO</t>
        </is>
      </c>
      <c r="O3376" s="8" t="n"/>
      <c r="P3376" s="14" t="n"/>
      <c r="Q3376" s="7" t="inlineStr"/>
      <c r="R3376" s="7" t="inlineStr"/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8" t="n"/>
      <c r="N3377" s="7" t="inlineStr">
        <is>
          <t>SEM COTAÇÃO</t>
        </is>
      </c>
      <c r="O3377" s="8" t="n"/>
      <c r="P3377" s="14" t="n"/>
      <c r="Q3377" s="7" t="inlineStr"/>
      <c r="R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8" t="n"/>
      <c r="N3378" s="7" t="inlineStr">
        <is>
          <t>SEM COTAÇÃO</t>
        </is>
      </c>
      <c r="O3378" s="8" t="n"/>
      <c r="P3378" s="14" t="n"/>
      <c r="Q3378" s="7" t="inlineStr"/>
      <c r="R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8" t="n"/>
      <c r="N3379" s="7" t="inlineStr">
        <is>
          <t>SEM COTAÇÃO</t>
        </is>
      </c>
      <c r="O3379" s="8" t="n"/>
      <c r="P3379" s="14" t="n"/>
      <c r="Q3379" s="7" t="inlineStr"/>
      <c r="R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8.93</v>
      </c>
      <c r="K3380" s="8" t="n"/>
      <c r="L3380" s="8" t="n"/>
      <c r="M3380" s="15" t="n">
        <v>8.73</v>
      </c>
      <c r="N3380" s="7" t="inlineStr">
        <is>
          <t>CENTROFARMA</t>
        </is>
      </c>
      <c r="O3380" s="8" t="n">
        <v>8.73</v>
      </c>
      <c r="P3380" s="14">
        <f>O3380/H3380-1</f>
        <v/>
      </c>
      <c r="Q3380" s="16" t="inlineStr">
        <is>
          <t>ACIMA +28.0%</t>
        </is>
      </c>
      <c r="R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8" t="n">
        <v>10.51</v>
      </c>
      <c r="L3381" s="8" t="n"/>
      <c r="M3381" s="15" t="n">
        <v>10.4</v>
      </c>
      <c r="N3381" s="7" t="inlineStr">
        <is>
          <t>CENTROFARMA</t>
        </is>
      </c>
      <c r="O3381" s="8" t="n">
        <v>10.4</v>
      </c>
      <c r="P3381" s="14">
        <f>O3381/H3381-1</f>
        <v/>
      </c>
      <c r="Q3381" s="16" t="inlineStr">
        <is>
          <t>ACIMA +6.7%</t>
        </is>
      </c>
      <c r="R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8" t="n"/>
      <c r="N3382" s="7" t="inlineStr">
        <is>
          <t>PLUSFARMA</t>
        </is>
      </c>
      <c r="O3382" s="8" t="n">
        <v>4.22</v>
      </c>
      <c r="P3382" s="14">
        <f>O3382/H3382-1</f>
        <v/>
      </c>
      <c r="Q3382" s="17" t="inlineStr">
        <is>
          <t>OK (≤ menor hist.)</t>
        </is>
      </c>
      <c r="R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8" t="n"/>
      <c r="N3383" s="7" t="inlineStr">
        <is>
          <t>SEM COTAÇÃO</t>
        </is>
      </c>
      <c r="O3383" s="8" t="n"/>
      <c r="P3383" s="14" t="n"/>
      <c r="Q3383" s="7" t="inlineStr"/>
      <c r="R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8" t="n"/>
      <c r="N3384" s="7" t="inlineStr">
        <is>
          <t>SEM COTAÇÃO</t>
        </is>
      </c>
      <c r="O3384" s="8" t="n"/>
      <c r="P3384" s="14" t="n"/>
      <c r="Q3384" s="7" t="inlineStr"/>
      <c r="R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8" t="n"/>
      <c r="N3385" s="7" t="inlineStr">
        <is>
          <t>SEM COTAÇÃO</t>
        </is>
      </c>
      <c r="O3385" s="8" t="n"/>
      <c r="P3385" s="14" t="n"/>
      <c r="Q3385" s="7" t="inlineStr"/>
      <c r="R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8" t="n"/>
      <c r="M3386" s="8" t="n"/>
      <c r="N3386" s="7" t="inlineStr">
        <is>
          <t>DIMEC</t>
        </is>
      </c>
      <c r="O3386" s="8" t="n">
        <v>7.02</v>
      </c>
      <c r="P3386" s="14">
        <f>O3386/H3386-1</f>
        <v/>
      </c>
      <c r="Q3386" s="16" t="inlineStr">
        <is>
          <t>ACIMA +0.7%</t>
        </is>
      </c>
      <c r="R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8" t="n"/>
      <c r="N3387" s="7" t="inlineStr">
        <is>
          <t>PLUSFARMA</t>
        </is>
      </c>
      <c r="O3387" s="8" t="n">
        <v>4.49</v>
      </c>
      <c r="P3387" s="14">
        <f>O3387/H3387-1</f>
        <v/>
      </c>
      <c r="Q3387" s="16" t="inlineStr">
        <is>
          <t>ACIMA +4.9%</t>
        </is>
      </c>
      <c r="R3387" s="7" t="inlineStr"/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8" t="n"/>
      <c r="N3388" s="7" t="inlineStr">
        <is>
          <t>SEM COTAÇÃO</t>
        </is>
      </c>
      <c r="O3388" s="8" t="n"/>
      <c r="P3388" s="14" t="n"/>
      <c r="Q3388" s="7" t="inlineStr"/>
      <c r="R3388" s="7" t="inlineStr"/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8" t="n"/>
      <c r="N3389" s="7" t="inlineStr">
        <is>
          <t>SEM COTAÇÃO</t>
        </is>
      </c>
      <c r="O3389" s="8" t="n"/>
      <c r="P3389" s="14" t="n"/>
      <c r="Q3389" s="7" t="inlineStr"/>
      <c r="R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8" t="n"/>
      <c r="N3390" s="7" t="inlineStr">
        <is>
          <t>SEM COTAÇÃO</t>
        </is>
      </c>
      <c r="O3390" s="8" t="n"/>
      <c r="P3390" s="14" t="n"/>
      <c r="Q3390" s="7" t="inlineStr"/>
      <c r="R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8" t="n"/>
      <c r="N3391" s="7" t="inlineStr">
        <is>
          <t>SEM COTAÇÃO</t>
        </is>
      </c>
      <c r="O3391" s="8" t="n"/>
      <c r="P3391" s="14" t="n"/>
      <c r="Q3391" s="7" t="inlineStr"/>
      <c r="R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8" t="n"/>
      <c r="N3392" s="7" t="inlineStr">
        <is>
          <t>SEM COTAÇÃO</t>
        </is>
      </c>
      <c r="O3392" s="8" t="n"/>
      <c r="P3392" s="14" t="n"/>
      <c r="Q3392" s="7" t="inlineStr"/>
      <c r="R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8" t="n"/>
      <c r="N3393" s="7" t="inlineStr">
        <is>
          <t>SEM COTAÇÃO</t>
        </is>
      </c>
      <c r="O3393" s="8" t="n"/>
      <c r="P3393" s="14" t="n"/>
      <c r="Q3393" s="7" t="inlineStr"/>
      <c r="R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8" t="n"/>
      <c r="N3394" s="7" t="inlineStr">
        <is>
          <t>SEM COTAÇÃO</t>
        </is>
      </c>
      <c r="O3394" s="8" t="n"/>
      <c r="P3394" s="14" t="n"/>
      <c r="Q3394" s="7" t="inlineStr"/>
      <c r="R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8" t="n"/>
      <c r="N3395" s="7" t="inlineStr">
        <is>
          <t>SEM COTAÇÃO</t>
        </is>
      </c>
      <c r="O3395" s="8" t="n"/>
      <c r="P3395" s="14" t="n"/>
      <c r="Q3395" s="7" t="inlineStr"/>
      <c r="R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8" t="n"/>
      <c r="N3396" s="7" t="inlineStr">
        <is>
          <t>SEM COTAÇÃO</t>
        </is>
      </c>
      <c r="O3396" s="8" t="n"/>
      <c r="P3396" s="14" t="n"/>
      <c r="Q3396" s="7" t="inlineStr"/>
      <c r="R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8" t="n">
        <v>5.34</v>
      </c>
      <c r="N3397" s="7" t="inlineStr">
        <is>
          <t>DIMEC</t>
        </is>
      </c>
      <c r="O3397" s="8" t="n">
        <v>5.3</v>
      </c>
      <c r="P3397" s="14">
        <f>O3397/H3397-1</f>
        <v/>
      </c>
      <c r="Q3397" s="16" t="inlineStr">
        <is>
          <t>ACIMA +4.5%</t>
        </is>
      </c>
      <c r="R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8" t="n">
        <v>4.8</v>
      </c>
      <c r="N3398" s="7" t="inlineStr">
        <is>
          <t>DIMEC</t>
        </is>
      </c>
      <c r="O3398" s="8" t="n">
        <v>4.73</v>
      </c>
      <c r="P3398" s="14">
        <f>O3398/H3398-1</f>
        <v/>
      </c>
      <c r="Q3398" s="16" t="inlineStr">
        <is>
          <t>ACIMA +3.7%</t>
        </is>
      </c>
      <c r="R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15" t="n">
        <v>7.45</v>
      </c>
      <c r="N3399" s="7" t="inlineStr">
        <is>
          <t>CENTROFARMA</t>
        </is>
      </c>
      <c r="O3399" s="8" t="n">
        <v>7.45</v>
      </c>
      <c r="P3399" s="14">
        <f>O3399/H3399-1</f>
        <v/>
      </c>
      <c r="Q3399" s="16" t="inlineStr">
        <is>
          <t>ACIMA +12.2%</t>
        </is>
      </c>
      <c r="R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15" t="n">
        <v>9.85</v>
      </c>
      <c r="N3400" s="7" t="inlineStr">
        <is>
          <t>CENTROFARMA</t>
        </is>
      </c>
      <c r="O3400" s="8" t="n">
        <v>9.85</v>
      </c>
      <c r="P3400" s="14">
        <f>O3400/H3400-1</f>
        <v/>
      </c>
      <c r="Q3400" s="16" t="inlineStr">
        <is>
          <t>ACIMA +17.4%</t>
        </is>
      </c>
      <c r="R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15" t="n">
        <v>7.69</v>
      </c>
      <c r="N3401" s="7" t="inlineStr">
        <is>
          <t>CENTROFARMA</t>
        </is>
      </c>
      <c r="O3401" s="8" t="n">
        <v>7.69</v>
      </c>
      <c r="P3401" s="14">
        <f>O3401/H3401-1</f>
        <v/>
      </c>
      <c r="Q3401" s="16" t="inlineStr">
        <is>
          <t>ACIMA +10.8%</t>
        </is>
      </c>
      <c r="R3401" s="7" t="inlineStr"/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15" t="n">
        <v>6.94</v>
      </c>
      <c r="N3402" s="7" t="inlineStr">
        <is>
          <t>CENTROFARMA</t>
        </is>
      </c>
      <c r="O3402" s="8" t="n">
        <v>6.94</v>
      </c>
      <c r="P3402" s="14">
        <f>O3402/H3402-1</f>
        <v/>
      </c>
      <c r="Q3402" s="16" t="inlineStr">
        <is>
          <t>ACIMA +0.9%</t>
        </is>
      </c>
      <c r="R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15" t="n">
        <v>8.859999999999999</v>
      </c>
      <c r="N3403" s="7" t="inlineStr">
        <is>
          <t>CENTROFARMA</t>
        </is>
      </c>
      <c r="O3403" s="8" t="n">
        <v>8.859999999999999</v>
      </c>
      <c r="P3403" s="14">
        <f>O3403/H3403-1</f>
        <v/>
      </c>
      <c r="Q3403" s="16" t="inlineStr">
        <is>
          <t>ACIMA +12.3%</t>
        </is>
      </c>
      <c r="R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8" t="n"/>
      <c r="N3404" s="7" t="inlineStr">
        <is>
          <t>SEM COTAÇÃO</t>
        </is>
      </c>
      <c r="O3404" s="8" t="n"/>
      <c r="P3404" s="14" t="n"/>
      <c r="Q3404" s="7" t="inlineStr"/>
      <c r="R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8" t="n"/>
      <c r="N3405" s="7" t="inlineStr">
        <is>
          <t>SEM COTAÇÃO</t>
        </is>
      </c>
      <c r="O3405" s="8" t="n"/>
      <c r="P3405" s="14" t="n"/>
      <c r="Q3405" s="7" t="inlineStr"/>
      <c r="R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8" t="n"/>
      <c r="N3406" s="7" t="inlineStr">
        <is>
          <t>SEM COTAÇÃO</t>
        </is>
      </c>
      <c r="O3406" s="8" t="n"/>
      <c r="P3406" s="14" t="n"/>
      <c r="Q3406" s="7" t="inlineStr"/>
      <c r="R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8" t="n"/>
      <c r="N3407" s="7" t="inlineStr">
        <is>
          <t>SEM COTAÇÃO</t>
        </is>
      </c>
      <c r="O3407" s="8" t="n"/>
      <c r="P3407" s="14" t="n"/>
      <c r="Q3407" s="7" t="inlineStr"/>
      <c r="R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8" t="n"/>
      <c r="N3408" s="7" t="inlineStr">
        <is>
          <t>SEM COTAÇÃO</t>
        </is>
      </c>
      <c r="O3408" s="8" t="n"/>
      <c r="P3408" s="14" t="n"/>
      <c r="Q3408" s="7" t="inlineStr"/>
      <c r="R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8" t="n">
        <v>1.45</v>
      </c>
      <c r="L3409" s="8" t="n"/>
      <c r="M3409" s="15" t="n">
        <v>1.37</v>
      </c>
      <c r="N3409" s="7" t="inlineStr">
        <is>
          <t>CENTROFARMA</t>
        </is>
      </c>
      <c r="O3409" s="8" t="n">
        <v>1.37</v>
      </c>
      <c r="P3409" s="14">
        <f>O3409/H3409-1</f>
        <v/>
      </c>
      <c r="Q3409" s="16" t="inlineStr">
        <is>
          <t>ACIMA +6.2%</t>
        </is>
      </c>
      <c r="R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8" t="n">
        <v>9.09</v>
      </c>
      <c r="L3410" s="8" t="n"/>
      <c r="M3410" s="15" t="n">
        <v>8.869999999999999</v>
      </c>
      <c r="N3410" s="7" t="inlineStr">
        <is>
          <t>CENTROFARMA</t>
        </is>
      </c>
      <c r="O3410" s="8" t="n">
        <v>8.869999999999999</v>
      </c>
      <c r="P3410" s="14">
        <f>O3410/H3410-1</f>
        <v/>
      </c>
      <c r="Q3410" s="16" t="inlineStr">
        <is>
          <t>ACIMA +7.4%</t>
        </is>
      </c>
      <c r="R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8" t="n">
        <v>5.29</v>
      </c>
      <c r="L3411" s="8" t="n"/>
      <c r="M3411" s="15" t="n">
        <v>4.73</v>
      </c>
      <c r="N3411" s="7" t="inlineStr">
        <is>
          <t>CENTROFARMA</t>
        </is>
      </c>
      <c r="O3411" s="8" t="n">
        <v>4.73</v>
      </c>
      <c r="P3411" s="14">
        <f>O3411/H3411-1</f>
        <v/>
      </c>
      <c r="Q3411" s="16" t="inlineStr">
        <is>
          <t>ACIMA +9.2%</t>
        </is>
      </c>
      <c r="R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8" t="n">
        <v>10.05</v>
      </c>
      <c r="L3412" s="8" t="n"/>
      <c r="M3412" s="15" t="n">
        <v>9.779999999999999</v>
      </c>
      <c r="N3412" s="7" t="inlineStr">
        <is>
          <t>CENTROFARMA</t>
        </is>
      </c>
      <c r="O3412" s="8" t="n">
        <v>9.779999999999999</v>
      </c>
      <c r="P3412" s="14">
        <f>O3412/H3412-1</f>
        <v/>
      </c>
      <c r="Q3412" s="16" t="inlineStr">
        <is>
          <t>ACIMA +26.7%</t>
        </is>
      </c>
      <c r="R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8" t="n"/>
      <c r="N3413" s="7" t="inlineStr">
        <is>
          <t>SEM COTAÇÃO</t>
        </is>
      </c>
      <c r="O3413" s="8" t="n"/>
      <c r="P3413" s="14" t="n"/>
      <c r="Q3413" s="7" t="inlineStr"/>
      <c r="R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8" t="n">
        <v>8.75</v>
      </c>
      <c r="L3414" s="8" t="n"/>
      <c r="M3414" s="15" t="n">
        <v>8.1</v>
      </c>
      <c r="N3414" s="7" t="inlineStr">
        <is>
          <t>CENTROFARMA</t>
        </is>
      </c>
      <c r="O3414" s="8" t="n">
        <v>8.1</v>
      </c>
      <c r="P3414" s="14">
        <f>O3414/H3414-1</f>
        <v/>
      </c>
      <c r="Q3414" s="16" t="inlineStr">
        <is>
          <t>ACIMA +4.0%</t>
        </is>
      </c>
      <c r="R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8" t="n">
        <v>12.49</v>
      </c>
      <c r="L3415" s="8" t="n"/>
      <c r="M3415" s="15" t="n">
        <v>11.97</v>
      </c>
      <c r="N3415" s="7" t="inlineStr">
        <is>
          <t>CENTROFARMA</t>
        </is>
      </c>
      <c r="O3415" s="8" t="n">
        <v>11.97</v>
      </c>
      <c r="P3415" s="14">
        <f>O3415/H3415-1</f>
        <v/>
      </c>
      <c r="Q3415" s="16" t="inlineStr">
        <is>
          <t>ACIMA +34.3%</t>
        </is>
      </c>
      <c r="R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8" t="n">
        <v>12.49</v>
      </c>
      <c r="L3416" s="8" t="n"/>
      <c r="M3416" s="15" t="n">
        <v>11.97</v>
      </c>
      <c r="N3416" s="7" t="inlineStr">
        <is>
          <t>CENTROFARMA</t>
        </is>
      </c>
      <c r="O3416" s="8" t="n">
        <v>11.97</v>
      </c>
      <c r="P3416" s="14">
        <f>O3416/H3416-1</f>
        <v/>
      </c>
      <c r="Q3416" s="16" t="inlineStr">
        <is>
          <t>ACIMA +5.1%</t>
        </is>
      </c>
      <c r="R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8" t="n">
        <v>5.29</v>
      </c>
      <c r="L3417" s="8" t="n"/>
      <c r="M3417" s="15" t="n">
        <v>4.98</v>
      </c>
      <c r="N3417" s="7" t="inlineStr">
        <is>
          <t>CENTROFARMA</t>
        </is>
      </c>
      <c r="O3417" s="8" t="n">
        <v>4.98</v>
      </c>
      <c r="P3417" s="14">
        <f>O3417/H3417-1</f>
        <v/>
      </c>
      <c r="Q3417" s="16" t="inlineStr">
        <is>
          <t>ACIMA +16.1%</t>
        </is>
      </c>
      <c r="R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8" t="n"/>
      <c r="N3418" s="7" t="inlineStr">
        <is>
          <t>SEM COTAÇÃO</t>
        </is>
      </c>
      <c r="O3418" s="8" t="n"/>
      <c r="P3418" s="14" t="n"/>
      <c r="Q3418" s="7" t="inlineStr"/>
      <c r="R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15" t="n">
        <v>14.79</v>
      </c>
      <c r="N3419" s="7" t="inlineStr">
        <is>
          <t>CENTROFARMA</t>
        </is>
      </c>
      <c r="O3419" s="8" t="n">
        <v>14.79</v>
      </c>
      <c r="P3419" s="14">
        <f>O3419/H3419-1</f>
        <v/>
      </c>
      <c r="Q3419" s="16" t="inlineStr">
        <is>
          <t>ACIMA +13.9%</t>
        </is>
      </c>
      <c r="R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15" t="n">
        <v>13.71</v>
      </c>
      <c r="N3420" s="7" t="inlineStr">
        <is>
          <t>CENTROFARMA</t>
        </is>
      </c>
      <c r="O3420" s="8" t="n">
        <v>13.71</v>
      </c>
      <c r="P3420" s="14">
        <f>O3420/H3420-1</f>
        <v/>
      </c>
      <c r="Q3420" s="16" t="inlineStr">
        <is>
          <t>ACIMA +15.4%</t>
        </is>
      </c>
      <c r="R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15" t="n">
        <v>9.81</v>
      </c>
      <c r="N3421" s="7" t="inlineStr">
        <is>
          <t>CENTROFARMA</t>
        </is>
      </c>
      <c r="O3421" s="8" t="n">
        <v>9.81</v>
      </c>
      <c r="P3421" s="14">
        <f>O3421/H3421-1</f>
        <v/>
      </c>
      <c r="Q3421" s="16" t="inlineStr">
        <is>
          <t>ACIMA +14.9%</t>
        </is>
      </c>
      <c r="R3421" s="7" t="inlineStr"/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15" t="n">
        <v>4.18</v>
      </c>
      <c r="N3422" s="7" t="inlineStr">
        <is>
          <t>CENTROFARMA</t>
        </is>
      </c>
      <c r="O3422" s="8" t="n">
        <v>4.18</v>
      </c>
      <c r="P3422" s="14">
        <f>O3422/H3422-1</f>
        <v/>
      </c>
      <c r="Q3422" s="17" t="inlineStr">
        <is>
          <t>OK (≤ menor hist.)</t>
        </is>
      </c>
      <c r="R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15" t="n">
        <v>10.52</v>
      </c>
      <c r="N3423" s="7" t="inlineStr">
        <is>
          <t>CENTROFARMA</t>
        </is>
      </c>
      <c r="O3423" s="8" t="n">
        <v>10.52</v>
      </c>
      <c r="P3423" s="14">
        <f>O3423/H3423-1</f>
        <v/>
      </c>
      <c r="Q3423" s="16" t="inlineStr">
        <is>
          <t>ACIMA +5.3%</t>
        </is>
      </c>
      <c r="R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15" t="n">
        <v>6.6</v>
      </c>
      <c r="N3424" s="7" t="inlineStr">
        <is>
          <t>CENTROFARMA</t>
        </is>
      </c>
      <c r="O3424" s="8" t="n">
        <v>6.6</v>
      </c>
      <c r="P3424" s="14">
        <f>O3424/H3424-1</f>
        <v/>
      </c>
      <c r="Q3424" s="16" t="inlineStr">
        <is>
          <t>ACIMA +12.1%</t>
        </is>
      </c>
      <c r="R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8" t="n"/>
      <c r="N3425" s="7" t="inlineStr">
        <is>
          <t>SEM COTAÇÃO</t>
        </is>
      </c>
      <c r="O3425" s="8" t="n"/>
      <c r="P3425" s="14" t="n"/>
      <c r="Q3425" s="7" t="inlineStr"/>
      <c r="R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8" t="n"/>
      <c r="N3426" s="7" t="inlineStr">
        <is>
          <t>SEM COTAÇÃO</t>
        </is>
      </c>
      <c r="O3426" s="8" t="n"/>
      <c r="P3426" s="14" t="n"/>
      <c r="Q3426" s="7" t="inlineStr"/>
      <c r="R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8" t="n"/>
      <c r="N3427" s="7" t="inlineStr">
        <is>
          <t>SEM COTAÇÃO</t>
        </is>
      </c>
      <c r="O3427" s="8" t="n"/>
      <c r="P3427" s="14" t="n"/>
      <c r="Q3427" s="7" t="inlineStr"/>
      <c r="R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8" t="n"/>
      <c r="N3428" s="7" t="inlineStr">
        <is>
          <t>SEM COTAÇÃO</t>
        </is>
      </c>
      <c r="O3428" s="8" t="n"/>
      <c r="P3428" s="14" t="n"/>
      <c r="Q3428" s="7" t="inlineStr"/>
      <c r="R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8" t="n"/>
      <c r="N3429" s="7" t="inlineStr">
        <is>
          <t>SEM COTAÇÃO</t>
        </is>
      </c>
      <c r="O3429" s="8" t="n"/>
      <c r="P3429" s="14" t="n"/>
      <c r="Q3429" s="7" t="inlineStr"/>
      <c r="R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8" t="n"/>
      <c r="N3430" s="7" t="inlineStr">
        <is>
          <t>SEM COTAÇÃO</t>
        </is>
      </c>
      <c r="O3430" s="8" t="n"/>
      <c r="P3430" s="14" t="n"/>
      <c r="Q3430" s="7" t="inlineStr"/>
      <c r="R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8" t="n"/>
      <c r="N3431" s="7" t="inlineStr">
        <is>
          <t>SEM COTAÇÃO</t>
        </is>
      </c>
      <c r="O3431" s="8" t="n"/>
      <c r="P3431" s="14" t="n"/>
      <c r="Q3431" s="7" t="inlineStr"/>
      <c r="R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8" t="n"/>
      <c r="N3432" s="7" t="inlineStr">
        <is>
          <t>SEM COTAÇÃO</t>
        </is>
      </c>
      <c r="O3432" s="8" t="n"/>
      <c r="P3432" s="14" t="n"/>
      <c r="Q3432" s="7" t="inlineStr"/>
      <c r="R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8" t="n"/>
      <c r="N3433" s="7" t="inlineStr">
        <is>
          <t>SEM COTAÇÃO</t>
        </is>
      </c>
      <c r="O3433" s="8" t="n"/>
      <c r="P3433" s="14" t="n"/>
      <c r="Q3433" s="7" t="inlineStr"/>
      <c r="R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8" t="n">
        <v>4.35</v>
      </c>
      <c r="L3434" s="8" t="n"/>
      <c r="M3434" s="15" t="n">
        <v>4.23</v>
      </c>
      <c r="N3434" s="7" t="inlineStr">
        <is>
          <t>CENTROFARMA</t>
        </is>
      </c>
      <c r="O3434" s="8" t="n">
        <v>4.23</v>
      </c>
      <c r="P3434" s="14">
        <f>O3434/H3434-1</f>
        <v/>
      </c>
      <c r="Q3434" s="16" t="inlineStr">
        <is>
          <t>ACIMA +5.2%</t>
        </is>
      </c>
      <c r="R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8" t="n"/>
      <c r="N3435" s="7" t="inlineStr">
        <is>
          <t>SEM COTAÇÃO</t>
        </is>
      </c>
      <c r="O3435" s="8" t="n"/>
      <c r="P3435" s="14" t="n"/>
      <c r="Q3435" s="7" t="inlineStr"/>
      <c r="R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15" t="n">
        <v>8.460000000000001</v>
      </c>
      <c r="N3436" s="7" t="inlineStr">
        <is>
          <t>CENTROFARMA</t>
        </is>
      </c>
      <c r="O3436" s="8" t="n">
        <v>8.460000000000001</v>
      </c>
      <c r="P3436" s="14">
        <f>O3436/H3436-1</f>
        <v/>
      </c>
      <c r="Q3436" s="16" t="inlineStr">
        <is>
          <t>ACIMA +11.8%</t>
        </is>
      </c>
      <c r="R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15" t="n">
        <v>3.93</v>
      </c>
      <c r="N3437" s="7" t="inlineStr">
        <is>
          <t>CENTROFARMA</t>
        </is>
      </c>
      <c r="O3437" s="8" t="n">
        <v>3.93</v>
      </c>
      <c r="P3437" s="14">
        <f>O3437/H3437-1</f>
        <v/>
      </c>
      <c r="Q3437" s="16" t="inlineStr">
        <is>
          <t>ACIMA +0.5%</t>
        </is>
      </c>
      <c r="R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15" t="n">
        <v>4.76</v>
      </c>
      <c r="N3438" s="7" t="inlineStr">
        <is>
          <t>CENTROFARMA</t>
        </is>
      </c>
      <c r="O3438" s="8" t="n">
        <v>4.76</v>
      </c>
      <c r="P3438" s="14">
        <f>O3438/H3438-1</f>
        <v/>
      </c>
      <c r="Q3438" s="17" t="inlineStr">
        <is>
          <t>OK (≤ menor hist.)</t>
        </is>
      </c>
      <c r="R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15" t="n">
        <v>5.18</v>
      </c>
      <c r="N3439" s="7" t="inlineStr">
        <is>
          <t>CENTROFARMA</t>
        </is>
      </c>
      <c r="O3439" s="8" t="n">
        <v>5.18</v>
      </c>
      <c r="P3439" s="14">
        <f>O3439/H3439-1</f>
        <v/>
      </c>
      <c r="Q3439" s="16" t="inlineStr">
        <is>
          <t>ACIMA +5.3%</t>
        </is>
      </c>
      <c r="R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15" t="n">
        <v>3.8</v>
      </c>
      <c r="N3440" s="7" t="inlineStr">
        <is>
          <t>CENTROFARMA</t>
        </is>
      </c>
      <c r="O3440" s="8" t="n">
        <v>3.8</v>
      </c>
      <c r="P3440" s="14">
        <f>O3440/H3440-1</f>
        <v/>
      </c>
      <c r="Q3440" s="17" t="inlineStr">
        <is>
          <t>OK (≤ menor hist.)</t>
        </is>
      </c>
      <c r="R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15" t="n">
        <v>8.56</v>
      </c>
      <c r="N3441" s="7" t="inlineStr">
        <is>
          <t>CENTROFARMA</t>
        </is>
      </c>
      <c r="O3441" s="8" t="n">
        <v>8.56</v>
      </c>
      <c r="P3441" s="14">
        <f>O3441/H3441-1</f>
        <v/>
      </c>
      <c r="Q3441" s="16" t="inlineStr">
        <is>
          <t>ACIMA +12.2%</t>
        </is>
      </c>
      <c r="R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15" t="n">
        <v>9.859999999999999</v>
      </c>
      <c r="N3442" s="7" t="inlineStr">
        <is>
          <t>CENTROFARMA</t>
        </is>
      </c>
      <c r="O3442" s="8" t="n">
        <v>9.859999999999999</v>
      </c>
      <c r="P3442" s="14">
        <f>O3442/H3442-1</f>
        <v/>
      </c>
      <c r="Q3442" s="16" t="inlineStr">
        <is>
          <t>ACIMA +15.5%</t>
        </is>
      </c>
      <c r="R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8" t="n">
        <v>2.36</v>
      </c>
      <c r="N3443" s="7" t="inlineStr">
        <is>
          <t>DIMEC</t>
        </is>
      </c>
      <c r="O3443" s="8" t="n">
        <v>2.33</v>
      </c>
      <c r="P3443" s="14">
        <f>O3443/H3443-1</f>
        <v/>
      </c>
      <c r="Q3443" s="16" t="inlineStr">
        <is>
          <t>ACIMA +5.0%</t>
        </is>
      </c>
      <c r="R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8" t="n">
        <v>2.22</v>
      </c>
      <c r="N3444" s="7" t="inlineStr">
        <is>
          <t>DIMEC</t>
        </is>
      </c>
      <c r="O3444" s="8" t="n">
        <v>2.17</v>
      </c>
      <c r="P3444" s="14">
        <f>O3444/H3444-1</f>
        <v/>
      </c>
      <c r="Q3444" s="16" t="inlineStr">
        <is>
          <t>ACIMA +2.8%</t>
        </is>
      </c>
      <c r="R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8" t="n">
        <v>2.26</v>
      </c>
      <c r="N3445" s="7" t="inlineStr">
        <is>
          <t>DIMEC</t>
        </is>
      </c>
      <c r="O3445" s="8" t="n">
        <v>2.21</v>
      </c>
      <c r="P3445" s="14">
        <f>O3445/H3445-1</f>
        <v/>
      </c>
      <c r="Q3445" s="16" t="inlineStr">
        <is>
          <t>ACIMA +3.3%</t>
        </is>
      </c>
      <c r="R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8" t="n">
        <v>4.62</v>
      </c>
      <c r="N3446" s="7" t="inlineStr">
        <is>
          <t>DIMEC</t>
        </is>
      </c>
      <c r="O3446" s="8" t="n">
        <v>4.55</v>
      </c>
      <c r="P3446" s="14">
        <f>O3446/H3446-1</f>
        <v/>
      </c>
      <c r="Q3446" s="16" t="inlineStr">
        <is>
          <t>ACIMA +3.9%</t>
        </is>
      </c>
      <c r="R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8" t="n"/>
      <c r="N3447" s="7" t="inlineStr">
        <is>
          <t>SEM COTAÇÃO</t>
        </is>
      </c>
      <c r="O3447" s="8" t="n"/>
      <c r="P3447" s="14" t="n"/>
      <c r="Q3447" s="7" t="inlineStr"/>
      <c r="R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8" t="n"/>
      <c r="N3448" s="7" t="inlineStr">
        <is>
          <t>SEM COTAÇÃO</t>
        </is>
      </c>
      <c r="O3448" s="8" t="n"/>
      <c r="P3448" s="14" t="n"/>
      <c r="Q3448" s="7" t="inlineStr"/>
      <c r="R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8" t="n"/>
      <c r="N3449" s="7" t="inlineStr">
        <is>
          <t>SEM COTAÇÃO</t>
        </is>
      </c>
      <c r="O3449" s="8" t="n"/>
      <c r="P3449" s="14" t="n"/>
      <c r="Q3449" s="7" t="inlineStr"/>
      <c r="R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8" t="n"/>
      <c r="N3450" s="7" t="inlineStr">
        <is>
          <t>SEM COTAÇÃO</t>
        </is>
      </c>
      <c r="O3450" s="8" t="n"/>
      <c r="P3450" s="14" t="n"/>
      <c r="Q3450" s="7" t="inlineStr"/>
      <c r="R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8" t="n"/>
      <c r="N3451" s="7" t="inlineStr">
        <is>
          <t>SEM COTAÇÃO</t>
        </is>
      </c>
      <c r="O3451" s="8" t="n"/>
      <c r="P3451" s="14" t="n"/>
      <c r="Q3451" s="7" t="inlineStr"/>
      <c r="R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8" t="n"/>
      <c r="N3452" s="7" t="inlineStr">
        <is>
          <t>SEM COTAÇÃO</t>
        </is>
      </c>
      <c r="O3452" s="8" t="n"/>
      <c r="P3452" s="14" t="n"/>
      <c r="Q3452" s="7" t="inlineStr"/>
      <c r="R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8" t="n"/>
      <c r="N3453" s="7" t="inlineStr">
        <is>
          <t>EPAN</t>
        </is>
      </c>
      <c r="O3453" s="8" t="n">
        <v>69.47</v>
      </c>
      <c r="P3453" s="14">
        <f>O3453/H3453-1</f>
        <v/>
      </c>
      <c r="Q3453" s="17" t="inlineStr">
        <is>
          <t>OK (≤ últ. compra)</t>
        </is>
      </c>
      <c r="R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8" t="n"/>
      <c r="N3454" s="7" t="inlineStr">
        <is>
          <t>SEM COTAÇÃO</t>
        </is>
      </c>
      <c r="O3454" s="8" t="n"/>
      <c r="P3454" s="14" t="n"/>
      <c r="Q3454" s="7" t="inlineStr"/>
      <c r="R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8" t="n"/>
      <c r="N3455" s="7" t="inlineStr">
        <is>
          <t>SEM COTAÇÃO</t>
        </is>
      </c>
      <c r="O3455" s="8" t="n"/>
      <c r="P3455" s="14" t="n"/>
      <c r="Q3455" s="7" t="inlineStr"/>
      <c r="R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8" t="n"/>
      <c r="N3456" s="7" t="inlineStr">
        <is>
          <t>SEM COTAÇÃO</t>
        </is>
      </c>
      <c r="O3456" s="8" t="n"/>
      <c r="P3456" s="14" t="n"/>
      <c r="Q3456" s="7" t="inlineStr"/>
      <c r="R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8" t="n"/>
      <c r="N3457" s="7" t="inlineStr">
        <is>
          <t>SEM COTAÇÃO</t>
        </is>
      </c>
      <c r="O3457" s="8" t="n"/>
      <c r="P3457" s="14" t="n"/>
      <c r="Q3457" s="7" t="inlineStr"/>
      <c r="R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8" t="n"/>
      <c r="N3458" s="7" t="inlineStr">
        <is>
          <t>SEM COTAÇÃO</t>
        </is>
      </c>
      <c r="O3458" s="8" t="n"/>
      <c r="P3458" s="14" t="n"/>
      <c r="Q3458" s="7" t="inlineStr"/>
      <c r="R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8" t="n"/>
      <c r="N3459" s="7" t="inlineStr">
        <is>
          <t>SEM COTAÇÃO</t>
        </is>
      </c>
      <c r="O3459" s="8" t="n"/>
      <c r="P3459" s="14" t="n"/>
      <c r="Q3459" s="7" t="inlineStr"/>
      <c r="R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8" t="n"/>
      <c r="N3460" s="7" t="inlineStr">
        <is>
          <t>SEM COTAÇÃO</t>
        </is>
      </c>
      <c r="O3460" s="8" t="n"/>
      <c r="P3460" s="14" t="n"/>
      <c r="Q3460" s="7" t="inlineStr"/>
      <c r="R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8" t="n"/>
      <c r="N3461" s="7" t="inlineStr">
        <is>
          <t>SEM COTAÇÃO</t>
        </is>
      </c>
      <c r="O3461" s="8" t="n"/>
      <c r="P3461" s="14" t="n"/>
      <c r="Q3461" s="7" t="inlineStr"/>
      <c r="R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8" t="n"/>
      <c r="N3462" s="7" t="inlineStr">
        <is>
          <t>SEM COTAÇÃO</t>
        </is>
      </c>
      <c r="O3462" s="8" t="n"/>
      <c r="P3462" s="14" t="n"/>
      <c r="Q3462" s="7" t="inlineStr"/>
      <c r="R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8" t="n"/>
      <c r="N3463" s="7" t="inlineStr">
        <is>
          <t>SEM COTAÇÃO</t>
        </is>
      </c>
      <c r="O3463" s="8" t="n"/>
      <c r="P3463" s="14" t="n"/>
      <c r="Q3463" s="7" t="inlineStr"/>
      <c r="R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8" t="n"/>
      <c r="N3464" s="7" t="inlineStr">
        <is>
          <t>SEM COTAÇÃO</t>
        </is>
      </c>
      <c r="O3464" s="8" t="n"/>
      <c r="P3464" s="14" t="n"/>
      <c r="Q3464" s="7" t="inlineStr"/>
      <c r="R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8" t="n"/>
      <c r="N3465" s="7" t="inlineStr">
        <is>
          <t>SEM COTAÇÃO</t>
        </is>
      </c>
      <c r="O3465" s="8" t="n"/>
      <c r="P3465" s="14" t="n"/>
      <c r="Q3465" s="7" t="inlineStr"/>
      <c r="R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8" t="n"/>
      <c r="N3466" s="7" t="inlineStr">
        <is>
          <t>EPAN</t>
        </is>
      </c>
      <c r="O3466" s="8" t="n">
        <v>41.77</v>
      </c>
      <c r="P3466" s="14">
        <f>O3466/H3466-1</f>
        <v/>
      </c>
      <c r="Q3466" s="17" t="inlineStr">
        <is>
          <t>OK (≤ últ. compra)</t>
        </is>
      </c>
      <c r="R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8" t="n"/>
      <c r="N3467" s="7" t="inlineStr">
        <is>
          <t>EPAN</t>
        </is>
      </c>
      <c r="O3467" s="8" t="n">
        <v>41.77</v>
      </c>
      <c r="P3467" s="14">
        <f>O3467/H3467-1</f>
        <v/>
      </c>
      <c r="Q3467" s="16" t="inlineStr">
        <is>
          <t>ACIMA +0.0%</t>
        </is>
      </c>
      <c r="R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15" t="n">
        <v>84.06999999999999</v>
      </c>
      <c r="M3468" s="8" t="n"/>
      <c r="N3468" s="7" t="inlineStr">
        <is>
          <t>EPAN</t>
        </is>
      </c>
      <c r="O3468" s="8" t="n">
        <v>84.06999999999999</v>
      </c>
      <c r="P3468" s="14">
        <f>O3468/H3468-1</f>
        <v/>
      </c>
      <c r="Q3468" s="17" t="inlineStr">
        <is>
          <t>OK (≤ últ. compra)</t>
        </is>
      </c>
      <c r="R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15" t="n">
        <v>5.308333333333334</v>
      </c>
      <c r="M3469" s="8" t="n"/>
      <c r="N3469" s="7" t="inlineStr">
        <is>
          <t>EPAN</t>
        </is>
      </c>
      <c r="O3469" s="8" t="n">
        <v>5.308333333333334</v>
      </c>
      <c r="P3469" s="14">
        <f>O3469/H3469-1</f>
        <v/>
      </c>
      <c r="Q3469" s="17" t="inlineStr">
        <is>
          <t>OK (≤ últ. compra)</t>
        </is>
      </c>
      <c r="R3469" s="7" t="inlineStr">
        <is>
          <t>EPAN: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8" t="n"/>
      <c r="N3470" s="7" t="inlineStr">
        <is>
          <t>SEM COTAÇÃO</t>
        </is>
      </c>
      <c r="O3470" s="8" t="n"/>
      <c r="P3470" s="14" t="n"/>
      <c r="Q3470" s="7" t="inlineStr"/>
      <c r="R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8" t="n"/>
      <c r="N3471" s="7" t="inlineStr">
        <is>
          <t>SEM COTAÇÃO</t>
        </is>
      </c>
      <c r="O3471" s="8" t="n"/>
      <c r="P3471" s="14" t="n"/>
      <c r="Q3471" s="7" t="inlineStr"/>
      <c r="R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8" t="n"/>
      <c r="N3472" s="7" t="inlineStr">
        <is>
          <t>SEM COTAÇÃO</t>
        </is>
      </c>
      <c r="O3472" s="8" t="n"/>
      <c r="P3472" s="14" t="n"/>
      <c r="Q3472" s="7" t="inlineStr"/>
      <c r="R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8" t="n"/>
      <c r="N3473" s="7" t="inlineStr">
        <is>
          <t>SEM COTAÇÃO</t>
        </is>
      </c>
      <c r="O3473" s="8" t="n"/>
      <c r="P3473" s="14" t="n"/>
      <c r="Q3473" s="7" t="inlineStr"/>
      <c r="R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8" t="n"/>
      <c r="N3474" s="7" t="inlineStr">
        <is>
          <t>SEM COTAÇÃO</t>
        </is>
      </c>
      <c r="O3474" s="8" t="n"/>
      <c r="P3474" s="14" t="n"/>
      <c r="Q3474" s="7" t="inlineStr"/>
      <c r="R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8" t="n"/>
      <c r="N3475" s="7" t="inlineStr">
        <is>
          <t>SEM COTAÇÃO</t>
        </is>
      </c>
      <c r="O3475" s="8" t="n"/>
      <c r="P3475" s="14" t="n"/>
      <c r="Q3475" s="7" t="inlineStr"/>
      <c r="R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8" t="n"/>
      <c r="M3476" s="8" t="n"/>
      <c r="N3476" s="7" t="inlineStr">
        <is>
          <t>PLUSFARMA</t>
        </is>
      </c>
      <c r="O3476" s="8" t="n">
        <v>6.85</v>
      </c>
      <c r="P3476" s="14">
        <f>O3476/H3476-1</f>
        <v/>
      </c>
      <c r="Q3476" s="16" t="inlineStr">
        <is>
          <t>ACIMA +10.7%</t>
        </is>
      </c>
      <c r="R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8" t="n"/>
      <c r="N3477" s="7" t="inlineStr">
        <is>
          <t>SEM COTAÇÃO</t>
        </is>
      </c>
      <c r="O3477" s="8" t="n"/>
      <c r="P3477" s="14" t="n"/>
      <c r="Q3477" s="7" t="inlineStr"/>
      <c r="R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8" t="n"/>
      <c r="N3478" s="7" t="inlineStr">
        <is>
          <t>SEM COTAÇÃO</t>
        </is>
      </c>
      <c r="O3478" s="8" t="n"/>
      <c r="P3478" s="14" t="n"/>
      <c r="Q3478" s="7" t="inlineStr"/>
      <c r="R3478" s="7" t="inlineStr"/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8" t="n"/>
      <c r="N3479" s="7" t="inlineStr">
        <is>
          <t>SEM COTAÇÃO</t>
        </is>
      </c>
      <c r="O3479" s="8" t="n"/>
      <c r="P3479" s="14" t="n"/>
      <c r="Q3479" s="7" t="inlineStr"/>
      <c r="R3479" s="7" t="inlineStr"/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8" t="n"/>
      <c r="N3480" s="7" t="inlineStr">
        <is>
          <t>SEM COTAÇÃO</t>
        </is>
      </c>
      <c r="O3480" s="8" t="n"/>
      <c r="P3480" s="14" t="n"/>
      <c r="Q3480" s="7" t="inlineStr"/>
      <c r="R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8" t="n"/>
      <c r="N3481" s="7" t="inlineStr">
        <is>
          <t>SEM COTAÇÃO</t>
        </is>
      </c>
      <c r="O3481" s="8" t="n"/>
      <c r="P3481" s="14" t="n"/>
      <c r="Q3481" s="7" t="inlineStr"/>
      <c r="R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8" t="n"/>
      <c r="N3482" s="7" t="inlineStr">
        <is>
          <t>SEM COTAÇÃO</t>
        </is>
      </c>
      <c r="O3482" s="8" t="n"/>
      <c r="P3482" s="14" t="n"/>
      <c r="Q3482" s="7" t="inlineStr"/>
      <c r="R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8" t="n"/>
      <c r="N3483" s="7" t="inlineStr">
        <is>
          <t>SEM COTAÇÃO</t>
        </is>
      </c>
      <c r="O3483" s="8" t="n"/>
      <c r="P3483" s="14" t="n"/>
      <c r="Q3483" s="7" t="inlineStr"/>
      <c r="R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8" t="n"/>
      <c r="N3484" s="7" t="inlineStr">
        <is>
          <t>SEM COTAÇÃO</t>
        </is>
      </c>
      <c r="O3484" s="8" t="n"/>
      <c r="P3484" s="14" t="n"/>
      <c r="Q3484" s="7" t="inlineStr"/>
      <c r="R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8" t="n"/>
      <c r="N3485" s="7" t="inlineStr">
        <is>
          <t>SEM COTAÇÃO</t>
        </is>
      </c>
      <c r="O3485" s="8" t="n"/>
      <c r="P3485" s="14" t="n"/>
      <c r="Q3485" s="7" t="inlineStr"/>
      <c r="R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8" t="n"/>
      <c r="N3486" s="7" t="inlineStr">
        <is>
          <t>SEM COTAÇÃO</t>
        </is>
      </c>
      <c r="O3486" s="8" t="n"/>
      <c r="P3486" s="14" t="n"/>
      <c r="Q3486" s="7" t="inlineStr"/>
      <c r="R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50.34</v>
      </c>
      <c r="M3487" s="8" t="n"/>
      <c r="N3487" s="7" t="inlineStr">
        <is>
          <t>EPAN</t>
        </is>
      </c>
      <c r="O3487" s="8" t="n">
        <v>50.34</v>
      </c>
      <c r="P3487" s="14">
        <f>O3487/H3487-1</f>
        <v/>
      </c>
      <c r="Q3487" s="16" t="inlineStr">
        <is>
          <t>ACIMA +0.7%</t>
        </is>
      </c>
      <c r="R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8" t="n"/>
      <c r="N3488" s="7" t="inlineStr">
        <is>
          <t>SEM COTAÇÃO</t>
        </is>
      </c>
      <c r="O3488" s="8" t="n"/>
      <c r="P3488" s="14" t="n"/>
      <c r="Q3488" s="7" t="inlineStr"/>
      <c r="R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8" t="n"/>
      <c r="N3489" s="7" t="inlineStr">
        <is>
          <t>SEM COTAÇÃO</t>
        </is>
      </c>
      <c r="O3489" s="8" t="n"/>
      <c r="P3489" s="14" t="n"/>
      <c r="Q3489" s="7" t="inlineStr"/>
      <c r="R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8" t="n"/>
      <c r="N3490" s="7" t="inlineStr">
        <is>
          <t>EPAN</t>
        </is>
      </c>
      <c r="O3490" s="8" t="n">
        <v>29.1</v>
      </c>
      <c r="P3490" s="14">
        <f>O3490/H3490-1</f>
        <v/>
      </c>
      <c r="Q3490" s="17" t="inlineStr">
        <is>
          <t>OK (≤ menor hist.)</t>
        </is>
      </c>
      <c r="R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8" t="n"/>
      <c r="N3491" s="7" t="inlineStr">
        <is>
          <t>SEM COTAÇÃO</t>
        </is>
      </c>
      <c r="O3491" s="8" t="n"/>
      <c r="P3491" s="14" t="n"/>
      <c r="Q3491" s="7" t="inlineStr"/>
      <c r="R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8" t="n"/>
      <c r="N3492" s="7" t="inlineStr">
        <is>
          <t>SEM COTAÇÃO</t>
        </is>
      </c>
      <c r="O3492" s="8" t="n"/>
      <c r="P3492" s="14" t="n"/>
      <c r="Q3492" s="7" t="inlineStr"/>
      <c r="R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8" t="n"/>
      <c r="N3493" s="7" t="inlineStr">
        <is>
          <t>SEM COTAÇÃO</t>
        </is>
      </c>
      <c r="O3493" s="8" t="n"/>
      <c r="P3493" s="14" t="n"/>
      <c r="Q3493" s="7" t="inlineStr"/>
      <c r="R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8" t="n"/>
      <c r="N3494" s="7" t="inlineStr">
        <is>
          <t>SEM COTAÇÃO</t>
        </is>
      </c>
      <c r="O3494" s="8" t="n"/>
      <c r="P3494" s="14" t="n"/>
      <c r="Q3494" s="7" t="inlineStr"/>
      <c r="R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8" t="n"/>
      <c r="N3495" s="7" t="inlineStr">
        <is>
          <t>SEM COTAÇÃO</t>
        </is>
      </c>
      <c r="O3495" s="8" t="n"/>
      <c r="P3495" s="14" t="n"/>
      <c r="Q3495" s="7" t="inlineStr"/>
      <c r="R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8" t="n"/>
      <c r="N3496" s="7" t="inlineStr">
        <is>
          <t>SEM COTAÇÃO</t>
        </is>
      </c>
      <c r="O3496" s="8" t="n"/>
      <c r="P3496" s="14" t="n"/>
      <c r="Q3496" s="7" t="inlineStr"/>
      <c r="R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8" t="n"/>
      <c r="N3497" s="7" t="inlineStr">
        <is>
          <t>SEM COTAÇÃO</t>
        </is>
      </c>
      <c r="O3497" s="8" t="n"/>
      <c r="P3497" s="14" t="n"/>
      <c r="Q3497" s="7" t="inlineStr"/>
      <c r="R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8" t="n"/>
      <c r="N3498" s="7" t="inlineStr">
        <is>
          <t>SEM COTAÇÃO</t>
        </is>
      </c>
      <c r="O3498" s="8" t="n"/>
      <c r="P3498" s="14" t="n"/>
      <c r="Q3498" s="7" t="inlineStr"/>
      <c r="R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8" t="n"/>
      <c r="N3499" s="7" t="inlineStr">
        <is>
          <t>SEM COTAÇÃO</t>
        </is>
      </c>
      <c r="O3499" s="8" t="n"/>
      <c r="P3499" s="14" t="n"/>
      <c r="Q3499" s="7" t="inlineStr"/>
      <c r="R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8" t="n"/>
      <c r="N3500" s="7" t="inlineStr">
        <is>
          <t>SEM COTAÇÃO</t>
        </is>
      </c>
      <c r="O3500" s="8" t="n"/>
      <c r="P3500" s="14" t="n"/>
      <c r="Q3500" s="7" t="inlineStr"/>
      <c r="R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8" t="n"/>
      <c r="N3501" s="7" t="inlineStr">
        <is>
          <t>SEM COTAÇÃO</t>
        </is>
      </c>
      <c r="O3501" s="8" t="n"/>
      <c r="P3501" s="14" t="n"/>
      <c r="Q3501" s="7" t="inlineStr"/>
      <c r="R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8" t="n"/>
      <c r="N3502" s="7" t="inlineStr">
        <is>
          <t>SEM COTAÇÃO</t>
        </is>
      </c>
      <c r="O3502" s="8" t="n"/>
      <c r="P3502" s="14" t="n"/>
      <c r="Q3502" s="7" t="inlineStr"/>
      <c r="R3502" s="7" t="inlineStr"/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8" t="n"/>
      <c r="N3503" s="7" t="inlineStr">
        <is>
          <t>SEM COTAÇÃO</t>
        </is>
      </c>
      <c r="O3503" s="8" t="n"/>
      <c r="P3503" s="14" t="n"/>
      <c r="Q3503" s="7" t="inlineStr"/>
      <c r="R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8" t="n"/>
      <c r="N3504" s="7" t="inlineStr">
        <is>
          <t>SEM COTAÇÃO</t>
        </is>
      </c>
      <c r="O3504" s="8" t="n"/>
      <c r="P3504" s="14" t="n"/>
      <c r="Q3504" s="7" t="inlineStr"/>
      <c r="R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8" t="n"/>
      <c r="N3505" s="7" t="inlineStr">
        <is>
          <t>SEM COTAÇÃO</t>
        </is>
      </c>
      <c r="O3505" s="8" t="n"/>
      <c r="P3505" s="14" t="n"/>
      <c r="Q3505" s="7" t="inlineStr"/>
      <c r="R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8" t="n"/>
      <c r="N3506" s="7" t="inlineStr">
        <is>
          <t>SEM COTAÇÃO</t>
        </is>
      </c>
      <c r="O3506" s="8" t="n"/>
      <c r="P3506" s="14" t="n"/>
      <c r="Q3506" s="7" t="inlineStr"/>
      <c r="R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8" t="n"/>
      <c r="N3507" s="7" t="inlineStr">
        <is>
          <t>SEM COTAÇÃO</t>
        </is>
      </c>
      <c r="O3507" s="8" t="n"/>
      <c r="P3507" s="14" t="n"/>
      <c r="Q3507" s="7" t="inlineStr"/>
      <c r="R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8" t="n"/>
      <c r="N3508" s="7" t="inlineStr">
        <is>
          <t>SEM COTAÇÃO</t>
        </is>
      </c>
      <c r="O3508" s="8" t="n"/>
      <c r="P3508" s="14" t="n"/>
      <c r="Q3508" s="7" t="inlineStr"/>
      <c r="R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8" t="n"/>
      <c r="N3509" s="7" t="inlineStr">
        <is>
          <t>SEM COTAÇÃO</t>
        </is>
      </c>
      <c r="O3509" s="8" t="n"/>
      <c r="P3509" s="14" t="n"/>
      <c r="Q3509" s="7" t="inlineStr"/>
      <c r="R3509" s="7" t="inlineStr"/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8" t="n"/>
      <c r="N3510" s="7" t="inlineStr">
        <is>
          <t>EPAN</t>
        </is>
      </c>
      <c r="O3510" s="8" t="n">
        <v>41.06</v>
      </c>
      <c r="P3510" s="14">
        <f>O3510/H3510-1</f>
        <v/>
      </c>
      <c r="Q3510" s="17" t="inlineStr">
        <is>
          <t>OK (≤ últ. compra)</t>
        </is>
      </c>
      <c r="R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8" t="n"/>
      <c r="N3511" s="7" t="inlineStr">
        <is>
          <t>SEM COTAÇÃO</t>
        </is>
      </c>
      <c r="O3511" s="8" t="n"/>
      <c r="P3511" s="14" t="n"/>
      <c r="Q3511" s="7" t="inlineStr"/>
      <c r="R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8" t="n"/>
      <c r="N3512" s="7" t="inlineStr">
        <is>
          <t>SEM COTAÇÃO</t>
        </is>
      </c>
      <c r="O3512" s="8" t="n"/>
      <c r="P3512" s="14" t="n"/>
      <c r="Q3512" s="7" t="inlineStr"/>
      <c r="R3512" s="7" t="inlineStr">
        <is>
          <t>EPAN: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8" t="n"/>
      <c r="N3513" s="7" t="inlineStr">
        <is>
          <t>SEM COTAÇÃO</t>
        </is>
      </c>
      <c r="O3513" s="8" t="n"/>
      <c r="P3513" s="14" t="n"/>
      <c r="Q3513" s="7" t="inlineStr"/>
      <c r="R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8" t="n"/>
      <c r="N3514" s="7" t="inlineStr">
        <is>
          <t>EPAN</t>
        </is>
      </c>
      <c r="O3514" s="8" t="n">
        <v>8.26</v>
      </c>
      <c r="P3514" s="14">
        <f>O3514/H3514-1</f>
        <v/>
      </c>
      <c r="Q3514" s="16" t="inlineStr">
        <is>
          <t>ACIMA +0.1%</t>
        </is>
      </c>
      <c r="R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8" t="n"/>
      <c r="N3515" s="7" t="inlineStr">
        <is>
          <t>EPAN</t>
        </is>
      </c>
      <c r="O3515" s="8" t="n">
        <v>14.43</v>
      </c>
      <c r="P3515" s="14">
        <f>O3515/H3515-1</f>
        <v/>
      </c>
      <c r="Q3515" s="17" t="inlineStr">
        <is>
          <t>OK (≤ últ. compra)</t>
        </is>
      </c>
      <c r="R3515" s="7" t="inlineStr"/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8" t="n"/>
      <c r="N3516" s="7" t="inlineStr">
        <is>
          <t>EPAN</t>
        </is>
      </c>
      <c r="O3516" s="8" t="n">
        <v>13.74</v>
      </c>
      <c r="P3516" s="14">
        <f>O3516/H3516-1</f>
        <v/>
      </c>
      <c r="Q3516" s="17" t="inlineStr">
        <is>
          <t>OK (≤ últ. compra)</t>
        </is>
      </c>
      <c r="R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8" t="n"/>
      <c r="N3517" s="7" t="inlineStr">
        <is>
          <t>SEM COTAÇÃO</t>
        </is>
      </c>
      <c r="O3517" s="8" t="n"/>
      <c r="P3517" s="14" t="n"/>
      <c r="Q3517" s="7" t="inlineStr"/>
      <c r="R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8" t="n"/>
      <c r="N3518" s="7" t="inlineStr">
        <is>
          <t>SEM COTAÇÃO</t>
        </is>
      </c>
      <c r="O3518" s="8" t="n"/>
      <c r="P3518" s="14" t="n"/>
      <c r="Q3518" s="7" t="inlineStr"/>
      <c r="R3518" s="7" t="inlineStr">
        <is>
          <t>EPAN: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8" t="n"/>
      <c r="N3519" s="7" t="inlineStr">
        <is>
          <t>SEM COTAÇÃO</t>
        </is>
      </c>
      <c r="O3519" s="8" t="n"/>
      <c r="P3519" s="14" t="n"/>
      <c r="Q3519" s="7" t="inlineStr"/>
      <c r="R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8" t="n"/>
      <c r="N3520" s="7" t="inlineStr">
        <is>
          <t>SEM COTAÇÃO</t>
        </is>
      </c>
      <c r="O3520" s="8" t="n"/>
      <c r="P3520" s="14" t="n"/>
      <c r="Q3520" s="7" t="inlineStr"/>
      <c r="R3520" s="7" t="inlineStr"/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8" t="n"/>
      <c r="N3521" s="7" t="inlineStr">
        <is>
          <t>SEM COTAÇÃO</t>
        </is>
      </c>
      <c r="O3521" s="8" t="n"/>
      <c r="P3521" s="14" t="n"/>
      <c r="Q3521" s="7" t="inlineStr"/>
      <c r="R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8" t="n"/>
      <c r="N3522" s="7" t="inlineStr">
        <is>
          <t>SEM COTAÇÃO</t>
        </is>
      </c>
      <c r="O3522" s="8" t="n"/>
      <c r="P3522" s="14" t="n"/>
      <c r="Q3522" s="7" t="inlineStr"/>
      <c r="R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8" t="n"/>
      <c r="N3523" s="7" t="inlineStr">
        <is>
          <t>SEM COTAÇÃO</t>
        </is>
      </c>
      <c r="O3523" s="8" t="n"/>
      <c r="P3523" s="14" t="n"/>
      <c r="Q3523" s="7" t="inlineStr"/>
      <c r="R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8" t="n"/>
      <c r="N3524" s="7" t="inlineStr">
        <is>
          <t>SEM COTAÇÃO</t>
        </is>
      </c>
      <c r="O3524" s="8" t="n"/>
      <c r="P3524" s="14" t="n"/>
      <c r="Q3524" s="7" t="inlineStr"/>
      <c r="R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8" t="n"/>
      <c r="N3525" s="7" t="inlineStr">
        <is>
          <t>SEM COTAÇÃO</t>
        </is>
      </c>
      <c r="O3525" s="8" t="n"/>
      <c r="P3525" s="14" t="n"/>
      <c r="Q3525" s="7" t="inlineStr"/>
      <c r="R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8" t="n"/>
      <c r="N3526" s="7" t="inlineStr">
        <is>
          <t>SEM COTAÇÃO</t>
        </is>
      </c>
      <c r="O3526" s="8" t="n"/>
      <c r="P3526" s="14" t="n"/>
      <c r="Q3526" s="7" t="inlineStr"/>
      <c r="R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8" t="n"/>
      <c r="N3527" s="7" t="inlineStr">
        <is>
          <t>SEM COTAÇÃO</t>
        </is>
      </c>
      <c r="O3527" s="8" t="n"/>
      <c r="P3527" s="14" t="n"/>
      <c r="Q3527" s="7" t="inlineStr"/>
      <c r="R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8" t="n"/>
      <c r="M3528" s="8" t="n"/>
      <c r="N3528" s="7" t="inlineStr">
        <is>
          <t>DIMEC</t>
        </is>
      </c>
      <c r="O3528" s="8" t="n">
        <v>6.88</v>
      </c>
      <c r="P3528" s="14">
        <f>O3528/H3528-1</f>
        <v/>
      </c>
      <c r="Q3528" s="16" t="inlineStr">
        <is>
          <t>ACIMA +22.9%</t>
        </is>
      </c>
      <c r="R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8" t="n"/>
      <c r="N3529" s="7" t="inlineStr">
        <is>
          <t>SEM COTAÇÃO</t>
        </is>
      </c>
      <c r="O3529" s="8" t="n"/>
      <c r="P3529" s="14" t="n"/>
      <c r="Q3529" s="7" t="inlineStr"/>
      <c r="R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8" t="n"/>
      <c r="N3530" s="7" t="inlineStr">
        <is>
          <t>SEM COTAÇÃO</t>
        </is>
      </c>
      <c r="O3530" s="8" t="n"/>
      <c r="P3530" s="14" t="n"/>
      <c r="Q3530" s="7" t="inlineStr"/>
      <c r="R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7" t="inlineStr">
        <is>
          <t>SEM COTAÇÃO</t>
        </is>
      </c>
      <c r="O3531" s="8" t="n"/>
      <c r="P3531" s="14" t="n"/>
      <c r="Q3531" s="7" t="inlineStr"/>
      <c r="R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8" t="n"/>
      <c r="N3532" s="7" t="inlineStr">
        <is>
          <t>SEM COTAÇÃO</t>
        </is>
      </c>
      <c r="O3532" s="8" t="n"/>
      <c r="P3532" s="14" t="n"/>
      <c r="Q3532" s="7" t="inlineStr"/>
      <c r="R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8" t="n">
        <v>21.71</v>
      </c>
      <c r="N3533" s="7" t="inlineStr">
        <is>
          <t>DIMEC</t>
        </is>
      </c>
      <c r="O3533" s="8" t="n">
        <v>20.33</v>
      </c>
      <c r="P3533" s="14">
        <f>O3533/H3533-1</f>
        <v/>
      </c>
      <c r="Q3533" s="17" t="inlineStr">
        <is>
          <t>OK (≤ menor hist.)</t>
        </is>
      </c>
      <c r="R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8" t="n"/>
      <c r="N3534" s="7" t="inlineStr">
        <is>
          <t>SEM COTAÇÃO</t>
        </is>
      </c>
      <c r="O3534" s="8" t="n"/>
      <c r="P3534" s="14" t="n"/>
      <c r="Q3534" s="7" t="inlineStr"/>
      <c r="R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8" t="n"/>
      <c r="N3535" s="7" t="inlineStr">
        <is>
          <t>SEM COTAÇÃO</t>
        </is>
      </c>
      <c r="O3535" s="8" t="n"/>
      <c r="P3535" s="14" t="n"/>
      <c r="Q3535" s="7" t="inlineStr"/>
      <c r="R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7" t="inlineStr">
        <is>
          <t>SEM COTAÇÃO</t>
        </is>
      </c>
      <c r="O3536" s="8" t="n"/>
      <c r="P3536" s="14" t="n"/>
      <c r="Q3536" s="7" t="inlineStr"/>
      <c r="R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7" t="inlineStr">
        <is>
          <t>SEM COTAÇÃO</t>
        </is>
      </c>
      <c r="O3537" s="8" t="n"/>
      <c r="P3537" s="14" t="n"/>
      <c r="Q3537" s="7" t="inlineStr"/>
      <c r="R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8" t="n"/>
      <c r="N3538" s="7" t="inlineStr">
        <is>
          <t>SEM COTAÇÃO</t>
        </is>
      </c>
      <c r="O3538" s="8" t="n"/>
      <c r="P3538" s="14" t="n"/>
      <c r="Q3538" s="7" t="inlineStr"/>
      <c r="R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8" t="n"/>
      <c r="N3539" s="7" t="inlineStr">
        <is>
          <t>SEM COTAÇÃO</t>
        </is>
      </c>
      <c r="O3539" s="8" t="n"/>
      <c r="P3539" s="14" t="n"/>
      <c r="Q3539" s="7" t="inlineStr"/>
      <c r="R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8" t="n"/>
      <c r="N3540" s="7" t="inlineStr">
        <is>
          <t>SEM COTAÇÃO</t>
        </is>
      </c>
      <c r="O3540" s="8" t="n"/>
      <c r="P3540" s="14" t="n"/>
      <c r="Q3540" s="7" t="inlineStr"/>
      <c r="R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8" t="n"/>
      <c r="N3541" s="7" t="inlineStr">
        <is>
          <t>SEM COTAÇÃO</t>
        </is>
      </c>
      <c r="O3541" s="8" t="n"/>
      <c r="P3541" s="14" t="n"/>
      <c r="Q3541" s="7" t="inlineStr"/>
      <c r="R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8" t="n"/>
      <c r="N3542" s="7" t="inlineStr">
        <is>
          <t>SEM COTAÇÃO</t>
        </is>
      </c>
      <c r="O3542" s="8" t="n"/>
      <c r="P3542" s="14" t="n"/>
      <c r="Q3542" s="7" t="inlineStr"/>
      <c r="R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8" t="n"/>
      <c r="N3543" s="7" t="inlineStr">
        <is>
          <t>SEM COTAÇÃO</t>
        </is>
      </c>
      <c r="O3543" s="8" t="n"/>
      <c r="P3543" s="14" t="n"/>
      <c r="Q3543" s="7" t="inlineStr"/>
      <c r="R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8" t="n"/>
      <c r="N3544" s="7" t="inlineStr">
        <is>
          <t>SEM COTAÇÃO</t>
        </is>
      </c>
      <c r="O3544" s="8" t="n"/>
      <c r="P3544" s="14" t="n"/>
      <c r="Q3544" s="7" t="inlineStr"/>
      <c r="R3544" s="7" t="inlineStr"/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8" t="n"/>
      <c r="N3545" s="7" t="inlineStr">
        <is>
          <t>SEM COTAÇÃO</t>
        </is>
      </c>
      <c r="O3545" s="8" t="n"/>
      <c r="P3545" s="14" t="n"/>
      <c r="Q3545" s="7" t="inlineStr"/>
      <c r="R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8" t="n"/>
      <c r="N3546" s="7" t="inlineStr">
        <is>
          <t>SEM COTAÇÃO</t>
        </is>
      </c>
      <c r="O3546" s="8" t="n"/>
      <c r="P3546" s="14" t="n"/>
      <c r="Q3546" s="7" t="inlineStr"/>
      <c r="R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8" t="n"/>
      <c r="N3547" s="7" t="inlineStr">
        <is>
          <t>SEM COTAÇÃO</t>
        </is>
      </c>
      <c r="O3547" s="8" t="n"/>
      <c r="P3547" s="14" t="n"/>
      <c r="Q3547" s="7" t="inlineStr"/>
      <c r="R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8" t="n"/>
      <c r="N3548" s="7" t="inlineStr">
        <is>
          <t>DIMEC</t>
        </is>
      </c>
      <c r="O3548" s="8" t="n">
        <v>4.14</v>
      </c>
      <c r="P3548" s="14">
        <f>O3548/H3548-1</f>
        <v/>
      </c>
      <c r="Q3548" s="16" t="inlineStr">
        <is>
          <t>ACIMA +19.4%</t>
        </is>
      </c>
      <c r="R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8" t="n"/>
      <c r="N3549" s="7" t="inlineStr">
        <is>
          <t>SEM COTAÇÃO</t>
        </is>
      </c>
      <c r="O3549" s="8" t="n"/>
      <c r="P3549" s="14" t="n"/>
      <c r="Q3549" s="7" t="inlineStr"/>
      <c r="R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8" t="n"/>
      <c r="N3550" s="7" t="inlineStr">
        <is>
          <t>SEM COTAÇÃO</t>
        </is>
      </c>
      <c r="O3550" s="8" t="n"/>
      <c r="P3550" s="14" t="n"/>
      <c r="Q3550" s="7" t="inlineStr"/>
      <c r="R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8" t="n"/>
      <c r="N3551" s="7" t="inlineStr">
        <is>
          <t>SEM COTAÇÃO</t>
        </is>
      </c>
      <c r="O3551" s="8" t="n"/>
      <c r="P3551" s="14" t="n"/>
      <c r="Q3551" s="7" t="inlineStr"/>
      <c r="R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8" t="n"/>
      <c r="N3552" s="7" t="inlineStr">
        <is>
          <t>SEM COTAÇÃO</t>
        </is>
      </c>
      <c r="O3552" s="8" t="n"/>
      <c r="P3552" s="14" t="n"/>
      <c r="Q3552" s="7" t="inlineStr"/>
      <c r="R3552" s="7" t="inlineStr"/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8" t="n"/>
      <c r="N3553" s="7" t="inlineStr">
        <is>
          <t>SEM COTAÇÃO</t>
        </is>
      </c>
      <c r="O3553" s="8" t="n"/>
      <c r="P3553" s="14" t="n"/>
      <c r="Q3553" s="7" t="inlineStr"/>
      <c r="R3553" s="7" t="inlineStr"/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8" t="n"/>
      <c r="N3554" s="7" t="inlineStr">
        <is>
          <t>SEM COTAÇÃO</t>
        </is>
      </c>
      <c r="O3554" s="8" t="n"/>
      <c r="P3554" s="14" t="n"/>
      <c r="Q3554" s="7" t="inlineStr"/>
      <c r="R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8" t="n"/>
      <c r="N3555" s="7" t="inlineStr">
        <is>
          <t>SEM COTAÇÃO</t>
        </is>
      </c>
      <c r="O3555" s="8" t="n"/>
      <c r="P3555" s="14" t="n"/>
      <c r="Q3555" s="7" t="inlineStr"/>
      <c r="R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8" t="n"/>
      <c r="N3556" s="7" t="inlineStr">
        <is>
          <t>SEM COTAÇÃO</t>
        </is>
      </c>
      <c r="O3556" s="8" t="n"/>
      <c r="P3556" s="14" t="n"/>
      <c r="Q3556" s="7" t="inlineStr"/>
      <c r="R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8" t="n"/>
      <c r="N3557" s="7" t="inlineStr">
        <is>
          <t>SEM COTAÇÃO</t>
        </is>
      </c>
      <c r="O3557" s="8" t="n"/>
      <c r="P3557" s="14" t="n"/>
      <c r="Q3557" s="7" t="inlineStr"/>
      <c r="R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8" t="n"/>
      <c r="N3558" s="7" t="inlineStr">
        <is>
          <t>SEM COTAÇÃO</t>
        </is>
      </c>
      <c r="O3558" s="8" t="n"/>
      <c r="P3558" s="14" t="n"/>
      <c r="Q3558" s="7" t="inlineStr"/>
      <c r="R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8" t="n"/>
      <c r="N3559" s="7" t="inlineStr">
        <is>
          <t>SEM COTAÇÃO</t>
        </is>
      </c>
      <c r="O3559" s="8" t="n"/>
      <c r="P3559" s="14" t="n"/>
      <c r="Q3559" s="7" t="inlineStr"/>
      <c r="R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8" t="n"/>
      <c r="N3560" s="7" t="inlineStr">
        <is>
          <t>SEM COTAÇÃO</t>
        </is>
      </c>
      <c r="O3560" s="8" t="n"/>
      <c r="P3560" s="14" t="n"/>
      <c r="Q3560" s="7" t="inlineStr"/>
      <c r="R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8" t="n"/>
      <c r="N3561" s="7" t="inlineStr">
        <is>
          <t>SEM COTAÇÃO</t>
        </is>
      </c>
      <c r="O3561" s="8" t="n"/>
      <c r="P3561" s="14" t="n"/>
      <c r="Q3561" s="7" t="inlineStr"/>
      <c r="R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8" t="n"/>
      <c r="N3562" s="7" t="inlineStr">
        <is>
          <t>SEM COTAÇÃO</t>
        </is>
      </c>
      <c r="O3562" s="8" t="n"/>
      <c r="P3562" s="14" t="n"/>
      <c r="Q3562" s="7" t="inlineStr"/>
      <c r="R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8" t="n"/>
      <c r="N3563" s="7" t="inlineStr">
        <is>
          <t>SEM COTAÇÃO</t>
        </is>
      </c>
      <c r="O3563" s="8" t="n"/>
      <c r="P3563" s="14" t="n"/>
      <c r="Q3563" s="7" t="inlineStr"/>
      <c r="R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8" t="n"/>
      <c r="N3564" s="7" t="inlineStr">
        <is>
          <t>SEM COTAÇÃO</t>
        </is>
      </c>
      <c r="O3564" s="8" t="n"/>
      <c r="P3564" s="14" t="n"/>
      <c r="Q3564" s="7" t="inlineStr"/>
      <c r="R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8" t="n"/>
      <c r="N3565" s="7" t="inlineStr">
        <is>
          <t>SEM COTAÇÃO</t>
        </is>
      </c>
      <c r="O3565" s="8" t="n"/>
      <c r="P3565" s="14" t="n"/>
      <c r="Q3565" s="7" t="inlineStr"/>
      <c r="R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8" t="n"/>
      <c r="N3566" s="7" t="inlineStr">
        <is>
          <t>SEM COTAÇÃO</t>
        </is>
      </c>
      <c r="O3566" s="8" t="n"/>
      <c r="P3566" s="14" t="n"/>
      <c r="Q3566" s="7" t="inlineStr"/>
      <c r="R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8" t="n"/>
      <c r="N3567" s="7" t="inlineStr">
        <is>
          <t>SEM COTAÇÃO</t>
        </is>
      </c>
      <c r="O3567" s="8" t="n"/>
      <c r="P3567" s="14" t="n"/>
      <c r="Q3567" s="7" t="inlineStr"/>
      <c r="R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8" t="n"/>
      <c r="N3568" s="7" t="inlineStr">
        <is>
          <t>SEM COTAÇÃO</t>
        </is>
      </c>
      <c r="O3568" s="8" t="n"/>
      <c r="P3568" s="14" t="n"/>
      <c r="Q3568" s="7" t="inlineStr"/>
      <c r="R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8" t="n"/>
      <c r="N3569" s="7" t="inlineStr">
        <is>
          <t>SEM COTAÇÃO</t>
        </is>
      </c>
      <c r="O3569" s="8" t="n"/>
      <c r="P3569" s="14" t="n"/>
      <c r="Q3569" s="7" t="inlineStr"/>
      <c r="R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8" t="n"/>
      <c r="N3570" s="7" t="inlineStr">
        <is>
          <t>SEM COTAÇÃO</t>
        </is>
      </c>
      <c r="O3570" s="8" t="n"/>
      <c r="P3570" s="14" t="n"/>
      <c r="Q3570" s="7" t="inlineStr"/>
      <c r="R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8" t="n"/>
      <c r="N3571" s="7" t="inlineStr">
        <is>
          <t>SEM COTAÇÃO</t>
        </is>
      </c>
      <c r="O3571" s="8" t="n"/>
      <c r="P3571" s="14" t="n"/>
      <c r="Q3571" s="7" t="inlineStr"/>
      <c r="R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8" t="n"/>
      <c r="N3572" s="7" t="inlineStr">
        <is>
          <t>SEM COTAÇÃO</t>
        </is>
      </c>
      <c r="O3572" s="8" t="n"/>
      <c r="P3572" s="14" t="n"/>
      <c r="Q3572" s="7" t="inlineStr"/>
      <c r="R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8" t="n"/>
      <c r="N3573" s="7" t="inlineStr">
        <is>
          <t>SEM COTAÇÃO</t>
        </is>
      </c>
      <c r="O3573" s="8" t="n"/>
      <c r="P3573" s="14" t="n"/>
      <c r="Q3573" s="7" t="inlineStr"/>
      <c r="R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8" t="n"/>
      <c r="N3574" s="7" t="inlineStr">
        <is>
          <t>SEM COTAÇÃO</t>
        </is>
      </c>
      <c r="O3574" s="8" t="n"/>
      <c r="P3574" s="14" t="n"/>
      <c r="Q3574" s="7" t="inlineStr"/>
      <c r="R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7" t="inlineStr">
        <is>
          <t>SEM COTAÇÃO</t>
        </is>
      </c>
      <c r="O3575" s="8" t="n"/>
      <c r="P3575" s="14" t="n"/>
      <c r="Q3575" s="7" t="inlineStr"/>
      <c r="R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8" t="n"/>
      <c r="N3576" s="7" t="inlineStr">
        <is>
          <t>SEM COTAÇÃO</t>
        </is>
      </c>
      <c r="O3576" s="8" t="n"/>
      <c r="P3576" s="14" t="n"/>
      <c r="Q3576" s="7" t="inlineStr"/>
      <c r="R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8" t="n"/>
      <c r="N3577" s="7" t="inlineStr">
        <is>
          <t>SEM COTAÇÃO</t>
        </is>
      </c>
      <c r="O3577" s="8" t="n"/>
      <c r="P3577" s="14" t="n"/>
      <c r="Q3577" s="7" t="inlineStr"/>
      <c r="R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8" t="n"/>
      <c r="N3578" s="7" t="inlineStr">
        <is>
          <t>SEM COTAÇÃO</t>
        </is>
      </c>
      <c r="O3578" s="8" t="n"/>
      <c r="P3578" s="14" t="n"/>
      <c r="Q3578" s="7" t="inlineStr"/>
      <c r="R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8" t="n"/>
      <c r="N3579" s="7" t="inlineStr">
        <is>
          <t>SEM COTAÇÃO</t>
        </is>
      </c>
      <c r="O3579" s="8" t="n"/>
      <c r="P3579" s="14" t="n"/>
      <c r="Q3579" s="7" t="inlineStr"/>
      <c r="R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8" t="n"/>
      <c r="N3580" s="7" t="inlineStr">
        <is>
          <t>SEM COTAÇÃO</t>
        </is>
      </c>
      <c r="O3580" s="8" t="n"/>
      <c r="P3580" s="14" t="n"/>
      <c r="Q3580" s="7" t="inlineStr"/>
      <c r="R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8" t="n"/>
      <c r="N3581" s="7" t="inlineStr">
        <is>
          <t>SEM COTAÇÃO</t>
        </is>
      </c>
      <c r="O3581" s="8" t="n"/>
      <c r="P3581" s="14" t="n"/>
      <c r="Q3581" s="7" t="inlineStr"/>
      <c r="R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8" t="n"/>
      <c r="N3582" s="7" t="inlineStr">
        <is>
          <t>SEM COTAÇÃO</t>
        </is>
      </c>
      <c r="O3582" s="8" t="n"/>
      <c r="P3582" s="14" t="n"/>
      <c r="Q3582" s="7" t="inlineStr"/>
      <c r="R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8" t="n"/>
      <c r="N3583" s="7" t="inlineStr">
        <is>
          <t>SEM COTAÇÃO</t>
        </is>
      </c>
      <c r="O3583" s="8" t="n"/>
      <c r="P3583" s="14" t="n"/>
      <c r="Q3583" s="7" t="inlineStr"/>
      <c r="R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8" t="n"/>
      <c r="N3584" s="7" t="inlineStr">
        <is>
          <t>SEM COTAÇÃO</t>
        </is>
      </c>
      <c r="O3584" s="8" t="n"/>
      <c r="P3584" s="14" t="n"/>
      <c r="Q3584" s="7" t="inlineStr"/>
      <c r="R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8" t="n"/>
      <c r="N3585" s="7" t="inlineStr">
        <is>
          <t>SEM COTAÇÃO</t>
        </is>
      </c>
      <c r="O3585" s="8" t="n"/>
      <c r="P3585" s="14" t="n"/>
      <c r="Q3585" s="7" t="inlineStr"/>
      <c r="R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8" t="n"/>
      <c r="N3586" s="7" t="inlineStr">
        <is>
          <t>SEM COTAÇÃO</t>
        </is>
      </c>
      <c r="O3586" s="8" t="n"/>
      <c r="P3586" s="14" t="n"/>
      <c r="Q3586" s="7" t="inlineStr"/>
      <c r="R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8" t="n"/>
      <c r="N3587" s="7" t="inlineStr">
        <is>
          <t>SEM COTAÇÃO</t>
        </is>
      </c>
      <c r="O3587" s="8" t="n"/>
      <c r="P3587" s="14" t="n"/>
      <c r="Q3587" s="7" t="inlineStr"/>
      <c r="R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8" t="n"/>
      <c r="N3588" s="7" t="inlineStr">
        <is>
          <t>SEM COTAÇÃO</t>
        </is>
      </c>
      <c r="O3588" s="8" t="n"/>
      <c r="P3588" s="14" t="n"/>
      <c r="Q3588" s="7" t="inlineStr"/>
      <c r="R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8" t="n"/>
      <c r="N3589" s="7" t="inlineStr">
        <is>
          <t>SEM COTAÇÃO</t>
        </is>
      </c>
      <c r="O3589" s="8" t="n"/>
      <c r="P3589" s="14" t="n"/>
      <c r="Q3589" s="7" t="inlineStr"/>
      <c r="R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8" t="n"/>
      <c r="N3590" s="7" t="inlineStr">
        <is>
          <t>SEM COTAÇÃO</t>
        </is>
      </c>
      <c r="O3590" s="8" t="n"/>
      <c r="P3590" s="14" t="n"/>
      <c r="Q3590" s="7" t="inlineStr"/>
      <c r="R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8" t="n"/>
      <c r="N3591" s="7" t="inlineStr">
        <is>
          <t>SEM COTAÇÃO</t>
        </is>
      </c>
      <c r="O3591" s="8" t="n"/>
      <c r="P3591" s="14" t="n"/>
      <c r="Q3591" s="7" t="inlineStr"/>
      <c r="R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8" t="n"/>
      <c r="N3592" s="7" t="inlineStr">
        <is>
          <t>SEM COTAÇÃO</t>
        </is>
      </c>
      <c r="O3592" s="8" t="n"/>
      <c r="P3592" s="14" t="n"/>
      <c r="Q3592" s="7" t="inlineStr"/>
      <c r="R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8" t="n"/>
      <c r="N3593" s="7" t="inlineStr">
        <is>
          <t>SEM COTAÇÃO</t>
        </is>
      </c>
      <c r="O3593" s="8" t="n"/>
      <c r="P3593" s="14" t="n"/>
      <c r="Q3593" s="7" t="inlineStr"/>
      <c r="R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8" t="n"/>
      <c r="N3594" s="7" t="inlineStr">
        <is>
          <t>SEM COTAÇÃO</t>
        </is>
      </c>
      <c r="O3594" s="8" t="n"/>
      <c r="P3594" s="14" t="n"/>
      <c r="Q3594" s="7" t="inlineStr"/>
      <c r="R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8" t="n"/>
      <c r="N3595" s="7" t="inlineStr">
        <is>
          <t>SEM COTAÇÃO</t>
        </is>
      </c>
      <c r="O3595" s="8" t="n"/>
      <c r="P3595" s="14" t="n"/>
      <c r="Q3595" s="7" t="inlineStr"/>
      <c r="R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8" t="n"/>
      <c r="N3596" s="7" t="inlineStr">
        <is>
          <t>SEM COTAÇÃO</t>
        </is>
      </c>
      <c r="O3596" s="8" t="n"/>
      <c r="P3596" s="14" t="n"/>
      <c r="Q3596" s="7" t="inlineStr"/>
      <c r="R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8" t="n"/>
      <c r="N3597" s="7" t="inlineStr">
        <is>
          <t>SEM COTAÇÃO</t>
        </is>
      </c>
      <c r="O3597" s="8" t="n"/>
      <c r="P3597" s="14" t="n"/>
      <c r="Q3597" s="7" t="inlineStr"/>
      <c r="R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8" t="n"/>
      <c r="N3598" s="7" t="inlineStr">
        <is>
          <t>SEM COTAÇÃO</t>
        </is>
      </c>
      <c r="O3598" s="8" t="n"/>
      <c r="P3598" s="14" t="n"/>
      <c r="Q3598" s="7" t="inlineStr"/>
      <c r="R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8" t="n"/>
      <c r="N3599" s="7" t="inlineStr">
        <is>
          <t>SEM COTAÇÃO</t>
        </is>
      </c>
      <c r="O3599" s="8" t="n"/>
      <c r="P3599" s="14" t="n"/>
      <c r="Q3599" s="7" t="inlineStr"/>
      <c r="R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8" t="n"/>
      <c r="N3600" s="7" t="inlineStr">
        <is>
          <t>SEM COTAÇÃO</t>
        </is>
      </c>
      <c r="O3600" s="8" t="n"/>
      <c r="P3600" s="14" t="n"/>
      <c r="Q3600" s="7" t="inlineStr"/>
      <c r="R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8" t="n"/>
      <c r="N3601" s="7" t="inlineStr">
        <is>
          <t>SEM COTAÇÃO</t>
        </is>
      </c>
      <c r="O3601" s="8" t="n"/>
      <c r="P3601" s="14" t="n"/>
      <c r="Q3601" s="7" t="inlineStr"/>
      <c r="R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8" t="n"/>
      <c r="N3602" s="7" t="inlineStr">
        <is>
          <t>SEM COTAÇÃO</t>
        </is>
      </c>
      <c r="O3602" s="8" t="n"/>
      <c r="P3602" s="14" t="n"/>
      <c r="Q3602" s="7" t="inlineStr"/>
      <c r="R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8" t="n"/>
      <c r="N3603" s="7" t="inlineStr">
        <is>
          <t>SEM COTAÇÃO</t>
        </is>
      </c>
      <c r="O3603" s="8" t="n"/>
      <c r="P3603" s="14" t="n"/>
      <c r="Q3603" s="7" t="inlineStr"/>
      <c r="R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8" t="n"/>
      <c r="N3604" s="7" t="inlineStr">
        <is>
          <t>SEM COTAÇÃO</t>
        </is>
      </c>
      <c r="O3604" s="8" t="n"/>
      <c r="P3604" s="14" t="n"/>
      <c r="Q3604" s="7" t="inlineStr"/>
      <c r="R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8" t="n"/>
      <c r="N3605" s="7" t="inlineStr">
        <is>
          <t>DIMEC</t>
        </is>
      </c>
      <c r="O3605" s="8" t="n">
        <v>20.61</v>
      </c>
      <c r="P3605" s="14">
        <f>O3605/H3605-1</f>
        <v/>
      </c>
      <c r="Q3605" s="17" t="inlineStr">
        <is>
          <t>OK (≤ menor hist.)</t>
        </is>
      </c>
      <c r="R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8" t="n"/>
      <c r="N3606" s="7" t="inlineStr">
        <is>
          <t>SEM COTAÇÃO</t>
        </is>
      </c>
      <c r="O3606" s="8" t="n"/>
      <c r="P3606" s="14" t="n"/>
      <c r="Q3606" s="7" t="inlineStr"/>
      <c r="R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8" t="n"/>
      <c r="N3607" s="7" t="inlineStr">
        <is>
          <t>SEM COTAÇÃO</t>
        </is>
      </c>
      <c r="O3607" s="8" t="n"/>
      <c r="P3607" s="14" t="n"/>
      <c r="Q3607" s="7" t="inlineStr"/>
      <c r="R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8" t="n"/>
      <c r="N3608" s="7" t="inlineStr">
        <is>
          <t>SEM COTAÇÃO</t>
        </is>
      </c>
      <c r="O3608" s="8" t="n"/>
      <c r="P3608" s="14" t="n"/>
      <c r="Q3608" s="7" t="inlineStr"/>
      <c r="R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8" t="n"/>
      <c r="N3609" s="7" t="inlineStr">
        <is>
          <t>SEM COTAÇÃO</t>
        </is>
      </c>
      <c r="O3609" s="8" t="n"/>
      <c r="P3609" s="14" t="n"/>
      <c r="Q3609" s="7" t="inlineStr"/>
      <c r="R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8" t="n"/>
      <c r="N3610" s="7" t="inlineStr">
        <is>
          <t>SEM COTAÇÃO</t>
        </is>
      </c>
      <c r="O3610" s="8" t="n"/>
      <c r="P3610" s="14" t="n"/>
      <c r="Q3610" s="7" t="inlineStr"/>
      <c r="R3610" s="7" t="inlineStr"/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8" t="n"/>
      <c r="N3611" s="7" t="inlineStr">
        <is>
          <t>SEM COTAÇÃO</t>
        </is>
      </c>
      <c r="O3611" s="8" t="n"/>
      <c r="P3611" s="14" t="n"/>
      <c r="Q3611" s="7" t="inlineStr"/>
      <c r="R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8" t="n"/>
      <c r="N3612" s="7" t="inlineStr">
        <is>
          <t>SEM COTAÇÃO</t>
        </is>
      </c>
      <c r="O3612" s="8" t="n"/>
      <c r="P3612" s="14" t="n"/>
      <c r="Q3612" s="7" t="inlineStr"/>
      <c r="R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8" t="n"/>
      <c r="N3613" s="7" t="inlineStr">
        <is>
          <t>SEM COTAÇÃO</t>
        </is>
      </c>
      <c r="O3613" s="8" t="n"/>
      <c r="P3613" s="14" t="n"/>
      <c r="Q3613" s="7" t="inlineStr"/>
      <c r="R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8" t="n"/>
      <c r="N3614" s="7" t="inlineStr">
        <is>
          <t>SEM COTAÇÃO</t>
        </is>
      </c>
      <c r="O3614" s="8" t="n"/>
      <c r="P3614" s="14" t="n"/>
      <c r="Q3614" s="7" t="inlineStr"/>
      <c r="R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8" t="n"/>
      <c r="N3615" s="7" t="inlineStr">
        <is>
          <t>SEM COTAÇÃO</t>
        </is>
      </c>
      <c r="O3615" s="8" t="n"/>
      <c r="P3615" s="14" t="n"/>
      <c r="Q3615" s="7" t="inlineStr"/>
      <c r="R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8" t="n"/>
      <c r="N3616" s="7" t="inlineStr">
        <is>
          <t>SEM COTAÇÃO</t>
        </is>
      </c>
      <c r="O3616" s="8" t="n"/>
      <c r="P3616" s="14" t="n"/>
      <c r="Q3616" s="7" t="inlineStr"/>
      <c r="R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8" t="n"/>
      <c r="N3617" s="7" t="inlineStr">
        <is>
          <t>SEM COTAÇÃO</t>
        </is>
      </c>
      <c r="O3617" s="8" t="n"/>
      <c r="P3617" s="14" t="n"/>
      <c r="Q3617" s="7" t="inlineStr"/>
      <c r="R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8" t="n"/>
      <c r="N3618" s="7" t="inlineStr">
        <is>
          <t>SEM COTAÇÃO</t>
        </is>
      </c>
      <c r="O3618" s="8" t="n"/>
      <c r="P3618" s="14" t="n"/>
      <c r="Q3618" s="7" t="inlineStr"/>
      <c r="R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8" t="n"/>
      <c r="N3619" s="7" t="inlineStr">
        <is>
          <t>SEM COTAÇÃO</t>
        </is>
      </c>
      <c r="O3619" s="8" t="n"/>
      <c r="P3619" s="14" t="n"/>
      <c r="Q3619" s="7" t="inlineStr"/>
      <c r="R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8" t="n"/>
      <c r="N3620" s="7" t="inlineStr">
        <is>
          <t>SEM COTAÇÃO</t>
        </is>
      </c>
      <c r="O3620" s="8" t="n"/>
      <c r="P3620" s="14" t="n"/>
      <c r="Q3620" s="7" t="inlineStr"/>
      <c r="R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8" t="n"/>
      <c r="N3621" s="7" t="inlineStr">
        <is>
          <t>SEM COTAÇÃO</t>
        </is>
      </c>
      <c r="O3621" s="8" t="n"/>
      <c r="P3621" s="14" t="n"/>
      <c r="Q3621" s="7" t="inlineStr"/>
      <c r="R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8" t="n"/>
      <c r="N3622" s="7" t="inlineStr">
        <is>
          <t>SEM COTAÇÃO</t>
        </is>
      </c>
      <c r="O3622" s="8" t="n"/>
      <c r="P3622" s="14" t="n"/>
      <c r="Q3622" s="7" t="inlineStr"/>
      <c r="R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8" t="n"/>
      <c r="N3623" s="7" t="inlineStr">
        <is>
          <t>SEM COTAÇÃO</t>
        </is>
      </c>
      <c r="O3623" s="8" t="n"/>
      <c r="P3623" s="14" t="n"/>
      <c r="Q3623" s="7" t="inlineStr"/>
      <c r="R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8" t="n"/>
      <c r="N3624" s="7" t="inlineStr">
        <is>
          <t>SEM COTAÇÃO</t>
        </is>
      </c>
      <c r="O3624" s="8" t="n"/>
      <c r="P3624" s="14" t="n"/>
      <c r="Q3624" s="7" t="inlineStr"/>
      <c r="R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8" t="n"/>
      <c r="N3625" s="7" t="inlineStr">
        <is>
          <t>SEM COTAÇÃO</t>
        </is>
      </c>
      <c r="O3625" s="8" t="n"/>
      <c r="P3625" s="14" t="n"/>
      <c r="Q3625" s="7" t="inlineStr"/>
      <c r="R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8" t="n"/>
      <c r="N3626" s="7" t="inlineStr">
        <is>
          <t>SEM COTAÇÃO</t>
        </is>
      </c>
      <c r="O3626" s="8" t="n"/>
      <c r="P3626" s="14" t="n"/>
      <c r="Q3626" s="7" t="inlineStr"/>
      <c r="R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8" t="n"/>
      <c r="N3627" s="7" t="inlineStr">
        <is>
          <t>SEM COTAÇÃO</t>
        </is>
      </c>
      <c r="O3627" s="8" t="n"/>
      <c r="P3627" s="14" t="n"/>
      <c r="Q3627" s="7" t="inlineStr"/>
      <c r="R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8" t="n"/>
      <c r="N3628" s="7" t="inlineStr">
        <is>
          <t>SEM COTAÇÃO</t>
        </is>
      </c>
      <c r="O3628" s="8" t="n"/>
      <c r="P3628" s="14" t="n"/>
      <c r="Q3628" s="7" t="inlineStr"/>
      <c r="R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15" t="n">
        <v>81.64</v>
      </c>
      <c r="N3629" s="7" t="inlineStr">
        <is>
          <t>CENTROFARMA</t>
        </is>
      </c>
      <c r="O3629" s="8" t="n">
        <v>81.64</v>
      </c>
      <c r="P3629" s="14">
        <f>O3629/H3629-1</f>
        <v/>
      </c>
      <c r="Q3629" s="16" t="inlineStr">
        <is>
          <t>ACIMA +72.8%</t>
        </is>
      </c>
      <c r="R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15" t="n">
        <v>8.449999999999999</v>
      </c>
      <c r="N3630" s="7" t="inlineStr">
        <is>
          <t>CENTROFARMA</t>
        </is>
      </c>
      <c r="O3630" s="8" t="n">
        <v>8.449999999999999</v>
      </c>
      <c r="P3630" s="14">
        <f>O3630/H3630-1</f>
        <v/>
      </c>
      <c r="Q3630" s="16" t="inlineStr">
        <is>
          <t>ACIMA +37.4%</t>
        </is>
      </c>
      <c r="R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8" t="n"/>
      <c r="N3631" s="7" t="inlineStr">
        <is>
          <t>SEM COTAÇÃO</t>
        </is>
      </c>
      <c r="O3631" s="8" t="n"/>
      <c r="P3631" s="14" t="n"/>
      <c r="Q3631" s="7" t="inlineStr"/>
      <c r="R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8" t="n"/>
      <c r="N3632" s="7" t="inlineStr">
        <is>
          <t>EPAN</t>
        </is>
      </c>
      <c r="O3632" s="8" t="n">
        <v>41.78</v>
      </c>
      <c r="P3632" s="14">
        <f>O3632/H3632-1</f>
        <v/>
      </c>
      <c r="Q3632" s="16" t="inlineStr">
        <is>
          <t>ACIMA +26.6%</t>
        </is>
      </c>
      <c r="R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8" t="n"/>
      <c r="N3633" s="7" t="inlineStr">
        <is>
          <t>SEM COTAÇÃO</t>
        </is>
      </c>
      <c r="O3633" s="8" t="n"/>
      <c r="P3633" s="14" t="n"/>
      <c r="Q3633" s="7" t="inlineStr"/>
      <c r="R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8" t="n"/>
      <c r="N3634" s="7" t="inlineStr">
        <is>
          <t>SEM COTAÇÃO</t>
        </is>
      </c>
      <c r="O3634" s="8" t="n"/>
      <c r="P3634" s="14" t="n"/>
      <c r="Q3634" s="7" t="inlineStr"/>
      <c r="R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8" t="n"/>
      <c r="N3635" s="7" t="inlineStr">
        <is>
          <t>SEM COTAÇÃO</t>
        </is>
      </c>
      <c r="O3635" s="8" t="n"/>
      <c r="P3635" s="14" t="n"/>
      <c r="Q3635" s="7" t="inlineStr"/>
      <c r="R3635" s="7" t="inlineStr"/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8" t="n"/>
      <c r="N3636" s="7" t="inlineStr">
        <is>
          <t>EPAN</t>
        </is>
      </c>
      <c r="O3636" s="8" t="n">
        <v>18.32</v>
      </c>
      <c r="P3636" s="14">
        <f>O3636/H3636-1</f>
        <v/>
      </c>
      <c r="Q3636" s="17" t="inlineStr">
        <is>
          <t>OK (≤ menor hist.)</t>
        </is>
      </c>
      <c r="R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7" t="inlineStr">
        <is>
          <t>SEM COTAÇÃO</t>
        </is>
      </c>
      <c r="O3637" s="8" t="n"/>
      <c r="P3637" s="14" t="n"/>
      <c r="Q3637" s="7" t="inlineStr"/>
      <c r="R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15" t="n">
        <v>6.79</v>
      </c>
      <c r="L3638" s="8" t="n"/>
      <c r="M3638" s="8" t="n"/>
      <c r="N3638" s="7" t="inlineStr">
        <is>
          <t>PLUSFARMA</t>
        </is>
      </c>
      <c r="O3638" s="8" t="n">
        <v>6.79</v>
      </c>
      <c r="P3638" s="14">
        <f>O3638/H3638-1</f>
        <v/>
      </c>
      <c r="Q3638" s="17" t="inlineStr">
        <is>
          <t>OK (≤ menor hist.)</t>
        </is>
      </c>
      <c r="R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8" t="n"/>
      <c r="N3639" s="7" t="inlineStr">
        <is>
          <t>SEM COTAÇÃO</t>
        </is>
      </c>
      <c r="O3639" s="8" t="n"/>
      <c r="P3639" s="14" t="n"/>
      <c r="Q3639" s="7" t="inlineStr"/>
      <c r="R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8" t="n"/>
      <c r="N3640" s="7" t="inlineStr">
        <is>
          <t>SEM COTAÇÃO</t>
        </is>
      </c>
      <c r="O3640" s="8" t="n"/>
      <c r="P3640" s="14" t="n"/>
      <c r="Q3640" s="7" t="inlineStr"/>
      <c r="R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8" t="n"/>
      <c r="N3641" s="7" t="inlineStr">
        <is>
          <t>SEM COTAÇÃO</t>
        </is>
      </c>
      <c r="O3641" s="8" t="n"/>
      <c r="P3641" s="14" t="n"/>
      <c r="Q3641" s="7" t="inlineStr"/>
      <c r="R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15" t="n">
        <v>32.49</v>
      </c>
      <c r="N3642" s="7" t="inlineStr">
        <is>
          <t>CENTROFARMA</t>
        </is>
      </c>
      <c r="O3642" s="8" t="n">
        <v>32.49</v>
      </c>
      <c r="P3642" s="14">
        <f>O3642/H3642-1</f>
        <v/>
      </c>
      <c r="Q3642" s="16" t="inlineStr">
        <is>
          <t>ACIMA +32.1%</t>
        </is>
      </c>
      <c r="R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8" t="n"/>
      <c r="N3643" s="7" t="inlineStr">
        <is>
          <t>SEM COTAÇÃO</t>
        </is>
      </c>
      <c r="O3643" s="8" t="n"/>
      <c r="P3643" s="14" t="n"/>
      <c r="Q3643" s="7" t="inlineStr"/>
      <c r="R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15" t="n">
        <v>25.56</v>
      </c>
      <c r="M3644" s="8" t="n"/>
      <c r="N3644" s="7" t="inlineStr">
        <is>
          <t>EPAN</t>
        </is>
      </c>
      <c r="O3644" s="8" t="n">
        <v>25.56</v>
      </c>
      <c r="P3644" s="14">
        <f>O3644/H3644-1</f>
        <v/>
      </c>
      <c r="Q3644" s="16" t="inlineStr">
        <is>
          <t>ACIMA +5.6%</t>
        </is>
      </c>
      <c r="R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8" t="n"/>
      <c r="N3645" s="7" t="inlineStr">
        <is>
          <t>SEM COTAÇÃO</t>
        </is>
      </c>
      <c r="O3645" s="8" t="n"/>
      <c r="P3645" s="14" t="n"/>
      <c r="Q3645" s="7" t="inlineStr"/>
      <c r="R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8" t="n"/>
      <c r="N3646" s="7" t="inlineStr">
        <is>
          <t>SEM COTAÇÃO</t>
        </is>
      </c>
      <c r="O3646" s="8" t="n"/>
      <c r="P3646" s="14" t="n"/>
      <c r="Q3646" s="7" t="inlineStr"/>
      <c r="R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8" t="n"/>
      <c r="N3647" s="7" t="inlineStr">
        <is>
          <t>SEM COTAÇÃO</t>
        </is>
      </c>
      <c r="O3647" s="8" t="n"/>
      <c r="P3647" s="14" t="n"/>
      <c r="Q3647" s="7" t="inlineStr"/>
      <c r="R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8" t="n"/>
      <c r="N3648" s="7" t="inlineStr">
        <is>
          <t>SEM COTAÇÃO</t>
        </is>
      </c>
      <c r="O3648" s="8" t="n"/>
      <c r="P3648" s="14" t="n"/>
      <c r="Q3648" s="7" t="inlineStr"/>
      <c r="R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8" t="n"/>
      <c r="N3649" s="7" t="inlineStr">
        <is>
          <t>SEM COTAÇÃO</t>
        </is>
      </c>
      <c r="O3649" s="8" t="n"/>
      <c r="P3649" s="14" t="n"/>
      <c r="Q3649" s="7" t="inlineStr"/>
      <c r="R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8" t="n">
        <v>13.09</v>
      </c>
      <c r="N3650" s="7" t="inlineStr">
        <is>
          <t>DIMEC</t>
        </is>
      </c>
      <c r="O3650" s="8" t="n">
        <v>12.34</v>
      </c>
      <c r="P3650" s="14">
        <f>O3650/H3650-1</f>
        <v/>
      </c>
      <c r="Q3650" s="16" t="inlineStr">
        <is>
          <t>ACIMA +7.1%</t>
        </is>
      </c>
      <c r="R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8" t="n"/>
      <c r="N3651" s="7" t="inlineStr">
        <is>
          <t>SEM COTAÇÃO</t>
        </is>
      </c>
      <c r="O3651" s="8" t="n"/>
      <c r="P3651" s="14" t="n"/>
      <c r="Q3651" s="7" t="inlineStr"/>
      <c r="R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8" t="n"/>
      <c r="N3652" s="7" t="inlineStr">
        <is>
          <t>SEM COTAÇÃO</t>
        </is>
      </c>
      <c r="O3652" s="8" t="n"/>
      <c r="P3652" s="14" t="n"/>
      <c r="Q3652" s="7" t="inlineStr"/>
      <c r="R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8" t="n"/>
      <c r="N3653" s="7" t="inlineStr">
        <is>
          <t>SEM COTAÇÃO</t>
        </is>
      </c>
      <c r="O3653" s="8" t="n"/>
      <c r="P3653" s="14" t="n"/>
      <c r="Q3653" s="7" t="inlineStr"/>
      <c r="R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8" t="n"/>
      <c r="N3654" s="7" t="inlineStr">
        <is>
          <t>SEM COTAÇÃO</t>
        </is>
      </c>
      <c r="O3654" s="8" t="n"/>
      <c r="P3654" s="14" t="n"/>
      <c r="Q3654" s="7" t="inlineStr"/>
      <c r="R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8" t="n"/>
      <c r="N3655" s="7" t="inlineStr">
        <is>
          <t>SEM COTAÇÃO</t>
        </is>
      </c>
      <c r="O3655" s="8" t="n"/>
      <c r="P3655" s="14" t="n"/>
      <c r="Q3655" s="7" t="inlineStr"/>
      <c r="R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8" t="n"/>
      <c r="N3656" s="7" t="inlineStr">
        <is>
          <t>SEM COTAÇÃO</t>
        </is>
      </c>
      <c r="O3656" s="8" t="n"/>
      <c r="P3656" s="14" t="n"/>
      <c r="Q3656" s="7" t="inlineStr"/>
      <c r="R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8" t="n"/>
      <c r="N3657" s="7" t="inlineStr">
        <is>
          <t>SEM COTAÇÃO</t>
        </is>
      </c>
      <c r="O3657" s="8" t="n"/>
      <c r="P3657" s="14" t="n"/>
      <c r="Q3657" s="7" t="inlineStr"/>
      <c r="R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8" t="n"/>
      <c r="N3658" s="7" t="inlineStr">
        <is>
          <t>SEM COTAÇÃO</t>
        </is>
      </c>
      <c r="O3658" s="8" t="n"/>
      <c r="P3658" s="14" t="n"/>
      <c r="Q3658" s="7" t="inlineStr"/>
      <c r="R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8" t="n"/>
      <c r="N3659" s="7" t="inlineStr">
        <is>
          <t>SEM COTAÇÃO</t>
        </is>
      </c>
      <c r="O3659" s="8" t="n"/>
      <c r="P3659" s="14" t="n"/>
      <c r="Q3659" s="7" t="inlineStr"/>
      <c r="R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8" t="n"/>
      <c r="N3660" s="7" t="inlineStr">
        <is>
          <t>SEM COTAÇÃO</t>
        </is>
      </c>
      <c r="O3660" s="8" t="n"/>
      <c r="P3660" s="14" t="n"/>
      <c r="Q3660" s="7" t="inlineStr"/>
      <c r="R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8" t="n"/>
      <c r="N3661" s="7" t="inlineStr">
        <is>
          <t>SEM COTAÇÃO</t>
        </is>
      </c>
      <c r="O3661" s="8" t="n"/>
      <c r="P3661" s="14" t="n"/>
      <c r="Q3661" s="7" t="inlineStr"/>
      <c r="R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8" t="n"/>
      <c r="N3662" s="7" t="inlineStr">
        <is>
          <t>SEM COTAÇÃO</t>
        </is>
      </c>
      <c r="O3662" s="8" t="n"/>
      <c r="P3662" s="14" t="n"/>
      <c r="Q3662" s="7" t="inlineStr"/>
      <c r="R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8" t="n"/>
      <c r="N3663" s="7" t="inlineStr">
        <is>
          <t>SEM COTAÇÃO</t>
        </is>
      </c>
      <c r="O3663" s="8" t="n"/>
      <c r="P3663" s="14" t="n"/>
      <c r="Q3663" s="7" t="inlineStr"/>
      <c r="R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8" t="n"/>
      <c r="N3664" s="7" t="inlineStr">
        <is>
          <t>SEM COTAÇÃO</t>
        </is>
      </c>
      <c r="O3664" s="8" t="n"/>
      <c r="P3664" s="14" t="n"/>
      <c r="Q3664" s="7" t="inlineStr"/>
      <c r="R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8" t="n"/>
      <c r="N3665" s="7" t="inlineStr">
        <is>
          <t>SEM COTAÇÃO</t>
        </is>
      </c>
      <c r="O3665" s="8" t="n"/>
      <c r="P3665" s="14" t="n"/>
      <c r="Q3665" s="7" t="inlineStr"/>
      <c r="R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8" t="n"/>
      <c r="N3666" s="7" t="inlineStr">
        <is>
          <t>EPAN</t>
        </is>
      </c>
      <c r="O3666" s="8" t="n">
        <v>13.55</v>
      </c>
      <c r="P3666" s="14">
        <f>O3666/H3666-1</f>
        <v/>
      </c>
      <c r="Q3666" s="17" t="inlineStr">
        <is>
          <t>OK (≤ últ. compra)</t>
        </is>
      </c>
      <c r="R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7" t="inlineStr">
        <is>
          <t>SEM COTAÇÃO</t>
        </is>
      </c>
      <c r="O3667" s="8" t="n"/>
      <c r="P3667" s="14" t="n"/>
      <c r="Q3667" s="7" t="inlineStr"/>
      <c r="R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15" t="n">
        <v>145.73</v>
      </c>
      <c r="N3668" s="7" t="inlineStr">
        <is>
          <t>CENTROFARMA</t>
        </is>
      </c>
      <c r="O3668" s="8" t="n">
        <v>145.73</v>
      </c>
      <c r="P3668" s="14">
        <f>O3668/H3668-1</f>
        <v/>
      </c>
      <c r="Q3668" s="16" t="inlineStr">
        <is>
          <t>ACIMA +24.5%</t>
        </is>
      </c>
      <c r="R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15" t="n">
        <v>167.09</v>
      </c>
      <c r="N3669" s="7" t="inlineStr">
        <is>
          <t>CENTROFARMA</t>
        </is>
      </c>
      <c r="O3669" s="8" t="n">
        <v>167.09</v>
      </c>
      <c r="P3669" s="14">
        <f>O3669/H3669-1</f>
        <v/>
      </c>
      <c r="Q3669" s="16" t="inlineStr">
        <is>
          <t>ACIMA +33.6%</t>
        </is>
      </c>
      <c r="R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15" t="n">
        <v>169.8</v>
      </c>
      <c r="N3670" s="7" t="inlineStr">
        <is>
          <t>CENTROFARMA</t>
        </is>
      </c>
      <c r="O3670" s="8" t="n">
        <v>169.8</v>
      </c>
      <c r="P3670" s="14">
        <f>O3670/H3670-1</f>
        <v/>
      </c>
      <c r="Q3670" s="16" t="inlineStr">
        <is>
          <t>ACIMA +32.7%</t>
        </is>
      </c>
      <c r="R3670" s="7" t="inlineStr"/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15" t="n">
        <v>177.22</v>
      </c>
      <c r="N3671" s="7" t="inlineStr">
        <is>
          <t>CENTROFARMA</t>
        </is>
      </c>
      <c r="O3671" s="8" t="n">
        <v>177.22</v>
      </c>
      <c r="P3671" s="14">
        <f>O3671/H3671-1</f>
        <v/>
      </c>
      <c r="Q3671" s="16" t="inlineStr">
        <is>
          <t>ACIMA +38.5%</t>
        </is>
      </c>
      <c r="R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8" t="n"/>
      <c r="N3672" s="7" t="inlineStr">
        <is>
          <t>SEM COTAÇÃO</t>
        </is>
      </c>
      <c r="O3672" s="8" t="n"/>
      <c r="P3672" s="14" t="n"/>
      <c r="Q3672" s="7" t="inlineStr"/>
      <c r="R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8" t="n"/>
      <c r="N3673" s="7" t="inlineStr">
        <is>
          <t>SEM COTAÇÃO</t>
        </is>
      </c>
      <c r="O3673" s="8" t="n"/>
      <c r="P3673" s="14" t="n"/>
      <c r="Q3673" s="7" t="inlineStr"/>
      <c r="R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8" t="n"/>
      <c r="N3674" s="7" t="inlineStr">
        <is>
          <t>SEM COTAÇÃO</t>
        </is>
      </c>
      <c r="O3674" s="8" t="n"/>
      <c r="P3674" s="14" t="n"/>
      <c r="Q3674" s="7" t="inlineStr"/>
      <c r="R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8" t="n"/>
      <c r="N3675" s="7" t="inlineStr">
        <is>
          <t>SEM COTAÇÃO</t>
        </is>
      </c>
      <c r="O3675" s="8" t="n"/>
      <c r="P3675" s="14" t="n"/>
      <c r="Q3675" s="7" t="inlineStr"/>
      <c r="R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8" t="n"/>
      <c r="N3676" s="7" t="inlineStr">
        <is>
          <t>SEM COTAÇÃO</t>
        </is>
      </c>
      <c r="O3676" s="8" t="n"/>
      <c r="P3676" s="14" t="n"/>
      <c r="Q3676" s="7" t="inlineStr"/>
      <c r="R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8" t="n"/>
      <c r="N3677" s="7" t="inlineStr">
        <is>
          <t>SEM COTAÇÃO</t>
        </is>
      </c>
      <c r="O3677" s="8" t="n"/>
      <c r="P3677" s="14" t="n"/>
      <c r="Q3677" s="7" t="inlineStr"/>
      <c r="R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8" t="n"/>
      <c r="N3678" s="7" t="inlineStr">
        <is>
          <t>SEM COTAÇÃO</t>
        </is>
      </c>
      <c r="O3678" s="8" t="n"/>
      <c r="P3678" s="14" t="n"/>
      <c r="Q3678" s="7" t="inlineStr"/>
      <c r="R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8" t="n"/>
      <c r="N3679" s="7" t="inlineStr">
        <is>
          <t>SEM COTAÇÃO</t>
        </is>
      </c>
      <c r="O3679" s="8" t="n"/>
      <c r="P3679" s="14" t="n"/>
      <c r="Q3679" s="7" t="inlineStr"/>
      <c r="R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8" t="n"/>
      <c r="N3680" s="7" t="inlineStr">
        <is>
          <t>SEM COTAÇÃO</t>
        </is>
      </c>
      <c r="O3680" s="8" t="n"/>
      <c r="P3680" s="14" t="n"/>
      <c r="Q3680" s="7" t="inlineStr"/>
      <c r="R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8" t="n"/>
      <c r="N3681" s="7" t="inlineStr">
        <is>
          <t>SEM COTAÇÃO</t>
        </is>
      </c>
      <c r="O3681" s="8" t="n"/>
      <c r="P3681" s="14" t="n"/>
      <c r="Q3681" s="7" t="inlineStr"/>
      <c r="R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8" t="n"/>
      <c r="N3682" s="7" t="inlineStr">
        <is>
          <t>SEM COTAÇÃO</t>
        </is>
      </c>
      <c r="O3682" s="8" t="n"/>
      <c r="P3682" s="14" t="n"/>
      <c r="Q3682" s="7" t="inlineStr"/>
      <c r="R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8" t="n"/>
      <c r="N3683" s="7" t="inlineStr">
        <is>
          <t>SEM COTAÇÃO</t>
        </is>
      </c>
      <c r="O3683" s="8" t="n"/>
      <c r="P3683" s="14" t="n"/>
      <c r="Q3683" s="7" t="inlineStr"/>
      <c r="R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8" t="n"/>
      <c r="N3684" s="7" t="inlineStr">
        <is>
          <t>SEM COTAÇÃO</t>
        </is>
      </c>
      <c r="O3684" s="8" t="n"/>
      <c r="P3684" s="14" t="n"/>
      <c r="Q3684" s="7" t="inlineStr"/>
      <c r="R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8" t="n"/>
      <c r="N3685" s="7" t="inlineStr">
        <is>
          <t>SEM COTAÇÃO</t>
        </is>
      </c>
      <c r="O3685" s="8" t="n"/>
      <c r="P3685" s="14" t="n"/>
      <c r="Q3685" s="7" t="inlineStr"/>
      <c r="R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8" t="n"/>
      <c r="N3686" s="7" t="inlineStr">
        <is>
          <t>SEM COTAÇÃO</t>
        </is>
      </c>
      <c r="O3686" s="8" t="n"/>
      <c r="P3686" s="14" t="n"/>
      <c r="Q3686" s="7" t="inlineStr"/>
      <c r="R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8" t="n"/>
      <c r="N3687" s="7" t="inlineStr">
        <is>
          <t>SEM COTAÇÃO</t>
        </is>
      </c>
      <c r="O3687" s="8" t="n"/>
      <c r="P3687" s="14" t="n"/>
      <c r="Q3687" s="7" t="inlineStr"/>
      <c r="R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8" t="n"/>
      <c r="N3688" s="7" t="inlineStr">
        <is>
          <t>SEM COTAÇÃO</t>
        </is>
      </c>
      <c r="O3688" s="8" t="n"/>
      <c r="P3688" s="14" t="n"/>
      <c r="Q3688" s="7" t="inlineStr"/>
      <c r="R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8" t="n"/>
      <c r="N3689" s="7" t="inlineStr">
        <is>
          <t>SEM COTAÇÃO</t>
        </is>
      </c>
      <c r="O3689" s="8" t="n"/>
      <c r="P3689" s="14" t="n"/>
      <c r="Q3689" s="7" t="inlineStr"/>
      <c r="R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8" t="n"/>
      <c r="N3690" s="7" t="inlineStr">
        <is>
          <t>SEM COTAÇÃO</t>
        </is>
      </c>
      <c r="O3690" s="8" t="n"/>
      <c r="P3690" s="14" t="n"/>
      <c r="Q3690" s="7" t="inlineStr"/>
      <c r="R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8" t="n"/>
      <c r="N3691" s="7" t="inlineStr">
        <is>
          <t>SEM COTAÇÃO</t>
        </is>
      </c>
      <c r="O3691" s="8" t="n"/>
      <c r="P3691" s="14" t="n"/>
      <c r="Q3691" s="7" t="inlineStr"/>
      <c r="R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8" t="n"/>
      <c r="N3692" s="7" t="inlineStr">
        <is>
          <t>SEM COTAÇÃO</t>
        </is>
      </c>
      <c r="O3692" s="8" t="n"/>
      <c r="P3692" s="14" t="n"/>
      <c r="Q3692" s="7" t="inlineStr"/>
      <c r="R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8" t="n"/>
      <c r="N3693" s="7" t="inlineStr">
        <is>
          <t>SEM COTAÇÃO</t>
        </is>
      </c>
      <c r="O3693" s="8" t="n"/>
      <c r="P3693" s="14" t="n"/>
      <c r="Q3693" s="7" t="inlineStr"/>
      <c r="R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8" t="n"/>
      <c r="N3694" s="7" t="inlineStr">
        <is>
          <t>SEM COTAÇÃO</t>
        </is>
      </c>
      <c r="O3694" s="8" t="n"/>
      <c r="P3694" s="14" t="n"/>
      <c r="Q3694" s="7" t="inlineStr"/>
      <c r="R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8" t="n"/>
      <c r="N3695" s="7" t="inlineStr">
        <is>
          <t>SEM COTAÇÃO</t>
        </is>
      </c>
      <c r="O3695" s="8" t="n"/>
      <c r="P3695" s="14" t="n"/>
      <c r="Q3695" s="7" t="inlineStr"/>
      <c r="R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8" t="n"/>
      <c r="N3696" s="7" t="inlineStr">
        <is>
          <t>SEM COTAÇÃO</t>
        </is>
      </c>
      <c r="O3696" s="8" t="n"/>
      <c r="P3696" s="14" t="n"/>
      <c r="Q3696" s="7" t="inlineStr"/>
      <c r="R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8" t="n"/>
      <c r="N3697" s="7" t="inlineStr">
        <is>
          <t>SEM COTAÇÃO</t>
        </is>
      </c>
      <c r="O3697" s="8" t="n"/>
      <c r="P3697" s="14" t="n"/>
      <c r="Q3697" s="7" t="inlineStr"/>
      <c r="R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8" t="n"/>
      <c r="N3698" s="7" t="inlineStr">
        <is>
          <t>SEM COTAÇÃO</t>
        </is>
      </c>
      <c r="O3698" s="8" t="n"/>
      <c r="P3698" s="14" t="n"/>
      <c r="Q3698" s="7" t="inlineStr"/>
      <c r="R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8" t="n"/>
      <c r="N3699" s="7" t="inlineStr">
        <is>
          <t>SEM COTAÇÃO</t>
        </is>
      </c>
      <c r="O3699" s="8" t="n"/>
      <c r="P3699" s="14" t="n"/>
      <c r="Q3699" s="7" t="inlineStr"/>
      <c r="R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8" t="n"/>
      <c r="N3700" s="7" t="inlineStr">
        <is>
          <t>SEM COTAÇÃO</t>
        </is>
      </c>
      <c r="O3700" s="8" t="n"/>
      <c r="P3700" s="14" t="n"/>
      <c r="Q3700" s="7" t="inlineStr"/>
      <c r="R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15" t="n">
        <v>13.54</v>
      </c>
      <c r="M3701" s="8" t="n"/>
      <c r="N3701" s="7" t="inlineStr">
        <is>
          <t>EPAN</t>
        </is>
      </c>
      <c r="O3701" s="8" t="n">
        <v>13.54</v>
      </c>
      <c r="P3701" s="14">
        <f>O3701/H3701-1</f>
        <v/>
      </c>
      <c r="Q3701" s="17" t="inlineStr">
        <is>
          <t>OK (≤ últ. compra)</t>
        </is>
      </c>
      <c r="R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8" t="n"/>
      <c r="N3702" s="7" t="inlineStr">
        <is>
          <t>DIMEC</t>
        </is>
      </c>
      <c r="O3702" s="8" t="n">
        <v>8.76</v>
      </c>
      <c r="P3702" s="14">
        <f>O3702/H3702-1</f>
        <v/>
      </c>
      <c r="Q3702" s="16" t="inlineStr">
        <is>
          <t>ACIMA +8.6%</t>
        </is>
      </c>
      <c r="R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8" t="n"/>
      <c r="N3703" s="7" t="inlineStr">
        <is>
          <t>DIMEC</t>
        </is>
      </c>
      <c r="O3703" s="8" t="n">
        <v>8.76</v>
      </c>
      <c r="P3703" s="14">
        <f>O3703/H3703-1</f>
        <v/>
      </c>
      <c r="Q3703" s="16" t="inlineStr">
        <is>
          <t>ACIMA +8.6%</t>
        </is>
      </c>
      <c r="R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8" t="n"/>
      <c r="N3704" s="7" t="inlineStr">
        <is>
          <t>SEM COTAÇÃO</t>
        </is>
      </c>
      <c r="O3704" s="8" t="n"/>
      <c r="P3704" s="14" t="n"/>
      <c r="Q3704" s="7" t="inlineStr"/>
      <c r="R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8" t="n"/>
      <c r="N3705" s="7" t="inlineStr">
        <is>
          <t>SEM COTAÇÃO</t>
        </is>
      </c>
      <c r="O3705" s="8" t="n"/>
      <c r="P3705" s="14" t="n"/>
      <c r="Q3705" s="7" t="inlineStr"/>
      <c r="R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8" t="n"/>
      <c r="N3706" s="7" t="inlineStr">
        <is>
          <t>SEM COTAÇÃO</t>
        </is>
      </c>
      <c r="O3706" s="8" t="n"/>
      <c r="P3706" s="14" t="n"/>
      <c r="Q3706" s="7" t="inlineStr"/>
      <c r="R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8" t="n"/>
      <c r="N3707" s="7" t="inlineStr">
        <is>
          <t>SEM COTAÇÃO</t>
        </is>
      </c>
      <c r="O3707" s="8" t="n"/>
      <c r="P3707" s="14" t="n"/>
      <c r="Q3707" s="7" t="inlineStr"/>
      <c r="R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8" t="n"/>
      <c r="N3708" s="7" t="inlineStr">
        <is>
          <t>SEM COTAÇÃO</t>
        </is>
      </c>
      <c r="O3708" s="8" t="n"/>
      <c r="P3708" s="14" t="n"/>
      <c r="Q3708" s="7" t="inlineStr"/>
      <c r="R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8" t="n"/>
      <c r="N3709" s="7" t="inlineStr">
        <is>
          <t>SEM COTAÇÃO</t>
        </is>
      </c>
      <c r="O3709" s="8" t="n"/>
      <c r="P3709" s="14" t="n"/>
      <c r="Q3709" s="7" t="inlineStr"/>
      <c r="R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8" t="n"/>
      <c r="N3710" s="7" t="inlineStr">
        <is>
          <t>SEM COTAÇÃO</t>
        </is>
      </c>
      <c r="O3710" s="8" t="n"/>
      <c r="P3710" s="14" t="n"/>
      <c r="Q3710" s="7" t="inlineStr"/>
      <c r="R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8" t="n"/>
      <c r="N3711" s="7" t="inlineStr">
        <is>
          <t>SEM COTAÇÃO</t>
        </is>
      </c>
      <c r="O3711" s="8" t="n"/>
      <c r="P3711" s="14" t="n"/>
      <c r="Q3711" s="7" t="inlineStr"/>
      <c r="R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8" t="n"/>
      <c r="N3712" s="7" t="inlineStr">
        <is>
          <t>EPAN</t>
        </is>
      </c>
      <c r="O3712" s="8" t="n">
        <v>34.72</v>
      </c>
      <c r="P3712" s="14">
        <f>O3712/H3712-1</f>
        <v/>
      </c>
      <c r="Q3712" s="17" t="inlineStr">
        <is>
          <t>OK (≤ últ. compra)</t>
        </is>
      </c>
      <c r="R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8" t="n"/>
      <c r="N3713" s="7" t="inlineStr">
        <is>
          <t>SEM COTAÇÃO</t>
        </is>
      </c>
      <c r="O3713" s="8" t="n"/>
      <c r="P3713" s="14" t="n"/>
      <c r="Q3713" s="7" t="inlineStr"/>
      <c r="R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8" t="n"/>
      <c r="N3714" s="7" t="inlineStr">
        <is>
          <t>SEM COTAÇÃO</t>
        </is>
      </c>
      <c r="O3714" s="8" t="n"/>
      <c r="P3714" s="14" t="n"/>
      <c r="Q3714" s="7" t="inlineStr"/>
      <c r="R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8" t="n"/>
      <c r="N3715" s="7" t="inlineStr">
        <is>
          <t>SEM COTAÇÃO</t>
        </is>
      </c>
      <c r="O3715" s="8" t="n"/>
      <c r="P3715" s="14" t="n"/>
      <c r="Q3715" s="7" t="inlineStr"/>
      <c r="R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8" t="n"/>
      <c r="N3716" s="7" t="inlineStr">
        <is>
          <t>SEM COTAÇÃO</t>
        </is>
      </c>
      <c r="O3716" s="8" t="n"/>
      <c r="P3716" s="14" t="n"/>
      <c r="Q3716" s="7" t="inlineStr"/>
      <c r="R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8" t="n"/>
      <c r="N3717" s="7" t="inlineStr">
        <is>
          <t>SEM COTAÇÃO</t>
        </is>
      </c>
      <c r="O3717" s="8" t="n"/>
      <c r="P3717" s="14" t="n"/>
      <c r="Q3717" s="7" t="inlineStr"/>
      <c r="R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8" t="n"/>
      <c r="N3718" s="7" t="inlineStr">
        <is>
          <t>SEM COTAÇÃO</t>
        </is>
      </c>
      <c r="O3718" s="8" t="n"/>
      <c r="P3718" s="14" t="n"/>
      <c r="Q3718" s="7" t="inlineStr"/>
      <c r="R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8" t="n"/>
      <c r="N3719" s="7" t="inlineStr">
        <is>
          <t>SEM COTAÇÃO</t>
        </is>
      </c>
      <c r="O3719" s="8" t="n"/>
      <c r="P3719" s="14" t="n"/>
      <c r="Q3719" s="7" t="inlineStr"/>
      <c r="R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8" t="n"/>
      <c r="N3720" s="7" t="inlineStr">
        <is>
          <t>SEM COTAÇÃO</t>
        </is>
      </c>
      <c r="O3720" s="8" t="n"/>
      <c r="P3720" s="14" t="n"/>
      <c r="Q3720" s="7" t="inlineStr"/>
      <c r="R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8" t="n"/>
      <c r="N3721" s="7" t="inlineStr">
        <is>
          <t>SEM COTAÇÃO</t>
        </is>
      </c>
      <c r="O3721" s="8" t="n"/>
      <c r="P3721" s="14" t="n"/>
      <c r="Q3721" s="7" t="inlineStr"/>
      <c r="R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8" t="n"/>
      <c r="N3722" s="7" t="inlineStr">
        <is>
          <t>SEM COTAÇÃO</t>
        </is>
      </c>
      <c r="O3722" s="8" t="n"/>
      <c r="P3722" s="14" t="n"/>
      <c r="Q3722" s="7" t="inlineStr"/>
      <c r="R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8" t="n"/>
      <c r="N3723" s="7" t="inlineStr">
        <is>
          <t>SEM COTAÇÃO</t>
        </is>
      </c>
      <c r="O3723" s="8" t="n"/>
      <c r="P3723" s="14" t="n"/>
      <c r="Q3723" s="7" t="inlineStr"/>
      <c r="R3723" s="7" t="inlineStr"/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8" t="n"/>
      <c r="N3724" s="7" t="inlineStr">
        <is>
          <t>SEM COTAÇÃO</t>
        </is>
      </c>
      <c r="O3724" s="8" t="n"/>
      <c r="P3724" s="14" t="n"/>
      <c r="Q3724" s="7" t="inlineStr"/>
      <c r="R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8" t="n"/>
      <c r="N3725" s="7" t="inlineStr">
        <is>
          <t>SEM COTAÇÃO</t>
        </is>
      </c>
      <c r="O3725" s="8" t="n"/>
      <c r="P3725" s="14" t="n"/>
      <c r="Q3725" s="7" t="inlineStr"/>
      <c r="R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8" t="n"/>
      <c r="N3726" s="7" t="inlineStr">
        <is>
          <t>SEM COTAÇÃO</t>
        </is>
      </c>
      <c r="O3726" s="8" t="n"/>
      <c r="P3726" s="14" t="n"/>
      <c r="Q3726" s="7" t="inlineStr"/>
      <c r="R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16.97</v>
      </c>
      <c r="K3727" s="8" t="n">
        <v>99999999</v>
      </c>
      <c r="L3727" s="8" t="n"/>
      <c r="M3727" s="15" t="n">
        <v>16.83</v>
      </c>
      <c r="N3727" s="7" t="inlineStr">
        <is>
          <t>CENTROFARMA</t>
        </is>
      </c>
      <c r="O3727" s="8" t="n">
        <v>16.83</v>
      </c>
      <c r="P3727" s="14">
        <f>O3727/H3727-1</f>
        <v/>
      </c>
      <c r="Q3727" s="17" t="inlineStr">
        <is>
          <t>OK (≤ menor hist.)</t>
        </is>
      </c>
      <c r="R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8" t="n"/>
      <c r="N3728" s="7" t="inlineStr">
        <is>
          <t>SEM COTAÇÃO</t>
        </is>
      </c>
      <c r="O3728" s="8" t="n"/>
      <c r="P3728" s="14" t="n"/>
      <c r="Q3728" s="7" t="inlineStr"/>
      <c r="R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8" t="n"/>
      <c r="N3729" s="7" t="inlineStr">
        <is>
          <t>SEM COTAÇÃO</t>
        </is>
      </c>
      <c r="O3729" s="8" t="n"/>
      <c r="P3729" s="14" t="n"/>
      <c r="Q3729" s="7" t="inlineStr"/>
      <c r="R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15" t="n">
        <v>24.67</v>
      </c>
      <c r="N3730" s="7" t="inlineStr">
        <is>
          <t>CENTROFARMA</t>
        </is>
      </c>
      <c r="O3730" s="8" t="n">
        <v>24.67</v>
      </c>
      <c r="P3730" s="14">
        <f>O3730/H3730-1</f>
        <v/>
      </c>
      <c r="Q3730" s="16" t="inlineStr">
        <is>
          <t>ACIMA +11.3%</t>
        </is>
      </c>
      <c r="R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15" t="n">
        <v>25.07</v>
      </c>
      <c r="N3731" s="7" t="inlineStr">
        <is>
          <t>CENTROFARMA</t>
        </is>
      </c>
      <c r="O3731" s="8" t="n">
        <v>25.07</v>
      </c>
      <c r="P3731" s="14">
        <f>O3731/H3731-1</f>
        <v/>
      </c>
      <c r="Q3731" s="16" t="inlineStr">
        <is>
          <t>ACIMA +16.4%</t>
        </is>
      </c>
      <c r="R3731" s="7" t="inlineStr"/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8" t="n"/>
      <c r="N3732" s="7" t="inlineStr">
        <is>
          <t>SEM COTAÇÃO</t>
        </is>
      </c>
      <c r="O3732" s="8" t="n"/>
      <c r="P3732" s="14" t="n"/>
      <c r="Q3732" s="7" t="inlineStr"/>
      <c r="R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8" t="n"/>
      <c r="N3733" s="7" t="inlineStr">
        <is>
          <t>SEM COTAÇÃO</t>
        </is>
      </c>
      <c r="O3733" s="8" t="n"/>
      <c r="P3733" s="14" t="n"/>
      <c r="Q3733" s="7" t="inlineStr"/>
      <c r="R3733" s="7" t="inlineStr"/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8" t="n"/>
      <c r="N3734" s="7" t="inlineStr">
        <is>
          <t>SEM COTAÇÃO</t>
        </is>
      </c>
      <c r="O3734" s="8" t="n"/>
      <c r="P3734" s="14" t="n"/>
      <c r="Q3734" s="7" t="inlineStr"/>
      <c r="R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15" t="n">
        <v>35.1</v>
      </c>
      <c r="N3735" s="7" t="inlineStr">
        <is>
          <t>CENTROFARMA</t>
        </is>
      </c>
      <c r="O3735" s="8" t="n">
        <v>35.1</v>
      </c>
      <c r="P3735" s="14">
        <f>O3735/H3735-1</f>
        <v/>
      </c>
      <c r="Q3735" s="16" t="inlineStr">
        <is>
          <t>ACIMA +5.6%</t>
        </is>
      </c>
      <c r="R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8" t="n"/>
      <c r="N3736" s="7" t="inlineStr">
        <is>
          <t>DIMEC</t>
        </is>
      </c>
      <c r="O3736" s="8" t="n">
        <v>9.41</v>
      </c>
      <c r="P3736" s="14">
        <f>O3736/H3736-1</f>
        <v/>
      </c>
      <c r="Q3736" s="16" t="inlineStr">
        <is>
          <t>ACIMA +6.1%</t>
        </is>
      </c>
      <c r="R3736" s="7" t="inlineStr"/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8" t="n"/>
      <c r="N3737" s="7" t="inlineStr">
        <is>
          <t>SEM COTAÇÃO</t>
        </is>
      </c>
      <c r="O3737" s="8" t="n"/>
      <c r="P3737" s="14" t="n"/>
      <c r="Q3737" s="7" t="inlineStr"/>
      <c r="R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8" t="n"/>
      <c r="N3738" s="7" t="inlineStr">
        <is>
          <t>SEM COTAÇÃO</t>
        </is>
      </c>
      <c r="O3738" s="8" t="n"/>
      <c r="P3738" s="14" t="n"/>
      <c r="Q3738" s="7" t="inlineStr"/>
      <c r="R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8" t="n"/>
      <c r="N3739" s="7" t="inlineStr">
        <is>
          <t>SEM COTAÇÃO</t>
        </is>
      </c>
      <c r="O3739" s="8" t="n"/>
      <c r="P3739" s="14" t="n"/>
      <c r="Q3739" s="7" t="inlineStr"/>
      <c r="R3739" s="7" t="inlineStr"/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8" t="n"/>
      <c r="N3740" s="7" t="inlineStr">
        <is>
          <t>SEM COTAÇÃO</t>
        </is>
      </c>
      <c r="O3740" s="8" t="n"/>
      <c r="P3740" s="14" t="n"/>
      <c r="Q3740" s="7" t="inlineStr"/>
      <c r="R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8" t="n"/>
      <c r="N3741" s="7" t="inlineStr">
        <is>
          <t>SEM COTAÇÃO</t>
        </is>
      </c>
      <c r="O3741" s="8" t="n"/>
      <c r="P3741" s="14" t="n"/>
      <c r="Q3741" s="7" t="inlineStr"/>
      <c r="R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8" t="n"/>
      <c r="N3742" s="7" t="inlineStr">
        <is>
          <t>SEM COTAÇÃO</t>
        </is>
      </c>
      <c r="O3742" s="8" t="n"/>
      <c r="P3742" s="14" t="n"/>
      <c r="Q3742" s="7" t="inlineStr"/>
      <c r="R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8" t="n"/>
      <c r="N3743" s="7" t="inlineStr">
        <is>
          <t>SEM COTAÇÃO</t>
        </is>
      </c>
      <c r="O3743" s="8" t="n"/>
      <c r="P3743" s="14" t="n"/>
      <c r="Q3743" s="7" t="inlineStr"/>
      <c r="R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8" t="n"/>
      <c r="N3744" s="7" t="inlineStr">
        <is>
          <t>SEM COTAÇÃO</t>
        </is>
      </c>
      <c r="O3744" s="8" t="n"/>
      <c r="P3744" s="14" t="n"/>
      <c r="Q3744" s="7" t="inlineStr"/>
      <c r="R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8" t="n"/>
      <c r="N3745" s="7" t="inlineStr">
        <is>
          <t>DIMEC</t>
        </is>
      </c>
      <c r="O3745" s="8" t="n">
        <v>9.99</v>
      </c>
      <c r="P3745" s="14">
        <f>O3745/H3745-1</f>
        <v/>
      </c>
      <c r="Q3745" s="17" t="inlineStr">
        <is>
          <t>OK (≤ menor hist.)</t>
        </is>
      </c>
      <c r="R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8" t="n"/>
      <c r="N3746" s="7" t="inlineStr">
        <is>
          <t>SEM COTAÇÃO</t>
        </is>
      </c>
      <c r="O3746" s="8" t="n"/>
      <c r="P3746" s="14" t="n"/>
      <c r="Q3746" s="7" t="inlineStr"/>
      <c r="R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8" t="n"/>
      <c r="N3747" s="7" t="inlineStr">
        <is>
          <t>SEM COTAÇÃO</t>
        </is>
      </c>
      <c r="O3747" s="8" t="n"/>
      <c r="P3747" s="14" t="n"/>
      <c r="Q3747" s="7" t="inlineStr"/>
      <c r="R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8" t="n"/>
      <c r="N3748" s="7" t="inlineStr">
        <is>
          <t>SEM COTAÇÃO</t>
        </is>
      </c>
      <c r="O3748" s="8" t="n"/>
      <c r="P3748" s="14" t="n"/>
      <c r="Q3748" s="7" t="inlineStr"/>
      <c r="R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8" t="n"/>
      <c r="N3749" s="7" t="inlineStr">
        <is>
          <t>SEM COTAÇÃO</t>
        </is>
      </c>
      <c r="O3749" s="8" t="n"/>
      <c r="P3749" s="14" t="n"/>
      <c r="Q3749" s="7" t="inlineStr"/>
      <c r="R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8" t="n"/>
      <c r="N3750" s="7" t="inlineStr">
        <is>
          <t>SEM COTAÇÃO</t>
        </is>
      </c>
      <c r="O3750" s="8" t="n"/>
      <c r="P3750" s="14" t="n"/>
      <c r="Q3750" s="7" t="inlineStr"/>
      <c r="R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15" t="n">
        <v>7.14</v>
      </c>
      <c r="L3751" s="8" t="n"/>
      <c r="M3751" s="8" t="n"/>
      <c r="N3751" s="7" t="inlineStr">
        <is>
          <t>PLUSFARMA</t>
        </is>
      </c>
      <c r="O3751" s="8" t="n">
        <v>7.14</v>
      </c>
      <c r="P3751" s="14">
        <f>O3751/H3751-1</f>
        <v/>
      </c>
      <c r="Q3751" s="16" t="inlineStr">
        <is>
          <t>ACIMA +83.5%</t>
        </is>
      </c>
      <c r="R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8" t="n"/>
      <c r="N3752" s="7" t="inlineStr">
        <is>
          <t>SEM COTAÇÃO</t>
        </is>
      </c>
      <c r="O3752" s="8" t="n"/>
      <c r="P3752" s="14" t="n"/>
      <c r="Q3752" s="7" t="inlineStr"/>
      <c r="R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8" t="n"/>
      <c r="N3753" s="7" t="inlineStr">
        <is>
          <t>SEM COTAÇÃO</t>
        </is>
      </c>
      <c r="O3753" s="8" t="n"/>
      <c r="P3753" s="14" t="n"/>
      <c r="Q3753" s="7" t="inlineStr"/>
      <c r="R3753" s="7" t="inlineStr"/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8" t="n"/>
      <c r="N3754" s="7" t="inlineStr">
        <is>
          <t>SEM COTAÇÃO</t>
        </is>
      </c>
      <c r="O3754" s="8" t="n"/>
      <c r="P3754" s="14" t="n"/>
      <c r="Q3754" s="7" t="inlineStr"/>
      <c r="R3754" s="7" t="inlineStr"/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8" t="n"/>
      <c r="N3755" s="7" t="inlineStr">
        <is>
          <t>SEM COTAÇÃO</t>
        </is>
      </c>
      <c r="O3755" s="8" t="n"/>
      <c r="P3755" s="14" t="n"/>
      <c r="Q3755" s="7" t="inlineStr"/>
      <c r="R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15" t="n">
        <v>13.84</v>
      </c>
      <c r="L3756" s="8" t="n"/>
      <c r="M3756" s="8" t="n"/>
      <c r="N3756" s="7" t="inlineStr">
        <is>
          <t>PLUSFARMA</t>
        </is>
      </c>
      <c r="O3756" s="8" t="n">
        <v>13.84</v>
      </c>
      <c r="P3756" s="14">
        <f>O3756/H3756-1</f>
        <v/>
      </c>
      <c r="Q3756" s="16" t="inlineStr">
        <is>
          <t>ACIMA +102.6%</t>
        </is>
      </c>
      <c r="R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8" t="n"/>
      <c r="N3757" s="7" t="inlineStr">
        <is>
          <t>SEM COTAÇÃO</t>
        </is>
      </c>
      <c r="O3757" s="8" t="n"/>
      <c r="P3757" s="14" t="n"/>
      <c r="Q3757" s="7" t="inlineStr"/>
      <c r="R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8" t="n"/>
      <c r="N3758" s="7" t="inlineStr">
        <is>
          <t>SEM COTAÇÃO</t>
        </is>
      </c>
      <c r="O3758" s="8" t="n"/>
      <c r="P3758" s="14" t="n"/>
      <c r="Q3758" s="7" t="inlineStr"/>
      <c r="R3758" s="7" t="inlineStr"/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8" t="n"/>
      <c r="N3759" s="7" t="inlineStr">
        <is>
          <t>SEM COTAÇÃO</t>
        </is>
      </c>
      <c r="O3759" s="8" t="n"/>
      <c r="P3759" s="14" t="n"/>
      <c r="Q3759" s="7" t="inlineStr"/>
      <c r="R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8" t="n"/>
      <c r="N3760" s="7" t="inlineStr">
        <is>
          <t>SEM COTAÇÃO</t>
        </is>
      </c>
      <c r="O3760" s="8" t="n"/>
      <c r="P3760" s="14" t="n"/>
      <c r="Q3760" s="7" t="inlineStr"/>
      <c r="R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8" t="n"/>
      <c r="M3761" s="8" t="n">
        <v>6.21</v>
      </c>
      <c r="N3761" s="7" t="inlineStr">
        <is>
          <t>DIMEC</t>
        </is>
      </c>
      <c r="O3761" s="8" t="n">
        <v>6.13</v>
      </c>
      <c r="P3761" s="14">
        <f>O3761/H3761-1</f>
        <v/>
      </c>
      <c r="Q3761" s="16" t="inlineStr">
        <is>
          <t>ACIMA +3.9%</t>
        </is>
      </c>
      <c r="R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8" t="n"/>
      <c r="N3762" s="7" t="inlineStr">
        <is>
          <t>SEM COTAÇÃO</t>
        </is>
      </c>
      <c r="O3762" s="8" t="n"/>
      <c r="P3762" s="14" t="n"/>
      <c r="Q3762" s="7" t="inlineStr"/>
      <c r="R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8" t="n"/>
      <c r="N3763" s="7" t="inlineStr">
        <is>
          <t>SEM COTAÇÃO</t>
        </is>
      </c>
      <c r="O3763" s="8" t="n"/>
      <c r="P3763" s="14" t="n"/>
      <c r="Q3763" s="7" t="inlineStr"/>
      <c r="R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8" t="n"/>
      <c r="N3764" s="7" t="inlineStr">
        <is>
          <t>SEM COTAÇÃO</t>
        </is>
      </c>
      <c r="O3764" s="8" t="n"/>
      <c r="P3764" s="14" t="n"/>
      <c r="Q3764" s="7" t="inlineStr"/>
      <c r="R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8" t="n"/>
      <c r="N3765" s="7" t="inlineStr">
        <is>
          <t>SEM COTAÇÃO</t>
        </is>
      </c>
      <c r="O3765" s="8" t="n"/>
      <c r="P3765" s="14" t="n"/>
      <c r="Q3765" s="7" t="inlineStr"/>
      <c r="R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8" t="n"/>
      <c r="N3766" s="7" t="inlineStr">
        <is>
          <t>SEM COTAÇÃO</t>
        </is>
      </c>
      <c r="O3766" s="8" t="n"/>
      <c r="P3766" s="14" t="n"/>
      <c r="Q3766" s="7" t="inlineStr"/>
      <c r="R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8" t="n"/>
      <c r="N3767" s="7" t="inlineStr">
        <is>
          <t>SEM COTAÇÃO</t>
        </is>
      </c>
      <c r="O3767" s="8" t="n"/>
      <c r="P3767" s="14" t="n"/>
      <c r="Q3767" s="7" t="inlineStr"/>
      <c r="R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8" t="n"/>
      <c r="N3768" s="7" t="inlineStr">
        <is>
          <t>SEM COTAÇÃO</t>
        </is>
      </c>
      <c r="O3768" s="8" t="n"/>
      <c r="P3768" s="14" t="n"/>
      <c r="Q3768" s="7" t="inlineStr"/>
      <c r="R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8" t="n"/>
      <c r="N3769" s="7" t="inlineStr">
        <is>
          <t>SEM COTAÇÃO</t>
        </is>
      </c>
      <c r="O3769" s="8" t="n"/>
      <c r="P3769" s="14" t="n"/>
      <c r="Q3769" s="7" t="inlineStr"/>
      <c r="R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8" t="n"/>
      <c r="N3770" s="7" t="inlineStr">
        <is>
          <t>SEM COTAÇÃO</t>
        </is>
      </c>
      <c r="O3770" s="8" t="n"/>
      <c r="P3770" s="14" t="n"/>
      <c r="Q3770" s="7" t="inlineStr"/>
      <c r="R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8" t="n"/>
      <c r="N3771" s="7" t="inlineStr">
        <is>
          <t>SEM COTAÇÃO</t>
        </is>
      </c>
      <c r="O3771" s="8" t="n"/>
      <c r="P3771" s="14" t="n"/>
      <c r="Q3771" s="7" t="inlineStr"/>
      <c r="R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8" t="n"/>
      <c r="N3772" s="7" t="inlineStr">
        <is>
          <t>SEM COTAÇÃO</t>
        </is>
      </c>
      <c r="O3772" s="8" t="n"/>
      <c r="P3772" s="14" t="n"/>
      <c r="Q3772" s="7" t="inlineStr"/>
      <c r="R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8" t="n"/>
      <c r="N3773" s="7" t="inlineStr">
        <is>
          <t>SEM COTAÇÃO</t>
        </is>
      </c>
      <c r="O3773" s="8" t="n"/>
      <c r="P3773" s="14" t="n"/>
      <c r="Q3773" s="7" t="inlineStr"/>
      <c r="R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8" t="n"/>
      <c r="N3774" s="7" t="inlineStr">
        <is>
          <t>SEM COTAÇÃO</t>
        </is>
      </c>
      <c r="O3774" s="8" t="n"/>
      <c r="P3774" s="14" t="n"/>
      <c r="Q3774" s="7" t="inlineStr"/>
      <c r="R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8" t="n"/>
      <c r="N3775" s="7" t="inlineStr">
        <is>
          <t>SEM COTAÇÃO</t>
        </is>
      </c>
      <c r="O3775" s="8" t="n"/>
      <c r="P3775" s="14" t="n"/>
      <c r="Q3775" s="7" t="inlineStr"/>
      <c r="R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8" t="n"/>
      <c r="N3776" s="7" t="inlineStr">
        <is>
          <t>SEM COTAÇÃO</t>
        </is>
      </c>
      <c r="O3776" s="8" t="n"/>
      <c r="P3776" s="14" t="n"/>
      <c r="Q3776" s="7" t="inlineStr"/>
      <c r="R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8" t="n"/>
      <c r="N3777" s="7" t="inlineStr">
        <is>
          <t>SEM COTAÇÃO</t>
        </is>
      </c>
      <c r="O3777" s="8" t="n"/>
      <c r="P3777" s="14" t="n"/>
      <c r="Q3777" s="7" t="inlineStr"/>
      <c r="R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8" t="n"/>
      <c r="N3778" s="7" t="inlineStr">
        <is>
          <t>SEM COTAÇÃO</t>
        </is>
      </c>
      <c r="O3778" s="8" t="n"/>
      <c r="P3778" s="14" t="n"/>
      <c r="Q3778" s="7" t="inlineStr"/>
      <c r="R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8" t="n"/>
      <c r="N3779" s="7" t="inlineStr">
        <is>
          <t>SEM COTAÇÃO</t>
        </is>
      </c>
      <c r="O3779" s="8" t="n"/>
      <c r="P3779" s="14" t="n"/>
      <c r="Q3779" s="7" t="inlineStr"/>
      <c r="R3779" s="7" t="inlineStr"/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8" t="n"/>
      <c r="N3780" s="7" t="inlineStr">
        <is>
          <t>SEM COTAÇÃO</t>
        </is>
      </c>
      <c r="O3780" s="8" t="n"/>
      <c r="P3780" s="14" t="n"/>
      <c r="Q3780" s="7" t="inlineStr"/>
      <c r="R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8" t="n"/>
      <c r="N3781" s="7" t="inlineStr">
        <is>
          <t>SEM COTAÇÃO</t>
        </is>
      </c>
      <c r="O3781" s="8" t="n"/>
      <c r="P3781" s="14" t="n"/>
      <c r="Q3781" s="7" t="inlineStr"/>
      <c r="R3781" s="7" t="inlineStr"/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8" t="n"/>
      <c r="N3782" s="7" t="inlineStr">
        <is>
          <t>SEM COTAÇÃO</t>
        </is>
      </c>
      <c r="O3782" s="8" t="n"/>
      <c r="P3782" s="14" t="n"/>
      <c r="Q3782" s="7" t="inlineStr"/>
      <c r="R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8" t="n">
        <v>6.46</v>
      </c>
      <c r="N3783" s="7" t="inlineStr">
        <is>
          <t>DIMEC</t>
        </is>
      </c>
      <c r="O3783" s="8" t="n">
        <v>5.74</v>
      </c>
      <c r="P3783" s="14" t="n"/>
      <c r="Q3783" s="7" t="inlineStr">
        <is>
          <t>SEM HISTÓRICO</t>
        </is>
      </c>
      <c r="R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8" t="n"/>
      <c r="N3784" s="7" t="inlineStr">
        <is>
          <t>SEM COTAÇÃO</t>
        </is>
      </c>
      <c r="O3784" s="8" t="n"/>
      <c r="P3784" s="14" t="n"/>
      <c r="Q3784" s="7" t="inlineStr"/>
      <c r="R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8" t="n"/>
      <c r="N3785" s="7" t="inlineStr">
        <is>
          <t>SEM COTAÇÃO</t>
        </is>
      </c>
      <c r="O3785" s="8" t="n"/>
      <c r="P3785" s="14" t="n"/>
      <c r="Q3785" s="7" t="inlineStr"/>
      <c r="R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8" t="n"/>
      <c r="N3786" s="7" t="inlineStr">
        <is>
          <t>SEM COTAÇÃO</t>
        </is>
      </c>
      <c r="O3786" s="8" t="n"/>
      <c r="P3786" s="14" t="n"/>
      <c r="Q3786" s="7" t="inlineStr"/>
      <c r="R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8" t="n"/>
      <c r="N3787" s="7" t="inlineStr">
        <is>
          <t>SEM COTAÇÃO</t>
        </is>
      </c>
      <c r="O3787" s="8" t="n"/>
      <c r="P3787" s="14" t="n"/>
      <c r="Q3787" s="7" t="inlineStr"/>
      <c r="R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8" t="n"/>
      <c r="N3788" s="7" t="inlineStr">
        <is>
          <t>SEM COTAÇÃO</t>
        </is>
      </c>
      <c r="O3788" s="8" t="n"/>
      <c r="P3788" s="14" t="n"/>
      <c r="Q3788" s="7" t="inlineStr"/>
      <c r="R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8" t="n"/>
      <c r="N3789" s="7" t="inlineStr">
        <is>
          <t>SEM COTAÇÃO</t>
        </is>
      </c>
      <c r="O3789" s="8" t="n"/>
      <c r="P3789" s="14" t="n"/>
      <c r="Q3789" s="7" t="inlineStr"/>
      <c r="R3789" s="7" t="inlineStr"/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8" t="n"/>
      <c r="N3790" s="7" t="inlineStr">
        <is>
          <t>SEM COTAÇÃO</t>
        </is>
      </c>
      <c r="O3790" s="8" t="n"/>
      <c r="P3790" s="14" t="n"/>
      <c r="Q3790" s="7" t="inlineStr"/>
      <c r="R3790" s="7" t="inlineStr"/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8" t="n"/>
      <c r="N3791" s="7" t="inlineStr">
        <is>
          <t>SEM COTAÇÃO</t>
        </is>
      </c>
      <c r="O3791" s="8" t="n"/>
      <c r="P3791" s="14" t="n"/>
      <c r="Q3791" s="7" t="inlineStr"/>
      <c r="R3791" s="7" t="inlineStr"/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8" t="n"/>
      <c r="N3792" s="7" t="inlineStr">
        <is>
          <t>SEM COTAÇÃO</t>
        </is>
      </c>
      <c r="O3792" s="8" t="n"/>
      <c r="P3792" s="14" t="n"/>
      <c r="Q3792" s="7" t="inlineStr"/>
      <c r="R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8" t="n"/>
      <c r="N3793" s="7" t="inlineStr">
        <is>
          <t>SEM COTAÇÃO</t>
        </is>
      </c>
      <c r="O3793" s="8" t="n"/>
      <c r="P3793" s="14" t="n"/>
      <c r="Q3793" s="7" t="inlineStr"/>
      <c r="R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8" t="n"/>
      <c r="N3794" s="7" t="inlineStr">
        <is>
          <t>SEM COTAÇÃO</t>
        </is>
      </c>
      <c r="O3794" s="8" t="n"/>
      <c r="P3794" s="14" t="n"/>
      <c r="Q3794" s="7" t="inlineStr"/>
      <c r="R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8" t="n"/>
      <c r="N3795" s="7" t="inlineStr">
        <is>
          <t>SEM COTAÇÃO</t>
        </is>
      </c>
      <c r="O3795" s="8" t="n"/>
      <c r="P3795" s="14" t="n"/>
      <c r="Q3795" s="7" t="inlineStr"/>
      <c r="R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8" t="n"/>
      <c r="N3796" s="7" t="inlineStr">
        <is>
          <t>SEM COTAÇÃO</t>
        </is>
      </c>
      <c r="O3796" s="8" t="n"/>
      <c r="P3796" s="14" t="n"/>
      <c r="Q3796" s="7" t="inlineStr"/>
      <c r="R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8" t="n"/>
      <c r="N3797" s="7" t="inlineStr">
        <is>
          <t>SEM COTAÇÃO</t>
        </is>
      </c>
      <c r="O3797" s="8" t="n"/>
      <c r="P3797" s="14" t="n"/>
      <c r="Q3797" s="7" t="inlineStr"/>
      <c r="R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8" t="n"/>
      <c r="N3798" s="7" t="inlineStr">
        <is>
          <t>SEM COTAÇÃO</t>
        </is>
      </c>
      <c r="O3798" s="8" t="n"/>
      <c r="P3798" s="14" t="n"/>
      <c r="Q3798" s="7" t="inlineStr"/>
      <c r="R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8" t="n"/>
      <c r="N3799" s="7" t="inlineStr">
        <is>
          <t>SEM COTAÇÃO</t>
        </is>
      </c>
      <c r="O3799" s="8" t="n"/>
      <c r="P3799" s="14" t="n"/>
      <c r="Q3799" s="7" t="inlineStr"/>
      <c r="R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8" t="n"/>
      <c r="N3800" s="7" t="inlineStr">
        <is>
          <t>SEM COTAÇÃO</t>
        </is>
      </c>
      <c r="O3800" s="8" t="n"/>
      <c r="P3800" s="14" t="n"/>
      <c r="Q3800" s="7" t="inlineStr"/>
      <c r="R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8" t="n"/>
      <c r="N3801" s="7" t="inlineStr">
        <is>
          <t>SEM COTAÇÃO</t>
        </is>
      </c>
      <c r="O3801" s="8" t="n"/>
      <c r="P3801" s="14" t="n"/>
      <c r="Q3801" s="7" t="inlineStr"/>
      <c r="R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8" t="n"/>
      <c r="N3802" s="7" t="inlineStr">
        <is>
          <t>SEM COTAÇÃO</t>
        </is>
      </c>
      <c r="O3802" s="8" t="n"/>
      <c r="P3802" s="14" t="n"/>
      <c r="Q3802" s="7" t="inlineStr"/>
      <c r="R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8" t="n"/>
      <c r="N3803" s="7" t="inlineStr">
        <is>
          <t>SEM COTAÇÃO</t>
        </is>
      </c>
      <c r="O3803" s="8" t="n"/>
      <c r="P3803" s="14" t="n"/>
      <c r="Q3803" s="7" t="inlineStr"/>
      <c r="R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8" t="n"/>
      <c r="N3804" s="7" t="inlineStr">
        <is>
          <t>SEM COTAÇÃO</t>
        </is>
      </c>
      <c r="O3804" s="8" t="n"/>
      <c r="P3804" s="14" t="n"/>
      <c r="Q3804" s="7" t="inlineStr"/>
      <c r="R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8" t="n"/>
      <c r="N3805" s="7" t="inlineStr">
        <is>
          <t>SEM COTAÇÃO</t>
        </is>
      </c>
      <c r="O3805" s="8" t="n"/>
      <c r="P3805" s="14" t="n"/>
      <c r="Q3805" s="7" t="inlineStr"/>
      <c r="R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8" t="n"/>
      <c r="N3806" s="7" t="inlineStr">
        <is>
          <t>SEM COTAÇÃO</t>
        </is>
      </c>
      <c r="O3806" s="8" t="n"/>
      <c r="P3806" s="14" t="n"/>
      <c r="Q3806" s="7" t="inlineStr"/>
      <c r="R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8" t="n"/>
      <c r="N3807" s="7" t="inlineStr">
        <is>
          <t>SEM COTAÇÃO</t>
        </is>
      </c>
      <c r="O3807" s="8" t="n"/>
      <c r="P3807" s="14" t="n"/>
      <c r="Q3807" s="7" t="inlineStr"/>
      <c r="R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8" t="n"/>
      <c r="N3808" s="7" t="inlineStr">
        <is>
          <t>SEM COTAÇÃO</t>
        </is>
      </c>
      <c r="O3808" s="8" t="n"/>
      <c r="P3808" s="14" t="n"/>
      <c r="Q3808" s="7" t="inlineStr"/>
      <c r="R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8" t="n"/>
      <c r="N3809" s="7" t="inlineStr">
        <is>
          <t>SEM COTAÇÃO</t>
        </is>
      </c>
      <c r="O3809" s="8" t="n"/>
      <c r="P3809" s="14" t="n"/>
      <c r="Q3809" s="7" t="inlineStr"/>
      <c r="R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8" t="n"/>
      <c r="N3810" s="7" t="inlineStr">
        <is>
          <t>SEM COTAÇÃO</t>
        </is>
      </c>
      <c r="O3810" s="8" t="n"/>
      <c r="P3810" s="14" t="n"/>
      <c r="Q3810" s="7" t="inlineStr"/>
      <c r="R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8" t="n"/>
      <c r="N3811" s="7" t="inlineStr">
        <is>
          <t>SEM COTAÇÃO</t>
        </is>
      </c>
      <c r="O3811" s="8" t="n"/>
      <c r="P3811" s="14" t="n"/>
      <c r="Q3811" s="7" t="inlineStr"/>
      <c r="R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8" t="n"/>
      <c r="N3812" s="7" t="inlineStr">
        <is>
          <t>SEM COTAÇÃO</t>
        </is>
      </c>
      <c r="O3812" s="8" t="n"/>
      <c r="P3812" s="14" t="n"/>
      <c r="Q3812" s="7" t="inlineStr"/>
      <c r="R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8" t="n"/>
      <c r="N3813" s="7" t="inlineStr">
        <is>
          <t>SEM COTAÇÃO</t>
        </is>
      </c>
      <c r="O3813" s="8" t="n"/>
      <c r="P3813" s="14" t="n"/>
      <c r="Q3813" s="7" t="inlineStr"/>
      <c r="R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8" t="n"/>
      <c r="N3814" s="7" t="inlineStr">
        <is>
          <t>SEM COTAÇÃO</t>
        </is>
      </c>
      <c r="O3814" s="8" t="n"/>
      <c r="P3814" s="14" t="n"/>
      <c r="Q3814" s="7" t="inlineStr"/>
      <c r="R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8" t="n"/>
      <c r="N3815" s="7" t="inlineStr">
        <is>
          <t>SEM COTAÇÃO</t>
        </is>
      </c>
      <c r="O3815" s="8" t="n"/>
      <c r="P3815" s="14" t="n"/>
      <c r="Q3815" s="7" t="inlineStr"/>
      <c r="R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8" t="n"/>
      <c r="N3816" s="7" t="inlineStr">
        <is>
          <t>SEM COTAÇÃO</t>
        </is>
      </c>
      <c r="O3816" s="8" t="n"/>
      <c r="P3816" s="14" t="n"/>
      <c r="Q3816" s="7" t="inlineStr"/>
      <c r="R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8" t="n"/>
      <c r="N3817" s="7" t="inlineStr">
        <is>
          <t>SEM COTAÇÃO</t>
        </is>
      </c>
      <c r="O3817" s="8" t="n"/>
      <c r="P3817" s="14" t="n"/>
      <c r="Q3817" s="7" t="inlineStr"/>
      <c r="R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8" t="n"/>
      <c r="N3818" s="7" t="inlineStr">
        <is>
          <t>SEM COTAÇÃO</t>
        </is>
      </c>
      <c r="O3818" s="8" t="n"/>
      <c r="P3818" s="14" t="n"/>
      <c r="Q3818" s="7" t="inlineStr"/>
      <c r="R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8" t="n"/>
      <c r="N3819" s="7" t="inlineStr">
        <is>
          <t>SEM COTAÇÃO</t>
        </is>
      </c>
      <c r="O3819" s="8" t="n"/>
      <c r="P3819" s="14" t="n"/>
      <c r="Q3819" s="7" t="inlineStr"/>
      <c r="R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8" t="n"/>
      <c r="N3820" s="7" t="inlineStr">
        <is>
          <t>SEM COTAÇÃO</t>
        </is>
      </c>
      <c r="O3820" s="8" t="n"/>
      <c r="P3820" s="14" t="n"/>
      <c r="Q3820" s="7" t="inlineStr"/>
      <c r="R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8" t="n"/>
      <c r="N3821" s="7" t="inlineStr">
        <is>
          <t>SEM COTAÇÃO</t>
        </is>
      </c>
      <c r="O3821" s="8" t="n"/>
      <c r="P3821" s="14" t="n"/>
      <c r="Q3821" s="7" t="inlineStr"/>
      <c r="R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8" t="n"/>
      <c r="N3822" s="7" t="inlineStr">
        <is>
          <t>SEM COTAÇÃO</t>
        </is>
      </c>
      <c r="O3822" s="8" t="n"/>
      <c r="P3822" s="14" t="n"/>
      <c r="Q3822" s="7" t="inlineStr"/>
      <c r="R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8" t="n"/>
      <c r="N3823" s="7" t="inlineStr">
        <is>
          <t>SEM COTAÇÃO</t>
        </is>
      </c>
      <c r="O3823" s="8" t="n"/>
      <c r="P3823" s="14" t="n"/>
      <c r="Q3823" s="7" t="inlineStr"/>
      <c r="R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8" t="n"/>
      <c r="N3824" s="7" t="inlineStr">
        <is>
          <t>SEM COTAÇÃO</t>
        </is>
      </c>
      <c r="O3824" s="8" t="n"/>
      <c r="P3824" s="14" t="n"/>
      <c r="Q3824" s="7" t="inlineStr"/>
      <c r="R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8" t="n"/>
      <c r="N3825" s="7" t="inlineStr">
        <is>
          <t>SEM COTAÇÃO</t>
        </is>
      </c>
      <c r="O3825" s="8" t="n"/>
      <c r="P3825" s="14" t="n"/>
      <c r="Q3825" s="7" t="inlineStr"/>
      <c r="R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8" t="n"/>
      <c r="N3826" s="7" t="inlineStr">
        <is>
          <t>SEM COTAÇÃO</t>
        </is>
      </c>
      <c r="O3826" s="8" t="n"/>
      <c r="P3826" s="14" t="n"/>
      <c r="Q3826" s="7" t="inlineStr"/>
      <c r="R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8" t="n"/>
      <c r="N3827" s="7" t="inlineStr">
        <is>
          <t>SEM COTAÇÃO</t>
        </is>
      </c>
      <c r="O3827" s="8" t="n"/>
      <c r="P3827" s="14" t="n"/>
      <c r="Q3827" s="7" t="inlineStr"/>
      <c r="R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8" t="n"/>
      <c r="N3828" s="7" t="inlineStr">
        <is>
          <t>SEM COTAÇÃO</t>
        </is>
      </c>
      <c r="O3828" s="8" t="n"/>
      <c r="P3828" s="14" t="n"/>
      <c r="Q3828" s="7" t="inlineStr"/>
      <c r="R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8" t="n"/>
      <c r="N3829" s="7" t="inlineStr">
        <is>
          <t>SEM COTAÇÃO</t>
        </is>
      </c>
      <c r="O3829" s="8" t="n"/>
      <c r="P3829" s="14" t="n"/>
      <c r="Q3829" s="7" t="inlineStr"/>
      <c r="R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8" t="n"/>
      <c r="N3830" s="7" t="inlineStr">
        <is>
          <t>SEM COTAÇÃO</t>
        </is>
      </c>
      <c r="O3830" s="8" t="n"/>
      <c r="P3830" s="14" t="n"/>
      <c r="Q3830" s="7" t="inlineStr"/>
      <c r="R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8" t="n"/>
      <c r="N3831" s="7" t="inlineStr">
        <is>
          <t>SEM COTAÇÃO</t>
        </is>
      </c>
      <c r="O3831" s="8" t="n"/>
      <c r="P3831" s="14" t="n"/>
      <c r="Q3831" s="7" t="inlineStr"/>
      <c r="R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8" t="n"/>
      <c r="N3832" s="7" t="inlineStr">
        <is>
          <t>EPAN</t>
        </is>
      </c>
      <c r="O3832" s="8" t="n">
        <v>11.64</v>
      </c>
      <c r="P3832" s="14">
        <f>O3832/H3832-1</f>
        <v/>
      </c>
      <c r="Q3832" s="17" t="inlineStr">
        <is>
          <t>OK (≤ menor hist.)</t>
        </is>
      </c>
      <c r="R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8" t="n"/>
      <c r="N3833" s="7" t="inlineStr">
        <is>
          <t>SEM COTAÇÃO</t>
        </is>
      </c>
      <c r="O3833" s="8" t="n"/>
      <c r="P3833" s="14" t="n"/>
      <c r="Q3833" s="7" t="inlineStr"/>
      <c r="R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8" t="n"/>
      <c r="N3834" s="7" t="inlineStr">
        <is>
          <t>SEM COTAÇÃO</t>
        </is>
      </c>
      <c r="O3834" s="8" t="n"/>
      <c r="P3834" s="14" t="n"/>
      <c r="Q3834" s="7" t="inlineStr"/>
      <c r="R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8" t="n"/>
      <c r="N3835" s="7" t="inlineStr">
        <is>
          <t>SEM COTAÇÃO</t>
        </is>
      </c>
      <c r="O3835" s="8" t="n"/>
      <c r="P3835" s="14" t="n"/>
      <c r="Q3835" s="7" t="inlineStr"/>
      <c r="R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8" t="n"/>
      <c r="N3836" s="7" t="inlineStr">
        <is>
          <t>SEM COTAÇÃO</t>
        </is>
      </c>
      <c r="O3836" s="8" t="n"/>
      <c r="P3836" s="14" t="n"/>
      <c r="Q3836" s="7" t="inlineStr"/>
      <c r="R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8" t="n"/>
      <c r="N3837" s="7" t="inlineStr">
        <is>
          <t>SEM COTAÇÃO</t>
        </is>
      </c>
      <c r="O3837" s="8" t="n"/>
      <c r="P3837" s="14" t="n"/>
      <c r="Q3837" s="7" t="inlineStr"/>
      <c r="R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8" t="n"/>
      <c r="N3838" s="7" t="inlineStr">
        <is>
          <t>SEM COTAÇÃO</t>
        </is>
      </c>
      <c r="O3838" s="8" t="n"/>
      <c r="P3838" s="14" t="n"/>
      <c r="Q3838" s="7" t="inlineStr"/>
      <c r="R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8" t="n"/>
      <c r="N3839" s="7" t="inlineStr">
        <is>
          <t>SEM COTAÇÃO</t>
        </is>
      </c>
      <c r="O3839" s="8" t="n"/>
      <c r="P3839" s="14" t="n"/>
      <c r="Q3839" s="7" t="inlineStr"/>
      <c r="R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8" t="n"/>
      <c r="N3840" s="7" t="inlineStr">
        <is>
          <t>SEM COTAÇÃO</t>
        </is>
      </c>
      <c r="O3840" s="8" t="n"/>
      <c r="P3840" s="14" t="n"/>
      <c r="Q3840" s="7" t="inlineStr"/>
      <c r="R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8" t="n"/>
      <c r="N3841" s="7" t="inlineStr">
        <is>
          <t>SEM COTAÇÃO</t>
        </is>
      </c>
      <c r="O3841" s="8" t="n"/>
      <c r="P3841" s="14" t="n"/>
      <c r="Q3841" s="7" t="inlineStr"/>
      <c r="R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8" t="n"/>
      <c r="N3842" s="7" t="inlineStr">
        <is>
          <t>SEM COTAÇÃO</t>
        </is>
      </c>
      <c r="O3842" s="8" t="n"/>
      <c r="P3842" s="14" t="n"/>
      <c r="Q3842" s="7" t="inlineStr"/>
      <c r="R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8" t="n"/>
      <c r="N3843" s="7" t="inlineStr">
        <is>
          <t>SEM COTAÇÃO</t>
        </is>
      </c>
      <c r="O3843" s="8" t="n"/>
      <c r="P3843" s="14" t="n"/>
      <c r="Q3843" s="7" t="inlineStr"/>
      <c r="R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8" t="n"/>
      <c r="N3844" s="7" t="inlineStr">
        <is>
          <t>SEM COTAÇÃO</t>
        </is>
      </c>
      <c r="O3844" s="8" t="n"/>
      <c r="P3844" s="14" t="n"/>
      <c r="Q3844" s="7" t="inlineStr"/>
      <c r="R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8" t="n"/>
      <c r="N3845" s="7" t="inlineStr">
        <is>
          <t>SEM COTAÇÃO</t>
        </is>
      </c>
      <c r="O3845" s="8" t="n"/>
      <c r="P3845" s="14" t="n"/>
      <c r="Q3845" s="7" t="inlineStr"/>
      <c r="R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8" t="n"/>
      <c r="N3846" s="7" t="inlineStr">
        <is>
          <t>SEM COTAÇÃO</t>
        </is>
      </c>
      <c r="O3846" s="8" t="n"/>
      <c r="P3846" s="14" t="n"/>
      <c r="Q3846" s="7" t="inlineStr"/>
      <c r="R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8" t="n"/>
      <c r="N3847" s="7" t="inlineStr">
        <is>
          <t>SEM COTAÇÃO</t>
        </is>
      </c>
      <c r="O3847" s="8" t="n"/>
      <c r="P3847" s="14" t="n"/>
      <c r="Q3847" s="7" t="inlineStr"/>
      <c r="R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8" t="n"/>
      <c r="N3848" s="7" t="inlineStr">
        <is>
          <t>SEM COTAÇÃO</t>
        </is>
      </c>
      <c r="O3848" s="8" t="n"/>
      <c r="P3848" s="14" t="n"/>
      <c r="Q3848" s="7" t="inlineStr"/>
      <c r="R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8" t="n"/>
      <c r="N3849" s="7" t="inlineStr">
        <is>
          <t>SEM COTAÇÃO</t>
        </is>
      </c>
      <c r="O3849" s="8" t="n"/>
      <c r="P3849" s="14" t="n"/>
      <c r="Q3849" s="7" t="inlineStr"/>
      <c r="R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8" t="n"/>
      <c r="N3850" s="7" t="inlineStr">
        <is>
          <t>SEM COTAÇÃO</t>
        </is>
      </c>
      <c r="O3850" s="8" t="n"/>
      <c r="P3850" s="14" t="n"/>
      <c r="Q3850" s="7" t="inlineStr"/>
      <c r="R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8" t="n"/>
      <c r="N3851" s="7" t="inlineStr">
        <is>
          <t>SEM COTAÇÃO</t>
        </is>
      </c>
      <c r="O3851" s="8" t="n"/>
      <c r="P3851" s="14" t="n"/>
      <c r="Q3851" s="7" t="inlineStr"/>
      <c r="R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8" t="n"/>
      <c r="N3852" s="7" t="inlineStr">
        <is>
          <t>SEM COTAÇÃO</t>
        </is>
      </c>
      <c r="O3852" s="8" t="n"/>
      <c r="P3852" s="14" t="n"/>
      <c r="Q3852" s="7" t="inlineStr"/>
      <c r="R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8" t="n"/>
      <c r="N3853" s="7" t="inlineStr">
        <is>
          <t>SEM COTAÇÃO</t>
        </is>
      </c>
      <c r="O3853" s="8" t="n"/>
      <c r="P3853" s="14" t="n"/>
      <c r="Q3853" s="7" t="inlineStr"/>
      <c r="R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8" t="n"/>
      <c r="N3854" s="7" t="inlineStr">
        <is>
          <t>SEM COTAÇÃO</t>
        </is>
      </c>
      <c r="O3854" s="8" t="n"/>
      <c r="P3854" s="14" t="n"/>
      <c r="Q3854" s="7" t="inlineStr"/>
      <c r="R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8" t="n"/>
      <c r="N3855" s="7" t="inlineStr">
        <is>
          <t>SEM COTAÇÃO</t>
        </is>
      </c>
      <c r="O3855" s="8" t="n"/>
      <c r="P3855" s="14" t="n"/>
      <c r="Q3855" s="7" t="inlineStr"/>
      <c r="R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8" t="n"/>
      <c r="N3856" s="7" t="inlineStr">
        <is>
          <t>SEM COTAÇÃO</t>
        </is>
      </c>
      <c r="O3856" s="8" t="n"/>
      <c r="P3856" s="14" t="n"/>
      <c r="Q3856" s="7" t="inlineStr"/>
      <c r="R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8" t="n"/>
      <c r="N3857" s="7" t="inlineStr">
        <is>
          <t>SEM COTAÇÃO</t>
        </is>
      </c>
      <c r="O3857" s="8" t="n"/>
      <c r="P3857" s="14" t="n"/>
      <c r="Q3857" s="7" t="inlineStr"/>
      <c r="R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8" t="n"/>
      <c r="N3858" s="7" t="inlineStr">
        <is>
          <t>SEM COTAÇÃO</t>
        </is>
      </c>
      <c r="O3858" s="8" t="n"/>
      <c r="P3858" s="14" t="n"/>
      <c r="Q3858" s="7" t="inlineStr"/>
      <c r="R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8" t="n"/>
      <c r="N3859" s="7" t="inlineStr">
        <is>
          <t>SEM COTAÇÃO</t>
        </is>
      </c>
      <c r="O3859" s="8" t="n"/>
      <c r="P3859" s="14" t="n"/>
      <c r="Q3859" s="7" t="inlineStr"/>
      <c r="R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8" t="n"/>
      <c r="N3860" s="7" t="inlineStr">
        <is>
          <t>SEM COTAÇÃO</t>
        </is>
      </c>
      <c r="O3860" s="8" t="n"/>
      <c r="P3860" s="14" t="n"/>
      <c r="Q3860" s="7" t="inlineStr"/>
      <c r="R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8" t="n"/>
      <c r="N3861" s="7" t="inlineStr">
        <is>
          <t>SEM COTAÇÃO</t>
        </is>
      </c>
      <c r="O3861" s="8" t="n"/>
      <c r="P3861" s="14" t="n"/>
      <c r="Q3861" s="7" t="inlineStr"/>
      <c r="R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8" t="n"/>
      <c r="N3862" s="7" t="inlineStr">
        <is>
          <t>SEM COTAÇÃO</t>
        </is>
      </c>
      <c r="O3862" s="8" t="n"/>
      <c r="P3862" s="14" t="n"/>
      <c r="Q3862" s="7" t="inlineStr"/>
      <c r="R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8" t="n"/>
      <c r="N3863" s="7" t="inlineStr">
        <is>
          <t>SEM COTAÇÃO</t>
        </is>
      </c>
      <c r="O3863" s="8" t="n"/>
      <c r="P3863" s="14" t="n"/>
      <c r="Q3863" s="7" t="inlineStr"/>
      <c r="R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8" t="n"/>
      <c r="N3864" s="7" t="inlineStr">
        <is>
          <t>SEM COTAÇÃO</t>
        </is>
      </c>
      <c r="O3864" s="8" t="n"/>
      <c r="P3864" s="14" t="n"/>
      <c r="Q3864" s="7" t="inlineStr"/>
      <c r="R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8" t="n"/>
      <c r="N3865" s="7" t="inlineStr">
        <is>
          <t>SEM COTAÇÃO</t>
        </is>
      </c>
      <c r="O3865" s="8" t="n"/>
      <c r="P3865" s="14" t="n"/>
      <c r="Q3865" s="7" t="inlineStr"/>
      <c r="R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8" t="n"/>
      <c r="N3866" s="7" t="inlineStr">
        <is>
          <t>SEM COTAÇÃO</t>
        </is>
      </c>
      <c r="O3866" s="8" t="n"/>
      <c r="P3866" s="14" t="n"/>
      <c r="Q3866" s="7" t="inlineStr"/>
      <c r="R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8" t="n"/>
      <c r="N3867" s="7" t="inlineStr">
        <is>
          <t>SEM COTAÇÃO</t>
        </is>
      </c>
      <c r="O3867" s="8" t="n"/>
      <c r="P3867" s="14" t="n"/>
      <c r="Q3867" s="7" t="inlineStr"/>
      <c r="R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8" t="n"/>
      <c r="N3868" s="7" t="inlineStr">
        <is>
          <t>EPAN</t>
        </is>
      </c>
      <c r="O3868" s="8" t="n">
        <v>27.4</v>
      </c>
      <c r="P3868" s="14">
        <f>O3868/H3868-1</f>
        <v/>
      </c>
      <c r="Q3868" s="16" t="inlineStr">
        <is>
          <t>ACIMA +16.3%</t>
        </is>
      </c>
      <c r="R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8" t="n"/>
      <c r="N3869" s="7" t="inlineStr">
        <is>
          <t>SEM COTAÇÃO</t>
        </is>
      </c>
      <c r="O3869" s="8" t="n"/>
      <c r="P3869" s="14" t="n"/>
      <c r="Q3869" s="7" t="inlineStr"/>
      <c r="R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8" t="n"/>
      <c r="N3870" s="7" t="inlineStr">
        <is>
          <t>SEM COTAÇÃO</t>
        </is>
      </c>
      <c r="O3870" s="8" t="n"/>
      <c r="P3870" s="14" t="n"/>
      <c r="Q3870" s="7" t="inlineStr"/>
      <c r="R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8" t="n"/>
      <c r="N3871" s="7" t="inlineStr">
        <is>
          <t>SEM COTAÇÃO</t>
        </is>
      </c>
      <c r="O3871" s="8" t="n"/>
      <c r="P3871" s="14" t="n"/>
      <c r="Q3871" s="7" t="inlineStr"/>
      <c r="R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8" t="n"/>
      <c r="N3872" s="7" t="inlineStr">
        <is>
          <t>SEM COTAÇÃO</t>
        </is>
      </c>
      <c r="O3872" s="8" t="n"/>
      <c r="P3872" s="14" t="n"/>
      <c r="Q3872" s="7" t="inlineStr"/>
      <c r="R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8" t="n"/>
      <c r="N3873" s="7" t="inlineStr">
        <is>
          <t>SEM COTAÇÃO</t>
        </is>
      </c>
      <c r="O3873" s="8" t="n"/>
      <c r="P3873" s="14" t="n"/>
      <c r="Q3873" s="7" t="inlineStr"/>
      <c r="R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8" t="n"/>
      <c r="N3874" s="7" t="inlineStr">
        <is>
          <t>SEM COTAÇÃO</t>
        </is>
      </c>
      <c r="O3874" s="8" t="n"/>
      <c r="P3874" s="14" t="n"/>
      <c r="Q3874" s="7" t="inlineStr"/>
      <c r="R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8" t="n"/>
      <c r="N3875" s="7" t="inlineStr">
        <is>
          <t>SEM COTAÇÃO</t>
        </is>
      </c>
      <c r="O3875" s="8" t="n"/>
      <c r="P3875" s="14" t="n"/>
      <c r="Q3875" s="7" t="inlineStr"/>
      <c r="R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8" t="n"/>
      <c r="N3876" s="7" t="inlineStr">
        <is>
          <t>SEM COTAÇÃO</t>
        </is>
      </c>
      <c r="O3876" s="8" t="n"/>
      <c r="P3876" s="14" t="n"/>
      <c r="Q3876" s="7" t="inlineStr"/>
      <c r="R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8" t="n"/>
      <c r="N3877" s="7" t="inlineStr">
        <is>
          <t>SEM COTAÇÃO</t>
        </is>
      </c>
      <c r="O3877" s="8" t="n"/>
      <c r="P3877" s="14" t="n"/>
      <c r="Q3877" s="7" t="inlineStr"/>
      <c r="R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8" t="n"/>
      <c r="N3878" s="7" t="inlineStr">
        <is>
          <t>SEM COTAÇÃO</t>
        </is>
      </c>
      <c r="O3878" s="8" t="n"/>
      <c r="P3878" s="14" t="n"/>
      <c r="Q3878" s="7" t="inlineStr"/>
      <c r="R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8" t="n"/>
      <c r="N3879" s="7" t="inlineStr">
        <is>
          <t>SEM COTAÇÃO</t>
        </is>
      </c>
      <c r="O3879" s="8" t="n"/>
      <c r="P3879" s="14" t="n"/>
      <c r="Q3879" s="7" t="inlineStr"/>
      <c r="R3879" s="7" t="inlineStr"/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8" t="n"/>
      <c r="N3880" s="7" t="inlineStr">
        <is>
          <t>SEM COTAÇÃO</t>
        </is>
      </c>
      <c r="O3880" s="8" t="n"/>
      <c r="P3880" s="14" t="n"/>
      <c r="Q3880" s="7" t="inlineStr"/>
      <c r="R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8" t="n"/>
      <c r="N3881" s="7" t="inlineStr">
        <is>
          <t>SEM COTAÇÃO</t>
        </is>
      </c>
      <c r="O3881" s="8" t="n"/>
      <c r="P3881" s="14" t="n"/>
      <c r="Q3881" s="7" t="inlineStr"/>
      <c r="R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8" t="n"/>
      <c r="N3882" s="7" t="inlineStr">
        <is>
          <t>SEM COTAÇÃO</t>
        </is>
      </c>
      <c r="O3882" s="8" t="n"/>
      <c r="P3882" s="14" t="n"/>
      <c r="Q3882" s="7" t="inlineStr"/>
      <c r="R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8" t="n"/>
      <c r="N3883" s="7" t="inlineStr">
        <is>
          <t>SEM COTAÇÃO</t>
        </is>
      </c>
      <c r="O3883" s="8" t="n"/>
      <c r="P3883" s="14" t="n"/>
      <c r="Q3883" s="7" t="inlineStr"/>
      <c r="R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8" t="n"/>
      <c r="N3884" s="7" t="inlineStr">
        <is>
          <t>SEM COTAÇÃO</t>
        </is>
      </c>
      <c r="O3884" s="8" t="n"/>
      <c r="P3884" s="14" t="n"/>
      <c r="Q3884" s="7" t="inlineStr"/>
      <c r="R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8" t="n"/>
      <c r="N3885" s="7" t="inlineStr">
        <is>
          <t>SEM COTAÇÃO</t>
        </is>
      </c>
      <c r="O3885" s="8" t="n"/>
      <c r="P3885" s="14" t="n"/>
      <c r="Q3885" s="7" t="inlineStr"/>
      <c r="R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8" t="n"/>
      <c r="N3886" s="7" t="inlineStr">
        <is>
          <t>SEM COTAÇÃO</t>
        </is>
      </c>
      <c r="O3886" s="8" t="n"/>
      <c r="P3886" s="14" t="n"/>
      <c r="Q3886" s="7" t="inlineStr"/>
      <c r="R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8" t="n"/>
      <c r="N3887" s="7" t="inlineStr">
        <is>
          <t>EPAN</t>
        </is>
      </c>
      <c r="O3887" s="8" t="n">
        <v>7</v>
      </c>
      <c r="P3887" s="14">
        <f>O3887/H3887-1</f>
        <v/>
      </c>
      <c r="Q3887" s="17" t="inlineStr">
        <is>
          <t>OK (≤ menor hist.)</t>
        </is>
      </c>
      <c r="R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8" t="n"/>
      <c r="N3888" s="7" t="inlineStr">
        <is>
          <t>EPAN</t>
        </is>
      </c>
      <c r="O3888" s="8" t="n">
        <v>9.77</v>
      </c>
      <c r="P3888" s="14">
        <f>O3888/H3888-1</f>
        <v/>
      </c>
      <c r="Q3888" s="17" t="inlineStr">
        <is>
          <t>OK (≤ menor hist.)</t>
        </is>
      </c>
      <c r="R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8" t="n"/>
      <c r="N3889" s="7" t="inlineStr">
        <is>
          <t>SEM COTAÇÃO</t>
        </is>
      </c>
      <c r="O3889" s="8" t="n"/>
      <c r="P3889" s="14" t="n"/>
      <c r="Q3889" s="7" t="inlineStr"/>
      <c r="R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8" t="n"/>
      <c r="N3890" s="7" t="inlineStr">
        <is>
          <t>SEM COTAÇÃO</t>
        </is>
      </c>
      <c r="O3890" s="8" t="n"/>
      <c r="P3890" s="14" t="n"/>
      <c r="Q3890" s="7" t="inlineStr"/>
      <c r="R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8" t="n"/>
      <c r="N3891" s="7" t="inlineStr">
        <is>
          <t>SEM COTAÇÃO</t>
        </is>
      </c>
      <c r="O3891" s="8" t="n"/>
      <c r="P3891" s="14" t="n"/>
      <c r="Q3891" s="7" t="inlineStr"/>
      <c r="R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8" t="n"/>
      <c r="N3892" s="7" t="inlineStr">
        <is>
          <t>SEM COTAÇÃO</t>
        </is>
      </c>
      <c r="O3892" s="8" t="n"/>
      <c r="P3892" s="14" t="n"/>
      <c r="Q3892" s="7" t="inlineStr"/>
      <c r="R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8" t="n"/>
      <c r="N3893" s="7" t="inlineStr">
        <is>
          <t>SEM COTAÇÃO</t>
        </is>
      </c>
      <c r="O3893" s="8" t="n"/>
      <c r="P3893" s="14" t="n"/>
      <c r="Q3893" s="7" t="inlineStr"/>
      <c r="R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8" t="n"/>
      <c r="N3894" s="7" t="inlineStr">
        <is>
          <t>SEM COTAÇÃO</t>
        </is>
      </c>
      <c r="O3894" s="8" t="n"/>
      <c r="P3894" s="14" t="n"/>
      <c r="Q3894" s="7" t="inlineStr"/>
      <c r="R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8" t="n"/>
      <c r="N3895" s="7" t="inlineStr">
        <is>
          <t>SEM COTAÇÃO</t>
        </is>
      </c>
      <c r="O3895" s="8" t="n"/>
      <c r="P3895" s="14" t="n"/>
      <c r="Q3895" s="7" t="inlineStr"/>
      <c r="R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8" t="n"/>
      <c r="N3896" s="7" t="inlineStr">
        <is>
          <t>SEM COTAÇÃO</t>
        </is>
      </c>
      <c r="O3896" s="8" t="n"/>
      <c r="P3896" s="14" t="n"/>
      <c r="Q3896" s="7" t="inlineStr"/>
      <c r="R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8" t="n"/>
      <c r="N3897" s="7" t="inlineStr">
        <is>
          <t>SEM COTAÇÃO</t>
        </is>
      </c>
      <c r="O3897" s="8" t="n"/>
      <c r="P3897" s="14" t="n"/>
      <c r="Q3897" s="7" t="inlineStr"/>
      <c r="R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8" t="n"/>
      <c r="N3898" s="7" t="inlineStr">
        <is>
          <t>SEM COTAÇÃO</t>
        </is>
      </c>
      <c r="O3898" s="8" t="n"/>
      <c r="P3898" s="14" t="n"/>
      <c r="Q3898" s="7" t="inlineStr"/>
      <c r="R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8" t="n"/>
      <c r="N3899" s="7" t="inlineStr">
        <is>
          <t>SEM COTAÇÃO</t>
        </is>
      </c>
      <c r="O3899" s="8" t="n"/>
      <c r="P3899" s="14" t="n"/>
      <c r="Q3899" s="7" t="inlineStr"/>
      <c r="R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8" t="n"/>
      <c r="N3900" s="7" t="inlineStr">
        <is>
          <t>SEM COTAÇÃO</t>
        </is>
      </c>
      <c r="O3900" s="8" t="n"/>
      <c r="P3900" s="14" t="n"/>
      <c r="Q3900" s="7" t="inlineStr"/>
      <c r="R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8" t="n"/>
      <c r="N3901" s="7" t="inlineStr">
        <is>
          <t>SEM COTAÇÃO</t>
        </is>
      </c>
      <c r="O3901" s="8" t="n"/>
      <c r="P3901" s="14" t="n"/>
      <c r="Q3901" s="7" t="inlineStr"/>
      <c r="R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8" t="n"/>
      <c r="N3902" s="7" t="inlineStr">
        <is>
          <t>SEM COTAÇÃO</t>
        </is>
      </c>
      <c r="O3902" s="8" t="n"/>
      <c r="P3902" s="14" t="n"/>
      <c r="Q3902" s="7" t="inlineStr"/>
      <c r="R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8" t="n"/>
      <c r="N3903" s="7" t="inlineStr">
        <is>
          <t>SEM COTAÇÃO</t>
        </is>
      </c>
      <c r="O3903" s="8" t="n"/>
      <c r="P3903" s="14" t="n"/>
      <c r="Q3903" s="7" t="inlineStr"/>
      <c r="R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8" t="n"/>
      <c r="N3904" s="7" t="inlineStr">
        <is>
          <t>SEM COTAÇÃO</t>
        </is>
      </c>
      <c r="O3904" s="8" t="n"/>
      <c r="P3904" s="14" t="n"/>
      <c r="Q3904" s="7" t="inlineStr"/>
      <c r="R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8" t="n"/>
      <c r="N3905" s="7" t="inlineStr">
        <is>
          <t>SEM COTAÇÃO</t>
        </is>
      </c>
      <c r="O3905" s="8" t="n"/>
      <c r="P3905" s="14" t="n"/>
      <c r="Q3905" s="7" t="inlineStr"/>
      <c r="R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8" t="n"/>
      <c r="N3906" s="7" t="inlineStr">
        <is>
          <t>SEM COTAÇÃO</t>
        </is>
      </c>
      <c r="O3906" s="8" t="n"/>
      <c r="P3906" s="14" t="n"/>
      <c r="Q3906" s="7" t="inlineStr"/>
      <c r="R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8" t="n"/>
      <c r="N3907" s="7" t="inlineStr">
        <is>
          <t>EPAN</t>
        </is>
      </c>
      <c r="O3907" s="8" t="n">
        <v>22.03</v>
      </c>
      <c r="P3907" s="14">
        <f>O3907/H3907-1</f>
        <v/>
      </c>
      <c r="Q3907" s="17" t="inlineStr">
        <is>
          <t>OK (≤ últ. compra)</t>
        </is>
      </c>
      <c r="R3907" s="7" t="inlineStr"/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8" t="n"/>
      <c r="N3908" s="7" t="inlineStr">
        <is>
          <t>SEM COTAÇÃO</t>
        </is>
      </c>
      <c r="O3908" s="8" t="n"/>
      <c r="P3908" s="14" t="n"/>
      <c r="Q3908" s="7" t="inlineStr"/>
      <c r="R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8" t="n"/>
      <c r="N3909" s="7" t="inlineStr">
        <is>
          <t>SEM COTAÇÃO</t>
        </is>
      </c>
      <c r="O3909" s="8" t="n"/>
      <c r="P3909" s="14" t="n"/>
      <c r="Q3909" s="7" t="inlineStr"/>
      <c r="R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8" t="n"/>
      <c r="N3910" s="7" t="inlineStr">
        <is>
          <t>SEM COTAÇÃO</t>
        </is>
      </c>
      <c r="O3910" s="8" t="n"/>
      <c r="P3910" s="14" t="n"/>
      <c r="Q3910" s="7" t="inlineStr"/>
      <c r="R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8" t="n"/>
      <c r="N3911" s="7" t="inlineStr">
        <is>
          <t>SEM COTAÇÃO</t>
        </is>
      </c>
      <c r="O3911" s="8" t="n"/>
      <c r="P3911" s="14" t="n"/>
      <c r="Q3911" s="7" t="inlineStr"/>
      <c r="R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8" t="n"/>
      <c r="N3912" s="7" t="inlineStr">
        <is>
          <t>SEM COTAÇÃO</t>
        </is>
      </c>
      <c r="O3912" s="8" t="n"/>
      <c r="P3912" s="14" t="n"/>
      <c r="Q3912" s="7" t="inlineStr"/>
      <c r="R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8" t="n"/>
      <c r="N3913" s="7" t="inlineStr">
        <is>
          <t>SEM COTAÇÃO</t>
        </is>
      </c>
      <c r="O3913" s="8" t="n"/>
      <c r="P3913" s="14" t="n"/>
      <c r="Q3913" s="7" t="inlineStr"/>
      <c r="R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8" t="n"/>
      <c r="N3914" s="7" t="inlineStr">
        <is>
          <t>SEM COTAÇÃO</t>
        </is>
      </c>
      <c r="O3914" s="8" t="n"/>
      <c r="P3914" s="14" t="n"/>
      <c r="Q3914" s="7" t="inlineStr"/>
      <c r="R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8" t="n"/>
      <c r="N3915" s="7" t="inlineStr">
        <is>
          <t>SEM COTAÇÃO</t>
        </is>
      </c>
      <c r="O3915" s="8" t="n"/>
      <c r="P3915" s="14" t="n"/>
      <c r="Q3915" s="7" t="inlineStr"/>
      <c r="R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8" t="n"/>
      <c r="N3916" s="7" t="inlineStr">
        <is>
          <t>SEM COTAÇÃO</t>
        </is>
      </c>
      <c r="O3916" s="8" t="n"/>
      <c r="P3916" s="14" t="n"/>
      <c r="Q3916" s="7" t="inlineStr"/>
      <c r="R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8" t="n"/>
      <c r="N3917" s="7" t="inlineStr">
        <is>
          <t>DIMEC</t>
        </is>
      </c>
      <c r="O3917" s="8" t="n">
        <v>3.33</v>
      </c>
      <c r="P3917" s="14">
        <f>O3917/H3917-1</f>
        <v/>
      </c>
      <c r="Q3917" s="17" t="inlineStr">
        <is>
          <t>OK (≤ menor hist.)</t>
        </is>
      </c>
      <c r="R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8" t="n"/>
      <c r="N3918" s="7" t="inlineStr">
        <is>
          <t>SEM COTAÇÃO</t>
        </is>
      </c>
      <c r="O3918" s="8" t="n"/>
      <c r="P3918" s="14" t="n"/>
      <c r="Q3918" s="7" t="inlineStr"/>
      <c r="R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8" t="n"/>
      <c r="N3919" s="7" t="inlineStr">
        <is>
          <t>SEM COTAÇÃO</t>
        </is>
      </c>
      <c r="O3919" s="8" t="n"/>
      <c r="P3919" s="14" t="n"/>
      <c r="Q3919" s="7" t="inlineStr"/>
      <c r="R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8" t="n"/>
      <c r="N3920" s="7" t="inlineStr">
        <is>
          <t>SEM COTAÇÃO</t>
        </is>
      </c>
      <c r="O3920" s="8" t="n"/>
      <c r="P3920" s="14" t="n"/>
      <c r="Q3920" s="7" t="inlineStr"/>
      <c r="R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8" t="n"/>
      <c r="N3921" s="7" t="inlineStr">
        <is>
          <t>SEM COTAÇÃO</t>
        </is>
      </c>
      <c r="O3921" s="8" t="n"/>
      <c r="P3921" s="14" t="n"/>
      <c r="Q3921" s="7" t="inlineStr"/>
      <c r="R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8" t="n"/>
      <c r="N3922" s="7" t="inlineStr">
        <is>
          <t>DIMEC</t>
        </is>
      </c>
      <c r="O3922" s="8" t="n">
        <v>3.36</v>
      </c>
      <c r="P3922" s="14">
        <f>O3922/H3922-1</f>
        <v/>
      </c>
      <c r="Q3922" s="17" t="inlineStr">
        <is>
          <t>OK (≤ menor hist.)</t>
        </is>
      </c>
      <c r="R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8" t="n"/>
      <c r="N3923" s="7" t="inlineStr">
        <is>
          <t>SEM COTAÇÃO</t>
        </is>
      </c>
      <c r="O3923" s="8" t="n"/>
      <c r="P3923" s="14" t="n"/>
      <c r="Q3923" s="7" t="inlineStr"/>
      <c r="R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8" t="n"/>
      <c r="N3924" s="7" t="inlineStr">
        <is>
          <t>SEM COTAÇÃO</t>
        </is>
      </c>
      <c r="O3924" s="8" t="n"/>
      <c r="P3924" s="14" t="n"/>
      <c r="Q3924" s="7" t="inlineStr"/>
      <c r="R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8" t="n"/>
      <c r="N3925" s="7" t="inlineStr">
        <is>
          <t>SEM COTAÇÃO</t>
        </is>
      </c>
      <c r="O3925" s="8" t="n"/>
      <c r="P3925" s="14" t="n"/>
      <c r="Q3925" s="7" t="inlineStr"/>
      <c r="R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8" t="n"/>
      <c r="N3926" s="7" t="inlineStr">
        <is>
          <t>SEM COTAÇÃO</t>
        </is>
      </c>
      <c r="O3926" s="8" t="n"/>
      <c r="P3926" s="14" t="n"/>
      <c r="Q3926" s="7" t="inlineStr"/>
      <c r="R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8" t="n"/>
      <c r="N3927" s="7" t="inlineStr">
        <is>
          <t>SEM COTAÇÃO</t>
        </is>
      </c>
      <c r="O3927" s="8" t="n"/>
      <c r="P3927" s="14" t="n"/>
      <c r="Q3927" s="7" t="inlineStr"/>
      <c r="R3927" s="7" t="inlineStr"/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7" t="inlineStr">
        <is>
          <t>SEM COTAÇÃO</t>
        </is>
      </c>
      <c r="O3928" s="8" t="n"/>
      <c r="P3928" s="14" t="n"/>
      <c r="Q3928" s="7" t="inlineStr"/>
      <c r="R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8" t="n"/>
      <c r="N3929" s="7" t="inlineStr">
        <is>
          <t>SEM COTAÇÃO</t>
        </is>
      </c>
      <c r="O3929" s="8" t="n"/>
      <c r="P3929" s="14" t="n"/>
      <c r="Q3929" s="7" t="inlineStr"/>
      <c r="R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8" t="n"/>
      <c r="N3930" s="7" t="inlineStr">
        <is>
          <t>SEM COTAÇÃO</t>
        </is>
      </c>
      <c r="O3930" s="8" t="n"/>
      <c r="P3930" s="14" t="n"/>
      <c r="Q3930" s="7" t="inlineStr"/>
      <c r="R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8" t="n"/>
      <c r="N3931" s="7" t="inlineStr">
        <is>
          <t>SEM COTAÇÃO</t>
        </is>
      </c>
      <c r="O3931" s="8" t="n"/>
      <c r="P3931" s="14" t="n"/>
      <c r="Q3931" s="7" t="inlineStr"/>
      <c r="R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8" t="n"/>
      <c r="N3932" s="7" t="inlineStr">
        <is>
          <t>SEM COTAÇÃO</t>
        </is>
      </c>
      <c r="O3932" s="8" t="n"/>
      <c r="P3932" s="14" t="n"/>
      <c r="Q3932" s="7" t="inlineStr"/>
      <c r="R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8" t="n"/>
      <c r="N3933" s="7" t="inlineStr">
        <is>
          <t>SEM COTAÇÃO</t>
        </is>
      </c>
      <c r="O3933" s="8" t="n"/>
      <c r="P3933" s="14" t="n"/>
      <c r="Q3933" s="7" t="inlineStr"/>
      <c r="R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7" t="inlineStr">
        <is>
          <t>SEM COTAÇÃO</t>
        </is>
      </c>
      <c r="O3934" s="8" t="n"/>
      <c r="P3934" s="14" t="n"/>
      <c r="Q3934" s="7" t="inlineStr"/>
      <c r="R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8" t="n">
        <v>2.39</v>
      </c>
      <c r="N3935" s="7" t="inlineStr">
        <is>
          <t>DIMEC</t>
        </is>
      </c>
      <c r="O3935" s="8" t="n">
        <v>2.36</v>
      </c>
      <c r="P3935" s="14">
        <f>O3935/H3935-1</f>
        <v/>
      </c>
      <c r="Q3935" s="17" t="inlineStr">
        <is>
          <t>OK (≤ últ. compra)</t>
        </is>
      </c>
      <c r="R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8" t="n"/>
      <c r="N3936" s="7" t="inlineStr">
        <is>
          <t>SEM COTAÇÃO</t>
        </is>
      </c>
      <c r="O3936" s="8" t="n"/>
      <c r="P3936" s="14" t="n"/>
      <c r="Q3936" s="7" t="inlineStr"/>
      <c r="R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8" t="n"/>
      <c r="N3937" s="7" t="inlineStr">
        <is>
          <t>SEM COTAÇÃO</t>
        </is>
      </c>
      <c r="O3937" s="8" t="n"/>
      <c r="P3937" s="14" t="n"/>
      <c r="Q3937" s="7" t="inlineStr"/>
      <c r="R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8" t="n"/>
      <c r="N3938" s="7" t="inlineStr">
        <is>
          <t>SEM COTAÇÃO</t>
        </is>
      </c>
      <c r="O3938" s="8" t="n"/>
      <c r="P3938" s="14" t="n"/>
      <c r="Q3938" s="7" t="inlineStr"/>
      <c r="R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8" t="n"/>
      <c r="N3939" s="7" t="inlineStr">
        <is>
          <t>SEM COTAÇÃO</t>
        </is>
      </c>
      <c r="O3939" s="8" t="n"/>
      <c r="P3939" s="14" t="n"/>
      <c r="Q3939" s="7" t="inlineStr"/>
      <c r="R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8" t="n"/>
      <c r="N3940" s="7" t="inlineStr">
        <is>
          <t>SEM COTAÇÃO</t>
        </is>
      </c>
      <c r="O3940" s="8" t="n"/>
      <c r="P3940" s="14" t="n"/>
      <c r="Q3940" s="7" t="inlineStr"/>
      <c r="R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8" t="n"/>
      <c r="N3941" s="7" t="inlineStr">
        <is>
          <t>SEM COTAÇÃO</t>
        </is>
      </c>
      <c r="O3941" s="8" t="n"/>
      <c r="P3941" s="14" t="n"/>
      <c r="Q3941" s="7" t="inlineStr"/>
      <c r="R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8" t="n"/>
      <c r="N3942" s="7" t="inlineStr">
        <is>
          <t>SEM COTAÇÃO</t>
        </is>
      </c>
      <c r="O3942" s="8" t="n"/>
      <c r="P3942" s="14" t="n"/>
      <c r="Q3942" s="7" t="inlineStr"/>
      <c r="R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8" t="n"/>
      <c r="N3943" s="7" t="inlineStr">
        <is>
          <t>SEM COTAÇÃO</t>
        </is>
      </c>
      <c r="O3943" s="8" t="n"/>
      <c r="P3943" s="14" t="n"/>
      <c r="Q3943" s="7" t="inlineStr"/>
      <c r="R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8" t="n"/>
      <c r="N3944" s="7" t="inlineStr">
        <is>
          <t>SEM COTAÇÃO</t>
        </is>
      </c>
      <c r="O3944" s="8" t="n"/>
      <c r="P3944" s="14" t="n"/>
      <c r="Q3944" s="7" t="inlineStr"/>
      <c r="R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8" t="n"/>
      <c r="N3945" s="7" t="inlineStr">
        <is>
          <t>SEM COTAÇÃO</t>
        </is>
      </c>
      <c r="O3945" s="8" t="n"/>
      <c r="P3945" s="14" t="n"/>
      <c r="Q3945" s="7" t="inlineStr"/>
      <c r="R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8" t="n"/>
      <c r="N3946" s="7" t="inlineStr">
        <is>
          <t>SEM COTAÇÃO</t>
        </is>
      </c>
      <c r="O3946" s="8" t="n"/>
      <c r="P3946" s="14" t="n"/>
      <c r="Q3946" s="7" t="inlineStr"/>
      <c r="R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8" t="n"/>
      <c r="N3947" s="7" t="inlineStr">
        <is>
          <t>SEM COTAÇÃO</t>
        </is>
      </c>
      <c r="O3947" s="8" t="n"/>
      <c r="P3947" s="14" t="n"/>
      <c r="Q3947" s="7" t="inlineStr"/>
      <c r="R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8" t="n"/>
      <c r="N3948" s="7" t="inlineStr">
        <is>
          <t>SEM COTAÇÃO</t>
        </is>
      </c>
      <c r="O3948" s="8" t="n"/>
      <c r="P3948" s="14" t="n"/>
      <c r="Q3948" s="7" t="inlineStr"/>
      <c r="R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8" t="n"/>
      <c r="N3949" s="7" t="inlineStr">
        <is>
          <t>SEM COTAÇÃO</t>
        </is>
      </c>
      <c r="O3949" s="8" t="n"/>
      <c r="P3949" s="14" t="n"/>
      <c r="Q3949" s="7" t="inlineStr"/>
      <c r="R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8" t="n"/>
      <c r="N3950" s="7" t="inlineStr">
        <is>
          <t>SEM COTAÇÃO</t>
        </is>
      </c>
      <c r="O3950" s="8" t="n"/>
      <c r="P3950" s="14" t="n"/>
      <c r="Q3950" s="7" t="inlineStr"/>
      <c r="R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8" t="n"/>
      <c r="N3951" s="7" t="inlineStr">
        <is>
          <t>SEM COTAÇÃO</t>
        </is>
      </c>
      <c r="O3951" s="8" t="n"/>
      <c r="P3951" s="14" t="n"/>
      <c r="Q3951" s="7" t="inlineStr"/>
      <c r="R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8" t="n"/>
      <c r="N3952" s="7" t="inlineStr">
        <is>
          <t>SEM COTAÇÃO</t>
        </is>
      </c>
      <c r="O3952" s="8" t="n"/>
      <c r="P3952" s="14" t="n"/>
      <c r="Q3952" s="7" t="inlineStr"/>
      <c r="R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8" t="n"/>
      <c r="N3953" s="7" t="inlineStr">
        <is>
          <t>SEM COTAÇÃO</t>
        </is>
      </c>
      <c r="O3953" s="8" t="n"/>
      <c r="P3953" s="14" t="n"/>
      <c r="Q3953" s="7" t="inlineStr"/>
      <c r="R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8" t="n"/>
      <c r="N3954" s="7" t="inlineStr">
        <is>
          <t>SEM COTAÇÃO</t>
        </is>
      </c>
      <c r="O3954" s="8" t="n"/>
      <c r="P3954" s="14" t="n"/>
      <c r="Q3954" s="7" t="inlineStr"/>
      <c r="R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8" t="n"/>
      <c r="N3955" s="7" t="inlineStr">
        <is>
          <t>SEM COTAÇÃO</t>
        </is>
      </c>
      <c r="O3955" s="8" t="n"/>
      <c r="P3955" s="14" t="n"/>
      <c r="Q3955" s="7" t="inlineStr"/>
      <c r="R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8" t="n"/>
      <c r="N3956" s="7" t="inlineStr">
        <is>
          <t>SEM COTAÇÃO</t>
        </is>
      </c>
      <c r="O3956" s="8" t="n"/>
      <c r="P3956" s="14" t="n"/>
      <c r="Q3956" s="7" t="inlineStr"/>
      <c r="R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8" t="n"/>
      <c r="N3957" s="7" t="inlineStr">
        <is>
          <t>SEM COTAÇÃO</t>
        </is>
      </c>
      <c r="O3957" s="8" t="n"/>
      <c r="P3957" s="14" t="n"/>
      <c r="Q3957" s="7" t="inlineStr"/>
      <c r="R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8" t="n"/>
      <c r="N3958" s="7" t="inlineStr">
        <is>
          <t>SEM COTAÇÃO</t>
        </is>
      </c>
      <c r="O3958" s="8" t="n"/>
      <c r="P3958" s="14" t="n"/>
      <c r="Q3958" s="7" t="inlineStr"/>
      <c r="R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8" t="n"/>
      <c r="N3959" s="7" t="inlineStr">
        <is>
          <t>SEM COTAÇÃO</t>
        </is>
      </c>
      <c r="O3959" s="8" t="n"/>
      <c r="P3959" s="14" t="n"/>
      <c r="Q3959" s="7" t="inlineStr"/>
      <c r="R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8" t="n"/>
      <c r="N3960" s="7" t="inlineStr">
        <is>
          <t>SEM COTAÇÃO</t>
        </is>
      </c>
      <c r="O3960" s="8" t="n"/>
      <c r="P3960" s="14" t="n"/>
      <c r="Q3960" s="7" t="inlineStr"/>
      <c r="R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8" t="n"/>
      <c r="N3961" s="7" t="inlineStr">
        <is>
          <t>SEM COTAÇÃO</t>
        </is>
      </c>
      <c r="O3961" s="8" t="n"/>
      <c r="P3961" s="14" t="n"/>
      <c r="Q3961" s="7" t="inlineStr"/>
      <c r="R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8" t="n"/>
      <c r="N3962" s="7" t="inlineStr">
        <is>
          <t>SEM COTAÇÃO</t>
        </is>
      </c>
      <c r="O3962" s="8" t="n"/>
      <c r="P3962" s="14" t="n"/>
      <c r="Q3962" s="7" t="inlineStr"/>
      <c r="R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8" t="n"/>
      <c r="N3963" s="7" t="inlineStr">
        <is>
          <t>SEM COTAÇÃO</t>
        </is>
      </c>
      <c r="O3963" s="8" t="n"/>
      <c r="P3963" s="14" t="n"/>
      <c r="Q3963" s="7" t="inlineStr"/>
      <c r="R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8" t="n"/>
      <c r="N3964" s="7" t="inlineStr">
        <is>
          <t>SEM COTAÇÃO</t>
        </is>
      </c>
      <c r="O3964" s="8" t="n"/>
      <c r="P3964" s="14" t="n"/>
      <c r="Q3964" s="7" t="inlineStr"/>
      <c r="R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8" t="n"/>
      <c r="N3965" s="7" t="inlineStr">
        <is>
          <t>SEM COTAÇÃO</t>
        </is>
      </c>
      <c r="O3965" s="8" t="n"/>
      <c r="P3965" s="14" t="n"/>
      <c r="Q3965" s="7" t="inlineStr"/>
      <c r="R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8" t="n"/>
      <c r="N3966" s="7" t="inlineStr">
        <is>
          <t>SEM COTAÇÃO</t>
        </is>
      </c>
      <c r="O3966" s="8" t="n"/>
      <c r="P3966" s="14" t="n"/>
      <c r="Q3966" s="7" t="inlineStr"/>
      <c r="R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8" t="n"/>
      <c r="N3967" s="7" t="inlineStr">
        <is>
          <t>SEM COTAÇÃO</t>
        </is>
      </c>
      <c r="O3967" s="8" t="n"/>
      <c r="P3967" s="14" t="n"/>
      <c r="Q3967" s="7" t="inlineStr"/>
      <c r="R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8" t="n"/>
      <c r="N3968" s="7" t="inlineStr">
        <is>
          <t>SEM COTAÇÃO</t>
        </is>
      </c>
      <c r="O3968" s="8" t="n"/>
      <c r="P3968" s="14" t="n"/>
      <c r="Q3968" s="7" t="inlineStr"/>
      <c r="R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8" t="n"/>
      <c r="N3969" s="7" t="inlineStr">
        <is>
          <t>SEM COTAÇÃO</t>
        </is>
      </c>
      <c r="O3969" s="8" t="n"/>
      <c r="P3969" s="14" t="n"/>
      <c r="Q3969" s="7" t="inlineStr"/>
      <c r="R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8" t="n"/>
      <c r="N3970" s="7" t="inlineStr">
        <is>
          <t>SEM COTAÇÃO</t>
        </is>
      </c>
      <c r="O3970" s="8" t="n"/>
      <c r="P3970" s="14" t="n"/>
      <c r="Q3970" s="7" t="inlineStr"/>
      <c r="R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8" t="n"/>
      <c r="N3971" s="7" t="inlineStr">
        <is>
          <t>SEM COTAÇÃO</t>
        </is>
      </c>
      <c r="O3971" s="8" t="n"/>
      <c r="P3971" s="14" t="n"/>
      <c r="Q3971" s="7" t="inlineStr"/>
      <c r="R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8" t="n"/>
      <c r="N3972" s="7" t="inlineStr">
        <is>
          <t>SEM COTAÇÃO</t>
        </is>
      </c>
      <c r="O3972" s="8" t="n"/>
      <c r="P3972" s="14" t="n"/>
      <c r="Q3972" s="7" t="inlineStr"/>
      <c r="R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8" t="n"/>
      <c r="N3973" s="7" t="inlineStr">
        <is>
          <t>SEM COTAÇÃO</t>
        </is>
      </c>
      <c r="O3973" s="8" t="n"/>
      <c r="P3973" s="14" t="n"/>
      <c r="Q3973" s="7" t="inlineStr"/>
      <c r="R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8" t="n"/>
      <c r="N3974" s="7" t="inlineStr">
        <is>
          <t>SEM COTAÇÃO</t>
        </is>
      </c>
      <c r="O3974" s="8" t="n"/>
      <c r="P3974" s="14" t="n"/>
      <c r="Q3974" s="7" t="inlineStr"/>
      <c r="R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8" t="n"/>
      <c r="N3975" s="7" t="inlineStr">
        <is>
          <t>SEM COTAÇÃO</t>
        </is>
      </c>
      <c r="O3975" s="8" t="n"/>
      <c r="P3975" s="14" t="n"/>
      <c r="Q3975" s="7" t="inlineStr"/>
      <c r="R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8" t="n"/>
      <c r="N3976" s="7" t="inlineStr">
        <is>
          <t>SEM COTAÇÃO</t>
        </is>
      </c>
      <c r="O3976" s="8" t="n"/>
      <c r="P3976" s="14" t="n"/>
      <c r="Q3976" s="7" t="inlineStr"/>
      <c r="R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8" t="n"/>
      <c r="N3977" s="7" t="inlineStr">
        <is>
          <t>SEM COTAÇÃO</t>
        </is>
      </c>
      <c r="O3977" s="8" t="n"/>
      <c r="P3977" s="14" t="n"/>
      <c r="Q3977" s="7" t="inlineStr"/>
      <c r="R3977" s="7" t="inlineStr"/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8" t="n"/>
      <c r="N3978" s="7" t="inlineStr">
        <is>
          <t>SEM COTAÇÃO</t>
        </is>
      </c>
      <c r="O3978" s="8" t="n"/>
      <c r="P3978" s="14" t="n"/>
      <c r="Q3978" s="7" t="inlineStr"/>
      <c r="R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8" t="n"/>
      <c r="N3979" s="7" t="inlineStr">
        <is>
          <t>SEM COTAÇÃO</t>
        </is>
      </c>
      <c r="O3979" s="8" t="n"/>
      <c r="P3979" s="14" t="n"/>
      <c r="Q3979" s="7" t="inlineStr"/>
      <c r="R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8" t="n"/>
      <c r="N3980" s="7" t="inlineStr">
        <is>
          <t>SEM COTAÇÃO</t>
        </is>
      </c>
      <c r="O3980" s="8" t="n"/>
      <c r="P3980" s="14" t="n"/>
      <c r="Q3980" s="7" t="inlineStr"/>
      <c r="R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8" t="n"/>
      <c r="N3981" s="7" t="inlineStr">
        <is>
          <t>SEM COTAÇÃO</t>
        </is>
      </c>
      <c r="O3981" s="8" t="n"/>
      <c r="P3981" s="14" t="n"/>
      <c r="Q3981" s="7" t="inlineStr"/>
      <c r="R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8" t="n"/>
      <c r="N3982" s="7" t="inlineStr">
        <is>
          <t>SEM COTAÇÃO</t>
        </is>
      </c>
      <c r="O3982" s="8" t="n"/>
      <c r="P3982" s="14" t="n"/>
      <c r="Q3982" s="7" t="inlineStr"/>
      <c r="R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8" t="n"/>
      <c r="N3983" s="7" t="inlineStr">
        <is>
          <t>SEM COTAÇÃO</t>
        </is>
      </c>
      <c r="O3983" s="8" t="n"/>
      <c r="P3983" s="14" t="n"/>
      <c r="Q3983" s="7" t="inlineStr"/>
      <c r="R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8" t="n"/>
      <c r="N3984" s="7" t="inlineStr">
        <is>
          <t>SEM COTAÇÃO</t>
        </is>
      </c>
      <c r="O3984" s="8" t="n"/>
      <c r="P3984" s="14" t="n"/>
      <c r="Q3984" s="7" t="inlineStr"/>
      <c r="R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8" t="n"/>
      <c r="N3985" s="7" t="inlineStr">
        <is>
          <t>SEM COTAÇÃO</t>
        </is>
      </c>
      <c r="O3985" s="8" t="n"/>
      <c r="P3985" s="14" t="n"/>
      <c r="Q3985" s="7" t="inlineStr"/>
      <c r="R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8" t="n"/>
      <c r="N3986" s="7" t="inlineStr">
        <is>
          <t>SEM COTAÇÃO</t>
        </is>
      </c>
      <c r="O3986" s="8" t="n"/>
      <c r="P3986" s="14" t="n"/>
      <c r="Q3986" s="7" t="inlineStr"/>
      <c r="R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8" t="n"/>
      <c r="N3987" s="7" t="inlineStr">
        <is>
          <t>SEM COTAÇÃO</t>
        </is>
      </c>
      <c r="O3987" s="8" t="n"/>
      <c r="P3987" s="14" t="n"/>
      <c r="Q3987" s="7" t="inlineStr"/>
      <c r="R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8" t="n"/>
      <c r="N3988" s="7" t="inlineStr">
        <is>
          <t>SEM COTAÇÃO</t>
        </is>
      </c>
      <c r="O3988" s="8" t="n"/>
      <c r="P3988" s="14" t="n"/>
      <c r="Q3988" s="7" t="inlineStr"/>
      <c r="R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8" t="n"/>
      <c r="N3989" s="7" t="inlineStr">
        <is>
          <t>SEM COTAÇÃO</t>
        </is>
      </c>
      <c r="O3989" s="8" t="n"/>
      <c r="P3989" s="14" t="n"/>
      <c r="Q3989" s="7" t="inlineStr"/>
      <c r="R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8" t="n"/>
      <c r="N3990" s="7" t="inlineStr">
        <is>
          <t>SEM COTAÇÃO</t>
        </is>
      </c>
      <c r="O3990" s="8" t="n"/>
      <c r="P3990" s="14" t="n"/>
      <c r="Q3990" s="7" t="inlineStr"/>
      <c r="R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8" t="n"/>
      <c r="N3991" s="7" t="inlineStr">
        <is>
          <t>SEM COTAÇÃO</t>
        </is>
      </c>
      <c r="O3991" s="8" t="n"/>
      <c r="P3991" s="14" t="n"/>
      <c r="Q3991" s="7" t="inlineStr"/>
      <c r="R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8" t="n"/>
      <c r="N3992" s="7" t="inlineStr">
        <is>
          <t>SEM COTAÇÃO</t>
        </is>
      </c>
      <c r="O3992" s="8" t="n"/>
      <c r="P3992" s="14" t="n"/>
      <c r="Q3992" s="7" t="inlineStr"/>
      <c r="R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8" t="n"/>
      <c r="N3993" s="7" t="inlineStr">
        <is>
          <t>SEM COTAÇÃO</t>
        </is>
      </c>
      <c r="O3993" s="8" t="n"/>
      <c r="P3993" s="14" t="n"/>
      <c r="Q3993" s="7" t="inlineStr"/>
      <c r="R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8" t="n"/>
      <c r="N3994" s="7" t="inlineStr">
        <is>
          <t>SEM COTAÇÃO</t>
        </is>
      </c>
      <c r="O3994" s="8" t="n"/>
      <c r="P3994" s="14" t="n"/>
      <c r="Q3994" s="7" t="inlineStr"/>
      <c r="R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8" t="n"/>
      <c r="N3995" s="7" t="inlineStr">
        <is>
          <t>SEM COTAÇÃO</t>
        </is>
      </c>
      <c r="O3995" s="8" t="n"/>
      <c r="P3995" s="14" t="n"/>
      <c r="Q3995" s="7" t="inlineStr"/>
      <c r="R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8" t="n"/>
      <c r="N3996" s="7" t="inlineStr">
        <is>
          <t>SEM COTAÇÃO</t>
        </is>
      </c>
      <c r="O3996" s="8" t="n"/>
      <c r="P3996" s="14" t="n"/>
      <c r="Q3996" s="7" t="inlineStr"/>
      <c r="R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8" t="n"/>
      <c r="N3997" s="7" t="inlineStr">
        <is>
          <t>SEM COTAÇÃO</t>
        </is>
      </c>
      <c r="O3997" s="8" t="n"/>
      <c r="P3997" s="14" t="n"/>
      <c r="Q3997" s="7" t="inlineStr"/>
      <c r="R3997" s="7" t="inlineStr">
        <is>
          <t>EPAN: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8" t="n"/>
      <c r="N3998" s="7" t="inlineStr">
        <is>
          <t>SEM COTAÇÃO</t>
        </is>
      </c>
      <c r="O3998" s="8" t="n"/>
      <c r="P3998" s="14" t="n"/>
      <c r="Q3998" s="7" t="inlineStr"/>
      <c r="R3998" s="7" t="inlineStr">
        <is>
          <t>EPAN: sem estoque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8" t="n"/>
      <c r="N3999" s="7" t="inlineStr">
        <is>
          <t>SEM COTAÇÃO</t>
        </is>
      </c>
      <c r="O3999" s="8" t="n"/>
      <c r="P3999" s="14" t="n"/>
      <c r="Q3999" s="7" t="inlineStr"/>
      <c r="R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8" t="n"/>
      <c r="N4000" s="7" t="inlineStr">
        <is>
          <t>SEM COTAÇÃO</t>
        </is>
      </c>
      <c r="O4000" s="8" t="n"/>
      <c r="P4000" s="14" t="n"/>
      <c r="Q4000" s="7" t="inlineStr"/>
      <c r="R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8" t="n"/>
      <c r="N4001" s="7" t="inlineStr">
        <is>
          <t>SEM COTAÇÃO</t>
        </is>
      </c>
      <c r="O4001" s="8" t="n"/>
      <c r="P4001" s="14" t="n"/>
      <c r="Q4001" s="7" t="inlineStr"/>
      <c r="R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8" t="n"/>
      <c r="N4002" s="7" t="inlineStr">
        <is>
          <t>SEM COTAÇÃO</t>
        </is>
      </c>
      <c r="O4002" s="8" t="n"/>
      <c r="P4002" s="14" t="n"/>
      <c r="Q4002" s="7" t="inlineStr"/>
      <c r="R4002" s="7" t="inlineStr"/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8" t="n"/>
      <c r="N4003" s="7" t="inlineStr">
        <is>
          <t>SEM COTAÇÃO</t>
        </is>
      </c>
      <c r="O4003" s="8" t="n"/>
      <c r="P4003" s="14" t="n"/>
      <c r="Q4003" s="7" t="inlineStr"/>
      <c r="R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8" t="n"/>
      <c r="N4004" s="7" t="inlineStr">
        <is>
          <t>EPAN</t>
        </is>
      </c>
      <c r="O4004" s="8" t="n">
        <v>31.3</v>
      </c>
      <c r="P4004" s="14">
        <f>O4004/H4004-1</f>
        <v/>
      </c>
      <c r="Q4004" s="17" t="inlineStr">
        <is>
          <t>OK (≤ últ. compra)</t>
        </is>
      </c>
      <c r="R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8" t="n"/>
      <c r="N4005" s="7" t="inlineStr">
        <is>
          <t>SEM COTAÇÃO</t>
        </is>
      </c>
      <c r="O4005" s="8" t="n"/>
      <c r="P4005" s="14" t="n"/>
      <c r="Q4005" s="7" t="inlineStr"/>
      <c r="R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8" t="n"/>
      <c r="N4006" s="7" t="inlineStr">
        <is>
          <t>SEM COTAÇÃO</t>
        </is>
      </c>
      <c r="O4006" s="8" t="n"/>
      <c r="P4006" s="14" t="n"/>
      <c r="Q4006" s="7" t="inlineStr"/>
      <c r="R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8" t="n"/>
      <c r="N4007" s="7" t="inlineStr">
        <is>
          <t>SEM COTAÇÃO</t>
        </is>
      </c>
      <c r="O4007" s="8" t="n"/>
      <c r="P4007" s="14" t="n"/>
      <c r="Q4007" s="7" t="inlineStr"/>
      <c r="R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8" t="n"/>
      <c r="N4008" s="7" t="inlineStr">
        <is>
          <t>EPAN</t>
        </is>
      </c>
      <c r="O4008" s="8" t="n">
        <v>5.92</v>
      </c>
      <c r="P4008" s="14">
        <f>O4008/H4008-1</f>
        <v/>
      </c>
      <c r="Q4008" s="17" t="inlineStr">
        <is>
          <t>OK (≤ menor hist.)</t>
        </is>
      </c>
      <c r="R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8" t="n"/>
      <c r="N4009" s="7" t="inlineStr">
        <is>
          <t>SEM COTAÇÃO</t>
        </is>
      </c>
      <c r="O4009" s="8" t="n"/>
      <c r="P4009" s="14" t="n"/>
      <c r="Q4009" s="7" t="inlineStr"/>
      <c r="R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8" t="n"/>
      <c r="N4010" s="7" t="inlineStr">
        <is>
          <t>SEM COTAÇÃO</t>
        </is>
      </c>
      <c r="O4010" s="8" t="n"/>
      <c r="P4010" s="14" t="n"/>
      <c r="Q4010" s="7" t="inlineStr"/>
      <c r="R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8" t="n"/>
      <c r="N4011" s="7" t="inlineStr">
        <is>
          <t>SEM COTAÇÃO</t>
        </is>
      </c>
      <c r="O4011" s="8" t="n"/>
      <c r="P4011" s="14" t="n"/>
      <c r="Q4011" s="7" t="inlineStr"/>
      <c r="R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8" t="n"/>
      <c r="N4012" s="7" t="inlineStr">
        <is>
          <t>SEM COTAÇÃO</t>
        </is>
      </c>
      <c r="O4012" s="8" t="n"/>
      <c r="P4012" s="14" t="n"/>
      <c r="Q4012" s="7" t="inlineStr"/>
      <c r="R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8" t="n"/>
      <c r="N4013" s="7" t="inlineStr">
        <is>
          <t>SEM COTAÇÃO</t>
        </is>
      </c>
      <c r="O4013" s="8" t="n"/>
      <c r="P4013" s="14" t="n"/>
      <c r="Q4013" s="7" t="inlineStr"/>
      <c r="R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8" t="n"/>
      <c r="N4014" s="7" t="inlineStr">
        <is>
          <t>SEM COTAÇÃO</t>
        </is>
      </c>
      <c r="O4014" s="8" t="n"/>
      <c r="P4014" s="14" t="n"/>
      <c r="Q4014" s="7" t="inlineStr"/>
      <c r="R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8" t="n"/>
      <c r="N4015" s="7" t="inlineStr">
        <is>
          <t>SEM COTAÇÃO</t>
        </is>
      </c>
      <c r="O4015" s="8" t="n"/>
      <c r="P4015" s="14" t="n"/>
      <c r="Q4015" s="7" t="inlineStr"/>
      <c r="R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8" t="n"/>
      <c r="N4016" s="7" t="inlineStr">
        <is>
          <t>SEM COTAÇÃO</t>
        </is>
      </c>
      <c r="O4016" s="8" t="n"/>
      <c r="P4016" s="14" t="n"/>
      <c r="Q4016" s="7" t="inlineStr"/>
      <c r="R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8" t="n"/>
      <c r="N4017" s="7" t="inlineStr">
        <is>
          <t>SEM COTAÇÃO</t>
        </is>
      </c>
      <c r="O4017" s="8" t="n"/>
      <c r="P4017" s="14" t="n"/>
      <c r="Q4017" s="7" t="inlineStr"/>
      <c r="R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8" t="n"/>
      <c r="N4018" s="7" t="inlineStr">
        <is>
          <t>SEM COTAÇÃO</t>
        </is>
      </c>
      <c r="O4018" s="8" t="n"/>
      <c r="P4018" s="14" t="n"/>
      <c r="Q4018" s="7" t="inlineStr"/>
      <c r="R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8" t="n"/>
      <c r="N4019" s="7" t="inlineStr">
        <is>
          <t>SEM COTAÇÃO</t>
        </is>
      </c>
      <c r="O4019" s="8" t="n"/>
      <c r="P4019" s="14" t="n"/>
      <c r="Q4019" s="7" t="inlineStr"/>
      <c r="R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8" t="n"/>
      <c r="N4020" s="7" t="inlineStr">
        <is>
          <t>SEM COTAÇÃO</t>
        </is>
      </c>
      <c r="O4020" s="8" t="n"/>
      <c r="P4020" s="14" t="n"/>
      <c r="Q4020" s="7" t="inlineStr"/>
      <c r="R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8" t="n"/>
      <c r="N4021" s="7" t="inlineStr">
        <is>
          <t>SEM COTAÇÃO</t>
        </is>
      </c>
      <c r="O4021" s="8" t="n"/>
      <c r="P4021" s="14" t="n"/>
      <c r="Q4021" s="7" t="inlineStr"/>
      <c r="R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15" t="n">
        <v>32.02</v>
      </c>
      <c r="N4022" s="7" t="inlineStr">
        <is>
          <t>CENTROFARMA</t>
        </is>
      </c>
      <c r="O4022" s="8" t="n">
        <v>32.02</v>
      </c>
      <c r="P4022" s="14">
        <f>O4022/H4022-1</f>
        <v/>
      </c>
      <c r="Q4022" s="16" t="inlineStr">
        <is>
          <t>ACIMA +4079.1%</t>
        </is>
      </c>
      <c r="R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8" t="n"/>
      <c r="N4023" s="7" t="inlineStr">
        <is>
          <t>SEM COTAÇÃO</t>
        </is>
      </c>
      <c r="O4023" s="8" t="n"/>
      <c r="P4023" s="14" t="n"/>
      <c r="Q4023" s="7" t="inlineStr"/>
      <c r="R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8" t="n"/>
      <c r="N4024" s="7" t="inlineStr">
        <is>
          <t>SEM COTAÇÃO</t>
        </is>
      </c>
      <c r="O4024" s="8" t="n"/>
      <c r="P4024" s="14" t="n"/>
      <c r="Q4024" s="7" t="inlineStr"/>
      <c r="R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8" t="n"/>
      <c r="N4025" s="7" t="inlineStr">
        <is>
          <t>SEM COTAÇÃO</t>
        </is>
      </c>
      <c r="O4025" s="8" t="n"/>
      <c r="P4025" s="14" t="n"/>
      <c r="Q4025" s="7" t="inlineStr"/>
      <c r="R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8" t="n"/>
      <c r="N4026" s="7" t="inlineStr">
        <is>
          <t>SEM COTAÇÃO</t>
        </is>
      </c>
      <c r="O4026" s="8" t="n"/>
      <c r="P4026" s="14" t="n"/>
      <c r="Q4026" s="7" t="inlineStr"/>
      <c r="R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8" t="n"/>
      <c r="N4027" s="7" t="inlineStr">
        <is>
          <t>EPAN</t>
        </is>
      </c>
      <c r="O4027" s="8" t="n">
        <v>5.92</v>
      </c>
      <c r="P4027" s="14">
        <f>O4027/H4027-1</f>
        <v/>
      </c>
      <c r="Q4027" s="17" t="inlineStr">
        <is>
          <t>OK (≤ menor hist.)</t>
        </is>
      </c>
      <c r="R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7" t="inlineStr">
        <is>
          <t>SEM COTAÇÃO</t>
        </is>
      </c>
      <c r="O4028" s="8" t="n"/>
      <c r="P4028" s="14" t="n"/>
      <c r="Q4028" s="7" t="inlineStr"/>
      <c r="R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8" t="n"/>
      <c r="N4029" s="7" t="inlineStr">
        <is>
          <t>SEM COTAÇÃO</t>
        </is>
      </c>
      <c r="O4029" s="8" t="n"/>
      <c r="P4029" s="14" t="n"/>
      <c r="Q4029" s="7" t="inlineStr"/>
      <c r="R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8" t="n"/>
      <c r="N4030" s="7" t="inlineStr">
        <is>
          <t>SEM COTAÇÃO</t>
        </is>
      </c>
      <c r="O4030" s="8" t="n"/>
      <c r="P4030" s="14" t="n"/>
      <c r="Q4030" s="7" t="inlineStr"/>
      <c r="R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8" t="n"/>
      <c r="M4031" s="8" t="n">
        <v>2.71</v>
      </c>
      <c r="N4031" s="7" t="inlineStr">
        <is>
          <t>DIMEC</t>
        </is>
      </c>
      <c r="O4031" s="8" t="n">
        <v>2.67</v>
      </c>
      <c r="P4031" s="14">
        <f>O4031/H4031-1</f>
        <v/>
      </c>
      <c r="Q4031" s="16" t="inlineStr">
        <is>
          <t>ACIMA +0.8%</t>
        </is>
      </c>
      <c r="R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8" t="n"/>
      <c r="N4032" s="7" t="inlineStr">
        <is>
          <t>SEM COTAÇÃO</t>
        </is>
      </c>
      <c r="O4032" s="8" t="n"/>
      <c r="P4032" s="14" t="n"/>
      <c r="Q4032" s="7" t="inlineStr"/>
      <c r="R4032" s="7" t="inlineStr"/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8" t="n">
        <v>2.66</v>
      </c>
      <c r="N4033" s="7" t="inlineStr">
        <is>
          <t>DIMEC</t>
        </is>
      </c>
      <c r="O4033" s="8" t="n">
        <v>2.61</v>
      </c>
      <c r="P4033" s="14">
        <f>O4033/H4033-1</f>
        <v/>
      </c>
      <c r="Q4033" s="16" t="inlineStr">
        <is>
          <t>ACIMA +4.8%</t>
        </is>
      </c>
      <c r="R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8" t="n"/>
      <c r="N4034" s="7" t="inlineStr">
        <is>
          <t>EPAN</t>
        </is>
      </c>
      <c r="O4034" s="8" t="n">
        <v>14.15</v>
      </c>
      <c r="P4034" s="14">
        <f>O4034/H4034-1</f>
        <v/>
      </c>
      <c r="Q4034" s="17" t="inlineStr">
        <is>
          <t>OK (≤ menor hist.)</t>
        </is>
      </c>
      <c r="R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8" t="n"/>
      <c r="N4035" s="7" t="inlineStr">
        <is>
          <t>SEM COTAÇÃO</t>
        </is>
      </c>
      <c r="O4035" s="8" t="n"/>
      <c r="P4035" s="14" t="n"/>
      <c r="Q4035" s="7" t="inlineStr"/>
      <c r="R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8" t="n"/>
      <c r="N4036" s="7" t="inlineStr">
        <is>
          <t>SEM COTAÇÃO</t>
        </is>
      </c>
      <c r="O4036" s="8" t="n"/>
      <c r="P4036" s="14" t="n"/>
      <c r="Q4036" s="7" t="inlineStr"/>
      <c r="R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8" t="n"/>
      <c r="N4037" s="7" t="inlineStr">
        <is>
          <t>SEM COTAÇÃO</t>
        </is>
      </c>
      <c r="O4037" s="8" t="n"/>
      <c r="P4037" s="14" t="n"/>
      <c r="Q4037" s="7" t="inlineStr"/>
      <c r="R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8" t="n"/>
      <c r="N4038" s="7" t="inlineStr">
        <is>
          <t>SEM COTAÇÃO</t>
        </is>
      </c>
      <c r="O4038" s="8" t="n"/>
      <c r="P4038" s="14" t="n"/>
      <c r="Q4038" s="7" t="inlineStr"/>
      <c r="R4038" s="7" t="inlineStr"/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8" t="n"/>
      <c r="N4039" s="7" t="inlineStr">
        <is>
          <t>SEM COTAÇÃO</t>
        </is>
      </c>
      <c r="O4039" s="8" t="n"/>
      <c r="P4039" s="14" t="n"/>
      <c r="Q4039" s="7" t="inlineStr"/>
      <c r="R4039" s="7" t="inlineStr"/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8" t="n"/>
      <c r="N4040" s="7" t="inlineStr">
        <is>
          <t>SEM COTAÇÃO</t>
        </is>
      </c>
      <c r="O4040" s="8" t="n"/>
      <c r="P4040" s="14" t="n"/>
      <c r="Q4040" s="7" t="inlineStr"/>
      <c r="R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8" t="n"/>
      <c r="N4041" s="7" t="inlineStr">
        <is>
          <t>SEM COTAÇÃO</t>
        </is>
      </c>
      <c r="O4041" s="8" t="n"/>
      <c r="P4041" s="14" t="n"/>
      <c r="Q4041" s="7" t="inlineStr"/>
      <c r="R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8" t="n"/>
      <c r="N4042" s="7" t="inlineStr">
        <is>
          <t>SEM COTAÇÃO</t>
        </is>
      </c>
      <c r="O4042" s="8" t="n"/>
      <c r="P4042" s="14" t="n"/>
      <c r="Q4042" s="7" t="inlineStr"/>
      <c r="R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8" t="n"/>
      <c r="N4043" s="7" t="inlineStr">
        <is>
          <t>SEM COTAÇÃO</t>
        </is>
      </c>
      <c r="O4043" s="8" t="n"/>
      <c r="P4043" s="14" t="n"/>
      <c r="Q4043" s="7" t="inlineStr"/>
      <c r="R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8" t="n"/>
      <c r="N4044" s="7" t="inlineStr">
        <is>
          <t>SEM COTAÇÃO</t>
        </is>
      </c>
      <c r="O4044" s="8" t="n"/>
      <c r="P4044" s="14" t="n"/>
      <c r="Q4044" s="7" t="inlineStr"/>
      <c r="R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8" t="n"/>
      <c r="N4045" s="7" t="inlineStr">
        <is>
          <t>SEM COTAÇÃO</t>
        </is>
      </c>
      <c r="O4045" s="8" t="n"/>
      <c r="P4045" s="14" t="n"/>
      <c r="Q4045" s="7" t="inlineStr"/>
      <c r="R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8" t="n"/>
      <c r="N4046" s="7" t="inlineStr">
        <is>
          <t>SEM COTAÇÃO</t>
        </is>
      </c>
      <c r="O4046" s="8" t="n"/>
      <c r="P4046" s="14" t="n"/>
      <c r="Q4046" s="7" t="inlineStr"/>
      <c r="R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8" t="n"/>
      <c r="N4047" s="7" t="inlineStr">
        <is>
          <t>SEM COTAÇÃO</t>
        </is>
      </c>
      <c r="O4047" s="8" t="n"/>
      <c r="P4047" s="14" t="n"/>
      <c r="Q4047" s="7" t="inlineStr"/>
      <c r="R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8" t="n"/>
      <c r="N4048" s="7" t="inlineStr">
        <is>
          <t>SEM COTAÇÃO</t>
        </is>
      </c>
      <c r="O4048" s="8" t="n"/>
      <c r="P4048" s="14" t="n"/>
      <c r="Q4048" s="7" t="inlineStr"/>
      <c r="R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7" t="inlineStr">
        <is>
          <t>SEM COTAÇÃO</t>
        </is>
      </c>
      <c r="O4049" s="8" t="n"/>
      <c r="P4049" s="14" t="n"/>
      <c r="Q4049" s="7" t="inlineStr"/>
      <c r="R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7" t="inlineStr">
        <is>
          <t>SEM COTAÇÃO</t>
        </is>
      </c>
      <c r="O4050" s="8" t="n"/>
      <c r="P4050" s="14" t="n"/>
      <c r="Q4050" s="7" t="inlineStr"/>
      <c r="R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8" t="n"/>
      <c r="N4051" s="7" t="inlineStr">
        <is>
          <t>SEM COTAÇÃO</t>
        </is>
      </c>
      <c r="O4051" s="8" t="n"/>
      <c r="P4051" s="14" t="n"/>
      <c r="Q4051" s="7" t="inlineStr"/>
      <c r="R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8" t="n"/>
      <c r="N4052" s="7" t="inlineStr">
        <is>
          <t>SEM COTAÇÃO</t>
        </is>
      </c>
      <c r="O4052" s="8" t="n"/>
      <c r="P4052" s="14" t="n"/>
      <c r="Q4052" s="7" t="inlineStr"/>
      <c r="R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8" t="n"/>
      <c r="N4053" s="7" t="inlineStr">
        <is>
          <t>DIMEC</t>
        </is>
      </c>
      <c r="O4053" s="8" t="n">
        <v>0.89</v>
      </c>
      <c r="P4053" s="14">
        <f>O4053/H4053-1</f>
        <v/>
      </c>
      <c r="Q4053" s="16" t="inlineStr">
        <is>
          <t>ACIMA +50.8%</t>
        </is>
      </c>
      <c r="R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8" t="n"/>
      <c r="N4054" s="7" t="inlineStr">
        <is>
          <t>DIMEC</t>
        </is>
      </c>
      <c r="O4054" s="8" t="n">
        <v>0.57</v>
      </c>
      <c r="P4054" s="14">
        <f>O4054/H4054-1</f>
        <v/>
      </c>
      <c r="Q4054" s="17" t="inlineStr">
        <is>
          <t>OK (≤ menor hist.)</t>
        </is>
      </c>
      <c r="R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8" t="n"/>
      <c r="N4055" s="7" t="inlineStr">
        <is>
          <t>SEM COTAÇÃO</t>
        </is>
      </c>
      <c r="O4055" s="8" t="n"/>
      <c r="P4055" s="14" t="n"/>
      <c r="Q4055" s="7" t="inlineStr"/>
      <c r="R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8" t="n"/>
      <c r="N4056" s="7" t="inlineStr">
        <is>
          <t>SEM COTAÇÃO</t>
        </is>
      </c>
      <c r="O4056" s="8" t="n"/>
      <c r="P4056" s="14" t="n"/>
      <c r="Q4056" s="7" t="inlineStr"/>
      <c r="R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8" t="n"/>
      <c r="N4057" s="7" t="inlineStr">
        <is>
          <t>SEM COTAÇÃO</t>
        </is>
      </c>
      <c r="O4057" s="8" t="n"/>
      <c r="P4057" s="14" t="n"/>
      <c r="Q4057" s="7" t="inlineStr"/>
      <c r="R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8" t="n"/>
      <c r="N4058" s="7" t="inlineStr">
        <is>
          <t>SEM COTAÇÃO</t>
        </is>
      </c>
      <c r="O4058" s="8" t="n"/>
      <c r="P4058" s="14" t="n"/>
      <c r="Q4058" s="7" t="inlineStr"/>
      <c r="R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8" t="n"/>
      <c r="N4059" s="7" t="inlineStr">
        <is>
          <t>SEM COTAÇÃO</t>
        </is>
      </c>
      <c r="O4059" s="8" t="n"/>
      <c r="P4059" s="14" t="n"/>
      <c r="Q4059" s="7" t="inlineStr"/>
      <c r="R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8" t="n"/>
      <c r="N4060" s="7" t="inlineStr">
        <is>
          <t>SEM COTAÇÃO</t>
        </is>
      </c>
      <c r="O4060" s="8" t="n"/>
      <c r="P4060" s="14" t="n"/>
      <c r="Q4060" s="7" t="inlineStr"/>
      <c r="R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8" t="n"/>
      <c r="N4061" s="7" t="inlineStr">
        <is>
          <t>SEM COTAÇÃO</t>
        </is>
      </c>
      <c r="O4061" s="8" t="n"/>
      <c r="P4061" s="14" t="n"/>
      <c r="Q4061" s="7" t="inlineStr"/>
      <c r="R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8" t="n"/>
      <c r="N4062" s="7" t="inlineStr">
        <is>
          <t>SEM COTAÇÃO</t>
        </is>
      </c>
      <c r="O4062" s="8" t="n"/>
      <c r="P4062" s="14" t="n"/>
      <c r="Q4062" s="7" t="inlineStr"/>
      <c r="R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8" t="n"/>
      <c r="N4063" s="7" t="inlineStr">
        <is>
          <t>SEM COTAÇÃO</t>
        </is>
      </c>
      <c r="O4063" s="8" t="n"/>
      <c r="P4063" s="14" t="n"/>
      <c r="Q4063" s="7" t="inlineStr"/>
      <c r="R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8" t="n"/>
      <c r="N4064" s="7" t="inlineStr">
        <is>
          <t>SEM COTAÇÃO</t>
        </is>
      </c>
      <c r="O4064" s="8" t="n"/>
      <c r="P4064" s="14" t="n"/>
      <c r="Q4064" s="7" t="inlineStr"/>
      <c r="R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8" t="n"/>
      <c r="N4065" s="7" t="inlineStr">
        <is>
          <t>SEM COTAÇÃO</t>
        </is>
      </c>
      <c r="O4065" s="8" t="n"/>
      <c r="P4065" s="14" t="n"/>
      <c r="Q4065" s="7" t="inlineStr"/>
      <c r="R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8" t="n"/>
      <c r="N4066" s="7" t="inlineStr">
        <is>
          <t>SEM COTAÇÃO</t>
        </is>
      </c>
      <c r="O4066" s="8" t="n"/>
      <c r="P4066" s="14" t="n"/>
      <c r="Q4066" s="7" t="inlineStr"/>
      <c r="R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15" t="n">
        <v>15.6</v>
      </c>
      <c r="N4067" s="7" t="inlineStr">
        <is>
          <t>CENTROFARMA</t>
        </is>
      </c>
      <c r="O4067" s="8" t="n">
        <v>15.6</v>
      </c>
      <c r="P4067" s="14">
        <f>O4067/H4067-1</f>
        <v/>
      </c>
      <c r="Q4067" s="16" t="inlineStr">
        <is>
          <t>ACIMA +5.3%</t>
        </is>
      </c>
      <c r="R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8" t="n"/>
      <c r="N4068" s="7" t="inlineStr">
        <is>
          <t>SEM COTAÇÃO</t>
        </is>
      </c>
      <c r="O4068" s="8" t="n"/>
      <c r="P4068" s="14" t="n"/>
      <c r="Q4068" s="7" t="inlineStr"/>
      <c r="R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15" t="n">
        <v>18.37</v>
      </c>
      <c r="N4069" s="7" t="inlineStr">
        <is>
          <t>CENTROFARMA</t>
        </is>
      </c>
      <c r="O4069" s="8" t="n">
        <v>18.37</v>
      </c>
      <c r="P4069" s="14">
        <f>O4069/H4069-1</f>
        <v/>
      </c>
      <c r="Q4069" s="16" t="inlineStr">
        <is>
          <t>ACIMA +16.0%</t>
        </is>
      </c>
      <c r="R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8" t="n"/>
      <c r="N4070" s="7" t="inlineStr">
        <is>
          <t>SEM COTAÇÃO</t>
        </is>
      </c>
      <c r="O4070" s="8" t="n"/>
      <c r="P4070" s="14" t="n"/>
      <c r="Q4070" s="7" t="inlineStr"/>
      <c r="R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15" t="n">
        <v>14.17</v>
      </c>
      <c r="N4071" s="7" t="inlineStr">
        <is>
          <t>CENTROFARMA</t>
        </is>
      </c>
      <c r="O4071" s="8" t="n">
        <v>14.17</v>
      </c>
      <c r="P4071" s="14">
        <f>O4071/H4071-1</f>
        <v/>
      </c>
      <c r="Q4071" s="17" t="inlineStr">
        <is>
          <t>OK (≤ últ. compra)</t>
        </is>
      </c>
      <c r="R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7" t="inlineStr">
        <is>
          <t>SEM COTAÇÃO</t>
        </is>
      </c>
      <c r="O4072" s="8" t="n"/>
      <c r="P4072" s="14" t="n"/>
      <c r="Q4072" s="7" t="inlineStr"/>
      <c r="R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8" t="n"/>
      <c r="N4073" s="7" t="inlineStr">
        <is>
          <t>SEM COTAÇÃO</t>
        </is>
      </c>
      <c r="O4073" s="8" t="n"/>
      <c r="P4073" s="14" t="n"/>
      <c r="Q4073" s="7" t="inlineStr"/>
      <c r="R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8" t="n"/>
      <c r="N4074" s="7" t="inlineStr">
        <is>
          <t>SEM COTAÇÃO</t>
        </is>
      </c>
      <c r="O4074" s="8" t="n"/>
      <c r="P4074" s="14" t="n"/>
      <c r="Q4074" s="7" t="inlineStr"/>
      <c r="R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8" t="n"/>
      <c r="N4075" s="7" t="inlineStr">
        <is>
          <t>SEM COTAÇÃO</t>
        </is>
      </c>
      <c r="O4075" s="8" t="n"/>
      <c r="P4075" s="14" t="n"/>
      <c r="Q4075" s="7" t="inlineStr"/>
      <c r="R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8" t="n"/>
      <c r="N4076" s="7" t="inlineStr">
        <is>
          <t>SEM COTAÇÃO</t>
        </is>
      </c>
      <c r="O4076" s="8" t="n"/>
      <c r="P4076" s="14" t="n"/>
      <c r="Q4076" s="7" t="inlineStr"/>
      <c r="R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8" t="n"/>
      <c r="N4077" s="7" t="inlineStr">
        <is>
          <t>SEM COTAÇÃO</t>
        </is>
      </c>
      <c r="O4077" s="8" t="n"/>
      <c r="P4077" s="14" t="n"/>
      <c r="Q4077" s="7" t="inlineStr"/>
      <c r="R4077" s="7" t="inlineStr"/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8" t="n"/>
      <c r="N4078" s="7" t="inlineStr">
        <is>
          <t>EPAN</t>
        </is>
      </c>
      <c r="O4078" s="8" t="n">
        <v>32.08</v>
      </c>
      <c r="P4078" s="14">
        <f>O4078/H4078-1</f>
        <v/>
      </c>
      <c r="Q4078" s="17" t="inlineStr">
        <is>
          <t>OK (≤ menor hist.)</t>
        </is>
      </c>
      <c r="R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8" t="n"/>
      <c r="N4079" s="7" t="inlineStr">
        <is>
          <t>SEM COTAÇÃO</t>
        </is>
      </c>
      <c r="O4079" s="8" t="n"/>
      <c r="P4079" s="14" t="n"/>
      <c r="Q4079" s="7" t="inlineStr"/>
      <c r="R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8" t="n"/>
      <c r="N4080" s="7" t="inlineStr">
        <is>
          <t>SEM COTAÇÃO</t>
        </is>
      </c>
      <c r="O4080" s="8" t="n"/>
      <c r="P4080" s="14" t="n"/>
      <c r="Q4080" s="7" t="inlineStr"/>
      <c r="R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8" t="n"/>
      <c r="N4081" s="7" t="inlineStr">
        <is>
          <t>SEM COTAÇÃO</t>
        </is>
      </c>
      <c r="O4081" s="8" t="n"/>
      <c r="P4081" s="14" t="n"/>
      <c r="Q4081" s="7" t="inlineStr"/>
      <c r="R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8" t="n"/>
      <c r="N4082" s="7" t="inlineStr">
        <is>
          <t>SEM COTAÇÃO</t>
        </is>
      </c>
      <c r="O4082" s="8" t="n"/>
      <c r="P4082" s="14" t="n"/>
      <c r="Q4082" s="7" t="inlineStr"/>
      <c r="R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8" t="n"/>
      <c r="N4083" s="7" t="inlineStr">
        <is>
          <t>SEM COTAÇÃO</t>
        </is>
      </c>
      <c r="O4083" s="8" t="n"/>
      <c r="P4083" s="14" t="n"/>
      <c r="Q4083" s="7" t="inlineStr"/>
      <c r="R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8" t="n"/>
      <c r="N4084" s="7" t="inlineStr">
        <is>
          <t>SEM COTAÇÃO</t>
        </is>
      </c>
      <c r="O4084" s="8" t="n"/>
      <c r="P4084" s="14" t="n"/>
      <c r="Q4084" s="7" t="inlineStr"/>
      <c r="R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8" t="n"/>
      <c r="N4085" s="7" t="inlineStr">
        <is>
          <t>SEM COTAÇÃO</t>
        </is>
      </c>
      <c r="O4085" s="8" t="n"/>
      <c r="P4085" s="14" t="n"/>
      <c r="Q4085" s="7" t="inlineStr"/>
      <c r="R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8" t="n"/>
      <c r="N4086" s="7" t="inlineStr">
        <is>
          <t>SEM COTAÇÃO</t>
        </is>
      </c>
      <c r="O4086" s="8" t="n"/>
      <c r="P4086" s="14" t="n"/>
      <c r="Q4086" s="7" t="inlineStr"/>
      <c r="R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8" t="n"/>
      <c r="N4087" s="7" t="inlineStr">
        <is>
          <t>SEM COTAÇÃO</t>
        </is>
      </c>
      <c r="O4087" s="8" t="n"/>
      <c r="P4087" s="14" t="n"/>
      <c r="Q4087" s="7" t="inlineStr"/>
      <c r="R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8" t="n"/>
      <c r="N4088" s="7" t="inlineStr">
        <is>
          <t>SEM COTAÇÃO</t>
        </is>
      </c>
      <c r="O4088" s="8" t="n"/>
      <c r="P4088" s="14" t="n"/>
      <c r="Q4088" s="7" t="inlineStr"/>
      <c r="R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8" t="n"/>
      <c r="N4089" s="7" t="inlineStr">
        <is>
          <t>SEM COTAÇÃO</t>
        </is>
      </c>
      <c r="O4089" s="8" t="n"/>
      <c r="P4089" s="14" t="n"/>
      <c r="Q4089" s="7" t="inlineStr"/>
      <c r="R4089" s="7" t="inlineStr"/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8" t="n"/>
      <c r="N4090" s="7" t="inlineStr">
        <is>
          <t>SEM COTAÇÃO</t>
        </is>
      </c>
      <c r="O4090" s="8" t="n"/>
      <c r="P4090" s="14" t="n"/>
      <c r="Q4090" s="7" t="inlineStr"/>
      <c r="R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8" t="n"/>
      <c r="N4091" s="7" t="inlineStr">
        <is>
          <t>SEM COTAÇÃO</t>
        </is>
      </c>
      <c r="O4091" s="8" t="n"/>
      <c r="P4091" s="14" t="n"/>
      <c r="Q4091" s="7" t="inlineStr"/>
      <c r="R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8" t="n"/>
      <c r="N4092" s="7" t="inlineStr">
        <is>
          <t>SEM COTAÇÃO</t>
        </is>
      </c>
      <c r="O4092" s="8" t="n"/>
      <c r="P4092" s="14" t="n"/>
      <c r="Q4092" s="7" t="inlineStr"/>
      <c r="R4092" s="7" t="inlineStr"/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8" t="n"/>
      <c r="N4093" s="7" t="inlineStr">
        <is>
          <t>SEM COTAÇÃO</t>
        </is>
      </c>
      <c r="O4093" s="8" t="n"/>
      <c r="P4093" s="14" t="n"/>
      <c r="Q4093" s="7" t="inlineStr"/>
      <c r="R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8" t="n"/>
      <c r="N4094" s="7" t="inlineStr">
        <is>
          <t>SEM COTAÇÃO</t>
        </is>
      </c>
      <c r="O4094" s="8" t="n"/>
      <c r="P4094" s="14" t="n"/>
      <c r="Q4094" s="7" t="inlineStr"/>
      <c r="R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8" t="n"/>
      <c r="N4095" s="7" t="inlineStr">
        <is>
          <t>SEM COTAÇÃO</t>
        </is>
      </c>
      <c r="O4095" s="8" t="n"/>
      <c r="P4095" s="14" t="n"/>
      <c r="Q4095" s="7" t="inlineStr"/>
      <c r="R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8" t="n"/>
      <c r="N4096" s="7" t="inlineStr">
        <is>
          <t>SEM COTAÇÃO</t>
        </is>
      </c>
      <c r="O4096" s="8" t="n"/>
      <c r="P4096" s="14" t="n"/>
      <c r="Q4096" s="7" t="inlineStr"/>
      <c r="R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8" t="n"/>
      <c r="N4097" s="7" t="inlineStr">
        <is>
          <t>SEM COTAÇÃO</t>
        </is>
      </c>
      <c r="O4097" s="8" t="n"/>
      <c r="P4097" s="14" t="n"/>
      <c r="Q4097" s="7" t="inlineStr"/>
      <c r="R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8" t="n"/>
      <c r="N4098" s="7" t="inlineStr">
        <is>
          <t>SEM COTAÇÃO</t>
        </is>
      </c>
      <c r="O4098" s="8" t="n"/>
      <c r="P4098" s="14" t="n"/>
      <c r="Q4098" s="7" t="inlineStr"/>
      <c r="R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8" t="n"/>
      <c r="N4099" s="7" t="inlineStr">
        <is>
          <t>SEM COTAÇÃO</t>
        </is>
      </c>
      <c r="O4099" s="8" t="n"/>
      <c r="P4099" s="14" t="n"/>
      <c r="Q4099" s="7" t="inlineStr"/>
      <c r="R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8" t="n"/>
      <c r="N4100" s="7" t="inlineStr">
        <is>
          <t>SEM COTAÇÃO</t>
        </is>
      </c>
      <c r="O4100" s="8" t="n"/>
      <c r="P4100" s="14" t="n"/>
      <c r="Q4100" s="7" t="inlineStr"/>
      <c r="R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8" t="n"/>
      <c r="N4101" s="7" t="inlineStr">
        <is>
          <t>SEM COTAÇÃO</t>
        </is>
      </c>
      <c r="O4101" s="8" t="n"/>
      <c r="P4101" s="14" t="n"/>
      <c r="Q4101" s="7" t="inlineStr"/>
      <c r="R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8" t="n"/>
      <c r="N4102" s="7" t="inlineStr">
        <is>
          <t>SEM COTAÇÃO</t>
        </is>
      </c>
      <c r="O4102" s="8" t="n"/>
      <c r="P4102" s="14" t="n"/>
      <c r="Q4102" s="7" t="inlineStr"/>
      <c r="R4102" s="7" t="inlineStr"/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8" t="n"/>
      <c r="N4103" s="7" t="inlineStr">
        <is>
          <t>SEM COTAÇÃO</t>
        </is>
      </c>
      <c r="O4103" s="8" t="n"/>
      <c r="P4103" s="14" t="n"/>
      <c r="Q4103" s="7" t="inlineStr"/>
      <c r="R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8" t="n"/>
      <c r="N4104" s="7" t="inlineStr">
        <is>
          <t>SEM COTAÇÃO</t>
        </is>
      </c>
      <c r="O4104" s="8" t="n"/>
      <c r="P4104" s="14" t="n"/>
      <c r="Q4104" s="7" t="inlineStr"/>
      <c r="R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8" t="n"/>
      <c r="N4105" s="7" t="inlineStr">
        <is>
          <t>EPAN</t>
        </is>
      </c>
      <c r="O4105" s="8" t="n">
        <v>21.03</v>
      </c>
      <c r="P4105" s="14">
        <f>O4105/H4105-1</f>
        <v/>
      </c>
      <c r="Q4105" s="17" t="inlineStr">
        <is>
          <t>OK (≤ menor hist.)</t>
        </is>
      </c>
      <c r="R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8" t="n"/>
      <c r="N4106" s="7" t="inlineStr">
        <is>
          <t>SEM COTAÇÃO</t>
        </is>
      </c>
      <c r="O4106" s="8" t="n"/>
      <c r="P4106" s="14" t="n"/>
      <c r="Q4106" s="7" t="inlineStr"/>
      <c r="R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8" t="n"/>
      <c r="N4107" s="7" t="inlineStr">
        <is>
          <t>SEM COTAÇÃO</t>
        </is>
      </c>
      <c r="O4107" s="8" t="n"/>
      <c r="P4107" s="14" t="n"/>
      <c r="Q4107" s="7" t="inlineStr"/>
      <c r="R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8" t="n"/>
      <c r="N4108" s="7" t="inlineStr">
        <is>
          <t>SEM COTAÇÃO</t>
        </is>
      </c>
      <c r="O4108" s="8" t="n"/>
      <c r="P4108" s="14" t="n"/>
      <c r="Q4108" s="7" t="inlineStr"/>
      <c r="R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8" t="n"/>
      <c r="N4109" s="7" t="inlineStr">
        <is>
          <t>SEM COTAÇÃO</t>
        </is>
      </c>
      <c r="O4109" s="8" t="n"/>
      <c r="P4109" s="14" t="n"/>
      <c r="Q4109" s="7" t="inlineStr"/>
      <c r="R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8" t="n"/>
      <c r="N4110" s="7" t="inlineStr">
        <is>
          <t>SEM COTAÇÃO</t>
        </is>
      </c>
      <c r="O4110" s="8" t="n"/>
      <c r="P4110" s="14" t="n"/>
      <c r="Q4110" s="7" t="inlineStr"/>
      <c r="R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8" t="n"/>
      <c r="N4111" s="7" t="inlineStr">
        <is>
          <t>SEM COTAÇÃO</t>
        </is>
      </c>
      <c r="O4111" s="8" t="n"/>
      <c r="P4111" s="14" t="n"/>
      <c r="Q4111" s="7" t="inlineStr"/>
      <c r="R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8" t="n"/>
      <c r="N4112" s="7" t="inlineStr">
        <is>
          <t>SEM COTAÇÃO</t>
        </is>
      </c>
      <c r="O4112" s="8" t="n"/>
      <c r="P4112" s="14" t="n"/>
      <c r="Q4112" s="7" t="inlineStr"/>
      <c r="R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8" t="n"/>
      <c r="N4113" s="7" t="inlineStr">
        <is>
          <t>SEM COTAÇÃO</t>
        </is>
      </c>
      <c r="O4113" s="8" t="n"/>
      <c r="P4113" s="14" t="n"/>
      <c r="Q4113" s="7" t="inlineStr"/>
      <c r="R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8" t="n"/>
      <c r="N4114" s="7" t="inlineStr">
        <is>
          <t>SEM COTAÇÃO</t>
        </is>
      </c>
      <c r="O4114" s="8" t="n"/>
      <c r="P4114" s="14" t="n"/>
      <c r="Q4114" s="7" t="inlineStr"/>
      <c r="R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8" t="n"/>
      <c r="N4115" s="7" t="inlineStr">
        <is>
          <t>SEM COTAÇÃO</t>
        </is>
      </c>
      <c r="O4115" s="8" t="n"/>
      <c r="P4115" s="14" t="n"/>
      <c r="Q4115" s="7" t="inlineStr"/>
      <c r="R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8" t="n"/>
      <c r="N4116" s="7" t="inlineStr">
        <is>
          <t>SEM COTAÇÃO</t>
        </is>
      </c>
      <c r="O4116" s="8" t="n"/>
      <c r="P4116" s="14" t="n"/>
      <c r="Q4116" s="7" t="inlineStr"/>
      <c r="R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8" t="n"/>
      <c r="N4117" s="7" t="inlineStr">
        <is>
          <t>SEM COTAÇÃO</t>
        </is>
      </c>
      <c r="O4117" s="8" t="n"/>
      <c r="P4117" s="14" t="n"/>
      <c r="Q4117" s="7" t="inlineStr"/>
      <c r="R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8" t="n"/>
      <c r="N4118" s="7" t="inlineStr">
        <is>
          <t>SEM COTAÇÃO</t>
        </is>
      </c>
      <c r="O4118" s="8" t="n"/>
      <c r="P4118" s="14" t="n"/>
      <c r="Q4118" s="7" t="inlineStr"/>
      <c r="R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8" t="n"/>
      <c r="N4119" s="7" t="inlineStr">
        <is>
          <t>SEM COTAÇÃO</t>
        </is>
      </c>
      <c r="O4119" s="8" t="n"/>
      <c r="P4119" s="14" t="n"/>
      <c r="Q4119" s="7" t="inlineStr"/>
      <c r="R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8" t="n"/>
      <c r="N4120" s="7" t="inlineStr">
        <is>
          <t>SEM COTAÇÃO</t>
        </is>
      </c>
      <c r="O4120" s="8" t="n"/>
      <c r="P4120" s="14" t="n"/>
      <c r="Q4120" s="7" t="inlineStr"/>
      <c r="R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8" t="n"/>
      <c r="N4121" s="7" t="inlineStr">
        <is>
          <t>SEM COTAÇÃO</t>
        </is>
      </c>
      <c r="O4121" s="8" t="n"/>
      <c r="P4121" s="14" t="n"/>
      <c r="Q4121" s="7" t="inlineStr"/>
      <c r="R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8" t="n"/>
      <c r="N4122" s="7" t="inlineStr">
        <is>
          <t>SEM COTAÇÃO</t>
        </is>
      </c>
      <c r="O4122" s="8" t="n"/>
      <c r="P4122" s="14" t="n"/>
      <c r="Q4122" s="7" t="inlineStr"/>
      <c r="R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8" t="n"/>
      <c r="N4123" s="7" t="inlineStr">
        <is>
          <t>SEM COTAÇÃO</t>
        </is>
      </c>
      <c r="O4123" s="8" t="n"/>
      <c r="P4123" s="14" t="n"/>
      <c r="Q4123" s="7" t="inlineStr"/>
      <c r="R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8" t="n"/>
      <c r="N4124" s="7" t="inlineStr">
        <is>
          <t>SEM COTAÇÃO</t>
        </is>
      </c>
      <c r="O4124" s="8" t="n"/>
      <c r="P4124" s="14" t="n"/>
      <c r="Q4124" s="7" t="inlineStr"/>
      <c r="R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8" t="n"/>
      <c r="N4125" s="7" t="inlineStr">
        <is>
          <t>SEM COTAÇÃO</t>
        </is>
      </c>
      <c r="O4125" s="8" t="n"/>
      <c r="P4125" s="14" t="n"/>
      <c r="Q4125" s="7" t="inlineStr"/>
      <c r="R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8" t="n"/>
      <c r="N4126" s="7" t="inlineStr">
        <is>
          <t>SEM COTAÇÃO</t>
        </is>
      </c>
      <c r="O4126" s="8" t="n"/>
      <c r="P4126" s="14" t="n"/>
      <c r="Q4126" s="7" t="inlineStr"/>
      <c r="R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8" t="n"/>
      <c r="N4127" s="7" t="inlineStr">
        <is>
          <t>SEM COTAÇÃO</t>
        </is>
      </c>
      <c r="O4127" s="8" t="n"/>
      <c r="P4127" s="14" t="n"/>
      <c r="Q4127" s="7" t="inlineStr"/>
      <c r="R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8" t="n"/>
      <c r="N4128" s="7" t="inlineStr">
        <is>
          <t>SEM COTAÇÃO</t>
        </is>
      </c>
      <c r="O4128" s="8" t="n"/>
      <c r="P4128" s="14" t="n"/>
      <c r="Q4128" s="7" t="inlineStr"/>
      <c r="R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8" t="n"/>
      <c r="N4129" s="7" t="inlineStr">
        <is>
          <t>SEM COTAÇÃO</t>
        </is>
      </c>
      <c r="O4129" s="8" t="n"/>
      <c r="P4129" s="14" t="n"/>
      <c r="Q4129" s="7" t="inlineStr"/>
      <c r="R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8" t="n"/>
      <c r="N4130" s="7" t="inlineStr">
        <is>
          <t>SEM COTAÇÃO</t>
        </is>
      </c>
      <c r="O4130" s="8" t="n"/>
      <c r="P4130" s="14" t="n"/>
      <c r="Q4130" s="7" t="inlineStr"/>
      <c r="R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8" t="n"/>
      <c r="N4131" s="7" t="inlineStr">
        <is>
          <t>SEM COTAÇÃO</t>
        </is>
      </c>
      <c r="O4131" s="8" t="n"/>
      <c r="P4131" s="14" t="n"/>
      <c r="Q4131" s="7" t="inlineStr"/>
      <c r="R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8" t="n"/>
      <c r="N4132" s="7" t="inlineStr">
        <is>
          <t>SEM COTAÇÃO</t>
        </is>
      </c>
      <c r="O4132" s="8" t="n"/>
      <c r="P4132" s="14" t="n"/>
      <c r="Q4132" s="7" t="inlineStr"/>
      <c r="R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8" t="n"/>
      <c r="N4133" s="7" t="inlineStr">
        <is>
          <t>SEM COTAÇÃO</t>
        </is>
      </c>
      <c r="O4133" s="8" t="n"/>
      <c r="P4133" s="14" t="n"/>
      <c r="Q4133" s="7" t="inlineStr"/>
      <c r="R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8" t="n"/>
      <c r="N4134" s="7" t="inlineStr">
        <is>
          <t>SEM COTAÇÃO</t>
        </is>
      </c>
      <c r="O4134" s="8" t="n"/>
      <c r="P4134" s="14" t="n"/>
      <c r="Q4134" s="7" t="inlineStr"/>
      <c r="R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8" t="n"/>
      <c r="N4135" s="7" t="inlineStr">
        <is>
          <t>SEM COTAÇÃO</t>
        </is>
      </c>
      <c r="O4135" s="8" t="n"/>
      <c r="P4135" s="14" t="n"/>
      <c r="Q4135" s="7" t="inlineStr"/>
      <c r="R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8" t="n"/>
      <c r="N4136" s="7" t="inlineStr">
        <is>
          <t>SEM COTAÇÃO</t>
        </is>
      </c>
      <c r="O4136" s="8" t="n"/>
      <c r="P4136" s="14" t="n"/>
      <c r="Q4136" s="7" t="inlineStr"/>
      <c r="R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7" t="inlineStr">
        <is>
          <t>SEM COTAÇÃO</t>
        </is>
      </c>
      <c r="O4137" s="8" t="n"/>
      <c r="P4137" s="14" t="n"/>
      <c r="Q4137" s="7" t="inlineStr"/>
      <c r="R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7" t="inlineStr">
        <is>
          <t>SEM COTAÇÃO</t>
        </is>
      </c>
      <c r="O4138" s="8" t="n"/>
      <c r="P4138" s="14" t="n"/>
      <c r="Q4138" s="7" t="inlineStr"/>
      <c r="R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7" t="inlineStr">
        <is>
          <t>SEM COTAÇÃO</t>
        </is>
      </c>
      <c r="O4139" s="8" t="n"/>
      <c r="P4139" s="14" t="n"/>
      <c r="Q4139" s="7" t="inlineStr"/>
      <c r="R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7" t="inlineStr">
        <is>
          <t>SEM COTAÇÃO</t>
        </is>
      </c>
      <c r="O4140" s="8" t="n"/>
      <c r="P4140" s="14" t="n"/>
      <c r="Q4140" s="7" t="inlineStr"/>
      <c r="R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7" t="inlineStr">
        <is>
          <t>SEM COTAÇÃO</t>
        </is>
      </c>
      <c r="O4141" s="8" t="n"/>
      <c r="P4141" s="14" t="n"/>
      <c r="Q4141" s="7" t="inlineStr"/>
      <c r="R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8" t="n"/>
      <c r="N4142" s="7" t="inlineStr">
        <is>
          <t>SEM COTAÇÃO</t>
        </is>
      </c>
      <c r="O4142" s="8" t="n"/>
      <c r="P4142" s="14" t="n"/>
      <c r="Q4142" s="7" t="inlineStr"/>
      <c r="R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8" t="n"/>
      <c r="N4143" s="7" t="inlineStr">
        <is>
          <t>SEM COTAÇÃO</t>
        </is>
      </c>
      <c r="O4143" s="8" t="n"/>
      <c r="P4143" s="14" t="n"/>
      <c r="Q4143" s="7" t="inlineStr"/>
      <c r="R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8" t="n"/>
      <c r="N4144" s="7" t="inlineStr">
        <is>
          <t>SEM COTAÇÃO</t>
        </is>
      </c>
      <c r="O4144" s="8" t="n"/>
      <c r="P4144" s="14" t="n"/>
      <c r="Q4144" s="7" t="inlineStr"/>
      <c r="R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8" t="n"/>
      <c r="N4145" s="7" t="inlineStr">
        <is>
          <t>SEM COTAÇÃO</t>
        </is>
      </c>
      <c r="O4145" s="8" t="n"/>
      <c r="P4145" s="14" t="n"/>
      <c r="Q4145" s="7" t="inlineStr"/>
      <c r="R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8" t="n"/>
      <c r="N4146" s="7" t="inlineStr">
        <is>
          <t>SEM COTAÇÃO</t>
        </is>
      </c>
      <c r="O4146" s="8" t="n"/>
      <c r="P4146" s="14" t="n"/>
      <c r="Q4146" s="7" t="inlineStr"/>
      <c r="R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8" t="n"/>
      <c r="N4147" s="7" t="inlineStr">
        <is>
          <t>SEM COTAÇÃO</t>
        </is>
      </c>
      <c r="O4147" s="8" t="n"/>
      <c r="P4147" s="14" t="n"/>
      <c r="Q4147" s="7" t="inlineStr"/>
      <c r="R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8" t="n"/>
      <c r="N4148" s="7" t="inlineStr">
        <is>
          <t>SEM COTAÇÃO</t>
        </is>
      </c>
      <c r="O4148" s="8" t="n"/>
      <c r="P4148" s="14" t="n"/>
      <c r="Q4148" s="7" t="inlineStr"/>
      <c r="R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8" t="n"/>
      <c r="N4149" s="7" t="inlineStr">
        <is>
          <t>SEM COTAÇÃO</t>
        </is>
      </c>
      <c r="O4149" s="8" t="n"/>
      <c r="P4149" s="14" t="n"/>
      <c r="Q4149" s="7" t="inlineStr"/>
      <c r="R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8" t="n"/>
      <c r="N4150" s="7" t="inlineStr">
        <is>
          <t>SEM COTAÇÃO</t>
        </is>
      </c>
      <c r="O4150" s="8" t="n"/>
      <c r="P4150" s="14" t="n"/>
      <c r="Q4150" s="7" t="inlineStr"/>
      <c r="R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8" t="n"/>
      <c r="N4151" s="7" t="inlineStr">
        <is>
          <t>SEM COTAÇÃO</t>
        </is>
      </c>
      <c r="O4151" s="8" t="n"/>
      <c r="P4151" s="14" t="n"/>
      <c r="Q4151" s="7" t="inlineStr"/>
      <c r="R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8" t="n"/>
      <c r="N4152" s="7" t="inlineStr">
        <is>
          <t>SEM COTAÇÃO</t>
        </is>
      </c>
      <c r="O4152" s="8" t="n"/>
      <c r="P4152" s="14" t="n"/>
      <c r="Q4152" s="7" t="inlineStr"/>
      <c r="R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8" t="n"/>
      <c r="N4153" s="7" t="inlineStr">
        <is>
          <t>SEM COTAÇÃO</t>
        </is>
      </c>
      <c r="O4153" s="8" t="n"/>
      <c r="P4153" s="14" t="n"/>
      <c r="Q4153" s="7" t="inlineStr"/>
      <c r="R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8" t="n"/>
      <c r="N4154" s="7" t="inlineStr">
        <is>
          <t>SEM COTAÇÃO</t>
        </is>
      </c>
      <c r="O4154" s="8" t="n"/>
      <c r="P4154" s="14" t="n"/>
      <c r="Q4154" s="7" t="inlineStr"/>
      <c r="R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8" t="n"/>
      <c r="N4155" s="7" t="inlineStr">
        <is>
          <t>SEM COTAÇÃO</t>
        </is>
      </c>
      <c r="O4155" s="8" t="n"/>
      <c r="P4155" s="14" t="n"/>
      <c r="Q4155" s="7" t="inlineStr"/>
      <c r="R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8" t="n"/>
      <c r="N4156" s="7" t="inlineStr">
        <is>
          <t>SEM COTAÇÃO</t>
        </is>
      </c>
      <c r="O4156" s="8" t="n"/>
      <c r="P4156" s="14" t="n"/>
      <c r="Q4156" s="7" t="inlineStr"/>
      <c r="R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8" t="n"/>
      <c r="N4157" s="7" t="inlineStr">
        <is>
          <t>SEM COTAÇÃO</t>
        </is>
      </c>
      <c r="O4157" s="8" t="n"/>
      <c r="P4157" s="14" t="n"/>
      <c r="Q4157" s="7" t="inlineStr"/>
      <c r="R4157" s="7" t="inlineStr"/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8" t="n"/>
      <c r="N4158" s="7" t="inlineStr">
        <is>
          <t>SEM COTAÇÃO</t>
        </is>
      </c>
      <c r="O4158" s="8" t="n"/>
      <c r="P4158" s="14" t="n"/>
      <c r="Q4158" s="7" t="inlineStr"/>
      <c r="R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8" t="n"/>
      <c r="N4159" s="7" t="inlineStr">
        <is>
          <t>SEM COTAÇÃO</t>
        </is>
      </c>
      <c r="O4159" s="8" t="n"/>
      <c r="P4159" s="14" t="n"/>
      <c r="Q4159" s="7" t="inlineStr"/>
      <c r="R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8" t="n"/>
      <c r="N4160" s="7" t="inlineStr">
        <is>
          <t>SEM COTAÇÃO</t>
        </is>
      </c>
      <c r="O4160" s="8" t="n"/>
      <c r="P4160" s="14" t="n"/>
      <c r="Q4160" s="7" t="inlineStr"/>
      <c r="R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8" t="n"/>
      <c r="N4161" s="7" t="inlineStr">
        <is>
          <t>SEM COTAÇÃO</t>
        </is>
      </c>
      <c r="O4161" s="8" t="n"/>
      <c r="P4161" s="14" t="n"/>
      <c r="Q4161" s="7" t="inlineStr"/>
      <c r="R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8" t="n"/>
      <c r="N4162" s="7" t="inlineStr">
        <is>
          <t>SEM COTAÇÃO</t>
        </is>
      </c>
      <c r="O4162" s="8" t="n"/>
      <c r="P4162" s="14" t="n"/>
      <c r="Q4162" s="7" t="inlineStr"/>
      <c r="R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8" t="n"/>
      <c r="N4163" s="7" t="inlineStr">
        <is>
          <t>SEM COTAÇÃO</t>
        </is>
      </c>
      <c r="O4163" s="8" t="n"/>
      <c r="P4163" s="14" t="n"/>
      <c r="Q4163" s="7" t="inlineStr"/>
      <c r="R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8" t="n"/>
      <c r="N4164" s="7" t="inlineStr">
        <is>
          <t>SEM COTAÇÃO</t>
        </is>
      </c>
      <c r="O4164" s="8" t="n"/>
      <c r="P4164" s="14" t="n"/>
      <c r="Q4164" s="7" t="inlineStr"/>
      <c r="R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8" t="n"/>
      <c r="N4165" s="7" t="inlineStr">
        <is>
          <t>SEM COTAÇÃO</t>
        </is>
      </c>
      <c r="O4165" s="8" t="n"/>
      <c r="P4165" s="14" t="n"/>
      <c r="Q4165" s="7" t="inlineStr"/>
      <c r="R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8" t="n"/>
      <c r="N4166" s="7" t="inlineStr">
        <is>
          <t>SEM COTAÇÃO</t>
        </is>
      </c>
      <c r="O4166" s="8" t="n"/>
      <c r="P4166" s="14" t="n"/>
      <c r="Q4166" s="7" t="inlineStr"/>
      <c r="R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8" t="n"/>
      <c r="N4167" s="7" t="inlineStr">
        <is>
          <t>SEM COTAÇÃO</t>
        </is>
      </c>
      <c r="O4167" s="8" t="n"/>
      <c r="P4167" s="14" t="n"/>
      <c r="Q4167" s="7" t="inlineStr"/>
      <c r="R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8" t="n"/>
      <c r="N4168" s="7" t="inlineStr">
        <is>
          <t>SEM COTAÇÃO</t>
        </is>
      </c>
      <c r="O4168" s="8" t="n"/>
      <c r="P4168" s="14" t="n"/>
      <c r="Q4168" s="7" t="inlineStr"/>
      <c r="R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8" t="n"/>
      <c r="N4169" s="7" t="inlineStr">
        <is>
          <t>SEM COTAÇÃO</t>
        </is>
      </c>
      <c r="O4169" s="8" t="n"/>
      <c r="P4169" s="14" t="n"/>
      <c r="Q4169" s="7" t="inlineStr"/>
      <c r="R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8" t="n"/>
      <c r="N4170" s="7" t="inlineStr">
        <is>
          <t>SEM COTAÇÃO</t>
        </is>
      </c>
      <c r="O4170" s="8" t="n"/>
      <c r="P4170" s="14" t="n"/>
      <c r="Q4170" s="7" t="inlineStr"/>
      <c r="R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8" t="n"/>
      <c r="N4171" s="7" t="inlineStr">
        <is>
          <t>SEM COTAÇÃO</t>
        </is>
      </c>
      <c r="O4171" s="8" t="n"/>
      <c r="P4171" s="14" t="n"/>
      <c r="Q4171" s="7" t="inlineStr"/>
      <c r="R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8" t="n"/>
      <c r="N4172" s="7" t="inlineStr">
        <is>
          <t>SEM COTAÇÃO</t>
        </is>
      </c>
      <c r="O4172" s="8" t="n"/>
      <c r="P4172" s="14" t="n"/>
      <c r="Q4172" s="7" t="inlineStr"/>
      <c r="R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8" t="n"/>
      <c r="N4173" s="7" t="inlineStr">
        <is>
          <t>SEM COTAÇÃO</t>
        </is>
      </c>
      <c r="O4173" s="8" t="n"/>
      <c r="P4173" s="14" t="n"/>
      <c r="Q4173" s="7" t="inlineStr"/>
      <c r="R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8" t="n"/>
      <c r="N4174" s="7" t="inlineStr">
        <is>
          <t>SEM COTAÇÃO</t>
        </is>
      </c>
      <c r="O4174" s="8" t="n"/>
      <c r="P4174" s="14" t="n"/>
      <c r="Q4174" s="7" t="inlineStr"/>
      <c r="R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8" t="n"/>
      <c r="N4175" s="7" t="inlineStr">
        <is>
          <t>SEM COTAÇÃO</t>
        </is>
      </c>
      <c r="O4175" s="8" t="n"/>
      <c r="P4175" s="14" t="n"/>
      <c r="Q4175" s="7" t="inlineStr"/>
      <c r="R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8" t="n"/>
      <c r="N4176" s="7" t="inlineStr">
        <is>
          <t>EPAN</t>
        </is>
      </c>
      <c r="O4176" s="8" t="n">
        <v>25.73</v>
      </c>
      <c r="P4176" s="14">
        <f>O4176/H4176-1</f>
        <v/>
      </c>
      <c r="Q4176" s="17" t="inlineStr">
        <is>
          <t>OK (≤ últ. compra)</t>
        </is>
      </c>
      <c r="R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8" t="n"/>
      <c r="N4177" s="7" t="inlineStr">
        <is>
          <t>SEM COTAÇÃO</t>
        </is>
      </c>
      <c r="O4177" s="8" t="n"/>
      <c r="P4177" s="14" t="n"/>
      <c r="Q4177" s="7" t="inlineStr"/>
      <c r="R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8" t="n"/>
      <c r="N4178" s="7" t="inlineStr">
        <is>
          <t>SEM COTAÇÃO</t>
        </is>
      </c>
      <c r="O4178" s="8" t="n"/>
      <c r="P4178" s="14" t="n"/>
      <c r="Q4178" s="7" t="inlineStr"/>
      <c r="R4178" s="7" t="inlineStr"/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8" t="n"/>
      <c r="N4179" s="7" t="inlineStr">
        <is>
          <t>SEM COTAÇÃO</t>
        </is>
      </c>
      <c r="O4179" s="8" t="n"/>
      <c r="P4179" s="14" t="n"/>
      <c r="Q4179" s="7" t="inlineStr"/>
      <c r="R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8" t="n"/>
      <c r="N4180" s="7" t="inlineStr">
        <is>
          <t>SEM COTAÇÃO</t>
        </is>
      </c>
      <c r="O4180" s="8" t="n"/>
      <c r="P4180" s="14" t="n"/>
      <c r="Q4180" s="7" t="inlineStr"/>
      <c r="R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8" t="n"/>
      <c r="N4181" s="7" t="inlineStr">
        <is>
          <t>SEM COTAÇÃO</t>
        </is>
      </c>
      <c r="O4181" s="8" t="n"/>
      <c r="P4181" s="14" t="n"/>
      <c r="Q4181" s="7" t="inlineStr"/>
      <c r="R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8" t="n"/>
      <c r="N4182" s="7" t="inlineStr">
        <is>
          <t>SEM COTAÇÃO</t>
        </is>
      </c>
      <c r="O4182" s="8" t="n"/>
      <c r="P4182" s="14" t="n"/>
      <c r="Q4182" s="7" t="inlineStr"/>
      <c r="R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8" t="n"/>
      <c r="N4183" s="7" t="inlineStr">
        <is>
          <t>EPAN</t>
        </is>
      </c>
      <c r="O4183" s="8" t="n">
        <v>27.52</v>
      </c>
      <c r="P4183" s="14">
        <f>O4183/H4183-1</f>
        <v/>
      </c>
      <c r="Q4183" s="17" t="inlineStr">
        <is>
          <t>OK (≤ últ. compra)</t>
        </is>
      </c>
      <c r="R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8" t="n"/>
      <c r="N4184" s="7" t="inlineStr">
        <is>
          <t>EPAN</t>
        </is>
      </c>
      <c r="O4184" s="8" t="n">
        <v>18.34</v>
      </c>
      <c r="P4184" s="14">
        <f>O4184/H4184-1</f>
        <v/>
      </c>
      <c r="Q4184" s="17" t="inlineStr">
        <is>
          <t>OK (≤ últ. compra)</t>
        </is>
      </c>
      <c r="R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8" t="n"/>
      <c r="N4185" s="7" t="inlineStr">
        <is>
          <t>SEM COTAÇÃO</t>
        </is>
      </c>
      <c r="O4185" s="8" t="n"/>
      <c r="P4185" s="14" t="n"/>
      <c r="Q4185" s="7" t="inlineStr"/>
      <c r="R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15" t="n">
        <v>90.18000000000001</v>
      </c>
      <c r="M4186" s="8" t="n"/>
      <c r="N4186" s="7" t="inlineStr">
        <is>
          <t>EPAN</t>
        </is>
      </c>
      <c r="O4186" s="8" t="n">
        <v>90.18000000000001</v>
      </c>
      <c r="P4186" s="14">
        <f>O4186/H4186-1</f>
        <v/>
      </c>
      <c r="Q4186" s="17" t="inlineStr">
        <is>
          <t>OK (≤ últ. compra)</t>
        </is>
      </c>
      <c r="R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15" t="n">
        <v>137.87</v>
      </c>
      <c r="M4187" s="8" t="n"/>
      <c r="N4187" s="7" t="inlineStr">
        <is>
          <t>EPAN</t>
        </is>
      </c>
      <c r="O4187" s="8" t="n">
        <v>137.87</v>
      </c>
      <c r="P4187" s="14">
        <f>O4187/H4187-1</f>
        <v/>
      </c>
      <c r="Q4187" s="16" t="inlineStr">
        <is>
          <t>ACIMA +7.3%</t>
        </is>
      </c>
      <c r="R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15" t="n">
        <v>7.98</v>
      </c>
      <c r="K4188" s="8" t="n"/>
      <c r="L4188" s="8" t="n"/>
      <c r="M4188" s="8" t="n">
        <v>8.08</v>
      </c>
      <c r="N4188" s="7" t="inlineStr">
        <is>
          <t>DIMEC</t>
        </is>
      </c>
      <c r="O4188" s="8" t="n">
        <v>7.98</v>
      </c>
      <c r="P4188" s="14">
        <f>O4188/H4188-1</f>
        <v/>
      </c>
      <c r="Q4188" s="16" t="inlineStr">
        <is>
          <t>ACIMA +3.9%</t>
        </is>
      </c>
      <c r="R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8" t="n"/>
      <c r="N4189" s="7" t="inlineStr">
        <is>
          <t>SEM COTAÇÃO</t>
        </is>
      </c>
      <c r="O4189" s="8" t="n"/>
      <c r="P4189" s="14" t="n"/>
      <c r="Q4189" s="7" t="inlineStr"/>
      <c r="R4189" s="7" t="inlineStr"/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8" t="n"/>
      <c r="N4190" s="7" t="inlineStr">
        <is>
          <t>SEM COTAÇÃO</t>
        </is>
      </c>
      <c r="O4190" s="8" t="n"/>
      <c r="P4190" s="14" t="n"/>
      <c r="Q4190" s="7" t="inlineStr"/>
      <c r="R4190" s="7" t="inlineStr"/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8" t="n"/>
      <c r="N4191" s="7" t="inlineStr">
        <is>
          <t>SEM COTAÇÃO</t>
        </is>
      </c>
      <c r="O4191" s="8" t="n"/>
      <c r="P4191" s="14" t="n"/>
      <c r="Q4191" s="7" t="inlineStr"/>
      <c r="R4191" s="7" t="inlineStr"/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8" t="n">
        <v>3.15</v>
      </c>
      <c r="N4192" s="7" t="inlineStr">
        <is>
          <t>DIMEC</t>
        </is>
      </c>
      <c r="O4192" s="8" t="n">
        <v>2.97</v>
      </c>
      <c r="P4192" s="14">
        <f>O4192/H4192-1</f>
        <v/>
      </c>
      <c r="Q4192" s="17" t="inlineStr">
        <is>
          <t>OK (≤ menor hist.)</t>
        </is>
      </c>
      <c r="R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8" t="n"/>
      <c r="N4193" s="7" t="inlineStr">
        <is>
          <t>SEM COTAÇÃO</t>
        </is>
      </c>
      <c r="O4193" s="8" t="n"/>
      <c r="P4193" s="14" t="n"/>
      <c r="Q4193" s="7" t="inlineStr"/>
      <c r="R4193" s="7" t="inlineStr"/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15" t="n">
        <v>1.57</v>
      </c>
      <c r="N4194" s="7" t="inlineStr">
        <is>
          <t>CENTROFARMA</t>
        </is>
      </c>
      <c r="O4194" s="8" t="n">
        <v>1.57</v>
      </c>
      <c r="P4194" s="14">
        <f>O4194/H4194-1</f>
        <v/>
      </c>
      <c r="Q4194" s="17" t="inlineStr">
        <is>
          <t>OK (≤ menor hist.)</t>
        </is>
      </c>
      <c r="R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15" t="n">
        <v>2.31</v>
      </c>
      <c r="N4195" s="7" t="inlineStr">
        <is>
          <t>CENTROFARMA</t>
        </is>
      </c>
      <c r="O4195" s="8" t="n">
        <v>2.31</v>
      </c>
      <c r="P4195" s="14">
        <f>O4195/H4195-1</f>
        <v/>
      </c>
      <c r="Q4195" s="16" t="inlineStr">
        <is>
          <t>ACIMA +1.3%</t>
        </is>
      </c>
      <c r="R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8" t="n"/>
      <c r="N4196" s="7" t="inlineStr">
        <is>
          <t>SEM COTAÇÃO</t>
        </is>
      </c>
      <c r="O4196" s="8" t="n"/>
      <c r="P4196" s="14" t="n"/>
      <c r="Q4196" s="7" t="inlineStr"/>
      <c r="R4196" s="7" t="inlineStr"/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8" t="n"/>
      <c r="N4197" s="7" t="inlineStr">
        <is>
          <t>SEM COTAÇÃO</t>
        </is>
      </c>
      <c r="O4197" s="8" t="n"/>
      <c r="P4197" s="14" t="n"/>
      <c r="Q4197" s="7" t="inlineStr"/>
      <c r="R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8" t="n"/>
      <c r="N4198" s="7" t="inlineStr">
        <is>
          <t>SEM COTAÇÃO</t>
        </is>
      </c>
      <c r="O4198" s="8" t="n"/>
      <c r="P4198" s="14" t="n"/>
      <c r="Q4198" s="7" t="inlineStr"/>
      <c r="R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8" t="n"/>
      <c r="N4199" s="7" t="inlineStr">
        <is>
          <t>EPAN</t>
        </is>
      </c>
      <c r="O4199" s="8" t="n">
        <v>16.46</v>
      </c>
      <c r="P4199" s="14">
        <f>O4199/H4199-1</f>
        <v/>
      </c>
      <c r="Q4199" s="16" t="inlineStr">
        <is>
          <t>ACIMA +23.0%</t>
        </is>
      </c>
      <c r="R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15" t="n">
        <v>5.46</v>
      </c>
      <c r="N4200" s="7" t="inlineStr">
        <is>
          <t>CENTROFARMA</t>
        </is>
      </c>
      <c r="O4200" s="8" t="n">
        <v>5.46</v>
      </c>
      <c r="P4200" s="14">
        <f>O4200/H4200-1</f>
        <v/>
      </c>
      <c r="Q4200" s="16" t="inlineStr">
        <is>
          <t>ACIMA +7.3%</t>
        </is>
      </c>
      <c r="R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8" t="n"/>
      <c r="N4201" s="7" t="inlineStr">
        <is>
          <t>SEM COTAÇÃO</t>
        </is>
      </c>
      <c r="O4201" s="8" t="n"/>
      <c r="P4201" s="14" t="n"/>
      <c r="Q4201" s="7" t="inlineStr"/>
      <c r="R4201" s="7" t="inlineStr"/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8" t="n"/>
      <c r="N4202" s="7" t="inlineStr">
        <is>
          <t>SEM COTAÇÃO</t>
        </is>
      </c>
      <c r="O4202" s="8" t="n"/>
      <c r="P4202" s="14" t="n"/>
      <c r="Q4202" s="7" t="inlineStr"/>
      <c r="R4202" s="7" t="inlineStr"/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8" t="n"/>
      <c r="M4203" s="8" t="n">
        <v>6.21</v>
      </c>
      <c r="N4203" s="7" t="inlineStr">
        <is>
          <t>DIMEC</t>
        </is>
      </c>
      <c r="O4203" s="8" t="n">
        <v>6.13</v>
      </c>
      <c r="P4203" s="14">
        <f>O4203/H4203-1</f>
        <v/>
      </c>
      <c r="Q4203" s="16" t="inlineStr">
        <is>
          <t>ACIMA +5.9%</t>
        </is>
      </c>
      <c r="R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8" t="n"/>
      <c r="N4204" s="7" t="inlineStr">
        <is>
          <t>SEM COTAÇÃO</t>
        </is>
      </c>
      <c r="O4204" s="8" t="n"/>
      <c r="P4204" s="14" t="n"/>
      <c r="Q4204" s="7" t="inlineStr"/>
      <c r="R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8" t="n"/>
      <c r="N4205" s="7" t="inlineStr">
        <is>
          <t>SEM COTAÇÃO</t>
        </is>
      </c>
      <c r="O4205" s="8" t="n"/>
      <c r="P4205" s="14" t="n"/>
      <c r="Q4205" s="7" t="inlineStr"/>
      <c r="R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8" t="n"/>
      <c r="N4206" s="7" t="inlineStr">
        <is>
          <t>SEM COTAÇÃO</t>
        </is>
      </c>
      <c r="O4206" s="8" t="n"/>
      <c r="P4206" s="14" t="n"/>
      <c r="Q4206" s="7" t="inlineStr"/>
      <c r="R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8" t="n"/>
      <c r="N4207" s="7" t="inlineStr">
        <is>
          <t>SEM COTAÇÃO</t>
        </is>
      </c>
      <c r="O4207" s="8" t="n"/>
      <c r="P4207" s="14" t="n"/>
      <c r="Q4207" s="7" t="inlineStr"/>
      <c r="R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8" t="n"/>
      <c r="N4208" s="7" t="inlineStr">
        <is>
          <t>SEM COTAÇÃO</t>
        </is>
      </c>
      <c r="O4208" s="8" t="n"/>
      <c r="P4208" s="14" t="n"/>
      <c r="Q4208" s="7" t="inlineStr"/>
      <c r="R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8" t="n"/>
      <c r="N4209" s="7" t="inlineStr">
        <is>
          <t>SEM COTAÇÃO</t>
        </is>
      </c>
      <c r="O4209" s="8" t="n"/>
      <c r="P4209" s="14" t="n"/>
      <c r="Q4209" s="7" t="inlineStr"/>
      <c r="R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8" t="n"/>
      <c r="N4210" s="7" t="inlineStr">
        <is>
          <t>SEM COTAÇÃO</t>
        </is>
      </c>
      <c r="O4210" s="8" t="n"/>
      <c r="P4210" s="14" t="n"/>
      <c r="Q4210" s="7" t="inlineStr"/>
      <c r="R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8" t="n"/>
      <c r="N4211" s="7" t="inlineStr">
        <is>
          <t>SEM COTAÇÃO</t>
        </is>
      </c>
      <c r="O4211" s="8" t="n"/>
      <c r="P4211" s="14" t="n"/>
      <c r="Q4211" s="7" t="inlineStr"/>
      <c r="R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8" t="n"/>
      <c r="N4212" s="7" t="inlineStr">
        <is>
          <t>SEM COTAÇÃO</t>
        </is>
      </c>
      <c r="O4212" s="8" t="n"/>
      <c r="P4212" s="14" t="n"/>
      <c r="Q4212" s="7" t="inlineStr"/>
      <c r="R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8" t="n"/>
      <c r="N4213" s="7" t="inlineStr">
        <is>
          <t>DIMEC</t>
        </is>
      </c>
      <c r="O4213" s="8" t="n">
        <v>3.585</v>
      </c>
      <c r="P4213" s="14">
        <f>O4213/H4213-1</f>
        <v/>
      </c>
      <c r="Q4213" s="16" t="inlineStr">
        <is>
          <t>ACIMA +16.0%</t>
        </is>
      </c>
      <c r="R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8" t="n"/>
      <c r="N4214" s="7" t="inlineStr">
        <is>
          <t>SEM COTAÇÃO</t>
        </is>
      </c>
      <c r="O4214" s="8" t="n"/>
      <c r="P4214" s="14" t="n"/>
      <c r="Q4214" s="7" t="inlineStr"/>
      <c r="R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2.72</v>
      </c>
      <c r="K4215" s="8" t="n"/>
      <c r="L4215" s="8" t="n"/>
      <c r="M4215" s="15" t="n">
        <v>2.7</v>
      </c>
      <c r="N4215" s="7" t="inlineStr">
        <is>
          <t>CENTROFARMA</t>
        </is>
      </c>
      <c r="O4215" s="8" t="n">
        <v>2.7</v>
      </c>
      <c r="P4215" s="14">
        <f>O4215/H4215-1</f>
        <v/>
      </c>
      <c r="Q4215" s="16" t="inlineStr">
        <is>
          <t>ACIMA +0.4%</t>
        </is>
      </c>
      <c r="R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8" t="n"/>
      <c r="N4216" s="7" t="inlineStr">
        <is>
          <t>SEM COTAÇÃO</t>
        </is>
      </c>
      <c r="O4216" s="8" t="n"/>
      <c r="P4216" s="14" t="n"/>
      <c r="Q4216" s="7" t="inlineStr"/>
      <c r="R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8" t="n"/>
      <c r="N4217" s="7" t="inlineStr">
        <is>
          <t>SEM COTAÇÃO</t>
        </is>
      </c>
      <c r="O4217" s="8" t="n"/>
      <c r="P4217" s="14" t="n"/>
      <c r="Q4217" s="7" t="inlineStr"/>
      <c r="R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8" t="n"/>
      <c r="N4218" s="7" t="inlineStr">
        <is>
          <t>SEM COTAÇÃO</t>
        </is>
      </c>
      <c r="O4218" s="8" t="n"/>
      <c r="P4218" s="14" t="n"/>
      <c r="Q4218" s="7" t="inlineStr"/>
      <c r="R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8" t="n">
        <v>7.06</v>
      </c>
      <c r="N4219" s="7" t="inlineStr">
        <is>
          <t>DIMEC</t>
        </is>
      </c>
      <c r="O4219" s="8" t="n">
        <v>6.67</v>
      </c>
      <c r="P4219" s="14">
        <f>O4219/H4219-1</f>
        <v/>
      </c>
      <c r="Q4219" s="16" t="inlineStr">
        <is>
          <t>ACIMA +1.8%</t>
        </is>
      </c>
      <c r="R4219" s="7" t="inlineStr"/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8" t="n"/>
      <c r="N4220" s="7" t="inlineStr">
        <is>
          <t>SEM COTAÇÃO</t>
        </is>
      </c>
      <c r="O4220" s="8" t="n"/>
      <c r="P4220" s="14" t="n"/>
      <c r="Q4220" s="7" t="inlineStr"/>
      <c r="R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8" t="n"/>
      <c r="N4221" s="7" t="inlineStr">
        <is>
          <t>SEM COTAÇÃO</t>
        </is>
      </c>
      <c r="O4221" s="8" t="n"/>
      <c r="P4221" s="14" t="n"/>
      <c r="Q4221" s="7" t="inlineStr"/>
      <c r="R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8" t="n"/>
      <c r="N4222" s="7" t="inlineStr">
        <is>
          <t>PLUSFARMA</t>
        </is>
      </c>
      <c r="O4222" s="8" t="n">
        <v>4.99</v>
      </c>
      <c r="P4222" s="14">
        <f>O4222/H4222-1</f>
        <v/>
      </c>
      <c r="Q4222" s="16" t="inlineStr">
        <is>
          <t>ACIMA +28.3%</t>
        </is>
      </c>
      <c r="R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8" t="n">
        <v>2.78</v>
      </c>
      <c r="N4223" s="7" t="inlineStr">
        <is>
          <t>DIMEC</t>
        </is>
      </c>
      <c r="O4223" s="8" t="n">
        <v>2.28</v>
      </c>
      <c r="P4223" s="14">
        <f>O4223/H4223-1</f>
        <v/>
      </c>
      <c r="Q4223" s="16" t="inlineStr">
        <is>
          <t>ACIMA +0.4%</t>
        </is>
      </c>
      <c r="R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8" t="n"/>
      <c r="N4224" s="7" t="inlineStr">
        <is>
          <t>SEM COTAÇÃO</t>
        </is>
      </c>
      <c r="O4224" s="8" t="n"/>
      <c r="P4224" s="14" t="n"/>
      <c r="Q4224" s="7" t="inlineStr"/>
      <c r="R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8" t="n"/>
      <c r="N4225" s="7" t="inlineStr">
        <is>
          <t>SEM COTAÇÃO</t>
        </is>
      </c>
      <c r="O4225" s="8" t="n"/>
      <c r="P4225" s="14" t="n"/>
      <c r="Q4225" s="7" t="inlineStr"/>
      <c r="R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8" t="n"/>
      <c r="N4226" s="7" t="inlineStr">
        <is>
          <t>SEM COTAÇÃO</t>
        </is>
      </c>
      <c r="O4226" s="8" t="n"/>
      <c r="P4226" s="14" t="n"/>
      <c r="Q4226" s="7" t="inlineStr"/>
      <c r="R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8" t="n"/>
      <c r="N4227" s="7" t="inlineStr">
        <is>
          <t>SEM COTAÇÃO</t>
        </is>
      </c>
      <c r="O4227" s="8" t="n"/>
      <c r="P4227" s="14" t="n"/>
      <c r="Q4227" s="7" t="inlineStr"/>
      <c r="R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8" t="n"/>
      <c r="N4228" s="7" t="inlineStr">
        <is>
          <t>SEM COTAÇÃO</t>
        </is>
      </c>
      <c r="O4228" s="8" t="n"/>
      <c r="P4228" s="14" t="n"/>
      <c r="Q4228" s="7" t="inlineStr"/>
      <c r="R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8" t="n"/>
      <c r="N4229" s="7" t="inlineStr">
        <is>
          <t>SEM COTAÇÃO</t>
        </is>
      </c>
      <c r="O4229" s="8" t="n"/>
      <c r="P4229" s="14" t="n"/>
      <c r="Q4229" s="7" t="inlineStr"/>
      <c r="R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8" t="n"/>
      <c r="N4230" s="7" t="inlineStr">
        <is>
          <t>SEM COTAÇÃO</t>
        </is>
      </c>
      <c r="O4230" s="8" t="n"/>
      <c r="P4230" s="14" t="n"/>
      <c r="Q4230" s="7" t="inlineStr"/>
      <c r="R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8" t="n"/>
      <c r="N4231" s="7" t="inlineStr">
        <is>
          <t>SEM COTAÇÃO</t>
        </is>
      </c>
      <c r="O4231" s="8" t="n"/>
      <c r="P4231" s="14" t="n"/>
      <c r="Q4231" s="7" t="inlineStr"/>
      <c r="R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8" t="n"/>
      <c r="N4232" s="7" t="inlineStr">
        <is>
          <t>SEM COTAÇÃO</t>
        </is>
      </c>
      <c r="O4232" s="8" t="n"/>
      <c r="P4232" s="14" t="n"/>
      <c r="Q4232" s="7" t="inlineStr"/>
      <c r="R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8" t="n"/>
      <c r="N4233" s="7" t="inlineStr">
        <is>
          <t>SEM COTAÇÃO</t>
        </is>
      </c>
      <c r="O4233" s="8" t="n"/>
      <c r="P4233" s="14" t="n"/>
      <c r="Q4233" s="7" t="inlineStr"/>
      <c r="R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8" t="n"/>
      <c r="N4234" s="7" t="inlineStr">
        <is>
          <t>SEM COTAÇÃO</t>
        </is>
      </c>
      <c r="O4234" s="8" t="n"/>
      <c r="P4234" s="14" t="n"/>
      <c r="Q4234" s="7" t="inlineStr"/>
      <c r="R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8" t="n"/>
      <c r="N4235" s="7" t="inlineStr">
        <is>
          <t>SEM COTAÇÃO</t>
        </is>
      </c>
      <c r="O4235" s="8" t="n"/>
      <c r="P4235" s="14" t="n"/>
      <c r="Q4235" s="7" t="inlineStr"/>
      <c r="R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8" t="n"/>
      <c r="N4236" s="7" t="inlineStr">
        <is>
          <t>SEM COTAÇÃO</t>
        </is>
      </c>
      <c r="O4236" s="8" t="n"/>
      <c r="P4236" s="14" t="n"/>
      <c r="Q4236" s="7" t="inlineStr"/>
      <c r="R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8" t="n"/>
      <c r="N4237" s="7" t="inlineStr">
        <is>
          <t>SEM COTAÇÃO</t>
        </is>
      </c>
      <c r="O4237" s="8" t="n"/>
      <c r="P4237" s="14" t="n"/>
      <c r="Q4237" s="7" t="inlineStr"/>
      <c r="R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8" t="n"/>
      <c r="N4238" s="7" t="inlineStr">
        <is>
          <t>SEM COTAÇÃO</t>
        </is>
      </c>
      <c r="O4238" s="8" t="n"/>
      <c r="P4238" s="14" t="n"/>
      <c r="Q4238" s="7" t="inlineStr"/>
      <c r="R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8" t="n"/>
      <c r="N4239" s="7" t="inlineStr">
        <is>
          <t>SEM COTAÇÃO</t>
        </is>
      </c>
      <c r="O4239" s="8" t="n"/>
      <c r="P4239" s="14" t="n"/>
      <c r="Q4239" s="7" t="inlineStr"/>
      <c r="R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8" t="n"/>
      <c r="N4240" s="7" t="inlineStr">
        <is>
          <t>SEM COTAÇÃO</t>
        </is>
      </c>
      <c r="O4240" s="8" t="n"/>
      <c r="P4240" s="14" t="n"/>
      <c r="Q4240" s="7" t="inlineStr"/>
      <c r="R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8" t="n"/>
      <c r="N4241" s="7" t="inlineStr">
        <is>
          <t>SEM COTAÇÃO</t>
        </is>
      </c>
      <c r="O4241" s="8" t="n"/>
      <c r="P4241" s="14" t="n"/>
      <c r="Q4241" s="7" t="inlineStr"/>
      <c r="R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8" t="n"/>
      <c r="N4242" s="7" t="inlineStr">
        <is>
          <t>SEM COTAÇÃO</t>
        </is>
      </c>
      <c r="O4242" s="8" t="n"/>
      <c r="P4242" s="14" t="n"/>
      <c r="Q4242" s="7" t="inlineStr"/>
      <c r="R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8" t="n"/>
      <c r="N4243" s="7" t="inlineStr">
        <is>
          <t>EPAN</t>
        </is>
      </c>
      <c r="O4243" s="8" t="n">
        <v>42.05</v>
      </c>
      <c r="P4243" s="14">
        <f>O4243/H4243-1</f>
        <v/>
      </c>
      <c r="Q4243" s="17" t="inlineStr">
        <is>
          <t>OK (≤ últ. compra)</t>
        </is>
      </c>
      <c r="R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8" t="n"/>
      <c r="N4244" s="7" t="inlineStr">
        <is>
          <t>SEM COTAÇÃO</t>
        </is>
      </c>
      <c r="O4244" s="8" t="n"/>
      <c r="P4244" s="14" t="n"/>
      <c r="Q4244" s="7" t="inlineStr"/>
      <c r="R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8" t="n"/>
      <c r="N4245" s="7" t="inlineStr">
        <is>
          <t>SEM COTAÇÃO</t>
        </is>
      </c>
      <c r="O4245" s="8" t="n"/>
      <c r="P4245" s="14" t="n"/>
      <c r="Q4245" s="7" t="inlineStr"/>
      <c r="R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8" t="n"/>
      <c r="N4246" s="7" t="inlineStr">
        <is>
          <t>SEM COTAÇÃO</t>
        </is>
      </c>
      <c r="O4246" s="8" t="n"/>
      <c r="P4246" s="14" t="n"/>
      <c r="Q4246" s="7" t="inlineStr"/>
      <c r="R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7" t="inlineStr">
        <is>
          <t>SEM COTAÇÃO</t>
        </is>
      </c>
      <c r="O4247" s="8" t="n"/>
      <c r="P4247" s="14" t="n"/>
      <c r="Q4247" s="7" t="inlineStr"/>
      <c r="R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8" t="n"/>
      <c r="N4248" s="7" t="inlineStr">
        <is>
          <t>SEM COTAÇÃO</t>
        </is>
      </c>
      <c r="O4248" s="8" t="n"/>
      <c r="P4248" s="14" t="n"/>
      <c r="Q4248" s="7" t="inlineStr"/>
      <c r="R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8" t="n"/>
      <c r="N4249" s="7" t="inlineStr">
        <is>
          <t>SEM COTAÇÃO</t>
        </is>
      </c>
      <c r="O4249" s="8" t="n"/>
      <c r="P4249" s="14" t="n"/>
      <c r="Q4249" s="7" t="inlineStr"/>
      <c r="R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8" t="n"/>
      <c r="N4250" s="7" t="inlineStr">
        <is>
          <t>SEM COTAÇÃO</t>
        </is>
      </c>
      <c r="O4250" s="8" t="n"/>
      <c r="P4250" s="14" t="n"/>
      <c r="Q4250" s="7" t="inlineStr"/>
      <c r="R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8" t="n"/>
      <c r="N4251" s="7" t="inlineStr">
        <is>
          <t>SEM COTAÇÃO</t>
        </is>
      </c>
      <c r="O4251" s="8" t="n"/>
      <c r="P4251" s="14" t="n"/>
      <c r="Q4251" s="7" t="inlineStr"/>
      <c r="R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8" t="n"/>
      <c r="N4252" s="7" t="inlineStr">
        <is>
          <t>SEM COTAÇÃO</t>
        </is>
      </c>
      <c r="O4252" s="8" t="n"/>
      <c r="P4252" s="14" t="n"/>
      <c r="Q4252" s="7" t="inlineStr"/>
      <c r="R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8" t="n"/>
      <c r="N4253" s="7" t="inlineStr">
        <is>
          <t>SEM COTAÇÃO</t>
        </is>
      </c>
      <c r="O4253" s="8" t="n"/>
      <c r="P4253" s="14" t="n"/>
      <c r="Q4253" s="7" t="inlineStr"/>
      <c r="R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8" t="n"/>
      <c r="N4254" s="7" t="inlineStr">
        <is>
          <t>SEM COTAÇÃO</t>
        </is>
      </c>
      <c r="O4254" s="8" t="n"/>
      <c r="P4254" s="14" t="n"/>
      <c r="Q4254" s="7" t="inlineStr"/>
      <c r="R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8" t="n"/>
      <c r="N4255" s="7" t="inlineStr">
        <is>
          <t>SEM COTAÇÃO</t>
        </is>
      </c>
      <c r="O4255" s="8" t="n"/>
      <c r="P4255" s="14" t="n"/>
      <c r="Q4255" s="7" t="inlineStr"/>
      <c r="R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8" t="n"/>
      <c r="N4256" s="7" t="inlineStr">
        <is>
          <t>SEM COTAÇÃO</t>
        </is>
      </c>
      <c r="O4256" s="8" t="n"/>
      <c r="P4256" s="14" t="n"/>
      <c r="Q4256" s="7" t="inlineStr"/>
      <c r="R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8" t="n"/>
      <c r="N4257" s="7" t="inlineStr">
        <is>
          <t>DIMEC</t>
        </is>
      </c>
      <c r="O4257" s="8" t="n">
        <v>0.01</v>
      </c>
      <c r="P4257" s="14">
        <f>O4257/H4257-1</f>
        <v/>
      </c>
      <c r="Q4257" s="17" t="inlineStr">
        <is>
          <t>OK (≤ menor hist.)</t>
        </is>
      </c>
      <c r="R4257" s="7" t="inlineStr">
        <is>
          <t>DIMEC: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8" t="n"/>
      <c r="N4258" s="7" t="inlineStr">
        <is>
          <t>SEM COTAÇÃO</t>
        </is>
      </c>
      <c r="O4258" s="8" t="n"/>
      <c r="P4258" s="14" t="n"/>
      <c r="Q4258" s="7" t="inlineStr"/>
      <c r="R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8" t="n"/>
      <c r="N4259" s="7" t="inlineStr">
        <is>
          <t>SEM COTAÇÃO</t>
        </is>
      </c>
      <c r="O4259" s="8" t="n"/>
      <c r="P4259" s="14" t="n"/>
      <c r="Q4259" s="7" t="inlineStr"/>
      <c r="R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8" t="n"/>
      <c r="N4260" s="7" t="inlineStr">
        <is>
          <t>SEM COTAÇÃO</t>
        </is>
      </c>
      <c r="O4260" s="8" t="n"/>
      <c r="P4260" s="14" t="n"/>
      <c r="Q4260" s="7" t="inlineStr"/>
      <c r="R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8" t="n"/>
      <c r="N4261" s="7" t="inlineStr">
        <is>
          <t>SEM COTAÇÃO</t>
        </is>
      </c>
      <c r="O4261" s="8" t="n"/>
      <c r="P4261" s="14" t="n"/>
      <c r="Q4261" s="7" t="inlineStr"/>
      <c r="R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8" t="n"/>
      <c r="N4262" s="7" t="inlineStr">
        <is>
          <t>SEM COTAÇÃO</t>
        </is>
      </c>
      <c r="O4262" s="8" t="n"/>
      <c r="P4262" s="14" t="n"/>
      <c r="Q4262" s="7" t="inlineStr"/>
      <c r="R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8" t="n"/>
      <c r="N4263" s="7" t="inlineStr">
        <is>
          <t>SEM COTAÇÃO</t>
        </is>
      </c>
      <c r="O4263" s="8" t="n"/>
      <c r="P4263" s="14" t="n"/>
      <c r="Q4263" s="7" t="inlineStr"/>
      <c r="R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8" t="n"/>
      <c r="N4264" s="7" t="inlineStr">
        <is>
          <t>DIMEC</t>
        </is>
      </c>
      <c r="O4264" s="8" t="n">
        <v>4.04</v>
      </c>
      <c r="P4264" s="14">
        <f>O4264/H4264-1</f>
        <v/>
      </c>
      <c r="Q4264" s="17" t="inlineStr">
        <is>
          <t>OK (≤ menor hist.)</t>
        </is>
      </c>
      <c r="R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8" t="n"/>
      <c r="N4265" s="7" t="inlineStr">
        <is>
          <t>DIMEC</t>
        </is>
      </c>
      <c r="O4265" s="8" t="n">
        <v>2.69</v>
      </c>
      <c r="P4265" s="14">
        <f>O4265/H4265-1</f>
        <v/>
      </c>
      <c r="Q4265" s="17" t="inlineStr">
        <is>
          <t>OK (≤ menor hist.)</t>
        </is>
      </c>
      <c r="R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8" t="n"/>
      <c r="N4266" s="7" t="inlineStr">
        <is>
          <t>DIMEC</t>
        </is>
      </c>
      <c r="O4266" s="8" t="n">
        <v>4.37</v>
      </c>
      <c r="P4266" s="14">
        <f>O4266/H4266-1</f>
        <v/>
      </c>
      <c r="Q4266" s="17" t="inlineStr">
        <is>
          <t>OK (≤ menor hist.)</t>
        </is>
      </c>
      <c r="R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8" t="n"/>
      <c r="N4267" s="7" t="inlineStr">
        <is>
          <t>SEM COTAÇÃO</t>
        </is>
      </c>
      <c r="O4267" s="8" t="n"/>
      <c r="P4267" s="14" t="n"/>
      <c r="Q4267" s="7" t="inlineStr"/>
      <c r="R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8" t="n">
        <v>3.34</v>
      </c>
      <c r="N4268" s="7" t="inlineStr">
        <is>
          <t>DIMEC</t>
        </is>
      </c>
      <c r="O4268" s="8" t="n">
        <v>3.29</v>
      </c>
      <c r="P4268" s="14">
        <f>O4268/H4268-1</f>
        <v/>
      </c>
      <c r="Q4268" s="16" t="inlineStr">
        <is>
          <t>ACIMA +3.8%</t>
        </is>
      </c>
      <c r="R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15" t="n">
        <v>28.8</v>
      </c>
      <c r="M4269" s="8" t="n"/>
      <c r="N4269" s="7" t="inlineStr">
        <is>
          <t>EPAN</t>
        </is>
      </c>
      <c r="O4269" s="8" t="n">
        <v>28.8</v>
      </c>
      <c r="P4269" s="14">
        <f>O4269/H4269-1</f>
        <v/>
      </c>
      <c r="Q4269" s="17" t="inlineStr">
        <is>
          <t>OK (≤ últ. compra)</t>
        </is>
      </c>
      <c r="R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8" t="n"/>
      <c r="N4270" s="7" t="inlineStr">
        <is>
          <t>SEM COTAÇÃO</t>
        </is>
      </c>
      <c r="O4270" s="8" t="n"/>
      <c r="P4270" s="14" t="n"/>
      <c r="Q4270" s="7" t="inlineStr"/>
      <c r="R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8" t="n"/>
      <c r="N4271" s="7" t="inlineStr">
        <is>
          <t>SEM COTAÇÃO</t>
        </is>
      </c>
      <c r="O4271" s="8" t="n"/>
      <c r="P4271" s="14" t="n"/>
      <c r="Q4271" s="7" t="inlineStr"/>
      <c r="R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8" t="n"/>
      <c r="N4272" s="7" t="inlineStr">
        <is>
          <t>SEM COTAÇÃO</t>
        </is>
      </c>
      <c r="O4272" s="8" t="n"/>
      <c r="P4272" s="14" t="n"/>
      <c r="Q4272" s="7" t="inlineStr"/>
      <c r="R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8" t="n"/>
      <c r="N4273" s="7" t="inlineStr">
        <is>
          <t>SEM COTAÇÃO</t>
        </is>
      </c>
      <c r="O4273" s="8" t="n"/>
      <c r="P4273" s="14" t="n"/>
      <c r="Q4273" s="7" t="inlineStr"/>
      <c r="R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8" t="n"/>
      <c r="N4274" s="7" t="inlineStr">
        <is>
          <t>SEM COTAÇÃO</t>
        </is>
      </c>
      <c r="O4274" s="8" t="n"/>
      <c r="P4274" s="14" t="n"/>
      <c r="Q4274" s="7" t="inlineStr"/>
      <c r="R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8" t="n"/>
      <c r="N4275" s="7" t="inlineStr">
        <is>
          <t>SEM COTAÇÃO</t>
        </is>
      </c>
      <c r="O4275" s="8" t="n"/>
      <c r="P4275" s="14" t="n"/>
      <c r="Q4275" s="7" t="inlineStr"/>
      <c r="R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8" t="n"/>
      <c r="N4276" s="7" t="inlineStr">
        <is>
          <t>SEM COTAÇÃO</t>
        </is>
      </c>
      <c r="O4276" s="8" t="n"/>
      <c r="P4276" s="14" t="n"/>
      <c r="Q4276" s="7" t="inlineStr"/>
      <c r="R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8" t="n"/>
      <c r="N4277" s="7" t="inlineStr">
        <is>
          <t>SEM COTAÇÃO</t>
        </is>
      </c>
      <c r="O4277" s="8" t="n"/>
      <c r="P4277" s="14" t="n"/>
      <c r="Q4277" s="7" t="inlineStr"/>
      <c r="R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8" t="n"/>
      <c r="N4278" s="7" t="inlineStr">
        <is>
          <t>SEM COTAÇÃO</t>
        </is>
      </c>
      <c r="O4278" s="8" t="n"/>
      <c r="P4278" s="14" t="n"/>
      <c r="Q4278" s="7" t="inlineStr"/>
      <c r="R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8" t="n"/>
      <c r="N4279" s="7" t="inlineStr">
        <is>
          <t>SEM COTAÇÃO</t>
        </is>
      </c>
      <c r="O4279" s="8" t="n"/>
      <c r="P4279" s="14" t="n"/>
      <c r="Q4279" s="7" t="inlineStr"/>
      <c r="R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8" t="n"/>
      <c r="N4280" s="7" t="inlineStr">
        <is>
          <t>SEM COTAÇÃO</t>
        </is>
      </c>
      <c r="O4280" s="8" t="n"/>
      <c r="P4280" s="14" t="n"/>
      <c r="Q4280" s="7" t="inlineStr"/>
      <c r="R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7" t="inlineStr">
        <is>
          <t>SEM COTAÇÃO</t>
        </is>
      </c>
      <c r="O4281" s="8" t="n"/>
      <c r="P4281" s="14" t="n"/>
      <c r="Q4281" s="7" t="inlineStr"/>
      <c r="R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8" t="n"/>
      <c r="N4282" s="7" t="inlineStr">
        <is>
          <t>SEM COTAÇÃO</t>
        </is>
      </c>
      <c r="O4282" s="8" t="n"/>
      <c r="P4282" s="14" t="n"/>
      <c r="Q4282" s="7" t="inlineStr"/>
      <c r="R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8" t="n"/>
      <c r="N4283" s="7" t="inlineStr">
        <is>
          <t>SEM COTAÇÃO</t>
        </is>
      </c>
      <c r="O4283" s="8" t="n"/>
      <c r="P4283" s="14" t="n"/>
      <c r="Q4283" s="7" t="inlineStr"/>
      <c r="R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8" t="n"/>
      <c r="N4284" s="7" t="inlineStr">
        <is>
          <t>SEM COTAÇÃO</t>
        </is>
      </c>
      <c r="O4284" s="8" t="n"/>
      <c r="P4284" s="14" t="n"/>
      <c r="Q4284" s="7" t="inlineStr"/>
      <c r="R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8" t="n"/>
      <c r="N4285" s="7" t="inlineStr">
        <is>
          <t>SEM COTAÇÃO</t>
        </is>
      </c>
      <c r="O4285" s="8" t="n"/>
      <c r="P4285" s="14" t="n"/>
      <c r="Q4285" s="7" t="inlineStr"/>
      <c r="R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8" t="n"/>
      <c r="N4286" s="7" t="inlineStr">
        <is>
          <t>SEM COTAÇÃO</t>
        </is>
      </c>
      <c r="O4286" s="8" t="n"/>
      <c r="P4286" s="14" t="n"/>
      <c r="Q4286" s="7" t="inlineStr"/>
      <c r="R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8" t="n"/>
      <c r="N4287" s="7" t="inlineStr">
        <is>
          <t>SEM COTAÇÃO</t>
        </is>
      </c>
      <c r="O4287" s="8" t="n"/>
      <c r="P4287" s="14" t="n"/>
      <c r="Q4287" s="7" t="inlineStr"/>
      <c r="R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8" t="n"/>
      <c r="N4288" s="7" t="inlineStr">
        <is>
          <t>SEM COTAÇÃO</t>
        </is>
      </c>
      <c r="O4288" s="8" t="n"/>
      <c r="P4288" s="14" t="n"/>
      <c r="Q4288" s="7" t="inlineStr"/>
      <c r="R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8" t="n"/>
      <c r="N4289" s="7" t="inlineStr">
        <is>
          <t>PLUSFARMA</t>
        </is>
      </c>
      <c r="O4289" s="8" t="n">
        <v>3.69</v>
      </c>
      <c r="P4289" s="14">
        <f>O4289/H4289-1</f>
        <v/>
      </c>
      <c r="Q4289" s="17" t="inlineStr">
        <is>
          <t>OK (≤ menor hist.)</t>
        </is>
      </c>
      <c r="R4289" s="7" t="inlineStr"/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8" t="n"/>
      <c r="N4290" s="7" t="inlineStr">
        <is>
          <t>SEM COTAÇÃO</t>
        </is>
      </c>
      <c r="O4290" s="8" t="n"/>
      <c r="P4290" s="14" t="n"/>
      <c r="Q4290" s="7" t="inlineStr"/>
      <c r="R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8" t="n"/>
      <c r="N4291" s="7" t="inlineStr">
        <is>
          <t>SEM COTAÇÃO</t>
        </is>
      </c>
      <c r="O4291" s="8" t="n"/>
      <c r="P4291" s="14" t="n"/>
      <c r="Q4291" s="7" t="inlineStr"/>
      <c r="R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8" t="n"/>
      <c r="N4292" s="7" t="inlineStr">
        <is>
          <t>SEM COTAÇÃO</t>
        </is>
      </c>
      <c r="O4292" s="8" t="n"/>
      <c r="P4292" s="14" t="n"/>
      <c r="Q4292" s="7" t="inlineStr"/>
      <c r="R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8" t="n"/>
      <c r="N4293" s="7" t="inlineStr">
        <is>
          <t>SEM COTAÇÃO</t>
        </is>
      </c>
      <c r="O4293" s="8" t="n"/>
      <c r="P4293" s="14" t="n"/>
      <c r="Q4293" s="7" t="inlineStr"/>
      <c r="R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8" t="n"/>
      <c r="N4294" s="7" t="inlineStr">
        <is>
          <t>SEM COTAÇÃO</t>
        </is>
      </c>
      <c r="O4294" s="8" t="n"/>
      <c r="P4294" s="14" t="n"/>
      <c r="Q4294" s="7" t="inlineStr"/>
      <c r="R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8" t="n"/>
      <c r="N4295" s="7" t="inlineStr">
        <is>
          <t>SEM COTAÇÃO</t>
        </is>
      </c>
      <c r="O4295" s="8" t="n"/>
      <c r="P4295" s="14" t="n"/>
      <c r="Q4295" s="7" t="inlineStr"/>
      <c r="R4295" s="7" t="inlineStr"/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8" t="n"/>
      <c r="N4296" s="7" t="inlineStr">
        <is>
          <t>SEM COTAÇÃO</t>
        </is>
      </c>
      <c r="O4296" s="8" t="n"/>
      <c r="P4296" s="14" t="n"/>
      <c r="Q4296" s="7" t="inlineStr"/>
      <c r="R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8" t="n"/>
      <c r="N4297" s="7" t="inlineStr">
        <is>
          <t>SEM COTAÇÃO</t>
        </is>
      </c>
      <c r="O4297" s="8" t="n"/>
      <c r="P4297" s="14" t="n"/>
      <c r="Q4297" s="7" t="inlineStr"/>
      <c r="R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8" t="n"/>
      <c r="N4298" s="7" t="inlineStr">
        <is>
          <t>SEM COTAÇÃO</t>
        </is>
      </c>
      <c r="O4298" s="8" t="n"/>
      <c r="P4298" s="14" t="n"/>
      <c r="Q4298" s="7" t="inlineStr"/>
      <c r="R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8" t="n"/>
      <c r="N4299" s="7" t="inlineStr">
        <is>
          <t>SEM COTAÇÃO</t>
        </is>
      </c>
      <c r="O4299" s="8" t="n"/>
      <c r="P4299" s="14" t="n"/>
      <c r="Q4299" s="7" t="inlineStr"/>
      <c r="R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8" t="n"/>
      <c r="N4300" s="7" t="inlineStr">
        <is>
          <t>SEM COTAÇÃO</t>
        </is>
      </c>
      <c r="O4300" s="8" t="n"/>
      <c r="P4300" s="14" t="n"/>
      <c r="Q4300" s="7" t="inlineStr"/>
      <c r="R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8" t="n"/>
      <c r="N4301" s="7" t="inlineStr">
        <is>
          <t>SEM COTAÇÃO</t>
        </is>
      </c>
      <c r="O4301" s="8" t="n"/>
      <c r="P4301" s="14" t="n"/>
      <c r="Q4301" s="7" t="inlineStr"/>
      <c r="R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8" t="n"/>
      <c r="N4302" s="7" t="inlineStr">
        <is>
          <t>EPAN</t>
        </is>
      </c>
      <c r="O4302" s="8" t="n">
        <v>19.33</v>
      </c>
      <c r="P4302" s="14">
        <f>O4302/H4302-1</f>
        <v/>
      </c>
      <c r="Q4302" s="17" t="inlineStr">
        <is>
          <t>OK (≤ últ. compra)</t>
        </is>
      </c>
      <c r="R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8" t="n"/>
      <c r="N4303" s="7" t="inlineStr">
        <is>
          <t>SEM COTAÇÃO</t>
        </is>
      </c>
      <c r="O4303" s="8" t="n"/>
      <c r="P4303" s="14" t="n"/>
      <c r="Q4303" s="7" t="inlineStr"/>
      <c r="R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8" t="n"/>
      <c r="N4304" s="7" t="inlineStr">
        <is>
          <t>SEM COTAÇÃO</t>
        </is>
      </c>
      <c r="O4304" s="8" t="n"/>
      <c r="P4304" s="14" t="n"/>
      <c r="Q4304" s="7" t="inlineStr"/>
      <c r="R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8" t="n"/>
      <c r="N4305" s="7" t="inlineStr">
        <is>
          <t>SEM COTAÇÃO</t>
        </is>
      </c>
      <c r="O4305" s="8" t="n"/>
      <c r="P4305" s="14" t="n"/>
      <c r="Q4305" s="7" t="inlineStr"/>
      <c r="R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8" t="n"/>
      <c r="N4306" s="7" t="inlineStr">
        <is>
          <t>SEM COTAÇÃO</t>
        </is>
      </c>
      <c r="O4306" s="8" t="n"/>
      <c r="P4306" s="14" t="n"/>
      <c r="Q4306" s="7" t="inlineStr"/>
      <c r="R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7" t="inlineStr">
        <is>
          <t>SEM COTAÇÃO</t>
        </is>
      </c>
      <c r="O4307" s="8" t="n"/>
      <c r="P4307" s="14" t="n"/>
      <c r="Q4307" s="7" t="inlineStr"/>
      <c r="R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8" t="n"/>
      <c r="N4308" s="7" t="inlineStr">
        <is>
          <t>SEM COTAÇÃO</t>
        </is>
      </c>
      <c r="O4308" s="8" t="n"/>
      <c r="P4308" s="14" t="n"/>
      <c r="Q4308" s="7" t="inlineStr"/>
      <c r="R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8" t="n"/>
      <c r="N4309" s="7" t="inlineStr">
        <is>
          <t>SEM COTAÇÃO</t>
        </is>
      </c>
      <c r="O4309" s="8" t="n"/>
      <c r="P4309" s="14" t="n"/>
      <c r="Q4309" s="7" t="inlineStr"/>
      <c r="R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8" t="n"/>
      <c r="N4310" s="7" t="inlineStr">
        <is>
          <t>SEM COTAÇÃO</t>
        </is>
      </c>
      <c r="O4310" s="8" t="n"/>
      <c r="P4310" s="14" t="n"/>
      <c r="Q4310" s="7" t="inlineStr"/>
      <c r="R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8" t="n"/>
      <c r="N4311" s="7" t="inlineStr">
        <is>
          <t>SEM COTAÇÃO</t>
        </is>
      </c>
      <c r="O4311" s="8" t="n"/>
      <c r="P4311" s="14" t="n"/>
      <c r="Q4311" s="7" t="inlineStr"/>
      <c r="R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8" t="n"/>
      <c r="N4312" s="7" t="inlineStr">
        <is>
          <t>SEM COTAÇÃO</t>
        </is>
      </c>
      <c r="O4312" s="8" t="n"/>
      <c r="P4312" s="14" t="n"/>
      <c r="Q4312" s="7" t="inlineStr"/>
      <c r="R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8" t="n"/>
      <c r="N4313" s="7" t="inlineStr">
        <is>
          <t>SEM COTAÇÃO</t>
        </is>
      </c>
      <c r="O4313" s="8" t="n"/>
      <c r="P4313" s="14" t="n"/>
      <c r="Q4313" s="7" t="inlineStr"/>
      <c r="R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15" t="n">
        <v>29.2</v>
      </c>
      <c r="M4314" s="8" t="n"/>
      <c r="N4314" s="7" t="inlineStr">
        <is>
          <t>EPAN</t>
        </is>
      </c>
      <c r="O4314" s="8" t="n">
        <v>29.2</v>
      </c>
      <c r="P4314" s="14">
        <f>O4314/H4314-1</f>
        <v/>
      </c>
      <c r="Q4314" s="16" t="inlineStr">
        <is>
          <t>ACIMA +0.0%</t>
        </is>
      </c>
      <c r="R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8" t="n"/>
      <c r="N4315" s="7" t="inlineStr">
        <is>
          <t>SEM COTAÇÃO</t>
        </is>
      </c>
      <c r="O4315" s="8" t="n"/>
      <c r="P4315" s="14" t="n"/>
      <c r="Q4315" s="7" t="inlineStr"/>
      <c r="R4315" s="7" t="inlineStr"/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8" t="n"/>
      <c r="M4316" s="8" t="n">
        <v>4.35</v>
      </c>
      <c r="N4316" s="7" t="inlineStr">
        <is>
          <t>DIMEC</t>
        </is>
      </c>
      <c r="O4316" s="8" t="n">
        <v>4.26</v>
      </c>
      <c r="P4316" s="14">
        <f>O4316/H4316-1</f>
        <v/>
      </c>
      <c r="Q4316" s="16" t="inlineStr">
        <is>
          <t>ACIMA +9.0%</t>
        </is>
      </c>
      <c r="R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8" t="n"/>
      <c r="M4317" s="8" t="n">
        <v>8.83</v>
      </c>
      <c r="N4317" s="7" t="inlineStr">
        <is>
          <t>DIMEC</t>
        </is>
      </c>
      <c r="O4317" s="8" t="n">
        <v>8.68</v>
      </c>
      <c r="P4317" s="14">
        <f>O4317/H4317-1</f>
        <v/>
      </c>
      <c r="Q4317" s="16" t="inlineStr">
        <is>
          <t>ACIMA +9.2%</t>
        </is>
      </c>
      <c r="R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8" t="n"/>
      <c r="N4318" s="7" t="inlineStr">
        <is>
          <t>SEM COTAÇÃO</t>
        </is>
      </c>
      <c r="O4318" s="8" t="n"/>
      <c r="P4318" s="14" t="n"/>
      <c r="Q4318" s="7" t="inlineStr"/>
      <c r="R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8" t="n"/>
      <c r="N4319" s="7" t="inlineStr">
        <is>
          <t>SEM COTAÇÃO</t>
        </is>
      </c>
      <c r="O4319" s="8" t="n"/>
      <c r="P4319" s="14" t="n"/>
      <c r="Q4319" s="7" t="inlineStr"/>
      <c r="R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8" t="n"/>
      <c r="N4320" s="7" t="inlineStr">
        <is>
          <t>SEM COTAÇÃO</t>
        </is>
      </c>
      <c r="O4320" s="8" t="n"/>
      <c r="P4320" s="14" t="n"/>
      <c r="Q4320" s="7" t="inlineStr"/>
      <c r="R4320" s="7" t="inlineStr"/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8" t="n"/>
      <c r="N4321" s="7" t="inlineStr">
        <is>
          <t>SEM COTAÇÃO</t>
        </is>
      </c>
      <c r="O4321" s="8" t="n"/>
      <c r="P4321" s="14" t="n"/>
      <c r="Q4321" s="7" t="inlineStr"/>
      <c r="R4321" s="7" t="inlineStr"/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8" t="n"/>
      <c r="N4322" s="7" t="inlineStr">
        <is>
          <t>EPAN</t>
        </is>
      </c>
      <c r="O4322" s="8" t="n">
        <v>31.91</v>
      </c>
      <c r="P4322" s="14">
        <f>O4322/H4322-1</f>
        <v/>
      </c>
      <c r="Q4322" s="17" t="inlineStr">
        <is>
          <t>OK (≤ últ. compra)</t>
        </is>
      </c>
      <c r="R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8" t="n"/>
      <c r="N4323" s="7" t="inlineStr">
        <is>
          <t>PLUSFARMA</t>
        </is>
      </c>
      <c r="O4323" s="8" t="n">
        <v>48.63</v>
      </c>
      <c r="P4323" s="14">
        <f>O4323/H4323-1</f>
        <v/>
      </c>
      <c r="Q4323" s="16" t="inlineStr">
        <is>
          <t>ACIMA +17.9%</t>
        </is>
      </c>
      <c r="R4323" s="7" t="inlineStr"/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8" t="n"/>
      <c r="N4324" s="7" t="inlineStr">
        <is>
          <t>SEM COTAÇÃO</t>
        </is>
      </c>
      <c r="O4324" s="8" t="n"/>
      <c r="P4324" s="14" t="n"/>
      <c r="Q4324" s="7" t="inlineStr"/>
      <c r="R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8" t="n"/>
      <c r="N4325" s="7" t="inlineStr">
        <is>
          <t>SEM COTAÇÃO</t>
        </is>
      </c>
      <c r="O4325" s="8" t="n"/>
      <c r="P4325" s="14" t="n"/>
      <c r="Q4325" s="7" t="inlineStr"/>
      <c r="R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8" t="n"/>
      <c r="N4326" s="7" t="inlineStr">
        <is>
          <t>SEM COTAÇÃO</t>
        </is>
      </c>
      <c r="O4326" s="8" t="n"/>
      <c r="P4326" s="14" t="n"/>
      <c r="Q4326" s="7" t="inlineStr"/>
      <c r="R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8" t="n"/>
      <c r="N4327" s="7" t="inlineStr">
        <is>
          <t>SEM COTAÇÃO</t>
        </is>
      </c>
      <c r="O4327" s="8" t="n"/>
      <c r="P4327" s="14" t="n"/>
      <c r="Q4327" s="7" t="inlineStr"/>
      <c r="R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8" t="n"/>
      <c r="N4328" s="7" t="inlineStr">
        <is>
          <t>SEM COTAÇÃO</t>
        </is>
      </c>
      <c r="O4328" s="8" t="n"/>
      <c r="P4328" s="14" t="n"/>
      <c r="Q4328" s="7" t="inlineStr"/>
      <c r="R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8" t="n"/>
      <c r="N4329" s="7" t="inlineStr">
        <is>
          <t>SEM COTAÇÃO</t>
        </is>
      </c>
      <c r="O4329" s="8" t="n"/>
      <c r="P4329" s="14" t="n"/>
      <c r="Q4329" s="7" t="inlineStr"/>
      <c r="R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8" t="n"/>
      <c r="N4330" s="7" t="inlineStr">
        <is>
          <t>SEM COTAÇÃO</t>
        </is>
      </c>
      <c r="O4330" s="8" t="n"/>
      <c r="P4330" s="14" t="n"/>
      <c r="Q4330" s="7" t="inlineStr"/>
      <c r="R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8" t="n"/>
      <c r="N4331" s="7" t="inlineStr">
        <is>
          <t>EPAN</t>
        </is>
      </c>
      <c r="O4331" s="8" t="n">
        <v>60.41</v>
      </c>
      <c r="P4331" s="14">
        <f>O4331/H4331-1</f>
        <v/>
      </c>
      <c r="Q4331" s="17" t="inlineStr">
        <is>
          <t>OK (≤ últ. compra)</t>
        </is>
      </c>
      <c r="R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7" t="inlineStr">
        <is>
          <t>SEM COTAÇÃO</t>
        </is>
      </c>
      <c r="O4332" s="8" t="n"/>
      <c r="P4332" s="14" t="n"/>
      <c r="Q4332" s="7" t="inlineStr"/>
      <c r="R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8" t="n">
        <v>14.18</v>
      </c>
      <c r="N4333" s="7" t="inlineStr">
        <is>
          <t>DIMEC</t>
        </is>
      </c>
      <c r="O4333" s="8" t="n">
        <v>13.33</v>
      </c>
      <c r="P4333" s="14">
        <f>O4333/H4333-1</f>
        <v/>
      </c>
      <c r="Q4333" s="16" t="inlineStr">
        <is>
          <t>ACIMA +6.1%</t>
        </is>
      </c>
      <c r="R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8" t="n"/>
      <c r="N4334" s="7" t="inlineStr">
        <is>
          <t>SEM COTAÇÃO</t>
        </is>
      </c>
      <c r="O4334" s="8" t="n"/>
      <c r="P4334" s="14" t="n"/>
      <c r="Q4334" s="7" t="inlineStr"/>
      <c r="R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8" t="n">
        <v>14.4</v>
      </c>
      <c r="N4335" s="7" t="inlineStr">
        <is>
          <t>DIMEC</t>
        </is>
      </c>
      <c r="O4335" s="8" t="n">
        <v>11.88</v>
      </c>
      <c r="P4335" s="14">
        <f>O4335/H4335-1</f>
        <v/>
      </c>
      <c r="Q4335" s="17" t="inlineStr">
        <is>
          <t>OK (≤ menor hist.)</t>
        </is>
      </c>
      <c r="R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15" t="n">
        <v>10.86</v>
      </c>
      <c r="N4336" s="7" t="inlineStr">
        <is>
          <t>CENTROFARMA</t>
        </is>
      </c>
      <c r="O4336" s="8" t="n">
        <v>10.86</v>
      </c>
      <c r="P4336" s="14">
        <f>O4336/H4336-1</f>
        <v/>
      </c>
      <c r="Q4336" s="16" t="inlineStr">
        <is>
          <t>ACIMA +5.2%</t>
        </is>
      </c>
      <c r="R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8" t="n"/>
      <c r="N4337" s="7" t="inlineStr">
        <is>
          <t>SEM COTAÇÃO</t>
        </is>
      </c>
      <c r="O4337" s="8" t="n"/>
      <c r="P4337" s="14" t="n"/>
      <c r="Q4337" s="7" t="inlineStr"/>
      <c r="R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8" t="n">
        <v>14.19</v>
      </c>
      <c r="N4338" s="7" t="inlineStr">
        <is>
          <t>DIMEC</t>
        </is>
      </c>
      <c r="O4338" s="8" t="n">
        <v>13.33</v>
      </c>
      <c r="P4338" s="14">
        <f>O4338/H4338-1</f>
        <v/>
      </c>
      <c r="Q4338" s="16" t="inlineStr">
        <is>
          <t>ACIMA +5.9%</t>
        </is>
      </c>
      <c r="R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8" t="n">
        <v>14.24</v>
      </c>
      <c r="N4339" s="7" t="inlineStr">
        <is>
          <t>DIMEC</t>
        </is>
      </c>
      <c r="O4339" s="8" t="n">
        <v>13.33</v>
      </c>
      <c r="P4339" s="14">
        <f>O4339/H4339-1</f>
        <v/>
      </c>
      <c r="Q4339" s="16" t="inlineStr">
        <is>
          <t>ACIMA +5.9%</t>
        </is>
      </c>
      <c r="R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8" t="n"/>
      <c r="N4340" s="7" t="inlineStr">
        <is>
          <t>DIMEC</t>
        </is>
      </c>
      <c r="O4340" s="8" t="n">
        <v>1.69</v>
      </c>
      <c r="P4340" s="14">
        <f>O4340/H4340-1</f>
        <v/>
      </c>
      <c r="Q4340" s="17" t="inlineStr">
        <is>
          <t>OK (≤ menor hist.)</t>
        </is>
      </c>
      <c r="R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8" t="n"/>
      <c r="N4341" s="7" t="inlineStr">
        <is>
          <t>SEM COTAÇÃO</t>
        </is>
      </c>
      <c r="O4341" s="8" t="n"/>
      <c r="P4341" s="14" t="n"/>
      <c r="Q4341" s="7" t="inlineStr"/>
      <c r="R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8" t="n"/>
      <c r="N4342" s="7" t="inlineStr">
        <is>
          <t>SEM COTAÇÃO</t>
        </is>
      </c>
      <c r="O4342" s="8" t="n"/>
      <c r="P4342" s="14" t="n"/>
      <c r="Q4342" s="7" t="inlineStr"/>
      <c r="R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1.28</v>
      </c>
      <c r="K4343" s="8" t="n"/>
      <c r="L4343" s="8" t="n"/>
      <c r="M4343" s="15" t="n">
        <v>1.21</v>
      </c>
      <c r="N4343" s="7" t="inlineStr">
        <is>
          <t>CENTROFARMA</t>
        </is>
      </c>
      <c r="O4343" s="8" t="n">
        <v>1.21</v>
      </c>
      <c r="P4343" s="14">
        <f>O4343/H4343-1</f>
        <v/>
      </c>
      <c r="Q4343" s="16" t="inlineStr">
        <is>
          <t>ACIMA +5.2%</t>
        </is>
      </c>
      <c r="R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8" t="n">
        <v>5.97</v>
      </c>
      <c r="N4344" s="7" t="inlineStr">
        <is>
          <t>DIMEC</t>
        </is>
      </c>
      <c r="O4344" s="8" t="n">
        <v>5.57</v>
      </c>
      <c r="P4344" s="14">
        <f>O4344/H4344-1</f>
        <v/>
      </c>
      <c r="Q4344" s="16" t="inlineStr">
        <is>
          <t>ACIMA +13.4%</t>
        </is>
      </c>
      <c r="R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8" t="n"/>
      <c r="N4345" s="7" t="inlineStr">
        <is>
          <t>SEM COTAÇÃO</t>
        </is>
      </c>
      <c r="O4345" s="8" t="n"/>
      <c r="P4345" s="14" t="n"/>
      <c r="Q4345" s="7" t="inlineStr"/>
      <c r="R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8" t="n"/>
      <c r="N4346" s="7" t="inlineStr">
        <is>
          <t>SEM COTAÇÃO</t>
        </is>
      </c>
      <c r="O4346" s="8" t="n"/>
      <c r="P4346" s="14" t="n"/>
      <c r="Q4346" s="7" t="inlineStr"/>
      <c r="R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8" t="n">
        <v>1.44</v>
      </c>
      <c r="N4347" s="7" t="inlineStr">
        <is>
          <t>DIMEC</t>
        </is>
      </c>
      <c r="O4347" s="8" t="n">
        <v>1.35</v>
      </c>
      <c r="P4347" s="14">
        <f>O4347/H4347-1</f>
        <v/>
      </c>
      <c r="Q4347" s="16" t="inlineStr">
        <is>
          <t>ACIMA +15.4%</t>
        </is>
      </c>
      <c r="R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8" t="n"/>
      <c r="N4348" s="7" t="inlineStr">
        <is>
          <t>SEM COTAÇÃO</t>
        </is>
      </c>
      <c r="O4348" s="8" t="n"/>
      <c r="P4348" s="14" t="n"/>
      <c r="Q4348" s="7" t="inlineStr"/>
      <c r="R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15" t="n">
        <v>20.95</v>
      </c>
      <c r="M4349" s="8" t="n"/>
      <c r="N4349" s="7" t="inlineStr">
        <is>
          <t>EPAN</t>
        </is>
      </c>
      <c r="O4349" s="8" t="n">
        <v>20.95</v>
      </c>
      <c r="P4349" s="14">
        <f>O4349/H4349-1</f>
        <v/>
      </c>
      <c r="Q4349" s="17" t="inlineStr">
        <is>
          <t>OK (≤ últ. compra)</t>
        </is>
      </c>
      <c r="R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8" t="n"/>
      <c r="N4350" s="7" t="inlineStr">
        <is>
          <t>SEM COTAÇÃO</t>
        </is>
      </c>
      <c r="O4350" s="8" t="n"/>
      <c r="P4350" s="14" t="n"/>
      <c r="Q4350" s="7" t="inlineStr"/>
      <c r="R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8" t="n">
        <v>12.57</v>
      </c>
      <c r="N4351" s="7" t="inlineStr">
        <is>
          <t>DIMEC</t>
        </is>
      </c>
      <c r="O4351" s="8" t="n">
        <v>7.71</v>
      </c>
      <c r="P4351" s="14">
        <f>O4351/H4351-1</f>
        <v/>
      </c>
      <c r="Q4351" s="17" t="inlineStr">
        <is>
          <t>OK (≤ menor hist.)</t>
        </is>
      </c>
      <c r="R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8" t="n"/>
      <c r="N4352" s="7" t="inlineStr">
        <is>
          <t>SEM COTAÇÃO</t>
        </is>
      </c>
      <c r="O4352" s="8" t="n"/>
      <c r="P4352" s="14" t="n"/>
      <c r="Q4352" s="7" t="inlineStr"/>
      <c r="R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8" t="n"/>
      <c r="N4353" s="7" t="inlineStr">
        <is>
          <t>SEM COTAÇÃO</t>
        </is>
      </c>
      <c r="O4353" s="8" t="n"/>
      <c r="P4353" s="14" t="n"/>
      <c r="Q4353" s="7" t="inlineStr"/>
      <c r="R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8" t="n">
        <v>44.44</v>
      </c>
      <c r="N4354" s="7" t="inlineStr">
        <is>
          <t>DIMEC</t>
        </is>
      </c>
      <c r="O4354" s="8" t="n">
        <v>1.6648</v>
      </c>
      <c r="P4354" s="14">
        <f>O4354/H4354-1</f>
        <v/>
      </c>
      <c r="Q4354" s="16" t="inlineStr">
        <is>
          <t>ACIMA +12.5%</t>
        </is>
      </c>
      <c r="R4354" s="7" t="inlineStr">
        <is>
          <t>DIMEC: 1 emb = 25 un; CENTROFARMA: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8" t="n">
        <v>44.87</v>
      </c>
      <c r="N4355" s="7" t="inlineStr">
        <is>
          <t>DIMEC</t>
        </is>
      </c>
      <c r="O4355" s="8" t="n">
        <v>4.372</v>
      </c>
      <c r="P4355" s="14">
        <f>O4355/H4355-1</f>
        <v/>
      </c>
      <c r="Q4355" s="16" t="inlineStr">
        <is>
          <t>ACIMA +18.5%</t>
        </is>
      </c>
      <c r="R4355" s="7" t="inlineStr">
        <is>
          <t>DIMEC: 1 emb = 10 un; PLUSFARMA: conferir emb.; CENTROFARMA: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8" t="n"/>
      <c r="N4356" s="7" t="inlineStr">
        <is>
          <t>SEM COTAÇÃO</t>
        </is>
      </c>
      <c r="O4356" s="8" t="n"/>
      <c r="P4356" s="14" t="n"/>
      <c r="Q4356" s="7" t="inlineStr"/>
      <c r="R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8" t="n"/>
      <c r="N4357" s="7" t="inlineStr">
        <is>
          <t>SEM COTAÇÃO</t>
        </is>
      </c>
      <c r="O4357" s="8" t="n"/>
      <c r="P4357" s="14" t="n"/>
      <c r="Q4357" s="7" t="inlineStr"/>
      <c r="R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8" t="n">
        <v>14.07</v>
      </c>
      <c r="N4358" s="7" t="inlineStr">
        <is>
          <t>DIMEC</t>
        </is>
      </c>
      <c r="O4358" s="8" t="n">
        <v>13.89</v>
      </c>
      <c r="P4358" s="14">
        <f>O4358/H4358-1</f>
        <v/>
      </c>
      <c r="Q4358" s="16" t="inlineStr">
        <is>
          <t>ACIMA +4.0%</t>
        </is>
      </c>
      <c r="R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8" t="n"/>
      <c r="N4359" s="7" t="inlineStr">
        <is>
          <t>PLUSFARMA</t>
        </is>
      </c>
      <c r="O4359" s="8" t="n">
        <v>24.85</v>
      </c>
      <c r="P4359" s="14">
        <f>O4359/H4359-1</f>
        <v/>
      </c>
      <c r="Q4359" s="17" t="inlineStr">
        <is>
          <t>OK (≤ últ. compra)</t>
        </is>
      </c>
      <c r="R4359" s="7" t="inlineStr"/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8" t="n"/>
      <c r="N4360" s="7" t="inlineStr">
        <is>
          <t>SEM COTAÇÃO</t>
        </is>
      </c>
      <c r="O4360" s="8" t="n"/>
      <c r="P4360" s="14" t="n"/>
      <c r="Q4360" s="7" t="inlineStr"/>
      <c r="R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8" t="n"/>
      <c r="N4361" s="7" t="inlineStr">
        <is>
          <t>SEM COTAÇÃO</t>
        </is>
      </c>
      <c r="O4361" s="8" t="n"/>
      <c r="P4361" s="14" t="n"/>
      <c r="Q4361" s="7" t="inlineStr"/>
      <c r="R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8" t="n"/>
      <c r="N4362" s="7" t="inlineStr">
        <is>
          <t>SEM COTAÇÃO</t>
        </is>
      </c>
      <c r="O4362" s="8" t="n"/>
      <c r="P4362" s="14" t="n"/>
      <c r="Q4362" s="7" t="inlineStr"/>
      <c r="R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8" t="n"/>
      <c r="N4363" s="7" t="inlineStr">
        <is>
          <t>SEM COTAÇÃO</t>
        </is>
      </c>
      <c r="O4363" s="8" t="n"/>
      <c r="P4363" s="14" t="n"/>
      <c r="Q4363" s="7" t="inlineStr"/>
      <c r="R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8" t="n"/>
      <c r="N4364" s="7" t="inlineStr">
        <is>
          <t>SEM COTAÇÃO</t>
        </is>
      </c>
      <c r="O4364" s="8" t="n"/>
      <c r="P4364" s="14" t="n"/>
      <c r="Q4364" s="7" t="inlineStr"/>
      <c r="R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7" t="inlineStr">
        <is>
          <t>SEM COTAÇÃO</t>
        </is>
      </c>
      <c r="O4365" s="8" t="n"/>
      <c r="P4365" s="14" t="n"/>
      <c r="Q4365" s="7" t="inlineStr"/>
      <c r="R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8" t="n"/>
      <c r="N4366" s="7" t="inlineStr">
        <is>
          <t>SEM COTAÇÃO</t>
        </is>
      </c>
      <c r="O4366" s="8" t="n"/>
      <c r="P4366" s="14" t="n"/>
      <c r="Q4366" s="7" t="inlineStr"/>
      <c r="R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8" t="n"/>
      <c r="N4367" s="7" t="inlineStr">
        <is>
          <t>SEM COTAÇÃO</t>
        </is>
      </c>
      <c r="O4367" s="8" t="n"/>
      <c r="P4367" s="14" t="n"/>
      <c r="Q4367" s="7" t="inlineStr"/>
      <c r="R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8" t="n"/>
      <c r="N4368" s="7" t="inlineStr">
        <is>
          <t>SEM COTAÇÃO</t>
        </is>
      </c>
      <c r="O4368" s="8" t="n"/>
      <c r="P4368" s="14" t="n"/>
      <c r="Q4368" s="7" t="inlineStr"/>
      <c r="R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8" t="n"/>
      <c r="N4369" s="7" t="inlineStr">
        <is>
          <t>SEM COTAÇÃO</t>
        </is>
      </c>
      <c r="O4369" s="8" t="n"/>
      <c r="P4369" s="14" t="n"/>
      <c r="Q4369" s="7" t="inlineStr"/>
      <c r="R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8" t="n"/>
      <c r="N4370" s="7" t="inlineStr">
        <is>
          <t>SEM COTAÇÃO</t>
        </is>
      </c>
      <c r="O4370" s="8" t="n"/>
      <c r="P4370" s="14" t="n"/>
      <c r="Q4370" s="7" t="inlineStr"/>
      <c r="R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8" t="n"/>
      <c r="N4371" s="7" t="inlineStr">
        <is>
          <t>SEM COTAÇÃO</t>
        </is>
      </c>
      <c r="O4371" s="8" t="n"/>
      <c r="P4371" s="14" t="n"/>
      <c r="Q4371" s="7" t="inlineStr"/>
      <c r="R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8" t="n"/>
      <c r="N4372" s="7" t="inlineStr">
        <is>
          <t>SEM COTAÇÃO</t>
        </is>
      </c>
      <c r="O4372" s="8" t="n"/>
      <c r="P4372" s="14" t="n"/>
      <c r="Q4372" s="7" t="inlineStr"/>
      <c r="R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8" t="n"/>
      <c r="N4373" s="7" t="inlineStr">
        <is>
          <t>SEM COTAÇÃO</t>
        </is>
      </c>
      <c r="O4373" s="8" t="n"/>
      <c r="P4373" s="14" t="n"/>
      <c r="Q4373" s="7" t="inlineStr"/>
      <c r="R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8" t="n"/>
      <c r="N4374" s="7" t="inlineStr">
        <is>
          <t>SEM COTAÇÃO</t>
        </is>
      </c>
      <c r="O4374" s="8" t="n"/>
      <c r="P4374" s="14" t="n"/>
      <c r="Q4374" s="7" t="inlineStr"/>
      <c r="R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8" t="n"/>
      <c r="N4375" s="7" t="inlineStr">
        <is>
          <t>SEM COTAÇÃO</t>
        </is>
      </c>
      <c r="O4375" s="8" t="n"/>
      <c r="P4375" s="14" t="n"/>
      <c r="Q4375" s="7" t="inlineStr"/>
      <c r="R4375" s="7" t="inlineStr"/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8" t="n"/>
      <c r="N4376" s="7" t="inlineStr">
        <is>
          <t>SEM COTAÇÃO</t>
        </is>
      </c>
      <c r="O4376" s="8" t="n"/>
      <c r="P4376" s="14" t="n"/>
      <c r="Q4376" s="7" t="inlineStr"/>
      <c r="R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8" t="n"/>
      <c r="N4377" s="7" t="inlineStr">
        <is>
          <t>SEM COTAÇÃO</t>
        </is>
      </c>
      <c r="O4377" s="8" t="n"/>
      <c r="P4377" s="14" t="n"/>
      <c r="Q4377" s="7" t="inlineStr"/>
      <c r="R4377" s="7" t="inlineStr"/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8" t="n"/>
      <c r="N4378" s="7" t="inlineStr">
        <is>
          <t>SEM COTAÇÃO</t>
        </is>
      </c>
      <c r="O4378" s="8" t="n"/>
      <c r="P4378" s="14" t="n"/>
      <c r="Q4378" s="7" t="inlineStr"/>
      <c r="R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8" t="n"/>
      <c r="N4379" s="7" t="inlineStr">
        <is>
          <t>SEM COTAÇÃO</t>
        </is>
      </c>
      <c r="O4379" s="8" t="n"/>
      <c r="P4379" s="14" t="n"/>
      <c r="Q4379" s="7" t="inlineStr"/>
      <c r="R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8" t="n"/>
      <c r="N4380" s="7" t="inlineStr">
        <is>
          <t>SEM COTAÇÃO</t>
        </is>
      </c>
      <c r="O4380" s="8" t="n"/>
      <c r="P4380" s="14" t="n"/>
      <c r="Q4380" s="7" t="inlineStr"/>
      <c r="R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8" t="n"/>
      <c r="N4381" s="7" t="inlineStr">
        <is>
          <t>SEM COTAÇÃO</t>
        </is>
      </c>
      <c r="O4381" s="8" t="n"/>
      <c r="P4381" s="14" t="n"/>
      <c r="Q4381" s="7" t="inlineStr"/>
      <c r="R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8" t="n"/>
      <c r="N4382" s="7" t="inlineStr">
        <is>
          <t>SEM COTAÇÃO</t>
        </is>
      </c>
      <c r="O4382" s="8" t="n"/>
      <c r="P4382" s="14" t="n"/>
      <c r="Q4382" s="7" t="inlineStr"/>
      <c r="R4382" s="7" t="inlineStr"/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8" t="n"/>
      <c r="N4383" s="7" t="inlineStr">
        <is>
          <t>SEM COTAÇÃO</t>
        </is>
      </c>
      <c r="O4383" s="8" t="n"/>
      <c r="P4383" s="14" t="n"/>
      <c r="Q4383" s="7" t="inlineStr"/>
      <c r="R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8" t="n"/>
      <c r="N4384" s="7" t="inlineStr">
        <is>
          <t>SEM COTAÇÃO</t>
        </is>
      </c>
      <c r="O4384" s="8" t="n"/>
      <c r="P4384" s="14" t="n"/>
      <c r="Q4384" s="7" t="inlineStr"/>
      <c r="R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8" t="n"/>
      <c r="N4385" s="7" t="inlineStr">
        <is>
          <t>SEM COTAÇÃO</t>
        </is>
      </c>
      <c r="O4385" s="8" t="n"/>
      <c r="P4385" s="14" t="n"/>
      <c r="Q4385" s="7" t="inlineStr"/>
      <c r="R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8" t="n"/>
      <c r="N4386" s="7" t="inlineStr">
        <is>
          <t>SEM COTAÇÃO</t>
        </is>
      </c>
      <c r="O4386" s="8" t="n"/>
      <c r="P4386" s="14" t="n"/>
      <c r="Q4386" s="7" t="inlineStr"/>
      <c r="R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8" t="n"/>
      <c r="N4387" s="7" t="inlineStr">
        <is>
          <t>SEM COTAÇÃO</t>
        </is>
      </c>
      <c r="O4387" s="8" t="n"/>
      <c r="P4387" s="14" t="n"/>
      <c r="Q4387" s="7" t="inlineStr"/>
      <c r="R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8" t="n"/>
      <c r="N4388" s="7" t="inlineStr">
        <is>
          <t>SEM COTAÇÃO</t>
        </is>
      </c>
      <c r="O4388" s="8" t="n"/>
      <c r="P4388" s="14" t="n"/>
      <c r="Q4388" s="7" t="inlineStr"/>
      <c r="R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8" t="n"/>
      <c r="N4389" s="7" t="inlineStr">
        <is>
          <t>SEM COTAÇÃO</t>
        </is>
      </c>
      <c r="O4389" s="8" t="n"/>
      <c r="P4389" s="14" t="n"/>
      <c r="Q4389" s="7" t="inlineStr"/>
      <c r="R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8" t="n"/>
      <c r="N4390" s="7" t="inlineStr">
        <is>
          <t>SEM COTAÇÃO</t>
        </is>
      </c>
      <c r="O4390" s="8" t="n"/>
      <c r="P4390" s="14" t="n"/>
      <c r="Q4390" s="7" t="inlineStr"/>
      <c r="R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8" t="n"/>
      <c r="N4391" s="7" t="inlineStr">
        <is>
          <t>SEM COTAÇÃO</t>
        </is>
      </c>
      <c r="O4391" s="8" t="n"/>
      <c r="P4391" s="14" t="n"/>
      <c r="Q4391" s="7" t="inlineStr"/>
      <c r="R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8" t="n"/>
      <c r="N4392" s="7" t="inlineStr">
        <is>
          <t>SEM COTAÇÃO</t>
        </is>
      </c>
      <c r="O4392" s="8" t="n"/>
      <c r="P4392" s="14" t="n"/>
      <c r="Q4392" s="7" t="inlineStr"/>
      <c r="R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8" t="n"/>
      <c r="N4393" s="7" t="inlineStr">
        <is>
          <t>SEM COTAÇÃO</t>
        </is>
      </c>
      <c r="O4393" s="8" t="n"/>
      <c r="P4393" s="14" t="n"/>
      <c r="Q4393" s="7" t="inlineStr"/>
      <c r="R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8" t="n"/>
      <c r="N4394" s="7" t="inlineStr">
        <is>
          <t>SEM COTAÇÃO</t>
        </is>
      </c>
      <c r="O4394" s="8" t="n"/>
      <c r="P4394" s="14" t="n"/>
      <c r="Q4394" s="7" t="inlineStr"/>
      <c r="R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8" t="n"/>
      <c r="N4395" s="7" t="inlineStr">
        <is>
          <t>SEM COTAÇÃO</t>
        </is>
      </c>
      <c r="O4395" s="8" t="n"/>
      <c r="P4395" s="14" t="n"/>
      <c r="Q4395" s="7" t="inlineStr"/>
      <c r="R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8" t="n"/>
      <c r="N4396" s="7" t="inlineStr">
        <is>
          <t>SEM COTAÇÃO</t>
        </is>
      </c>
      <c r="O4396" s="8" t="n"/>
      <c r="P4396" s="14" t="n"/>
      <c r="Q4396" s="7" t="inlineStr"/>
      <c r="R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8" t="n"/>
      <c r="N4397" s="7" t="inlineStr">
        <is>
          <t>SEM COTAÇÃO</t>
        </is>
      </c>
      <c r="O4397" s="8" t="n"/>
      <c r="P4397" s="14" t="n"/>
      <c r="Q4397" s="7" t="inlineStr"/>
      <c r="R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8" t="n"/>
      <c r="N4398" s="7" t="inlineStr">
        <is>
          <t>SEM COTAÇÃO</t>
        </is>
      </c>
      <c r="O4398" s="8" t="n"/>
      <c r="P4398" s="14" t="n"/>
      <c r="Q4398" s="7" t="inlineStr"/>
      <c r="R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8" t="n"/>
      <c r="N4399" s="7" t="inlineStr">
        <is>
          <t>SEM COTAÇÃO</t>
        </is>
      </c>
      <c r="O4399" s="8" t="n"/>
      <c r="P4399" s="14" t="n"/>
      <c r="Q4399" s="7" t="inlineStr"/>
      <c r="R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8" t="n"/>
      <c r="N4400" s="7" t="inlineStr">
        <is>
          <t>SEM COTAÇÃO</t>
        </is>
      </c>
      <c r="O4400" s="8" t="n"/>
      <c r="P4400" s="14" t="n"/>
      <c r="Q4400" s="7" t="inlineStr"/>
      <c r="R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8" t="n"/>
      <c r="N4401" s="7" t="inlineStr">
        <is>
          <t>SEM COTAÇÃO</t>
        </is>
      </c>
      <c r="O4401" s="8" t="n"/>
      <c r="P4401" s="14" t="n"/>
      <c r="Q4401" s="7" t="inlineStr"/>
      <c r="R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8" t="n"/>
      <c r="N4402" s="7" t="inlineStr">
        <is>
          <t>SEM COTAÇÃO</t>
        </is>
      </c>
      <c r="O4402" s="8" t="n"/>
      <c r="P4402" s="14" t="n"/>
      <c r="Q4402" s="7" t="inlineStr"/>
      <c r="R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8" t="n"/>
      <c r="N4403" s="7" t="inlineStr">
        <is>
          <t>SEM COTAÇÃO</t>
        </is>
      </c>
      <c r="O4403" s="8" t="n"/>
      <c r="P4403" s="14" t="n"/>
      <c r="Q4403" s="7" t="inlineStr"/>
      <c r="R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8" t="n"/>
      <c r="N4404" s="7" t="inlineStr">
        <is>
          <t>SEM COTAÇÃO</t>
        </is>
      </c>
      <c r="O4404" s="8" t="n"/>
      <c r="P4404" s="14" t="n"/>
      <c r="Q4404" s="7" t="inlineStr"/>
      <c r="R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8" t="n"/>
      <c r="N4405" s="7" t="inlineStr">
        <is>
          <t>SEM COTAÇÃO</t>
        </is>
      </c>
      <c r="O4405" s="8" t="n"/>
      <c r="P4405" s="14" t="n"/>
      <c r="Q4405" s="7" t="inlineStr"/>
      <c r="R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8" t="n"/>
      <c r="N4406" s="7" t="inlineStr">
        <is>
          <t>SEM COTAÇÃO</t>
        </is>
      </c>
      <c r="O4406" s="8" t="n"/>
      <c r="P4406" s="14" t="n"/>
      <c r="Q4406" s="7" t="inlineStr"/>
      <c r="R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8" t="n"/>
      <c r="N4407" s="7" t="inlineStr">
        <is>
          <t>SEM COTAÇÃO</t>
        </is>
      </c>
      <c r="O4407" s="8" t="n"/>
      <c r="P4407" s="14" t="n"/>
      <c r="Q4407" s="7" t="inlineStr"/>
      <c r="R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8" t="n"/>
      <c r="N4408" s="7" t="inlineStr">
        <is>
          <t>SEM COTAÇÃO</t>
        </is>
      </c>
      <c r="O4408" s="8" t="n"/>
      <c r="P4408" s="14" t="n"/>
      <c r="Q4408" s="7" t="inlineStr"/>
      <c r="R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8" t="n"/>
      <c r="N4409" s="7" t="inlineStr">
        <is>
          <t>SEM COTAÇÃO</t>
        </is>
      </c>
      <c r="O4409" s="8" t="n"/>
      <c r="P4409" s="14" t="n"/>
      <c r="Q4409" s="7" t="inlineStr"/>
      <c r="R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8" t="n">
        <v>4.58</v>
      </c>
      <c r="N4410" s="7" t="inlineStr">
        <is>
          <t>DIMEC</t>
        </is>
      </c>
      <c r="O4410" s="8" t="n">
        <v>4.31</v>
      </c>
      <c r="P4410" s="14">
        <f>O4410/H4410-1</f>
        <v/>
      </c>
      <c r="Q4410" s="17" t="inlineStr">
        <is>
          <t>OK (≤ menor hist.)</t>
        </is>
      </c>
      <c r="R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8" t="n"/>
      <c r="N4411" s="7" t="inlineStr">
        <is>
          <t>SEM COTAÇÃO</t>
        </is>
      </c>
      <c r="O4411" s="8" t="n"/>
      <c r="P4411" s="14" t="n"/>
      <c r="Q4411" s="7" t="inlineStr"/>
      <c r="R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8" t="n"/>
      <c r="N4412" s="7" t="inlineStr">
        <is>
          <t>SEM COTAÇÃO</t>
        </is>
      </c>
      <c r="O4412" s="8" t="n"/>
      <c r="P4412" s="14" t="n"/>
      <c r="Q4412" s="7" t="inlineStr"/>
      <c r="R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8" t="n"/>
      <c r="N4413" s="7" t="inlineStr">
        <is>
          <t>SEM COTAÇÃO</t>
        </is>
      </c>
      <c r="O4413" s="8" t="n"/>
      <c r="P4413" s="14" t="n"/>
      <c r="Q4413" s="7" t="inlineStr"/>
      <c r="R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15" t="n">
        <v>52.58</v>
      </c>
      <c r="N4414" s="7" t="inlineStr">
        <is>
          <t>CENTROFARMA</t>
        </is>
      </c>
      <c r="O4414" s="8" t="n">
        <v>52.58</v>
      </c>
      <c r="P4414" s="14">
        <f>O4414/H4414-1</f>
        <v/>
      </c>
      <c r="Q4414" s="16" t="inlineStr">
        <is>
          <t>ACIMA +6.1%</t>
        </is>
      </c>
      <c r="R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8" t="n">
        <v>54.55</v>
      </c>
      <c r="N4415" s="7" t="inlineStr">
        <is>
          <t>EPAN</t>
        </is>
      </c>
      <c r="O4415" s="8" t="n">
        <v>39.88</v>
      </c>
      <c r="P4415" s="14">
        <f>O4415/H4415-1</f>
        <v/>
      </c>
      <c r="Q4415" s="17" t="inlineStr">
        <is>
          <t>OK (≤ menor hist.)</t>
        </is>
      </c>
      <c r="R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8" t="n"/>
      <c r="N4416" s="7" t="inlineStr">
        <is>
          <t>PLUSFARMA</t>
        </is>
      </c>
      <c r="O4416" s="8" t="n">
        <v>29.9</v>
      </c>
      <c r="P4416" s="14">
        <f>O4416/H4416-1</f>
        <v/>
      </c>
      <c r="Q4416" s="17" t="inlineStr">
        <is>
          <t>OK (≤ menor hist.)</t>
        </is>
      </c>
      <c r="R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8" t="n">
        <v>68.90000000000001</v>
      </c>
      <c r="N4417" s="7" t="inlineStr">
        <is>
          <t>EPAN</t>
        </is>
      </c>
      <c r="O4417" s="8" t="n">
        <v>52.34</v>
      </c>
      <c r="P4417" s="14">
        <f>O4417/H4417-1</f>
        <v/>
      </c>
      <c r="Q4417" s="16" t="inlineStr">
        <is>
          <t>ACIMA +1.4%</t>
        </is>
      </c>
      <c r="R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8" t="n"/>
      <c r="N4418" s="7" t="inlineStr">
        <is>
          <t>SEM COTAÇÃO</t>
        </is>
      </c>
      <c r="O4418" s="8" t="n"/>
      <c r="P4418" s="14" t="n"/>
      <c r="Q4418" s="7" t="inlineStr"/>
      <c r="R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8" t="n"/>
      <c r="N4419" s="7" t="inlineStr">
        <is>
          <t>EPAN</t>
        </is>
      </c>
      <c r="O4419" s="8" t="n">
        <v>175.73</v>
      </c>
      <c r="P4419" s="14">
        <f>O4419/H4419-1</f>
        <v/>
      </c>
      <c r="Q4419" s="16" t="inlineStr">
        <is>
          <t>ACIMA +170.4%</t>
        </is>
      </c>
      <c r="R4419" s="7" t="inlineStr">
        <is>
          <t>EPAN: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8" t="n"/>
      <c r="N4420" s="7" t="inlineStr">
        <is>
          <t>SEM COTAÇÃO</t>
        </is>
      </c>
      <c r="O4420" s="8" t="n"/>
      <c r="P4420" s="14" t="n"/>
      <c r="Q4420" s="7" t="inlineStr"/>
      <c r="R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8" t="n"/>
      <c r="N4421" s="7" t="inlineStr">
        <is>
          <t>SEM COTAÇÃO</t>
        </is>
      </c>
      <c r="O4421" s="8" t="n"/>
      <c r="P4421" s="14" t="n"/>
      <c r="Q4421" s="7" t="inlineStr"/>
      <c r="R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8" t="n"/>
      <c r="N4422" s="7" t="inlineStr">
        <is>
          <t>SEM COTAÇÃO</t>
        </is>
      </c>
      <c r="O4422" s="8" t="n"/>
      <c r="P4422" s="14" t="n"/>
      <c r="Q4422" s="7" t="inlineStr"/>
      <c r="R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8" t="n"/>
      <c r="N4423" s="7" t="inlineStr">
        <is>
          <t>SEM COTAÇÃO</t>
        </is>
      </c>
      <c r="O4423" s="8" t="n"/>
      <c r="P4423" s="14" t="n"/>
      <c r="Q4423" s="7" t="inlineStr"/>
      <c r="R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8" t="n"/>
      <c r="N4424" s="7" t="inlineStr">
        <is>
          <t>SEM COTAÇÃO</t>
        </is>
      </c>
      <c r="O4424" s="8" t="n"/>
      <c r="P4424" s="14" t="n"/>
      <c r="Q4424" s="7" t="inlineStr"/>
      <c r="R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8" t="n"/>
      <c r="N4425" s="7" t="inlineStr">
        <is>
          <t>SEM COTAÇÃO</t>
        </is>
      </c>
      <c r="O4425" s="8" t="n"/>
      <c r="P4425" s="14" t="n"/>
      <c r="Q4425" s="7" t="inlineStr"/>
      <c r="R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8" t="n"/>
      <c r="N4426" s="7" t="inlineStr">
        <is>
          <t>SEM COTAÇÃO</t>
        </is>
      </c>
      <c r="O4426" s="8" t="n"/>
      <c r="P4426" s="14" t="n"/>
      <c r="Q4426" s="7" t="inlineStr"/>
      <c r="R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8" t="n"/>
      <c r="N4427" s="7" t="inlineStr">
        <is>
          <t>SEM COTAÇÃO</t>
        </is>
      </c>
      <c r="O4427" s="8" t="n"/>
      <c r="P4427" s="14" t="n"/>
      <c r="Q4427" s="7" t="inlineStr"/>
      <c r="R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8" t="n"/>
      <c r="N4428" s="7" t="inlineStr">
        <is>
          <t>SEM COTAÇÃO</t>
        </is>
      </c>
      <c r="O4428" s="8" t="n"/>
      <c r="P4428" s="14" t="n"/>
      <c r="Q4428" s="7" t="inlineStr"/>
      <c r="R4428" s="7" t="inlineStr"/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8" t="n"/>
      <c r="N4429" s="7" t="inlineStr">
        <is>
          <t>SEM COTAÇÃO</t>
        </is>
      </c>
      <c r="O4429" s="8" t="n"/>
      <c r="P4429" s="14" t="n"/>
      <c r="Q4429" s="7" t="inlineStr"/>
      <c r="R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8" t="n"/>
      <c r="N4430" s="7" t="inlineStr">
        <is>
          <t>SEM COTAÇÃO</t>
        </is>
      </c>
      <c r="O4430" s="8" t="n"/>
      <c r="P4430" s="14" t="n"/>
      <c r="Q4430" s="7" t="inlineStr"/>
      <c r="R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8" t="n"/>
      <c r="N4431" s="7" t="inlineStr">
        <is>
          <t>SEM COTAÇÃO</t>
        </is>
      </c>
      <c r="O4431" s="8" t="n"/>
      <c r="P4431" s="14" t="n"/>
      <c r="Q4431" s="7" t="inlineStr"/>
      <c r="R4431" s="7" t="inlineStr"/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8" t="n"/>
      <c r="N4432" s="7" t="inlineStr">
        <is>
          <t>SEM COTAÇÃO</t>
        </is>
      </c>
      <c r="O4432" s="8" t="n"/>
      <c r="P4432" s="14" t="n"/>
      <c r="Q4432" s="7" t="inlineStr"/>
      <c r="R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8" t="n"/>
      <c r="N4433" s="7" t="inlineStr">
        <is>
          <t>SEM COTAÇÃO</t>
        </is>
      </c>
      <c r="O4433" s="8" t="n"/>
      <c r="P4433" s="14" t="n"/>
      <c r="Q4433" s="7" t="inlineStr"/>
      <c r="R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8" t="n"/>
      <c r="N4434" s="7" t="inlineStr">
        <is>
          <t>SEM COTAÇÃO</t>
        </is>
      </c>
      <c r="O4434" s="8" t="n"/>
      <c r="P4434" s="14" t="n"/>
      <c r="Q4434" s="7" t="inlineStr"/>
      <c r="R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8" t="n"/>
      <c r="N4435" s="7" t="inlineStr">
        <is>
          <t>SEM COTAÇÃO</t>
        </is>
      </c>
      <c r="O4435" s="8" t="n"/>
      <c r="P4435" s="14" t="n"/>
      <c r="Q4435" s="7" t="inlineStr"/>
      <c r="R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8" t="n"/>
      <c r="N4436" s="7" t="inlineStr">
        <is>
          <t>SEM COTAÇÃO</t>
        </is>
      </c>
      <c r="O4436" s="8" t="n"/>
      <c r="P4436" s="14" t="n"/>
      <c r="Q4436" s="7" t="inlineStr"/>
      <c r="R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8" t="n"/>
      <c r="N4437" s="7" t="inlineStr">
        <is>
          <t>SEM COTAÇÃO</t>
        </is>
      </c>
      <c r="O4437" s="8" t="n"/>
      <c r="P4437" s="14" t="n"/>
      <c r="Q4437" s="7" t="inlineStr"/>
      <c r="R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8" t="n"/>
      <c r="N4438" s="7" t="inlineStr">
        <is>
          <t>SEM COTAÇÃO</t>
        </is>
      </c>
      <c r="O4438" s="8" t="n"/>
      <c r="P4438" s="14" t="n"/>
      <c r="Q4438" s="7" t="inlineStr"/>
      <c r="R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8" t="n"/>
      <c r="N4439" s="7" t="inlineStr">
        <is>
          <t>SEM COTAÇÃO</t>
        </is>
      </c>
      <c r="O4439" s="8" t="n"/>
      <c r="P4439" s="14" t="n"/>
      <c r="Q4439" s="7" t="inlineStr"/>
      <c r="R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8" t="n"/>
      <c r="N4440" s="7" t="inlineStr">
        <is>
          <t>SEM COTAÇÃO</t>
        </is>
      </c>
      <c r="O4440" s="8" t="n"/>
      <c r="P4440" s="14" t="n"/>
      <c r="Q4440" s="7" t="inlineStr"/>
      <c r="R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8" t="n"/>
      <c r="N4441" s="7" t="inlineStr">
        <is>
          <t>SEM COTAÇÃO</t>
        </is>
      </c>
      <c r="O4441" s="8" t="n"/>
      <c r="P4441" s="14" t="n"/>
      <c r="Q4441" s="7" t="inlineStr"/>
      <c r="R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8" t="n"/>
      <c r="N4442" s="7" t="inlineStr">
        <is>
          <t>SEM COTAÇÃO</t>
        </is>
      </c>
      <c r="O4442" s="8" t="n"/>
      <c r="P4442" s="14" t="n"/>
      <c r="Q4442" s="7" t="inlineStr"/>
      <c r="R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8" t="n"/>
      <c r="N4443" s="7" t="inlineStr">
        <is>
          <t>SEM COTAÇÃO</t>
        </is>
      </c>
      <c r="O4443" s="8" t="n"/>
      <c r="P4443" s="14" t="n"/>
      <c r="Q4443" s="7" t="inlineStr"/>
      <c r="R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7" t="inlineStr">
        <is>
          <t>SEM COTAÇÃO</t>
        </is>
      </c>
      <c r="O4444" s="8" t="n"/>
      <c r="P4444" s="14" t="n"/>
      <c r="Q4444" s="7" t="inlineStr"/>
      <c r="R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8" t="n"/>
      <c r="N4445" s="7" t="inlineStr">
        <is>
          <t>SEM COTAÇÃO</t>
        </is>
      </c>
      <c r="O4445" s="8" t="n"/>
      <c r="P4445" s="14" t="n"/>
      <c r="Q4445" s="7" t="inlineStr"/>
      <c r="R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8" t="n"/>
      <c r="N4446" s="7" t="inlineStr">
        <is>
          <t>SEM COTAÇÃO</t>
        </is>
      </c>
      <c r="O4446" s="8" t="n"/>
      <c r="P4446" s="14" t="n"/>
      <c r="Q4446" s="7" t="inlineStr"/>
      <c r="R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8" t="n"/>
      <c r="N4447" s="7" t="inlineStr">
        <is>
          <t>EPAN</t>
        </is>
      </c>
      <c r="O4447" s="8" t="n">
        <v>26.08</v>
      </c>
      <c r="P4447" s="14">
        <f>O4447/H4447-1</f>
        <v/>
      </c>
      <c r="Q4447" s="17" t="inlineStr">
        <is>
          <t>OK (≤ últ. compra)</t>
        </is>
      </c>
      <c r="R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8" t="n"/>
      <c r="N4448" s="7" t="inlineStr">
        <is>
          <t>SEM COTAÇÃO</t>
        </is>
      </c>
      <c r="O4448" s="8" t="n"/>
      <c r="P4448" s="14" t="n"/>
      <c r="Q4448" s="7" t="inlineStr"/>
      <c r="R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8" t="n"/>
      <c r="N4449" s="7" t="inlineStr">
        <is>
          <t>SEM COTAÇÃO</t>
        </is>
      </c>
      <c r="O4449" s="8" t="n"/>
      <c r="P4449" s="14" t="n"/>
      <c r="Q4449" s="7" t="inlineStr"/>
      <c r="R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8" t="n"/>
      <c r="N4450" s="7" t="inlineStr">
        <is>
          <t>SEM COTAÇÃO</t>
        </is>
      </c>
      <c r="O4450" s="8" t="n"/>
      <c r="P4450" s="14" t="n"/>
      <c r="Q4450" s="7" t="inlineStr"/>
      <c r="R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8" t="n"/>
      <c r="N4451" s="7" t="inlineStr">
        <is>
          <t>SEM COTAÇÃO</t>
        </is>
      </c>
      <c r="O4451" s="8" t="n"/>
      <c r="P4451" s="14" t="n"/>
      <c r="Q4451" s="7" t="inlineStr"/>
      <c r="R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8" t="n"/>
      <c r="N4452" s="7" t="inlineStr">
        <is>
          <t>SEM COTAÇÃO</t>
        </is>
      </c>
      <c r="O4452" s="8" t="n"/>
      <c r="P4452" s="14" t="n"/>
      <c r="Q4452" s="7" t="inlineStr"/>
      <c r="R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8" t="n"/>
      <c r="N4453" s="7" t="inlineStr">
        <is>
          <t>SEM COTAÇÃO</t>
        </is>
      </c>
      <c r="O4453" s="8" t="n"/>
      <c r="P4453" s="14" t="n"/>
      <c r="Q4453" s="7" t="inlineStr"/>
      <c r="R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8" t="n"/>
      <c r="N4454" s="7" t="inlineStr">
        <is>
          <t>SEM COTAÇÃO</t>
        </is>
      </c>
      <c r="O4454" s="8" t="n"/>
      <c r="P4454" s="14" t="n"/>
      <c r="Q4454" s="7" t="inlineStr"/>
      <c r="R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8" t="n"/>
      <c r="N4455" s="7" t="inlineStr">
        <is>
          <t>SEM COTAÇÃO</t>
        </is>
      </c>
      <c r="O4455" s="8" t="n"/>
      <c r="P4455" s="14" t="n"/>
      <c r="Q4455" s="7" t="inlineStr"/>
      <c r="R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8" t="n"/>
      <c r="N4456" s="7" t="inlineStr">
        <is>
          <t>DIMEC</t>
        </is>
      </c>
      <c r="O4456" s="8" t="n">
        <v>35.81</v>
      </c>
      <c r="P4456" s="14">
        <f>O4456/H4456-1</f>
        <v/>
      </c>
      <c r="Q4456" s="17" t="inlineStr">
        <is>
          <t>OK (≤ menor hist.)</t>
        </is>
      </c>
      <c r="R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8" t="n"/>
      <c r="N4457" s="7" t="inlineStr">
        <is>
          <t>SEM COTAÇÃO</t>
        </is>
      </c>
      <c r="O4457" s="8" t="n"/>
      <c r="P4457" s="14" t="n"/>
      <c r="Q4457" s="7" t="inlineStr"/>
      <c r="R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8" t="n"/>
      <c r="N4458" s="7" t="inlineStr">
        <is>
          <t>SEM COTAÇÃO</t>
        </is>
      </c>
      <c r="O4458" s="8" t="n"/>
      <c r="P4458" s="14" t="n"/>
      <c r="Q4458" s="7" t="inlineStr"/>
      <c r="R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8" t="n"/>
      <c r="N4459" s="7" t="inlineStr">
        <is>
          <t>SEM COTAÇÃO</t>
        </is>
      </c>
      <c r="O4459" s="8" t="n"/>
      <c r="P4459" s="14" t="n"/>
      <c r="Q4459" s="7" t="inlineStr"/>
      <c r="R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8" t="n"/>
      <c r="N4460" s="7" t="inlineStr">
        <is>
          <t>SEM COTAÇÃO</t>
        </is>
      </c>
      <c r="O4460" s="8" t="n"/>
      <c r="P4460" s="14" t="n"/>
      <c r="Q4460" s="7" t="inlineStr"/>
      <c r="R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8" t="n"/>
      <c r="N4461" s="7" t="inlineStr">
        <is>
          <t>SEM COTAÇÃO</t>
        </is>
      </c>
      <c r="O4461" s="8" t="n"/>
      <c r="P4461" s="14" t="n"/>
      <c r="Q4461" s="7" t="inlineStr"/>
      <c r="R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8" t="n"/>
      <c r="N4462" s="7" t="inlineStr">
        <is>
          <t>SEM COTAÇÃO</t>
        </is>
      </c>
      <c r="O4462" s="8" t="n"/>
      <c r="P4462" s="14" t="n"/>
      <c r="Q4462" s="7" t="inlineStr"/>
      <c r="R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8" t="n"/>
      <c r="N4463" s="7" t="inlineStr">
        <is>
          <t>SEM COTAÇÃO</t>
        </is>
      </c>
      <c r="O4463" s="8" t="n"/>
      <c r="P4463" s="14" t="n"/>
      <c r="Q4463" s="7" t="inlineStr"/>
      <c r="R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8" t="n"/>
      <c r="N4464" s="7" t="inlineStr">
        <is>
          <t>SEM COTAÇÃO</t>
        </is>
      </c>
      <c r="O4464" s="8" t="n"/>
      <c r="P4464" s="14" t="n"/>
      <c r="Q4464" s="7" t="inlineStr"/>
      <c r="R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8" t="n"/>
      <c r="N4465" s="7" t="inlineStr">
        <is>
          <t>SEM COTAÇÃO</t>
        </is>
      </c>
      <c r="O4465" s="8" t="n"/>
      <c r="P4465" s="14" t="n"/>
      <c r="Q4465" s="7" t="inlineStr"/>
      <c r="R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8" t="n"/>
      <c r="N4466" s="7" t="inlineStr">
        <is>
          <t>SEM COTAÇÃO</t>
        </is>
      </c>
      <c r="O4466" s="8" t="n"/>
      <c r="P4466" s="14" t="n"/>
      <c r="Q4466" s="7" t="inlineStr"/>
      <c r="R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8" t="n"/>
      <c r="N4467" s="7" t="inlineStr">
        <is>
          <t>SEM COTAÇÃO</t>
        </is>
      </c>
      <c r="O4467" s="8" t="n"/>
      <c r="P4467" s="14" t="n"/>
      <c r="Q4467" s="7" t="inlineStr"/>
      <c r="R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8" t="n"/>
      <c r="N4468" s="7" t="inlineStr">
        <is>
          <t>SEM COTAÇÃO</t>
        </is>
      </c>
      <c r="O4468" s="8" t="n"/>
      <c r="P4468" s="14" t="n"/>
      <c r="Q4468" s="7" t="inlineStr"/>
      <c r="R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8" t="n"/>
      <c r="N4469" s="7" t="inlineStr">
        <is>
          <t>SEM COTAÇÃO</t>
        </is>
      </c>
      <c r="O4469" s="8" t="n"/>
      <c r="P4469" s="14" t="n"/>
      <c r="Q4469" s="7" t="inlineStr"/>
      <c r="R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8" t="n"/>
      <c r="N4470" s="7" t="inlineStr">
        <is>
          <t>SEM COTAÇÃO</t>
        </is>
      </c>
      <c r="O4470" s="8" t="n"/>
      <c r="P4470" s="14" t="n"/>
      <c r="Q4470" s="7" t="inlineStr"/>
      <c r="R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8" t="n"/>
      <c r="N4471" s="7" t="inlineStr">
        <is>
          <t>SEM COTAÇÃO</t>
        </is>
      </c>
      <c r="O4471" s="8" t="n"/>
      <c r="P4471" s="14" t="n"/>
      <c r="Q4471" s="7" t="inlineStr"/>
      <c r="R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8" t="n"/>
      <c r="N4472" s="7" t="inlineStr">
        <is>
          <t>SEM COTAÇÃO</t>
        </is>
      </c>
      <c r="O4472" s="8" t="n"/>
      <c r="P4472" s="14" t="n"/>
      <c r="Q4472" s="7" t="inlineStr"/>
      <c r="R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8" t="n"/>
      <c r="N4473" s="7" t="inlineStr">
        <is>
          <t>SEM COTAÇÃO</t>
        </is>
      </c>
      <c r="O4473" s="8" t="n"/>
      <c r="P4473" s="14" t="n"/>
      <c r="Q4473" s="7" t="inlineStr"/>
      <c r="R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8" t="n"/>
      <c r="N4474" s="7" t="inlineStr">
        <is>
          <t>SEM COTAÇÃO</t>
        </is>
      </c>
      <c r="O4474" s="8" t="n"/>
      <c r="P4474" s="14" t="n"/>
      <c r="Q4474" s="7" t="inlineStr"/>
      <c r="R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8" t="n"/>
      <c r="N4475" s="7" t="inlineStr">
        <is>
          <t>SEM COTAÇÃO</t>
        </is>
      </c>
      <c r="O4475" s="8" t="n"/>
      <c r="P4475" s="14" t="n"/>
      <c r="Q4475" s="7" t="inlineStr"/>
      <c r="R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8" t="n"/>
      <c r="N4476" s="7" t="inlineStr">
        <is>
          <t>SEM COTAÇÃO</t>
        </is>
      </c>
      <c r="O4476" s="8" t="n"/>
      <c r="P4476" s="14" t="n"/>
      <c r="Q4476" s="7" t="inlineStr"/>
      <c r="R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8" t="n"/>
      <c r="N4477" s="7" t="inlineStr">
        <is>
          <t>SEM COTAÇÃO</t>
        </is>
      </c>
      <c r="O4477" s="8" t="n"/>
      <c r="P4477" s="14" t="n"/>
      <c r="Q4477" s="7" t="inlineStr"/>
      <c r="R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8" t="n"/>
      <c r="N4478" s="7" t="inlineStr">
        <is>
          <t>SEM COTAÇÃO</t>
        </is>
      </c>
      <c r="O4478" s="8" t="n"/>
      <c r="P4478" s="14" t="n"/>
      <c r="Q4478" s="7" t="inlineStr"/>
      <c r="R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8" t="n"/>
      <c r="N4479" s="7" t="inlineStr">
        <is>
          <t>DIMEC</t>
        </is>
      </c>
      <c r="O4479" s="8" t="n">
        <v>22.59</v>
      </c>
      <c r="P4479" s="14">
        <f>O4479/H4479-1</f>
        <v/>
      </c>
      <c r="Q4479" s="16" t="inlineStr">
        <is>
          <t>ACIMA +37.9%</t>
        </is>
      </c>
      <c r="R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8" t="n"/>
      <c r="N4480" s="7" t="inlineStr">
        <is>
          <t>SEM COTAÇÃO</t>
        </is>
      </c>
      <c r="O4480" s="8" t="n"/>
      <c r="P4480" s="14" t="n"/>
      <c r="Q4480" s="7" t="inlineStr"/>
      <c r="R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8" t="n"/>
      <c r="N4481" s="7" t="inlineStr">
        <is>
          <t>SEM COTAÇÃO</t>
        </is>
      </c>
      <c r="O4481" s="8" t="n"/>
      <c r="P4481" s="14" t="n"/>
      <c r="Q4481" s="7" t="inlineStr"/>
      <c r="R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8" t="n"/>
      <c r="N4482" s="7" t="inlineStr">
        <is>
          <t>SEM COTAÇÃO</t>
        </is>
      </c>
      <c r="O4482" s="8" t="n"/>
      <c r="P4482" s="14" t="n"/>
      <c r="Q4482" s="7" t="inlineStr"/>
      <c r="R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8" t="n"/>
      <c r="N4483" s="7" t="inlineStr">
        <is>
          <t>SEM COTAÇÃO</t>
        </is>
      </c>
      <c r="O4483" s="8" t="n"/>
      <c r="P4483" s="14" t="n"/>
      <c r="Q4483" s="7" t="inlineStr"/>
      <c r="R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15" t="n">
        <v>73.68000000000001</v>
      </c>
      <c r="M4484" s="8" t="n"/>
      <c r="N4484" s="7" t="inlineStr">
        <is>
          <t>EPAN</t>
        </is>
      </c>
      <c r="O4484" s="8" t="n">
        <v>73.68000000000001</v>
      </c>
      <c r="P4484" s="14">
        <f>O4484/H4484-1</f>
        <v/>
      </c>
      <c r="Q4484" s="16" t="inlineStr">
        <is>
          <t>ACIMA +0.0%</t>
        </is>
      </c>
      <c r="R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15" t="n">
        <v>15.42</v>
      </c>
      <c r="M4485" s="8" t="n"/>
      <c r="N4485" s="7" t="inlineStr">
        <is>
          <t>EPAN</t>
        </is>
      </c>
      <c r="O4485" s="8" t="n">
        <v>15.42</v>
      </c>
      <c r="P4485" s="14">
        <f>O4485/H4485-1</f>
        <v/>
      </c>
      <c r="Q4485" s="17" t="inlineStr">
        <is>
          <t>OK (≤ últ. compra)</t>
        </is>
      </c>
      <c r="R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8" t="n"/>
      <c r="N4486" s="7" t="inlineStr">
        <is>
          <t>SEM COTAÇÃO</t>
        </is>
      </c>
      <c r="O4486" s="8" t="n"/>
      <c r="P4486" s="14" t="n"/>
      <c r="Q4486" s="7" t="inlineStr"/>
      <c r="R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15" t="n">
        <v>31.85</v>
      </c>
      <c r="M4487" s="8" t="n"/>
      <c r="N4487" s="7" t="inlineStr">
        <is>
          <t>EPAN</t>
        </is>
      </c>
      <c r="O4487" s="8" t="n">
        <v>31.85</v>
      </c>
      <c r="P4487" s="14">
        <f>O4487/H4487-1</f>
        <v/>
      </c>
      <c r="Q4487" s="17" t="inlineStr">
        <is>
          <t>OK (≤ últ. compra)</t>
        </is>
      </c>
      <c r="R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8" t="n"/>
      <c r="N4488" s="7" t="inlineStr">
        <is>
          <t>SEM COTAÇÃO</t>
        </is>
      </c>
      <c r="O4488" s="8" t="n"/>
      <c r="P4488" s="14" t="n"/>
      <c r="Q4488" s="7" t="inlineStr"/>
      <c r="R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8" t="n"/>
      <c r="N4489" s="7" t="inlineStr">
        <is>
          <t>EPAN</t>
        </is>
      </c>
      <c r="O4489" s="8" t="n">
        <v>32.62</v>
      </c>
      <c r="P4489" s="14">
        <f>O4489/H4489-1</f>
        <v/>
      </c>
      <c r="Q4489" s="17" t="inlineStr">
        <is>
          <t>OK (≤ últ. compra)</t>
        </is>
      </c>
      <c r="R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8" t="n"/>
      <c r="N4490" s="7" t="inlineStr">
        <is>
          <t>SEM COTAÇÃO</t>
        </is>
      </c>
      <c r="O4490" s="8" t="n"/>
      <c r="P4490" s="14" t="n"/>
      <c r="Q4490" s="7" t="inlineStr"/>
      <c r="R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8" t="n"/>
      <c r="N4491" s="7" t="inlineStr">
        <is>
          <t>SEM COTAÇÃO</t>
        </is>
      </c>
      <c r="O4491" s="8" t="n"/>
      <c r="P4491" s="14" t="n"/>
      <c r="Q4491" s="7" t="inlineStr"/>
      <c r="R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8" t="n"/>
      <c r="N4492" s="7" t="inlineStr">
        <is>
          <t>SEM COTAÇÃO</t>
        </is>
      </c>
      <c r="O4492" s="8" t="n"/>
      <c r="P4492" s="14" t="n"/>
      <c r="Q4492" s="7" t="inlineStr"/>
      <c r="R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8" t="n"/>
      <c r="N4493" s="7" t="inlineStr">
        <is>
          <t>SEM COTAÇÃO</t>
        </is>
      </c>
      <c r="O4493" s="8" t="n"/>
      <c r="P4493" s="14" t="n"/>
      <c r="Q4493" s="7" t="inlineStr"/>
      <c r="R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8" t="n"/>
      <c r="N4494" s="7" t="inlineStr">
        <is>
          <t>SEM COTAÇÃO</t>
        </is>
      </c>
      <c r="O4494" s="8" t="n"/>
      <c r="P4494" s="14" t="n"/>
      <c r="Q4494" s="7" t="inlineStr"/>
      <c r="R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8" t="n"/>
      <c r="N4495" s="7" t="inlineStr">
        <is>
          <t>SEM COTAÇÃO</t>
        </is>
      </c>
      <c r="O4495" s="8" t="n"/>
      <c r="P4495" s="14" t="n"/>
      <c r="Q4495" s="7" t="inlineStr"/>
      <c r="R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8" t="n"/>
      <c r="N4496" s="7" t="inlineStr">
        <is>
          <t>SEM COTAÇÃO</t>
        </is>
      </c>
      <c r="O4496" s="8" t="n"/>
      <c r="P4496" s="14" t="n"/>
      <c r="Q4496" s="7" t="inlineStr"/>
      <c r="R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8" t="n"/>
      <c r="N4497" s="7" t="inlineStr">
        <is>
          <t>SEM COTAÇÃO</t>
        </is>
      </c>
      <c r="O4497" s="8" t="n"/>
      <c r="P4497" s="14" t="n"/>
      <c r="Q4497" s="7" t="inlineStr"/>
      <c r="R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8" t="n"/>
      <c r="N4498" s="7" t="inlineStr">
        <is>
          <t>SEM COTAÇÃO</t>
        </is>
      </c>
      <c r="O4498" s="8" t="n"/>
      <c r="P4498" s="14" t="n"/>
      <c r="Q4498" s="7" t="inlineStr"/>
      <c r="R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8" t="n"/>
      <c r="N4499" s="7" t="inlineStr">
        <is>
          <t>SEM COTAÇÃO</t>
        </is>
      </c>
      <c r="O4499" s="8" t="n"/>
      <c r="P4499" s="14" t="n"/>
      <c r="Q4499" s="7" t="inlineStr"/>
      <c r="R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8" t="n"/>
      <c r="N4500" s="7" t="inlineStr">
        <is>
          <t>SEM COTAÇÃO</t>
        </is>
      </c>
      <c r="O4500" s="8" t="n"/>
      <c r="P4500" s="14" t="n"/>
      <c r="Q4500" s="7" t="inlineStr"/>
      <c r="R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8" t="n">
        <v>27.22</v>
      </c>
      <c r="N4501" s="7" t="inlineStr">
        <is>
          <t>DIMEC</t>
        </is>
      </c>
      <c r="O4501" s="8" t="n">
        <v>1.4775</v>
      </c>
      <c r="P4501" s="14">
        <f>O4501/H4501-1</f>
        <v/>
      </c>
      <c r="Q4501" s="17" t="inlineStr">
        <is>
          <t>OK (≤ menor hist.)</t>
        </is>
      </c>
      <c r="R4501" s="7" t="inlineStr">
        <is>
          <t>DIMEC: 1 emb = 20 un; CENTROFARMA: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8" t="n"/>
      <c r="N4502" s="7" t="inlineStr">
        <is>
          <t>SEM COTAÇÃO</t>
        </is>
      </c>
      <c r="O4502" s="8" t="n"/>
      <c r="P4502" s="14" t="n"/>
      <c r="Q4502" s="7" t="inlineStr"/>
      <c r="R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8" t="n"/>
      <c r="N4503" s="7" t="inlineStr">
        <is>
          <t>SEM COTAÇÃO</t>
        </is>
      </c>
      <c r="O4503" s="8" t="n"/>
      <c r="P4503" s="14" t="n"/>
      <c r="Q4503" s="7" t="inlineStr"/>
      <c r="R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8" t="n"/>
      <c r="N4504" s="7" t="inlineStr">
        <is>
          <t>SEM COTAÇÃO</t>
        </is>
      </c>
      <c r="O4504" s="8" t="n"/>
      <c r="P4504" s="14" t="n"/>
      <c r="Q4504" s="7" t="inlineStr"/>
      <c r="R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8" t="n"/>
      <c r="N4505" s="7" t="inlineStr">
        <is>
          <t>SEM COTAÇÃO</t>
        </is>
      </c>
      <c r="O4505" s="8" t="n"/>
      <c r="P4505" s="14" t="n"/>
      <c r="Q4505" s="7" t="inlineStr"/>
      <c r="R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8" t="n"/>
      <c r="N4506" s="7" t="inlineStr">
        <is>
          <t>SEM COTAÇÃO</t>
        </is>
      </c>
      <c r="O4506" s="8" t="n"/>
      <c r="P4506" s="14" t="n"/>
      <c r="Q4506" s="7" t="inlineStr"/>
      <c r="R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8" t="n"/>
      <c r="N4507" s="7" t="inlineStr">
        <is>
          <t>SEM COTAÇÃO</t>
        </is>
      </c>
      <c r="O4507" s="8" t="n"/>
      <c r="P4507" s="14" t="n"/>
      <c r="Q4507" s="7" t="inlineStr"/>
      <c r="R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8" t="n"/>
      <c r="N4508" s="7" t="inlineStr">
        <is>
          <t>SEM COTAÇÃO</t>
        </is>
      </c>
      <c r="O4508" s="8" t="n"/>
      <c r="P4508" s="14" t="n"/>
      <c r="Q4508" s="7" t="inlineStr"/>
      <c r="R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8" t="n"/>
      <c r="N4509" s="7" t="inlineStr">
        <is>
          <t>SEM COTAÇÃO</t>
        </is>
      </c>
      <c r="O4509" s="8" t="n"/>
      <c r="P4509" s="14" t="n"/>
      <c r="Q4509" s="7" t="inlineStr"/>
      <c r="R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8" t="n"/>
      <c r="N4510" s="7" t="inlineStr">
        <is>
          <t>SEM COTAÇÃO</t>
        </is>
      </c>
      <c r="O4510" s="8" t="n"/>
      <c r="P4510" s="14" t="n"/>
      <c r="Q4510" s="7" t="inlineStr"/>
      <c r="R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15" t="n">
        <v>19.97</v>
      </c>
      <c r="N4511" s="7" t="inlineStr">
        <is>
          <t>CENTROFARMA</t>
        </is>
      </c>
      <c r="O4511" s="8" t="n">
        <v>19.97</v>
      </c>
      <c r="P4511" s="14">
        <f>O4511/H4511-1</f>
        <v/>
      </c>
      <c r="Q4511" s="17" t="inlineStr">
        <is>
          <t>OK (≤ últ. compra)</t>
        </is>
      </c>
      <c r="R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8" t="n"/>
      <c r="N4512" s="7" t="inlineStr">
        <is>
          <t>DIMEC</t>
        </is>
      </c>
      <c r="O4512" s="8" t="n">
        <v>13.08</v>
      </c>
      <c r="P4512" s="14">
        <f>O4512/H4512-1</f>
        <v/>
      </c>
      <c r="Q4512" s="17" t="inlineStr">
        <is>
          <t>OK (≤ últ. compra)</t>
        </is>
      </c>
      <c r="R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8" t="n"/>
      <c r="N4513" s="7" t="inlineStr">
        <is>
          <t>SEM COTAÇÃO</t>
        </is>
      </c>
      <c r="O4513" s="8" t="n"/>
      <c r="P4513" s="14" t="n"/>
      <c r="Q4513" s="7" t="inlineStr"/>
      <c r="R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8" t="n"/>
      <c r="N4514" s="7" t="inlineStr">
        <is>
          <t>SEM COTAÇÃO</t>
        </is>
      </c>
      <c r="O4514" s="8" t="n"/>
      <c r="P4514" s="14" t="n"/>
      <c r="Q4514" s="7" t="inlineStr"/>
      <c r="R4514" s="7" t="inlineStr"/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15" t="n">
        <v>64.64</v>
      </c>
      <c r="M4515" s="8" t="n"/>
      <c r="N4515" s="7" t="inlineStr">
        <is>
          <t>EPAN</t>
        </is>
      </c>
      <c r="O4515" s="8" t="n">
        <v>64.64</v>
      </c>
      <c r="P4515" s="14">
        <f>O4515/H4515-1</f>
        <v/>
      </c>
      <c r="Q4515" s="17" t="inlineStr">
        <is>
          <t>OK (≤ últ. compra)</t>
        </is>
      </c>
      <c r="R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8" t="n"/>
      <c r="N4516" s="7" t="inlineStr">
        <is>
          <t>SEM COTAÇÃO</t>
        </is>
      </c>
      <c r="O4516" s="8" t="n"/>
      <c r="P4516" s="14" t="n"/>
      <c r="Q4516" s="7" t="inlineStr"/>
      <c r="R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15" t="n">
        <v>10.31</v>
      </c>
      <c r="M4517" s="8" t="n"/>
      <c r="N4517" s="7" t="inlineStr">
        <is>
          <t>EPAN</t>
        </is>
      </c>
      <c r="O4517" s="8" t="n">
        <v>10.31</v>
      </c>
      <c r="P4517" s="14">
        <f>O4517/H4517-1</f>
        <v/>
      </c>
      <c r="Q4517" s="17" t="inlineStr">
        <is>
          <t>OK (≤ últ. compra)</t>
        </is>
      </c>
      <c r="R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8" t="n"/>
      <c r="N4518" s="7" t="inlineStr">
        <is>
          <t>SEM COTAÇÃO</t>
        </is>
      </c>
      <c r="O4518" s="8" t="n"/>
      <c r="P4518" s="14" t="n"/>
      <c r="Q4518" s="7" t="inlineStr"/>
      <c r="R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8" t="n"/>
      <c r="N4519" s="7" t="inlineStr">
        <is>
          <t>SEM COTAÇÃO</t>
        </is>
      </c>
      <c r="O4519" s="8" t="n"/>
      <c r="P4519" s="14" t="n"/>
      <c r="Q4519" s="7" t="inlineStr"/>
      <c r="R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8" t="n"/>
      <c r="N4520" s="7" t="inlineStr">
        <is>
          <t>SEM COTAÇÃO</t>
        </is>
      </c>
      <c r="O4520" s="8" t="n"/>
      <c r="P4520" s="14" t="n"/>
      <c r="Q4520" s="7" t="inlineStr"/>
      <c r="R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8" t="n"/>
      <c r="N4521" s="7" t="inlineStr">
        <is>
          <t>SEM COTAÇÃO</t>
        </is>
      </c>
      <c r="O4521" s="8" t="n"/>
      <c r="P4521" s="14" t="n"/>
      <c r="Q4521" s="7" t="inlineStr"/>
      <c r="R4521" s="7" t="inlineStr"/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8" t="n"/>
      <c r="N4522" s="7" t="inlineStr">
        <is>
          <t>SEM COTAÇÃO</t>
        </is>
      </c>
      <c r="O4522" s="8" t="n"/>
      <c r="P4522" s="14" t="n"/>
      <c r="Q4522" s="7" t="inlineStr"/>
      <c r="R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8" t="n"/>
      <c r="N4523" s="7" t="inlineStr">
        <is>
          <t>SEM COTAÇÃO</t>
        </is>
      </c>
      <c r="O4523" s="8" t="n"/>
      <c r="P4523" s="14" t="n"/>
      <c r="Q4523" s="7" t="inlineStr"/>
      <c r="R4523" s="7" t="inlineStr"/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8" t="n"/>
      <c r="N4524" s="7" t="inlineStr">
        <is>
          <t>SEM COTAÇÃO</t>
        </is>
      </c>
      <c r="O4524" s="8" t="n"/>
      <c r="P4524" s="14" t="n"/>
      <c r="Q4524" s="7" t="inlineStr"/>
      <c r="R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8" t="n"/>
      <c r="N4525" s="7" t="inlineStr">
        <is>
          <t>SEM COTAÇÃO</t>
        </is>
      </c>
      <c r="O4525" s="8" t="n"/>
      <c r="P4525" s="14" t="n"/>
      <c r="Q4525" s="7" t="inlineStr"/>
      <c r="R4525" s="7" t="inlineStr"/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8" t="n"/>
      <c r="N4526" s="7" t="inlineStr">
        <is>
          <t>PLUSFARMA</t>
        </is>
      </c>
      <c r="O4526" s="8" t="n">
        <v>25.05</v>
      </c>
      <c r="P4526" s="14">
        <f>O4526/H4526-1</f>
        <v/>
      </c>
      <c r="Q4526" s="17" t="inlineStr">
        <is>
          <t>OK (≤ menor hist.)</t>
        </is>
      </c>
      <c r="R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8" t="n"/>
      <c r="N4527" s="7" t="inlineStr">
        <is>
          <t>SEM COTAÇÃO</t>
        </is>
      </c>
      <c r="O4527" s="8" t="n"/>
      <c r="P4527" s="14" t="n"/>
      <c r="Q4527" s="7" t="inlineStr"/>
      <c r="R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8" t="n"/>
      <c r="N4528" s="7" t="inlineStr">
        <is>
          <t>SEM COTAÇÃO</t>
        </is>
      </c>
      <c r="O4528" s="8" t="n"/>
      <c r="P4528" s="14" t="n"/>
      <c r="Q4528" s="7" t="inlineStr"/>
      <c r="R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15" t="n">
        <v>5.68</v>
      </c>
      <c r="K4529" s="8" t="n"/>
      <c r="L4529" s="8" t="n"/>
      <c r="M4529" s="8" t="n">
        <v>6.03</v>
      </c>
      <c r="N4529" s="7" t="inlineStr">
        <is>
          <t>DIMEC</t>
        </is>
      </c>
      <c r="O4529" s="8" t="n">
        <v>5.68</v>
      </c>
      <c r="P4529" s="14">
        <f>O4529/H4529-1</f>
        <v/>
      </c>
      <c r="Q4529" s="16" t="inlineStr">
        <is>
          <t>ACIMA +7.4%</t>
        </is>
      </c>
      <c r="R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5.57</v>
      </c>
      <c r="K4530" s="8" t="n"/>
      <c r="L4530" s="8" t="n"/>
      <c r="M4530" s="15" t="n">
        <v>5.42</v>
      </c>
      <c r="N4530" s="7" t="inlineStr">
        <is>
          <t>CENTROFARMA</t>
        </is>
      </c>
      <c r="O4530" s="8" t="n">
        <v>5.42</v>
      </c>
      <c r="P4530" s="14">
        <f>O4530/H4530-1</f>
        <v/>
      </c>
      <c r="Q4530" s="16" t="inlineStr">
        <is>
          <t>ACIMA +24.3%</t>
        </is>
      </c>
      <c r="R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8" t="n">
        <v>5.64</v>
      </c>
      <c r="N4531" s="7" t="inlineStr">
        <is>
          <t>DIMEC</t>
        </is>
      </c>
      <c r="O4531" s="8" t="n">
        <v>5.26</v>
      </c>
      <c r="P4531" s="14">
        <f>O4531/H4531-1</f>
        <v/>
      </c>
      <c r="Q4531" s="17" t="inlineStr">
        <is>
          <t>OK (≤ últ. compra)</t>
        </is>
      </c>
      <c r="R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8" t="n">
        <v>5.16</v>
      </c>
      <c r="N4532" s="7" t="inlineStr">
        <is>
          <t>DIMEC</t>
        </is>
      </c>
      <c r="O4532" s="8" t="n">
        <v>4.78</v>
      </c>
      <c r="P4532" s="14">
        <f>O4532/H4532-1</f>
        <v/>
      </c>
      <c r="Q4532" s="16" t="inlineStr">
        <is>
          <t>ACIMA +6.7%</t>
        </is>
      </c>
      <c r="R4532" s="7" t="inlineStr"/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8" t="n"/>
      <c r="N4533" s="7" t="inlineStr">
        <is>
          <t>DIMEC</t>
        </is>
      </c>
      <c r="O4533" s="8" t="n">
        <v>0.49875</v>
      </c>
      <c r="P4533" s="14">
        <f>O4533/H4533-1</f>
        <v/>
      </c>
      <c r="Q4533" s="17" t="inlineStr">
        <is>
          <t>OK (≤ menor hist.)</t>
        </is>
      </c>
      <c r="R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8" t="n"/>
      <c r="N4534" s="7" t="inlineStr">
        <is>
          <t>SEM COTAÇÃO</t>
        </is>
      </c>
      <c r="O4534" s="8" t="n"/>
      <c r="P4534" s="14" t="n"/>
      <c r="Q4534" s="7" t="inlineStr"/>
      <c r="R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8" t="n"/>
      <c r="N4535" s="7" t="inlineStr">
        <is>
          <t>SEM COTAÇÃO</t>
        </is>
      </c>
      <c r="O4535" s="8" t="n"/>
      <c r="P4535" s="14" t="n"/>
      <c r="Q4535" s="7" t="inlineStr"/>
      <c r="R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8" t="n"/>
      <c r="N4536" s="7" t="inlineStr">
        <is>
          <t>SEM COTAÇÃO</t>
        </is>
      </c>
      <c r="O4536" s="8" t="n"/>
      <c r="P4536" s="14" t="n"/>
      <c r="Q4536" s="7" t="inlineStr"/>
      <c r="R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8" t="n"/>
      <c r="N4537" s="7" t="inlineStr">
        <is>
          <t>SEM COTAÇÃO</t>
        </is>
      </c>
      <c r="O4537" s="8" t="n"/>
      <c r="P4537" s="14" t="n"/>
      <c r="Q4537" s="7" t="inlineStr"/>
      <c r="R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8" t="n"/>
      <c r="N4538" s="7" t="inlineStr">
        <is>
          <t>SEM COTAÇÃO</t>
        </is>
      </c>
      <c r="O4538" s="8" t="n"/>
      <c r="P4538" s="14" t="n"/>
      <c r="Q4538" s="7" t="inlineStr"/>
      <c r="R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8" t="n"/>
      <c r="N4539" s="7" t="inlineStr">
        <is>
          <t>SEM COTAÇÃO</t>
        </is>
      </c>
      <c r="O4539" s="8" t="n"/>
      <c r="P4539" s="14" t="n"/>
      <c r="Q4539" s="7" t="inlineStr"/>
      <c r="R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7" t="inlineStr">
        <is>
          <t>SEM COTAÇÃO</t>
        </is>
      </c>
      <c r="O4540" s="8" t="n"/>
      <c r="P4540" s="14" t="n"/>
      <c r="Q4540" s="7" t="inlineStr"/>
      <c r="R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8" t="n"/>
      <c r="N4541" s="7" t="inlineStr">
        <is>
          <t>SEM COTAÇÃO</t>
        </is>
      </c>
      <c r="O4541" s="8" t="n"/>
      <c r="P4541" s="14" t="n"/>
      <c r="Q4541" s="7" t="inlineStr"/>
      <c r="R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8" t="n"/>
      <c r="N4542" s="7" t="inlineStr">
        <is>
          <t>SEM COTAÇÃO</t>
        </is>
      </c>
      <c r="O4542" s="8" t="n"/>
      <c r="P4542" s="14" t="n"/>
      <c r="Q4542" s="7" t="inlineStr"/>
      <c r="R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15" t="n">
        <v>5.72</v>
      </c>
      <c r="N4543" s="7" t="inlineStr">
        <is>
          <t>CENTROFARMA</t>
        </is>
      </c>
      <c r="O4543" s="8" t="n">
        <v>5.72</v>
      </c>
      <c r="P4543" s="14">
        <f>O4543/H4543-1</f>
        <v/>
      </c>
      <c r="Q4543" s="16" t="inlineStr">
        <is>
          <t>ACIMA +5.3%</t>
        </is>
      </c>
      <c r="R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8" t="n"/>
      <c r="N4544" s="7" t="inlineStr">
        <is>
          <t>SEM COTAÇÃO</t>
        </is>
      </c>
      <c r="O4544" s="8" t="n"/>
      <c r="P4544" s="14" t="n"/>
      <c r="Q4544" s="7" t="inlineStr"/>
      <c r="R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8" t="n"/>
      <c r="N4545" s="7" t="inlineStr">
        <is>
          <t>SEM COTAÇÃO</t>
        </is>
      </c>
      <c r="O4545" s="8" t="n"/>
      <c r="P4545" s="14" t="n"/>
      <c r="Q4545" s="7" t="inlineStr"/>
      <c r="R4545" s="7" t="inlineStr"/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7" t="inlineStr">
        <is>
          <t>SEM COTAÇÃO</t>
        </is>
      </c>
      <c r="O4546" s="8" t="n"/>
      <c r="P4546" s="14" t="n"/>
      <c r="Q4546" s="7" t="inlineStr"/>
      <c r="R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8" t="n"/>
      <c r="N4547" s="7" t="inlineStr">
        <is>
          <t>SEM COTAÇÃO</t>
        </is>
      </c>
      <c r="O4547" s="8" t="n"/>
      <c r="P4547" s="14" t="n"/>
      <c r="Q4547" s="7" t="inlineStr"/>
      <c r="R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8" t="n"/>
      <c r="N4548" s="7" t="inlineStr">
        <is>
          <t>SEM COTAÇÃO</t>
        </is>
      </c>
      <c r="O4548" s="8" t="n"/>
      <c r="P4548" s="14" t="n"/>
      <c r="Q4548" s="7" t="inlineStr"/>
      <c r="R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8" t="n"/>
      <c r="N4549" s="7" t="inlineStr">
        <is>
          <t>SEM COTAÇÃO</t>
        </is>
      </c>
      <c r="O4549" s="8" t="n"/>
      <c r="P4549" s="14" t="n"/>
      <c r="Q4549" s="7" t="inlineStr"/>
      <c r="R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8" t="n"/>
      <c r="N4550" s="7" t="inlineStr">
        <is>
          <t>SEM COTAÇÃO</t>
        </is>
      </c>
      <c r="O4550" s="8" t="n"/>
      <c r="P4550" s="14" t="n"/>
      <c r="Q4550" s="7" t="inlineStr"/>
      <c r="R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8" t="n"/>
      <c r="N4551" s="7" t="inlineStr">
        <is>
          <t>SEM COTAÇÃO</t>
        </is>
      </c>
      <c r="O4551" s="8" t="n"/>
      <c r="P4551" s="14" t="n"/>
      <c r="Q4551" s="7" t="inlineStr"/>
      <c r="R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8" t="n"/>
      <c r="N4552" s="7" t="inlineStr">
        <is>
          <t>SEM COTAÇÃO</t>
        </is>
      </c>
      <c r="O4552" s="8" t="n"/>
      <c r="P4552" s="14" t="n"/>
      <c r="Q4552" s="7" t="inlineStr"/>
      <c r="R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8" t="n"/>
      <c r="N4553" s="7" t="inlineStr">
        <is>
          <t>SEM COTAÇÃO</t>
        </is>
      </c>
      <c r="O4553" s="8" t="n"/>
      <c r="P4553" s="14" t="n"/>
      <c r="Q4553" s="7" t="inlineStr"/>
      <c r="R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8" t="n"/>
      <c r="N4554" s="7" t="inlineStr">
        <is>
          <t>SEM COTAÇÃO</t>
        </is>
      </c>
      <c r="O4554" s="8" t="n"/>
      <c r="P4554" s="14" t="n"/>
      <c r="Q4554" s="7" t="inlineStr"/>
      <c r="R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8" t="n"/>
      <c r="N4555" s="7" t="inlineStr">
        <is>
          <t>SEM COTAÇÃO</t>
        </is>
      </c>
      <c r="O4555" s="8" t="n"/>
      <c r="P4555" s="14" t="n"/>
      <c r="Q4555" s="7" t="inlineStr"/>
      <c r="R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8" t="n"/>
      <c r="N4556" s="7" t="inlineStr">
        <is>
          <t>SEM COTAÇÃO</t>
        </is>
      </c>
      <c r="O4556" s="8" t="n"/>
      <c r="P4556" s="14" t="n"/>
      <c r="Q4556" s="7" t="inlineStr"/>
      <c r="R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15" t="n">
        <v>18.94</v>
      </c>
      <c r="K4557" s="8" t="n"/>
      <c r="L4557" s="8" t="n"/>
      <c r="M4557" s="8" t="n">
        <v>19.19</v>
      </c>
      <c r="N4557" s="7" t="inlineStr">
        <is>
          <t>DIMEC</t>
        </is>
      </c>
      <c r="O4557" s="8" t="n">
        <v>18.94</v>
      </c>
      <c r="P4557" s="14">
        <f>O4557/H4557-1</f>
        <v/>
      </c>
      <c r="Q4557" s="17" t="inlineStr">
        <is>
          <t>OK (≤ menor hist.)</t>
        </is>
      </c>
      <c r="R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8" t="n"/>
      <c r="N4558" s="7" t="inlineStr">
        <is>
          <t>SEM COTAÇÃO</t>
        </is>
      </c>
      <c r="O4558" s="8" t="n"/>
      <c r="P4558" s="14" t="n"/>
      <c r="Q4558" s="7" t="inlineStr"/>
      <c r="R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8" t="n"/>
      <c r="N4559" s="7" t="inlineStr">
        <is>
          <t>SEM COTAÇÃO</t>
        </is>
      </c>
      <c r="O4559" s="8" t="n"/>
      <c r="P4559" s="14" t="n"/>
      <c r="Q4559" s="7" t="inlineStr"/>
      <c r="R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8" t="n"/>
      <c r="N4560" s="7" t="inlineStr">
        <is>
          <t>SEM COTAÇÃO</t>
        </is>
      </c>
      <c r="O4560" s="8" t="n"/>
      <c r="P4560" s="14" t="n"/>
      <c r="Q4560" s="7" t="inlineStr"/>
      <c r="R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7" t="inlineStr">
        <is>
          <t>SEM COTAÇÃO</t>
        </is>
      </c>
      <c r="O4561" s="8" t="n"/>
      <c r="P4561" s="14" t="n"/>
      <c r="Q4561" s="7" t="inlineStr"/>
      <c r="R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8" t="n"/>
      <c r="N4562" s="7" t="inlineStr">
        <is>
          <t>SEM COTAÇÃO</t>
        </is>
      </c>
      <c r="O4562" s="8" t="n"/>
      <c r="P4562" s="14" t="n"/>
      <c r="Q4562" s="7" t="inlineStr"/>
      <c r="R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8" t="n"/>
      <c r="N4563" s="7" t="inlineStr">
        <is>
          <t>EPAN</t>
        </is>
      </c>
      <c r="O4563" s="8" t="n">
        <v>35.24</v>
      </c>
      <c r="P4563" s="14">
        <f>O4563/H4563-1</f>
        <v/>
      </c>
      <c r="Q4563" s="17" t="inlineStr">
        <is>
          <t>OK (≤ últ. compra)</t>
        </is>
      </c>
      <c r="R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8" t="n"/>
      <c r="N4564" s="7" t="inlineStr">
        <is>
          <t>SEM COTAÇÃO</t>
        </is>
      </c>
      <c r="O4564" s="8" t="n"/>
      <c r="P4564" s="14" t="n"/>
      <c r="Q4564" s="7" t="inlineStr"/>
      <c r="R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8" t="n"/>
      <c r="N4565" s="7" t="inlineStr">
        <is>
          <t>SEM COTAÇÃO</t>
        </is>
      </c>
      <c r="O4565" s="8" t="n"/>
      <c r="P4565" s="14" t="n"/>
      <c r="Q4565" s="7" t="inlineStr"/>
      <c r="R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8" t="n"/>
      <c r="N4566" s="7" t="inlineStr">
        <is>
          <t>SEM COTAÇÃO</t>
        </is>
      </c>
      <c r="O4566" s="8" t="n"/>
      <c r="P4566" s="14" t="n"/>
      <c r="Q4566" s="7" t="inlineStr"/>
      <c r="R4566" s="7" t="inlineStr"/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8" t="n"/>
      <c r="N4567" s="7" t="inlineStr">
        <is>
          <t>SEM COTAÇÃO</t>
        </is>
      </c>
      <c r="O4567" s="8" t="n"/>
      <c r="P4567" s="14" t="n"/>
      <c r="Q4567" s="7" t="inlineStr"/>
      <c r="R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8" t="n"/>
      <c r="N4568" s="7" t="inlineStr">
        <is>
          <t>SEM COTAÇÃO</t>
        </is>
      </c>
      <c r="O4568" s="8" t="n"/>
      <c r="P4568" s="14" t="n"/>
      <c r="Q4568" s="7" t="inlineStr"/>
      <c r="R4568" s="7" t="inlineStr"/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8" t="n"/>
      <c r="N4569" s="7" t="inlineStr">
        <is>
          <t>SEM COTAÇÃO</t>
        </is>
      </c>
      <c r="O4569" s="8" t="n"/>
      <c r="P4569" s="14" t="n"/>
      <c r="Q4569" s="7" t="inlineStr"/>
      <c r="R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8" t="n"/>
      <c r="N4570" s="7" t="inlineStr">
        <is>
          <t>SEM COTAÇÃO</t>
        </is>
      </c>
      <c r="O4570" s="8" t="n"/>
      <c r="P4570" s="14" t="n"/>
      <c r="Q4570" s="7" t="inlineStr"/>
      <c r="R4570" s="7" t="inlineStr"/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8" t="n"/>
      <c r="N4571" s="7" t="inlineStr">
        <is>
          <t>SEM COTAÇÃO</t>
        </is>
      </c>
      <c r="O4571" s="8" t="n"/>
      <c r="P4571" s="14" t="n"/>
      <c r="Q4571" s="7" t="inlineStr"/>
      <c r="R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8" t="n"/>
      <c r="N4572" s="7" t="inlineStr">
        <is>
          <t>SEM COTAÇÃO</t>
        </is>
      </c>
      <c r="O4572" s="8" t="n"/>
      <c r="P4572" s="14" t="n"/>
      <c r="Q4572" s="7" t="inlineStr"/>
      <c r="R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8" t="n"/>
      <c r="N4573" s="7" t="inlineStr">
        <is>
          <t>SEM COTAÇÃO</t>
        </is>
      </c>
      <c r="O4573" s="8" t="n"/>
      <c r="P4573" s="14" t="n"/>
      <c r="Q4573" s="7" t="inlineStr"/>
      <c r="R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8" t="n"/>
      <c r="N4574" s="7" t="inlineStr">
        <is>
          <t>EPAN</t>
        </is>
      </c>
      <c r="O4574" s="8" t="n">
        <v>37.75</v>
      </c>
      <c r="P4574" s="14">
        <f>O4574/H4574-1</f>
        <v/>
      </c>
      <c r="Q4574" s="17" t="inlineStr">
        <is>
          <t>OK (≤ últ. compra)</t>
        </is>
      </c>
      <c r="R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8" t="n"/>
      <c r="N4575" s="7" t="inlineStr">
        <is>
          <t>SEM COTAÇÃO</t>
        </is>
      </c>
      <c r="O4575" s="8" t="n"/>
      <c r="P4575" s="14" t="n"/>
      <c r="Q4575" s="7" t="inlineStr"/>
      <c r="R4575" s="7" t="inlineStr"/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8" t="n"/>
      <c r="N4576" s="7" t="inlineStr">
        <is>
          <t>SEM COTAÇÃO</t>
        </is>
      </c>
      <c r="O4576" s="8" t="n"/>
      <c r="P4576" s="14" t="n"/>
      <c r="Q4576" s="7" t="inlineStr"/>
      <c r="R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8" t="n"/>
      <c r="N4577" s="7" t="inlineStr">
        <is>
          <t>SEM COTAÇÃO</t>
        </is>
      </c>
      <c r="O4577" s="8" t="n"/>
      <c r="P4577" s="14" t="n"/>
      <c r="Q4577" s="7" t="inlineStr"/>
      <c r="R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8" t="n"/>
      <c r="N4578" s="7" t="inlineStr">
        <is>
          <t>SEM COTAÇÃO</t>
        </is>
      </c>
      <c r="O4578" s="8" t="n"/>
      <c r="P4578" s="14" t="n"/>
      <c r="Q4578" s="7" t="inlineStr"/>
      <c r="R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8" t="n"/>
      <c r="N4579" s="7" t="inlineStr">
        <is>
          <t>SEM COTAÇÃO</t>
        </is>
      </c>
      <c r="O4579" s="8" t="n"/>
      <c r="P4579" s="14" t="n"/>
      <c r="Q4579" s="7" t="inlineStr"/>
      <c r="R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8" t="n"/>
      <c r="N4580" s="7" t="inlineStr">
        <is>
          <t>SEM COTAÇÃO</t>
        </is>
      </c>
      <c r="O4580" s="8" t="n"/>
      <c r="P4580" s="14" t="n"/>
      <c r="Q4580" s="7" t="inlineStr"/>
      <c r="R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8" t="n"/>
      <c r="N4581" s="7" t="inlineStr">
        <is>
          <t>SEM COTAÇÃO</t>
        </is>
      </c>
      <c r="O4581" s="8" t="n"/>
      <c r="P4581" s="14" t="n"/>
      <c r="Q4581" s="7" t="inlineStr"/>
      <c r="R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8" t="n"/>
      <c r="N4582" s="7" t="inlineStr">
        <is>
          <t>SEM COTAÇÃO</t>
        </is>
      </c>
      <c r="O4582" s="8" t="n"/>
      <c r="P4582" s="14" t="n"/>
      <c r="Q4582" s="7" t="inlineStr"/>
      <c r="R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8" t="n"/>
      <c r="N4583" s="7" t="inlineStr">
        <is>
          <t>SEM COTAÇÃO</t>
        </is>
      </c>
      <c r="O4583" s="8" t="n"/>
      <c r="P4583" s="14" t="n"/>
      <c r="Q4583" s="7" t="inlineStr"/>
      <c r="R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8" t="n"/>
      <c r="N4584" s="7" t="inlineStr">
        <is>
          <t>SEM COTAÇÃO</t>
        </is>
      </c>
      <c r="O4584" s="8" t="n"/>
      <c r="P4584" s="14" t="n"/>
      <c r="Q4584" s="7" t="inlineStr"/>
      <c r="R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8" t="n"/>
      <c r="N4585" s="7" t="inlineStr">
        <is>
          <t>SEM COTAÇÃO</t>
        </is>
      </c>
      <c r="O4585" s="8" t="n"/>
      <c r="P4585" s="14" t="n"/>
      <c r="Q4585" s="7" t="inlineStr"/>
      <c r="R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8" t="n"/>
      <c r="N4586" s="7" t="inlineStr">
        <is>
          <t>SEM COTAÇÃO</t>
        </is>
      </c>
      <c r="O4586" s="8" t="n"/>
      <c r="P4586" s="14" t="n"/>
      <c r="Q4586" s="7" t="inlineStr"/>
      <c r="R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8" t="n"/>
      <c r="N4587" s="7" t="inlineStr">
        <is>
          <t>PLUSFARMA</t>
        </is>
      </c>
      <c r="O4587" s="8" t="n">
        <v>35.43</v>
      </c>
      <c r="P4587" s="14">
        <f>O4587/H4587-1</f>
        <v/>
      </c>
      <c r="Q4587" s="16" t="inlineStr">
        <is>
          <t>ACIMA +21.0%</t>
        </is>
      </c>
      <c r="R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8" t="n">
        <v>27.35</v>
      </c>
      <c r="N4588" s="7" t="inlineStr">
        <is>
          <t>PLUSFARMA</t>
        </is>
      </c>
      <c r="O4588" s="8" t="n">
        <v>26.49</v>
      </c>
      <c r="P4588" s="14">
        <f>O4588/H4588-1</f>
        <v/>
      </c>
      <c r="Q4588" s="16" t="inlineStr">
        <is>
          <t>ACIMA +20.5%</t>
        </is>
      </c>
      <c r="R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15" t="n">
        <v>17.54</v>
      </c>
      <c r="K4589" s="8" t="n">
        <v>18.43</v>
      </c>
      <c r="L4589" s="8" t="n"/>
      <c r="M4589" s="8" t="n">
        <v>17.77</v>
      </c>
      <c r="N4589" s="7" t="inlineStr">
        <is>
          <t>DIMEC</t>
        </is>
      </c>
      <c r="O4589" s="8" t="n">
        <v>17.54</v>
      </c>
      <c r="P4589" s="14">
        <f>O4589/H4589-1</f>
        <v/>
      </c>
      <c r="Q4589" s="16" t="inlineStr">
        <is>
          <t>ACIMA +38.2%</t>
        </is>
      </c>
      <c r="R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8" t="n"/>
      <c r="N4590" s="7" t="inlineStr">
        <is>
          <t>DIMEC</t>
        </is>
      </c>
      <c r="O4590" s="8" t="n">
        <v>23.22</v>
      </c>
      <c r="P4590" s="14">
        <f>O4590/H4590-1</f>
        <v/>
      </c>
      <c r="Q4590" s="16" t="inlineStr">
        <is>
          <t>ACIMA +18.6%</t>
        </is>
      </c>
      <c r="R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13.39</v>
      </c>
      <c r="K4591" s="8" t="n">
        <v>15.89</v>
      </c>
      <c r="L4591" s="8" t="n"/>
      <c r="M4591" s="15" t="n">
        <v>13.35</v>
      </c>
      <c r="N4591" s="7" t="inlineStr">
        <is>
          <t>CENTROFARMA</t>
        </is>
      </c>
      <c r="O4591" s="8" t="n">
        <v>13.35</v>
      </c>
      <c r="P4591" s="14">
        <f>O4591/H4591-1</f>
        <v/>
      </c>
      <c r="Q4591" s="17" t="inlineStr">
        <is>
          <t>OK (≤ últ. compra)</t>
        </is>
      </c>
      <c r="R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8" t="n"/>
      <c r="N4592" s="7" t="inlineStr">
        <is>
          <t>SEM COTAÇÃO</t>
        </is>
      </c>
      <c r="O4592" s="8" t="n"/>
      <c r="P4592" s="14" t="n"/>
      <c r="Q4592" s="7" t="inlineStr"/>
      <c r="R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8" t="n"/>
      <c r="N4593" s="7" t="inlineStr">
        <is>
          <t>SEM COTAÇÃO</t>
        </is>
      </c>
      <c r="O4593" s="8" t="n"/>
      <c r="P4593" s="14" t="n"/>
      <c r="Q4593" s="7" t="inlineStr"/>
      <c r="R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15" t="n">
        <v>25.02</v>
      </c>
      <c r="N4594" s="7" t="inlineStr">
        <is>
          <t>CENTROFARMA</t>
        </is>
      </c>
      <c r="O4594" s="8" t="n">
        <v>25.02</v>
      </c>
      <c r="P4594" s="14">
        <f>O4594/H4594-1</f>
        <v/>
      </c>
      <c r="Q4594" s="16" t="inlineStr">
        <is>
          <t>ACIMA +5.3%</t>
        </is>
      </c>
      <c r="R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8" t="n"/>
      <c r="N4595" s="7" t="inlineStr">
        <is>
          <t>PLUSFARMA</t>
        </is>
      </c>
      <c r="O4595" s="8" t="n">
        <v>31.11</v>
      </c>
      <c r="P4595" s="14">
        <f>O4595/H4595-1</f>
        <v/>
      </c>
      <c r="Q4595" s="16" t="inlineStr">
        <is>
          <t>ACIMA +19.7%</t>
        </is>
      </c>
      <c r="R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8" t="n">
        <v>16.78</v>
      </c>
      <c r="N4596" s="7" t="inlineStr">
        <is>
          <t>PLUSFARMA</t>
        </is>
      </c>
      <c r="O4596" s="8" t="n">
        <v>16.22</v>
      </c>
      <c r="P4596" s="14">
        <f>O4596/H4596-1</f>
        <v/>
      </c>
      <c r="Q4596" s="16" t="inlineStr">
        <is>
          <t>ACIMA +16.3%</t>
        </is>
      </c>
      <c r="R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8" t="n">
        <v>15.73</v>
      </c>
      <c r="L4597" s="8" t="n"/>
      <c r="M4597" s="15" t="n">
        <v>14.04</v>
      </c>
      <c r="N4597" s="7" t="inlineStr">
        <is>
          <t>CENTROFARMA</t>
        </is>
      </c>
      <c r="O4597" s="8" t="n">
        <v>14.04</v>
      </c>
      <c r="P4597" s="14">
        <f>O4597/H4597-1</f>
        <v/>
      </c>
      <c r="Q4597" s="16" t="inlineStr">
        <is>
          <t>ACIMA +2.6%</t>
        </is>
      </c>
      <c r="R4597" s="7" t="inlineStr"/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8" t="n">
        <v>23.71</v>
      </c>
      <c r="N4598" s="7" t="inlineStr">
        <is>
          <t>PLUSFARMA</t>
        </is>
      </c>
      <c r="O4598" s="8" t="n">
        <v>23.44</v>
      </c>
      <c r="P4598" s="14">
        <f>O4598/H4598-1</f>
        <v/>
      </c>
      <c r="Q4598" s="16" t="inlineStr">
        <is>
          <t>ACIMA +23.6%</t>
        </is>
      </c>
      <c r="R4598" s="7" t="inlineStr"/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8" t="n"/>
      <c r="N4599" s="7" t="inlineStr">
        <is>
          <t>SEM COTAÇÃO</t>
        </is>
      </c>
      <c r="O4599" s="8" t="n"/>
      <c r="P4599" s="14" t="n"/>
      <c r="Q4599" s="7" t="inlineStr"/>
      <c r="R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8" t="n"/>
      <c r="N4600" s="7" t="inlineStr">
        <is>
          <t>SEM COTAÇÃO</t>
        </is>
      </c>
      <c r="O4600" s="8" t="n"/>
      <c r="P4600" s="14" t="n"/>
      <c r="Q4600" s="7" t="inlineStr"/>
      <c r="R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8" t="n"/>
      <c r="N4601" s="7" t="inlineStr">
        <is>
          <t>SEM COTAÇÃO</t>
        </is>
      </c>
      <c r="O4601" s="8" t="n"/>
      <c r="P4601" s="14" t="n"/>
      <c r="Q4601" s="7" t="inlineStr"/>
      <c r="R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7" t="inlineStr">
        <is>
          <t>SEM COTAÇÃO</t>
        </is>
      </c>
      <c r="O4602" s="8" t="n"/>
      <c r="P4602" s="14" t="n"/>
      <c r="Q4602" s="7" t="inlineStr"/>
      <c r="R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8" t="n"/>
      <c r="N4603" s="7" t="inlineStr">
        <is>
          <t>SEM COTAÇÃO</t>
        </is>
      </c>
      <c r="O4603" s="8" t="n"/>
      <c r="P4603" s="14" t="n"/>
      <c r="Q4603" s="7" t="inlineStr"/>
      <c r="R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8" t="n"/>
      <c r="N4604" s="7" t="inlineStr">
        <is>
          <t>SEM COTAÇÃO</t>
        </is>
      </c>
      <c r="O4604" s="8" t="n"/>
      <c r="P4604" s="14" t="n"/>
      <c r="Q4604" s="7" t="inlineStr"/>
      <c r="R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8" t="n"/>
      <c r="N4605" s="7" t="inlineStr">
        <is>
          <t>SEM COTAÇÃO</t>
        </is>
      </c>
      <c r="O4605" s="8" t="n"/>
      <c r="P4605" s="14" t="n"/>
      <c r="Q4605" s="7" t="inlineStr"/>
      <c r="R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8" t="n"/>
      <c r="N4606" s="7" t="inlineStr">
        <is>
          <t>SEM COTAÇÃO</t>
        </is>
      </c>
      <c r="O4606" s="8" t="n"/>
      <c r="P4606" s="14" t="n"/>
      <c r="Q4606" s="7" t="inlineStr"/>
      <c r="R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8" t="n"/>
      <c r="N4607" s="7" t="inlineStr">
        <is>
          <t>SEM COTAÇÃO</t>
        </is>
      </c>
      <c r="O4607" s="8" t="n"/>
      <c r="P4607" s="14" t="n"/>
      <c r="Q4607" s="7" t="inlineStr"/>
      <c r="R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15" t="n">
        <v>5.39</v>
      </c>
      <c r="K4608" s="8" t="n"/>
      <c r="L4608" s="8" t="n"/>
      <c r="M4608" s="8" t="n">
        <v>5.73</v>
      </c>
      <c r="N4608" s="7" t="inlineStr">
        <is>
          <t>DIMEC</t>
        </is>
      </c>
      <c r="O4608" s="8" t="n">
        <v>5.39</v>
      </c>
      <c r="P4608" s="14">
        <f>O4608/H4608-1</f>
        <v/>
      </c>
      <c r="Q4608" s="16" t="inlineStr">
        <is>
          <t>ACIMA +17.7%</t>
        </is>
      </c>
      <c r="R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8" t="n"/>
      <c r="N4609" s="7" t="inlineStr">
        <is>
          <t>DIMEC</t>
        </is>
      </c>
      <c r="O4609" s="8" t="n">
        <v>14.84</v>
      </c>
      <c r="P4609" s="14">
        <f>O4609/H4609-1</f>
        <v/>
      </c>
      <c r="Q4609" s="17" t="inlineStr">
        <is>
          <t>OK (≤ menor hist.)</t>
        </is>
      </c>
      <c r="R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8" t="n"/>
      <c r="N4610" s="7" t="inlineStr">
        <is>
          <t>SEM COTAÇÃO</t>
        </is>
      </c>
      <c r="O4610" s="8" t="n"/>
      <c r="P4610" s="14" t="n"/>
      <c r="Q4610" s="7" t="inlineStr"/>
      <c r="R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8" t="n"/>
      <c r="N4611" s="7" t="inlineStr">
        <is>
          <t>SEM COTAÇÃO</t>
        </is>
      </c>
      <c r="O4611" s="8" t="n"/>
      <c r="P4611" s="14" t="n"/>
      <c r="Q4611" s="7" t="inlineStr"/>
      <c r="R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8" t="n"/>
      <c r="N4612" s="7" t="inlineStr">
        <is>
          <t>DIMEC</t>
        </is>
      </c>
      <c r="O4612" s="8" t="n">
        <v>11.73</v>
      </c>
      <c r="P4612" s="14">
        <f>O4612/H4612-1</f>
        <v/>
      </c>
      <c r="Q4612" s="16" t="inlineStr">
        <is>
          <t>ACIMA +8.7%</t>
        </is>
      </c>
      <c r="R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8" t="n"/>
      <c r="N4613" s="7" t="inlineStr">
        <is>
          <t>SEM COTAÇÃO</t>
        </is>
      </c>
      <c r="O4613" s="8" t="n"/>
      <c r="P4613" s="14" t="n"/>
      <c r="Q4613" s="7" t="inlineStr"/>
      <c r="R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8" t="n"/>
      <c r="N4614" s="7" t="inlineStr">
        <is>
          <t>SEM COTAÇÃO</t>
        </is>
      </c>
      <c r="O4614" s="8" t="n"/>
      <c r="P4614" s="14" t="n"/>
      <c r="Q4614" s="7" t="inlineStr"/>
      <c r="R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8" t="n"/>
      <c r="N4615" s="7" t="inlineStr">
        <is>
          <t>SEM COTAÇÃO</t>
        </is>
      </c>
      <c r="O4615" s="8" t="n"/>
      <c r="P4615" s="14" t="n"/>
      <c r="Q4615" s="7" t="inlineStr"/>
      <c r="R4615" s="7" t="inlineStr"/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8" t="n"/>
      <c r="N4616" s="7" t="inlineStr">
        <is>
          <t>DIMEC</t>
        </is>
      </c>
      <c r="O4616" s="8" t="n">
        <v>7.31</v>
      </c>
      <c r="P4616" s="14">
        <f>O4616/H4616-1</f>
        <v/>
      </c>
      <c r="Q4616" s="16" t="inlineStr">
        <is>
          <t>ACIMA +0.3%</t>
        </is>
      </c>
      <c r="R4616" s="7" t="inlineStr"/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8" t="n"/>
      <c r="N4617" s="7" t="inlineStr">
        <is>
          <t>EPAN</t>
        </is>
      </c>
      <c r="O4617" s="8" t="n">
        <v>17.14</v>
      </c>
      <c r="P4617" s="14">
        <f>O4617/H4617-1</f>
        <v/>
      </c>
      <c r="Q4617" s="16" t="inlineStr">
        <is>
          <t>ACIMA +400.0%</t>
        </is>
      </c>
      <c r="R4617" s="7" t="inlineStr">
        <is>
          <t>EPAN: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8" t="n"/>
      <c r="N4618" s="7" t="inlineStr">
        <is>
          <t>SEM COTAÇÃO</t>
        </is>
      </c>
      <c r="O4618" s="8" t="n"/>
      <c r="P4618" s="14" t="n"/>
      <c r="Q4618" s="7" t="inlineStr"/>
      <c r="R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8" t="n"/>
      <c r="N4619" s="7" t="inlineStr">
        <is>
          <t>SEM COTAÇÃO</t>
        </is>
      </c>
      <c r="O4619" s="8" t="n"/>
      <c r="P4619" s="14" t="n"/>
      <c r="Q4619" s="7" t="inlineStr"/>
      <c r="R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8" t="n"/>
      <c r="N4620" s="7" t="inlineStr">
        <is>
          <t>SEM COTAÇÃO</t>
        </is>
      </c>
      <c r="O4620" s="8" t="n"/>
      <c r="P4620" s="14" t="n"/>
      <c r="Q4620" s="7" t="inlineStr"/>
      <c r="R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8" t="n"/>
      <c r="N4621" s="7" t="inlineStr">
        <is>
          <t>SEM COTAÇÃO</t>
        </is>
      </c>
      <c r="O4621" s="8" t="n"/>
      <c r="P4621" s="14" t="n"/>
      <c r="Q4621" s="7" t="inlineStr"/>
      <c r="R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8" t="n"/>
      <c r="N4622" s="7" t="inlineStr">
        <is>
          <t>SEM COTAÇÃO</t>
        </is>
      </c>
      <c r="O4622" s="8" t="n"/>
      <c r="P4622" s="14" t="n"/>
      <c r="Q4622" s="7" t="inlineStr"/>
      <c r="R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8" t="n"/>
      <c r="N4623" s="7" t="inlineStr">
        <is>
          <t>SEM COTAÇÃO</t>
        </is>
      </c>
      <c r="O4623" s="8" t="n"/>
      <c r="P4623" s="14" t="n"/>
      <c r="Q4623" s="7" t="inlineStr"/>
      <c r="R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8" t="n"/>
      <c r="N4624" s="7" t="inlineStr">
        <is>
          <t>SEM COTAÇÃO</t>
        </is>
      </c>
      <c r="O4624" s="8" t="n"/>
      <c r="P4624" s="14" t="n"/>
      <c r="Q4624" s="7" t="inlineStr"/>
      <c r="R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8" t="n"/>
      <c r="N4625" s="7" t="inlineStr">
        <is>
          <t>SEM COTAÇÃO</t>
        </is>
      </c>
      <c r="O4625" s="8" t="n"/>
      <c r="P4625" s="14" t="n"/>
      <c r="Q4625" s="7" t="inlineStr"/>
      <c r="R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8" t="n"/>
      <c r="N4626" s="7" t="inlineStr">
        <is>
          <t>SEM COTAÇÃO</t>
        </is>
      </c>
      <c r="O4626" s="8" t="n"/>
      <c r="P4626" s="14" t="n"/>
      <c r="Q4626" s="7" t="inlineStr"/>
      <c r="R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8" t="n"/>
      <c r="N4627" s="7" t="inlineStr">
        <is>
          <t>SEM COTAÇÃO</t>
        </is>
      </c>
      <c r="O4627" s="8" t="n"/>
      <c r="P4627" s="14" t="n"/>
      <c r="Q4627" s="7" t="inlineStr"/>
      <c r="R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8" t="n"/>
      <c r="N4628" s="7" t="inlineStr">
        <is>
          <t>SEM COTAÇÃO</t>
        </is>
      </c>
      <c r="O4628" s="8" t="n"/>
      <c r="P4628" s="14" t="n"/>
      <c r="Q4628" s="7" t="inlineStr"/>
      <c r="R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8" t="n"/>
      <c r="N4629" s="7" t="inlineStr">
        <is>
          <t>SEM COTAÇÃO</t>
        </is>
      </c>
      <c r="O4629" s="8" t="n"/>
      <c r="P4629" s="14" t="n"/>
      <c r="Q4629" s="7" t="inlineStr"/>
      <c r="R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8" t="n"/>
      <c r="N4630" s="7" t="inlineStr">
        <is>
          <t>SEM COTAÇÃO</t>
        </is>
      </c>
      <c r="O4630" s="8" t="n"/>
      <c r="P4630" s="14" t="n"/>
      <c r="Q4630" s="7" t="inlineStr"/>
      <c r="R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8" t="n"/>
      <c r="N4631" s="7" t="inlineStr">
        <is>
          <t>SEM COTAÇÃO</t>
        </is>
      </c>
      <c r="O4631" s="8" t="n"/>
      <c r="P4631" s="14" t="n"/>
      <c r="Q4631" s="7" t="inlineStr"/>
      <c r="R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8" t="n"/>
      <c r="N4632" s="7" t="inlineStr">
        <is>
          <t>SEM COTAÇÃO</t>
        </is>
      </c>
      <c r="O4632" s="8" t="n"/>
      <c r="P4632" s="14" t="n"/>
      <c r="Q4632" s="7" t="inlineStr"/>
      <c r="R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8" t="n"/>
      <c r="N4633" s="7" t="inlineStr">
        <is>
          <t>SEM COTAÇÃO</t>
        </is>
      </c>
      <c r="O4633" s="8" t="n"/>
      <c r="P4633" s="14" t="n"/>
      <c r="Q4633" s="7" t="inlineStr"/>
      <c r="R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8" t="n"/>
      <c r="N4634" s="7" t="inlineStr">
        <is>
          <t>SEM COTAÇÃO</t>
        </is>
      </c>
      <c r="O4634" s="8" t="n"/>
      <c r="P4634" s="14" t="n"/>
      <c r="Q4634" s="7" t="inlineStr"/>
      <c r="R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8" t="n"/>
      <c r="N4635" s="7" t="inlineStr">
        <is>
          <t>SEM COTAÇÃO</t>
        </is>
      </c>
      <c r="O4635" s="8" t="n"/>
      <c r="P4635" s="14" t="n"/>
      <c r="Q4635" s="7" t="inlineStr"/>
      <c r="R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8" t="n"/>
      <c r="N4636" s="7" t="inlineStr">
        <is>
          <t>SEM COTAÇÃO</t>
        </is>
      </c>
      <c r="O4636" s="8" t="n"/>
      <c r="P4636" s="14" t="n"/>
      <c r="Q4636" s="7" t="inlineStr"/>
      <c r="R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8" t="n"/>
      <c r="N4637" s="7" t="inlineStr">
        <is>
          <t>SEM COTAÇÃO</t>
        </is>
      </c>
      <c r="O4637" s="8" t="n"/>
      <c r="P4637" s="14" t="n"/>
      <c r="Q4637" s="7" t="inlineStr"/>
      <c r="R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8" t="n"/>
      <c r="N4638" s="7" t="inlineStr">
        <is>
          <t>SEM COTAÇÃO</t>
        </is>
      </c>
      <c r="O4638" s="8" t="n"/>
      <c r="P4638" s="14" t="n"/>
      <c r="Q4638" s="7" t="inlineStr"/>
      <c r="R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8" t="n"/>
      <c r="N4639" s="7" t="inlineStr">
        <is>
          <t>SEM COTAÇÃO</t>
        </is>
      </c>
      <c r="O4639" s="8" t="n"/>
      <c r="P4639" s="14" t="n"/>
      <c r="Q4639" s="7" t="inlineStr"/>
      <c r="R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8" t="n"/>
      <c r="N4640" s="7" t="inlineStr">
        <is>
          <t>SEM COTAÇÃO</t>
        </is>
      </c>
      <c r="O4640" s="8" t="n"/>
      <c r="P4640" s="14" t="n"/>
      <c r="Q4640" s="7" t="inlineStr"/>
      <c r="R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8" t="n"/>
      <c r="N4641" s="7" t="inlineStr">
        <is>
          <t>SEM COTAÇÃO</t>
        </is>
      </c>
      <c r="O4641" s="8" t="n"/>
      <c r="P4641" s="14" t="n"/>
      <c r="Q4641" s="7" t="inlineStr"/>
      <c r="R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8" t="n"/>
      <c r="N4642" s="7" t="inlineStr">
        <is>
          <t>SEM COTAÇÃO</t>
        </is>
      </c>
      <c r="O4642" s="8" t="n"/>
      <c r="P4642" s="14" t="n"/>
      <c r="Q4642" s="7" t="inlineStr"/>
      <c r="R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8" t="n"/>
      <c r="N4643" s="7" t="inlineStr">
        <is>
          <t>SEM COTAÇÃO</t>
        </is>
      </c>
      <c r="O4643" s="8" t="n"/>
      <c r="P4643" s="14" t="n"/>
      <c r="Q4643" s="7" t="inlineStr"/>
      <c r="R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8" t="n"/>
      <c r="N4644" s="7" t="inlineStr">
        <is>
          <t>SEM COTAÇÃO</t>
        </is>
      </c>
      <c r="O4644" s="8" t="n"/>
      <c r="P4644" s="14" t="n"/>
      <c r="Q4644" s="7" t="inlineStr"/>
      <c r="R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8" t="n"/>
      <c r="N4645" s="7" t="inlineStr">
        <is>
          <t>SEM COTAÇÃO</t>
        </is>
      </c>
      <c r="O4645" s="8" t="n"/>
      <c r="P4645" s="14" t="n"/>
      <c r="Q4645" s="7" t="inlineStr"/>
      <c r="R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8" t="n"/>
      <c r="N4646" s="7" t="inlineStr">
        <is>
          <t>SEM COTAÇÃO</t>
        </is>
      </c>
      <c r="O4646" s="8" t="n"/>
      <c r="P4646" s="14" t="n"/>
      <c r="Q4646" s="7" t="inlineStr"/>
      <c r="R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8" t="n"/>
      <c r="N4647" s="7" t="inlineStr">
        <is>
          <t>SEM COTAÇÃO</t>
        </is>
      </c>
      <c r="O4647" s="8" t="n"/>
      <c r="P4647" s="14" t="n"/>
      <c r="Q4647" s="7" t="inlineStr"/>
      <c r="R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8" t="n"/>
      <c r="N4648" s="7" t="inlineStr">
        <is>
          <t>SEM COTAÇÃO</t>
        </is>
      </c>
      <c r="O4648" s="8" t="n"/>
      <c r="P4648" s="14" t="n"/>
      <c r="Q4648" s="7" t="inlineStr"/>
      <c r="R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8" t="n"/>
      <c r="N4649" s="7" t="inlineStr">
        <is>
          <t>SEM COTAÇÃO</t>
        </is>
      </c>
      <c r="O4649" s="8" t="n"/>
      <c r="P4649" s="14" t="n"/>
      <c r="Q4649" s="7" t="inlineStr"/>
      <c r="R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8" t="n"/>
      <c r="N4650" s="7" t="inlineStr">
        <is>
          <t>SEM COTAÇÃO</t>
        </is>
      </c>
      <c r="O4650" s="8" t="n"/>
      <c r="P4650" s="14" t="n"/>
      <c r="Q4650" s="7" t="inlineStr"/>
      <c r="R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8" t="n"/>
      <c r="N4651" s="7" t="inlineStr">
        <is>
          <t>SEM COTAÇÃO</t>
        </is>
      </c>
      <c r="O4651" s="8" t="n"/>
      <c r="P4651" s="14" t="n"/>
      <c r="Q4651" s="7" t="inlineStr"/>
      <c r="R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8" t="n"/>
      <c r="N4652" s="7" t="inlineStr">
        <is>
          <t>SEM COTAÇÃO</t>
        </is>
      </c>
      <c r="O4652" s="8" t="n"/>
      <c r="P4652" s="14" t="n"/>
      <c r="Q4652" s="7" t="inlineStr"/>
      <c r="R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8" t="n"/>
      <c r="N4653" s="7" t="inlineStr">
        <is>
          <t>SEM COTAÇÃO</t>
        </is>
      </c>
      <c r="O4653" s="8" t="n"/>
      <c r="P4653" s="14" t="n"/>
      <c r="Q4653" s="7" t="inlineStr"/>
      <c r="R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8" t="n"/>
      <c r="N4654" s="7" t="inlineStr">
        <is>
          <t>SEM COTAÇÃO</t>
        </is>
      </c>
      <c r="O4654" s="8" t="n"/>
      <c r="P4654" s="14" t="n"/>
      <c r="Q4654" s="7" t="inlineStr"/>
      <c r="R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8" t="n"/>
      <c r="N4655" s="7" t="inlineStr">
        <is>
          <t>SEM COTAÇÃO</t>
        </is>
      </c>
      <c r="O4655" s="8" t="n"/>
      <c r="P4655" s="14" t="n"/>
      <c r="Q4655" s="7" t="inlineStr"/>
      <c r="R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8" t="n"/>
      <c r="N4656" s="7" t="inlineStr">
        <is>
          <t>SEM COTAÇÃO</t>
        </is>
      </c>
      <c r="O4656" s="8" t="n"/>
      <c r="P4656" s="14" t="n"/>
      <c r="Q4656" s="7" t="inlineStr"/>
      <c r="R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8" t="n"/>
      <c r="N4657" s="7" t="inlineStr">
        <is>
          <t>SEM COTAÇÃO</t>
        </is>
      </c>
      <c r="O4657" s="8" t="n"/>
      <c r="P4657" s="14" t="n"/>
      <c r="Q4657" s="7" t="inlineStr"/>
      <c r="R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8" t="n"/>
      <c r="N4658" s="7" t="inlineStr">
        <is>
          <t>SEM COTAÇÃO</t>
        </is>
      </c>
      <c r="O4658" s="8" t="n"/>
      <c r="P4658" s="14" t="n"/>
      <c r="Q4658" s="7" t="inlineStr"/>
      <c r="R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8" t="n"/>
      <c r="N4659" s="7" t="inlineStr">
        <is>
          <t>SEM COTAÇÃO</t>
        </is>
      </c>
      <c r="O4659" s="8" t="n"/>
      <c r="P4659" s="14" t="n"/>
      <c r="Q4659" s="7" t="inlineStr"/>
      <c r="R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8" t="n"/>
      <c r="N4660" s="7" t="inlineStr">
        <is>
          <t>SEM COTAÇÃO</t>
        </is>
      </c>
      <c r="O4660" s="8" t="n"/>
      <c r="P4660" s="14" t="n"/>
      <c r="Q4660" s="7" t="inlineStr"/>
      <c r="R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8" t="n"/>
      <c r="N4661" s="7" t="inlineStr">
        <is>
          <t>SEM COTAÇÃO</t>
        </is>
      </c>
      <c r="O4661" s="8" t="n"/>
      <c r="P4661" s="14" t="n"/>
      <c r="Q4661" s="7" t="inlineStr"/>
      <c r="R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8" t="n"/>
      <c r="N4662" s="7" t="inlineStr">
        <is>
          <t>SEM COTAÇÃO</t>
        </is>
      </c>
      <c r="O4662" s="8" t="n"/>
      <c r="P4662" s="14" t="n"/>
      <c r="Q4662" s="7" t="inlineStr"/>
      <c r="R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8" t="n"/>
      <c r="N4663" s="7" t="inlineStr">
        <is>
          <t>SEM COTAÇÃO</t>
        </is>
      </c>
      <c r="O4663" s="8" t="n"/>
      <c r="P4663" s="14" t="n"/>
      <c r="Q4663" s="7" t="inlineStr"/>
      <c r="R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8" t="n"/>
      <c r="N4664" s="7" t="inlineStr">
        <is>
          <t>SEM COTAÇÃO</t>
        </is>
      </c>
      <c r="O4664" s="8" t="n"/>
      <c r="P4664" s="14" t="n"/>
      <c r="Q4664" s="7" t="inlineStr"/>
      <c r="R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8" t="n"/>
      <c r="N4665" s="7" t="inlineStr">
        <is>
          <t>SEM COTAÇÃO</t>
        </is>
      </c>
      <c r="O4665" s="8" t="n"/>
      <c r="P4665" s="14" t="n"/>
      <c r="Q4665" s="7" t="inlineStr"/>
      <c r="R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8" t="n"/>
      <c r="N4666" s="7" t="inlineStr">
        <is>
          <t>SEM COTAÇÃO</t>
        </is>
      </c>
      <c r="O4666" s="8" t="n"/>
      <c r="P4666" s="14" t="n"/>
      <c r="Q4666" s="7" t="inlineStr"/>
      <c r="R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8" t="n"/>
      <c r="N4667" s="7" t="inlineStr">
        <is>
          <t>SEM COTAÇÃO</t>
        </is>
      </c>
      <c r="O4667" s="8" t="n"/>
      <c r="P4667" s="14" t="n"/>
      <c r="Q4667" s="7" t="inlineStr"/>
      <c r="R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8" t="n"/>
      <c r="N4668" s="7" t="inlineStr">
        <is>
          <t>SEM COTAÇÃO</t>
        </is>
      </c>
      <c r="O4668" s="8" t="n"/>
      <c r="P4668" s="14" t="n"/>
      <c r="Q4668" s="7" t="inlineStr"/>
      <c r="R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8" t="n"/>
      <c r="N4669" s="7" t="inlineStr">
        <is>
          <t>SEM COTAÇÃO</t>
        </is>
      </c>
      <c r="O4669" s="8" t="n"/>
      <c r="P4669" s="14" t="n"/>
      <c r="Q4669" s="7" t="inlineStr"/>
      <c r="R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8" t="n"/>
      <c r="N4670" s="7" t="inlineStr">
        <is>
          <t>SEM COTAÇÃO</t>
        </is>
      </c>
      <c r="O4670" s="8" t="n"/>
      <c r="P4670" s="14" t="n"/>
      <c r="Q4670" s="7" t="inlineStr"/>
      <c r="R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8" t="n"/>
      <c r="N4671" s="7" t="inlineStr">
        <is>
          <t>SEM COTAÇÃO</t>
        </is>
      </c>
      <c r="O4671" s="8" t="n"/>
      <c r="P4671" s="14" t="n"/>
      <c r="Q4671" s="7" t="inlineStr"/>
      <c r="R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8" t="n"/>
      <c r="N4672" s="7" t="inlineStr">
        <is>
          <t>SEM COTAÇÃO</t>
        </is>
      </c>
      <c r="O4672" s="8" t="n"/>
      <c r="P4672" s="14" t="n"/>
      <c r="Q4672" s="7" t="inlineStr"/>
      <c r="R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8" t="n"/>
      <c r="N4673" s="7" t="inlineStr">
        <is>
          <t>SEM COTAÇÃO</t>
        </is>
      </c>
      <c r="O4673" s="8" t="n"/>
      <c r="P4673" s="14" t="n"/>
      <c r="Q4673" s="7" t="inlineStr"/>
      <c r="R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8" t="n"/>
      <c r="N4674" s="7" t="inlineStr">
        <is>
          <t>SEM COTAÇÃO</t>
        </is>
      </c>
      <c r="O4674" s="8" t="n"/>
      <c r="P4674" s="14" t="n"/>
      <c r="Q4674" s="7" t="inlineStr"/>
      <c r="R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8" t="n"/>
      <c r="N4675" s="7" t="inlineStr">
        <is>
          <t>SEM COTAÇÃO</t>
        </is>
      </c>
      <c r="O4675" s="8" t="n"/>
      <c r="P4675" s="14" t="n"/>
      <c r="Q4675" s="7" t="inlineStr"/>
      <c r="R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8" t="n"/>
      <c r="N4676" s="7" t="inlineStr">
        <is>
          <t>SEM COTAÇÃO</t>
        </is>
      </c>
      <c r="O4676" s="8" t="n"/>
      <c r="P4676" s="14" t="n"/>
      <c r="Q4676" s="7" t="inlineStr"/>
      <c r="R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8" t="n"/>
      <c r="N4677" s="7" t="inlineStr">
        <is>
          <t>SEM COTAÇÃO</t>
        </is>
      </c>
      <c r="O4677" s="8" t="n"/>
      <c r="P4677" s="14" t="n"/>
      <c r="Q4677" s="7" t="inlineStr"/>
      <c r="R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8" t="n"/>
      <c r="N4678" s="7" t="inlineStr">
        <is>
          <t>SEM COTAÇÃO</t>
        </is>
      </c>
      <c r="O4678" s="8" t="n"/>
      <c r="P4678" s="14" t="n"/>
      <c r="Q4678" s="7" t="inlineStr"/>
      <c r="R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8" t="n"/>
      <c r="N4679" s="7" t="inlineStr">
        <is>
          <t>SEM COTAÇÃO</t>
        </is>
      </c>
      <c r="O4679" s="8" t="n"/>
      <c r="P4679" s="14" t="n"/>
      <c r="Q4679" s="7" t="inlineStr"/>
      <c r="R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8" t="n"/>
      <c r="N4680" s="7" t="inlineStr">
        <is>
          <t>SEM COTAÇÃO</t>
        </is>
      </c>
      <c r="O4680" s="8" t="n"/>
      <c r="P4680" s="14" t="n"/>
      <c r="Q4680" s="7" t="inlineStr"/>
      <c r="R4680" s="7" t="inlineStr"/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8" t="n"/>
      <c r="N4681" s="7" t="inlineStr">
        <is>
          <t>SEM COTAÇÃO</t>
        </is>
      </c>
      <c r="O4681" s="8" t="n"/>
      <c r="P4681" s="14" t="n"/>
      <c r="Q4681" s="7" t="inlineStr"/>
      <c r="R4681" s="7" t="inlineStr"/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8" t="n"/>
      <c r="N4682" s="7" t="inlineStr">
        <is>
          <t>SEM COTAÇÃO</t>
        </is>
      </c>
      <c r="O4682" s="8" t="n"/>
      <c r="P4682" s="14" t="n"/>
      <c r="Q4682" s="7" t="inlineStr"/>
      <c r="R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8" t="n"/>
      <c r="N4683" s="7" t="inlineStr">
        <is>
          <t>EPAN</t>
        </is>
      </c>
      <c r="O4683" s="8" t="n">
        <v>41.61</v>
      </c>
      <c r="P4683" s="14">
        <f>O4683/H4683-1</f>
        <v/>
      </c>
      <c r="Q4683" s="17" t="inlineStr">
        <is>
          <t>OK (≤ últ. compra)</t>
        </is>
      </c>
      <c r="R4683" s="7" t="inlineStr"/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8" t="n"/>
      <c r="N4684" s="7" t="inlineStr">
        <is>
          <t>SEM COTAÇÃO</t>
        </is>
      </c>
      <c r="O4684" s="8" t="n"/>
      <c r="P4684" s="14" t="n"/>
      <c r="Q4684" s="7" t="inlineStr"/>
      <c r="R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8" t="n"/>
      <c r="N4685" s="7" t="inlineStr">
        <is>
          <t>SEM COTAÇÃO</t>
        </is>
      </c>
      <c r="O4685" s="8" t="n"/>
      <c r="P4685" s="14" t="n"/>
      <c r="Q4685" s="7" t="inlineStr"/>
      <c r="R4685" s="7" t="inlineStr"/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8" t="n"/>
      <c r="N4686" s="7" t="inlineStr">
        <is>
          <t>SEM COTAÇÃO</t>
        </is>
      </c>
      <c r="O4686" s="8" t="n"/>
      <c r="P4686" s="14" t="n"/>
      <c r="Q4686" s="7" t="inlineStr"/>
      <c r="R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8" t="n"/>
      <c r="N4687" s="7" t="inlineStr">
        <is>
          <t>SEM COTAÇÃO</t>
        </is>
      </c>
      <c r="O4687" s="8" t="n"/>
      <c r="P4687" s="14" t="n"/>
      <c r="Q4687" s="7" t="inlineStr"/>
      <c r="R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584341</v>
      </c>
      <c r="B14" s="7" t="inlineStr">
        <is>
          <t>2382</t>
        </is>
      </c>
      <c r="C14" s="12" t="inlineStr">
        <is>
          <t>7897732606234</t>
        </is>
      </c>
      <c r="D14" s="7" t="inlineStr">
        <is>
          <t>AGUA INGLESA SOBRAL COMPOSTA 430ML (SBR)</t>
        </is>
      </c>
      <c r="E14" s="13" t="n">
        <v>1</v>
      </c>
      <c r="F14" s="13" t="n">
        <v>22</v>
      </c>
      <c r="G14" s="13" t="n">
        <v>22</v>
      </c>
      <c r="H14" s="8" t="n">
        <v>14.39</v>
      </c>
      <c r="I14" s="8">
        <f>G14*H14</f>
        <v/>
      </c>
      <c r="J14" s="8">
        <f>H14/E14</f>
        <v/>
      </c>
      <c r="K14" s="8" t="n">
        <v>11.36</v>
      </c>
      <c r="L14" s="8" t="n">
        <v>11.36</v>
      </c>
      <c r="M14" s="14">
        <f>J14/K14-1</f>
        <v/>
      </c>
      <c r="N14" s="7" t="inlineStr">
        <is>
          <t>ACIMA +26.7%</t>
        </is>
      </c>
      <c r="O14" s="7" t="inlineStr"/>
    </row>
    <row r="15">
      <c r="A15" s="7" t="n">
        <v>532161</v>
      </c>
      <c r="B15" s="7" t="inlineStr">
        <is>
          <t>1467</t>
        </is>
      </c>
      <c r="C15" s="12" t="inlineStr">
        <is>
          <t>7898031310587</t>
        </is>
      </c>
      <c r="D15" s="7" t="inlineStr">
        <is>
          <t>AGUA OXIGENADA ALMOT. 10 VOL. 100ML</t>
        </is>
      </c>
      <c r="E15" s="13" t="n">
        <v>1</v>
      </c>
      <c r="F15" s="13" t="n">
        <v>45</v>
      </c>
      <c r="G15" s="13" t="n">
        <v>45</v>
      </c>
      <c r="H15" s="8" t="n">
        <v>2.69</v>
      </c>
      <c r="I15" s="8">
        <f>G15*H15</f>
        <v/>
      </c>
      <c r="J15" s="8">
        <f>H15/E15</f>
        <v/>
      </c>
      <c r="K15" s="8" t="n">
        <v>2.35</v>
      </c>
      <c r="L15" s="8" t="n">
        <v>2.18</v>
      </c>
      <c r="M15" s="14">
        <f>J15/K15-1</f>
        <v/>
      </c>
      <c r="N15" s="7" t="inlineStr">
        <is>
          <t>ACIMA +14.5%</t>
        </is>
      </c>
      <c r="O15" s="7" t="inlineStr"/>
    </row>
    <row r="16">
      <c r="A16" s="7" t="n">
        <v>547721</v>
      </c>
      <c r="B16" s="7" t="inlineStr">
        <is>
          <t>320</t>
        </is>
      </c>
      <c r="C16" s="12" t="inlineStr">
        <is>
          <t>7896902211544</t>
        </is>
      </c>
      <c r="D16" s="7" t="inlineStr">
        <is>
          <t>AGUA OXIGENADA VOL10</t>
        </is>
      </c>
      <c r="E16" s="13" t="n">
        <v>1</v>
      </c>
      <c r="F16" s="13" t="n">
        <v>39</v>
      </c>
      <c r="G16" s="13" t="n">
        <v>39</v>
      </c>
      <c r="H16" s="8" t="n">
        <v>2.4</v>
      </c>
      <c r="I16" s="8">
        <f>G16*H16</f>
        <v/>
      </c>
      <c r="J16" s="8">
        <f>H16/E16</f>
        <v/>
      </c>
      <c r="K16" s="8" t="n">
        <v>2.37</v>
      </c>
      <c r="L16" s="8" t="n">
        <v>1.9</v>
      </c>
      <c r="M16" s="14">
        <f>J16/K16-1</f>
        <v/>
      </c>
      <c r="N16" s="7" t="inlineStr">
        <is>
          <t>ACIMA +1.3%</t>
        </is>
      </c>
      <c r="O16" s="7" t="inlineStr"/>
    </row>
    <row r="17">
      <c r="A17" s="7" t="n">
        <v>532201</v>
      </c>
      <c r="B17" s="7" t="inlineStr">
        <is>
          <t>854</t>
        </is>
      </c>
      <c r="C17" s="12" t="inlineStr">
        <is>
          <t>7898048690887</t>
        </is>
      </c>
      <c r="D17" s="7" t="inlineStr">
        <is>
          <t>AGUARDENTE ALEMA JALAPA D1 30ML</t>
        </is>
      </c>
      <c r="E17" s="13" t="n">
        <v>1</v>
      </c>
      <c r="F17" s="13" t="n">
        <v>3</v>
      </c>
      <c r="G17" s="13" t="n">
        <v>3</v>
      </c>
      <c r="H17" s="8" t="n">
        <v>2.4</v>
      </c>
      <c r="I17" s="8">
        <f>G17*H17</f>
        <v/>
      </c>
      <c r="J17" s="8">
        <f>H17/E17</f>
        <v/>
      </c>
      <c r="K17" s="8" t="n">
        <v>2.4</v>
      </c>
      <c r="L17" s="8" t="n">
        <v>2.38</v>
      </c>
      <c r="M17" s="14">
        <f>J17/K17-1</f>
        <v/>
      </c>
      <c r="N17" s="7" t="inlineStr">
        <is>
          <t>OK (≤ últ. compra)</t>
        </is>
      </c>
      <c r="O17" s="7" t="inlineStr"/>
    </row>
    <row r="18">
      <c r="A18" s="7" t="n">
        <v>578621</v>
      </c>
      <c r="B18" s="7" t="inlineStr">
        <is>
          <t>505</t>
        </is>
      </c>
      <c r="C18" s="12" t="inlineStr">
        <is>
          <t>7899780159182</t>
        </is>
      </c>
      <c r="D18" s="7" t="inlineStr">
        <is>
          <t>AGULHA 30X0,7 DESC. WILTEX</t>
        </is>
      </c>
      <c r="E18" s="13" t="n">
        <v>100</v>
      </c>
      <c r="F18" s="13" t="n">
        <v>1</v>
      </c>
      <c r="G18" s="13" t="n">
        <v>1</v>
      </c>
      <c r="H18" s="8" t="n">
        <v>11.6</v>
      </c>
      <c r="I18" s="8">
        <f>G18*H18</f>
        <v/>
      </c>
      <c r="J18" s="8">
        <f>H18/E18</f>
        <v/>
      </c>
      <c r="K18" s="8" t="n">
        <v>0.1234</v>
      </c>
      <c r="L18" s="8" t="n">
        <v>0.1234</v>
      </c>
      <c r="M18" s="14">
        <f>J18/K18-1</f>
        <v/>
      </c>
      <c r="N18" s="7" t="inlineStr">
        <is>
          <t>OK (≤ menor hist.)</t>
        </is>
      </c>
      <c r="O18" s="7" t="inlineStr">
        <is>
          <t>1 emb = 100 un</t>
        </is>
      </c>
    </row>
    <row r="19">
      <c r="A19" s="7" t="n">
        <v>553701</v>
      </c>
      <c r="B19" s="7" t="inlineStr">
        <is>
          <t>503</t>
        </is>
      </c>
      <c r="C19" s="12" t="inlineStr">
        <is>
          <t>78936263</t>
        </is>
      </c>
      <c r="D19" s="7" t="inlineStr">
        <is>
          <t>AGULHA 30X8 WILTEX</t>
        </is>
      </c>
      <c r="E19" s="13" t="n">
        <v>100</v>
      </c>
      <c r="F19" s="13" t="n">
        <v>3</v>
      </c>
      <c r="G19" s="13" t="n">
        <v>1</v>
      </c>
      <c r="H19" s="8" t="n">
        <v>11.42</v>
      </c>
      <c r="I19" s="8">
        <f>G19*H19</f>
        <v/>
      </c>
      <c r="J19" s="8">
        <f>H19/E19</f>
        <v/>
      </c>
      <c r="K19" s="8" t="n">
        <v>0.15</v>
      </c>
      <c r="L19" s="8" t="n">
        <v>0.15</v>
      </c>
      <c r="M19" s="14">
        <f>J19/K19-1</f>
        <v/>
      </c>
      <c r="N19" s="7" t="inlineStr">
        <is>
          <t>OK (≤ menor hist.)</t>
        </is>
      </c>
      <c r="O19" s="7" t="inlineStr">
        <is>
          <t>1 emb = 100 un</t>
        </is>
      </c>
    </row>
    <row r="20">
      <c r="A20" s="7" t="n">
        <v>532221</v>
      </c>
      <c r="B20" s="7" t="inlineStr">
        <is>
          <t>7101</t>
        </is>
      </c>
      <c r="C20" s="12" t="inlineStr">
        <is>
          <t>7898031311010</t>
        </is>
      </c>
      <c r="D20" s="7" t="inlineStr">
        <is>
          <t>ALCOOL 70% SPRAY 50 ML</t>
        </is>
      </c>
      <c r="E20" s="13" t="n">
        <v>1</v>
      </c>
      <c r="F20" s="13" t="n">
        <v>15</v>
      </c>
      <c r="G20" s="13" t="n">
        <v>15</v>
      </c>
      <c r="H20" s="8" t="n">
        <v>4.24</v>
      </c>
      <c r="I20" s="8">
        <f>G20*H20</f>
        <v/>
      </c>
      <c r="J20" s="8">
        <f>H20/E20</f>
        <v/>
      </c>
      <c r="K20" s="8" t="n">
        <v>4.01</v>
      </c>
      <c r="L20" s="8" t="n">
        <v>4.01</v>
      </c>
      <c r="M20" s="14">
        <f>J20/K20-1</f>
        <v/>
      </c>
      <c r="N20" s="7" t="inlineStr">
        <is>
          <t>ACIMA +5.7%</t>
        </is>
      </c>
      <c r="O20" s="7" t="inlineStr"/>
    </row>
    <row r="21">
      <c r="A21" s="7" t="n">
        <v>559941</v>
      </c>
      <c r="B21" s="7" t="inlineStr">
        <is>
          <t>5030</t>
        </is>
      </c>
      <c r="C21" s="12" t="inlineStr">
        <is>
          <t>7898179710775</t>
        </is>
      </c>
      <c r="D21" s="7" t="inlineStr">
        <is>
          <t>ALCOOL ETILICO 50ML</t>
        </is>
      </c>
      <c r="E21" s="13" t="n">
        <v>1</v>
      </c>
      <c r="F21" s="13" t="n">
        <v>7</v>
      </c>
      <c r="G21" s="13" t="n">
        <v>7</v>
      </c>
      <c r="H21" s="8" t="n">
        <v>2.43</v>
      </c>
      <c r="I21" s="8">
        <f>G21*H21</f>
        <v/>
      </c>
      <c r="J21" s="8">
        <f>H21/E21</f>
        <v/>
      </c>
      <c r="K21" s="8" t="n">
        <v>2.11</v>
      </c>
      <c r="L21" s="8" t="n">
        <v>2.11</v>
      </c>
      <c r="M21" s="14">
        <f>J21/K21-1</f>
        <v/>
      </c>
      <c r="N21" s="7" t="inlineStr">
        <is>
          <t>ACIMA +15.2%</t>
        </is>
      </c>
      <c r="O21" s="7" t="inlineStr"/>
    </row>
    <row r="22">
      <c r="A22" s="7" t="n">
        <v>4353</v>
      </c>
      <c r="B22" s="7" t="inlineStr">
        <is>
          <t>1959</t>
        </is>
      </c>
      <c r="C22" s="12" t="inlineStr">
        <is>
          <t>7898582292257</t>
        </is>
      </c>
      <c r="D22" s="7" t="inlineStr">
        <is>
          <t>ALCOOL GEL 60ML UNIPROTEGE</t>
        </is>
      </c>
      <c r="E22" s="13" t="n">
        <v>1</v>
      </c>
      <c r="F22" s="13" t="n">
        <v>4</v>
      </c>
      <c r="G22" s="13" t="n">
        <v>4</v>
      </c>
      <c r="H22" s="8" t="n">
        <v>5.17</v>
      </c>
      <c r="I22" s="8">
        <f>G22*H22</f>
        <v/>
      </c>
      <c r="J22" s="8">
        <f>H22/E22</f>
        <v/>
      </c>
      <c r="K22" s="8" t="n">
        <v>4.51</v>
      </c>
      <c r="L22" s="8" t="n">
        <v>4.51</v>
      </c>
      <c r="M22" s="14">
        <f>J22/K22-1</f>
        <v/>
      </c>
      <c r="N22" s="7" t="inlineStr">
        <is>
          <t>ACIMA +14.6%</t>
        </is>
      </c>
      <c r="O22" s="7" t="inlineStr"/>
    </row>
    <row r="23">
      <c r="A23" s="7" t="n">
        <v>571901</v>
      </c>
      <c r="B23" s="7" t="inlineStr">
        <is>
          <t>9310</t>
        </is>
      </c>
      <c r="C23" s="12" t="inlineStr">
        <is>
          <t>7898582291694</t>
        </is>
      </c>
      <c r="D23" s="7" t="inlineStr">
        <is>
          <t>ALCOOL GEL 70% PERFUMAD COM MICROES 60ML</t>
        </is>
      </c>
      <c r="E23" s="13" t="n">
        <v>1</v>
      </c>
      <c r="F23" s="13" t="n">
        <v>4</v>
      </c>
      <c r="G23" s="13" t="n">
        <v>4</v>
      </c>
      <c r="H23" s="8" t="n">
        <v>5.6</v>
      </c>
      <c r="I23" s="8">
        <f>G23*H23</f>
        <v/>
      </c>
      <c r="J23" s="8">
        <f>H23/E23</f>
        <v/>
      </c>
      <c r="K23" s="8" t="n">
        <v>5.59</v>
      </c>
      <c r="L23" s="8" t="n">
        <v>5.39</v>
      </c>
      <c r="M23" s="14">
        <f>J23/K23-1</f>
        <v/>
      </c>
      <c r="N23" s="7" t="inlineStr">
        <is>
          <t>ACIMA +0.2%</t>
        </is>
      </c>
      <c r="O23" s="7" t="inlineStr"/>
    </row>
    <row r="24">
      <c r="A24" s="7" t="n">
        <v>532241</v>
      </c>
      <c r="B24" s="7" t="inlineStr">
        <is>
          <t>141</t>
        </is>
      </c>
      <c r="C24" s="12" t="inlineStr">
        <is>
          <t>7898031310198</t>
        </is>
      </c>
      <c r="D24" s="7" t="inlineStr">
        <is>
          <t>ALCOOL IODADO 1% 100ML</t>
        </is>
      </c>
      <c r="E24" s="13" t="n">
        <v>1</v>
      </c>
      <c r="F24" s="13" t="n">
        <v>11</v>
      </c>
      <c r="G24" s="13" t="n">
        <v>11</v>
      </c>
      <c r="H24" s="8" t="n">
        <v>4.17</v>
      </c>
      <c r="I24" s="8">
        <f>G24*H24</f>
        <v/>
      </c>
      <c r="J24" s="8">
        <f>H24/E24</f>
        <v/>
      </c>
      <c r="K24" s="8" t="n">
        <v>3.91</v>
      </c>
      <c r="L24" s="8" t="n">
        <v>3.66</v>
      </c>
      <c r="M24" s="14">
        <f>J24/K24-1</f>
        <v/>
      </c>
      <c r="N24" s="7" t="inlineStr">
        <is>
          <t>ACIMA +6.6%</t>
        </is>
      </c>
      <c r="O24" s="7" t="inlineStr"/>
    </row>
    <row r="25">
      <c r="A25" s="7" t="n">
        <v>331061</v>
      </c>
      <c r="B25" s="7" t="inlineStr">
        <is>
          <t>1521</t>
        </is>
      </c>
      <c r="C25" s="12" t="inlineStr">
        <is>
          <t>7896523209715</t>
        </is>
      </c>
      <c r="D25" s="7" t="inlineStr">
        <is>
          <t>ALERGOMINE 10MG/G CREME BG 30G</t>
        </is>
      </c>
      <c r="E25" s="13" t="n">
        <v>1</v>
      </c>
      <c r="F25" s="13" t="n">
        <v>5</v>
      </c>
      <c r="G25" s="13" t="n">
        <v>5</v>
      </c>
      <c r="H25" s="8" t="n">
        <v>6.55</v>
      </c>
      <c r="I25" s="8">
        <f>G25*H25</f>
        <v/>
      </c>
      <c r="J25" s="8">
        <f>H25/E25</f>
        <v/>
      </c>
      <c r="K25" s="8" t="n">
        <v>6.89</v>
      </c>
      <c r="L25" s="8" t="n">
        <v>6.89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562421</v>
      </c>
      <c r="B26" s="7" t="inlineStr">
        <is>
          <t>812</t>
        </is>
      </c>
      <c r="C26" s="12" t="inlineStr">
        <is>
          <t>7894488000019</t>
        </is>
      </c>
      <c r="D26" s="7" t="inlineStr">
        <is>
          <t>ALGODAO SPARTERX MULTIUSO 25G</t>
        </is>
      </c>
      <c r="E26" s="13" t="n">
        <v>1</v>
      </c>
      <c r="F26" s="13" t="n">
        <v>25</v>
      </c>
      <c r="G26" s="13" t="n">
        <v>25</v>
      </c>
      <c r="H26" s="8" t="n">
        <v>1.09</v>
      </c>
      <c r="I26" s="8">
        <f>G26*H26</f>
        <v/>
      </c>
      <c r="J26" s="8">
        <f>H26/E26</f>
        <v/>
      </c>
      <c r="K26" s="8" t="n">
        <v>1.09</v>
      </c>
      <c r="L26" s="8" t="n">
        <v>1.09</v>
      </c>
      <c r="M26" s="14">
        <f>J26/K26-1</f>
        <v/>
      </c>
      <c r="N26" s="7" t="inlineStr">
        <is>
          <t>OK (≤ menor hist.)</t>
        </is>
      </c>
      <c r="O26" s="7" t="inlineStr"/>
    </row>
    <row r="27">
      <c r="A27" s="7" t="n">
        <v>4373</v>
      </c>
      <c r="B27" s="7" t="inlineStr">
        <is>
          <t>5181</t>
        </is>
      </c>
      <c r="C27" s="12" t="inlineStr">
        <is>
          <t>7896186003316</t>
        </is>
      </c>
      <c r="D27" s="7" t="inlineStr">
        <is>
          <t>ALIVIK 40G POTE</t>
        </is>
      </c>
      <c r="E27" s="13" t="n">
        <v>1</v>
      </c>
      <c r="F27" s="13" t="n">
        <v>5</v>
      </c>
      <c r="G27" s="13" t="n">
        <v>5</v>
      </c>
      <c r="H27" s="8" t="n">
        <v>8.02</v>
      </c>
      <c r="I27" s="8">
        <f>G27*H27</f>
        <v/>
      </c>
      <c r="J27" s="8">
        <f>H27/E27</f>
        <v/>
      </c>
      <c r="K27" s="8" t="n">
        <v>6.52</v>
      </c>
      <c r="L27" s="8" t="n">
        <v>6.52</v>
      </c>
      <c r="M27" s="14">
        <f>J27/K27-1</f>
        <v/>
      </c>
      <c r="N27" s="7" t="inlineStr">
        <is>
          <t>ACIMA +23.0%</t>
        </is>
      </c>
      <c r="O27" s="7" t="inlineStr"/>
    </row>
    <row r="28">
      <c r="A28" s="7" t="n">
        <v>29321</v>
      </c>
      <c r="B28" s="7" t="inlineStr">
        <is>
          <t>161</t>
        </is>
      </c>
      <c r="C28" s="12" t="inlineStr">
        <is>
          <t>7896422516921</t>
        </is>
      </c>
      <c r="D28" s="7" t="inlineStr">
        <is>
          <t>ALOPURINOL 100MG CX 30 COMP</t>
        </is>
      </c>
      <c r="E28" s="13" t="n">
        <v>1</v>
      </c>
      <c r="F28" s="13" t="n">
        <v>1</v>
      </c>
      <c r="G28" s="13" t="n">
        <v>1</v>
      </c>
      <c r="H28" s="8" t="n">
        <v>4.85</v>
      </c>
      <c r="I28" s="8">
        <f>G28*H28</f>
        <v/>
      </c>
      <c r="J28" s="8">
        <f>H28/E28</f>
        <v/>
      </c>
      <c r="K28" s="8" t="n">
        <v>4.0675</v>
      </c>
      <c r="L28" s="8" t="n">
        <v>3.83</v>
      </c>
      <c r="M28" s="14">
        <f>J28/K28-1</f>
        <v/>
      </c>
      <c r="N28" s="7" t="inlineStr">
        <is>
          <t>ACIMA +19.2%</t>
        </is>
      </c>
      <c r="O28" s="7" t="inlineStr"/>
    </row>
    <row r="29">
      <c r="A29" s="7" t="n">
        <v>122441</v>
      </c>
      <c r="B29" s="7" t="inlineStr">
        <is>
          <t>111</t>
        </is>
      </c>
      <c r="C29" s="12" t="inlineStr">
        <is>
          <t>7898100243143</t>
        </is>
      </c>
      <c r="D29" s="7" t="inlineStr">
        <is>
          <t>AMBROL 15MG/5ML XPE FR 100ML PED</t>
        </is>
      </c>
      <c r="E29" s="13" t="n">
        <v>1</v>
      </c>
      <c r="F29" s="13" t="n">
        <v>16</v>
      </c>
      <c r="G29" s="13" t="n">
        <v>16</v>
      </c>
      <c r="H29" s="8" t="n">
        <v>4.69</v>
      </c>
      <c r="I29" s="8">
        <f>G29*H29</f>
        <v/>
      </c>
      <c r="J29" s="8">
        <f>H29/E29</f>
        <v/>
      </c>
      <c r="K29" s="8" t="n">
        <v>3.69</v>
      </c>
      <c r="L29" s="8" t="n">
        <v>3.69</v>
      </c>
      <c r="M29" s="14">
        <f>J29/K29-1</f>
        <v/>
      </c>
      <c r="N29" s="7" t="inlineStr">
        <is>
          <t>ACIMA +27.1%</t>
        </is>
      </c>
      <c r="O29" s="7" t="inlineStr"/>
    </row>
    <row r="30">
      <c r="A30" s="7" t="n">
        <v>122461</v>
      </c>
      <c r="B30" s="7" t="inlineStr">
        <is>
          <t>110</t>
        </is>
      </c>
      <c r="C30" s="12" t="inlineStr">
        <is>
          <t>7898100243150</t>
        </is>
      </c>
      <c r="D30" s="7" t="inlineStr">
        <is>
          <t>AMBROL 30MG/5ML XPE FR 100ML ADU</t>
        </is>
      </c>
      <c r="E30" s="13" t="n">
        <v>1</v>
      </c>
      <c r="F30" s="13" t="n">
        <v>70</v>
      </c>
      <c r="G30" s="13" t="n">
        <v>70</v>
      </c>
      <c r="H30" s="8" t="n">
        <v>4.71</v>
      </c>
      <c r="I30" s="8">
        <f>G30*H30</f>
        <v/>
      </c>
      <c r="J30" s="8">
        <f>H30/E30</f>
        <v/>
      </c>
      <c r="K30" s="8" t="n">
        <v>4.68</v>
      </c>
      <c r="L30" s="8" t="n">
        <v>3.69</v>
      </c>
      <c r="M30" s="14">
        <f>J30/K30-1</f>
        <v/>
      </c>
      <c r="N30" s="7" t="inlineStr">
        <is>
          <t>ACIMA +0.6%</t>
        </is>
      </c>
      <c r="O30" s="7" t="inlineStr"/>
    </row>
    <row r="31">
      <c r="A31" s="7" t="n">
        <v>533061</v>
      </c>
      <c r="B31" s="7" t="inlineStr">
        <is>
          <t>6555</t>
        </is>
      </c>
      <c r="C31" s="12" t="inlineStr">
        <is>
          <t>7899620915091</t>
        </is>
      </c>
      <c r="D31" s="7" t="inlineStr">
        <is>
          <t>APETISINA BC 240ML MORANGO</t>
        </is>
      </c>
      <c r="E31" s="13" t="n">
        <v>1</v>
      </c>
      <c r="F31" s="13" t="n">
        <v>5</v>
      </c>
      <c r="G31" s="13" t="n">
        <v>5</v>
      </c>
      <c r="H31" s="8" t="n">
        <v>5.49</v>
      </c>
      <c r="I31" s="8">
        <f>G31*H31</f>
        <v/>
      </c>
      <c r="J31" s="8">
        <f>H31/E31</f>
        <v/>
      </c>
      <c r="K31" s="8" t="n">
        <v>4.35</v>
      </c>
      <c r="L31" s="8" t="n">
        <v>4.35</v>
      </c>
      <c r="M31" s="14">
        <f>J31/K31-1</f>
        <v/>
      </c>
      <c r="N31" s="7" t="inlineStr">
        <is>
          <t>ACIMA +26.2%</t>
        </is>
      </c>
      <c r="O31" s="7" t="inlineStr"/>
    </row>
    <row r="32">
      <c r="A32" s="7" t="n">
        <v>547741</v>
      </c>
      <c r="B32" s="7" t="inlineStr">
        <is>
          <t>2609</t>
        </is>
      </c>
      <c r="C32" s="12" t="inlineStr">
        <is>
          <t>7899620910584</t>
        </is>
      </c>
      <c r="D32" s="7" t="inlineStr">
        <is>
          <t>APETISINA BC 240ML UVA</t>
        </is>
      </c>
      <c r="E32" s="13" t="n">
        <v>1</v>
      </c>
      <c r="F32" s="13" t="n">
        <v>4</v>
      </c>
      <c r="G32" s="13" t="n">
        <v>4</v>
      </c>
      <c r="H32" s="8" t="n">
        <v>5.49</v>
      </c>
      <c r="I32" s="8">
        <f>G32*H32</f>
        <v/>
      </c>
      <c r="J32" s="8">
        <f>H32/E32</f>
        <v/>
      </c>
      <c r="K32" s="8" t="n">
        <v>5.48</v>
      </c>
      <c r="L32" s="8" t="n">
        <v>4.8</v>
      </c>
      <c r="M32" s="14">
        <f>J32/K32-1</f>
        <v/>
      </c>
      <c r="N32" s="7" t="inlineStr">
        <is>
          <t>ACIMA +0.2%</t>
        </is>
      </c>
      <c r="O32" s="7" t="inlineStr"/>
    </row>
    <row r="33">
      <c r="A33" s="7" t="n">
        <v>5503</v>
      </c>
      <c r="B33" s="7" t="inlineStr">
        <is>
          <t>9627</t>
        </is>
      </c>
      <c r="C33" s="12" t="inlineStr">
        <is>
          <t>7898767760922</t>
        </is>
      </c>
      <c r="D33" s="7" t="inlineStr">
        <is>
          <t>ARTRIFLEX 40MG C/60 CPS</t>
        </is>
      </c>
      <c r="E33" s="13" t="n">
        <v>1</v>
      </c>
      <c r="F33" s="13" t="n">
        <v>1</v>
      </c>
      <c r="G33" s="13" t="n">
        <v>1</v>
      </c>
      <c r="H33" s="8" t="n">
        <v>42.39</v>
      </c>
      <c r="I33" s="8">
        <f>G33*H33</f>
        <v/>
      </c>
      <c r="J33" s="8">
        <f>H33/E33</f>
        <v/>
      </c>
      <c r="K33" s="8" t="n">
        <v>26.99</v>
      </c>
      <c r="L33" s="8" t="n">
        <v>26.99</v>
      </c>
      <c r="M33" s="14">
        <f>J33/K33-1</f>
        <v/>
      </c>
      <c r="N33" s="7" t="inlineStr">
        <is>
          <t>ACIMA +57.1%</t>
        </is>
      </c>
      <c r="O33" s="7" t="inlineStr"/>
    </row>
    <row r="34">
      <c r="A34" s="7" t="n">
        <v>339181</v>
      </c>
      <c r="B34" s="7" t="inlineStr">
        <is>
          <t>9</t>
        </is>
      </c>
      <c r="C34" s="12" t="inlineStr">
        <is>
          <t>7898216360581</t>
        </is>
      </c>
      <c r="D34" s="7" t="inlineStr">
        <is>
          <t>ARTRITEC 7,5MG CX 10 COMP</t>
        </is>
      </c>
      <c r="E34" s="13" t="n">
        <v>1</v>
      </c>
      <c r="F34" s="13" t="n">
        <v>2</v>
      </c>
      <c r="G34" s="13" t="n">
        <v>2</v>
      </c>
      <c r="H34" s="8" t="n">
        <v>3.3</v>
      </c>
      <c r="I34" s="8">
        <f>G34*H34</f>
        <v/>
      </c>
      <c r="J34" s="8">
        <f>H34/E34</f>
        <v/>
      </c>
      <c r="K34" s="8" t="n">
        <v>3.22</v>
      </c>
      <c r="L34" s="8" t="n">
        <v>3.22</v>
      </c>
      <c r="M34" s="14">
        <f>J34/K34-1</f>
        <v/>
      </c>
      <c r="N34" s="7" t="inlineStr">
        <is>
          <t>ACIMA +2.5%</t>
        </is>
      </c>
      <c r="O34" s="7" t="inlineStr"/>
    </row>
    <row r="35">
      <c r="A35" s="7" t="n">
        <v>597791</v>
      </c>
      <c r="B35" s="7" t="inlineStr">
        <is>
          <t>7705</t>
        </is>
      </c>
      <c r="C35" s="12" t="inlineStr">
        <is>
          <t>7898933598625</t>
        </is>
      </c>
      <c r="D35" s="7" t="inlineStr">
        <is>
          <t>ATADURA DE CREPE 06CM UND</t>
        </is>
      </c>
      <c r="E35" s="13" t="n">
        <v>12</v>
      </c>
      <c r="F35" s="13" t="n">
        <v>7</v>
      </c>
      <c r="G35" s="13" t="n">
        <v>1</v>
      </c>
      <c r="H35" s="8" t="n">
        <v>5.25</v>
      </c>
      <c r="I35" s="8">
        <f>G35*H35</f>
        <v/>
      </c>
      <c r="J35" s="8">
        <f>H35/E35</f>
        <v/>
      </c>
      <c r="K35" s="8" t="n">
        <v>0.4992</v>
      </c>
      <c r="L35" s="8" t="n">
        <v>0.4992</v>
      </c>
      <c r="M35" s="14">
        <f>J35/K35-1</f>
        <v/>
      </c>
      <c r="N35" s="7" t="inlineStr">
        <is>
          <t>OK (≤ menor hist.)</t>
        </is>
      </c>
      <c r="O35" s="7" t="inlineStr">
        <is>
          <t>1 emb = 12 un</t>
        </is>
      </c>
    </row>
    <row r="36">
      <c r="A36" s="7" t="n">
        <v>621511</v>
      </c>
      <c r="B36" s="7" t="inlineStr">
        <is>
          <t>7648</t>
        </is>
      </c>
      <c r="C36" s="12" t="inlineStr">
        <is>
          <t>7898933598816</t>
        </is>
      </c>
      <c r="D36" s="7" t="inlineStr">
        <is>
          <t>ATADURA DE CREPE 10CM 13 FIOS TEXPHARMA</t>
        </is>
      </c>
      <c r="E36" s="13" t="n">
        <v>12</v>
      </c>
      <c r="F36" s="13" t="n">
        <v>12</v>
      </c>
      <c r="G36" s="13" t="n">
        <v>1</v>
      </c>
      <c r="H36" s="8" t="n">
        <v>6.53</v>
      </c>
      <c r="I36" s="8">
        <f>G36*H36</f>
        <v/>
      </c>
      <c r="J36" s="8">
        <f>H36/E36</f>
        <v/>
      </c>
      <c r="K36" s="8" t="n">
        <v>0.8325</v>
      </c>
      <c r="L36" s="8" t="n">
        <v>0.8325</v>
      </c>
      <c r="M36" s="14">
        <f>J36/K36-1</f>
        <v/>
      </c>
      <c r="N36" s="7" t="inlineStr">
        <is>
          <t>OK (≤ menor hist.)</t>
        </is>
      </c>
      <c r="O36" s="7" t="inlineStr">
        <is>
          <t>1 emb = 12 un</t>
        </is>
      </c>
    </row>
    <row r="37">
      <c r="A37" s="7" t="n">
        <v>623471</v>
      </c>
      <c r="B37" s="7" t="inlineStr">
        <is>
          <t>7553</t>
        </is>
      </c>
      <c r="C37" s="12" t="inlineStr">
        <is>
          <t>7898933598755</t>
        </is>
      </c>
      <c r="D37" s="7" t="inlineStr">
        <is>
          <t>ATADURA DE CREPE 15CM C/12 UND</t>
        </is>
      </c>
      <c r="E37" s="13" t="n">
        <v>12</v>
      </c>
      <c r="F37" s="13" t="n">
        <v>11</v>
      </c>
      <c r="G37" s="13" t="n">
        <v>1</v>
      </c>
      <c r="H37" s="8" t="n">
        <v>9.82</v>
      </c>
      <c r="I37" s="8">
        <f>G37*H37</f>
        <v/>
      </c>
      <c r="J37" s="8">
        <f>H37/E37</f>
        <v/>
      </c>
      <c r="K37" s="8" t="n">
        <v>1.2492</v>
      </c>
      <c r="L37" s="8" t="n">
        <v>1.1658</v>
      </c>
      <c r="M37" s="14">
        <f>J37/K37-1</f>
        <v/>
      </c>
      <c r="N37" s="7" t="inlineStr">
        <is>
          <t>OK (≤ menor hist.)</t>
        </is>
      </c>
      <c r="O37" s="7" t="inlineStr">
        <is>
          <t>1 emb = 12 un</t>
        </is>
      </c>
    </row>
    <row r="38">
      <c r="A38" s="7" t="n">
        <v>623481</v>
      </c>
      <c r="B38" s="7" t="inlineStr">
        <is>
          <t>7706</t>
        </is>
      </c>
      <c r="C38" s="12" t="inlineStr">
        <is>
          <t>7898933598847</t>
        </is>
      </c>
      <c r="D38" s="7" t="inlineStr">
        <is>
          <t>ATADURA DE CREPE 20CM 13 FIOS TEXPHARMA</t>
        </is>
      </c>
      <c r="E38" s="13" t="n">
        <v>12</v>
      </c>
      <c r="F38" s="13" t="n">
        <v>1</v>
      </c>
      <c r="G38" s="13" t="n">
        <v>1</v>
      </c>
      <c r="H38" s="8" t="n">
        <v>13.08</v>
      </c>
      <c r="I38" s="8">
        <f>G38*H38</f>
        <v/>
      </c>
      <c r="J38" s="8">
        <f>H38/E38</f>
        <v/>
      </c>
      <c r="K38" s="8" t="n">
        <v>1.6658</v>
      </c>
      <c r="L38" s="8" t="n">
        <v>1.6658</v>
      </c>
      <c r="M38" s="14">
        <f>J38/K38-1</f>
        <v/>
      </c>
      <c r="N38" s="7" t="inlineStr">
        <is>
          <t>OK (≤ menor hist.)</t>
        </is>
      </c>
      <c r="O38" s="7" t="inlineStr">
        <is>
          <t>1 emb = 12 un</t>
        </is>
      </c>
    </row>
    <row r="39">
      <c r="A39" s="7" t="n">
        <v>613211</v>
      </c>
      <c r="B39" s="7" t="inlineStr">
        <is>
          <t>7710</t>
        </is>
      </c>
      <c r="C39" s="12" t="inlineStr">
        <is>
          <t>7898933598786</t>
        </is>
      </c>
      <c r="D39" s="7" t="inlineStr">
        <is>
          <t>ATADURA DE CREPE 30CM C/12 UND</t>
        </is>
      </c>
      <c r="E39" s="13" t="n">
        <v>12</v>
      </c>
      <c r="F39" s="13" t="n">
        <v>3</v>
      </c>
      <c r="G39" s="13" t="n">
        <v>1</v>
      </c>
      <c r="H39" s="8" t="n">
        <v>19.67</v>
      </c>
      <c r="I39" s="8">
        <f>G39*H39</f>
        <v/>
      </c>
      <c r="J39" s="8">
        <f>H39/E39</f>
        <v/>
      </c>
      <c r="K39" s="8" t="n">
        <v>2.1658</v>
      </c>
      <c r="L39" s="8" t="n">
        <v>2.1658</v>
      </c>
      <c r="M39" s="14">
        <f>J39/K39-1</f>
        <v/>
      </c>
      <c r="N39" s="7" t="inlineStr">
        <is>
          <t>OK (≤ menor hist.)</t>
        </is>
      </c>
      <c r="O39" s="7" t="inlineStr">
        <is>
          <t>1 emb = 12 un</t>
        </is>
      </c>
    </row>
    <row r="40">
      <c r="A40" s="7" t="n">
        <v>653621</v>
      </c>
      <c r="B40" s="7" t="inlineStr">
        <is>
          <t>10682</t>
        </is>
      </c>
      <c r="C40" s="12" t="inlineStr">
        <is>
          <t>7898108642108</t>
        </is>
      </c>
      <c r="D40" s="7" t="inlineStr">
        <is>
          <t>ATADURA DE CREPE MICKEY 12CM</t>
        </is>
      </c>
      <c r="E40" s="13" t="n">
        <v>1</v>
      </c>
      <c r="F40" s="13" t="n">
        <v>2</v>
      </c>
      <c r="G40" s="13" t="n">
        <v>2</v>
      </c>
      <c r="H40" s="8" t="n">
        <v>2.66</v>
      </c>
      <c r="I40" s="8">
        <f>G40*H40</f>
        <v/>
      </c>
      <c r="J40" s="8">
        <f>H40/E40</f>
        <v/>
      </c>
      <c r="K40" s="8" t="n">
        <v>2.53</v>
      </c>
      <c r="L40" s="8" t="n">
        <v>2.51</v>
      </c>
      <c r="M40" s="14">
        <f>J40/K40-1</f>
        <v/>
      </c>
      <c r="N40" s="7" t="inlineStr">
        <is>
          <t>ACIMA +5.1%</t>
        </is>
      </c>
      <c r="O40" s="7" t="inlineStr"/>
    </row>
    <row r="41">
      <c r="A41" s="7" t="n">
        <v>648271</v>
      </c>
      <c r="B41" s="7" t="inlineStr">
        <is>
          <t>225</t>
        </is>
      </c>
      <c r="C41" s="12" t="inlineStr">
        <is>
          <t>7898108641354</t>
        </is>
      </c>
      <c r="D41" s="7" t="inlineStr">
        <is>
          <t>ATADURA DE CREPE SANF 15CMX1,80M</t>
        </is>
      </c>
      <c r="E41" s="13" t="n">
        <v>1</v>
      </c>
      <c r="F41" s="13" t="n">
        <v>1</v>
      </c>
      <c r="G41" s="13" t="n">
        <v>1</v>
      </c>
      <c r="H41" s="8" t="n">
        <v>3.07</v>
      </c>
      <c r="I41" s="8">
        <f>G41*H41</f>
        <v/>
      </c>
      <c r="J41" s="8">
        <f>H41/E41</f>
        <v/>
      </c>
      <c r="K41" s="8" t="n">
        <v>2.6808</v>
      </c>
      <c r="L41" s="8" t="n">
        <v>2.6808</v>
      </c>
      <c r="M41" s="14">
        <f>J41/K41-1</f>
        <v/>
      </c>
      <c r="N41" s="7" t="inlineStr">
        <is>
          <t>ACIMA +14.5%</t>
        </is>
      </c>
      <c r="O41" s="7" t="inlineStr"/>
    </row>
    <row r="42">
      <c r="A42" s="7" t="n">
        <v>648171</v>
      </c>
      <c r="B42" s="7" t="inlineStr">
        <is>
          <t>8460</t>
        </is>
      </c>
      <c r="C42" s="12" t="inlineStr">
        <is>
          <t>7908007905478</t>
        </is>
      </c>
      <c r="D42" s="7" t="inlineStr">
        <is>
          <t>AUTOTESTE COVID-19 AG (TESTE RAPIDO)</t>
        </is>
      </c>
      <c r="E42" s="13" t="n">
        <v>1</v>
      </c>
      <c r="F42" s="13" t="n">
        <v>1</v>
      </c>
      <c r="G42" s="13" t="n">
        <v>1</v>
      </c>
      <c r="H42" s="8" t="n">
        <v>8.289999999999999</v>
      </c>
      <c r="I42" s="8">
        <f>G42*H42</f>
        <v/>
      </c>
      <c r="J42" s="8">
        <f>H42/E42</f>
        <v/>
      </c>
      <c r="K42" s="8" t="n">
        <v>10.7</v>
      </c>
      <c r="L42" s="8" t="n">
        <v>10.7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3143</v>
      </c>
      <c r="B43" s="7" t="inlineStr">
        <is>
          <t>165</t>
        </is>
      </c>
      <c r="C43" s="12" t="inlineStr">
        <is>
          <t>7898031310259</t>
        </is>
      </c>
      <c r="D43" s="7" t="inlineStr">
        <is>
          <t>AZEITE DOCE 30ML</t>
        </is>
      </c>
      <c r="E43" s="13" t="n">
        <v>1</v>
      </c>
      <c r="F43" s="13" t="n">
        <v>1</v>
      </c>
      <c r="G43" s="13" t="n">
        <v>1</v>
      </c>
      <c r="H43" s="8" t="n">
        <v>3.6</v>
      </c>
      <c r="I43" s="8">
        <f>G43*H43</f>
        <v/>
      </c>
      <c r="J43" s="8">
        <f>H43/E43</f>
        <v/>
      </c>
      <c r="K43" s="8" t="n">
        <v>3.54</v>
      </c>
      <c r="L43" s="8" t="n">
        <v>3.54</v>
      </c>
      <c r="M43" s="14">
        <f>J43/K43-1</f>
        <v/>
      </c>
      <c r="N43" s="7" t="inlineStr">
        <is>
          <t>ACIMA +1.7%</t>
        </is>
      </c>
      <c r="O43" s="7" t="inlineStr"/>
    </row>
    <row r="44">
      <c r="A44" s="7" t="n">
        <v>47221</v>
      </c>
      <c r="B44" s="7" t="inlineStr">
        <is>
          <t>4650</t>
        </is>
      </c>
      <c r="C44" s="12" t="inlineStr">
        <is>
          <t>7898216365708</t>
        </is>
      </c>
      <c r="D44" s="7" t="inlineStr">
        <is>
          <t>AZITROMICINA DI-HIDRATADA 500MG CX 5 COMP REV</t>
        </is>
      </c>
      <c r="E44" s="13" t="n">
        <v>1</v>
      </c>
      <c r="F44" s="13" t="n">
        <v>18</v>
      </c>
      <c r="G44" s="13" t="n">
        <v>18</v>
      </c>
      <c r="H44" s="8" t="n">
        <v>6</v>
      </c>
      <c r="I44" s="8">
        <f>G44*H44</f>
        <v/>
      </c>
      <c r="J44" s="8">
        <f>H44/E44</f>
        <v/>
      </c>
      <c r="K44" s="8" t="n">
        <v>5.78</v>
      </c>
      <c r="L44" s="8" t="n">
        <v>5.78</v>
      </c>
      <c r="M44" s="14">
        <f>J44/K44-1</f>
        <v/>
      </c>
      <c r="N44" s="7" t="inlineStr">
        <is>
          <t>ACIMA +3.8%</t>
        </is>
      </c>
      <c r="O44" s="7" t="inlineStr"/>
    </row>
    <row r="45">
      <c r="A45" s="7" t="n">
        <v>47701</v>
      </c>
      <c r="B45" s="7" t="inlineStr">
        <is>
          <t>6</t>
        </is>
      </c>
      <c r="C45" s="12" t="inlineStr">
        <is>
          <t>7898216364510</t>
        </is>
      </c>
      <c r="D45" s="7" t="inlineStr">
        <is>
          <t>AZITROPHAR 600MG PO SUS OR FR 15ML + SER DOS 5ML</t>
        </is>
      </c>
      <c r="E45" s="13" t="n">
        <v>1</v>
      </c>
      <c r="F45" s="13" t="n">
        <v>6</v>
      </c>
      <c r="G45" s="13" t="n">
        <v>6</v>
      </c>
      <c r="H45" s="8" t="n">
        <v>14.499</v>
      </c>
      <c r="I45" s="8">
        <f>G45*H45</f>
        <v/>
      </c>
      <c r="J45" s="8">
        <f>H45/E45</f>
        <v/>
      </c>
      <c r="K45" s="8" t="n">
        <v>13.96</v>
      </c>
      <c r="L45" s="8" t="n">
        <v>13.96</v>
      </c>
      <c r="M45" s="14">
        <f>J45/K45-1</f>
        <v/>
      </c>
      <c r="N45" s="7" t="inlineStr">
        <is>
          <t>ACIMA +3.9%</t>
        </is>
      </c>
      <c r="O45" s="7" t="inlineStr"/>
    </row>
    <row r="46">
      <c r="A46" s="7" t="n">
        <v>533001</v>
      </c>
      <c r="B46" s="7" t="inlineStr">
        <is>
          <t>1371</t>
        </is>
      </c>
      <c r="C46" s="12" t="inlineStr">
        <is>
          <t>7896523223223</t>
        </is>
      </c>
      <c r="D46" s="7" t="inlineStr">
        <is>
          <t>BABYMED MENINO 45G POMADA</t>
        </is>
      </c>
      <c r="E46" s="13" t="n">
        <v>1</v>
      </c>
      <c r="F46" s="13" t="n">
        <v>11</v>
      </c>
      <c r="G46" s="13" t="n">
        <v>11</v>
      </c>
      <c r="H46" s="8" t="n">
        <v>6.74</v>
      </c>
      <c r="I46" s="8">
        <f>G46*H46</f>
        <v/>
      </c>
      <c r="J46" s="8">
        <f>H46/E46</f>
        <v/>
      </c>
      <c r="K46" s="8" t="n">
        <v>4.99</v>
      </c>
      <c r="L46" s="8" t="n">
        <v>4.99</v>
      </c>
      <c r="M46" s="14">
        <f>J46/K46-1</f>
        <v/>
      </c>
      <c r="N46" s="7" t="inlineStr">
        <is>
          <t>ACIMA +35.1%</t>
        </is>
      </c>
      <c r="O46" s="7" t="inlineStr"/>
    </row>
    <row r="47">
      <c r="A47" s="7" t="n">
        <v>606841</v>
      </c>
      <c r="B47" s="7" t="inlineStr">
        <is>
          <t>1619</t>
        </is>
      </c>
      <c r="C47" s="12" t="inlineStr">
        <is>
          <t>7896148500259</t>
        </is>
      </c>
      <c r="D47" s="7" t="inlineStr">
        <is>
          <t>BALAS DE FITOMELITO 37G (FIT)</t>
        </is>
      </c>
      <c r="E47" s="13" t="n">
        <v>1</v>
      </c>
      <c r="F47" s="13" t="n">
        <v>11</v>
      </c>
      <c r="G47" s="13" t="n">
        <v>11</v>
      </c>
      <c r="H47" s="8" t="n">
        <v>4.47</v>
      </c>
      <c r="I47" s="8">
        <f>G47*H47</f>
        <v/>
      </c>
      <c r="J47" s="8">
        <f>H47/E47</f>
        <v/>
      </c>
      <c r="K47" s="8" t="n">
        <v>3.68</v>
      </c>
      <c r="L47" s="8" t="n">
        <v>3.68</v>
      </c>
      <c r="M47" s="14">
        <f>J47/K47-1</f>
        <v/>
      </c>
      <c r="N47" s="7" t="inlineStr">
        <is>
          <t>ACIMA +21.5%</t>
        </is>
      </c>
      <c r="O47" s="7" t="inlineStr"/>
    </row>
    <row r="48">
      <c r="A48" s="7" t="n">
        <v>541321</v>
      </c>
      <c r="B48" s="7" t="inlineStr">
        <is>
          <t>10510</t>
        </is>
      </c>
      <c r="C48" s="12" t="inlineStr">
        <is>
          <t>7898563802468</t>
        </is>
      </c>
      <c r="D48" s="7" t="inlineStr">
        <is>
          <t>BATOM DE CACAU UN</t>
        </is>
      </c>
      <c r="E48" s="13" t="n">
        <v>1</v>
      </c>
      <c r="F48" s="13" t="n">
        <v>1</v>
      </c>
      <c r="G48" s="13" t="n">
        <v>1</v>
      </c>
      <c r="H48" s="8" t="n">
        <v>1.61</v>
      </c>
      <c r="I48" s="8">
        <f>G48*H48</f>
        <v/>
      </c>
      <c r="J48" s="8">
        <f>H48/E48</f>
        <v/>
      </c>
      <c r="K48" s="8" t="n">
        <v>1.61</v>
      </c>
      <c r="L48" s="8" t="n">
        <v>1.61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590701</v>
      </c>
      <c r="B49" s="7" t="inlineStr">
        <is>
          <t>3079</t>
        </is>
      </c>
      <c r="C49" s="12" t="inlineStr">
        <is>
          <t>7898031310075</t>
        </is>
      </c>
      <c r="D49" s="7" t="inlineStr">
        <is>
          <t>BAZELIN 10G UN</t>
        </is>
      </c>
      <c r="E49" s="13" t="n">
        <v>1</v>
      </c>
      <c r="F49" s="13" t="n">
        <v>1</v>
      </c>
      <c r="G49" s="13" t="n">
        <v>1</v>
      </c>
      <c r="H49" s="8" t="n">
        <v>3.81</v>
      </c>
      <c r="I49" s="8">
        <f>G49*H49</f>
        <v/>
      </c>
      <c r="J49" s="8">
        <f>H49/E49</f>
        <v/>
      </c>
      <c r="K49" s="8" t="n">
        <v>3.79</v>
      </c>
      <c r="L49" s="8" t="n">
        <v>3.79</v>
      </c>
      <c r="M49" s="14">
        <f>J49/K49-1</f>
        <v/>
      </c>
      <c r="N49" s="7" t="inlineStr">
        <is>
          <t>ACIMA +0.5%</t>
        </is>
      </c>
      <c r="O49" s="7" t="inlineStr"/>
    </row>
    <row r="50">
      <c r="A50" s="7" t="n">
        <v>212561</v>
      </c>
      <c r="B50" s="7" t="inlineStr">
        <is>
          <t>181</t>
        </is>
      </c>
      <c r="C50" s="12" t="inlineStr">
        <is>
          <t>7897917001465</t>
        </is>
      </c>
      <c r="D50" s="7" t="inlineStr">
        <is>
          <t>BELFAREN 50MG CX 20 COMP</t>
        </is>
      </c>
      <c r="E50" s="13" t="n">
        <v>1</v>
      </c>
      <c r="F50" s="13" t="n">
        <v>2</v>
      </c>
      <c r="G50" s="13" t="n">
        <v>2</v>
      </c>
      <c r="H50" s="8" t="n">
        <v>1.78</v>
      </c>
      <c r="I50" s="8">
        <f>G50*H50</f>
        <v/>
      </c>
      <c r="J50" s="8">
        <f>H50/E50</f>
        <v/>
      </c>
      <c r="K50" s="8" t="n">
        <v>1.62</v>
      </c>
      <c r="L50" s="8" t="n">
        <v>1.62</v>
      </c>
      <c r="M50" s="14">
        <f>J50/K50-1</f>
        <v/>
      </c>
      <c r="N50" s="7" t="inlineStr">
        <is>
          <t>ACIMA +9.9%</t>
        </is>
      </c>
      <c r="O50" s="7" t="inlineStr"/>
    </row>
    <row r="51">
      <c r="A51" s="7" t="n">
        <v>210461</v>
      </c>
      <c r="B51" s="7" t="inlineStr">
        <is>
          <t>9611</t>
        </is>
      </c>
      <c r="C51" s="12" t="inlineStr">
        <is>
          <t>7896004800400</t>
        </is>
      </c>
      <c r="D51" s="7" t="inlineStr">
        <is>
          <t>BENEVRAN CX 20 DRG</t>
        </is>
      </c>
      <c r="E51" s="13" t="n">
        <v>1</v>
      </c>
      <c r="F51" s="13" t="n">
        <v>31</v>
      </c>
      <c r="G51" s="13" t="n">
        <v>31</v>
      </c>
      <c r="H51" s="8" t="n">
        <v>2.34</v>
      </c>
      <c r="I51" s="8">
        <f>G51*H51</f>
        <v/>
      </c>
      <c r="J51" s="8">
        <f>H51/E51</f>
        <v/>
      </c>
      <c r="K51" s="8" t="n">
        <v>2.34</v>
      </c>
      <c r="L51" s="8" t="n">
        <v>2.34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49581</v>
      </c>
      <c r="B52" s="7" t="inlineStr">
        <is>
          <t>453</t>
        </is>
      </c>
      <c r="C52" s="12" t="inlineStr">
        <is>
          <t>7898014560077</t>
        </is>
      </c>
      <c r="D52" s="7" t="inlineStr">
        <is>
          <t>BENZODERM 100 MG/G SAB CT FIL PP X 60 G</t>
        </is>
      </c>
      <c r="E52" s="13" t="n">
        <v>1</v>
      </c>
      <c r="F52" s="13" t="n">
        <v>1</v>
      </c>
      <c r="G52" s="13" t="n">
        <v>1</v>
      </c>
      <c r="H52" s="8" t="n">
        <v>6.59</v>
      </c>
      <c r="I52" s="8">
        <f>G52*H52</f>
        <v/>
      </c>
      <c r="J52" s="8">
        <f>H52/E52</f>
        <v/>
      </c>
      <c r="K52" s="8" t="n">
        <v>6.59</v>
      </c>
      <c r="L52" s="8" t="n">
        <v>6.59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50061</v>
      </c>
      <c r="B53" s="7" t="inlineStr">
        <is>
          <t>5589</t>
        </is>
      </c>
      <c r="C53" s="12" t="inlineStr">
        <is>
          <t>7897917000994</t>
        </is>
      </c>
      <c r="D53" s="7" t="inlineStr">
        <is>
          <t>BENZOILMETRONIDAZOL 40MG/ML SUS OR FR 100ML+COP MED</t>
        </is>
      </c>
      <c r="E53" s="13" t="n">
        <v>1</v>
      </c>
      <c r="F53" s="13" t="n">
        <v>10</v>
      </c>
      <c r="G53" s="13" t="n">
        <v>10</v>
      </c>
      <c r="H53" s="8" t="n">
        <v>9.83</v>
      </c>
      <c r="I53" s="8">
        <f>G53*H53</f>
        <v/>
      </c>
      <c r="J53" s="8">
        <f>H53/E53</f>
        <v/>
      </c>
      <c r="K53" s="8" t="n">
        <v>8.84</v>
      </c>
      <c r="L53" s="8" t="n">
        <v>8.84</v>
      </c>
      <c r="M53" s="14">
        <f>J53/K53-1</f>
        <v/>
      </c>
      <c r="N53" s="7" t="inlineStr">
        <is>
          <t>ACIMA +11.2%</t>
        </is>
      </c>
      <c r="O53" s="7" t="inlineStr"/>
    </row>
    <row r="54">
      <c r="A54" s="7" t="n">
        <v>208141</v>
      </c>
      <c r="B54" s="7" t="inlineStr">
        <is>
          <t>1357</t>
        </is>
      </c>
      <c r="C54" s="12" t="inlineStr">
        <is>
          <t>7896523210797</t>
        </is>
      </c>
      <c r="D54" s="7" t="inlineStr">
        <is>
          <t>BEPANTRIZ 50MG/G POM DERM BG 30G</t>
        </is>
      </c>
      <c r="E54" s="13" t="n">
        <v>1</v>
      </c>
      <c r="F54" s="13" t="n">
        <v>9</v>
      </c>
      <c r="G54" s="13" t="n">
        <v>9</v>
      </c>
      <c r="H54" s="8" t="n">
        <v>7.43</v>
      </c>
      <c r="I54" s="8">
        <f>G54*H54</f>
        <v/>
      </c>
      <c r="J54" s="8">
        <f>H54/E54</f>
        <v/>
      </c>
      <c r="K54" s="8" t="n">
        <v>6.49</v>
      </c>
      <c r="L54" s="8" t="n">
        <v>6.49</v>
      </c>
      <c r="M54" s="14">
        <f>J54/K54-1</f>
        <v/>
      </c>
      <c r="N54" s="7" t="inlineStr">
        <is>
          <t>ACIMA +14.5%</t>
        </is>
      </c>
      <c r="O54" s="7" t="inlineStr"/>
    </row>
    <row r="55">
      <c r="A55" s="7" t="n">
        <v>538061</v>
      </c>
      <c r="B55" s="7" t="inlineStr">
        <is>
          <t>143</t>
        </is>
      </c>
      <c r="C55" s="12" t="inlineStr">
        <is>
          <t>7898031310303</t>
        </is>
      </c>
      <c r="D55" s="7" t="inlineStr">
        <is>
          <t>BICARBONATO DE SODIO 100G</t>
        </is>
      </c>
      <c r="E55" s="13" t="n">
        <v>1</v>
      </c>
      <c r="F55" s="13" t="n">
        <v>24</v>
      </c>
      <c r="G55" s="13" t="n">
        <v>24</v>
      </c>
      <c r="H55" s="8" t="n">
        <v>3.23</v>
      </c>
      <c r="I55" s="8">
        <f>G55*H55</f>
        <v/>
      </c>
      <c r="J55" s="8">
        <f>H55/E55</f>
        <v/>
      </c>
      <c r="K55" s="8" t="n">
        <v>3.05</v>
      </c>
      <c r="L55" s="8" t="n">
        <v>3.05</v>
      </c>
      <c r="M55" s="14">
        <f>J55/K55-1</f>
        <v/>
      </c>
      <c r="N55" s="7" t="inlineStr">
        <is>
          <t>ACIMA +5.9%</t>
        </is>
      </c>
      <c r="O55" s="7" t="inlineStr"/>
    </row>
    <row r="56">
      <c r="A56" s="7" t="n">
        <v>619101</v>
      </c>
      <c r="B56" s="7" t="inlineStr">
        <is>
          <t>8452</t>
        </is>
      </c>
      <c r="C56" s="12" t="inlineStr">
        <is>
          <t>7898953484243</t>
        </is>
      </c>
      <c r="D56" s="7" t="inlineStr">
        <is>
          <t>BICO P/ SERINGA DE LAVAGEN NASAL C/2</t>
        </is>
      </c>
      <c r="E56" s="13" t="n">
        <v>1</v>
      </c>
      <c r="F56" s="13" t="n">
        <v>7</v>
      </c>
      <c r="G56" s="13" t="n">
        <v>7</v>
      </c>
      <c r="H56" s="8" t="n">
        <v>4.3</v>
      </c>
      <c r="I56" s="8">
        <f>G56*H56</f>
        <v/>
      </c>
      <c r="J56" s="8">
        <f>H56/E56</f>
        <v/>
      </c>
      <c r="K56" s="8" t="n">
        <v>4.3</v>
      </c>
      <c r="L56" s="8" t="n">
        <v>4.3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3893</v>
      </c>
      <c r="B57" s="7" t="inlineStr">
        <is>
          <t>7444</t>
        </is>
      </c>
      <c r="C57" s="12" t="inlineStr">
        <is>
          <t>7908414448933</t>
        </is>
      </c>
      <c r="D57" s="7" t="inlineStr">
        <is>
          <t>BOLSA TERMICA GEL AZUL HC353</t>
        </is>
      </c>
      <c r="E57" s="13" t="n">
        <v>1</v>
      </c>
      <c r="F57" s="13" t="n">
        <v>6</v>
      </c>
      <c r="G57" s="13" t="n">
        <v>6</v>
      </c>
      <c r="H57" s="8" t="n">
        <v>12.92</v>
      </c>
      <c r="I57" s="8">
        <f>G57*H57</f>
        <v/>
      </c>
      <c r="J57" s="8">
        <f>H57/E57</f>
        <v/>
      </c>
      <c r="K57" s="8" t="n">
        <v>12.92</v>
      </c>
      <c r="L57" s="8" t="n">
        <v>12.92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674321</v>
      </c>
      <c r="B58" s="7" t="inlineStr">
        <is>
          <t>9959</t>
        </is>
      </c>
      <c r="C58" s="12" t="inlineStr">
        <is>
          <t>7898975719040</t>
        </is>
      </c>
      <c r="D58" s="7" t="inlineStr">
        <is>
          <t>BOLSA TERMICA GEL QUENTE OU FRIO GRANDE</t>
        </is>
      </c>
      <c r="E58" s="13" t="n">
        <v>1</v>
      </c>
      <c r="F58" s="13" t="n">
        <v>1</v>
      </c>
      <c r="G58" s="13" t="n">
        <v>1</v>
      </c>
      <c r="H58" s="8" t="n">
        <v>10.63</v>
      </c>
      <c r="I58" s="8">
        <f>G58*H58</f>
        <v/>
      </c>
      <c r="J58" s="8">
        <f>H58/E58</f>
        <v/>
      </c>
      <c r="K58" s="8" t="n">
        <v>10.63</v>
      </c>
      <c r="L58" s="8" t="n">
        <v>10.63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194</v>
      </c>
      <c r="B59" s="7" t="inlineStr">
        <is>
          <t>10651</t>
        </is>
      </c>
      <c r="C59" s="12" t="inlineStr">
        <is>
          <t>7894164010264</t>
        </is>
      </c>
      <c r="D59" s="7" t="inlineStr">
        <is>
          <t>BROMOPRIDA 4MG/ML 20ML</t>
        </is>
      </c>
      <c r="E59" s="13" t="n">
        <v>1</v>
      </c>
      <c r="F59" s="13" t="n">
        <v>2</v>
      </c>
      <c r="G59" s="13" t="n">
        <v>2</v>
      </c>
      <c r="H59" s="8" t="n">
        <v>3.58</v>
      </c>
      <c r="I59" s="8">
        <f>G59*H59</f>
        <v/>
      </c>
      <c r="J59" s="8">
        <f>H59/E59</f>
        <v/>
      </c>
      <c r="K59" s="8" t="n">
        <v>3.58</v>
      </c>
      <c r="L59" s="8" t="n">
        <v>3.58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294981</v>
      </c>
      <c r="B60" s="7" t="inlineStr">
        <is>
          <t>1553</t>
        </is>
      </c>
      <c r="C60" s="12" t="inlineStr">
        <is>
          <t>7896472513284</t>
        </is>
      </c>
      <c r="D60" s="7" t="inlineStr">
        <is>
          <t>BUPROVIL 300MG CX 20 COMP</t>
        </is>
      </c>
      <c r="E60" s="13" t="n">
        <v>1</v>
      </c>
      <c r="F60" s="13" t="n">
        <v>1</v>
      </c>
      <c r="G60" s="13" t="n">
        <v>1</v>
      </c>
      <c r="H60" s="8" t="n">
        <v>5.63</v>
      </c>
      <c r="I60" s="8">
        <f>G60*H60</f>
        <v/>
      </c>
      <c r="J60" s="8">
        <f>H60/E60</f>
        <v/>
      </c>
      <c r="K60" s="8" t="n">
        <v>5.63</v>
      </c>
      <c r="L60" s="8" t="n">
        <v>5.63</v>
      </c>
      <c r="M60" s="14">
        <f>J60/K60-1</f>
        <v/>
      </c>
      <c r="N60" s="7" t="inlineStr">
        <is>
          <t>OK (≤ menor hist.)</t>
        </is>
      </c>
      <c r="O60" s="7" t="inlineStr"/>
    </row>
    <row r="61">
      <c r="A61" s="7" t="n">
        <v>596481</v>
      </c>
      <c r="B61" s="7" t="inlineStr">
        <is>
          <t>5564</t>
        </is>
      </c>
      <c r="C61" s="12" t="inlineStr">
        <is>
          <t>7894164005260</t>
        </is>
      </c>
      <c r="D61" s="7" t="inlineStr">
        <is>
          <t>CALOFIM 5ML SOL (AIRELA)</t>
        </is>
      </c>
      <c r="E61" s="13" t="n">
        <v>1</v>
      </c>
      <c r="F61" s="13" t="n">
        <v>8</v>
      </c>
      <c r="G61" s="13" t="n">
        <v>8</v>
      </c>
      <c r="H61" s="8" t="n">
        <v>8.9</v>
      </c>
      <c r="I61" s="8">
        <f>G61*H61</f>
        <v/>
      </c>
      <c r="J61" s="8">
        <f>H61/E61</f>
        <v/>
      </c>
      <c r="K61" s="8" t="n">
        <v>8.56</v>
      </c>
      <c r="L61" s="8" t="n">
        <v>8.48</v>
      </c>
      <c r="M61" s="14">
        <f>J61/K61-1</f>
        <v/>
      </c>
      <c r="N61" s="7" t="inlineStr">
        <is>
          <t>ACIMA +4.0%</t>
        </is>
      </c>
      <c r="O61" s="7" t="inlineStr"/>
    </row>
    <row r="62">
      <c r="A62" s="7" t="n">
        <v>74721</v>
      </c>
      <c r="B62" s="7" t="inlineStr">
        <is>
          <t>1128</t>
        </is>
      </c>
      <c r="C62" s="12" t="inlineStr">
        <is>
          <t>7899620910164</t>
        </is>
      </c>
      <c r="D62" s="7" t="inlineStr">
        <is>
          <t>CAPTOPRIL 50MG CX 30 COMP</t>
        </is>
      </c>
      <c r="E62" s="13" t="n">
        <v>1</v>
      </c>
      <c r="F62" s="13" t="n">
        <v>3</v>
      </c>
      <c r="G62" s="13" t="n">
        <v>3</v>
      </c>
      <c r="H62" s="8" t="n">
        <v>4.04</v>
      </c>
      <c r="I62" s="8">
        <f>G62*H62</f>
        <v/>
      </c>
      <c r="J62" s="8">
        <f>H62/E62</f>
        <v/>
      </c>
      <c r="K62" s="8" t="n">
        <v>4.04</v>
      </c>
      <c r="L62" s="8" t="n">
        <v>4.04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84281</v>
      </c>
      <c r="B63" s="7" t="inlineStr">
        <is>
          <t>2273</t>
        </is>
      </c>
      <c r="C63" s="12" t="inlineStr">
        <is>
          <t>7895296261036</t>
        </is>
      </c>
      <c r="D63" s="7" t="inlineStr">
        <is>
          <t>CARDBET 3,125MG CX 30 COMP</t>
        </is>
      </c>
      <c r="E63" s="13" t="n">
        <v>1</v>
      </c>
      <c r="F63" s="13" t="n">
        <v>3</v>
      </c>
      <c r="G63" s="13" t="n">
        <v>3</v>
      </c>
      <c r="H63" s="8" t="n">
        <v>3.62</v>
      </c>
      <c r="I63" s="8">
        <f>G63*H63</f>
        <v/>
      </c>
      <c r="J63" s="8">
        <f>H63/E63</f>
        <v/>
      </c>
      <c r="K63" s="8" t="n">
        <v>3</v>
      </c>
      <c r="L63" s="8" t="n">
        <v>3</v>
      </c>
      <c r="M63" s="14">
        <f>J63/K63-1</f>
        <v/>
      </c>
      <c r="N63" s="7" t="inlineStr">
        <is>
          <t>ACIMA +20.7%</t>
        </is>
      </c>
      <c r="O63" s="7" t="inlineStr"/>
    </row>
    <row r="64">
      <c r="A64" s="7" t="n">
        <v>86481</v>
      </c>
      <c r="B64" s="7" t="inlineStr">
        <is>
          <t>1669</t>
        </is>
      </c>
      <c r="C64" s="12" t="inlineStr">
        <is>
          <t>7896004718309</t>
        </is>
      </c>
      <c r="D64" s="7" t="inlineStr">
        <is>
          <t>CEDROXIL 500MG CX 8 CAP</t>
        </is>
      </c>
      <c r="E64" s="13" t="n">
        <v>1</v>
      </c>
      <c r="F64" s="13" t="n">
        <v>1</v>
      </c>
      <c r="G64" s="13" t="n">
        <v>1</v>
      </c>
      <c r="H64" s="8" t="n">
        <v>9.789999999999999</v>
      </c>
      <c r="I64" s="8">
        <f>G64*H64</f>
        <v/>
      </c>
      <c r="J64" s="8">
        <f>H64/E64</f>
        <v/>
      </c>
      <c r="K64" s="8" t="n">
        <v>9.4</v>
      </c>
      <c r="L64" s="8" t="n">
        <v>9.35</v>
      </c>
      <c r="M64" s="14">
        <f>J64/K64-1</f>
        <v/>
      </c>
      <c r="N64" s="7" t="inlineStr">
        <is>
          <t>ACIMA +4.1%</t>
        </is>
      </c>
      <c r="O64" s="7" t="inlineStr"/>
    </row>
    <row r="65">
      <c r="A65" s="7" t="n">
        <v>630661</v>
      </c>
      <c r="B65" s="7" t="inlineStr">
        <is>
          <t>8333</t>
        </is>
      </c>
      <c r="C65" s="12" t="inlineStr">
        <is>
          <t>7896920304556</t>
        </is>
      </c>
      <c r="D65" s="7" t="inlineStr">
        <is>
          <t>CENTROMAX A Z 60 CAPS</t>
        </is>
      </c>
      <c r="E65" s="13" t="n">
        <v>1</v>
      </c>
      <c r="F65" s="13" t="n">
        <v>1</v>
      </c>
      <c r="G65" s="13" t="n">
        <v>1</v>
      </c>
      <c r="H65" s="8" t="n">
        <v>28.48981</v>
      </c>
      <c r="I65" s="8">
        <f>G65*H65</f>
        <v/>
      </c>
      <c r="J65" s="8">
        <f>H65/E65</f>
        <v/>
      </c>
      <c r="K65" s="8" t="n">
        <v>26.85</v>
      </c>
      <c r="L65" s="8" t="n">
        <v>26.85</v>
      </c>
      <c r="M65" s="14">
        <f>J65/K65-1</f>
        <v/>
      </c>
      <c r="N65" s="7" t="inlineStr">
        <is>
          <t>ACIMA +6.1%</t>
        </is>
      </c>
      <c r="O65" s="7" t="inlineStr"/>
    </row>
    <row r="66">
      <c r="A66" s="7" t="n">
        <v>1301</v>
      </c>
      <c r="B66" s="7" t="inlineStr">
        <is>
          <t>372</t>
        </is>
      </c>
      <c r="C66" s="12" t="inlineStr">
        <is>
          <t>7893454100647</t>
        </is>
      </c>
      <c r="D66" s="7" t="inlineStr">
        <is>
          <t>CETOBETA 20+0,64+2,5MG/G POM BG 30G</t>
        </is>
      </c>
      <c r="E66" s="13" t="n">
        <v>1</v>
      </c>
      <c r="F66" s="13" t="n">
        <v>21</v>
      </c>
      <c r="G66" s="13" t="n">
        <v>21</v>
      </c>
      <c r="H66" s="8" t="n">
        <v>8.76</v>
      </c>
      <c r="I66" s="8">
        <f>G66*H66</f>
        <v/>
      </c>
      <c r="J66" s="8">
        <f>H66/E66</f>
        <v/>
      </c>
      <c r="K66" s="8" t="n">
        <v>8</v>
      </c>
      <c r="L66" s="8" t="n">
        <v>7.69</v>
      </c>
      <c r="M66" s="14">
        <f>J66/K66-1</f>
        <v/>
      </c>
      <c r="N66" s="7" t="inlineStr">
        <is>
          <t>ACIMA +9.5%</t>
        </is>
      </c>
      <c r="O66" s="7" t="inlineStr"/>
    </row>
    <row r="67">
      <c r="A67" s="7" t="n">
        <v>92221</v>
      </c>
      <c r="B67" s="7" t="inlineStr">
        <is>
          <t>3542</t>
        </is>
      </c>
      <c r="C67" s="12" t="inlineStr">
        <is>
          <t>7899620911352</t>
        </is>
      </c>
      <c r="D67" s="7" t="inlineStr">
        <is>
          <t>CETOCONAZOL 200MG CX 10 COMP</t>
        </is>
      </c>
      <c r="E67" s="13" t="n">
        <v>1</v>
      </c>
      <c r="F67" s="13" t="n">
        <v>2</v>
      </c>
      <c r="G67" s="13" t="n">
        <v>2</v>
      </c>
      <c r="H67" s="8" t="n">
        <v>4.28</v>
      </c>
      <c r="I67" s="8">
        <f>G67*H67</f>
        <v/>
      </c>
      <c r="J67" s="8">
        <f>H67/E67</f>
        <v/>
      </c>
      <c r="K67" s="8" t="n">
        <v>4.1</v>
      </c>
      <c r="L67" s="8" t="n">
        <v>4.1</v>
      </c>
      <c r="M67" s="14">
        <f>J67/K67-1</f>
        <v/>
      </c>
      <c r="N67" s="7" t="inlineStr">
        <is>
          <t>ACIMA +4.4%</t>
        </is>
      </c>
      <c r="O67" s="7" t="inlineStr"/>
    </row>
    <row r="68">
      <c r="A68" s="7" t="n">
        <v>92021</v>
      </c>
      <c r="B68" s="7" t="inlineStr">
        <is>
          <t>234</t>
        </is>
      </c>
      <c r="C68" s="12" t="inlineStr">
        <is>
          <t>7898216367535</t>
        </is>
      </c>
      <c r="D68" s="7" t="inlineStr">
        <is>
          <t>CETOCONAZOL 200MG CX 10 COMP</t>
        </is>
      </c>
      <c r="E68" s="13" t="n">
        <v>1</v>
      </c>
      <c r="F68" s="13" t="n">
        <v>4</v>
      </c>
      <c r="G68" s="13" t="n">
        <v>4</v>
      </c>
      <c r="H68" s="8" t="n">
        <v>6.16</v>
      </c>
      <c r="I68" s="8">
        <f>G68*H68</f>
        <v/>
      </c>
      <c r="J68" s="8">
        <f>H68/E68</f>
        <v/>
      </c>
      <c r="K68" s="8" t="n">
        <v>4.81</v>
      </c>
      <c r="L68" s="8" t="n">
        <v>4.81</v>
      </c>
      <c r="M68" s="14">
        <f>J68/K68-1</f>
        <v/>
      </c>
      <c r="N68" s="7" t="inlineStr">
        <is>
          <t>ACIMA +28.1%</t>
        </is>
      </c>
      <c r="O68" s="7" t="inlineStr"/>
    </row>
    <row r="69">
      <c r="A69" s="7" t="n">
        <v>96181</v>
      </c>
      <c r="B69" s="7" t="inlineStr">
        <is>
          <t>4848</t>
        </is>
      </c>
      <c r="C69" s="12" t="inlineStr">
        <is>
          <t>7896422507295</t>
        </is>
      </c>
      <c r="D69" s="7" t="inlineStr">
        <is>
          <t>CETOPROFENO 100MG CX 20 COMP</t>
        </is>
      </c>
      <c r="E69" s="13" t="n">
        <v>1</v>
      </c>
      <c r="F69" s="13" t="n">
        <v>36</v>
      </c>
      <c r="G69" s="13" t="n">
        <v>36</v>
      </c>
      <c r="H69" s="8" t="n">
        <v>22.49</v>
      </c>
      <c r="I69" s="8">
        <f>G69*H69</f>
        <v/>
      </c>
      <c r="J69" s="8">
        <f>H69/E69</f>
        <v/>
      </c>
      <c r="K69" s="8" t="n">
        <v>20.1267</v>
      </c>
      <c r="L69" s="8" t="n">
        <v>17.7656</v>
      </c>
      <c r="M69" s="14">
        <f>J69/K69-1</f>
        <v/>
      </c>
      <c r="N69" s="7" t="inlineStr">
        <is>
          <t>ACIMA +11.7%</t>
        </is>
      </c>
      <c r="O69" s="7" t="inlineStr"/>
    </row>
    <row r="70">
      <c r="A70" s="7" t="n">
        <v>95101</v>
      </c>
      <c r="B70" s="7" t="inlineStr">
        <is>
          <t>4849</t>
        </is>
      </c>
      <c r="C70" s="12" t="inlineStr">
        <is>
          <t>7891058002961</t>
        </is>
      </c>
      <c r="D70" s="7" t="inlineStr">
        <is>
          <t>CETOPROFENO 150MG CX 10 COMP REV LIB PROL</t>
        </is>
      </c>
      <c r="E70" s="13" t="n">
        <v>1</v>
      </c>
      <c r="F70" s="13" t="n">
        <v>153</v>
      </c>
      <c r="G70" s="13" t="n">
        <v>153</v>
      </c>
      <c r="H70" s="8" t="n">
        <v>5.99</v>
      </c>
      <c r="I70" s="8">
        <f>G70*H70</f>
        <v/>
      </c>
      <c r="J70" s="8">
        <f>H70/E70</f>
        <v/>
      </c>
      <c r="K70" s="8" t="n">
        <v>5.1338</v>
      </c>
      <c r="L70" s="8" t="n">
        <v>5.1338</v>
      </c>
      <c r="M70" s="14">
        <f>J70/K70-1</f>
        <v/>
      </c>
      <c r="N70" s="7" t="inlineStr">
        <is>
          <t>ACIMA +16.7%</t>
        </is>
      </c>
      <c r="O70" s="7" t="inlineStr"/>
    </row>
    <row r="71">
      <c r="A71" s="7" t="n">
        <v>95121</v>
      </c>
      <c r="B71" s="7" t="inlineStr">
        <is>
          <t>4850</t>
        </is>
      </c>
      <c r="C71" s="12" t="inlineStr">
        <is>
          <t>7896422507349</t>
        </is>
      </c>
      <c r="D71" s="7" t="inlineStr">
        <is>
          <t>CETOPROFENO 50MG CX 24 CAP</t>
        </is>
      </c>
      <c r="E71" s="13" t="n">
        <v>1</v>
      </c>
      <c r="F71" s="13" t="n">
        <v>1</v>
      </c>
      <c r="G71" s="13" t="n">
        <v>1</v>
      </c>
      <c r="H71" s="8" t="n">
        <v>10.49</v>
      </c>
      <c r="I71" s="8">
        <f>G71*H71</f>
        <v/>
      </c>
      <c r="J71" s="8">
        <f>H71/E71</f>
        <v/>
      </c>
      <c r="K71" s="8" t="n">
        <v>8.57</v>
      </c>
      <c r="L71" s="8" t="n">
        <v>7.375</v>
      </c>
      <c r="M71" s="14">
        <f>J71/K71-1</f>
        <v/>
      </c>
      <c r="N71" s="7" t="inlineStr">
        <is>
          <t>ACIMA +22.4%</t>
        </is>
      </c>
      <c r="O71" s="7" t="inlineStr"/>
    </row>
    <row r="72">
      <c r="A72" s="7" t="n">
        <v>608881</v>
      </c>
      <c r="B72" s="7" t="inlineStr">
        <is>
          <t>5415</t>
        </is>
      </c>
      <c r="C72" s="12" t="inlineStr">
        <is>
          <t>7898108640678</t>
        </is>
      </c>
      <c r="D72" s="7" t="inlineStr">
        <is>
          <t>CICATRISAN CURATIVO 10UN MICROPOROSO</t>
        </is>
      </c>
      <c r="E72" s="13" t="n">
        <v>1</v>
      </c>
      <c r="F72" s="13" t="n">
        <v>7</v>
      </c>
      <c r="G72" s="13" t="n">
        <v>7</v>
      </c>
      <c r="H72" s="8" t="n">
        <v>2.01</v>
      </c>
      <c r="I72" s="8">
        <f>G72*H72</f>
        <v/>
      </c>
      <c r="J72" s="8">
        <f>H72/E72</f>
        <v/>
      </c>
      <c r="K72" s="8" t="n">
        <v>1.96</v>
      </c>
      <c r="L72" s="8" t="n">
        <v>1.68</v>
      </c>
      <c r="M72" s="14">
        <f>J72/K72-1</f>
        <v/>
      </c>
      <c r="N72" s="7" t="inlineStr">
        <is>
          <t>ACIMA +2.6%</t>
        </is>
      </c>
      <c r="O72" s="7" t="inlineStr"/>
    </row>
    <row r="73">
      <c r="A73" s="7" t="n">
        <v>98201</v>
      </c>
      <c r="B73" s="7" t="inlineStr">
        <is>
          <t>9995</t>
        </is>
      </c>
      <c r="C73" s="12" t="inlineStr">
        <is>
          <t>7896422512169</t>
        </is>
      </c>
      <c r="D73" s="7" t="inlineStr">
        <is>
          <t>CICLOPIROX OLAMINA 10MG CREME DERM BG 20G</t>
        </is>
      </c>
      <c r="E73" s="13" t="n">
        <v>1</v>
      </c>
      <c r="F73" s="13" t="n">
        <v>1</v>
      </c>
      <c r="G73" s="13" t="n">
        <v>1</v>
      </c>
      <c r="H73" s="8" t="n">
        <v>12.91</v>
      </c>
      <c r="I73" s="8">
        <f>G73*H73</f>
        <v/>
      </c>
      <c r="J73" s="8">
        <f>H73/E73</f>
        <v/>
      </c>
      <c r="K73" s="8" t="n">
        <v>9.56</v>
      </c>
      <c r="L73" s="8" t="n">
        <v>9.19</v>
      </c>
      <c r="M73" s="14">
        <f>J73/K73-1</f>
        <v/>
      </c>
      <c r="N73" s="7" t="inlineStr">
        <is>
          <t>ACIMA +35.0%</t>
        </is>
      </c>
      <c r="O73" s="7" t="inlineStr"/>
    </row>
    <row r="74">
      <c r="A74" s="7" t="n">
        <v>127321</v>
      </c>
      <c r="B74" s="7" t="inlineStr">
        <is>
          <t>1135</t>
        </is>
      </c>
      <c r="C74" s="12" t="inlineStr">
        <is>
          <t>7896523216454</t>
        </is>
      </c>
      <c r="D74" s="7" t="inlineStr">
        <is>
          <t>CIFLOGEX 3,0MG CX 12 PAST SB LARANJA</t>
        </is>
      </c>
      <c r="E74" s="13" t="n">
        <v>1</v>
      </c>
      <c r="F74" s="13" t="n">
        <v>7</v>
      </c>
      <c r="G74" s="13" t="n">
        <v>7</v>
      </c>
      <c r="H74" s="8" t="n">
        <v>9.44</v>
      </c>
      <c r="I74" s="8">
        <f>G74*H74</f>
        <v/>
      </c>
      <c r="J74" s="8">
        <f>H74/E74</f>
        <v/>
      </c>
      <c r="K74" s="8" t="n">
        <v>7.49</v>
      </c>
      <c r="L74" s="8" t="n">
        <v>7.49</v>
      </c>
      <c r="M74" s="14">
        <f>J74/K74-1</f>
        <v/>
      </c>
      <c r="N74" s="7" t="inlineStr">
        <is>
          <t>ACIMA +26.0%</t>
        </is>
      </c>
      <c r="O74" s="7" t="inlineStr"/>
    </row>
    <row r="75">
      <c r="A75" s="7" t="n">
        <v>108901</v>
      </c>
      <c r="B75" s="7" t="inlineStr">
        <is>
          <t>6973</t>
        </is>
      </c>
      <c r="C75" s="12" t="inlineStr">
        <is>
          <t>7898216363445</t>
        </is>
      </c>
      <c r="D75" s="7" t="inlineStr">
        <is>
          <t>CLARITROMICINA 500MG CX 14 COMP REV</t>
        </is>
      </c>
      <c r="E75" s="13" t="n">
        <v>1</v>
      </c>
      <c r="F75" s="13" t="n">
        <v>7</v>
      </c>
      <c r="G75" s="13" t="n">
        <v>7</v>
      </c>
      <c r="H75" s="8" t="n">
        <v>45.8</v>
      </c>
      <c r="I75" s="8">
        <f>G75*H75</f>
        <v/>
      </c>
      <c r="J75" s="8">
        <f>H75/E75</f>
        <v/>
      </c>
      <c r="K75" s="8" t="n">
        <v>64.98999999999999</v>
      </c>
      <c r="L75" s="8" t="n">
        <v>43.94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1103</v>
      </c>
      <c r="B76" s="7" t="inlineStr">
        <is>
          <t>8359</t>
        </is>
      </c>
      <c r="C76" s="12" t="inlineStr">
        <is>
          <t>7898216361267</t>
        </is>
      </c>
      <c r="D76" s="7" t="inlineStr">
        <is>
          <t>CLARITROMICINA 500MG CX 7 COMP REV</t>
        </is>
      </c>
      <c r="E76" s="13" t="n">
        <v>1</v>
      </c>
      <c r="F76" s="13" t="n">
        <v>5</v>
      </c>
      <c r="G76" s="13" t="n">
        <v>5</v>
      </c>
      <c r="H76" s="8" t="n">
        <v>25.38</v>
      </c>
      <c r="I76" s="8">
        <f>G76*H76</f>
        <v/>
      </c>
      <c r="J76" s="8">
        <f>H76/E76</f>
        <v/>
      </c>
      <c r="K76" s="8" t="n">
        <v>31.9</v>
      </c>
      <c r="L76" s="8" t="n">
        <v>23.13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646641</v>
      </c>
      <c r="B77" s="7" t="inlineStr">
        <is>
          <t>8003</t>
        </is>
      </c>
      <c r="C77" s="12" t="inlineStr">
        <is>
          <t>7898048690405</t>
        </is>
      </c>
      <c r="D77" s="7" t="inlineStr">
        <is>
          <t>CLORETO DE MAGNESIO P.A 600MG C/60 CPR</t>
        </is>
      </c>
      <c r="E77" s="13" t="n">
        <v>1</v>
      </c>
      <c r="F77" s="13" t="n">
        <v>5</v>
      </c>
      <c r="G77" s="13" t="n">
        <v>5</v>
      </c>
      <c r="H77" s="8" t="n">
        <v>9.18</v>
      </c>
      <c r="I77" s="8">
        <f>G77*H77</f>
        <v/>
      </c>
      <c r="J77" s="8">
        <f>H77/E77</f>
        <v/>
      </c>
      <c r="K77" s="8" t="n">
        <v>8.9</v>
      </c>
      <c r="L77" s="8" t="n">
        <v>8.9</v>
      </c>
      <c r="M77" s="14">
        <f>J77/K77-1</f>
        <v/>
      </c>
      <c r="N77" s="7" t="inlineStr">
        <is>
          <t>ACIMA +3.1%</t>
        </is>
      </c>
      <c r="O77" s="7" t="inlineStr"/>
    </row>
    <row r="78">
      <c r="A78" s="7" t="n">
        <v>560161</v>
      </c>
      <c r="B78" s="7" t="inlineStr">
        <is>
          <t>147</t>
        </is>
      </c>
      <c r="C78" s="12" t="inlineStr">
        <is>
          <t>7898031310365</t>
        </is>
      </c>
      <c r="D78" s="7" t="inlineStr">
        <is>
          <t>CLORETO DE MAGNESIO PA 33G</t>
        </is>
      </c>
      <c r="E78" s="13" t="n">
        <v>1</v>
      </c>
      <c r="F78" s="13" t="n">
        <v>1</v>
      </c>
      <c r="G78" s="13" t="n">
        <v>1</v>
      </c>
      <c r="H78" s="8" t="n">
        <v>5.39</v>
      </c>
      <c r="I78" s="8">
        <f>G78*H78</f>
        <v/>
      </c>
      <c r="J78" s="8">
        <f>H78/E78</f>
        <v/>
      </c>
      <c r="K78" s="8" t="n">
        <v>4.93</v>
      </c>
      <c r="L78" s="8" t="n">
        <v>4.93</v>
      </c>
      <c r="M78" s="14">
        <f>J78/K78-1</f>
        <v/>
      </c>
      <c r="N78" s="7" t="inlineStr">
        <is>
          <t>ACIMA +9.3%</t>
        </is>
      </c>
      <c r="O78" s="7" t="inlineStr"/>
    </row>
    <row r="79">
      <c r="A79" s="7" t="n">
        <v>619951</v>
      </c>
      <c r="B79" s="7" t="inlineStr">
        <is>
          <t>1332</t>
        </is>
      </c>
      <c r="C79" s="12" t="inlineStr">
        <is>
          <t>7898031310853</t>
        </is>
      </c>
      <c r="D79" s="7" t="inlineStr">
        <is>
          <t>CLORETO DE MAGNESIO PA 500MG C/60 CPS</t>
        </is>
      </c>
      <c r="E79" s="13" t="n">
        <v>1</v>
      </c>
      <c r="F79" s="13" t="n">
        <v>6</v>
      </c>
      <c r="G79" s="13" t="n">
        <v>6</v>
      </c>
      <c r="H79" s="8" t="n">
        <v>13.61</v>
      </c>
      <c r="I79" s="8">
        <f>G79*H79</f>
        <v/>
      </c>
      <c r="J79" s="8">
        <f>H79/E79</f>
        <v/>
      </c>
      <c r="K79" s="8" t="n">
        <v>13.61</v>
      </c>
      <c r="L79" s="8" t="n">
        <v>13.61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124681</v>
      </c>
      <c r="B80" s="7" t="inlineStr">
        <is>
          <t>9911</t>
        </is>
      </c>
      <c r="C80" s="12" t="inlineStr">
        <is>
          <t>7891058001681</t>
        </is>
      </c>
      <c r="D80" s="7" t="inlineStr">
        <is>
          <t>CLORIDRATO DE AMIODARONA 200MG CX 30 COMP</t>
        </is>
      </c>
      <c r="E80" s="13" t="n">
        <v>1</v>
      </c>
      <c r="F80" s="13" t="n">
        <v>1</v>
      </c>
      <c r="G80" s="13" t="n">
        <v>1</v>
      </c>
      <c r="H80" s="8" t="n">
        <v>20.44</v>
      </c>
      <c r="I80" s="8">
        <f>G80*H80</f>
        <v/>
      </c>
      <c r="J80" s="8">
        <f>H80/E80</f>
        <v/>
      </c>
      <c r="K80" s="8" t="n">
        <v>16.4233</v>
      </c>
      <c r="L80" s="8" t="n">
        <v>13.6767</v>
      </c>
      <c r="M80" s="14">
        <f>J80/K80-1</f>
        <v/>
      </c>
      <c r="N80" s="7" t="inlineStr">
        <is>
          <t>ACIMA +24.5%</t>
        </is>
      </c>
      <c r="O80" s="7" t="inlineStr"/>
    </row>
    <row r="81">
      <c r="A81" s="7" t="n">
        <v>132801</v>
      </c>
      <c r="B81" s="7" t="inlineStr">
        <is>
          <t>2260</t>
        </is>
      </c>
      <c r="C81" s="12" t="inlineStr">
        <is>
          <t>7896523214641</t>
        </is>
      </c>
      <c r="D81" s="7" t="inlineStr">
        <is>
          <t>CLORIDRATO DE CICLOBENZAPRINA 10MG CX 15 COMP REV</t>
        </is>
      </c>
      <c r="E81" s="13" t="n">
        <v>1</v>
      </c>
      <c r="F81" s="13" t="n">
        <v>34</v>
      </c>
      <c r="G81" s="13" t="n">
        <v>34</v>
      </c>
      <c r="H81" s="8" t="n">
        <v>2.63</v>
      </c>
      <c r="I81" s="8">
        <f>G81*H81</f>
        <v/>
      </c>
      <c r="J81" s="8">
        <f>H81/E81</f>
        <v/>
      </c>
      <c r="K81" s="8" t="n">
        <v>2.63</v>
      </c>
      <c r="L81" s="8" t="n">
        <v>2.49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134601</v>
      </c>
      <c r="B82" s="7" t="inlineStr">
        <is>
          <t>6559</t>
        </is>
      </c>
      <c r="C82" s="12" t="inlineStr">
        <is>
          <t>7898060139951</t>
        </is>
      </c>
      <c r="D82" s="7" t="inlineStr">
        <is>
          <t>CLORIDRATO DE CICLOBENZAPRINA 10MG CX 30 COMP REV</t>
        </is>
      </c>
      <c r="E82" s="13" t="n">
        <v>1</v>
      </c>
      <c r="F82" s="13" t="n">
        <v>4</v>
      </c>
      <c r="G82" s="13" t="n">
        <v>4</v>
      </c>
      <c r="H82" s="8" t="n">
        <v>5.58</v>
      </c>
      <c r="I82" s="8">
        <f>G82*H82</f>
        <v/>
      </c>
      <c r="J82" s="8">
        <f>H82/E82</f>
        <v/>
      </c>
      <c r="K82" s="8" t="n">
        <v>5.48</v>
      </c>
      <c r="L82" s="8" t="n">
        <v>5.48</v>
      </c>
      <c r="M82" s="14">
        <f>J82/K82-1</f>
        <v/>
      </c>
      <c r="N82" s="7" t="inlineStr">
        <is>
          <t>ACIMA +1.8%</t>
        </is>
      </c>
      <c r="O82" s="7" t="inlineStr"/>
    </row>
    <row r="83">
      <c r="A83" s="7" t="n">
        <v>134661</v>
      </c>
      <c r="B83" s="7" t="inlineStr">
        <is>
          <t>5401</t>
        </is>
      </c>
      <c r="C83" s="12" t="inlineStr">
        <is>
          <t>7898060139913</t>
        </is>
      </c>
      <c r="D83" s="7" t="inlineStr">
        <is>
          <t>CLORIDRATO DE CICLOBENZAPRINA 5MG CX 15 COMP REV</t>
        </is>
      </c>
      <c r="E83" s="13" t="n">
        <v>1</v>
      </c>
      <c r="F83" s="13" t="n">
        <v>1</v>
      </c>
      <c r="G83" s="13" t="n">
        <v>1</v>
      </c>
      <c r="H83" s="8" t="n">
        <v>2.55</v>
      </c>
      <c r="I83" s="8">
        <f>G83*H83</f>
        <v/>
      </c>
      <c r="J83" s="8">
        <f>H83/E83</f>
        <v/>
      </c>
      <c r="K83" s="8" t="n">
        <v>2.53</v>
      </c>
      <c r="L83" s="8" t="n">
        <v>2.53</v>
      </c>
      <c r="M83" s="14">
        <f>J83/K83-1</f>
        <v/>
      </c>
      <c r="N83" s="7" t="inlineStr">
        <is>
          <t>ACIMA +0.8%</t>
        </is>
      </c>
      <c r="O83" s="7" t="inlineStr"/>
    </row>
    <row r="84">
      <c r="A84" s="7" t="n">
        <v>135981</v>
      </c>
      <c r="B84" s="7" t="inlineStr">
        <is>
          <t>2006</t>
        </is>
      </c>
      <c r="C84" s="12" t="inlineStr">
        <is>
          <t>7898216360185</t>
        </is>
      </c>
      <c r="D84" s="7" t="inlineStr">
        <is>
          <t>CLORIDRATO DE CIPROFLOXACINO 500MG CX 14 COMP REV</t>
        </is>
      </c>
      <c r="E84" s="13" t="n">
        <v>1</v>
      </c>
      <c r="F84" s="13" t="n">
        <v>14</v>
      </c>
      <c r="G84" s="13" t="n">
        <v>14</v>
      </c>
      <c r="H84" s="8" t="n">
        <v>6.43</v>
      </c>
      <c r="I84" s="8">
        <f>G84*H84</f>
        <v/>
      </c>
      <c r="J84" s="8">
        <f>H84/E84</f>
        <v/>
      </c>
      <c r="K84" s="8" t="n">
        <v>6.19</v>
      </c>
      <c r="L84" s="8" t="n">
        <v>5.99</v>
      </c>
      <c r="M84" s="14">
        <f>J84/K84-1</f>
        <v/>
      </c>
      <c r="N84" s="7" t="inlineStr">
        <is>
          <t>ACIMA +3.9%</t>
        </is>
      </c>
      <c r="O84" s="7" t="inlineStr"/>
    </row>
    <row r="85">
      <c r="A85" s="7" t="n">
        <v>142821</v>
      </c>
      <c r="B85" s="7" t="inlineStr">
        <is>
          <t>5936</t>
        </is>
      </c>
      <c r="C85" s="12" t="inlineStr">
        <is>
          <t>7895296186018</t>
        </is>
      </c>
      <c r="D85" s="7" t="inlineStr">
        <is>
          <t>CLORIDRATO DE DORZOLAMIDA 20MG/ML FR X 5ML</t>
        </is>
      </c>
      <c r="E85" s="13" t="n">
        <v>1</v>
      </c>
      <c r="F85" s="13" t="n">
        <v>2</v>
      </c>
      <c r="G85" s="13" t="n">
        <v>2</v>
      </c>
      <c r="H85" s="8" t="n">
        <v>46.94</v>
      </c>
      <c r="I85" s="8">
        <f>G85*H85</f>
        <v/>
      </c>
      <c r="J85" s="8">
        <f>H85/E85</f>
        <v/>
      </c>
      <c r="K85" s="8" t="n">
        <v>29.87</v>
      </c>
      <c r="L85" s="8" t="n">
        <v>29.87</v>
      </c>
      <c r="M85" s="14">
        <f>J85/K85-1</f>
        <v/>
      </c>
      <c r="N85" s="7" t="inlineStr">
        <is>
          <t>ACIMA +57.1%</t>
        </is>
      </c>
      <c r="O85" s="7" t="inlineStr"/>
    </row>
    <row r="86">
      <c r="A86" s="7" t="n">
        <v>146661</v>
      </c>
      <c r="B86" s="7" t="inlineStr">
        <is>
          <t>4270</t>
        </is>
      </c>
      <c r="C86" s="12" t="inlineStr">
        <is>
          <t>7896523220239</t>
        </is>
      </c>
      <c r="D86" s="7" t="inlineStr">
        <is>
          <t>CLORIDRATO DE FEXOFENADINA 60MG CX 10 COMP REV</t>
        </is>
      </c>
      <c r="E86" s="13" t="n">
        <v>1</v>
      </c>
      <c r="F86" s="13" t="n">
        <v>3</v>
      </c>
      <c r="G86" s="13" t="n">
        <v>3</v>
      </c>
      <c r="H86" s="8" t="n">
        <v>8.4</v>
      </c>
      <c r="I86" s="8">
        <f>G86*H86</f>
        <v/>
      </c>
      <c r="J86" s="8">
        <f>H86/E86</f>
        <v/>
      </c>
      <c r="K86" s="8" t="n">
        <v>6.69</v>
      </c>
      <c r="L86" s="8" t="n">
        <v>6.18</v>
      </c>
      <c r="M86" s="14">
        <f>J86/K86-1</f>
        <v/>
      </c>
      <c r="N86" s="7" t="inlineStr">
        <is>
          <t>ACIMA +25.6%</t>
        </is>
      </c>
      <c r="O86" s="7" t="inlineStr"/>
    </row>
    <row r="87">
      <c r="A87" s="7" t="n">
        <v>152261</v>
      </c>
      <c r="B87" s="7" t="inlineStr">
        <is>
          <t>6524</t>
        </is>
      </c>
      <c r="C87" s="12" t="inlineStr">
        <is>
          <t>7898216360864</t>
        </is>
      </c>
      <c r="D87" s="7" t="inlineStr">
        <is>
          <t>CLORIDRATO DE LIDOCAINA 20MG/G GELEIA BG 30G</t>
        </is>
      </c>
      <c r="E87" s="13" t="n">
        <v>1</v>
      </c>
      <c r="F87" s="13" t="n">
        <v>1</v>
      </c>
      <c r="G87" s="13" t="n">
        <v>1</v>
      </c>
      <c r="H87" s="8" t="n">
        <v>8.949999999999999</v>
      </c>
      <c r="I87" s="8">
        <f>G87*H87</f>
        <v/>
      </c>
      <c r="J87" s="8">
        <f>H87/E87</f>
        <v/>
      </c>
      <c r="K87" s="8" t="n">
        <v>8.93</v>
      </c>
      <c r="L87" s="8" t="n">
        <v>8.77</v>
      </c>
      <c r="M87" s="14">
        <f>J87/K87-1</f>
        <v/>
      </c>
      <c r="N87" s="7" t="inlineStr">
        <is>
          <t>ACIMA +0.2%</t>
        </is>
      </c>
      <c r="O87" s="7" t="inlineStr"/>
    </row>
    <row r="88">
      <c r="A88" s="7" t="n">
        <v>323981</v>
      </c>
      <c r="B88" s="7" t="inlineStr">
        <is>
          <t>3580</t>
        </is>
      </c>
      <c r="C88" s="12" t="inlineStr">
        <is>
          <t>7898060132600</t>
        </is>
      </c>
      <c r="D88" s="7" t="inlineStr">
        <is>
          <t>CLORIDRATO DE LOPERAMIDA 2MG CX 12 COMP</t>
        </is>
      </c>
      <c r="E88" s="13" t="n">
        <v>1</v>
      </c>
      <c r="F88" s="13" t="n">
        <v>19</v>
      </c>
      <c r="G88" s="13" t="n">
        <v>19</v>
      </c>
      <c r="H88" s="8" t="n">
        <v>2.08</v>
      </c>
      <c r="I88" s="8">
        <f>G88*H88</f>
        <v/>
      </c>
      <c r="J88" s="8">
        <f>H88/E88</f>
        <v/>
      </c>
      <c r="K88" s="8" t="n">
        <v>2.02</v>
      </c>
      <c r="L88" s="8" t="n">
        <v>2.02</v>
      </c>
      <c r="M88" s="14">
        <f>J88/K88-1</f>
        <v/>
      </c>
      <c r="N88" s="7" t="inlineStr">
        <is>
          <t>ACIMA +3.0%</t>
        </is>
      </c>
      <c r="O88" s="7" t="inlineStr"/>
    </row>
    <row r="89">
      <c r="A89" s="7" t="n">
        <v>511621</v>
      </c>
      <c r="B89" s="7" t="inlineStr">
        <is>
          <t>8223</t>
        </is>
      </c>
      <c r="C89" s="12" t="inlineStr">
        <is>
          <t>7897917005708</t>
        </is>
      </c>
      <c r="D89" s="7" t="inlineStr">
        <is>
          <t>CLORIDRATO DE METOCLOPRAMIDA 10MG CX 20 COMP</t>
        </is>
      </c>
      <c r="E89" s="13" t="n">
        <v>1</v>
      </c>
      <c r="F89" s="13" t="n">
        <v>1</v>
      </c>
      <c r="G89" s="13" t="n">
        <v>1</v>
      </c>
      <c r="H89" s="8" t="n">
        <v>3.2</v>
      </c>
      <c r="I89" s="8">
        <f>G89*H89</f>
        <v/>
      </c>
      <c r="J89" s="8">
        <f>H89/E89</f>
        <v/>
      </c>
      <c r="K89" s="8" t="n">
        <v>3.2</v>
      </c>
      <c r="L89" s="8" t="n">
        <v>3.2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189601</v>
      </c>
      <c r="B90" s="7" t="inlineStr">
        <is>
          <t>9914</t>
        </is>
      </c>
      <c r="C90" s="12" t="inlineStr">
        <is>
          <t>7896422506427</t>
        </is>
      </c>
      <c r="D90" s="7" t="inlineStr">
        <is>
          <t>CLOTRIMAZOL 10MG CREM VAG BG 35G+6APLIC</t>
        </is>
      </c>
      <c r="E90" s="13" t="n">
        <v>1</v>
      </c>
      <c r="F90" s="13" t="n">
        <v>7</v>
      </c>
      <c r="G90" s="13" t="n">
        <v>7</v>
      </c>
      <c r="H90" s="8" t="n">
        <v>17.18</v>
      </c>
      <c r="I90" s="8">
        <f>G90*H90</f>
        <v/>
      </c>
      <c r="J90" s="8">
        <f>H90/E90</f>
        <v/>
      </c>
      <c r="K90" s="8" t="n">
        <v>15.376</v>
      </c>
      <c r="L90" s="8" t="n">
        <v>13.0614</v>
      </c>
      <c r="M90" s="14">
        <f>J90/K90-1</f>
        <v/>
      </c>
      <c r="N90" s="7" t="inlineStr">
        <is>
          <t>ACIMA +11.7%</t>
        </is>
      </c>
      <c r="O90" s="7" t="inlineStr"/>
    </row>
    <row r="91">
      <c r="A91" s="7" t="n">
        <v>189641</v>
      </c>
      <c r="B91" s="7" t="inlineStr">
        <is>
          <t>9898</t>
        </is>
      </c>
      <c r="C91" s="12" t="inlineStr">
        <is>
          <t>7896422506434</t>
        </is>
      </c>
      <c r="D91" s="7" t="inlineStr">
        <is>
          <t>CLOTRIMAZOL 20MG CREM VAG BG 20G+3APLIC</t>
        </is>
      </c>
      <c r="E91" s="13" t="n">
        <v>1</v>
      </c>
      <c r="F91" s="13" t="n">
        <v>7</v>
      </c>
      <c r="G91" s="13" t="n">
        <v>7</v>
      </c>
      <c r="H91" s="8" t="n">
        <v>17</v>
      </c>
      <c r="I91" s="8">
        <f>G91*H91</f>
        <v/>
      </c>
      <c r="J91" s="8">
        <f>H91/E91</f>
        <v/>
      </c>
      <c r="K91" s="8" t="n">
        <v>13.045</v>
      </c>
      <c r="L91" s="8" t="n">
        <v>13.045</v>
      </c>
      <c r="M91" s="14">
        <f>J91/K91-1</f>
        <v/>
      </c>
      <c r="N91" s="7" t="inlineStr">
        <is>
          <t>ACIMA +30.3%</t>
        </is>
      </c>
      <c r="O91" s="7" t="inlineStr"/>
    </row>
    <row r="92">
      <c r="A92" s="7" t="n">
        <v>189681</v>
      </c>
      <c r="B92" s="7" t="inlineStr">
        <is>
          <t>8235</t>
        </is>
      </c>
      <c r="C92" s="12" t="inlineStr">
        <is>
          <t>7896422504812</t>
        </is>
      </c>
      <c r="D92" s="7" t="inlineStr">
        <is>
          <t>CLOTRIMAZOL CREM DERM BG 20G</t>
        </is>
      </c>
      <c r="E92" s="13" t="n">
        <v>1</v>
      </c>
      <c r="F92" s="13" t="n">
        <v>6</v>
      </c>
      <c r="G92" s="13" t="n">
        <v>6</v>
      </c>
      <c r="H92" s="8" t="n">
        <v>5.44</v>
      </c>
      <c r="I92" s="8">
        <f>G92*H92</f>
        <v/>
      </c>
      <c r="J92" s="8">
        <f>H92/E92</f>
        <v/>
      </c>
      <c r="K92" s="8" t="n">
        <v>4.1567</v>
      </c>
      <c r="L92" s="8" t="n">
        <v>4.1567</v>
      </c>
      <c r="M92" s="14">
        <f>J92/K92-1</f>
        <v/>
      </c>
      <c r="N92" s="7" t="inlineStr">
        <is>
          <t>ACIMA +30.9%</t>
        </is>
      </c>
      <c r="O92" s="7" t="inlineStr"/>
    </row>
    <row r="93">
      <c r="A93" s="7" t="n">
        <v>570701</v>
      </c>
      <c r="B93" s="7" t="inlineStr">
        <is>
          <t>6994</t>
        </is>
      </c>
      <c r="C93" s="12" t="inlineStr">
        <is>
          <t>7898953484014</t>
        </is>
      </c>
      <c r="D93" s="7" t="inlineStr">
        <is>
          <t>COLETOR UNIV.BRANCO 80ML TAMPA VERDE</t>
        </is>
      </c>
      <c r="E93" s="13" t="n">
        <v>1</v>
      </c>
      <c r="F93" s="13" t="n">
        <v>113</v>
      </c>
      <c r="G93" s="13" t="n">
        <v>113</v>
      </c>
      <c r="H93" s="8" t="n">
        <v>0.6</v>
      </c>
      <c r="I93" s="8">
        <f>G93*H93</f>
        <v/>
      </c>
      <c r="J93" s="8">
        <f>H93/E93</f>
        <v/>
      </c>
      <c r="K93" s="8" t="n">
        <v>0.54</v>
      </c>
      <c r="L93" s="8" t="n">
        <v>0.54</v>
      </c>
      <c r="M93" s="14">
        <f>J93/K93-1</f>
        <v/>
      </c>
      <c r="N93" s="7" t="inlineStr">
        <is>
          <t>ACIMA +11.1%</t>
        </is>
      </c>
      <c r="O93" s="7" t="inlineStr"/>
    </row>
    <row r="94">
      <c r="A94" s="7" t="n">
        <v>661121</v>
      </c>
      <c r="B94" s="7" t="inlineStr">
        <is>
          <t>8069</t>
        </is>
      </c>
      <c r="C94" s="12" t="inlineStr">
        <is>
          <t>7897146650021</t>
        </is>
      </c>
      <c r="D94" s="7" t="inlineStr">
        <is>
          <t>COMPLEXO B C/100 CPR.</t>
        </is>
      </c>
      <c r="E94" s="13" t="n">
        <v>1</v>
      </c>
      <c r="F94" s="13" t="n">
        <v>1</v>
      </c>
      <c r="G94" s="13" t="n">
        <v>1</v>
      </c>
      <c r="H94" s="8" t="n">
        <v>7.97</v>
      </c>
      <c r="I94" s="8">
        <f>G94*H94</f>
        <v/>
      </c>
      <c r="J94" s="8">
        <f>H94/E94</f>
        <v/>
      </c>
      <c r="K94" s="8" t="n">
        <v>7.97</v>
      </c>
      <c r="L94" s="8" t="n">
        <v>7.97</v>
      </c>
      <c r="M94" s="14">
        <f>J94/K94-1</f>
        <v/>
      </c>
      <c r="N94" s="7" t="inlineStr">
        <is>
          <t>OK (≤ menor hist.)</t>
        </is>
      </c>
      <c r="O94" s="7" t="inlineStr"/>
    </row>
    <row r="95">
      <c r="A95" s="7" t="n">
        <v>608751</v>
      </c>
      <c r="B95" s="7" t="inlineStr">
        <is>
          <t>795</t>
        </is>
      </c>
      <c r="C95" s="12" t="inlineStr">
        <is>
          <t>7897146600200</t>
        </is>
      </c>
      <c r="D95" s="7" t="inlineStr">
        <is>
          <t>COMPLEXO B C/30 CPR</t>
        </is>
      </c>
      <c r="E95" s="13" t="n">
        <v>1</v>
      </c>
      <c r="F95" s="13" t="n">
        <v>1</v>
      </c>
      <c r="G95" s="13" t="n">
        <v>1</v>
      </c>
      <c r="H95" s="8" t="n">
        <v>3.38</v>
      </c>
      <c r="I95" s="8">
        <f>G95*H95</f>
        <v/>
      </c>
      <c r="J95" s="8">
        <f>H95/E95</f>
        <v/>
      </c>
      <c r="K95" s="8" t="n">
        <v>3.38</v>
      </c>
      <c r="L95" s="8" t="n">
        <v>3.38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592581</v>
      </c>
      <c r="B96" s="7" t="inlineStr">
        <is>
          <t>7632</t>
        </is>
      </c>
      <c r="C96" s="12" t="inlineStr">
        <is>
          <t>7897146600064</t>
        </is>
      </c>
      <c r="D96" s="7" t="inlineStr">
        <is>
          <t>COMPLEXO B C/50 CPR</t>
        </is>
      </c>
      <c r="E96" s="13" t="n">
        <v>1</v>
      </c>
      <c r="F96" s="13" t="n">
        <v>4</v>
      </c>
      <c r="G96" s="13" t="n">
        <v>4</v>
      </c>
      <c r="H96" s="8" t="n">
        <v>5</v>
      </c>
      <c r="I96" s="8">
        <f>G96*H96</f>
        <v/>
      </c>
      <c r="J96" s="8">
        <f>H96/E96</f>
        <v/>
      </c>
      <c r="K96" s="8" t="n">
        <v>5</v>
      </c>
      <c r="L96" s="8" t="n">
        <v>5</v>
      </c>
      <c r="M96" s="14">
        <f>J96/K96-1</f>
        <v/>
      </c>
      <c r="N96" s="7" t="inlineStr">
        <is>
          <t>OK (≤ menor hist.)</t>
        </is>
      </c>
      <c r="O96" s="7" t="inlineStr"/>
    </row>
    <row r="97">
      <c r="A97" s="7" t="n">
        <v>541341</v>
      </c>
      <c r="B97" s="7" t="inlineStr">
        <is>
          <t>5033</t>
        </is>
      </c>
      <c r="C97" s="12" t="inlineStr">
        <is>
          <t>7898964832156</t>
        </is>
      </c>
      <c r="D97" s="7" t="inlineStr">
        <is>
          <t>COMPLEXO B C/60COMP.</t>
        </is>
      </c>
      <c r="E97" s="13" t="n">
        <v>1</v>
      </c>
      <c r="F97" s="13" t="n">
        <v>10</v>
      </c>
      <c r="G97" s="13" t="n">
        <v>10</v>
      </c>
      <c r="H97" s="8" t="n">
        <v>5.24</v>
      </c>
      <c r="I97" s="8">
        <f>G97*H97</f>
        <v/>
      </c>
      <c r="J97" s="8">
        <f>H97/E97</f>
        <v/>
      </c>
      <c r="K97" s="8" t="n">
        <v>5.24</v>
      </c>
      <c r="L97" s="8" t="n">
        <v>5.13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581021</v>
      </c>
      <c r="B98" s="7" t="inlineStr">
        <is>
          <t>3494</t>
        </is>
      </c>
      <c r="C98" s="12" t="inlineStr">
        <is>
          <t>7898277713333</t>
        </is>
      </c>
      <c r="D98" s="7" t="inlineStr">
        <is>
          <t>COMPLEXO B SOL ORAL 100ML (POLIVITAMINAS</t>
        </is>
      </c>
      <c r="E98" s="13" t="n">
        <v>1</v>
      </c>
      <c r="F98" s="13" t="n">
        <v>3</v>
      </c>
      <c r="G98" s="13" t="n">
        <v>3</v>
      </c>
      <c r="H98" s="8" t="n">
        <v>3.9</v>
      </c>
      <c r="I98" s="8">
        <f>G98*H98</f>
        <v/>
      </c>
      <c r="J98" s="8">
        <f>H98/E98</f>
        <v/>
      </c>
      <c r="K98" s="8" t="n">
        <v>3.9</v>
      </c>
      <c r="L98" s="8" t="n">
        <v>3.9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556101</v>
      </c>
      <c r="B99" s="7" t="inlineStr">
        <is>
          <t>6037</t>
        </is>
      </c>
      <c r="C99" s="12" t="inlineStr">
        <is>
          <t>7898668060152</t>
        </is>
      </c>
      <c r="D99" s="7" t="inlineStr">
        <is>
          <t>COMPRESSA GAZE 11 FIOS C/10 UND LIVIA</t>
        </is>
      </c>
      <c r="E99" s="13" t="n">
        <v>1</v>
      </c>
      <c r="F99" s="13" t="n">
        <v>347</v>
      </c>
      <c r="G99" s="13" t="n">
        <v>347</v>
      </c>
      <c r="H99" s="8" t="n">
        <v>0.55</v>
      </c>
      <c r="I99" s="8">
        <f>G99*H99</f>
        <v/>
      </c>
      <c r="J99" s="8">
        <f>H99/E99</f>
        <v/>
      </c>
      <c r="K99" s="8" t="n">
        <v>0.55</v>
      </c>
      <c r="L99" s="8" t="n">
        <v>0.1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593361</v>
      </c>
      <c r="B100" s="7" t="inlineStr">
        <is>
          <t>5571</t>
        </is>
      </c>
      <c r="C100" s="12" t="inlineStr">
        <is>
          <t>7898933598168</t>
        </is>
      </c>
      <c r="D100" s="7" t="inlineStr">
        <is>
          <t>COMPRESSA GAZE 13 FIOS C/10 UN TEXPHARMA</t>
        </is>
      </c>
      <c r="E100" s="13" t="n">
        <v>1</v>
      </c>
      <c r="F100" s="13" t="n">
        <v>144</v>
      </c>
      <c r="G100" s="13" t="n">
        <v>144</v>
      </c>
      <c r="H100" s="8" t="n">
        <v>0.59</v>
      </c>
      <c r="I100" s="8">
        <f>G100*H100</f>
        <v/>
      </c>
      <c r="J100" s="8">
        <f>H100/E100</f>
        <v/>
      </c>
      <c r="K100" s="8" t="n">
        <v>0.1</v>
      </c>
      <c r="L100" s="8" t="n">
        <v>0.1</v>
      </c>
      <c r="M100" s="14">
        <f>J100/K100-1</f>
        <v/>
      </c>
      <c r="N100" s="7" t="inlineStr">
        <is>
          <t>ACIMA +490.0%</t>
        </is>
      </c>
      <c r="O100" s="7" t="inlineStr">
        <is>
          <t>conferir emb.</t>
        </is>
      </c>
    </row>
    <row r="101">
      <c r="A101" s="7" t="n">
        <v>538361</v>
      </c>
      <c r="B101" s="7" t="inlineStr">
        <is>
          <t>4382</t>
        </is>
      </c>
      <c r="C101" s="12" t="inlineStr">
        <is>
          <t>7898668060190</t>
        </is>
      </c>
      <c r="D101" s="7" t="inlineStr">
        <is>
          <t>COMPRESSA GAZE 13 FIOS C/10 UND LIVIA</t>
        </is>
      </c>
      <c r="E101" s="13" t="n">
        <v>1</v>
      </c>
      <c r="F101" s="13" t="n">
        <v>368</v>
      </c>
      <c r="G101" s="13" t="n">
        <v>368</v>
      </c>
      <c r="H101" s="8" t="n">
        <v>0.58</v>
      </c>
      <c r="I101" s="8">
        <f>G101*H101</f>
        <v/>
      </c>
      <c r="J101" s="8">
        <f>H101/E101</f>
        <v/>
      </c>
      <c r="K101" s="8" t="n">
        <v>0.58</v>
      </c>
      <c r="L101" s="8" t="n">
        <v>0.1</v>
      </c>
      <c r="M101" s="14">
        <f>J101/K101-1</f>
        <v/>
      </c>
      <c r="N101" s="7" t="inlineStr">
        <is>
          <t>OK (≤ últ. compra)</t>
        </is>
      </c>
      <c r="O101" s="7" t="inlineStr"/>
    </row>
    <row r="102">
      <c r="A102" s="7" t="n">
        <v>92041</v>
      </c>
      <c r="B102" s="7" t="inlineStr">
        <is>
          <t>1197</t>
        </is>
      </c>
      <c r="C102" s="12" t="inlineStr">
        <is>
          <t>7898100241279</t>
        </is>
      </c>
      <c r="D102" s="7" t="inlineStr">
        <is>
          <t>CONAZOL 20MG/G CREME BG 20G</t>
        </is>
      </c>
      <c r="E102" s="13" t="n">
        <v>1</v>
      </c>
      <c r="F102" s="13" t="n">
        <v>7</v>
      </c>
      <c r="G102" s="13" t="n">
        <v>7</v>
      </c>
      <c r="H102" s="8" t="n">
        <v>4.3</v>
      </c>
      <c r="I102" s="8">
        <f>G102*H102</f>
        <v/>
      </c>
      <c r="J102" s="8">
        <f>H102/E102</f>
        <v/>
      </c>
      <c r="K102" s="8" t="n">
        <v>3.69</v>
      </c>
      <c r="L102" s="8" t="n">
        <v>3.69</v>
      </c>
      <c r="M102" s="14">
        <f>J102/K102-1</f>
        <v/>
      </c>
      <c r="N102" s="7" t="inlineStr">
        <is>
          <t>ACIMA +16.5%</t>
        </is>
      </c>
      <c r="O102" s="7" t="inlineStr"/>
    </row>
    <row r="103">
      <c r="A103" s="7" t="n">
        <v>620061</v>
      </c>
      <c r="B103" s="7" t="inlineStr">
        <is>
          <t>9825</t>
        </is>
      </c>
      <c r="C103" s="12" t="inlineStr">
        <is>
          <t>7898136150446</t>
        </is>
      </c>
      <c r="D103" s="7" t="inlineStr">
        <is>
          <t>CURATIVO ADESIVO NATHY TRANSPARENTE 10UN</t>
        </is>
      </c>
      <c r="E103" s="13" t="n">
        <v>1</v>
      </c>
      <c r="F103" s="13" t="n">
        <v>2</v>
      </c>
      <c r="G103" s="13" t="n">
        <v>2</v>
      </c>
      <c r="H103" s="8" t="n">
        <v>1.42</v>
      </c>
      <c r="I103" s="8">
        <f>G103*H103</f>
        <v/>
      </c>
      <c r="J103" s="8">
        <f>H103/E103</f>
        <v/>
      </c>
      <c r="K103" s="8" t="n">
        <v>1.91</v>
      </c>
      <c r="L103" s="8" t="n">
        <v>1.91</v>
      </c>
      <c r="M103" s="14">
        <f>J103/K103-1</f>
        <v/>
      </c>
      <c r="N103" s="7" t="inlineStr">
        <is>
          <t>OK (≤ menor hist.)</t>
        </is>
      </c>
      <c r="O103" s="7" t="inlineStr"/>
    </row>
    <row r="104">
      <c r="A104" s="7" t="n">
        <v>630671</v>
      </c>
      <c r="B104" s="7" t="inlineStr">
        <is>
          <t>3472</t>
        </is>
      </c>
      <c r="C104" s="12" t="inlineStr">
        <is>
          <t>7898108640746</t>
        </is>
      </c>
      <c r="D104" s="7" t="inlineStr">
        <is>
          <t>CURATIVO CICATRISAN KURA DODOI CX 20 UND</t>
        </is>
      </c>
      <c r="E104" s="13" t="n">
        <v>1</v>
      </c>
      <c r="F104" s="13" t="n">
        <v>4</v>
      </c>
      <c r="G104" s="13" t="n">
        <v>4</v>
      </c>
      <c r="H104" s="8" t="n">
        <v>5.42</v>
      </c>
      <c r="I104" s="8">
        <f>G104*H104</f>
        <v/>
      </c>
      <c r="J104" s="8">
        <f>H104/E104</f>
        <v/>
      </c>
      <c r="K104" s="8" t="n">
        <v>5.42</v>
      </c>
      <c r="L104" s="8" t="n">
        <v>5.42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3243</v>
      </c>
      <c r="B105" s="7" t="inlineStr">
        <is>
          <t>3468</t>
        </is>
      </c>
      <c r="C105" s="12" t="inlineStr">
        <is>
          <t>7898108640791</t>
        </is>
      </c>
      <c r="D105" s="7" t="inlineStr">
        <is>
          <t>CURATIVO HIDROCOLOIDE SANCARE C/24 UND</t>
        </is>
      </c>
      <c r="E105" s="13" t="n">
        <v>1</v>
      </c>
      <c r="F105" s="13" t="n">
        <v>5</v>
      </c>
      <c r="G105" s="13" t="n">
        <v>5</v>
      </c>
      <c r="H105" s="8" t="n">
        <v>17.17</v>
      </c>
      <c r="I105" s="8">
        <f>G105*H105</f>
        <v/>
      </c>
      <c r="J105" s="8">
        <f>H105/E105</f>
        <v/>
      </c>
      <c r="K105" s="8" t="n">
        <v>14.93</v>
      </c>
      <c r="L105" s="8" t="n">
        <v>14.93</v>
      </c>
      <c r="M105" s="14">
        <f>J105/K105-1</f>
        <v/>
      </c>
      <c r="N105" s="7" t="inlineStr">
        <is>
          <t>ACIMA +15.0%</t>
        </is>
      </c>
      <c r="O105" s="7" t="inlineStr"/>
    </row>
    <row r="106">
      <c r="A106" s="7" t="n">
        <v>656461</v>
      </c>
      <c r="B106" s="7" t="inlineStr">
        <is>
          <t>9828</t>
        </is>
      </c>
      <c r="C106" s="12" t="inlineStr">
        <is>
          <t>7898136150620</t>
        </is>
      </c>
      <c r="D106" s="7" t="inlineStr">
        <is>
          <t>CURATIVO NATHY C/35UN BEGE</t>
        </is>
      </c>
      <c r="E106" s="13" t="n">
        <v>1</v>
      </c>
      <c r="F106" s="13" t="n">
        <v>22</v>
      </c>
      <c r="G106" s="13" t="n">
        <v>22</v>
      </c>
      <c r="H106" s="8" t="n">
        <v>3.25</v>
      </c>
      <c r="I106" s="8">
        <f>G106*H106</f>
        <v/>
      </c>
      <c r="J106" s="8">
        <f>H106/E106</f>
        <v/>
      </c>
      <c r="K106" s="8" t="n">
        <v>3.25</v>
      </c>
      <c r="L106" s="8" t="n">
        <v>3.25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354681</v>
      </c>
      <c r="B107" s="7" t="inlineStr">
        <is>
          <t>1363</t>
        </is>
      </c>
      <c r="C107" s="12" t="inlineStr">
        <is>
          <t>7893736010220</t>
        </is>
      </c>
      <c r="D107" s="7" t="inlineStr">
        <is>
          <t>DERMOBAN 20MG CREME DERM BG 15G</t>
        </is>
      </c>
      <c r="E107" s="13" t="n">
        <v>1</v>
      </c>
      <c r="F107" s="13" t="n">
        <v>10</v>
      </c>
      <c r="G107" s="13" t="n">
        <v>10</v>
      </c>
      <c r="H107" s="8" t="n">
        <v>25.99</v>
      </c>
      <c r="I107" s="8">
        <f>G107*H107</f>
        <v/>
      </c>
      <c r="J107" s="8">
        <f>H107/E107</f>
        <v/>
      </c>
      <c r="K107" s="8" t="n">
        <v>32.99</v>
      </c>
      <c r="L107" s="8" t="n">
        <v>25.01</v>
      </c>
      <c r="M107" s="14">
        <f>J107/K107-1</f>
        <v/>
      </c>
      <c r="N107" s="7" t="inlineStr">
        <is>
          <t>OK (≤ últ. compra)</t>
        </is>
      </c>
      <c r="O107" s="7" t="inlineStr"/>
    </row>
    <row r="108">
      <c r="A108" s="7" t="n">
        <v>821</v>
      </c>
      <c r="B108" s="7" t="inlineStr">
        <is>
          <t>380</t>
        </is>
      </c>
      <c r="C108" s="12" t="inlineStr">
        <is>
          <t>7893454100661</t>
        </is>
      </c>
      <c r="D108" s="7" t="inlineStr">
        <is>
          <t>DERMOSALIC 30G POM BG</t>
        </is>
      </c>
      <c r="E108" s="13" t="n">
        <v>1</v>
      </c>
      <c r="F108" s="13" t="n">
        <v>14</v>
      </c>
      <c r="G108" s="13" t="n">
        <v>14</v>
      </c>
      <c r="H108" s="8" t="n">
        <v>10.76</v>
      </c>
      <c r="I108" s="8">
        <f>G108*H108</f>
        <v/>
      </c>
      <c r="J108" s="8">
        <f>H108/E108</f>
        <v/>
      </c>
      <c r="K108" s="8" t="n">
        <v>10.36</v>
      </c>
      <c r="L108" s="8" t="n">
        <v>10.36</v>
      </c>
      <c r="M108" s="14">
        <f>J108/K108-1</f>
        <v/>
      </c>
      <c r="N108" s="7" t="inlineStr">
        <is>
          <t>ACIMA +3.9%</t>
        </is>
      </c>
      <c r="O108" s="7" t="inlineStr"/>
    </row>
    <row r="109">
      <c r="A109" s="7" t="n">
        <v>691501</v>
      </c>
      <c r="B109" s="7" t="inlineStr">
        <is>
          <t>6114</t>
        </is>
      </c>
      <c r="C109" s="12" t="inlineStr">
        <is>
          <t>7898593050716</t>
        </is>
      </c>
      <c r="D109" s="7" t="inlineStr">
        <is>
          <t>DERMUP COLAGENO VERISOL C/90 CPS</t>
        </is>
      </c>
      <c r="E109" s="13" t="n">
        <v>1</v>
      </c>
      <c r="F109" s="13" t="n">
        <v>1</v>
      </c>
      <c r="G109" s="13" t="n">
        <v>1</v>
      </c>
      <c r="H109" s="8" t="n">
        <v>42.53</v>
      </c>
      <c r="I109" s="8">
        <f>G109*H109</f>
        <v/>
      </c>
      <c r="J109" s="8">
        <f>H109/E109</f>
        <v/>
      </c>
      <c r="K109" s="8" t="n">
        <v>41.85</v>
      </c>
      <c r="L109" s="8" t="n">
        <v>41.85</v>
      </c>
      <c r="M109" s="14">
        <f>J109/K109-1</f>
        <v/>
      </c>
      <c r="N109" s="7" t="inlineStr">
        <is>
          <t>ACIMA +1.6%</t>
        </is>
      </c>
      <c r="O109" s="7" t="inlineStr"/>
    </row>
    <row r="110">
      <c r="A110" s="7" t="n">
        <v>573701</v>
      </c>
      <c r="B110" s="7" t="inlineStr">
        <is>
          <t>5772</t>
        </is>
      </c>
      <c r="C110" s="12" t="inlineStr">
        <is>
          <t>7898582290178</t>
        </is>
      </c>
      <c r="D110" s="7" t="inlineStr">
        <is>
          <t>DERSOL LOCAO OLEOSA 200ML</t>
        </is>
      </c>
      <c r="E110" s="13" t="n">
        <v>1</v>
      </c>
      <c r="F110" s="13" t="n">
        <v>5</v>
      </c>
      <c r="G110" s="13" t="n">
        <v>5</v>
      </c>
      <c r="H110" s="8" t="n">
        <v>11.41</v>
      </c>
      <c r="I110" s="8">
        <f>G110*H110</f>
        <v/>
      </c>
      <c r="J110" s="8">
        <f>H110/E110</f>
        <v/>
      </c>
      <c r="K110" s="8" t="n">
        <v>10.99</v>
      </c>
      <c r="L110" s="8" t="n">
        <v>10.99</v>
      </c>
      <c r="M110" s="14">
        <f>J110/K110-1</f>
        <v/>
      </c>
      <c r="N110" s="7" t="inlineStr">
        <is>
          <t>ACIMA +3.8%</t>
        </is>
      </c>
      <c r="O110" s="7" t="inlineStr"/>
    </row>
    <row r="111">
      <c r="A111" s="7" t="n">
        <v>668951</v>
      </c>
      <c r="B111" s="7" t="inlineStr">
        <is>
          <t>2447</t>
        </is>
      </c>
      <c r="C111" s="12" t="inlineStr">
        <is>
          <t>7896472520299</t>
        </is>
      </c>
      <c r="D111" s="7" t="inlineStr">
        <is>
          <t>DESLORATADINA 5MG CX 10 COMP REV</t>
        </is>
      </c>
      <c r="E111" s="13" t="n">
        <v>1</v>
      </c>
      <c r="F111" s="13" t="n">
        <v>25</v>
      </c>
      <c r="G111" s="13" t="n">
        <v>25</v>
      </c>
      <c r="H111" s="8" t="n">
        <v>4.83</v>
      </c>
      <c r="I111" s="8">
        <f>G111*H111</f>
        <v/>
      </c>
      <c r="J111" s="8">
        <f>H111/E111</f>
        <v/>
      </c>
      <c r="K111" s="8" t="n">
        <v>6.11</v>
      </c>
      <c r="L111" s="8" t="n">
        <v>5.7026</v>
      </c>
      <c r="M111" s="14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490121</v>
      </c>
      <c r="B112" s="7" t="inlineStr">
        <is>
          <t>5588</t>
        </is>
      </c>
      <c r="C112" s="12" t="inlineStr">
        <is>
          <t>7897917004008</t>
        </is>
      </c>
      <c r="D112" s="7" t="inlineStr">
        <is>
          <t>DICLOFENACO SODICO 50MG CX 20 COMP REV</t>
        </is>
      </c>
      <c r="E112" s="13" t="n">
        <v>1</v>
      </c>
      <c r="F112" s="13" t="n">
        <v>4</v>
      </c>
      <c r="G112" s="13" t="n">
        <v>4</v>
      </c>
      <c r="H112" s="8" t="n">
        <v>1.65</v>
      </c>
      <c r="I112" s="8">
        <f>G112*H112</f>
        <v/>
      </c>
      <c r="J112" s="8">
        <f>H112/E112</f>
        <v/>
      </c>
      <c r="K112" s="8" t="n">
        <v>1.65</v>
      </c>
      <c r="L112" s="8" t="n">
        <v>1.65</v>
      </c>
      <c r="M112" s="14">
        <f>J112/K112-1</f>
        <v/>
      </c>
      <c r="N112" s="7" t="inlineStr">
        <is>
          <t>OK (≤ menor hist.)</t>
        </is>
      </c>
      <c r="O112" s="7" t="inlineStr"/>
    </row>
    <row r="113">
      <c r="A113" s="7" t="n">
        <v>214</v>
      </c>
      <c r="B113" s="7" t="inlineStr">
        <is>
          <t>8507</t>
        </is>
      </c>
      <c r="C113" s="12" t="inlineStr">
        <is>
          <t>7898216367016</t>
        </is>
      </c>
      <c r="D113" s="7" t="inlineStr">
        <is>
          <t>DICLORIDRATO DE LEVOCETIRIZINA</t>
        </is>
      </c>
      <c r="E113" s="13" t="n">
        <v>1</v>
      </c>
      <c r="F113" s="13" t="n">
        <v>6</v>
      </c>
      <c r="G113" s="13" t="n">
        <v>6</v>
      </c>
      <c r="H113" s="8" t="n">
        <v>9.17</v>
      </c>
      <c r="I113" s="8">
        <f>G113*H113</f>
        <v/>
      </c>
      <c r="J113" s="8">
        <f>H113/E113</f>
        <v/>
      </c>
      <c r="K113" s="8" t="n">
        <v>8.48</v>
      </c>
      <c r="L113" s="8" t="n">
        <v>8.48</v>
      </c>
      <c r="M113" s="14">
        <f>J113/K113-1</f>
        <v/>
      </c>
      <c r="N113" s="7" t="inlineStr">
        <is>
          <t>ACIMA +8.1%</t>
        </is>
      </c>
      <c r="O113" s="7" t="inlineStr"/>
    </row>
    <row r="114">
      <c r="A114" s="7" t="n">
        <v>222121</v>
      </c>
      <c r="B114" s="7" t="inlineStr">
        <is>
          <t>1032</t>
        </is>
      </c>
      <c r="C114" s="12" t="inlineStr">
        <is>
          <t>7898166041004</t>
        </is>
      </c>
      <c r="D114" s="7" t="inlineStr">
        <is>
          <t>DIPIFARMA 500 MG/ML SOL INJ CX 100 AMP VD AMB X 2 ML (EMB HOSP)</t>
        </is>
      </c>
      <c r="E114" s="13" t="n">
        <v>1</v>
      </c>
      <c r="F114" s="13" t="n">
        <v>1</v>
      </c>
      <c r="G114" s="13" t="n">
        <v>1</v>
      </c>
      <c r="H114" s="8" t="n">
        <v>81</v>
      </c>
      <c r="I114" s="8">
        <f>G114*H114</f>
        <v/>
      </c>
      <c r="J114" s="8">
        <f>H114/E114</f>
        <v/>
      </c>
      <c r="K114" s="8" t="n">
        <v>2.56</v>
      </c>
      <c r="L114" s="8" t="n">
        <v>2.56</v>
      </c>
      <c r="M114" s="14">
        <f>J114/K114-1</f>
        <v/>
      </c>
      <c r="N114" s="7" t="inlineStr">
        <is>
          <t>ACIMA +3064.1%</t>
        </is>
      </c>
      <c r="O114" s="7" t="inlineStr">
        <is>
          <t>conferir emb.</t>
        </is>
      </c>
    </row>
    <row r="115">
      <c r="A115" s="7" t="n">
        <v>558021</v>
      </c>
      <c r="B115" s="7" t="inlineStr">
        <is>
          <t>3021</t>
        </is>
      </c>
      <c r="C115" s="12" t="inlineStr">
        <is>
          <t>00742832304719</t>
        </is>
      </c>
      <c r="D115" s="7" t="inlineStr">
        <is>
          <t>DIPIRONA 500MG CT 10CP</t>
        </is>
      </c>
      <c r="E115" s="13" t="n">
        <v>1</v>
      </c>
      <c r="F115" s="13" t="n">
        <v>1</v>
      </c>
      <c r="G115" s="13" t="n">
        <v>1</v>
      </c>
      <c r="H115" s="8" t="n">
        <v>17.91</v>
      </c>
      <c r="I115" s="8">
        <f>G115*H115</f>
        <v/>
      </c>
      <c r="J115" s="8">
        <f>H115/E115</f>
        <v/>
      </c>
      <c r="K115" s="8" t="n"/>
      <c r="L115" s="8" t="n"/>
      <c r="M115" s="14" t="n"/>
      <c r="N115" s="7" t="inlineStr">
        <is>
          <t>SEM HISTÓRICO</t>
        </is>
      </c>
      <c r="O115" s="7" t="inlineStr"/>
    </row>
    <row r="116">
      <c r="A116" s="7" t="n">
        <v>526021</v>
      </c>
      <c r="B116" s="7" t="inlineStr">
        <is>
          <t>8168</t>
        </is>
      </c>
      <c r="C116" s="12" t="inlineStr">
        <is>
          <t>7896523201054</t>
        </is>
      </c>
      <c r="D116" s="7" t="inlineStr">
        <is>
          <t>DOMPERIDONA 10MG CX 30 COMP</t>
        </is>
      </c>
      <c r="E116" s="13" t="n">
        <v>1</v>
      </c>
      <c r="F116" s="13" t="n">
        <v>23</v>
      </c>
      <c r="G116" s="13" t="n">
        <v>23</v>
      </c>
      <c r="H116" s="8" t="n">
        <v>3.23</v>
      </c>
      <c r="I116" s="8">
        <f>G116*H116</f>
        <v/>
      </c>
      <c r="J116" s="8">
        <f>H116/E116</f>
        <v/>
      </c>
      <c r="K116" s="8" t="n">
        <v>2.28</v>
      </c>
      <c r="L116" s="8" t="n">
        <v>2.19</v>
      </c>
      <c r="M116" s="14">
        <f>J116/K116-1</f>
        <v/>
      </c>
      <c r="N116" s="7" t="inlineStr">
        <is>
          <t>ACIMA +41.7%</t>
        </is>
      </c>
      <c r="O116" s="7" t="inlineStr"/>
    </row>
    <row r="117">
      <c r="A117" s="7" t="n">
        <v>13361</v>
      </c>
      <c r="B117" s="7" t="inlineStr">
        <is>
          <t>4788</t>
        </is>
      </c>
      <c r="C117" s="12" t="inlineStr">
        <is>
          <t>7898179710065</t>
        </is>
      </c>
      <c r="D117" s="7" t="inlineStr">
        <is>
          <t>DORMEC 100 MG C/10 (CARTELA)</t>
        </is>
      </c>
      <c r="E117" s="13" t="n">
        <v>20</v>
      </c>
      <c r="F117" s="13" t="n">
        <v>21</v>
      </c>
      <c r="G117" s="13" t="n">
        <v>2</v>
      </c>
      <c r="H117" s="8" t="n">
        <v>12.12</v>
      </c>
      <c r="I117" s="8">
        <f>G117*H117</f>
        <v/>
      </c>
      <c r="J117" s="8">
        <f>H117/E117</f>
        <v/>
      </c>
      <c r="K117" s="8" t="n">
        <v>0.5885</v>
      </c>
      <c r="L117" s="8" t="n">
        <v>0.5855</v>
      </c>
      <c r="M117" s="14">
        <f>J117/K117-1</f>
        <v/>
      </c>
      <c r="N117" s="7" t="inlineStr">
        <is>
          <t>ACIMA +3.0%</t>
        </is>
      </c>
      <c r="O117" s="7" t="inlineStr">
        <is>
          <t>1 emb = 20 un</t>
        </is>
      </c>
    </row>
    <row r="118">
      <c r="A118" s="7" t="n">
        <v>393461</v>
      </c>
      <c r="B118" s="7" t="inlineStr">
        <is>
          <t>270</t>
        </is>
      </c>
      <c r="C118" s="12" t="inlineStr">
        <is>
          <t>7896023701436</t>
        </is>
      </c>
      <c r="D118" s="7" t="inlineStr">
        <is>
          <t>ELIXIR PAREGORICO 0,05ML/ML SOL OR FR GOT 30ML</t>
        </is>
      </c>
      <c r="E118" s="13" t="n">
        <v>1</v>
      </c>
      <c r="F118" s="13" t="n">
        <v>13</v>
      </c>
      <c r="G118" s="13" t="n">
        <v>13</v>
      </c>
      <c r="H118" s="8" t="n">
        <v>10.65</v>
      </c>
      <c r="I118" s="8">
        <f>G118*H118</f>
        <v/>
      </c>
      <c r="J118" s="8">
        <f>H118/E118</f>
        <v/>
      </c>
      <c r="K118" s="8" t="n">
        <v>10.65</v>
      </c>
      <c r="L118" s="8" t="n">
        <v>10.65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604941</v>
      </c>
      <c r="B119" s="7" t="inlineStr">
        <is>
          <t>6901</t>
        </is>
      </c>
      <c r="C119" s="12" t="inlineStr">
        <is>
          <t>7898687731996</t>
        </is>
      </c>
      <c r="D119" s="7" t="inlineStr">
        <is>
          <t>EQUALIV MELATONINA 0,21MG X120</t>
        </is>
      </c>
      <c r="E119" s="13" t="n">
        <v>1</v>
      </c>
      <c r="F119" s="13" t="n">
        <v>1</v>
      </c>
      <c r="G119" s="13" t="n">
        <v>1</v>
      </c>
      <c r="H119" s="8" t="n">
        <v>23.73</v>
      </c>
      <c r="I119" s="8">
        <f>G119*H119</f>
        <v/>
      </c>
      <c r="J119" s="8">
        <f>H119/E119</f>
        <v/>
      </c>
      <c r="K119" s="8" t="n">
        <v>18.9925</v>
      </c>
      <c r="L119" s="8" t="n">
        <v>18.9925</v>
      </c>
      <c r="M119" s="14">
        <f>J119/K119-1</f>
        <v/>
      </c>
      <c r="N119" s="7" t="inlineStr">
        <is>
          <t>ACIMA +24.9%</t>
        </is>
      </c>
      <c r="O119" s="7" t="inlineStr"/>
    </row>
    <row r="120">
      <c r="A120" s="7" t="n">
        <v>611991</v>
      </c>
      <c r="B120" s="7" t="inlineStr">
        <is>
          <t>6875</t>
        </is>
      </c>
      <c r="C120" s="12" t="inlineStr">
        <is>
          <t>7898157722707</t>
        </is>
      </c>
      <c r="D120" s="7" t="inlineStr">
        <is>
          <t>EQUIPO MACROGOTAS MOD L2 - M25</t>
        </is>
      </c>
      <c r="E120" s="13" t="n">
        <v>1</v>
      </c>
      <c r="F120" s="13" t="n">
        <v>5</v>
      </c>
      <c r="G120" s="13" t="n">
        <v>5</v>
      </c>
      <c r="H120" s="8" t="n">
        <v>0.9</v>
      </c>
      <c r="I120" s="8">
        <f>G120*H120</f>
        <v/>
      </c>
      <c r="J120" s="8">
        <f>H120/E120</f>
        <v/>
      </c>
      <c r="K120" s="8" t="n">
        <v>1.49</v>
      </c>
      <c r="L120" s="8" t="n">
        <v>1.49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234861</v>
      </c>
      <c r="B121" s="7" t="inlineStr">
        <is>
          <t>406</t>
        </is>
      </c>
      <c r="C121" s="12" t="inlineStr">
        <is>
          <t>7895296128124</t>
        </is>
      </c>
      <c r="D121" s="7" t="inlineStr">
        <is>
          <t>ESOP 20MG CX 28 COMP REV</t>
        </is>
      </c>
      <c r="E121" s="13" t="n">
        <v>1</v>
      </c>
      <c r="F121" s="13" t="n">
        <v>1</v>
      </c>
      <c r="G121" s="13" t="n">
        <v>1</v>
      </c>
      <c r="H121" s="8" t="n">
        <v>24.96</v>
      </c>
      <c r="I121" s="8">
        <f>G121*H121</f>
        <v/>
      </c>
      <c r="J121" s="8">
        <f>H121/E121</f>
        <v/>
      </c>
      <c r="K121" s="8" t="n">
        <v>21.71</v>
      </c>
      <c r="L121" s="8" t="n">
        <v>21.71</v>
      </c>
      <c r="M121" s="14">
        <f>J121/K121-1</f>
        <v/>
      </c>
      <c r="N121" s="7" t="inlineStr">
        <is>
          <t>ACIMA +15.0%</t>
        </is>
      </c>
      <c r="O121" s="7" t="inlineStr"/>
    </row>
    <row r="122">
      <c r="A122" s="7" t="n">
        <v>234881</v>
      </c>
      <c r="B122" s="7" t="inlineStr">
        <is>
          <t>1127</t>
        </is>
      </c>
      <c r="C122" s="12" t="inlineStr">
        <is>
          <t>7895296128162</t>
        </is>
      </c>
      <c r="D122" s="7" t="inlineStr">
        <is>
          <t>ESOP 40MG CX 28 COMP REV</t>
        </is>
      </c>
      <c r="E122" s="13" t="n">
        <v>1</v>
      </c>
      <c r="F122" s="13" t="n">
        <v>1</v>
      </c>
      <c r="G122" s="13" t="n">
        <v>1</v>
      </c>
      <c r="H122" s="8" t="n">
        <v>43.2</v>
      </c>
      <c r="I122" s="8">
        <f>G122*H122</f>
        <v/>
      </c>
      <c r="J122" s="8">
        <f>H122/E122</f>
        <v/>
      </c>
      <c r="K122" s="8" t="n">
        <v>41.75</v>
      </c>
      <c r="L122" s="8" t="n">
        <v>41.75</v>
      </c>
      <c r="M122" s="14">
        <f>J122/K122-1</f>
        <v/>
      </c>
      <c r="N122" s="7" t="inlineStr">
        <is>
          <t>ACIMA +3.5%</t>
        </is>
      </c>
      <c r="O122" s="7" t="inlineStr"/>
    </row>
    <row r="123">
      <c r="A123" s="7" t="n">
        <v>613791</v>
      </c>
      <c r="B123" s="7" t="inlineStr">
        <is>
          <t>232</t>
        </is>
      </c>
      <c r="C123" s="12" t="inlineStr">
        <is>
          <t>7896544900073</t>
        </is>
      </c>
      <c r="D123" s="7" t="inlineStr">
        <is>
          <t>ESPARAD IMP MISSNER 1,2CMX4,5M</t>
        </is>
      </c>
      <c r="E123" s="13" t="n">
        <v>1</v>
      </c>
      <c r="F123" s="13" t="n">
        <v>2</v>
      </c>
      <c r="G123" s="13" t="n">
        <v>2</v>
      </c>
      <c r="H123" s="8" t="n">
        <v>2.83</v>
      </c>
      <c r="I123" s="8">
        <f>G123*H123</f>
        <v/>
      </c>
      <c r="J123" s="8">
        <f>H123/E123</f>
        <v/>
      </c>
      <c r="K123" s="8" t="n">
        <v>2.83</v>
      </c>
      <c r="L123" s="8" t="n">
        <v>2.83</v>
      </c>
      <c r="M123" s="14">
        <f>J123/K123-1</f>
        <v/>
      </c>
      <c r="N123" s="7" t="inlineStr">
        <is>
          <t>OK (≤ menor hist.)</t>
        </is>
      </c>
      <c r="O123" s="7" t="inlineStr"/>
    </row>
    <row r="124">
      <c r="A124" s="7" t="n">
        <v>540961</v>
      </c>
      <c r="B124" s="7" t="inlineStr">
        <is>
          <t>229</t>
        </is>
      </c>
      <c r="C124" s="12" t="inlineStr">
        <is>
          <t>7896544910102</t>
        </is>
      </c>
      <c r="D124" s="7" t="inlineStr">
        <is>
          <t>ESPARADRAPO BRANCO 10 X 4,5</t>
        </is>
      </c>
      <c r="E124" s="13" t="n">
        <v>1</v>
      </c>
      <c r="F124" s="13" t="n">
        <v>13</v>
      </c>
      <c r="G124" s="13" t="n">
        <v>13</v>
      </c>
      <c r="H124" s="8" t="n">
        <v>12.33</v>
      </c>
      <c r="I124" s="8">
        <f>G124*H124</f>
        <v/>
      </c>
      <c r="J124" s="8">
        <f>H124/E124</f>
        <v/>
      </c>
      <c r="K124" s="8" t="n">
        <v>12.32</v>
      </c>
      <c r="L124" s="8" t="n">
        <v>12.32</v>
      </c>
      <c r="M124" s="14">
        <f>J124/K124-1</f>
        <v/>
      </c>
      <c r="N124" s="7" t="inlineStr">
        <is>
          <t>ACIMA +0.1%</t>
        </is>
      </c>
      <c r="O124" s="7" t="inlineStr"/>
    </row>
    <row r="125">
      <c r="A125" s="7" t="n">
        <v>541301</v>
      </c>
      <c r="B125" s="7" t="inlineStr">
        <is>
          <t>231</t>
        </is>
      </c>
      <c r="C125" s="12" t="inlineStr">
        <is>
          <t>7896544925014</t>
        </is>
      </c>
      <c r="D125" s="7" t="inlineStr">
        <is>
          <t>ESPARADRAPO IMP BRANCO 2,5CM X 0,90MTS UND QTD. 14.00 UN</t>
        </is>
      </c>
      <c r="E125" s="13" t="n">
        <v>1</v>
      </c>
      <c r="F125" s="13" t="n">
        <v>17</v>
      </c>
      <c r="G125" s="13" t="n">
        <v>17</v>
      </c>
      <c r="H125" s="8" t="n">
        <v>2.15</v>
      </c>
      <c r="I125" s="8">
        <f>G125*H125</f>
        <v/>
      </c>
      <c r="J125" s="8">
        <f>H125/E125</f>
        <v/>
      </c>
      <c r="K125" s="8" t="n">
        <v>2.15</v>
      </c>
      <c r="L125" s="8" t="n">
        <v>2.15</v>
      </c>
      <c r="M125" s="14">
        <f>J125/K125-1</f>
        <v/>
      </c>
      <c r="N125" s="7" t="inlineStr">
        <is>
          <t>OK (≤ menor hist.)</t>
        </is>
      </c>
      <c r="O125" s="7" t="inlineStr"/>
    </row>
    <row r="126">
      <c r="A126" s="7" t="n">
        <v>541421</v>
      </c>
      <c r="B126" s="7" t="inlineStr">
        <is>
          <t>230</t>
        </is>
      </c>
      <c r="C126" s="12" t="inlineStr">
        <is>
          <t>7896544925458</t>
        </is>
      </c>
      <c r="D126" s="7" t="inlineStr">
        <is>
          <t>ESPARADRAPO IMP BRANCO 2,5CM X 4,5MTS UND QTD. 10.00 UN</t>
        </is>
      </c>
      <c r="E126" s="13" t="n">
        <v>1</v>
      </c>
      <c r="F126" s="13" t="n">
        <v>41</v>
      </c>
      <c r="G126" s="13" t="n">
        <v>41</v>
      </c>
      <c r="H126" s="8" t="n">
        <v>3.71</v>
      </c>
      <c r="I126" s="8">
        <f>G126*H126</f>
        <v/>
      </c>
      <c r="J126" s="8">
        <f>H126/E126</f>
        <v/>
      </c>
      <c r="K126" s="8" t="n">
        <v>3.71</v>
      </c>
      <c r="L126" s="8" t="n">
        <v>3.71</v>
      </c>
      <c r="M126" s="14">
        <f>J126/K126-1</f>
        <v/>
      </c>
      <c r="N126" s="7" t="inlineStr">
        <is>
          <t>OK (≤ menor hist.)</t>
        </is>
      </c>
      <c r="O126" s="7" t="inlineStr"/>
    </row>
    <row r="127">
      <c r="A127" s="7" t="n">
        <v>552501</v>
      </c>
      <c r="B127" s="7" t="inlineStr">
        <is>
          <t>1049</t>
        </is>
      </c>
      <c r="C127" s="12" t="inlineStr">
        <is>
          <t>7896544910058</t>
        </is>
      </c>
      <c r="D127" s="7" t="inlineStr">
        <is>
          <t>ESPARADRAPO IMPERM. BRANCO 5CMX4,5M</t>
        </is>
      </c>
      <c r="E127" s="13" t="n">
        <v>1</v>
      </c>
      <c r="F127" s="13" t="n">
        <v>14</v>
      </c>
      <c r="G127" s="13" t="n">
        <v>14</v>
      </c>
      <c r="H127" s="8" t="n">
        <v>5.98</v>
      </c>
      <c r="I127" s="8">
        <f>G127*H127</f>
        <v/>
      </c>
      <c r="J127" s="8">
        <f>H127/E127</f>
        <v/>
      </c>
      <c r="K127" s="8" t="n">
        <v>5.98</v>
      </c>
      <c r="L127" s="8" t="n">
        <v>5.97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631171</v>
      </c>
      <c r="B128" s="7" t="inlineStr">
        <is>
          <t>8601</t>
        </is>
      </c>
      <c r="C128" s="12" t="inlineStr">
        <is>
          <t>7898687733990</t>
        </is>
      </c>
      <c r="D128" s="7" t="inlineStr">
        <is>
          <t>ETODOLACO 500MG CX 14 COMP REV</t>
        </is>
      </c>
      <c r="E128" s="13" t="n">
        <v>1</v>
      </c>
      <c r="F128" s="13" t="n">
        <v>13</v>
      </c>
      <c r="G128" s="13" t="n">
        <v>13</v>
      </c>
      <c r="H128" s="8" t="n">
        <v>19.83</v>
      </c>
      <c r="I128" s="8">
        <f>G128*H128</f>
        <v/>
      </c>
      <c r="J128" s="8">
        <f>H128/E128</f>
        <v/>
      </c>
      <c r="K128" s="8" t="n">
        <v>16.3492</v>
      </c>
      <c r="L128" s="8" t="n">
        <v>16.3492</v>
      </c>
      <c r="M128" s="14">
        <f>J128/K128-1</f>
        <v/>
      </c>
      <c r="N128" s="7" t="inlineStr">
        <is>
          <t>ACIMA +21.3%</t>
        </is>
      </c>
      <c r="O128" s="7" t="inlineStr"/>
    </row>
    <row r="129">
      <c r="A129" s="7" t="n">
        <v>607431</v>
      </c>
      <c r="B129" s="7" t="inlineStr">
        <is>
          <t>9066</t>
        </is>
      </c>
      <c r="C129" s="12" t="inlineStr">
        <is>
          <t>7897732607897</t>
        </is>
      </c>
      <c r="D129" s="7" t="inlineStr">
        <is>
          <t>EXTRATO DE PROPOLIS VERDE 30ML</t>
        </is>
      </c>
      <c r="E129" s="13" t="n">
        <v>1</v>
      </c>
      <c r="F129" s="13" t="n">
        <v>6</v>
      </c>
      <c r="G129" s="13" t="n">
        <v>6</v>
      </c>
      <c r="H129" s="8" t="n">
        <v>9.76</v>
      </c>
      <c r="I129" s="8">
        <f>G129*H129</f>
        <v/>
      </c>
      <c r="J129" s="8">
        <f>H129/E129</f>
        <v/>
      </c>
      <c r="K129" s="8" t="n">
        <v>9.51</v>
      </c>
      <c r="L129" s="8" t="n">
        <v>9.51</v>
      </c>
      <c r="M129" s="14">
        <f>J129/K129-1</f>
        <v/>
      </c>
      <c r="N129" s="7" t="inlineStr">
        <is>
          <t>ACIMA +2.6%</t>
        </is>
      </c>
      <c r="O129" s="7" t="inlineStr"/>
    </row>
    <row r="130">
      <c r="A130" s="7" t="n">
        <v>21941</v>
      </c>
      <c r="B130" s="7" t="inlineStr">
        <is>
          <t>1172</t>
        </is>
      </c>
      <c r="C130" s="12" t="inlineStr">
        <is>
          <t>7898166040328</t>
        </is>
      </c>
      <c r="D130" s="7" t="inlineStr">
        <is>
          <t>FARMACE -AGUA PARA INJECAO 1 ML/ML SOL INJ CX 200 AMP PLAS TRANS X 10 ML</t>
        </is>
      </c>
      <c r="E130" s="13" t="n">
        <v>1</v>
      </c>
      <c r="F130" s="13" t="n">
        <v>1</v>
      </c>
      <c r="G130" s="13" t="n">
        <v>1</v>
      </c>
      <c r="H130" s="8" t="n">
        <v>0.32</v>
      </c>
      <c r="I130" s="8">
        <f>G130*H130</f>
        <v/>
      </c>
      <c r="J130" s="8">
        <f>H130/E130</f>
        <v/>
      </c>
      <c r="K130" s="8" t="n">
        <v>0.45</v>
      </c>
      <c r="L130" s="8" t="n">
        <v>0.45</v>
      </c>
      <c r="M130" s="14">
        <f>J130/K130-1</f>
        <v/>
      </c>
      <c r="N130" s="7" t="inlineStr">
        <is>
          <t>OK (≤ menor hist.)</t>
        </is>
      </c>
      <c r="O130" s="7" t="inlineStr"/>
    </row>
    <row r="131">
      <c r="A131" s="7" t="n">
        <v>591221</v>
      </c>
      <c r="B131" s="7" t="inlineStr">
        <is>
          <t>7313</t>
        </is>
      </c>
      <c r="C131" s="12" t="inlineStr">
        <is>
          <t>7898216362172</t>
        </is>
      </c>
      <c r="D131" s="7" t="inlineStr">
        <is>
          <t>FARMOXICAM 20MG CX 10 CAP</t>
        </is>
      </c>
      <c r="E131" s="13" t="n">
        <v>1</v>
      </c>
      <c r="F131" s="13" t="n">
        <v>4</v>
      </c>
      <c r="G131" s="13" t="n">
        <v>4</v>
      </c>
      <c r="H131" s="8" t="n">
        <v>4.4</v>
      </c>
      <c r="I131" s="8">
        <f>G131*H131</f>
        <v/>
      </c>
      <c r="J131" s="8">
        <f>H131/E131</f>
        <v/>
      </c>
      <c r="K131" s="8" t="n">
        <v>3.52</v>
      </c>
      <c r="L131" s="8" t="n">
        <v>3.52</v>
      </c>
      <c r="M131" s="14">
        <f>J131/K131-1</f>
        <v/>
      </c>
      <c r="N131" s="7" t="inlineStr">
        <is>
          <t>ACIMA +25.0%</t>
        </is>
      </c>
      <c r="O131" s="7" t="inlineStr"/>
    </row>
    <row r="132">
      <c r="A132" s="7" t="n">
        <v>532361</v>
      </c>
      <c r="B132" s="7" t="inlineStr">
        <is>
          <t>1045</t>
        </is>
      </c>
      <c r="C132" s="12" t="inlineStr">
        <is>
          <t>7896544900011</t>
        </is>
      </c>
      <c r="D132" s="7" t="inlineStr">
        <is>
          <t>FITA CIRUGICA MICRO 1,2X4,5 MISSNER</t>
        </is>
      </c>
      <c r="E132" s="13" t="n">
        <v>1</v>
      </c>
      <c r="F132" s="13" t="n">
        <v>41</v>
      </c>
      <c r="G132" s="13" t="n">
        <v>41</v>
      </c>
      <c r="H132" s="8" t="n">
        <v>2.23</v>
      </c>
      <c r="I132" s="8">
        <f>G132*H132</f>
        <v/>
      </c>
      <c r="J132" s="8">
        <f>H132/E132</f>
        <v/>
      </c>
      <c r="K132" s="8" t="n">
        <v>2.23</v>
      </c>
      <c r="L132" s="8" t="n">
        <v>2.23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532401</v>
      </c>
      <c r="B133" s="7" t="inlineStr">
        <is>
          <t>1047</t>
        </is>
      </c>
      <c r="C133" s="12" t="inlineStr">
        <is>
          <t>7896544900097</t>
        </is>
      </c>
      <c r="D133" s="7" t="inlineStr">
        <is>
          <t>FITA CIRURGICA MICROPOROSA MISSNER 2,5CM X 4,5M</t>
        </is>
      </c>
      <c r="E133" s="13" t="n">
        <v>1</v>
      </c>
      <c r="F133" s="13" t="n">
        <v>95</v>
      </c>
      <c r="G133" s="13" t="n">
        <v>95</v>
      </c>
      <c r="H133" s="8" t="n">
        <v>3.14</v>
      </c>
      <c r="I133" s="8">
        <f>G133*H133</f>
        <v/>
      </c>
      <c r="J133" s="8">
        <f>H133/E133</f>
        <v/>
      </c>
      <c r="K133" s="8" t="n">
        <v>3.14</v>
      </c>
      <c r="L133" s="8" t="n">
        <v>3.14</v>
      </c>
      <c r="M133" s="14">
        <f>J133/K133-1</f>
        <v/>
      </c>
      <c r="N133" s="7" t="inlineStr">
        <is>
          <t>OK (≤ menor hist.)</t>
        </is>
      </c>
      <c r="O133" s="7" t="inlineStr"/>
    </row>
    <row r="134">
      <c r="A134" s="7" t="n">
        <v>606871</v>
      </c>
      <c r="B134" s="7" t="inlineStr">
        <is>
          <t>7377</t>
        </is>
      </c>
      <c r="C134" s="12" t="inlineStr">
        <is>
          <t>7899838831992</t>
        </is>
      </c>
      <c r="D134" s="7" t="inlineStr">
        <is>
          <t>FITA DE KINESIO 5CM X 5M BEGE</t>
        </is>
      </c>
      <c r="E134" s="13" t="n">
        <v>1</v>
      </c>
      <c r="F134" s="13" t="n">
        <v>1</v>
      </c>
      <c r="G134" s="13" t="n">
        <v>1</v>
      </c>
      <c r="H134" s="8" t="n">
        <v>20.48</v>
      </c>
      <c r="I134" s="8">
        <f>G134*H134</f>
        <v/>
      </c>
      <c r="J134" s="8">
        <f>H134/E134</f>
        <v/>
      </c>
      <c r="K134" s="8" t="n">
        <v>20.48</v>
      </c>
      <c r="L134" s="8" t="n">
        <v>20.48</v>
      </c>
      <c r="M134" s="14">
        <f>J134/K134-1</f>
        <v/>
      </c>
      <c r="N134" s="7" t="inlineStr">
        <is>
          <t>OK (≤ menor hist.)</t>
        </is>
      </c>
      <c r="O134" s="7" t="inlineStr"/>
    </row>
    <row r="135">
      <c r="A135" s="7" t="n">
        <v>591031</v>
      </c>
      <c r="B135" s="7" t="inlineStr">
        <is>
          <t>7428</t>
        </is>
      </c>
      <c r="C135" s="12" t="inlineStr">
        <is>
          <t>7899838832005</t>
        </is>
      </c>
      <c r="D135" s="7" t="inlineStr">
        <is>
          <t>FITA KINESIO ROLO 5CMX5M AZUL HC042</t>
        </is>
      </c>
      <c r="E135" s="13" t="n">
        <v>1</v>
      </c>
      <c r="F135" s="13" t="n">
        <v>2</v>
      </c>
      <c r="G135" s="13" t="n">
        <v>2</v>
      </c>
      <c r="H135" s="8" t="n">
        <v>20.43</v>
      </c>
      <c r="I135" s="8">
        <f>G135*H135</f>
        <v/>
      </c>
      <c r="J135" s="8">
        <f>H135/E135</f>
        <v/>
      </c>
      <c r="K135" s="8" t="n">
        <v>20.43</v>
      </c>
      <c r="L135" s="8" t="n">
        <v>19.65</v>
      </c>
      <c r="M135" s="14">
        <f>J135/K135-1</f>
        <v/>
      </c>
      <c r="N135" s="7" t="inlineStr">
        <is>
          <t>OK (≤ últ. compra)</t>
        </is>
      </c>
      <c r="O135" s="7" t="inlineStr"/>
    </row>
    <row r="136">
      <c r="A136" s="7" t="n">
        <v>594901</v>
      </c>
      <c r="B136" s="7" t="inlineStr">
        <is>
          <t>7307</t>
        </is>
      </c>
      <c r="C136" s="12" t="inlineStr">
        <is>
          <t>7899838831985</t>
        </is>
      </c>
      <c r="D136" s="7" t="inlineStr">
        <is>
          <t>FITA KINESIO ROLO 5CMX5M PRETA HC040</t>
        </is>
      </c>
      <c r="E136" s="13" t="n">
        <v>1</v>
      </c>
      <c r="F136" s="13" t="n">
        <v>1</v>
      </c>
      <c r="G136" s="13" t="n">
        <v>1</v>
      </c>
      <c r="H136" s="8" t="n">
        <v>20.48</v>
      </c>
      <c r="I136" s="8">
        <f>G136*H136</f>
        <v/>
      </c>
      <c r="J136" s="8">
        <f>H136/E136</f>
        <v/>
      </c>
      <c r="K136" s="8" t="n">
        <v>23.3</v>
      </c>
      <c r="L136" s="8" t="n">
        <v>23.3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547461</v>
      </c>
      <c r="B137" s="7" t="inlineStr">
        <is>
          <t>1046</t>
        </is>
      </c>
      <c r="C137" s="12" t="inlineStr">
        <is>
          <t>7896544900103</t>
        </is>
      </c>
      <c r="D137" s="7" t="inlineStr">
        <is>
          <t>FITA MICROPORO BRANCO 2,5CM X 0,90MTS</t>
        </is>
      </c>
      <c r="E137" s="13" t="n">
        <v>1</v>
      </c>
      <c r="F137" s="13" t="n">
        <v>28</v>
      </c>
      <c r="G137" s="13" t="n">
        <v>28</v>
      </c>
      <c r="H137" s="8" t="n">
        <v>1.86</v>
      </c>
      <c r="I137" s="8">
        <f>G137*H137</f>
        <v/>
      </c>
      <c r="J137" s="8">
        <f>H137/E137</f>
        <v/>
      </c>
      <c r="K137" s="8" t="n">
        <v>1.86</v>
      </c>
      <c r="L137" s="8" t="n">
        <v>1.86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541021</v>
      </c>
      <c r="B138" s="7" t="inlineStr">
        <is>
          <t>1048</t>
        </is>
      </c>
      <c r="C138" s="12" t="inlineStr">
        <is>
          <t>7896544900158</t>
        </is>
      </c>
      <c r="D138" s="7" t="inlineStr">
        <is>
          <t>FITA MICROPOROSA BRANCO 10 X 4,5</t>
        </is>
      </c>
      <c r="E138" s="13" t="n">
        <v>1</v>
      </c>
      <c r="F138" s="13" t="n">
        <v>4</v>
      </c>
      <c r="G138" s="13" t="n">
        <v>4</v>
      </c>
      <c r="H138" s="8" t="n">
        <v>8.1</v>
      </c>
      <c r="I138" s="8">
        <f>G138*H138</f>
        <v/>
      </c>
      <c r="J138" s="8">
        <f>H138/E138</f>
        <v/>
      </c>
      <c r="K138" s="8" t="n">
        <v>8.1</v>
      </c>
      <c r="L138" s="8" t="n">
        <v>8.1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541381</v>
      </c>
      <c r="B139" s="7" t="inlineStr">
        <is>
          <t>942</t>
        </is>
      </c>
      <c r="C139" s="12" t="inlineStr">
        <is>
          <t>7896544900165</t>
        </is>
      </c>
      <c r="D139" s="7" t="inlineStr">
        <is>
          <t>FITA MICROPOROSA BRANCO 5,0CM X 4,5MTS UND QTD. 4.00 UN</t>
        </is>
      </c>
      <c r="E139" s="13" t="n">
        <v>1</v>
      </c>
      <c r="F139" s="13" t="n">
        <v>33</v>
      </c>
      <c r="G139" s="13" t="n">
        <v>33</v>
      </c>
      <c r="H139" s="8" t="n">
        <v>5.02</v>
      </c>
      <c r="I139" s="8">
        <f>G139*H139</f>
        <v/>
      </c>
      <c r="J139" s="8">
        <f>H139/E139</f>
        <v/>
      </c>
      <c r="K139" s="8" t="n">
        <v>5.02</v>
      </c>
      <c r="L139" s="8" t="n">
        <v>5.02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606861</v>
      </c>
      <c r="B140" s="7" t="inlineStr">
        <is>
          <t>4781</t>
        </is>
      </c>
      <c r="C140" s="12" t="inlineStr">
        <is>
          <t>7894164005239</t>
        </is>
      </c>
      <c r="D140" s="7" t="inlineStr">
        <is>
          <t>FLEXENEMA 130ML (ARL)</t>
        </is>
      </c>
      <c r="E140" s="13" t="n">
        <v>1</v>
      </c>
      <c r="F140" s="13" t="n">
        <v>3</v>
      </c>
      <c r="G140" s="13" t="n">
        <v>3</v>
      </c>
      <c r="H140" s="8" t="n">
        <v>14.17</v>
      </c>
      <c r="I140" s="8">
        <f>G140*H140</f>
        <v/>
      </c>
      <c r="J140" s="8">
        <f>H140/E140</f>
        <v/>
      </c>
      <c r="K140" s="8" t="n">
        <v>13.49</v>
      </c>
      <c r="L140" s="8" t="n">
        <v>13.49</v>
      </c>
      <c r="M140" s="14">
        <f>J140/K140-1</f>
        <v/>
      </c>
      <c r="N140" s="7" t="inlineStr">
        <is>
          <t>ACIMA +5.0%</t>
        </is>
      </c>
      <c r="O140" s="7" t="inlineStr"/>
    </row>
    <row r="141">
      <c r="A141" s="7" t="n">
        <v>550941</v>
      </c>
      <c r="B141" s="7" t="inlineStr">
        <is>
          <t>2233</t>
        </is>
      </c>
      <c r="C141" s="12" t="inlineStr">
        <is>
          <t>7894488000101</t>
        </is>
      </c>
      <c r="D141" s="7" t="inlineStr">
        <is>
          <t>FLOCONETES SEGUROS E ABSORVENTES 75UN</t>
        </is>
      </c>
      <c r="E141" s="13" t="n">
        <v>1</v>
      </c>
      <c r="F141" s="13" t="n">
        <v>2</v>
      </c>
      <c r="G141" s="13" t="n">
        <v>2</v>
      </c>
      <c r="H141" s="8" t="n">
        <v>1.35</v>
      </c>
      <c r="I141" s="8">
        <f>G141*H141</f>
        <v/>
      </c>
      <c r="J141" s="8">
        <f>H141/E141</f>
        <v/>
      </c>
      <c r="K141" s="8" t="n">
        <v>1.35</v>
      </c>
      <c r="L141" s="8" t="n">
        <v>1.35</v>
      </c>
      <c r="M141" s="14">
        <f>J141/K141-1</f>
        <v/>
      </c>
      <c r="N141" s="7" t="inlineStr">
        <is>
          <t>OK (≤ menor hist.)</t>
        </is>
      </c>
      <c r="O141" s="7" t="inlineStr"/>
    </row>
    <row r="142">
      <c r="A142" s="7" t="n">
        <v>660241</v>
      </c>
      <c r="B142" s="7" t="inlineStr">
        <is>
          <t>7829</t>
        </is>
      </c>
      <c r="C142" s="12" t="inlineStr">
        <is>
          <t>7896862993665</t>
        </is>
      </c>
      <c r="D142" s="7" t="inlineStr">
        <is>
          <t>GASTROGEL TABS MENTA (CARTELA)</t>
        </is>
      </c>
      <c r="E142" s="13" t="n">
        <v>1</v>
      </c>
      <c r="F142" s="13" t="n">
        <v>4</v>
      </c>
      <c r="G142" s="13" t="n">
        <v>4</v>
      </c>
      <c r="H142" s="8" t="n">
        <v>8.529999999999999</v>
      </c>
      <c r="I142" s="8">
        <f>G142*H142</f>
        <v/>
      </c>
      <c r="J142" s="8">
        <f>H142/E142</f>
        <v/>
      </c>
      <c r="K142" s="8" t="n">
        <v>7.99</v>
      </c>
      <c r="L142" s="8" t="n">
        <v>7.99</v>
      </c>
      <c r="M142" s="14">
        <f>J142/K142-1</f>
        <v/>
      </c>
      <c r="N142" s="7" t="inlineStr">
        <is>
          <t>ACIMA +6.8%</t>
        </is>
      </c>
      <c r="O142" s="7" t="inlineStr"/>
    </row>
    <row r="143">
      <c r="A143" s="7" t="n">
        <v>592591</v>
      </c>
      <c r="B143" s="7" t="inlineStr">
        <is>
          <t>1982</t>
        </is>
      </c>
      <c r="C143" s="12" t="inlineStr">
        <is>
          <t>7898556850049</t>
        </is>
      </c>
      <c r="D143" s="7" t="inlineStr">
        <is>
          <t>GEL INTIMO LUBRIF MENTA 50G RILEX</t>
        </is>
      </c>
      <c r="E143" s="13" t="n">
        <v>1</v>
      </c>
      <c r="F143" s="13" t="n">
        <v>2</v>
      </c>
      <c r="G143" s="13" t="n">
        <v>2</v>
      </c>
      <c r="H143" s="8" t="n">
        <v>7.05</v>
      </c>
      <c r="I143" s="8">
        <f>G143*H143</f>
        <v/>
      </c>
      <c r="J143" s="8">
        <f>H143/E143</f>
        <v/>
      </c>
      <c r="K143" s="8" t="n">
        <v>6.25</v>
      </c>
      <c r="L143" s="8" t="n">
        <v>6.25</v>
      </c>
      <c r="M143" s="14">
        <f>J143/K143-1</f>
        <v/>
      </c>
      <c r="N143" s="7" t="inlineStr">
        <is>
          <t>ACIMA +12.8%</t>
        </is>
      </c>
      <c r="O143" s="7" t="inlineStr"/>
    </row>
    <row r="144">
      <c r="A144" s="7" t="n">
        <v>557181</v>
      </c>
      <c r="B144" s="7" t="inlineStr">
        <is>
          <t>5498</t>
        </is>
      </c>
      <c r="C144" s="12" t="inlineStr">
        <is>
          <t>7898556850506</t>
        </is>
      </c>
      <c r="D144" s="7" t="inlineStr">
        <is>
          <t>GEL INTIMO LUBRIF. MORANGO 100G TOY RILE</t>
        </is>
      </c>
      <c r="E144" s="13" t="n">
        <v>1</v>
      </c>
      <c r="F144" s="13" t="n">
        <v>2</v>
      </c>
      <c r="G144" s="13" t="n">
        <v>2</v>
      </c>
      <c r="H144" s="8" t="n">
        <v>15.36</v>
      </c>
      <c r="I144" s="8">
        <f>G144*H144</f>
        <v/>
      </c>
      <c r="J144" s="8">
        <f>H144/E144</f>
        <v/>
      </c>
      <c r="K144" s="8" t="n">
        <v>13.54</v>
      </c>
      <c r="L144" s="8" t="n">
        <v>13.54</v>
      </c>
      <c r="M144" s="14">
        <f>J144/K144-1</f>
        <v/>
      </c>
      <c r="N144" s="7" t="inlineStr">
        <is>
          <t>ACIMA +13.4%</t>
        </is>
      </c>
      <c r="O144" s="7" t="inlineStr"/>
    </row>
    <row r="145">
      <c r="A145" s="7" t="n">
        <v>630481</v>
      </c>
      <c r="B145" s="7" t="inlineStr">
        <is>
          <t>9931</t>
        </is>
      </c>
      <c r="C145" s="12" t="inlineStr">
        <is>
          <t>7898556851084</t>
        </is>
      </c>
      <c r="D145" s="7" t="inlineStr">
        <is>
          <t>GEL INTIMO LUBRIF.TRADICIONAL 200G RILEX</t>
        </is>
      </c>
      <c r="E145" s="13" t="n">
        <v>1</v>
      </c>
      <c r="F145" s="13" t="n">
        <v>1</v>
      </c>
      <c r="G145" s="13" t="n">
        <v>1</v>
      </c>
      <c r="H145" s="8" t="n">
        <v>23.26</v>
      </c>
      <c r="I145" s="8">
        <f>G145*H145</f>
        <v/>
      </c>
      <c r="J145" s="8">
        <f>H145/E145</f>
        <v/>
      </c>
      <c r="K145" s="8" t="n">
        <v>24.89</v>
      </c>
      <c r="L145" s="8" t="n">
        <v>24.89</v>
      </c>
      <c r="M145" s="14">
        <f>J145/K145-1</f>
        <v/>
      </c>
      <c r="N145" s="7" t="inlineStr">
        <is>
          <t>OK (≤ menor hist.)</t>
        </is>
      </c>
      <c r="O145" s="7" t="inlineStr"/>
    </row>
    <row r="146">
      <c r="A146" s="7" t="n">
        <v>584681</v>
      </c>
      <c r="B146" s="7" t="inlineStr">
        <is>
          <t>1983</t>
        </is>
      </c>
      <c r="C146" s="12" t="inlineStr">
        <is>
          <t>7898556850025</t>
        </is>
      </c>
      <c r="D146" s="7" t="inlineStr">
        <is>
          <t>GEL LUBRIFICANTE RILEX MORANGO 50G</t>
        </is>
      </c>
      <c r="E146" s="13" t="n">
        <v>1</v>
      </c>
      <c r="F146" s="13" t="n">
        <v>2</v>
      </c>
      <c r="G146" s="13" t="n">
        <v>2</v>
      </c>
      <c r="H146" s="8" t="n">
        <v>7.07</v>
      </c>
      <c r="I146" s="8">
        <f>G146*H146</f>
        <v/>
      </c>
      <c r="J146" s="8">
        <f>H146/E146</f>
        <v/>
      </c>
      <c r="K146" s="8" t="n">
        <v>6.25</v>
      </c>
      <c r="L146" s="8" t="n">
        <v>6.25</v>
      </c>
      <c r="M146" s="14">
        <f>J146/K146-1</f>
        <v/>
      </c>
      <c r="N146" s="7" t="inlineStr">
        <is>
          <t>ACIMA +13.1%</t>
        </is>
      </c>
      <c r="O146" s="7" t="inlineStr"/>
    </row>
    <row r="147">
      <c r="A147" s="7" t="n">
        <v>584661</v>
      </c>
      <c r="B147" s="7" t="inlineStr">
        <is>
          <t>1951</t>
        </is>
      </c>
      <c r="C147" s="12" t="inlineStr">
        <is>
          <t>7898903991951</t>
        </is>
      </c>
      <c r="D147" s="7" t="inlineStr">
        <is>
          <t>GEL LUBRIFICANTE RILEX TRADIOCIONAL 50G</t>
        </is>
      </c>
      <c r="E147" s="13" t="n">
        <v>1</v>
      </c>
      <c r="F147" s="13" t="n">
        <v>1</v>
      </c>
      <c r="G147" s="13" t="n">
        <v>1</v>
      </c>
      <c r="H147" s="8" t="n">
        <v>6.64</v>
      </c>
      <c r="I147" s="8">
        <f>G147*H147</f>
        <v/>
      </c>
      <c r="J147" s="8">
        <f>H147/E147</f>
        <v/>
      </c>
      <c r="K147" s="8" t="n">
        <v>6.57</v>
      </c>
      <c r="L147" s="8" t="n">
        <v>6.57</v>
      </c>
      <c r="M147" s="14">
        <f>J147/K147-1</f>
        <v/>
      </c>
      <c r="N147" s="7" t="inlineStr">
        <is>
          <t>ACIMA +1.1%</t>
        </is>
      </c>
      <c r="O147" s="7" t="inlineStr"/>
    </row>
    <row r="148">
      <c r="A148" s="7" t="n">
        <v>691301</v>
      </c>
      <c r="B148" s="7" t="inlineStr">
        <is>
          <t>10354</t>
        </is>
      </c>
      <c r="C148" s="12" t="inlineStr">
        <is>
          <t>7898741951353</t>
        </is>
      </c>
      <c r="D148" s="7" t="inlineStr">
        <is>
          <t>GEL MASSAGEADOR BLUE ICE 240G</t>
        </is>
      </c>
      <c r="E148" s="13" t="n">
        <v>1</v>
      </c>
      <c r="F148" s="13" t="n">
        <v>1</v>
      </c>
      <c r="G148" s="13" t="n">
        <v>1</v>
      </c>
      <c r="H148" s="8" t="n">
        <v>6.15</v>
      </c>
      <c r="I148" s="8">
        <f>G148*H148</f>
        <v/>
      </c>
      <c r="J148" s="8">
        <f>H148/E148</f>
        <v/>
      </c>
      <c r="K148" s="8" t="n">
        <v>6.15</v>
      </c>
      <c r="L148" s="8" t="n">
        <v>6.15</v>
      </c>
      <c r="M148" s="14">
        <f>J148/K148-1</f>
        <v/>
      </c>
      <c r="N148" s="7" t="inlineStr">
        <is>
          <t>OK (≤ menor hist.)</t>
        </is>
      </c>
      <c r="O148" s="7" t="inlineStr"/>
    </row>
    <row r="149">
      <c r="A149" s="7" t="n">
        <v>691801</v>
      </c>
      <c r="B149" s="7" t="inlineStr">
        <is>
          <t>7193</t>
        </is>
      </c>
      <c r="C149" s="12" t="inlineStr">
        <is>
          <t>7898936049612</t>
        </is>
      </c>
      <c r="D149" s="7" t="inlineStr">
        <is>
          <t>GEL MASSAGEM 17 ERVAS 250G POTE</t>
        </is>
      </c>
      <c r="E149" s="13" t="n">
        <v>1</v>
      </c>
      <c r="F149" s="13" t="n">
        <v>1</v>
      </c>
      <c r="G149" s="13" t="n">
        <v>1</v>
      </c>
      <c r="H149" s="8" t="n">
        <v>4.19</v>
      </c>
      <c r="I149" s="8">
        <f>G149*H149</f>
        <v/>
      </c>
      <c r="J149" s="8">
        <f>H149/E149</f>
        <v/>
      </c>
      <c r="K149" s="8" t="n">
        <v>4.19</v>
      </c>
      <c r="L149" s="8" t="n">
        <v>4.19</v>
      </c>
      <c r="M149" s="14">
        <f>J149/K149-1</f>
        <v/>
      </c>
      <c r="N149" s="7" t="inlineStr">
        <is>
          <t>OK (≤ menor hist.)</t>
        </is>
      </c>
      <c r="O149" s="7" t="inlineStr"/>
    </row>
    <row r="150">
      <c r="A150" s="7" t="n">
        <v>691601</v>
      </c>
      <c r="B150" s="7" t="inlineStr">
        <is>
          <t>9398</t>
        </is>
      </c>
      <c r="C150" s="12" t="inlineStr">
        <is>
          <t>7898936049704</t>
        </is>
      </c>
      <c r="D150" s="7" t="inlineStr">
        <is>
          <t>GEL MASSAGEM ARNICA E COPAIBA 250G POTE</t>
        </is>
      </c>
      <c r="E150" s="13" t="n">
        <v>1</v>
      </c>
      <c r="F150" s="13" t="n">
        <v>10</v>
      </c>
      <c r="G150" s="13" t="n">
        <v>10</v>
      </c>
      <c r="H150" s="8" t="n">
        <v>3.67</v>
      </c>
      <c r="I150" s="8">
        <f>G150*H150</f>
        <v/>
      </c>
      <c r="J150" s="8">
        <f>H150/E150</f>
        <v/>
      </c>
      <c r="K150" s="8" t="n">
        <v>3.67</v>
      </c>
      <c r="L150" s="8" t="n">
        <v>3.67</v>
      </c>
      <c r="M150" s="14">
        <f>J150/K150-1</f>
        <v/>
      </c>
      <c r="N150" s="7" t="inlineStr">
        <is>
          <t>OK (≤ menor hist.)</t>
        </is>
      </c>
      <c r="O150" s="7" t="inlineStr"/>
    </row>
    <row r="151">
      <c r="A151" s="7" t="n">
        <v>627931</v>
      </c>
      <c r="B151" s="7" t="inlineStr">
        <is>
          <t>8354</t>
        </is>
      </c>
      <c r="C151" s="12" t="inlineStr">
        <is>
          <t>7898741950288</t>
        </is>
      </c>
      <c r="D151" s="7" t="inlineStr">
        <is>
          <t>GEL MASSAGEM COPAIBA 190G FRASCO</t>
        </is>
      </c>
      <c r="E151" s="13" t="n">
        <v>1</v>
      </c>
      <c r="F151" s="13" t="n">
        <v>2</v>
      </c>
      <c r="G151" s="13" t="n">
        <v>2</v>
      </c>
      <c r="H151" s="8" t="n">
        <v>4.36</v>
      </c>
      <c r="I151" s="8">
        <f>G151*H151</f>
        <v/>
      </c>
      <c r="J151" s="8">
        <f>H151/E151</f>
        <v/>
      </c>
      <c r="K151" s="8" t="n">
        <v>4.36</v>
      </c>
      <c r="L151" s="8" t="n">
        <v>4.36</v>
      </c>
      <c r="M151" s="14">
        <f>J151/K151-1</f>
        <v/>
      </c>
      <c r="N151" s="7" t="inlineStr">
        <is>
          <t>OK (≤ menor hist.)</t>
        </is>
      </c>
      <c r="O151" s="7" t="inlineStr"/>
    </row>
    <row r="152">
      <c r="A152" s="7" t="n">
        <v>627901</v>
      </c>
      <c r="B152" s="7" t="inlineStr">
        <is>
          <t>7190</t>
        </is>
      </c>
      <c r="C152" s="12" t="inlineStr">
        <is>
          <t>7898936049506</t>
        </is>
      </c>
      <c r="D152" s="7" t="inlineStr">
        <is>
          <t>GEL MASSAGEM EXTRA FORTE ANDIROBA 200G</t>
        </is>
      </c>
      <c r="E152" s="13" t="n">
        <v>1</v>
      </c>
      <c r="F152" s="13" t="n">
        <v>2</v>
      </c>
      <c r="G152" s="13" t="n">
        <v>2</v>
      </c>
      <c r="H152" s="8" t="n">
        <v>4.39</v>
      </c>
      <c r="I152" s="8">
        <f>G152*H152</f>
        <v/>
      </c>
      <c r="J152" s="8">
        <f>H152/E152</f>
        <v/>
      </c>
      <c r="K152" s="8" t="n">
        <v>4.41</v>
      </c>
      <c r="L152" s="8" t="n">
        <v>4.41</v>
      </c>
      <c r="M152" s="14">
        <f>J152/K152-1</f>
        <v/>
      </c>
      <c r="N152" s="7" t="inlineStr">
        <is>
          <t>OK (≤ menor hist.)</t>
        </is>
      </c>
      <c r="O152" s="7" t="inlineStr"/>
    </row>
    <row r="153">
      <c r="A153" s="7" t="n">
        <v>627921</v>
      </c>
      <c r="B153" s="7" t="inlineStr">
        <is>
          <t>7192</t>
        </is>
      </c>
      <c r="C153" s="12" t="inlineStr">
        <is>
          <t>7898936049278</t>
        </is>
      </c>
      <c r="D153" s="7" t="inlineStr">
        <is>
          <t>GEL MASSAGEM TUBARAO BRANCO 250G POTE</t>
        </is>
      </c>
      <c r="E153" s="13" t="n">
        <v>1</v>
      </c>
      <c r="F153" s="13" t="n">
        <v>5</v>
      </c>
      <c r="G153" s="13" t="n">
        <v>5</v>
      </c>
      <c r="H153" s="8" t="n">
        <v>3.7</v>
      </c>
      <c r="I153" s="8">
        <f>G153*H153</f>
        <v/>
      </c>
      <c r="J153" s="8">
        <f>H153/E153</f>
        <v/>
      </c>
      <c r="K153" s="8" t="n">
        <v>3.7</v>
      </c>
      <c r="L153" s="8" t="n">
        <v>3.7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610041</v>
      </c>
      <c r="B154" s="7" t="inlineStr">
        <is>
          <t>7509</t>
        </is>
      </c>
      <c r="C154" s="12" t="inlineStr">
        <is>
          <t>7898719040195</t>
        </is>
      </c>
      <c r="D154" s="7" t="inlineStr">
        <is>
          <t>GELOFLAN BALSAMO AEROSSOL 120ML</t>
        </is>
      </c>
      <c r="E154" s="13" t="n">
        <v>1</v>
      </c>
      <c r="F154" s="13" t="n">
        <v>3</v>
      </c>
      <c r="G154" s="13" t="n">
        <v>3</v>
      </c>
      <c r="H154" s="8" t="n">
        <v>12.1</v>
      </c>
      <c r="I154" s="8">
        <f>G154*H154</f>
        <v/>
      </c>
      <c r="J154" s="8">
        <f>H154/E154</f>
        <v/>
      </c>
      <c r="K154" s="8" t="n">
        <v>12.59</v>
      </c>
      <c r="L154" s="8" t="n">
        <v>12.1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324</v>
      </c>
      <c r="B155" s="7" t="inlineStr">
        <is>
          <t>8419</t>
        </is>
      </c>
      <c r="C155" s="12" t="inlineStr">
        <is>
          <t>7896920305225</t>
        </is>
      </c>
      <c r="D155" s="7" t="inlineStr">
        <is>
          <t>GEROFOR TESTO C/60 CAPS</t>
        </is>
      </c>
      <c r="E155" s="13" t="n">
        <v>1</v>
      </c>
      <c r="F155" s="13" t="n">
        <v>1</v>
      </c>
      <c r="G155" s="13" t="n">
        <v>1</v>
      </c>
      <c r="H155" s="8" t="n">
        <v>42.612902</v>
      </c>
      <c r="I155" s="8">
        <f>G155*H155</f>
        <v/>
      </c>
      <c r="J155" s="8">
        <f>H155/E155</f>
        <v/>
      </c>
      <c r="K155" s="8" t="n">
        <v>37.48</v>
      </c>
      <c r="L155" s="8" t="n">
        <v>37.48</v>
      </c>
      <c r="M155" s="14">
        <f>J155/K155-1</f>
        <v/>
      </c>
      <c r="N155" s="7" t="inlineStr">
        <is>
          <t>ACIMA +13.7%</t>
        </is>
      </c>
      <c r="O155" s="7" t="inlineStr"/>
    </row>
    <row r="156">
      <c r="A156" s="7" t="n">
        <v>599261</v>
      </c>
      <c r="B156" s="7" t="inlineStr">
        <is>
          <t>3877</t>
        </is>
      </c>
      <c r="C156" s="12" t="inlineStr">
        <is>
          <t>7899620911840</t>
        </is>
      </c>
      <c r="D156" s="7" t="inlineStr">
        <is>
          <t>GLICENIX (N.S.) 0,91G CX 6 GLICEROL LACTENTE</t>
        </is>
      </c>
      <c r="E156" s="13" t="n">
        <v>1</v>
      </c>
      <c r="F156" s="13" t="n">
        <v>4</v>
      </c>
      <c r="G156" s="13" t="n">
        <v>4</v>
      </c>
      <c r="H156" s="8" t="n">
        <v>5.94</v>
      </c>
      <c r="I156" s="8">
        <f>G156*H156</f>
        <v/>
      </c>
      <c r="J156" s="8">
        <f>H156/E156</f>
        <v/>
      </c>
      <c r="K156" s="8" t="n">
        <v>5.79</v>
      </c>
      <c r="L156" s="8" t="n">
        <v>5.79</v>
      </c>
      <c r="M156" s="14">
        <f>J156/K156-1</f>
        <v/>
      </c>
      <c r="N156" s="7" t="inlineStr">
        <is>
          <t>ACIMA +2.6%</t>
        </is>
      </c>
      <c r="O156" s="7" t="inlineStr"/>
    </row>
    <row r="157">
      <c r="A157" s="7" t="n">
        <v>531401</v>
      </c>
      <c r="B157" s="7" t="inlineStr">
        <is>
          <t>1541</t>
        </is>
      </c>
      <c r="C157" s="12" t="inlineStr">
        <is>
          <t>7898216360604</t>
        </is>
      </c>
      <c r="D157" s="7" t="inlineStr">
        <is>
          <t>GLICLAZIDA 30MG CX 30 COMP LIB PROL</t>
        </is>
      </c>
      <c r="E157" s="13" t="n">
        <v>1</v>
      </c>
      <c r="F157" s="13" t="n">
        <v>7</v>
      </c>
      <c r="G157" s="13" t="n">
        <v>7</v>
      </c>
      <c r="H157" s="8" t="n">
        <v>9.67</v>
      </c>
      <c r="I157" s="8">
        <f>G157*H157</f>
        <v/>
      </c>
      <c r="J157" s="8">
        <f>H157/E157</f>
        <v/>
      </c>
      <c r="K157" s="8" t="n">
        <v>8.300000000000001</v>
      </c>
      <c r="L157" s="8" t="n">
        <v>8.300000000000001</v>
      </c>
      <c r="M157" s="14">
        <f>J157/K157-1</f>
        <v/>
      </c>
      <c r="N157" s="7" t="inlineStr">
        <is>
          <t>ACIMA +16.5%</t>
        </is>
      </c>
      <c r="O157" s="7" t="inlineStr"/>
    </row>
    <row r="158">
      <c r="A158" s="7" t="n">
        <v>532961</v>
      </c>
      <c r="B158" s="7" t="inlineStr">
        <is>
          <t>1253</t>
        </is>
      </c>
      <c r="C158" s="12" t="inlineStr">
        <is>
          <t>7898100243587</t>
        </is>
      </c>
      <c r="D158" s="7" t="inlineStr">
        <is>
          <t>GRIPALCE 400MG+4MG+4MG CARTELA C/10 CP</t>
        </is>
      </c>
      <c r="E158" s="13" t="n">
        <v>20</v>
      </c>
      <c r="F158" s="13" t="n">
        <v>18</v>
      </c>
      <c r="G158" s="13" t="n">
        <v>1</v>
      </c>
      <c r="H158" s="8" t="n">
        <v>44.97</v>
      </c>
      <c r="I158" s="8">
        <f>G158*H158</f>
        <v/>
      </c>
      <c r="J158" s="8">
        <f>H158/E158</f>
        <v/>
      </c>
      <c r="K158" s="8" t="n">
        <v>1.9845</v>
      </c>
      <c r="L158" s="8" t="n">
        <v>1.85</v>
      </c>
      <c r="M158" s="14">
        <f>J158/K158-1</f>
        <v/>
      </c>
      <c r="N158" s="7" t="inlineStr">
        <is>
          <t>ACIMA +13.3%</t>
        </is>
      </c>
      <c r="O158" s="7" t="inlineStr">
        <is>
          <t>1 emb = 20 un</t>
        </is>
      </c>
    </row>
    <row r="159">
      <c r="A159" s="7" t="n">
        <v>330261</v>
      </c>
      <c r="B159" s="7" t="inlineStr">
        <is>
          <t>6660</t>
        </is>
      </c>
      <c r="C159" s="12" t="inlineStr">
        <is>
          <t>7898100244430</t>
        </is>
      </c>
      <c r="D159" s="7" t="inlineStr">
        <is>
          <t>GRIPALCE CX 20BL X 5 COMP</t>
        </is>
      </c>
      <c r="E159" s="13" t="n">
        <v>20</v>
      </c>
      <c r="F159" s="13" t="n">
        <v>107</v>
      </c>
      <c r="G159" s="13" t="n">
        <v>6</v>
      </c>
      <c r="H159" s="8" t="n">
        <v>26.99</v>
      </c>
      <c r="I159" s="8">
        <f>G159*H159</f>
        <v/>
      </c>
      <c r="J159" s="8">
        <f>H159/E159</f>
        <v/>
      </c>
      <c r="K159" s="8" t="n">
        <v>1.0425</v>
      </c>
      <c r="L159" s="8" t="n">
        <v>1.0425</v>
      </c>
      <c r="M159" s="14">
        <f>J159/K159-1</f>
        <v/>
      </c>
      <c r="N159" s="7" t="inlineStr">
        <is>
          <t>ACIMA +29.4%</t>
        </is>
      </c>
      <c r="O159" s="7" t="inlineStr">
        <is>
          <t>1 emb = 20 un</t>
        </is>
      </c>
    </row>
    <row r="160">
      <c r="A160" s="7" t="n">
        <v>648351</v>
      </c>
      <c r="B160" s="7" t="inlineStr">
        <is>
          <t>1067</t>
        </is>
      </c>
      <c r="C160" s="12" t="inlineStr">
        <is>
          <t>7898108640623</t>
        </is>
      </c>
      <c r="D160" s="7" t="inlineStr">
        <is>
          <t>HASTES FLEX SANCARE 75UN</t>
        </is>
      </c>
      <c r="E160" s="13" t="n">
        <v>1</v>
      </c>
      <c r="F160" s="13" t="n">
        <v>1</v>
      </c>
      <c r="G160" s="13" t="n">
        <v>1</v>
      </c>
      <c r="H160" s="8" t="n">
        <v>1.78</v>
      </c>
      <c r="I160" s="8">
        <f>G160*H160</f>
        <v/>
      </c>
      <c r="J160" s="8">
        <f>H160/E160</f>
        <v/>
      </c>
      <c r="K160" s="8" t="n">
        <v>1.8442</v>
      </c>
      <c r="L160" s="8" t="n">
        <v>1.8442</v>
      </c>
      <c r="M160" s="14">
        <f>J160/K160-1</f>
        <v/>
      </c>
      <c r="N160" s="7" t="inlineStr">
        <is>
          <t>OK (≤ menor hist.)</t>
        </is>
      </c>
      <c r="O160" s="7" t="inlineStr"/>
    </row>
    <row r="161">
      <c r="A161" s="7" t="n">
        <v>531481</v>
      </c>
      <c r="B161" s="7" t="inlineStr">
        <is>
          <t>5565</t>
        </is>
      </c>
      <c r="C161" s="12" t="inlineStr">
        <is>
          <t>7894164005420</t>
        </is>
      </c>
      <c r="D161" s="7" t="inlineStr">
        <is>
          <t>HIDRALI 500ML LARANJA AIRELA</t>
        </is>
      </c>
      <c r="E161" s="13" t="n">
        <v>1</v>
      </c>
      <c r="F161" s="13" t="n">
        <v>7</v>
      </c>
      <c r="G161" s="13" t="n">
        <v>7</v>
      </c>
      <c r="H161" s="8" t="n">
        <v>8.359999999999999</v>
      </c>
      <c r="I161" s="8">
        <f>G161*H161</f>
        <v/>
      </c>
      <c r="J161" s="8">
        <f>H161/E161</f>
        <v/>
      </c>
      <c r="K161" s="8" t="n">
        <v>8.300000000000001</v>
      </c>
      <c r="L161" s="8" t="n">
        <v>7.97</v>
      </c>
      <c r="M161" s="14">
        <f>J161/K161-1</f>
        <v/>
      </c>
      <c r="N161" s="7" t="inlineStr">
        <is>
          <t>ACIMA +0.7%</t>
        </is>
      </c>
      <c r="O161" s="7" t="inlineStr"/>
    </row>
    <row r="162">
      <c r="A162" s="7" t="n">
        <v>531501</v>
      </c>
      <c r="B162" s="7" t="inlineStr">
        <is>
          <t>5688</t>
        </is>
      </c>
      <c r="C162" s="12" t="inlineStr">
        <is>
          <t>7894164005406</t>
        </is>
      </c>
      <c r="D162" s="7" t="inlineStr">
        <is>
          <t>HIDRALI 500ML UVA ROXA AIRELA</t>
        </is>
      </c>
      <c r="E162" s="13" t="n">
        <v>1</v>
      </c>
      <c r="F162" s="13" t="n">
        <v>2</v>
      </c>
      <c r="G162" s="13" t="n">
        <v>2</v>
      </c>
      <c r="H162" s="8" t="n">
        <v>8.359999999999999</v>
      </c>
      <c r="I162" s="8">
        <f>G162*H162</f>
        <v/>
      </c>
      <c r="J162" s="8">
        <f>H162/E162</f>
        <v/>
      </c>
      <c r="K162" s="8" t="n">
        <v>8.300000000000001</v>
      </c>
      <c r="L162" s="8" t="n">
        <v>7.97</v>
      </c>
      <c r="M162" s="14">
        <f>J162/K162-1</f>
        <v/>
      </c>
      <c r="N162" s="7" t="inlineStr">
        <is>
          <t>ACIMA +0.7%</t>
        </is>
      </c>
      <c r="O162" s="7" t="inlineStr"/>
    </row>
    <row r="163">
      <c r="A163" s="7" t="n">
        <v>604151</v>
      </c>
      <c r="B163" s="7" t="inlineStr">
        <is>
          <t>7783</t>
        </is>
      </c>
      <c r="C163" s="12" t="inlineStr">
        <is>
          <t>7894164009473</t>
        </is>
      </c>
      <c r="D163" s="7" t="inlineStr">
        <is>
          <t>HIDRALI PO 28,29G  ENVELOPE CX COM 4 (GUARANÁ)</t>
        </is>
      </c>
      <c r="E163" s="13" t="n">
        <v>1</v>
      </c>
      <c r="F163" s="13" t="n">
        <v>9</v>
      </c>
      <c r="G163" s="13" t="n">
        <v>9</v>
      </c>
      <c r="H163" s="8" t="n">
        <v>8.94</v>
      </c>
      <c r="I163" s="8">
        <f>G163*H163</f>
        <v/>
      </c>
      <c r="J163" s="8">
        <f>H163/E163</f>
        <v/>
      </c>
      <c r="K163" s="8" t="n">
        <v>8.94</v>
      </c>
      <c r="L163" s="8" t="n">
        <v>8.890000000000001</v>
      </c>
      <c r="M163" s="14">
        <f>J163/K163-1</f>
        <v/>
      </c>
      <c r="N163" s="7" t="inlineStr">
        <is>
          <t>OK (≤ últ. compra)</t>
        </is>
      </c>
      <c r="O163" s="7" t="inlineStr"/>
    </row>
    <row r="164">
      <c r="A164" s="7" t="n">
        <v>602561</v>
      </c>
      <c r="B164" s="7" t="inlineStr">
        <is>
          <t>7708</t>
        </is>
      </c>
      <c r="C164" s="12" t="inlineStr">
        <is>
          <t>7894164009466</t>
        </is>
      </c>
      <c r="D164" s="7" t="inlineStr">
        <is>
          <t>HIDRALI PO 28,29G 4ENV LARANJA SOL</t>
        </is>
      </c>
      <c r="E164" s="13" t="n">
        <v>1</v>
      </c>
      <c r="F164" s="13" t="n">
        <v>8</v>
      </c>
      <c r="G164" s="13" t="n">
        <v>8</v>
      </c>
      <c r="H164" s="8" t="n">
        <v>8.94</v>
      </c>
      <c r="I164" s="8">
        <f>G164*H164</f>
        <v/>
      </c>
      <c r="J164" s="8">
        <f>H164/E164</f>
        <v/>
      </c>
      <c r="K164" s="8" t="n">
        <v>8.6</v>
      </c>
      <c r="L164" s="8" t="n">
        <v>8.6</v>
      </c>
      <c r="M164" s="14">
        <f>J164/K164-1</f>
        <v/>
      </c>
      <c r="N164" s="7" t="inlineStr">
        <is>
          <t>ACIMA +4.0%</t>
        </is>
      </c>
      <c r="O164" s="7" t="inlineStr"/>
    </row>
    <row r="165">
      <c r="A165" s="7" t="n">
        <v>604091</v>
      </c>
      <c r="B165" s="7" t="inlineStr">
        <is>
          <t>7693</t>
        </is>
      </c>
      <c r="C165" s="12" t="inlineStr">
        <is>
          <t>7894164009510</t>
        </is>
      </c>
      <c r="D165" s="7" t="inlineStr">
        <is>
          <t>HIDRALI PO NATURAL  UND</t>
        </is>
      </c>
      <c r="E165" s="13" t="n">
        <v>1</v>
      </c>
      <c r="F165" s="13" t="n">
        <v>2</v>
      </c>
      <c r="G165" s="13" t="n">
        <v>2</v>
      </c>
      <c r="H165" s="8" t="n">
        <v>8.94</v>
      </c>
      <c r="I165" s="8">
        <f>G165*H165</f>
        <v/>
      </c>
      <c r="J165" s="8">
        <f>H165/E165</f>
        <v/>
      </c>
      <c r="K165" s="8" t="n">
        <v>8.890000000000001</v>
      </c>
      <c r="L165" s="8" t="n">
        <v>8.890000000000001</v>
      </c>
      <c r="M165" s="14">
        <f>J165/K165-1</f>
        <v/>
      </c>
      <c r="N165" s="7" t="inlineStr">
        <is>
          <t>ACIMA +0.6%</t>
        </is>
      </c>
      <c r="O165" s="7" t="inlineStr"/>
    </row>
    <row r="166">
      <c r="A166" s="7" t="n">
        <v>558881</v>
      </c>
      <c r="B166" s="7" t="inlineStr">
        <is>
          <t>313</t>
        </is>
      </c>
      <c r="C166" s="12" t="inlineStr">
        <is>
          <t>7898133137358</t>
        </is>
      </c>
      <c r="D166" s="7" t="inlineStr">
        <is>
          <t>HIDRAPLEX PO 27,9G ENVELOPE  FRACIONADO  UVA EN</t>
        </is>
      </c>
      <c r="E166" s="13" t="n">
        <v>1</v>
      </c>
      <c r="F166" s="13" t="n">
        <v>2</v>
      </c>
      <c r="G166" s="13" t="n">
        <v>2</v>
      </c>
      <c r="H166" s="8" t="n">
        <v>11.41</v>
      </c>
      <c r="I166" s="8">
        <f>G166*H166</f>
        <v/>
      </c>
      <c r="J166" s="8">
        <f>H166/E166</f>
        <v/>
      </c>
      <c r="K166" s="8" t="n">
        <v>2.475</v>
      </c>
      <c r="L166" s="8" t="n">
        <v>2.475</v>
      </c>
      <c r="M166" s="14">
        <f>J166/K166-1</f>
        <v/>
      </c>
      <c r="N166" s="7" t="inlineStr">
        <is>
          <t>ACIMA +361.0%</t>
        </is>
      </c>
      <c r="O166" s="7" t="inlineStr">
        <is>
          <t>conferir emb.</t>
        </is>
      </c>
    </row>
    <row r="167">
      <c r="A167" s="7" t="n">
        <v>531541</v>
      </c>
      <c r="B167" s="7" t="inlineStr">
        <is>
          <t>6293</t>
        </is>
      </c>
      <c r="C167" s="12" t="inlineStr">
        <is>
          <t>7894164006755</t>
        </is>
      </c>
      <c r="D167" s="7" t="inlineStr">
        <is>
          <t>HIDROXIDO ALUMINIO SAB HORTELA 100ML</t>
        </is>
      </c>
      <c r="E167" s="13" t="n">
        <v>1</v>
      </c>
      <c r="F167" s="13" t="n">
        <v>53</v>
      </c>
      <c r="G167" s="13" t="n">
        <v>53</v>
      </c>
      <c r="H167" s="8" t="n">
        <v>6.08</v>
      </c>
      <c r="I167" s="8">
        <f>G167*H167</f>
        <v/>
      </c>
      <c r="J167" s="8">
        <f>H167/E167</f>
        <v/>
      </c>
      <c r="K167" s="8" t="n">
        <v>5.28</v>
      </c>
      <c r="L167" s="8" t="n">
        <v>4.65</v>
      </c>
      <c r="M167" s="14">
        <f>J167/K167-1</f>
        <v/>
      </c>
      <c r="N167" s="7" t="inlineStr">
        <is>
          <t>ACIMA +15.2%</t>
        </is>
      </c>
      <c r="O167" s="7" t="inlineStr"/>
    </row>
    <row r="168">
      <c r="A168" s="7" t="n">
        <v>531561</v>
      </c>
      <c r="B168" s="7" t="inlineStr">
        <is>
          <t>6167</t>
        </is>
      </c>
      <c r="C168" s="12" t="inlineStr">
        <is>
          <t>7894164006762</t>
        </is>
      </c>
      <c r="D168" s="7" t="inlineStr">
        <is>
          <t>HIDROXIDO ALUMINIO SAB HORTELA 150ML</t>
        </is>
      </c>
      <c r="E168" s="13" t="n">
        <v>1</v>
      </c>
      <c r="F168" s="13" t="n">
        <v>4</v>
      </c>
      <c r="G168" s="13" t="n">
        <v>4</v>
      </c>
      <c r="H168" s="8" t="n">
        <v>7.25</v>
      </c>
      <c r="I168" s="8">
        <f>G168*H168</f>
        <v/>
      </c>
      <c r="J168" s="8">
        <f>H168/E168</f>
        <v/>
      </c>
      <c r="K168" s="8" t="n">
        <v>7.25</v>
      </c>
      <c r="L168" s="8" t="n">
        <v>7.25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359601</v>
      </c>
      <c r="B169" s="7" t="inlineStr">
        <is>
          <t>578</t>
        </is>
      </c>
      <c r="C169" s="12" t="inlineStr">
        <is>
          <t>7898122911587</t>
        </is>
      </c>
      <c r="D169" s="7" t="inlineStr">
        <is>
          <t>HYPLEX B SOL INJ IM CX 100 AMP VD AMB X 2 ML</t>
        </is>
      </c>
      <c r="E169" s="13" t="n">
        <v>1</v>
      </c>
      <c r="F169" s="13" t="n">
        <v>1</v>
      </c>
      <c r="G169" s="13" t="n">
        <v>1</v>
      </c>
      <c r="H169" s="8" t="n">
        <v>126.14</v>
      </c>
      <c r="I169" s="8">
        <f>G169*H169</f>
        <v/>
      </c>
      <c r="J169" s="8">
        <f>H169/E169</f>
        <v/>
      </c>
      <c r="K169" s="8" t="n">
        <v>1.4052</v>
      </c>
      <c r="L169" s="8" t="n">
        <v>1.4052</v>
      </c>
      <c r="M169" s="14">
        <f>J169/K169-1</f>
        <v/>
      </c>
      <c r="N169" s="7" t="inlineStr">
        <is>
          <t>ACIMA +8876.7%</t>
        </is>
      </c>
      <c r="O169" s="7" t="inlineStr">
        <is>
          <t>conferir emb.</t>
        </is>
      </c>
    </row>
    <row r="170">
      <c r="A170" s="7" t="n">
        <v>627841</v>
      </c>
      <c r="B170" s="7" t="inlineStr">
        <is>
          <t>379</t>
        </is>
      </c>
      <c r="C170" s="12" t="inlineStr">
        <is>
          <t>7897344301527</t>
        </is>
      </c>
      <c r="D170" s="7" t="inlineStr">
        <is>
          <t>ICE GEL 250G POTE</t>
        </is>
      </c>
      <c r="E170" s="13" t="n">
        <v>1</v>
      </c>
      <c r="F170" s="13" t="n">
        <v>5</v>
      </c>
      <c r="G170" s="13" t="n">
        <v>5</v>
      </c>
      <c r="H170" s="8" t="n">
        <v>8.1</v>
      </c>
      <c r="I170" s="8">
        <f>G170*H170</f>
        <v/>
      </c>
      <c r="J170" s="8">
        <f>H170/E170</f>
        <v/>
      </c>
      <c r="K170" s="8" t="n">
        <v>8.1</v>
      </c>
      <c r="L170" s="8" t="n">
        <v>8.1</v>
      </c>
      <c r="M170" s="14">
        <f>J170/K170-1</f>
        <v/>
      </c>
      <c r="N170" s="7" t="inlineStr">
        <is>
          <t>OK (≤ menor hist.)</t>
        </is>
      </c>
      <c r="O170" s="7" t="inlineStr"/>
    </row>
    <row r="171">
      <c r="A171" s="7" t="n">
        <v>153041</v>
      </c>
      <c r="B171" s="7" t="inlineStr">
        <is>
          <t>3581</t>
        </is>
      </c>
      <c r="C171" s="12" t="inlineStr">
        <is>
          <t>7898060132297</t>
        </is>
      </c>
      <c r="D171" s="7" t="inlineStr">
        <is>
          <t>INTESTIN 2MG CX 12 COMP</t>
        </is>
      </c>
      <c r="E171" s="13" t="n">
        <v>1</v>
      </c>
      <c r="F171" s="13" t="n">
        <v>2</v>
      </c>
      <c r="G171" s="13" t="n">
        <v>2</v>
      </c>
      <c r="H171" s="8" t="n">
        <v>2.08</v>
      </c>
      <c r="I171" s="8">
        <f>G171*H171</f>
        <v/>
      </c>
      <c r="J171" s="8">
        <f>H171/E171</f>
        <v/>
      </c>
      <c r="K171" s="8" t="n">
        <v>2.02</v>
      </c>
      <c r="L171" s="8" t="n">
        <v>2.02</v>
      </c>
      <c r="M171" s="14">
        <f>J171/K171-1</f>
        <v/>
      </c>
      <c r="N171" s="7" t="inlineStr">
        <is>
          <t>ACIMA +3.0%</t>
        </is>
      </c>
      <c r="O171" s="7" t="inlineStr"/>
    </row>
    <row r="172">
      <c r="A172" s="7" t="n">
        <v>630311</v>
      </c>
      <c r="B172" s="7" t="inlineStr">
        <is>
          <t>8406</t>
        </is>
      </c>
      <c r="C172" s="12" t="inlineStr">
        <is>
          <t>7898687735901</t>
        </is>
      </c>
      <c r="D172" s="7" t="inlineStr">
        <is>
          <t>IROSE  NITAZOXANIDA 20MG/ML PO SUS OR FR 45ML+SER DOS</t>
        </is>
      </c>
      <c r="E172" s="13" t="n">
        <v>1</v>
      </c>
      <c r="F172" s="13" t="n">
        <v>7</v>
      </c>
      <c r="G172" s="13" t="n">
        <v>7</v>
      </c>
      <c r="H172" s="8" t="n">
        <v>7.85</v>
      </c>
      <c r="I172" s="8">
        <f>G172*H172</f>
        <v/>
      </c>
      <c r="J172" s="8">
        <f>H172/E172</f>
        <v/>
      </c>
      <c r="K172" s="8" t="n">
        <v>7.32</v>
      </c>
      <c r="L172" s="8" t="n">
        <v>7.32</v>
      </c>
      <c r="M172" s="14">
        <f>J172/K172-1</f>
        <v/>
      </c>
      <c r="N172" s="7" t="inlineStr">
        <is>
          <t>ACIMA +7.2%</t>
        </is>
      </c>
      <c r="O172" s="7" t="inlineStr"/>
    </row>
    <row r="173">
      <c r="A173" s="7" t="n">
        <v>553601</v>
      </c>
      <c r="B173" s="7" t="inlineStr">
        <is>
          <t>3745</t>
        </is>
      </c>
      <c r="C173" s="12" t="inlineStr">
        <is>
          <t>7896523207834</t>
        </is>
      </c>
      <c r="D173" s="7" t="inlineStr">
        <is>
          <t>K-MED GEL BG 25 G</t>
        </is>
      </c>
      <c r="E173" s="13" t="n">
        <v>1</v>
      </c>
      <c r="F173" s="13" t="n">
        <v>13</v>
      </c>
      <c r="G173" s="13" t="n">
        <v>13</v>
      </c>
      <c r="H173" s="8" t="n">
        <v>5.67</v>
      </c>
      <c r="I173" s="8">
        <f>G173*H173</f>
        <v/>
      </c>
      <c r="J173" s="8">
        <f>H173/E173</f>
        <v/>
      </c>
      <c r="K173" s="8" t="n">
        <v>6.59</v>
      </c>
      <c r="L173" s="8" t="n">
        <v>2.99</v>
      </c>
      <c r="M173" s="14">
        <f>J173/K173-1</f>
        <v/>
      </c>
      <c r="N173" s="7" t="inlineStr">
        <is>
          <t>OK (≤ últ. compra)</t>
        </is>
      </c>
      <c r="O173" s="7" t="inlineStr"/>
    </row>
    <row r="174">
      <c r="A174" s="7" t="n">
        <v>14103</v>
      </c>
      <c r="B174" s="7" t="inlineStr">
        <is>
          <t>4377</t>
        </is>
      </c>
      <c r="C174" s="12" t="inlineStr">
        <is>
          <t>7899620913202</t>
        </is>
      </c>
      <c r="D174" s="7" t="inlineStr">
        <is>
          <t>KALOSTOP (N.S.) 0,20+0,15ML/ML SOL FR 10ML</t>
        </is>
      </c>
      <c r="E174" s="13" t="n">
        <v>1</v>
      </c>
      <c r="F174" s="13" t="n">
        <v>1</v>
      </c>
      <c r="G174" s="13" t="n">
        <v>1</v>
      </c>
      <c r="H174" s="8" t="n">
        <v>8.73</v>
      </c>
      <c r="I174" s="8">
        <f>G174*H174</f>
        <v/>
      </c>
      <c r="J174" s="8">
        <f>H174/E174</f>
        <v/>
      </c>
      <c r="K174" s="8" t="n">
        <v>8.41</v>
      </c>
      <c r="L174" s="8" t="n">
        <v>8.359999999999999</v>
      </c>
      <c r="M174" s="14">
        <f>J174/K174-1</f>
        <v/>
      </c>
      <c r="N174" s="7" t="inlineStr">
        <is>
          <t>ACIMA +3.8%</t>
        </is>
      </c>
      <c r="O174" s="7" t="inlineStr"/>
    </row>
    <row r="175">
      <c r="A175" s="7" t="n">
        <v>3583</v>
      </c>
      <c r="B175" s="7" t="inlineStr">
        <is>
          <t>8512</t>
        </is>
      </c>
      <c r="C175" s="12" t="inlineStr">
        <is>
          <t>7898953484311</t>
        </is>
      </c>
      <c r="D175" s="7" t="inlineStr">
        <is>
          <t>KIT PARA COLETA DE URINA C/1 TUBO</t>
        </is>
      </c>
      <c r="E175" s="13" t="n">
        <v>1</v>
      </c>
      <c r="F175" s="13" t="n">
        <v>8</v>
      </c>
      <c r="G175" s="13" t="n">
        <v>8</v>
      </c>
      <c r="H175" s="8" t="n">
        <v>1.03</v>
      </c>
      <c r="I175" s="8">
        <f>G175*H175</f>
        <v/>
      </c>
      <c r="J175" s="8">
        <f>H175/E175</f>
        <v/>
      </c>
      <c r="K175" s="8" t="n">
        <v>0.89</v>
      </c>
      <c r="L175" s="8" t="n">
        <v>0.89</v>
      </c>
      <c r="M175" s="14">
        <f>J175/K175-1</f>
        <v/>
      </c>
      <c r="N175" s="7" t="inlineStr">
        <is>
          <t>ACIMA +15.7%</t>
        </is>
      </c>
      <c r="O175" s="7" t="inlineStr"/>
    </row>
    <row r="176">
      <c r="A176" s="7" t="n">
        <v>152141</v>
      </c>
      <c r="B176" s="7" t="inlineStr">
        <is>
          <t>42</t>
        </is>
      </c>
      <c r="C176" s="12" t="inlineStr">
        <is>
          <t>7898216361403</t>
        </is>
      </c>
      <c r="D176" s="7" t="inlineStr">
        <is>
          <t>LABCAINA 50MG POM DERM BG 25G</t>
        </is>
      </c>
      <c r="E176" s="13" t="n">
        <v>1</v>
      </c>
      <c r="F176" s="13" t="n">
        <v>3</v>
      </c>
      <c r="G176" s="13" t="n">
        <v>3</v>
      </c>
      <c r="H176" s="8" t="n">
        <v>8.82</v>
      </c>
      <c r="I176" s="8">
        <f>G176*H176</f>
        <v/>
      </c>
      <c r="J176" s="8">
        <f>H176/E176</f>
        <v/>
      </c>
      <c r="K176" s="8" t="n">
        <v>7.21</v>
      </c>
      <c r="L176" s="8" t="n">
        <v>7.21</v>
      </c>
      <c r="M176" s="14">
        <f>J176/K176-1</f>
        <v/>
      </c>
      <c r="N176" s="7" t="inlineStr">
        <is>
          <t>ACIMA +22.3%</t>
        </is>
      </c>
      <c r="O176" s="7" t="inlineStr"/>
    </row>
    <row r="177">
      <c r="A177" s="7" t="n">
        <v>3203</v>
      </c>
      <c r="B177" s="7" t="inlineStr">
        <is>
          <t>8602</t>
        </is>
      </c>
      <c r="C177" s="12" t="inlineStr">
        <is>
          <t>7898953484304</t>
        </is>
      </c>
      <c r="D177" s="7" t="inlineStr">
        <is>
          <t>LAVADOR NASAL COM FRASCO 300ML C/2 BICOS</t>
        </is>
      </c>
      <c r="E177" s="13" t="n">
        <v>1</v>
      </c>
      <c r="F177" s="13" t="n">
        <v>2</v>
      </c>
      <c r="G177" s="13" t="n">
        <v>2</v>
      </c>
      <c r="H177" s="8" t="n">
        <v>11.49</v>
      </c>
      <c r="I177" s="8">
        <f>G177*H177</f>
        <v/>
      </c>
      <c r="J177" s="8">
        <f>H177/E177</f>
        <v/>
      </c>
      <c r="K177" s="8" t="n">
        <v>11.49</v>
      </c>
      <c r="L177" s="8" t="n">
        <v>11.49</v>
      </c>
      <c r="M177" s="14">
        <f>J177/K177-1</f>
        <v/>
      </c>
      <c r="N177" s="7" t="inlineStr">
        <is>
          <t>OK (≤ menor hist.)</t>
        </is>
      </c>
      <c r="O177" s="7" t="inlineStr"/>
    </row>
    <row r="178">
      <c r="A178" s="7" t="n">
        <v>546081</v>
      </c>
      <c r="B178" s="7" t="inlineStr">
        <is>
          <t>2228</t>
        </is>
      </c>
      <c r="C178" s="12" t="inlineStr">
        <is>
          <t>7897947612358</t>
        </is>
      </c>
      <c r="D178" s="7" t="inlineStr">
        <is>
          <t>LAVITAN MEMORIA 60CP</t>
        </is>
      </c>
      <c r="E178" s="13" t="n">
        <v>1</v>
      </c>
      <c r="F178" s="13" t="n">
        <v>7</v>
      </c>
      <c r="G178" s="13" t="n">
        <v>7</v>
      </c>
      <c r="H178" s="8" t="n">
        <v>14.85</v>
      </c>
      <c r="I178" s="8">
        <f>G178*H178</f>
        <v/>
      </c>
      <c r="J178" s="8">
        <f>H178/E178</f>
        <v/>
      </c>
      <c r="K178" s="8" t="n">
        <v>21.27</v>
      </c>
      <c r="L178" s="8" t="n">
        <v>21.27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546481</v>
      </c>
      <c r="B179" s="7" t="inlineStr">
        <is>
          <t>6961</t>
        </is>
      </c>
      <c r="C179" s="12" t="inlineStr">
        <is>
          <t>7897947600928</t>
        </is>
      </c>
      <c r="D179" s="7" t="inlineStr">
        <is>
          <t>LAVITAN VIT 50+ 60CP</t>
        </is>
      </c>
      <c r="E179" s="13" t="n">
        <v>1</v>
      </c>
      <c r="F179" s="13" t="n">
        <v>11</v>
      </c>
      <c r="G179" s="13" t="n">
        <v>11</v>
      </c>
      <c r="H179" s="8" t="n">
        <v>14.85</v>
      </c>
      <c r="I179" s="8">
        <f>G179*H179</f>
        <v/>
      </c>
      <c r="J179" s="8">
        <f>H179/E179</f>
        <v/>
      </c>
      <c r="K179" s="8" t="n">
        <v>14.85</v>
      </c>
      <c r="L179" s="8" t="n">
        <v>14.85</v>
      </c>
      <c r="M179" s="14">
        <f>J179/K179-1</f>
        <v/>
      </c>
      <c r="N179" s="7" t="inlineStr">
        <is>
          <t>OK (≤ menor hist.)</t>
        </is>
      </c>
      <c r="O179" s="7" t="inlineStr"/>
    </row>
    <row r="180">
      <c r="A180" s="7" t="n">
        <v>550901</v>
      </c>
      <c r="B180" s="7" t="inlineStr">
        <is>
          <t>660</t>
        </is>
      </c>
      <c r="C180" s="12" t="inlineStr">
        <is>
          <t>7897947606517</t>
        </is>
      </c>
      <c r="D180" s="7" t="inlineStr">
        <is>
          <t>LAVITAN VIT AZ ORIGINAL COMP REV FR C/60</t>
        </is>
      </c>
      <c r="E180" s="13" t="n">
        <v>1</v>
      </c>
      <c r="F180" s="13" t="n">
        <v>19</v>
      </c>
      <c r="G180" s="13" t="n">
        <v>19</v>
      </c>
      <c r="H180" s="8" t="n">
        <v>14.85</v>
      </c>
      <c r="I180" s="8">
        <f>G180*H180</f>
        <v/>
      </c>
      <c r="J180" s="8">
        <f>H180/E180</f>
        <v/>
      </c>
      <c r="K180" s="8" t="n">
        <v>9.99</v>
      </c>
      <c r="L180" s="8" t="n">
        <v>9.99</v>
      </c>
      <c r="M180" s="14">
        <f>J180/K180-1</f>
        <v/>
      </c>
      <c r="N180" s="7" t="inlineStr">
        <is>
          <t>ACIMA +48.6%</t>
        </is>
      </c>
      <c r="O180" s="7" t="inlineStr"/>
    </row>
    <row r="181">
      <c r="A181" s="7" t="n">
        <v>556981</v>
      </c>
      <c r="B181" s="7" t="inlineStr">
        <is>
          <t>2944</t>
        </is>
      </c>
      <c r="C181" s="12" t="inlineStr">
        <is>
          <t>7897947607996</t>
        </is>
      </c>
      <c r="D181" s="7" t="inlineStr">
        <is>
          <t>LAVITAN VIT CABELOS E UNHAS 30CP</t>
        </is>
      </c>
      <c r="E181" s="13" t="n">
        <v>1</v>
      </c>
      <c r="F181" s="13" t="n">
        <v>8</v>
      </c>
      <c r="G181" s="13" t="n">
        <v>8</v>
      </c>
      <c r="H181" s="8" t="n">
        <v>12.62</v>
      </c>
      <c r="I181" s="8">
        <f>G181*H181</f>
        <v/>
      </c>
      <c r="J181" s="8">
        <f>H181/E181</f>
        <v/>
      </c>
      <c r="K181" s="8" t="n">
        <v>8.99</v>
      </c>
      <c r="L181" s="8" t="n">
        <v>6.99</v>
      </c>
      <c r="M181" s="14">
        <f>J181/K181-1</f>
        <v/>
      </c>
      <c r="N181" s="7" t="inlineStr">
        <is>
          <t>ACIMA +40.4%</t>
        </is>
      </c>
      <c r="O181" s="7" t="inlineStr"/>
    </row>
    <row r="182">
      <c r="A182" s="7" t="n">
        <v>553661</v>
      </c>
      <c r="B182" s="7" t="inlineStr">
        <is>
          <t>716</t>
        </is>
      </c>
      <c r="C182" s="12" t="inlineStr">
        <is>
          <t>7897947614673</t>
        </is>
      </c>
      <c r="D182" s="7" t="inlineStr">
        <is>
          <t>LAVITAN VIT INF SOL OR FR 240ML TUT FRUT</t>
        </is>
      </c>
      <c r="E182" s="13" t="n">
        <v>1</v>
      </c>
      <c r="F182" s="13" t="n">
        <v>2</v>
      </c>
      <c r="G182" s="13" t="n">
        <v>2</v>
      </c>
      <c r="H182" s="8" t="n">
        <v>13.85</v>
      </c>
      <c r="I182" s="8">
        <f>G182*H182</f>
        <v/>
      </c>
      <c r="J182" s="8">
        <f>H182/E182</f>
        <v/>
      </c>
      <c r="K182" s="8" t="n">
        <v>10.99</v>
      </c>
      <c r="L182" s="8" t="n">
        <v>8.99</v>
      </c>
      <c r="M182" s="14">
        <f>J182/K182-1</f>
        <v/>
      </c>
      <c r="N182" s="7" t="inlineStr">
        <is>
          <t>ACIMA +26.0%</t>
        </is>
      </c>
      <c r="O182" s="7" t="inlineStr"/>
    </row>
    <row r="183">
      <c r="A183" s="7" t="n">
        <v>627791</v>
      </c>
      <c r="B183" s="7" t="inlineStr">
        <is>
          <t>8628</t>
        </is>
      </c>
      <c r="C183" s="12" t="inlineStr">
        <is>
          <t>7897947617605</t>
        </is>
      </c>
      <c r="D183" s="7" t="inlineStr">
        <is>
          <t>LAVITAN ZMA PERFORMANCE COMP 2 BL X 15</t>
        </is>
      </c>
      <c r="E183" s="13" t="n">
        <v>1</v>
      </c>
      <c r="F183" s="13" t="n">
        <v>10</v>
      </c>
      <c r="G183" s="13" t="n">
        <v>10</v>
      </c>
      <c r="H183" s="8" t="n">
        <v>13.5</v>
      </c>
      <c r="I183" s="8">
        <f>G183*H183</f>
        <v/>
      </c>
      <c r="J183" s="8">
        <f>H183/E183</f>
        <v/>
      </c>
      <c r="K183" s="8" t="n">
        <v>18.36</v>
      </c>
      <c r="L183" s="8" t="n">
        <v>16.39</v>
      </c>
      <c r="M183" s="14">
        <f>J183/K183-1</f>
        <v/>
      </c>
      <c r="N183" s="7" t="inlineStr">
        <is>
          <t>OK (≤ menor hist.)</t>
        </is>
      </c>
      <c r="O183" s="7" t="inlineStr"/>
    </row>
    <row r="184">
      <c r="A184" s="7" t="n">
        <v>560241</v>
      </c>
      <c r="B184" s="7" t="inlineStr">
        <is>
          <t>7046</t>
        </is>
      </c>
      <c r="C184" s="12" t="inlineStr">
        <is>
          <t>7894164008209</t>
        </is>
      </c>
      <c r="D184" s="7" t="inlineStr">
        <is>
          <t>LEFLORA 6 CAP</t>
        </is>
      </c>
      <c r="E184" s="13" t="n">
        <v>1</v>
      </c>
      <c r="F184" s="13" t="n">
        <v>1</v>
      </c>
      <c r="G184" s="13" t="n">
        <v>1</v>
      </c>
      <c r="H184" s="8" t="n">
        <v>10.52</v>
      </c>
      <c r="I184" s="8">
        <f>G184*H184</f>
        <v/>
      </c>
      <c r="J184" s="8">
        <f>H184/E184</f>
        <v/>
      </c>
      <c r="K184" s="8" t="n">
        <v>10.42</v>
      </c>
      <c r="L184" s="8" t="n">
        <v>10.03</v>
      </c>
      <c r="M184" s="14">
        <f>J184/K184-1</f>
        <v/>
      </c>
      <c r="N184" s="7" t="inlineStr">
        <is>
          <t>ACIMA +1.0%</t>
        </is>
      </c>
      <c r="O184" s="7" t="inlineStr"/>
    </row>
    <row r="185">
      <c r="A185" s="7" t="n">
        <v>4083</v>
      </c>
      <c r="B185" s="7" t="inlineStr">
        <is>
          <t>8859</t>
        </is>
      </c>
      <c r="C185" s="12" t="inlineStr">
        <is>
          <t>7898575780754</t>
        </is>
      </c>
      <c r="D185" s="7" t="inlineStr">
        <is>
          <t>LEITE DE MAGNESIA 100ML HORTELA</t>
        </is>
      </c>
      <c r="E185" s="13" t="n">
        <v>1</v>
      </c>
      <c r="F185" s="13" t="n">
        <v>6</v>
      </c>
      <c r="G185" s="13" t="n">
        <v>6</v>
      </c>
      <c r="H185" s="8" t="n">
        <v>1.99</v>
      </c>
      <c r="I185" s="8">
        <f>G185*H185</f>
        <v/>
      </c>
      <c r="J185" s="8">
        <f>H185/E185</f>
        <v/>
      </c>
      <c r="K185" s="8" t="n">
        <v>3.54</v>
      </c>
      <c r="L185" s="8" t="n">
        <v>3.54</v>
      </c>
      <c r="M185" s="14">
        <f>J185/K185-1</f>
        <v/>
      </c>
      <c r="N185" s="7" t="inlineStr">
        <is>
          <t>OK (≤ menor hist.)</t>
        </is>
      </c>
      <c r="O185" s="7" t="inlineStr"/>
    </row>
    <row r="186">
      <c r="A186" s="7" t="n">
        <v>646631</v>
      </c>
      <c r="B186" s="7" t="inlineStr">
        <is>
          <t>7615</t>
        </is>
      </c>
      <c r="C186" s="12" t="inlineStr">
        <is>
          <t>7898031310211</t>
        </is>
      </c>
      <c r="D186" s="7" t="inlineStr">
        <is>
          <t>LEITE DE MAGNESIA 120ML TRADICIONAL</t>
        </is>
      </c>
      <c r="E186" s="13" t="n">
        <v>1</v>
      </c>
      <c r="F186" s="13" t="n">
        <v>2</v>
      </c>
      <c r="G186" s="13" t="n">
        <v>2</v>
      </c>
      <c r="H186" s="8" t="n">
        <v>5</v>
      </c>
      <c r="I186" s="8">
        <f>G186*H186</f>
        <v/>
      </c>
      <c r="J186" s="8">
        <f>H186/E186</f>
        <v/>
      </c>
      <c r="K186" s="8" t="n">
        <v>5.01</v>
      </c>
      <c r="L186" s="8" t="n">
        <v>5.01</v>
      </c>
      <c r="M186" s="14">
        <f>J186/K186-1</f>
        <v/>
      </c>
      <c r="N186" s="7" t="inlineStr">
        <is>
          <t>OK (≤ menor hist.)</t>
        </is>
      </c>
      <c r="O186" s="7" t="inlineStr"/>
    </row>
    <row r="187">
      <c r="A187" s="7" t="n">
        <v>651461</v>
      </c>
      <c r="B187" s="7" t="inlineStr">
        <is>
          <t>8917</t>
        </is>
      </c>
      <c r="C187" s="12" t="inlineStr">
        <is>
          <t>7898179711314</t>
        </is>
      </c>
      <c r="D187" s="7" t="inlineStr">
        <is>
          <t>LEITE DE MAGNESIA GASTRIMEC 100ML TRADIC</t>
        </is>
      </c>
      <c r="E187" s="13" t="n">
        <v>1</v>
      </c>
      <c r="F187" s="13" t="n">
        <v>11</v>
      </c>
      <c r="G187" s="13" t="n">
        <v>11</v>
      </c>
      <c r="H187" s="8" t="n">
        <v>4.58</v>
      </c>
      <c r="I187" s="8">
        <f>G187*H187</f>
        <v/>
      </c>
      <c r="J187" s="8">
        <f>H187/E187</f>
        <v/>
      </c>
      <c r="K187" s="8" t="n">
        <v>4.5</v>
      </c>
      <c r="L187" s="8" t="n">
        <v>4.5</v>
      </c>
      <c r="M187" s="14">
        <f>J187/K187-1</f>
        <v/>
      </c>
      <c r="N187" s="7" t="inlineStr">
        <is>
          <t>ACIMA +1.8%</t>
        </is>
      </c>
      <c r="O187" s="7" t="inlineStr"/>
    </row>
    <row r="188">
      <c r="A188" s="7" t="n">
        <v>55801</v>
      </c>
      <c r="B188" s="7" t="inlineStr">
        <is>
          <t>2610</t>
        </is>
      </c>
      <c r="C188" s="12" t="inlineStr">
        <is>
          <t>7898060133904</t>
        </is>
      </c>
      <c r="D188" s="7" t="inlineStr">
        <is>
          <t>LERGIDRIN 0,4+0,05MG/ML XPE FR X 120ML+CM</t>
        </is>
      </c>
      <c r="E188" s="13" t="n">
        <v>1</v>
      </c>
      <c r="F188" s="13" t="n">
        <v>4</v>
      </c>
      <c r="G188" s="13" t="n">
        <v>4</v>
      </c>
      <c r="H188" s="8" t="n">
        <v>4.5</v>
      </c>
      <c r="I188" s="8">
        <f>G188*H188</f>
        <v/>
      </c>
      <c r="J188" s="8">
        <f>H188/E188</f>
        <v/>
      </c>
      <c r="K188" s="8" t="n">
        <v>4.31</v>
      </c>
      <c r="L188" s="8" t="n">
        <v>4.31</v>
      </c>
      <c r="M188" s="14">
        <f>J188/K188-1</f>
        <v/>
      </c>
      <c r="N188" s="7" t="inlineStr">
        <is>
          <t>ACIMA +4.4%</t>
        </is>
      </c>
      <c r="O188" s="7" t="inlineStr"/>
    </row>
    <row r="189">
      <c r="A189" s="7" t="n">
        <v>151761</v>
      </c>
      <c r="B189" s="7" t="inlineStr">
        <is>
          <t>385</t>
        </is>
      </c>
      <c r="C189" s="12" t="inlineStr">
        <is>
          <t>7893454100555</t>
        </is>
      </c>
      <c r="D189" s="7" t="inlineStr">
        <is>
          <t>LIDIAL 50MG/G POM BG 25G</t>
        </is>
      </c>
      <c r="E189" s="13" t="n">
        <v>1</v>
      </c>
      <c r="F189" s="13" t="n">
        <v>3</v>
      </c>
      <c r="G189" s="13" t="n">
        <v>3</v>
      </c>
      <c r="H189" s="8" t="n">
        <v>6.95</v>
      </c>
      <c r="I189" s="8">
        <f>G189*H189</f>
        <v/>
      </c>
      <c r="J189" s="8">
        <f>H189/E189</f>
        <v/>
      </c>
      <c r="K189" s="8" t="n">
        <v>6.73</v>
      </c>
      <c r="L189" s="8" t="n">
        <v>6.73</v>
      </c>
      <c r="M189" s="14">
        <f>J189/K189-1</f>
        <v/>
      </c>
      <c r="N189" s="7" t="inlineStr">
        <is>
          <t>ACIMA +3.3%</t>
        </is>
      </c>
      <c r="O189" s="7" t="inlineStr"/>
    </row>
    <row r="190">
      <c r="A190" s="7" t="n">
        <v>616271</v>
      </c>
      <c r="B190" s="7" t="inlineStr">
        <is>
          <t>7932</t>
        </is>
      </c>
      <c r="C190" s="12" t="inlineStr">
        <is>
          <t>7894164010301</t>
        </is>
      </c>
      <c r="D190" s="7" t="inlineStr">
        <is>
          <t>LORATADINA 1MG/ML 100ML XPE UN</t>
        </is>
      </c>
      <c r="E190" s="13" t="n">
        <v>1</v>
      </c>
      <c r="F190" s="13" t="n">
        <v>4</v>
      </c>
      <c r="G190" s="13" t="n">
        <v>4</v>
      </c>
      <c r="H190" s="8" t="n">
        <v>5.93</v>
      </c>
      <c r="I190" s="8">
        <f>G190*H190</f>
        <v/>
      </c>
      <c r="J190" s="8">
        <f>H190/E190</f>
        <v/>
      </c>
      <c r="K190" s="8" t="n">
        <v>5.65</v>
      </c>
      <c r="L190" s="8" t="n">
        <v>5.65</v>
      </c>
      <c r="M190" s="14">
        <f>J190/K190-1</f>
        <v/>
      </c>
      <c r="N190" s="7" t="inlineStr">
        <is>
          <t>ACIMA +5.0%</t>
        </is>
      </c>
      <c r="O190" s="7" t="inlineStr"/>
    </row>
    <row r="191">
      <c r="A191" s="7" t="n">
        <v>324761</v>
      </c>
      <c r="B191" s="7" t="inlineStr">
        <is>
          <t>931</t>
        </is>
      </c>
      <c r="C191" s="12" t="inlineStr">
        <is>
          <t>7896523202822</t>
        </is>
      </c>
      <c r="D191" s="7" t="inlineStr">
        <is>
          <t>LORATAMED 10MG CX 12 COMP</t>
        </is>
      </c>
      <c r="E191" s="13" t="n">
        <v>1</v>
      </c>
      <c r="F191" s="13" t="n">
        <v>42</v>
      </c>
      <c r="G191" s="13" t="n">
        <v>42</v>
      </c>
      <c r="H191" s="8" t="n">
        <v>1.76</v>
      </c>
      <c r="I191" s="8">
        <f>G191*H191</f>
        <v/>
      </c>
      <c r="J191" s="8">
        <f>H191/E191</f>
        <v/>
      </c>
      <c r="K191" s="8" t="n">
        <v>1.69</v>
      </c>
      <c r="L191" s="8" t="n">
        <v>1.49</v>
      </c>
      <c r="M191" s="14">
        <f>J191/K191-1</f>
        <v/>
      </c>
      <c r="N191" s="7" t="inlineStr">
        <is>
          <t>ACIMA +4.1%</t>
        </is>
      </c>
      <c r="O191" s="7" t="inlineStr"/>
    </row>
    <row r="192">
      <c r="A192" s="7" t="n">
        <v>668941</v>
      </c>
      <c r="B192" s="7" t="inlineStr">
        <is>
          <t>7927</t>
        </is>
      </c>
      <c r="C192" s="12" t="inlineStr">
        <is>
          <t>7896004785769</t>
        </is>
      </c>
      <c r="D192" s="7" t="inlineStr">
        <is>
          <t>LOZEPREL 40MG CX 28 CAP</t>
        </is>
      </c>
      <c r="E192" s="13" t="n">
        <v>1</v>
      </c>
      <c r="F192" s="13" t="n">
        <v>9</v>
      </c>
      <c r="G192" s="13" t="n">
        <v>9</v>
      </c>
      <c r="H192" s="8" t="n">
        <v>9.07</v>
      </c>
      <c r="I192" s="8">
        <f>G192*H192</f>
        <v/>
      </c>
      <c r="J192" s="8">
        <f>H192/E192</f>
        <v/>
      </c>
      <c r="K192" s="8" t="n">
        <v>9.9</v>
      </c>
      <c r="L192" s="8" t="n">
        <v>9.9</v>
      </c>
      <c r="M192" s="14">
        <f>J192/K192-1</f>
        <v/>
      </c>
      <c r="N192" s="7" t="inlineStr">
        <is>
          <t>OK (≤ menor hist.)</t>
        </is>
      </c>
      <c r="O192" s="7" t="inlineStr"/>
    </row>
    <row r="193">
      <c r="A193" s="7" t="n">
        <v>558921</v>
      </c>
      <c r="B193" s="7" t="inlineStr">
        <is>
          <t>5499</t>
        </is>
      </c>
      <c r="C193" s="12" t="inlineStr">
        <is>
          <t>7898556850513</t>
        </is>
      </c>
      <c r="D193" s="7" t="inlineStr">
        <is>
          <t>LUBRIFICANTE GEL RILEX MENTA 100G</t>
        </is>
      </c>
      <c r="E193" s="13" t="n">
        <v>1</v>
      </c>
      <c r="F193" s="13" t="n">
        <v>1</v>
      </c>
      <c r="G193" s="13" t="n">
        <v>1</v>
      </c>
      <c r="H193" s="8" t="n">
        <v>15.34</v>
      </c>
      <c r="I193" s="8">
        <f>G193*H193</f>
        <v/>
      </c>
      <c r="J193" s="8">
        <f>H193/E193</f>
        <v/>
      </c>
      <c r="K193" s="8" t="n">
        <v>15.27</v>
      </c>
      <c r="L193" s="8" t="n">
        <v>15.27</v>
      </c>
      <c r="M193" s="14">
        <f>J193/K193-1</f>
        <v/>
      </c>
      <c r="N193" s="7" t="inlineStr">
        <is>
          <t>ACIMA +0.5%</t>
        </is>
      </c>
      <c r="O193" s="7" t="inlineStr"/>
    </row>
    <row r="194">
      <c r="A194" s="7" t="n">
        <v>557121</v>
      </c>
      <c r="B194" s="7" t="inlineStr">
        <is>
          <t>5469</t>
        </is>
      </c>
      <c r="C194" s="12" t="inlineStr">
        <is>
          <t>7896523200026</t>
        </is>
      </c>
      <c r="D194" s="7" t="inlineStr">
        <is>
          <t>LUBRIFIK LUBRIFICANTE INTIMO GEL BG 50G</t>
        </is>
      </c>
      <c r="E194" s="13" t="n">
        <v>1</v>
      </c>
      <c r="F194" s="13" t="n">
        <v>17</v>
      </c>
      <c r="G194" s="13" t="n">
        <v>17</v>
      </c>
      <c r="H194" s="8" t="n">
        <v>4.32</v>
      </c>
      <c r="I194" s="8">
        <f>G194*H194</f>
        <v/>
      </c>
      <c r="J194" s="8">
        <f>H194/E194</f>
        <v/>
      </c>
      <c r="K194" s="8" t="n">
        <v>4.32</v>
      </c>
      <c r="L194" s="8" t="n">
        <v>4.32</v>
      </c>
      <c r="M194" s="14">
        <f>J194/K194-1</f>
        <v/>
      </c>
      <c r="N194" s="7" t="inlineStr">
        <is>
          <t>OK (≤ menor hist.)</t>
        </is>
      </c>
      <c r="O194" s="7" t="inlineStr"/>
    </row>
    <row r="195">
      <c r="A195" s="7" t="n">
        <v>4143</v>
      </c>
      <c r="B195" s="7" t="inlineStr">
        <is>
          <t>9434</t>
        </is>
      </c>
      <c r="C195" s="12" t="inlineStr">
        <is>
          <t>7898947170176</t>
        </is>
      </c>
      <c r="D195" s="7" t="inlineStr">
        <is>
          <t>LUVA CIRURGICA 7,0 ESTERIL COM PO</t>
        </is>
      </c>
      <c r="E195" s="13" t="n">
        <v>1</v>
      </c>
      <c r="F195" s="13" t="n">
        <v>2</v>
      </c>
      <c r="G195" s="13" t="n">
        <v>2</v>
      </c>
      <c r="H195" s="8" t="n">
        <v>1.76</v>
      </c>
      <c r="I195" s="8">
        <f>G195*H195</f>
        <v/>
      </c>
      <c r="J195" s="8">
        <f>H195/E195</f>
        <v/>
      </c>
      <c r="K195" s="8" t="n">
        <v>1.76</v>
      </c>
      <c r="L195" s="8" t="n">
        <v>1.76</v>
      </c>
      <c r="M195" s="14">
        <f>J195/K195-1</f>
        <v/>
      </c>
      <c r="N195" s="7" t="inlineStr">
        <is>
          <t>OK (≤ menor hist.)</t>
        </is>
      </c>
      <c r="O195" s="7" t="inlineStr"/>
    </row>
    <row r="196">
      <c r="A196" s="7" t="n">
        <v>4153</v>
      </c>
      <c r="B196" s="7" t="inlineStr">
        <is>
          <t>9437</t>
        </is>
      </c>
      <c r="C196" s="12" t="inlineStr">
        <is>
          <t>7898947170190</t>
        </is>
      </c>
      <c r="D196" s="7" t="inlineStr">
        <is>
          <t>LUVA CIRURGICA 8,0 ESTERIL COM PO</t>
        </is>
      </c>
      <c r="E196" s="13" t="n">
        <v>1</v>
      </c>
      <c r="F196" s="13" t="n">
        <v>2</v>
      </c>
      <c r="G196" s="13" t="n">
        <v>2</v>
      </c>
      <c r="H196" s="8" t="n">
        <v>1.74</v>
      </c>
      <c r="I196" s="8">
        <f>G196*H196</f>
        <v/>
      </c>
      <c r="J196" s="8">
        <f>H196/E196</f>
        <v/>
      </c>
      <c r="K196" s="8" t="n">
        <v>1.74</v>
      </c>
      <c r="L196" s="8" t="n">
        <v>1.74</v>
      </c>
      <c r="M196" s="14">
        <f>J196/K196-1</f>
        <v/>
      </c>
      <c r="N196" s="7" t="inlineStr">
        <is>
          <t>OK (≤ menor hist.)</t>
        </is>
      </c>
      <c r="O196" s="7" t="inlineStr"/>
    </row>
    <row r="197">
      <c r="A197" s="7" t="n">
        <v>675981</v>
      </c>
      <c r="B197" s="7" t="inlineStr">
        <is>
          <t>9414</t>
        </is>
      </c>
      <c r="C197" s="12" t="inlineStr">
        <is>
          <t>7898947170619</t>
        </is>
      </c>
      <c r="D197" s="7" t="inlineStr">
        <is>
          <t>LUVA LATEX MEDIX PROFI C/PO TAM PP C/100 UN</t>
        </is>
      </c>
      <c r="E197" s="13" t="n">
        <v>1</v>
      </c>
      <c r="F197" s="13" t="n">
        <v>2</v>
      </c>
      <c r="G197" s="13" t="n">
        <v>2</v>
      </c>
      <c r="H197" s="8" t="n">
        <v>26.33</v>
      </c>
      <c r="I197" s="8">
        <f>G197*H197</f>
        <v/>
      </c>
      <c r="J197" s="8">
        <f>H197/E197</f>
        <v/>
      </c>
      <c r="K197" s="8" t="n">
        <v>19.9</v>
      </c>
      <c r="L197" s="8" t="n">
        <v>19.9</v>
      </c>
      <c r="M197" s="14">
        <f>J197/K197-1</f>
        <v/>
      </c>
      <c r="N197" s="7" t="inlineStr">
        <is>
          <t>ACIMA +32.3%</t>
        </is>
      </c>
      <c r="O197" s="7" t="inlineStr"/>
    </row>
    <row r="198">
      <c r="A198" s="7" t="n">
        <v>612321</v>
      </c>
      <c r="B198" s="7" t="inlineStr">
        <is>
          <t>5310</t>
        </is>
      </c>
      <c r="C198" s="12" t="inlineStr">
        <is>
          <t>7894164005734</t>
        </is>
      </c>
      <c r="D198" s="7" t="inlineStr">
        <is>
          <t>MAGMILK HORTELA 80MG/ML 100ML (HIDROXIDO</t>
        </is>
      </c>
      <c r="E198" s="13" t="n">
        <v>1</v>
      </c>
      <c r="F198" s="13" t="n">
        <v>3</v>
      </c>
      <c r="G198" s="13" t="n">
        <v>3</v>
      </c>
      <c r="H198" s="8" t="n">
        <v>4.85</v>
      </c>
      <c r="I198" s="8">
        <f>G198*H198</f>
        <v/>
      </c>
      <c r="J198" s="8">
        <f>H198/E198</f>
        <v/>
      </c>
      <c r="K198" s="8" t="n">
        <v>4.14</v>
      </c>
      <c r="L198" s="8" t="n">
        <v>4.14</v>
      </c>
      <c r="M198" s="14">
        <f>J198/K198-1</f>
        <v/>
      </c>
      <c r="N198" s="7" t="inlineStr">
        <is>
          <t>ACIMA +17.1%</t>
        </is>
      </c>
      <c r="O198" s="7" t="inlineStr"/>
    </row>
    <row r="199">
      <c r="A199" s="7" t="n">
        <v>542681</v>
      </c>
      <c r="B199" s="7" t="inlineStr">
        <is>
          <t>5409</t>
        </is>
      </c>
      <c r="C199" s="12" t="inlineStr">
        <is>
          <t>7894164005727</t>
        </is>
      </c>
      <c r="D199" s="7" t="inlineStr">
        <is>
          <t>MAGMILK TRADICIONAL 80MG/ML 100ML(ARL)</t>
        </is>
      </c>
      <c r="E199" s="13" t="n">
        <v>1</v>
      </c>
      <c r="F199" s="13" t="n">
        <v>11</v>
      </c>
      <c r="G199" s="13" t="n">
        <v>11</v>
      </c>
      <c r="H199" s="8" t="n">
        <v>4.71</v>
      </c>
      <c r="I199" s="8">
        <f>G199*H199</f>
        <v/>
      </c>
      <c r="J199" s="8">
        <f>H199/E199</f>
        <v/>
      </c>
      <c r="K199" s="8" t="n">
        <v>4.71</v>
      </c>
      <c r="L199" s="8" t="n">
        <v>4.71</v>
      </c>
      <c r="M199" s="14">
        <f>J199/K199-1</f>
        <v/>
      </c>
      <c r="N199" s="7" t="inlineStr">
        <is>
          <t>OK (≤ menor hist.)</t>
        </is>
      </c>
      <c r="O199" s="7" t="inlineStr"/>
    </row>
    <row r="200">
      <c r="A200" s="7" t="n">
        <v>591291</v>
      </c>
      <c r="B200" s="7" t="inlineStr">
        <is>
          <t>7719</t>
        </is>
      </c>
      <c r="C200" s="12" t="inlineStr">
        <is>
          <t>7898048699651</t>
        </is>
      </c>
      <c r="D200" s="7" t="inlineStr">
        <is>
          <t>MAGNESIO DIMALATO 60CP</t>
        </is>
      </c>
      <c r="E200" s="13" t="n">
        <v>1</v>
      </c>
      <c r="F200" s="13" t="n">
        <v>8</v>
      </c>
      <c r="G200" s="13" t="n">
        <v>8</v>
      </c>
      <c r="H200" s="8" t="n">
        <v>15.98</v>
      </c>
      <c r="I200" s="8">
        <f>G200*H200</f>
        <v/>
      </c>
      <c r="J200" s="8">
        <f>H200/E200</f>
        <v/>
      </c>
      <c r="K200" s="8" t="n">
        <v>15.98</v>
      </c>
      <c r="L200" s="8" t="n">
        <v>13.84</v>
      </c>
      <c r="M200" s="14">
        <f>J200/K200-1</f>
        <v/>
      </c>
      <c r="N200" s="7" t="inlineStr">
        <is>
          <t>OK (≤ últ. compra)</t>
        </is>
      </c>
      <c r="O200" s="7" t="inlineStr"/>
    </row>
    <row r="201">
      <c r="A201" s="7" t="n">
        <v>512501</v>
      </c>
      <c r="B201" s="7" t="inlineStr">
        <is>
          <t>4401</t>
        </is>
      </c>
      <c r="C201" s="12" t="inlineStr">
        <is>
          <t>7896523210773</t>
        </is>
      </c>
      <c r="D201" s="7" t="inlineStr">
        <is>
          <t>MALEATO DE ENALAPRIL 20MG CX 30 COMP</t>
        </is>
      </c>
      <c r="E201" s="13" t="n">
        <v>1</v>
      </c>
      <c r="F201" s="13" t="n">
        <v>26</v>
      </c>
      <c r="G201" s="13" t="n">
        <v>26</v>
      </c>
      <c r="H201" s="8" t="n">
        <v>2.86</v>
      </c>
      <c r="I201" s="8">
        <f>G201*H201</f>
        <v/>
      </c>
      <c r="J201" s="8">
        <f>H201/E201</f>
        <v/>
      </c>
      <c r="K201" s="8" t="n">
        <v>2.35</v>
      </c>
      <c r="L201" s="8" t="n">
        <v>2.23</v>
      </c>
      <c r="M201" s="14">
        <f>J201/K201-1</f>
        <v/>
      </c>
      <c r="N201" s="7" t="inlineStr">
        <is>
          <t>ACIMA +21.7%</t>
        </is>
      </c>
      <c r="O201" s="7" t="inlineStr"/>
    </row>
    <row r="202">
      <c r="A202" s="7" t="n">
        <v>346381</v>
      </c>
      <c r="B202" s="7" t="inlineStr">
        <is>
          <t>4558</t>
        </is>
      </c>
      <c r="C202" s="12" t="inlineStr">
        <is>
          <t>7895296445085</t>
        </is>
      </c>
      <c r="D202" s="7" t="inlineStr">
        <is>
          <t>MEFLAGIN 400MG 2BL X 10 COMP REV</t>
        </is>
      </c>
      <c r="E202" s="13" t="n">
        <v>1</v>
      </c>
      <c r="F202" s="13" t="n">
        <v>1</v>
      </c>
      <c r="G202" s="13" t="n">
        <v>1</v>
      </c>
      <c r="H202" s="8" t="n">
        <v>7.35</v>
      </c>
      <c r="I202" s="8">
        <f>G202*H202</f>
        <v/>
      </c>
      <c r="J202" s="8">
        <f>H202/E202</f>
        <v/>
      </c>
      <c r="K202" s="8" t="n">
        <v>7.08</v>
      </c>
      <c r="L202" s="8" t="n">
        <v>7.08</v>
      </c>
      <c r="M202" s="14">
        <f>J202/K202-1</f>
        <v/>
      </c>
      <c r="N202" s="7" t="inlineStr">
        <is>
          <t>ACIMA +3.8%</t>
        </is>
      </c>
      <c r="O202" s="7" t="inlineStr"/>
    </row>
    <row r="203">
      <c r="A203" s="7" t="n">
        <v>602931</v>
      </c>
      <c r="B203" s="7" t="inlineStr">
        <is>
          <t>819</t>
        </is>
      </c>
      <c r="C203" s="12" t="inlineStr">
        <is>
          <t>7896148500136</t>
        </is>
      </c>
      <c r="D203" s="7" t="inlineStr">
        <is>
          <t>MEL CP EXTRATO PROPOLIS 35ML (FIT)</t>
        </is>
      </c>
      <c r="E203" s="13" t="n">
        <v>1</v>
      </c>
      <c r="F203" s="13" t="n">
        <v>3</v>
      </c>
      <c r="G203" s="13" t="n">
        <v>3</v>
      </c>
      <c r="H203" s="8" t="n">
        <v>12.76</v>
      </c>
      <c r="I203" s="8">
        <f>G203*H203</f>
        <v/>
      </c>
      <c r="J203" s="8">
        <f>H203/E203</f>
        <v/>
      </c>
      <c r="K203" s="8" t="n">
        <v>11.47</v>
      </c>
      <c r="L203" s="8" t="n">
        <v>11.47</v>
      </c>
      <c r="M203" s="14">
        <f>J203/K203-1</f>
        <v/>
      </c>
      <c r="N203" s="7" t="inlineStr">
        <is>
          <t>ACIMA +11.2%</t>
        </is>
      </c>
      <c r="O203" s="7" t="inlineStr"/>
    </row>
    <row r="204">
      <c r="A204" s="7" t="n">
        <v>665751</v>
      </c>
      <c r="B204" s="7" t="inlineStr">
        <is>
          <t>8926</t>
        </is>
      </c>
      <c r="C204" s="12" t="inlineStr">
        <is>
          <t>7896148500600</t>
        </is>
      </c>
      <c r="D204" s="7" t="inlineStr">
        <is>
          <t>MEL DE ABELHA 200G BISNAGA FITOBEL</t>
        </is>
      </c>
      <c r="E204" s="13" t="n">
        <v>1</v>
      </c>
      <c r="F204" s="13" t="n">
        <v>2</v>
      </c>
      <c r="G204" s="13" t="n">
        <v>2</v>
      </c>
      <c r="H204" s="8" t="n">
        <v>10.61</v>
      </c>
      <c r="I204" s="8">
        <f>G204*H204</f>
        <v/>
      </c>
      <c r="J204" s="8">
        <f>H204/E204</f>
        <v/>
      </c>
      <c r="K204" s="8" t="n">
        <v>10.54</v>
      </c>
      <c r="L204" s="8" t="n">
        <v>9.43</v>
      </c>
      <c r="M204" s="14">
        <f>J204/K204-1</f>
        <v/>
      </c>
      <c r="N204" s="7" t="inlineStr">
        <is>
          <t>ACIMA +0.7%</t>
        </is>
      </c>
      <c r="O204" s="7" t="inlineStr"/>
    </row>
    <row r="205">
      <c r="A205" s="7" t="n">
        <v>569961</v>
      </c>
      <c r="B205" s="7" t="inlineStr">
        <is>
          <t>1775</t>
        </is>
      </c>
      <c r="C205" s="12" t="inlineStr">
        <is>
          <t>7896148500709</t>
        </is>
      </c>
      <c r="D205" s="7" t="inlineStr">
        <is>
          <t>MEL DE ABELHA 70G</t>
        </is>
      </c>
      <c r="E205" s="13" t="n">
        <v>1</v>
      </c>
      <c r="F205" s="13" t="n">
        <v>1</v>
      </c>
      <c r="G205" s="13" t="n">
        <v>1</v>
      </c>
      <c r="H205" s="8" t="n">
        <v>7.52</v>
      </c>
      <c r="I205" s="8">
        <f>G205*H205</f>
        <v/>
      </c>
      <c r="J205" s="8">
        <f>H205/E205</f>
        <v/>
      </c>
      <c r="K205" s="8" t="n">
        <v>6.75</v>
      </c>
      <c r="L205" s="8" t="n">
        <v>6.75</v>
      </c>
      <c r="M205" s="14">
        <f>J205/K205-1</f>
        <v/>
      </c>
      <c r="N205" s="7" t="inlineStr">
        <is>
          <t>ACIMA +11.4%</t>
        </is>
      </c>
      <c r="O205" s="7" t="inlineStr"/>
    </row>
    <row r="206">
      <c r="A206" s="7" t="n">
        <v>3223</v>
      </c>
      <c r="B206" s="7" t="inlineStr">
        <is>
          <t>4729</t>
        </is>
      </c>
      <c r="C206" s="12" t="inlineStr">
        <is>
          <t>7896023708626</t>
        </is>
      </c>
      <c r="D206" s="7" t="inlineStr">
        <is>
          <t>MELAGRIAO SPRAY 30ML EXTRA FORTE</t>
        </is>
      </c>
      <c r="E206" s="13" t="n">
        <v>1</v>
      </c>
      <c r="F206" s="13" t="n">
        <v>2</v>
      </c>
      <c r="G206" s="13" t="n">
        <v>2</v>
      </c>
      <c r="H206" s="8" t="n">
        <v>13.22</v>
      </c>
      <c r="I206" s="8">
        <f>G206*H206</f>
        <v/>
      </c>
      <c r="J206" s="8">
        <f>H206/E206</f>
        <v/>
      </c>
      <c r="K206" s="8" t="n">
        <v>21.72</v>
      </c>
      <c r="L206" s="8" t="n">
        <v>18.02</v>
      </c>
      <c r="M206" s="14">
        <f>J206/K206-1</f>
        <v/>
      </c>
      <c r="N206" s="7" t="inlineStr">
        <is>
          <t>OK (≤ menor hist.)</t>
        </is>
      </c>
      <c r="O206" s="7" t="inlineStr"/>
    </row>
    <row r="207">
      <c r="A207" s="7" t="n">
        <v>548221</v>
      </c>
      <c r="B207" s="7" t="inlineStr">
        <is>
          <t>625</t>
        </is>
      </c>
      <c r="C207" s="12" t="inlineStr">
        <is>
          <t>7896023719899</t>
        </is>
      </c>
      <c r="D207" s="7" t="inlineStr">
        <is>
          <t>MELAGRIÃO EXPECTORANTE CATARINENSE 150ML</t>
        </is>
      </c>
      <c r="E207" s="13" t="n">
        <v>1</v>
      </c>
      <c r="F207" s="13" t="n">
        <v>3</v>
      </c>
      <c r="G207" s="13" t="n">
        <v>3</v>
      </c>
      <c r="H207" s="8" t="n">
        <v>15.82</v>
      </c>
      <c r="I207" s="8">
        <f>G207*H207</f>
        <v/>
      </c>
      <c r="J207" s="8">
        <f>H207/E207</f>
        <v/>
      </c>
      <c r="K207" s="8" t="n">
        <v>35.31</v>
      </c>
      <c r="L207" s="8" t="n">
        <v>14.77</v>
      </c>
      <c r="M207" s="14">
        <f>J207/K207-1</f>
        <v/>
      </c>
      <c r="N207" s="7" t="inlineStr">
        <is>
          <t>OK (≤ últ. compra)</t>
        </is>
      </c>
      <c r="O207" s="7" t="inlineStr">
        <is>
          <t>conferir emb.</t>
        </is>
      </c>
    </row>
    <row r="208">
      <c r="A208" s="7" t="n">
        <v>3573</v>
      </c>
      <c r="B208" s="7" t="inlineStr">
        <is>
          <t>6951</t>
        </is>
      </c>
      <c r="C208" s="12" t="inlineStr">
        <is>
          <t>7894164008551</t>
        </is>
      </c>
      <c r="D208" s="7" t="inlineStr">
        <is>
          <t>MELATONINA 210MCG 20ML GTS</t>
        </is>
      </c>
      <c r="E208" s="13" t="n">
        <v>1</v>
      </c>
      <c r="F208" s="13" t="n">
        <v>6</v>
      </c>
      <c r="G208" s="13" t="n">
        <v>6</v>
      </c>
      <c r="H208" s="8" t="n">
        <v>10.65</v>
      </c>
      <c r="I208" s="8">
        <f>G208*H208</f>
        <v/>
      </c>
      <c r="J208" s="8">
        <f>H208/E208</f>
        <v/>
      </c>
      <c r="K208" s="8" t="n">
        <v>10.65</v>
      </c>
      <c r="L208" s="8" t="n">
        <v>8.57</v>
      </c>
      <c r="M208" s="14">
        <f>J208/K208-1</f>
        <v/>
      </c>
      <c r="N208" s="7" t="inlineStr">
        <is>
          <t>OK (≤ últ. compra)</t>
        </is>
      </c>
      <c r="O208" s="7" t="inlineStr"/>
    </row>
    <row r="209">
      <c r="A209" s="7" t="n">
        <v>639011</v>
      </c>
      <c r="B209" s="7" t="inlineStr">
        <is>
          <t>8820</t>
        </is>
      </c>
      <c r="C209" s="12" t="inlineStr">
        <is>
          <t>7894164011483</t>
        </is>
      </c>
      <c r="D209" s="7" t="inlineStr">
        <is>
          <t>METIOCURE 10MG 45ML SPRAY</t>
        </is>
      </c>
      <c r="E209" s="13" t="n">
        <v>1</v>
      </c>
      <c r="F209" s="13" t="n">
        <v>1</v>
      </c>
      <c r="G209" s="13" t="n">
        <v>1</v>
      </c>
      <c r="H209" s="8" t="n">
        <v>8.26</v>
      </c>
      <c r="I209" s="8">
        <f>G209*H209</f>
        <v/>
      </c>
      <c r="J209" s="8">
        <f>H209/E209</f>
        <v/>
      </c>
      <c r="K209" s="8" t="n">
        <v>8.26</v>
      </c>
      <c r="L209" s="8" t="n">
        <v>7.88</v>
      </c>
      <c r="M209" s="14">
        <f>J209/K209-1</f>
        <v/>
      </c>
      <c r="N209" s="7" t="inlineStr">
        <is>
          <t>OK (≤ últ. compra)</t>
        </is>
      </c>
      <c r="O209" s="7" t="inlineStr"/>
    </row>
    <row r="210">
      <c r="A210" s="7" t="n">
        <v>605891</v>
      </c>
      <c r="B210" s="7" t="inlineStr">
        <is>
          <t>201</t>
        </is>
      </c>
      <c r="C210" s="12" t="inlineStr">
        <is>
          <t>7897917004589</t>
        </is>
      </c>
      <c r="D210" s="7" t="inlineStr">
        <is>
          <t>MICOSBEL 50MG 30G POMADA</t>
        </is>
      </c>
      <c r="E210" s="13" t="n">
        <v>1</v>
      </c>
      <c r="F210" s="13" t="n">
        <v>3</v>
      </c>
      <c r="G210" s="13" t="n">
        <v>3</v>
      </c>
      <c r="H210" s="8" t="n">
        <v>10.3</v>
      </c>
      <c r="I210" s="8">
        <f>G210*H210</f>
        <v/>
      </c>
      <c r="J210" s="8">
        <f>H210/E210</f>
        <v/>
      </c>
      <c r="K210" s="8" t="n">
        <v>10.3</v>
      </c>
      <c r="L210" s="8" t="n">
        <v>10.3</v>
      </c>
      <c r="M210" s="14">
        <f>J210/K210-1</f>
        <v/>
      </c>
      <c r="N210" s="7" t="inlineStr">
        <is>
          <t>OK (≤ menor hist.)</t>
        </is>
      </c>
      <c r="O210" s="7" t="inlineStr"/>
    </row>
    <row r="211">
      <c r="A211" s="7" t="n">
        <v>621241</v>
      </c>
      <c r="B211" s="7" t="inlineStr">
        <is>
          <t>5739</t>
        </is>
      </c>
      <c r="C211" s="12" t="inlineStr">
        <is>
          <t>7896920304334</t>
        </is>
      </c>
      <c r="D211" s="7" t="inlineStr">
        <is>
          <t>MILMUNE CONCENTRADO 120ML</t>
        </is>
      </c>
      <c r="E211" s="13" t="n">
        <v>1</v>
      </c>
      <c r="F211" s="13" t="n">
        <v>4</v>
      </c>
      <c r="G211" s="13" t="n">
        <v>4</v>
      </c>
      <c r="H211" s="8" t="n">
        <v>26.484262</v>
      </c>
      <c r="I211" s="8">
        <f>G211*H211</f>
        <v/>
      </c>
      <c r="J211" s="8">
        <f>H211/E211</f>
        <v/>
      </c>
      <c r="K211" s="8" t="n">
        <v>21.33</v>
      </c>
      <c r="L211" s="8" t="n">
        <v>21.33</v>
      </c>
      <c r="M211" s="14">
        <f>J211/K211-1</f>
        <v/>
      </c>
      <c r="N211" s="7" t="inlineStr">
        <is>
          <t>ACIMA +24.2%</t>
        </is>
      </c>
      <c r="O211" s="7" t="inlineStr"/>
    </row>
    <row r="212">
      <c r="A212" s="7" t="n">
        <v>557961</v>
      </c>
      <c r="B212" s="7" t="inlineStr">
        <is>
          <t>5738</t>
        </is>
      </c>
      <c r="C212" s="12" t="inlineStr">
        <is>
          <t>7896920304037</t>
        </is>
      </c>
      <c r="D212" s="7" t="inlineStr">
        <is>
          <t>MILMUNE CONCENTRADO 30CP</t>
        </is>
      </c>
      <c r="E212" s="13" t="n">
        <v>1</v>
      </c>
      <c r="F212" s="13" t="n">
        <v>6</v>
      </c>
      <c r="G212" s="13" t="n">
        <v>6</v>
      </c>
      <c r="H212" s="8" t="n">
        <v>42.609678</v>
      </c>
      <c r="I212" s="8">
        <f>G212*H212</f>
        <v/>
      </c>
      <c r="J212" s="8">
        <f>H212/E212</f>
        <v/>
      </c>
      <c r="K212" s="8" t="n">
        <v>37.65</v>
      </c>
      <c r="L212" s="8" t="n">
        <v>34.22</v>
      </c>
      <c r="M212" s="14">
        <f>J212/K212-1</f>
        <v/>
      </c>
      <c r="N212" s="7" t="inlineStr">
        <is>
          <t>ACIMA +13.2%</t>
        </is>
      </c>
      <c r="O212" s="7" t="inlineStr"/>
    </row>
    <row r="213">
      <c r="A213" s="7" t="n">
        <v>531621</v>
      </c>
      <c r="B213" s="7" t="inlineStr">
        <is>
          <t>1584</t>
        </is>
      </c>
      <c r="C213" s="12" t="inlineStr">
        <is>
          <t>7896472501694</t>
        </is>
      </c>
      <c r="D213" s="7" t="inlineStr">
        <is>
          <t>MULTISORO INFANTIL 30ML</t>
        </is>
      </c>
      <c r="E213" s="13" t="n">
        <v>1</v>
      </c>
      <c r="F213" s="13" t="n">
        <v>3</v>
      </c>
      <c r="G213" s="13" t="n">
        <v>3</v>
      </c>
      <c r="H213" s="8" t="n">
        <v>2.9</v>
      </c>
      <c r="I213" s="8">
        <f>G213*H213</f>
        <v/>
      </c>
      <c r="J213" s="8">
        <f>H213/E213</f>
        <v/>
      </c>
      <c r="K213" s="8" t="n">
        <v>2.53</v>
      </c>
      <c r="L213" s="8" t="n">
        <v>2.53</v>
      </c>
      <c r="M213" s="14">
        <f>J213/K213-1</f>
        <v/>
      </c>
      <c r="N213" s="7" t="inlineStr">
        <is>
          <t>ACIMA +14.6%</t>
        </is>
      </c>
      <c r="O213" s="7" t="inlineStr"/>
    </row>
    <row r="214">
      <c r="A214" s="7" t="n">
        <v>651901</v>
      </c>
      <c r="B214" s="7" t="inlineStr">
        <is>
          <t>222</t>
        </is>
      </c>
      <c r="C214" s="12" t="inlineStr">
        <is>
          <t>7898108640050</t>
        </is>
      </c>
      <c r="D214" s="7" t="inlineStr">
        <is>
          <t>N COMPRESSA GAZES 11FIOS ESTER 5UND   SANF %DN:0.00</t>
        </is>
      </c>
      <c r="E214" s="13" t="n">
        <v>1</v>
      </c>
      <c r="F214" s="13" t="n">
        <v>1</v>
      </c>
      <c r="G214" s="13" t="n">
        <v>1</v>
      </c>
      <c r="H214" s="8" t="n">
        <v>1.03</v>
      </c>
      <c r="I214" s="8">
        <f>G214*H214</f>
        <v/>
      </c>
      <c r="J214" s="8">
        <f>H214/E214</f>
        <v/>
      </c>
      <c r="K214" s="8" t="n">
        <v>0.92</v>
      </c>
      <c r="L214" s="8" t="n">
        <v>0.92</v>
      </c>
      <c r="M214" s="14">
        <f>J214/K214-1</f>
        <v/>
      </c>
      <c r="N214" s="7" t="inlineStr">
        <is>
          <t>ACIMA +12.0%</t>
        </is>
      </c>
      <c r="O214" s="7" t="inlineStr"/>
    </row>
    <row r="215">
      <c r="A215" s="7" t="n">
        <v>556401</v>
      </c>
      <c r="B215" s="7" t="inlineStr">
        <is>
          <t>4046</t>
        </is>
      </c>
      <c r="C215" s="12" t="inlineStr">
        <is>
          <t>7896677704890</t>
        </is>
      </c>
      <c r="D215" s="7" t="inlineStr">
        <is>
          <t>NERVOCALM 250MG CX 20 COMP</t>
        </is>
      </c>
      <c r="E215" s="13" t="n">
        <v>1</v>
      </c>
      <c r="F215" s="13" t="n">
        <v>5</v>
      </c>
      <c r="G215" s="13" t="n">
        <v>5</v>
      </c>
      <c r="H215" s="8" t="n">
        <v>30.46</v>
      </c>
      <c r="I215" s="8">
        <f>G215*H215</f>
        <v/>
      </c>
      <c r="J215" s="8">
        <f>H215/E215</f>
        <v/>
      </c>
      <c r="K215" s="8" t="n">
        <v>31.33</v>
      </c>
      <c r="L215" s="8" t="n">
        <v>22.32</v>
      </c>
      <c r="M215" s="14">
        <f>J215/K215-1</f>
        <v/>
      </c>
      <c r="N215" s="7" t="inlineStr">
        <is>
          <t>OK (≤ últ. compra)</t>
        </is>
      </c>
      <c r="O215" s="7" t="inlineStr"/>
    </row>
    <row r="216">
      <c r="A216" s="7" t="n">
        <v>485261</v>
      </c>
      <c r="B216" s="7" t="inlineStr">
        <is>
          <t>3819</t>
        </is>
      </c>
      <c r="C216" s="12" t="inlineStr">
        <is>
          <t>7899620915039</t>
        </is>
      </c>
      <c r="D216" s="7" t="inlineStr">
        <is>
          <t>NIMESULIDA 100MG CX 12 COMP</t>
        </is>
      </c>
      <c r="E216" s="13" t="n">
        <v>1</v>
      </c>
      <c r="F216" s="13" t="n">
        <v>11</v>
      </c>
      <c r="G216" s="13" t="n">
        <v>11</v>
      </c>
      <c r="H216" s="8" t="n">
        <v>1.37</v>
      </c>
      <c r="I216" s="8">
        <f>G216*H216</f>
        <v/>
      </c>
      <c r="J216" s="8">
        <f>H216/E216</f>
        <v/>
      </c>
      <c r="K216" s="8" t="n">
        <v>1.1</v>
      </c>
      <c r="L216" s="8" t="n">
        <v>1.1</v>
      </c>
      <c r="M216" s="14">
        <f>J216/K216-1</f>
        <v/>
      </c>
      <c r="N216" s="7" t="inlineStr">
        <is>
          <t>ACIMA +24.5%</t>
        </is>
      </c>
      <c r="O216" s="7" t="inlineStr"/>
    </row>
    <row r="217">
      <c r="A217" s="7" t="n">
        <v>3503</v>
      </c>
      <c r="B217" s="7" t="inlineStr">
        <is>
          <t>2629</t>
        </is>
      </c>
      <c r="C217" s="12" t="inlineStr">
        <is>
          <t>7897344300933</t>
        </is>
      </c>
      <c r="D217" s="7" t="inlineStr">
        <is>
          <t>OLEO DE ANDIROBA 30ML</t>
        </is>
      </c>
      <c r="E217" s="13" t="n">
        <v>1</v>
      </c>
      <c r="F217" s="13" t="n">
        <v>2</v>
      </c>
      <c r="G217" s="13" t="n">
        <v>2</v>
      </c>
      <c r="H217" s="8" t="n">
        <v>7.59</v>
      </c>
      <c r="I217" s="8">
        <f>G217*H217</f>
        <v/>
      </c>
      <c r="J217" s="8">
        <f>H217/E217</f>
        <v/>
      </c>
      <c r="K217" s="8" t="n">
        <v>7.59</v>
      </c>
      <c r="L217" s="8" t="n">
        <v>7.59</v>
      </c>
      <c r="M217" s="14">
        <f>J217/K217-1</f>
        <v/>
      </c>
      <c r="N217" s="7" t="inlineStr">
        <is>
          <t>OK (≤ menor hist.)</t>
        </is>
      </c>
      <c r="O217" s="7" t="inlineStr"/>
    </row>
    <row r="218">
      <c r="A218" s="7" t="n">
        <v>565841</v>
      </c>
      <c r="B218" s="7" t="inlineStr">
        <is>
          <t>3</t>
        </is>
      </c>
      <c r="C218" s="12" t="inlineStr">
        <is>
          <t>7898031313335</t>
        </is>
      </c>
      <c r="D218" s="7" t="inlineStr">
        <is>
          <t>OLEO DE COPAIBA 30ML</t>
        </is>
      </c>
      <c r="E218" s="13" t="n">
        <v>1</v>
      </c>
      <c r="F218" s="13" t="n">
        <v>3</v>
      </c>
      <c r="G218" s="13" t="n">
        <v>3</v>
      </c>
      <c r="H218" s="8" t="n">
        <v>7.16</v>
      </c>
      <c r="I218" s="8">
        <f>G218*H218</f>
        <v/>
      </c>
      <c r="J218" s="8">
        <f>H218/E218</f>
        <v/>
      </c>
      <c r="K218" s="8" t="n">
        <v>7.16</v>
      </c>
      <c r="L218" s="8" t="n">
        <v>7.16</v>
      </c>
      <c r="M218" s="14">
        <f>J218/K218-1</f>
        <v/>
      </c>
      <c r="N218" s="7" t="inlineStr">
        <is>
          <t>OK (≤ menor hist.)</t>
        </is>
      </c>
      <c r="O218" s="7" t="inlineStr"/>
    </row>
    <row r="219">
      <c r="A219" s="7" t="n">
        <v>4983</v>
      </c>
      <c r="B219" s="7" t="inlineStr">
        <is>
          <t>9599</t>
        </is>
      </c>
      <c r="C219" s="12" t="inlineStr">
        <is>
          <t>7896544927704</t>
        </is>
      </c>
      <c r="D219" s="7" t="inlineStr">
        <is>
          <t>OLEO DE GIRASSOL DERMA PROTECT 100ML</t>
        </is>
      </c>
      <c r="E219" s="13" t="n">
        <v>1</v>
      </c>
      <c r="F219" s="13" t="n">
        <v>12</v>
      </c>
      <c r="G219" s="13" t="n">
        <v>12</v>
      </c>
      <c r="H219" s="8" t="n">
        <v>3.6</v>
      </c>
      <c r="I219" s="8">
        <f>G219*H219</f>
        <v/>
      </c>
      <c r="J219" s="8">
        <f>H219/E219</f>
        <v/>
      </c>
      <c r="K219" s="8" t="n">
        <v>3.61</v>
      </c>
      <c r="L219" s="8" t="n">
        <v>3.61</v>
      </c>
      <c r="M219" s="14">
        <f>J219/K219-1</f>
        <v/>
      </c>
      <c r="N219" s="7" t="inlineStr">
        <is>
          <t>OK (≤ menor hist.)</t>
        </is>
      </c>
      <c r="O219" s="7" t="inlineStr"/>
    </row>
    <row r="220">
      <c r="A220" s="7" t="n">
        <v>5053</v>
      </c>
      <c r="B220" s="7" t="inlineStr">
        <is>
          <t>9598</t>
        </is>
      </c>
      <c r="C220" s="12" t="inlineStr">
        <is>
          <t>7896544927698</t>
        </is>
      </c>
      <c r="D220" s="7" t="inlineStr">
        <is>
          <t>OLEO DE GIRASSOL DERMA PROTECT 200ML</t>
        </is>
      </c>
      <c r="E220" s="13" t="n">
        <v>1</v>
      </c>
      <c r="F220" s="13" t="n">
        <v>7</v>
      </c>
      <c r="G220" s="13" t="n">
        <v>7</v>
      </c>
      <c r="H220" s="8" t="n">
        <v>5.79</v>
      </c>
      <c r="I220" s="8">
        <f>G220*H220</f>
        <v/>
      </c>
      <c r="J220" s="8">
        <f>H220/E220</f>
        <v/>
      </c>
      <c r="K220" s="8" t="n">
        <v>5.45</v>
      </c>
      <c r="L220" s="8" t="n">
        <v>5.45</v>
      </c>
      <c r="M220" s="14">
        <f>J220/K220-1</f>
        <v/>
      </c>
      <c r="N220" s="7" t="inlineStr">
        <is>
          <t>ACIMA +6.2%</t>
        </is>
      </c>
      <c r="O220" s="7" t="inlineStr"/>
    </row>
    <row r="221">
      <c r="A221" s="7" t="n">
        <v>605901</v>
      </c>
      <c r="B221" s="7" t="inlineStr">
        <is>
          <t>7508</t>
        </is>
      </c>
      <c r="C221" s="12" t="inlineStr">
        <is>
          <t>7898719040157</t>
        </is>
      </c>
      <c r="D221" s="7" t="inlineStr">
        <is>
          <t>OLEO DE GIRASSOL DERSIN 100ML</t>
        </is>
      </c>
      <c r="E221" s="13" t="n">
        <v>1</v>
      </c>
      <c r="F221" s="13" t="n">
        <v>22</v>
      </c>
      <c r="G221" s="13" t="n">
        <v>22</v>
      </c>
      <c r="H221" s="8" t="n">
        <v>5.3</v>
      </c>
      <c r="I221" s="8">
        <f>G221*H221</f>
        <v/>
      </c>
      <c r="J221" s="8">
        <f>H221/E221</f>
        <v/>
      </c>
      <c r="K221" s="8" t="n">
        <v>5.22</v>
      </c>
      <c r="L221" s="8" t="n">
        <v>5.22</v>
      </c>
      <c r="M221" s="14">
        <f>J221/K221-1</f>
        <v/>
      </c>
      <c r="N221" s="7" t="inlineStr">
        <is>
          <t>ACIMA +1.5%</t>
        </is>
      </c>
      <c r="O221" s="7" t="inlineStr"/>
    </row>
    <row r="222">
      <c r="A222" s="7" t="n">
        <v>613861</v>
      </c>
      <c r="B222" s="7" t="inlineStr">
        <is>
          <t>7541</t>
        </is>
      </c>
      <c r="C222" s="12" t="inlineStr">
        <is>
          <t>7898719040164</t>
        </is>
      </c>
      <c r="D222" s="7" t="inlineStr">
        <is>
          <t>OLEO DE GIRASSOL DERSIN 200ML</t>
        </is>
      </c>
      <c r="E222" s="13" t="n">
        <v>1</v>
      </c>
      <c r="F222" s="13" t="n">
        <v>4</v>
      </c>
      <c r="G222" s="13" t="n">
        <v>4</v>
      </c>
      <c r="H222" s="8" t="n">
        <v>8.67</v>
      </c>
      <c r="I222" s="8">
        <f>G222*H222</f>
        <v/>
      </c>
      <c r="J222" s="8">
        <f>H222/E222</f>
        <v/>
      </c>
      <c r="K222" s="8" t="n">
        <v>8.67</v>
      </c>
      <c r="L222" s="8" t="n">
        <v>8.67</v>
      </c>
      <c r="M222" s="14">
        <f>J222/K222-1</f>
        <v/>
      </c>
      <c r="N222" s="7" t="inlineStr">
        <is>
          <t>OK (≤ menor hist.)</t>
        </is>
      </c>
      <c r="O222" s="7" t="inlineStr"/>
    </row>
    <row r="223">
      <c r="A223" s="7" t="n">
        <v>37703</v>
      </c>
      <c r="B223" s="7" t="inlineStr">
        <is>
          <t>2959</t>
        </is>
      </c>
      <c r="C223" s="12" t="inlineStr">
        <is>
          <t>7898582292639</t>
        </is>
      </c>
      <c r="D223" s="7" t="inlineStr">
        <is>
          <t>OLEO DE GIRASSOL DERSOL 100ML</t>
        </is>
      </c>
      <c r="E223" s="13" t="n">
        <v>1</v>
      </c>
      <c r="F223" s="13" t="n">
        <v>9</v>
      </c>
      <c r="G223" s="13" t="n">
        <v>9</v>
      </c>
      <c r="H223" s="8" t="n">
        <v>6.89</v>
      </c>
      <c r="I223" s="8">
        <f>G223*H223</f>
        <v/>
      </c>
      <c r="J223" s="8">
        <f>H223/E223</f>
        <v/>
      </c>
      <c r="K223" s="8" t="n">
        <v>5.66</v>
      </c>
      <c r="L223" s="8" t="n">
        <v>5.66</v>
      </c>
      <c r="M223" s="14">
        <f>J223/K223-1</f>
        <v/>
      </c>
      <c r="N223" s="7" t="inlineStr">
        <is>
          <t>ACIMA +21.7%</t>
        </is>
      </c>
      <c r="O223" s="7" t="inlineStr"/>
    </row>
    <row r="224">
      <c r="A224" s="7" t="n">
        <v>653701</v>
      </c>
      <c r="B224" s="7" t="inlineStr">
        <is>
          <t>5186</t>
        </is>
      </c>
      <c r="C224" s="12" t="inlineStr">
        <is>
          <t>7898639690999</t>
        </is>
      </c>
      <c r="D224" s="7" t="inlineStr">
        <is>
          <t>OXIMETRO DE DEDO LED OXILED1</t>
        </is>
      </c>
      <c r="E224" s="13" t="n">
        <v>1</v>
      </c>
      <c r="F224" s="13" t="n">
        <v>1</v>
      </c>
      <c r="G224" s="13" t="n">
        <v>1</v>
      </c>
      <c r="H224" s="8" t="n">
        <v>78.61</v>
      </c>
      <c r="I224" s="8">
        <f>G224*H224</f>
        <v/>
      </c>
      <c r="J224" s="8">
        <f>H224/E224</f>
        <v/>
      </c>
      <c r="K224" s="8" t="n">
        <v>72.55</v>
      </c>
      <c r="L224" s="8" t="n">
        <v>71.25</v>
      </c>
      <c r="M224" s="14">
        <f>J224/K224-1</f>
        <v/>
      </c>
      <c r="N224" s="7" t="inlineStr">
        <is>
          <t>ACIMA +8.4%</t>
        </is>
      </c>
      <c r="O224" s="7" t="inlineStr"/>
    </row>
    <row r="225">
      <c r="A225" s="7" t="n">
        <v>531661</v>
      </c>
      <c r="B225" s="7" t="inlineStr">
        <is>
          <t>153</t>
        </is>
      </c>
      <c r="C225" s="12" t="inlineStr">
        <is>
          <t>7898031310709</t>
        </is>
      </c>
      <c r="D225" s="7" t="inlineStr">
        <is>
          <t>PASTA D AGUA 100G</t>
        </is>
      </c>
      <c r="E225" s="13" t="n">
        <v>1</v>
      </c>
      <c r="F225" s="13" t="n">
        <v>12</v>
      </c>
      <c r="G225" s="13" t="n">
        <v>12</v>
      </c>
      <c r="H225" s="8" t="n">
        <v>6.28</v>
      </c>
      <c r="I225" s="8">
        <f>G225*H225</f>
        <v/>
      </c>
      <c r="J225" s="8">
        <f>H225/E225</f>
        <v/>
      </c>
      <c r="K225" s="8" t="n">
        <v>6.28</v>
      </c>
      <c r="L225" s="8" t="n">
        <v>6.13</v>
      </c>
      <c r="M225" s="14">
        <f>J225/K225-1</f>
        <v/>
      </c>
      <c r="N225" s="7" t="inlineStr">
        <is>
          <t>OK (≤ últ. compra)</t>
        </is>
      </c>
      <c r="O225" s="7" t="inlineStr"/>
    </row>
    <row r="226">
      <c r="A226" s="7" t="n">
        <v>4063</v>
      </c>
      <c r="B226" s="7" t="inlineStr">
        <is>
          <t>7284</t>
        </is>
      </c>
      <c r="C226" s="12" t="inlineStr">
        <is>
          <t>7898031311102</t>
        </is>
      </c>
      <c r="D226" s="7" t="inlineStr">
        <is>
          <t>PASTA DAGUA SIMPLES 90G BISNAGA</t>
        </is>
      </c>
      <c r="E226" s="13" t="n">
        <v>1</v>
      </c>
      <c r="F226" s="13" t="n">
        <v>3</v>
      </c>
      <c r="G226" s="13" t="n">
        <v>3</v>
      </c>
      <c r="H226" s="8" t="n">
        <v>7.74</v>
      </c>
      <c r="I226" s="8">
        <f>G226*H226</f>
        <v/>
      </c>
      <c r="J226" s="8">
        <f>H226/E226</f>
        <v/>
      </c>
      <c r="K226" s="8" t="n">
        <v>7.74</v>
      </c>
      <c r="L226" s="8" t="n">
        <v>7.57</v>
      </c>
      <c r="M226" s="14">
        <f>J226/K226-1</f>
        <v/>
      </c>
      <c r="N226" s="7" t="inlineStr">
        <is>
          <t>OK (≤ últ. compra)</t>
        </is>
      </c>
      <c r="O226" s="7" t="inlineStr"/>
    </row>
    <row r="227">
      <c r="A227" s="7" t="n">
        <v>662241</v>
      </c>
      <c r="B227" s="7" t="inlineStr">
        <is>
          <t>6841</t>
        </is>
      </c>
      <c r="C227" s="12" t="inlineStr">
        <is>
          <t>7898719041048</t>
        </is>
      </c>
      <c r="D227" s="7" t="inlineStr">
        <is>
          <t>PEDRA HUME 35ML SPRAY</t>
        </is>
      </c>
      <c r="E227" s="13" t="n">
        <v>1</v>
      </c>
      <c r="F227" s="13" t="n">
        <v>2</v>
      </c>
      <c r="G227" s="13" t="n">
        <v>2</v>
      </c>
      <c r="H227" s="8" t="n">
        <v>6.59</v>
      </c>
      <c r="I227" s="8">
        <f>G227*H227</f>
        <v/>
      </c>
      <c r="J227" s="8">
        <f>H227/E227</f>
        <v/>
      </c>
      <c r="K227" s="8" t="n">
        <v>6.59</v>
      </c>
      <c r="L227" s="8" t="n">
        <v>6.59</v>
      </c>
      <c r="M227" s="14">
        <f>J227/K227-1</f>
        <v/>
      </c>
      <c r="N227" s="7" t="inlineStr">
        <is>
          <t>OK (≤ menor hist.)</t>
        </is>
      </c>
      <c r="O227" s="7" t="inlineStr"/>
    </row>
    <row r="228">
      <c r="A228" s="7" t="n">
        <v>644681</v>
      </c>
      <c r="B228" s="7" t="inlineStr">
        <is>
          <t>5382</t>
        </is>
      </c>
      <c r="C228" s="12" t="inlineStr">
        <is>
          <t>7898031310891</t>
        </is>
      </c>
      <c r="D228" s="7" t="inlineStr">
        <is>
          <t>PEDRA HUME SOLUCAO SPRAY 30ML</t>
        </is>
      </c>
      <c r="E228" s="13" t="n">
        <v>1</v>
      </c>
      <c r="F228" s="13" t="n">
        <v>4</v>
      </c>
      <c r="G228" s="13" t="n">
        <v>4</v>
      </c>
      <c r="H228" s="8" t="n">
        <v>5.45</v>
      </c>
      <c r="I228" s="8">
        <f>G228*H228</f>
        <v/>
      </c>
      <c r="J228" s="8">
        <f>H228/E228</f>
        <v/>
      </c>
      <c r="K228" s="8" t="n">
        <v>5.45</v>
      </c>
      <c r="L228" s="8" t="n">
        <v>5.45</v>
      </c>
      <c r="M228" s="14">
        <f>J228/K228-1</f>
        <v/>
      </c>
      <c r="N228" s="7" t="inlineStr">
        <is>
          <t>OK (≤ menor hist.)</t>
        </is>
      </c>
      <c r="O228" s="7" t="inlineStr"/>
    </row>
    <row r="229">
      <c r="A229" s="7" t="n">
        <v>639911</v>
      </c>
      <c r="B229" s="7" t="inlineStr">
        <is>
          <t>8454</t>
        </is>
      </c>
      <c r="C229" s="12" t="inlineStr">
        <is>
          <t>7898953484410</t>
        </is>
      </c>
      <c r="D229" s="7" t="inlineStr">
        <is>
          <t>PENTE FINO TIRA PIOLHO 1 UN ROSA</t>
        </is>
      </c>
      <c r="E229" s="13" t="n">
        <v>1</v>
      </c>
      <c r="F229" s="13" t="n">
        <v>5</v>
      </c>
      <c r="G229" s="13" t="n">
        <v>5</v>
      </c>
      <c r="H229" s="8" t="n">
        <v>11.84</v>
      </c>
      <c r="I229" s="8">
        <f>G229*H229</f>
        <v/>
      </c>
      <c r="J229" s="8">
        <f>H229/E229</f>
        <v/>
      </c>
      <c r="K229" s="8" t="n">
        <v>11.84</v>
      </c>
      <c r="L229" s="8" t="n">
        <v>11.84</v>
      </c>
      <c r="M229" s="14">
        <f>J229/K229-1</f>
        <v/>
      </c>
      <c r="N229" s="7" t="inlineStr">
        <is>
          <t>OK (≤ menor hist.)</t>
        </is>
      </c>
      <c r="O229" s="7" t="inlineStr"/>
    </row>
    <row r="230">
      <c r="A230" s="7" t="n">
        <v>3563</v>
      </c>
      <c r="B230" s="7" t="inlineStr">
        <is>
          <t>6735</t>
        </is>
      </c>
      <c r="C230" s="12" t="inlineStr">
        <is>
          <t>7898719040539</t>
        </is>
      </c>
      <c r="D230" s="7" t="inlineStr">
        <is>
          <t>PERIOASSEPT 250ML MENTA COM ALCOOL</t>
        </is>
      </c>
      <c r="E230" s="13" t="n">
        <v>1</v>
      </c>
      <c r="F230" s="13" t="n">
        <v>1</v>
      </c>
      <c r="G230" s="13" t="n">
        <v>1</v>
      </c>
      <c r="H230" s="8" t="n">
        <v>12.95</v>
      </c>
      <c r="I230" s="8">
        <f>G230*H230</f>
        <v/>
      </c>
      <c r="J230" s="8">
        <f>H230/E230</f>
        <v/>
      </c>
      <c r="K230" s="8" t="n">
        <v>11.99</v>
      </c>
      <c r="L230" s="8" t="n">
        <v>11.99</v>
      </c>
      <c r="M230" s="14">
        <f>J230/K230-1</f>
        <v/>
      </c>
      <c r="N230" s="7" t="inlineStr">
        <is>
          <t>ACIMA +8.0%</t>
        </is>
      </c>
      <c r="O230" s="7" t="inlineStr"/>
    </row>
    <row r="231">
      <c r="A231" s="7" t="n">
        <v>547801</v>
      </c>
      <c r="B231" s="7" t="inlineStr">
        <is>
          <t>3806</t>
        </is>
      </c>
      <c r="C231" s="12" t="inlineStr">
        <is>
          <t>7899620913059</t>
        </is>
      </c>
      <c r="D231" s="7" t="inlineStr">
        <is>
          <t>PERIODENT SOLUCAO BUCAL 250 ML</t>
        </is>
      </c>
      <c r="E231" s="13" t="n">
        <v>1</v>
      </c>
      <c r="F231" s="13" t="n">
        <v>2</v>
      </c>
      <c r="G231" s="13" t="n">
        <v>2</v>
      </c>
      <c r="H231" s="8" t="n">
        <v>10.79</v>
      </c>
      <c r="I231" s="8">
        <f>G231*H231</f>
        <v/>
      </c>
      <c r="J231" s="8">
        <f>H231/E231</f>
        <v/>
      </c>
      <c r="K231" s="8" t="n">
        <v>10.79</v>
      </c>
      <c r="L231" s="8" t="n">
        <v>10.79</v>
      </c>
      <c r="M231" s="14">
        <f>J231/K231-1</f>
        <v/>
      </c>
      <c r="N231" s="7" t="inlineStr">
        <is>
          <t>OK (≤ menor hist.)</t>
        </is>
      </c>
      <c r="O231" s="7" t="inlineStr"/>
    </row>
    <row r="232">
      <c r="A232" s="7" t="n">
        <v>565861</v>
      </c>
      <c r="B232" s="7" t="inlineStr">
        <is>
          <t>7371</t>
        </is>
      </c>
      <c r="C232" s="12" t="inlineStr">
        <is>
          <t>7898100244669</t>
        </is>
      </c>
      <c r="D232" s="7" t="inlineStr">
        <is>
          <t>PHITOSS KIDS 7MG/ML XPE 100ML</t>
        </is>
      </c>
      <c r="E232" s="13" t="n">
        <v>1</v>
      </c>
      <c r="F232" s="13" t="n">
        <v>1</v>
      </c>
      <c r="G232" s="13" t="n">
        <v>1</v>
      </c>
      <c r="H232" s="8" t="n">
        <v>6.96</v>
      </c>
      <c r="I232" s="8">
        <f>G232*H232</f>
        <v/>
      </c>
      <c r="J232" s="8">
        <f>H232/E232</f>
        <v/>
      </c>
      <c r="K232" s="8" t="n">
        <v>5.66</v>
      </c>
      <c r="L232" s="8" t="n">
        <v>5.66</v>
      </c>
      <c r="M232" s="14">
        <f>J232/K232-1</f>
        <v/>
      </c>
      <c r="N232" s="7" t="inlineStr">
        <is>
          <t>ACIMA +23.0%</t>
        </is>
      </c>
      <c r="O232" s="7" t="inlineStr"/>
    </row>
    <row r="233">
      <c r="A233" s="7" t="n">
        <v>404881</v>
      </c>
      <c r="B233" s="7" t="inlineStr">
        <is>
          <t>5539</t>
        </is>
      </c>
      <c r="C233" s="12" t="inlineStr">
        <is>
          <t>7898216362189</t>
        </is>
      </c>
      <c r="D233" s="7" t="inlineStr">
        <is>
          <t>PIROXICAM 20MG CX 10 CAP</t>
        </is>
      </c>
      <c r="E233" s="13" t="n">
        <v>1</v>
      </c>
      <c r="F233" s="13" t="n">
        <v>6</v>
      </c>
      <c r="G233" s="13" t="n">
        <v>6</v>
      </c>
      <c r="H233" s="8" t="n">
        <v>4.38</v>
      </c>
      <c r="I233" s="8">
        <f>G233*H233</f>
        <v/>
      </c>
      <c r="J233" s="8">
        <f>H233/E233</f>
        <v/>
      </c>
      <c r="K233" s="8" t="n">
        <v>4.15</v>
      </c>
      <c r="L233" s="8" t="n">
        <v>4.15</v>
      </c>
      <c r="M233" s="14">
        <f>J233/K233-1</f>
        <v/>
      </c>
      <c r="N233" s="7" t="inlineStr">
        <is>
          <t>ACIMA +5.5%</t>
        </is>
      </c>
      <c r="O233" s="7" t="inlineStr"/>
    </row>
    <row r="234">
      <c r="A234" s="7" t="n">
        <v>5703</v>
      </c>
      <c r="B234" s="7" t="inlineStr">
        <is>
          <t>9657</t>
        </is>
      </c>
      <c r="C234" s="12" t="inlineStr">
        <is>
          <t>609963917563</t>
        </is>
      </c>
      <c r="D234" s="7" t="inlineStr">
        <is>
          <t>POLIVITAMINICO AZ C/60 CPS</t>
        </is>
      </c>
      <c r="E234" s="13" t="n">
        <v>1</v>
      </c>
      <c r="F234" s="13" t="n">
        <v>1</v>
      </c>
      <c r="G234" s="13" t="n">
        <v>1</v>
      </c>
      <c r="H234" s="8" t="n">
        <v>12.62</v>
      </c>
      <c r="I234" s="8">
        <f>G234*H234</f>
        <v/>
      </c>
      <c r="J234" s="8">
        <f>H234/E234</f>
        <v/>
      </c>
      <c r="K234" s="8" t="n"/>
      <c r="L234" s="8" t="n"/>
      <c r="M234" s="14" t="n"/>
      <c r="N234" s="7" t="inlineStr">
        <is>
          <t>SEM HISTÓRICO</t>
        </is>
      </c>
      <c r="O234" s="7" t="inlineStr"/>
    </row>
    <row r="235">
      <c r="A235" s="7" t="n">
        <v>588931</v>
      </c>
      <c r="B235" s="7" t="inlineStr">
        <is>
          <t>1212</t>
        </is>
      </c>
      <c r="C235" s="12" t="inlineStr">
        <is>
          <t>7897146600583</t>
        </is>
      </c>
      <c r="D235" s="7" t="inlineStr">
        <is>
          <t>PRANFIGALDO 10ML ABACAXI UN (FLACONETE)</t>
        </is>
      </c>
      <c r="E235" s="13" t="n">
        <v>60</v>
      </c>
      <c r="F235" s="13" t="n">
        <v>2</v>
      </c>
      <c r="G235" s="13" t="n">
        <v>1</v>
      </c>
      <c r="H235" s="8" t="n">
        <v>24.29</v>
      </c>
      <c r="I235" s="8">
        <f>G235*H235</f>
        <v/>
      </c>
      <c r="J235" s="8">
        <f>H235/E235</f>
        <v/>
      </c>
      <c r="K235" s="8" t="n">
        <v>0.4048</v>
      </c>
      <c r="L235" s="8" t="n">
        <v>0.4048</v>
      </c>
      <c r="M235" s="14">
        <f>J235/K235-1</f>
        <v/>
      </c>
      <c r="N235" s="7" t="inlineStr">
        <is>
          <t>OK (≤ menor hist.)</t>
        </is>
      </c>
      <c r="O235" s="7" t="inlineStr">
        <is>
          <t>1 emb = 60 un</t>
        </is>
      </c>
    </row>
    <row r="236">
      <c r="A236" s="7" t="n">
        <v>543501</v>
      </c>
      <c r="B236" s="7" t="inlineStr">
        <is>
          <t>794</t>
        </is>
      </c>
      <c r="C236" s="12" t="inlineStr">
        <is>
          <t>7897146600040</t>
        </is>
      </c>
      <c r="D236" s="7" t="inlineStr">
        <is>
          <t>PRANFIGALDO BOLDO 10ML(FLACONETES)</t>
        </is>
      </c>
      <c r="E236" s="13" t="n">
        <v>60</v>
      </c>
      <c r="F236" s="13" t="n">
        <v>4</v>
      </c>
      <c r="G236" s="13" t="n">
        <v>1</v>
      </c>
      <c r="H236" s="8" t="n">
        <v>33.75</v>
      </c>
      <c r="I236" s="8">
        <f>G236*H236</f>
        <v/>
      </c>
      <c r="J236" s="8">
        <f>H236/E236</f>
        <v/>
      </c>
      <c r="K236" s="8" t="n">
        <v>0.5625</v>
      </c>
      <c r="L236" s="8" t="n">
        <v>0.5367</v>
      </c>
      <c r="M236" s="14">
        <f>J236/K236-1</f>
        <v/>
      </c>
      <c r="N236" s="7" t="inlineStr">
        <is>
          <t>OK (≤ últ. compra)</t>
        </is>
      </c>
      <c r="O236" s="7" t="inlineStr">
        <is>
          <t>1 emb = 60 un</t>
        </is>
      </c>
    </row>
    <row r="237">
      <c r="A237" s="7" t="n">
        <v>483381</v>
      </c>
      <c r="B237" s="7" t="inlineStr">
        <is>
          <t>7290</t>
        </is>
      </c>
      <c r="C237" s="12" t="inlineStr">
        <is>
          <t>7899620912144</t>
        </is>
      </c>
      <c r="D237" s="7" t="inlineStr">
        <is>
          <t>PREDNISONA 20MG CX 20 COMP</t>
        </is>
      </c>
      <c r="E237" s="13" t="n">
        <v>1</v>
      </c>
      <c r="F237" s="13" t="n">
        <v>1</v>
      </c>
      <c r="G237" s="13" t="n">
        <v>1</v>
      </c>
      <c r="H237" s="8" t="n">
        <v>7.02</v>
      </c>
      <c r="I237" s="8">
        <f>G237*H237</f>
        <v/>
      </c>
      <c r="J237" s="8">
        <f>H237/E237</f>
        <v/>
      </c>
      <c r="K237" s="8" t="n">
        <v>6.97</v>
      </c>
      <c r="L237" s="8" t="n">
        <v>6.69</v>
      </c>
      <c r="M237" s="14">
        <f>J237/K237-1</f>
        <v/>
      </c>
      <c r="N237" s="7" t="inlineStr">
        <is>
          <t>ACIMA +0.7%</t>
        </is>
      </c>
      <c r="O237" s="7" t="inlineStr"/>
    </row>
    <row r="238">
      <c r="A238" s="7" t="n">
        <v>550201</v>
      </c>
      <c r="B238" s="7" t="inlineStr">
        <is>
          <t>4713</t>
        </is>
      </c>
      <c r="C238" s="12" t="inlineStr">
        <is>
          <t>7898556850254</t>
        </is>
      </c>
      <c r="D238" s="7" t="inlineStr">
        <is>
          <t>PRES RILEX HOT 3UN</t>
        </is>
      </c>
      <c r="E238" s="13" t="n">
        <v>1</v>
      </c>
      <c r="F238" s="13" t="n">
        <v>2</v>
      </c>
      <c r="G238" s="13" t="n">
        <v>2</v>
      </c>
      <c r="H238" s="8" t="n">
        <v>5.3</v>
      </c>
      <c r="I238" s="8">
        <f>G238*H238</f>
        <v/>
      </c>
      <c r="J238" s="8">
        <f>H238/E238</f>
        <v/>
      </c>
      <c r="K238" s="8" t="n">
        <v>5.07</v>
      </c>
      <c r="L238" s="8" t="n">
        <v>4.85</v>
      </c>
      <c r="M238" s="14">
        <f>J238/K238-1</f>
        <v/>
      </c>
      <c r="N238" s="7" t="inlineStr">
        <is>
          <t>ACIMA +4.5%</t>
        </is>
      </c>
      <c r="O238" s="7" t="inlineStr"/>
    </row>
    <row r="239">
      <c r="A239" s="7" t="n">
        <v>550161</v>
      </c>
      <c r="B239" s="7" t="inlineStr">
        <is>
          <t>4711</t>
        </is>
      </c>
      <c r="C239" s="12" t="inlineStr">
        <is>
          <t>7898556850209</t>
        </is>
      </c>
      <c r="D239" s="7" t="inlineStr">
        <is>
          <t>PRES RILEX TEXTURIZADO 3UN</t>
        </is>
      </c>
      <c r="E239" s="13" t="n">
        <v>1</v>
      </c>
      <c r="F239" s="13" t="n">
        <v>1</v>
      </c>
      <c r="G239" s="13" t="n">
        <v>1</v>
      </c>
      <c r="H239" s="8" t="n">
        <v>4.73</v>
      </c>
      <c r="I239" s="8">
        <f>G239*H239</f>
        <v/>
      </c>
      <c r="J239" s="8">
        <f>H239/E239</f>
        <v/>
      </c>
      <c r="K239" s="8" t="n">
        <v>4.56</v>
      </c>
      <c r="L239" s="8" t="n">
        <v>4.55</v>
      </c>
      <c r="M239" s="14">
        <f>J239/K239-1</f>
        <v/>
      </c>
      <c r="N239" s="7" t="inlineStr">
        <is>
          <t>ACIMA +3.7%</t>
        </is>
      </c>
      <c r="O239" s="7" t="inlineStr"/>
    </row>
    <row r="240">
      <c r="A240" s="7" t="n">
        <v>584461</v>
      </c>
      <c r="B240" s="7" t="inlineStr">
        <is>
          <t>5736</t>
        </is>
      </c>
      <c r="C240" s="12" t="inlineStr">
        <is>
          <t>7898556850452</t>
        </is>
      </c>
      <c r="D240" s="7" t="inlineStr">
        <is>
          <t>PRESERVATIVO RILEX LEITE CONDENSADO 3UN</t>
        </is>
      </c>
      <c r="E240" s="13" t="n">
        <v>1</v>
      </c>
      <c r="F240" s="13" t="n">
        <v>4</v>
      </c>
      <c r="G240" s="13" t="n">
        <v>4</v>
      </c>
      <c r="H240" s="8" t="n">
        <v>2.33</v>
      </c>
      <c r="I240" s="8">
        <f>G240*H240</f>
        <v/>
      </c>
      <c r="J240" s="8">
        <f>H240/E240</f>
        <v/>
      </c>
      <c r="K240" s="8" t="n">
        <v>2.22</v>
      </c>
      <c r="L240" s="8" t="n">
        <v>2.22</v>
      </c>
      <c r="M240" s="14">
        <f>J240/K240-1</f>
        <v/>
      </c>
      <c r="N240" s="7" t="inlineStr">
        <is>
          <t>ACIMA +5.0%</t>
        </is>
      </c>
      <c r="O240" s="7" t="inlineStr"/>
    </row>
    <row r="241">
      <c r="A241" s="7" t="n">
        <v>532801</v>
      </c>
      <c r="B241" s="7" t="inlineStr">
        <is>
          <t>879</t>
        </is>
      </c>
      <c r="C241" s="12" t="inlineStr">
        <is>
          <t>7898903991487</t>
        </is>
      </c>
      <c r="D241" s="7" t="inlineStr">
        <is>
          <t>PRESERVATIVO RILEX LUBRIFICADO C/3</t>
        </is>
      </c>
      <c r="E241" s="13" t="n">
        <v>1</v>
      </c>
      <c r="F241" s="13" t="n">
        <v>3</v>
      </c>
      <c r="G241" s="13" t="n">
        <v>3</v>
      </c>
      <c r="H241" s="8" t="n">
        <v>2.17</v>
      </c>
      <c r="I241" s="8">
        <f>G241*H241</f>
        <v/>
      </c>
      <c r="J241" s="8">
        <f>H241/E241</f>
        <v/>
      </c>
      <c r="K241" s="8" t="n">
        <v>2.11</v>
      </c>
      <c r="L241" s="8" t="n">
        <v>2.09</v>
      </c>
      <c r="M241" s="14">
        <f>J241/K241-1</f>
        <v/>
      </c>
      <c r="N241" s="7" t="inlineStr">
        <is>
          <t>ACIMA +2.8%</t>
        </is>
      </c>
      <c r="O241" s="7" t="inlineStr"/>
    </row>
    <row r="242">
      <c r="A242" s="7" t="n">
        <v>532821</v>
      </c>
      <c r="B242" s="7" t="inlineStr">
        <is>
          <t>882</t>
        </is>
      </c>
      <c r="C242" s="12" t="inlineStr">
        <is>
          <t>7898903991517</t>
        </is>
      </c>
      <c r="D242" s="7" t="inlineStr">
        <is>
          <t>PRESERVATIVO RILEX MORANGO C/3</t>
        </is>
      </c>
      <c r="E242" s="13" t="n">
        <v>1</v>
      </c>
      <c r="F242" s="13" t="n">
        <v>1</v>
      </c>
      <c r="G242" s="13" t="n">
        <v>1</v>
      </c>
      <c r="H242" s="8" t="n">
        <v>2.21</v>
      </c>
      <c r="I242" s="8">
        <f>G242*H242</f>
        <v/>
      </c>
      <c r="J242" s="8">
        <f>H242/E242</f>
        <v/>
      </c>
      <c r="K242" s="8" t="n">
        <v>2.14</v>
      </c>
      <c r="L242" s="8" t="n">
        <v>2.13</v>
      </c>
      <c r="M242" s="14">
        <f>J242/K242-1</f>
        <v/>
      </c>
      <c r="N242" s="7" t="inlineStr">
        <is>
          <t>ACIMA +3.3%</t>
        </is>
      </c>
      <c r="O242" s="7" t="inlineStr"/>
    </row>
    <row r="243">
      <c r="A243" s="7" t="n">
        <v>532781</v>
      </c>
      <c r="B243" s="7" t="inlineStr">
        <is>
          <t>877</t>
        </is>
      </c>
      <c r="C243" s="12" t="inlineStr">
        <is>
          <t>7898556850193</t>
        </is>
      </c>
      <c r="D243" s="7" t="inlineStr">
        <is>
          <t>PRESERVATIVO RILEX SENSITIVE C/3</t>
        </is>
      </c>
      <c r="E243" s="13" t="n">
        <v>1</v>
      </c>
      <c r="F243" s="13" t="n">
        <v>5</v>
      </c>
      <c r="G243" s="13" t="n">
        <v>5</v>
      </c>
      <c r="H243" s="8" t="n">
        <v>4.55</v>
      </c>
      <c r="I243" s="8">
        <f>G243*H243</f>
        <v/>
      </c>
      <c r="J243" s="8">
        <f>H243/E243</f>
        <v/>
      </c>
      <c r="K243" s="8" t="n">
        <v>4.38</v>
      </c>
      <c r="L243" s="8" t="n">
        <v>4.37</v>
      </c>
      <c r="M243" s="14">
        <f>J243/K243-1</f>
        <v/>
      </c>
      <c r="N243" s="7" t="inlineStr">
        <is>
          <t>ACIMA +3.9%</t>
        </is>
      </c>
      <c r="O243" s="7" t="inlineStr"/>
    </row>
    <row r="244">
      <c r="A244" s="7" t="n">
        <v>201921</v>
      </c>
      <c r="B244" s="7" t="inlineStr">
        <is>
          <t>1567</t>
        </is>
      </c>
      <c r="C244" s="12" t="inlineStr">
        <is>
          <t>7896472500253</t>
        </is>
      </c>
      <c r="D244" s="7" t="inlineStr">
        <is>
          <t>PV - DELTALAB 0,2MG LOCAO FR 100ML</t>
        </is>
      </c>
      <c r="E244" s="13" t="n">
        <v>1</v>
      </c>
      <c r="F244" s="13" t="n">
        <v>1</v>
      </c>
      <c r="G244" s="13" t="n">
        <v>1</v>
      </c>
      <c r="H244" s="8" t="n">
        <v>6.88</v>
      </c>
      <c r="I244" s="8">
        <f>G244*H244</f>
        <v/>
      </c>
      <c r="J244" s="8">
        <f>H244/E244</f>
        <v/>
      </c>
      <c r="K244" s="8" t="n">
        <v>5.6</v>
      </c>
      <c r="L244" s="8" t="n">
        <v>5.6</v>
      </c>
      <c r="M244" s="14">
        <f>J244/K244-1</f>
        <v/>
      </c>
      <c r="N244" s="7" t="inlineStr">
        <is>
          <t>ACIMA +22.9%</t>
        </is>
      </c>
      <c r="O244" s="7" t="inlineStr"/>
    </row>
    <row r="245">
      <c r="A245" s="7" t="n">
        <v>68841</v>
      </c>
      <c r="B245" s="7" t="inlineStr">
        <is>
          <t>4578</t>
        </is>
      </c>
      <c r="C245" s="12" t="inlineStr">
        <is>
          <t>7896004765709</t>
        </is>
      </c>
      <c r="D245" s="7" t="inlineStr">
        <is>
          <t>PV - INALIDE 64MPV - CG SUS SPR NAS FR 120 ACION</t>
        </is>
      </c>
      <c r="E245" s="13" t="n">
        <v>1</v>
      </c>
      <c r="F245" s="13" t="n">
        <v>2</v>
      </c>
      <c r="G245" s="13" t="n">
        <v>2</v>
      </c>
      <c r="H245" s="8" t="n">
        <v>20.33</v>
      </c>
      <c r="I245" s="8">
        <f>G245*H245</f>
        <v/>
      </c>
      <c r="J245" s="8">
        <f>H245/E245</f>
        <v/>
      </c>
      <c r="K245" s="8" t="n">
        <v>23.98</v>
      </c>
      <c r="L245" s="8" t="n">
        <v>23.98</v>
      </c>
      <c r="M245" s="14">
        <f>J245/K245-1</f>
        <v/>
      </c>
      <c r="N245" s="7" t="inlineStr">
        <is>
          <t>OK (≤ menor hist.)</t>
        </is>
      </c>
      <c r="O245" s="7" t="inlineStr"/>
    </row>
    <row r="246">
      <c r="A246" s="7" t="n">
        <v>660341</v>
      </c>
      <c r="B246" s="7" t="inlineStr">
        <is>
          <t>10727</t>
        </is>
      </c>
      <c r="C246" s="12" t="inlineStr">
        <is>
          <t>7891058005658</t>
        </is>
      </c>
      <c r="D246" s="7" t="inlineStr">
        <is>
          <t>PV - PREDNISONA 5MG CX 20 COMP</t>
        </is>
      </c>
      <c r="E246" s="13" t="n">
        <v>1</v>
      </c>
      <c r="F246" s="13" t="n">
        <v>13</v>
      </c>
      <c r="G246" s="13" t="n">
        <v>13</v>
      </c>
      <c r="H246" s="8" t="n">
        <v>4.14</v>
      </c>
      <c r="I246" s="8">
        <f>G246*H246</f>
        <v/>
      </c>
      <c r="J246" s="8">
        <f>H246/E246</f>
        <v/>
      </c>
      <c r="K246" s="8" t="n">
        <v>3.468</v>
      </c>
      <c r="L246" s="8" t="n">
        <v>2.967</v>
      </c>
      <c r="M246" s="14">
        <f>J246/K246-1</f>
        <v/>
      </c>
      <c r="N246" s="7" t="inlineStr">
        <is>
          <t>ACIMA +19.4%</t>
        </is>
      </c>
      <c r="O246" s="7" t="inlineStr"/>
    </row>
    <row r="247">
      <c r="A247" s="7" t="n">
        <v>1353</v>
      </c>
      <c r="B247" s="7" t="inlineStr">
        <is>
          <t>8774</t>
        </is>
      </c>
      <c r="C247" s="12" t="inlineStr">
        <is>
          <t>7898714761477</t>
        </is>
      </c>
      <c r="D247" s="7" t="inlineStr">
        <is>
          <t>PV K2+D3 CAPS REV X 30</t>
        </is>
      </c>
      <c r="E247" s="13" t="n">
        <v>1</v>
      </c>
      <c r="F247" s="13" t="n">
        <v>1</v>
      </c>
      <c r="G247" s="13" t="n">
        <v>1</v>
      </c>
      <c r="H247" s="8" t="n">
        <v>20.61</v>
      </c>
      <c r="I247" s="8">
        <f>G247*H247</f>
        <v/>
      </c>
      <c r="J247" s="8">
        <f>H247/E247</f>
        <v/>
      </c>
      <c r="K247" s="8" t="n">
        <v>41.8867</v>
      </c>
      <c r="L247" s="8" t="n">
        <v>41.8867</v>
      </c>
      <c r="M247" s="14">
        <f>J247/K247-1</f>
        <v/>
      </c>
      <c r="N247" s="7" t="inlineStr">
        <is>
          <t>OK (≤ menor hist.)</t>
        </is>
      </c>
      <c r="O247" s="7" t="inlineStr">
        <is>
          <t>conferir emb.</t>
        </is>
      </c>
    </row>
    <row r="248">
      <c r="A248" s="7" t="n">
        <v>622411</v>
      </c>
      <c r="B248" s="7" t="inlineStr">
        <is>
          <t>7803</t>
        </is>
      </c>
      <c r="C248" s="12" t="inlineStr">
        <is>
          <t>7898582291854</t>
        </is>
      </c>
      <c r="D248" s="7" t="inlineStr">
        <is>
          <t>QUEIMADOL POMADA 30G</t>
        </is>
      </c>
      <c r="E248" s="13" t="n">
        <v>1</v>
      </c>
      <c r="F248" s="13" t="n">
        <v>3</v>
      </c>
      <c r="G248" s="13" t="n">
        <v>3</v>
      </c>
      <c r="H248" s="8" t="n">
        <v>12.34</v>
      </c>
      <c r="I248" s="8">
        <f>G248*H248</f>
        <v/>
      </c>
      <c r="J248" s="8">
        <f>H248/E248</f>
        <v/>
      </c>
      <c r="K248" s="8" t="n">
        <v>11.52</v>
      </c>
      <c r="L248" s="8" t="n">
        <v>11.52</v>
      </c>
      <c r="M248" s="14">
        <f>J248/K248-1</f>
        <v/>
      </c>
      <c r="N248" s="7" t="inlineStr">
        <is>
          <t>ACIMA +7.1%</t>
        </is>
      </c>
      <c r="O248" s="7" t="inlineStr"/>
    </row>
    <row r="249">
      <c r="A249" s="7" t="n">
        <v>5603</v>
      </c>
      <c r="B249" s="7" t="inlineStr">
        <is>
          <t>9721</t>
        </is>
      </c>
      <c r="C249" s="12" t="inlineStr">
        <is>
          <t>7898767761684</t>
        </is>
      </c>
      <c r="D249" s="7" t="inlineStr">
        <is>
          <t>REHIDRAX PO C/04 ENVE AGUA DE COCO</t>
        </is>
      </c>
      <c r="E249" s="13" t="n">
        <v>1</v>
      </c>
      <c r="F249" s="13" t="n">
        <v>1</v>
      </c>
      <c r="G249" s="13" t="n">
        <v>1</v>
      </c>
      <c r="H249" s="8" t="n">
        <v>8.76</v>
      </c>
      <c r="I249" s="8">
        <f>G249*H249</f>
        <v/>
      </c>
      <c r="J249" s="8">
        <f>H249/E249</f>
        <v/>
      </c>
      <c r="K249" s="8" t="n">
        <v>8.07</v>
      </c>
      <c r="L249" s="8" t="n">
        <v>8.07</v>
      </c>
      <c r="M249" s="14">
        <f>J249/K249-1</f>
        <v/>
      </c>
      <c r="N249" s="7" t="inlineStr">
        <is>
          <t>ACIMA +8.6%</t>
        </is>
      </c>
      <c r="O249" s="7" t="inlineStr"/>
    </row>
    <row r="250">
      <c r="A250" s="7" t="n">
        <v>5903</v>
      </c>
      <c r="B250" s="7" t="inlineStr">
        <is>
          <t>9719</t>
        </is>
      </c>
      <c r="C250" s="12" t="inlineStr">
        <is>
          <t>7898767761707</t>
        </is>
      </c>
      <c r="D250" s="7" t="inlineStr">
        <is>
          <t>REHIDRAX PO C/04 ENVE LARANJA</t>
        </is>
      </c>
      <c r="E250" s="13" t="n">
        <v>1</v>
      </c>
      <c r="F250" s="13" t="n">
        <v>1</v>
      </c>
      <c r="G250" s="13" t="n">
        <v>1</v>
      </c>
      <c r="H250" s="8" t="n">
        <v>8.76</v>
      </c>
      <c r="I250" s="8">
        <f>G250*H250</f>
        <v/>
      </c>
      <c r="J250" s="8">
        <f>H250/E250</f>
        <v/>
      </c>
      <c r="K250" s="8" t="n">
        <v>8.07</v>
      </c>
      <c r="L250" s="8" t="n">
        <v>8.07</v>
      </c>
      <c r="M250" s="14">
        <f>J250/K250-1</f>
        <v/>
      </c>
      <c r="N250" s="7" t="inlineStr">
        <is>
          <t>ACIMA +8.6%</t>
        </is>
      </c>
      <c r="O250" s="7" t="inlineStr"/>
    </row>
    <row r="251">
      <c r="A251" s="7" t="n">
        <v>4701</v>
      </c>
      <c r="B251" s="7" t="inlineStr">
        <is>
          <t>1702</t>
        </is>
      </c>
      <c r="C251" s="12" t="inlineStr">
        <is>
          <t>7896004703954</t>
        </is>
      </c>
      <c r="D251" s="7" t="inlineStr">
        <is>
          <t>REPOPIL 35 2+0,035MG CX 21 COMP REV</t>
        </is>
      </c>
      <c r="E251" s="13" t="n">
        <v>1</v>
      </c>
      <c r="F251" s="13" t="n">
        <v>8</v>
      </c>
      <c r="G251" s="13" t="n">
        <v>8</v>
      </c>
      <c r="H251" s="8" t="n">
        <v>9.41</v>
      </c>
      <c r="I251" s="8">
        <f>G251*H251</f>
        <v/>
      </c>
      <c r="J251" s="8">
        <f>H251/E251</f>
        <v/>
      </c>
      <c r="K251" s="8" t="n">
        <v>8.869999999999999</v>
      </c>
      <c r="L251" s="8" t="n">
        <v>8.869999999999999</v>
      </c>
      <c r="M251" s="14">
        <f>J251/K251-1</f>
        <v/>
      </c>
      <c r="N251" s="7" t="inlineStr">
        <is>
          <t>ACIMA +6.1%</t>
        </is>
      </c>
      <c r="O251" s="7" t="inlineStr"/>
    </row>
    <row r="252">
      <c r="A252" s="7" t="n">
        <v>419001</v>
      </c>
      <c r="B252" s="7" t="inlineStr">
        <is>
          <t>4865</t>
        </is>
      </c>
      <c r="C252" s="12" t="inlineStr">
        <is>
          <t>7898569763916</t>
        </is>
      </c>
      <c r="D252" s="7" t="inlineStr">
        <is>
          <t>RISEDRONATO SODICO 150MG CX 1 COMP REV</t>
        </is>
      </c>
      <c r="E252" s="13" t="n">
        <v>1</v>
      </c>
      <c r="F252" s="13" t="n">
        <v>1</v>
      </c>
      <c r="G252" s="13" t="n">
        <v>1</v>
      </c>
      <c r="H252" s="8" t="n">
        <v>9.99</v>
      </c>
      <c r="I252" s="8">
        <f>G252*H252</f>
        <v/>
      </c>
      <c r="J252" s="8">
        <f>H252/E252</f>
        <v/>
      </c>
      <c r="K252" s="8" t="n">
        <v>18.43</v>
      </c>
      <c r="L252" s="8" t="n">
        <v>13.5</v>
      </c>
      <c r="M252" s="14">
        <f>J252/K252-1</f>
        <v/>
      </c>
      <c r="N252" s="7" t="inlineStr">
        <is>
          <t>OK (≤ menor hist.)</t>
        </is>
      </c>
      <c r="O252" s="7" t="inlineStr"/>
    </row>
    <row r="253">
      <c r="A253" s="7" t="n">
        <v>667251</v>
      </c>
      <c r="B253" s="7" t="inlineStr">
        <is>
          <t>8084</t>
        </is>
      </c>
      <c r="C253" s="12" t="inlineStr">
        <is>
          <t>7898216366088</t>
        </is>
      </c>
      <c r="D253" s="7" t="inlineStr">
        <is>
          <t>ROSUVASTATINA CALCICA 5MG CX 30 COMP REV</t>
        </is>
      </c>
      <c r="E253" s="13" t="n">
        <v>1</v>
      </c>
      <c r="F253" s="13" t="n">
        <v>2</v>
      </c>
      <c r="G253" s="13" t="n">
        <v>2</v>
      </c>
      <c r="H253" s="8" t="n">
        <v>6.13</v>
      </c>
      <c r="I253" s="8">
        <f>G253*H253</f>
        <v/>
      </c>
      <c r="J253" s="8">
        <f>H253/E253</f>
        <v/>
      </c>
      <c r="K253" s="8" t="n">
        <v>5.9</v>
      </c>
      <c r="L253" s="8" t="n">
        <v>5.9</v>
      </c>
      <c r="M253" s="14">
        <f>J253/K253-1</f>
        <v/>
      </c>
      <c r="N253" s="7" t="inlineStr">
        <is>
          <t>ACIMA +3.9%</t>
        </is>
      </c>
      <c r="O253" s="7" t="inlineStr"/>
    </row>
    <row r="254">
      <c r="A254" s="7" t="n">
        <v>234</v>
      </c>
      <c r="B254" s="7" t="inlineStr">
        <is>
          <t>528</t>
        </is>
      </c>
      <c r="C254" s="12" t="inlineStr">
        <is>
          <t>7898277711421</t>
        </is>
      </c>
      <c r="D254" s="7" t="inlineStr">
        <is>
          <t>SAB DE COCO BARRA 100G</t>
        </is>
      </c>
      <c r="E254" s="13" t="n">
        <v>1</v>
      </c>
      <c r="F254" s="13" t="n">
        <v>1</v>
      </c>
      <c r="G254" s="13" t="n">
        <v>1</v>
      </c>
      <c r="H254" s="8" t="n">
        <v>5.74</v>
      </c>
      <c r="I254" s="8">
        <f>G254*H254</f>
        <v/>
      </c>
      <c r="J254" s="8">
        <f>H254/E254</f>
        <v/>
      </c>
      <c r="K254" s="8" t="n"/>
      <c r="L254" s="8" t="n"/>
      <c r="M254" s="14" t="n"/>
      <c r="N254" s="7" t="inlineStr">
        <is>
          <t>SEM HISTÓRICO</t>
        </is>
      </c>
      <c r="O254" s="7" t="inlineStr"/>
    </row>
    <row r="255">
      <c r="A255" s="7" t="n">
        <v>674361</v>
      </c>
      <c r="B255" s="7" t="inlineStr">
        <is>
          <t>7213</t>
        </is>
      </c>
      <c r="C255" s="12" t="inlineStr">
        <is>
          <t>7898936049049</t>
        </is>
      </c>
      <c r="D255" s="7" t="inlineStr">
        <is>
          <t>SABONETE INTIMO 17 ERVAS 210ML</t>
        </is>
      </c>
      <c r="E255" s="13" t="n">
        <v>1</v>
      </c>
      <c r="F255" s="13" t="n">
        <v>7</v>
      </c>
      <c r="G255" s="13" t="n">
        <v>7</v>
      </c>
      <c r="H255" s="8" t="n">
        <v>3.33</v>
      </c>
      <c r="I255" s="8">
        <f>G255*H255</f>
        <v/>
      </c>
      <c r="J255" s="8">
        <f>H255/E255</f>
        <v/>
      </c>
      <c r="K255" s="8" t="n">
        <v>3.35</v>
      </c>
      <c r="L255" s="8" t="n">
        <v>3.35</v>
      </c>
      <c r="M255" s="14">
        <f>J255/K255-1</f>
        <v/>
      </c>
      <c r="N255" s="7" t="inlineStr">
        <is>
          <t>OK (≤ menor hist.)</t>
        </is>
      </c>
      <c r="O255" s="7" t="inlineStr"/>
    </row>
    <row r="256">
      <c r="A256" s="7" t="n">
        <v>1503</v>
      </c>
      <c r="B256" s="7" t="inlineStr">
        <is>
          <t>7206</t>
        </is>
      </c>
      <c r="C256" s="12" t="inlineStr">
        <is>
          <t>7898936049735</t>
        </is>
      </c>
      <c r="D256" s="7" t="inlineStr">
        <is>
          <t>SABONETE INTIMO BARBATIMAO AROEIRA 210ML</t>
        </is>
      </c>
      <c r="E256" s="13" t="n">
        <v>1</v>
      </c>
      <c r="F256" s="13" t="n">
        <v>3</v>
      </c>
      <c r="G256" s="13" t="n">
        <v>3</v>
      </c>
      <c r="H256" s="8" t="n">
        <v>3.36</v>
      </c>
      <c r="I256" s="8">
        <f>G256*H256</f>
        <v/>
      </c>
      <c r="J256" s="8">
        <f>H256/E256</f>
        <v/>
      </c>
      <c r="K256" s="8" t="n">
        <v>3.38</v>
      </c>
      <c r="L256" s="8" t="n">
        <v>3.38</v>
      </c>
      <c r="M256" s="14">
        <f>J256/K256-1</f>
        <v/>
      </c>
      <c r="N256" s="7" t="inlineStr">
        <is>
          <t>OK (≤ menor hist.)</t>
        </is>
      </c>
      <c r="O256" s="7" t="inlineStr"/>
    </row>
    <row r="257">
      <c r="A257" s="7" t="n">
        <v>531721</v>
      </c>
      <c r="B257" s="7" t="inlineStr">
        <is>
          <t>157</t>
        </is>
      </c>
      <c r="C257" s="12" t="inlineStr">
        <is>
          <t>7898031311324</t>
        </is>
      </c>
      <c r="D257" s="7" t="inlineStr">
        <is>
          <t>SAL AMARGO 30G</t>
        </is>
      </c>
      <c r="E257" s="13" t="n">
        <v>1</v>
      </c>
      <c r="F257" s="13" t="n">
        <v>5</v>
      </c>
      <c r="G257" s="13" t="n">
        <v>5</v>
      </c>
      <c r="H257" s="8" t="n">
        <v>2.36</v>
      </c>
      <c r="I257" s="8">
        <f>G257*H257</f>
        <v/>
      </c>
      <c r="J257" s="8">
        <f>H257/E257</f>
        <v/>
      </c>
      <c r="K257" s="8" t="n">
        <v>2.49</v>
      </c>
      <c r="L257" s="8" t="n">
        <v>2.23</v>
      </c>
      <c r="M257" s="14">
        <f>J257/K257-1</f>
        <v/>
      </c>
      <c r="N257" s="7" t="inlineStr">
        <is>
          <t>OK (≤ últ. compra)</t>
        </is>
      </c>
      <c r="O257" s="7" t="inlineStr"/>
    </row>
    <row r="258">
      <c r="A258" s="7" t="n">
        <v>431481</v>
      </c>
      <c r="B258" s="7" t="inlineStr">
        <is>
          <t>1502</t>
        </is>
      </c>
      <c r="C258" s="12" t="inlineStr">
        <is>
          <t>7899620911857</t>
        </is>
      </c>
      <c r="D258" s="7" t="inlineStr">
        <is>
          <t>SECNIDAZOL 1000MG CX 2 COMP</t>
        </is>
      </c>
      <c r="E258" s="13" t="n">
        <v>1</v>
      </c>
      <c r="F258" s="13" t="n">
        <v>54</v>
      </c>
      <c r="G258" s="13" t="n">
        <v>54</v>
      </c>
      <c r="H258" s="8" t="n">
        <v>2.67</v>
      </c>
      <c r="I258" s="8">
        <f>G258*H258</f>
        <v/>
      </c>
      <c r="J258" s="8">
        <f>H258/E258</f>
        <v/>
      </c>
      <c r="K258" s="8" t="n">
        <v>2.65</v>
      </c>
      <c r="L258" s="8" t="n">
        <v>2.16</v>
      </c>
      <c r="M258" s="14">
        <f>J258/K258-1</f>
        <v/>
      </c>
      <c r="N258" s="7" t="inlineStr">
        <is>
          <t>ACIMA +0.8%</t>
        </is>
      </c>
      <c r="O258" s="7" t="inlineStr"/>
    </row>
    <row r="259">
      <c r="A259" s="7" t="n">
        <v>432121</v>
      </c>
      <c r="B259" s="7" t="inlineStr">
        <is>
          <t>253</t>
        </is>
      </c>
      <c r="C259" s="12" t="inlineStr">
        <is>
          <t>7898060138220</t>
        </is>
      </c>
      <c r="D259" s="7" t="inlineStr">
        <is>
          <t>SECNIMAX 1000MG CX 2 COMP</t>
        </is>
      </c>
      <c r="E259" s="13" t="n">
        <v>1</v>
      </c>
      <c r="F259" s="13" t="n">
        <v>134</v>
      </c>
      <c r="G259" s="13" t="n">
        <v>134</v>
      </c>
      <c r="H259" s="8" t="n">
        <v>2.61</v>
      </c>
      <c r="I259" s="8">
        <f>G259*H259</f>
        <v/>
      </c>
      <c r="J259" s="8">
        <f>H259/E259</f>
        <v/>
      </c>
      <c r="K259" s="8" t="n">
        <v>2.49</v>
      </c>
      <c r="L259" s="8" t="n">
        <v>2.39</v>
      </c>
      <c r="M259" s="14">
        <f>J259/K259-1</f>
        <v/>
      </c>
      <c r="N259" s="7" t="inlineStr">
        <is>
          <t>ACIMA +4.8%</t>
        </is>
      </c>
      <c r="O259" s="7" t="inlineStr"/>
    </row>
    <row r="260">
      <c r="A260" s="7" t="n">
        <v>671301</v>
      </c>
      <c r="B260" s="7" t="inlineStr">
        <is>
          <t>8808</t>
        </is>
      </c>
      <c r="C260" s="12" t="inlineStr">
        <is>
          <t>7898652375736</t>
        </is>
      </c>
      <c r="D260" s="7" t="inlineStr">
        <is>
          <t>SERINGA 20ML LL AGULHA 0,7X25</t>
        </is>
      </c>
      <c r="E260" s="13" t="n">
        <v>1</v>
      </c>
      <c r="F260" s="13" t="n">
        <v>24</v>
      </c>
      <c r="G260" s="13" t="n">
        <v>24</v>
      </c>
      <c r="H260" s="8" t="n">
        <v>0.89</v>
      </c>
      <c r="I260" s="8">
        <f>G260*H260</f>
        <v/>
      </c>
      <c r="J260" s="8">
        <f>H260/E260</f>
        <v/>
      </c>
      <c r="K260" s="8" t="n">
        <v>0.59</v>
      </c>
      <c r="L260" s="8" t="n">
        <v>0.59</v>
      </c>
      <c r="M260" s="14">
        <f>J260/K260-1</f>
        <v/>
      </c>
      <c r="N260" s="7" t="inlineStr">
        <is>
          <t>ACIMA +50.8%</t>
        </is>
      </c>
      <c r="O260" s="7" t="inlineStr"/>
    </row>
    <row r="261">
      <c r="A261" s="7" t="n">
        <v>639041</v>
      </c>
      <c r="B261" s="7" t="inlineStr">
        <is>
          <t>7222</t>
        </is>
      </c>
      <c r="C261" s="12" t="inlineStr">
        <is>
          <t>7898259496001</t>
        </is>
      </c>
      <c r="D261" s="7" t="inlineStr">
        <is>
          <t>SERINGA 20ML LL AGULHA 0,7X25</t>
        </is>
      </c>
      <c r="E261" s="13" t="n">
        <v>1</v>
      </c>
      <c r="F261" s="13" t="n">
        <v>76</v>
      </c>
      <c r="G261" s="13" t="n">
        <v>76</v>
      </c>
      <c r="H261" s="8" t="n">
        <v>0.57</v>
      </c>
      <c r="I261" s="8">
        <f>G261*H261</f>
        <v/>
      </c>
      <c r="J261" s="8">
        <f>H261/E261</f>
        <v/>
      </c>
      <c r="K261" s="8" t="n">
        <v>0.64</v>
      </c>
      <c r="L261" s="8" t="n">
        <v>0.64</v>
      </c>
      <c r="M261" s="14">
        <f>J261/K261-1</f>
        <v/>
      </c>
      <c r="N261" s="7" t="inlineStr">
        <is>
          <t>OK (≤ menor hist.)</t>
        </is>
      </c>
      <c r="O261" s="7" t="inlineStr"/>
    </row>
    <row r="262">
      <c r="A262" s="7" t="n">
        <v>538261</v>
      </c>
      <c r="B262" s="7" t="inlineStr">
        <is>
          <t>5157</t>
        </is>
      </c>
      <c r="C262" s="12" t="inlineStr">
        <is>
          <t>7894164005611</t>
        </is>
      </c>
      <c r="D262" s="7" t="inlineStr">
        <is>
          <t>SILUSGEL SUS 100ML</t>
        </is>
      </c>
      <c r="E262" s="13" t="n">
        <v>1</v>
      </c>
      <c r="F262" s="13" t="n">
        <v>4</v>
      </c>
      <c r="G262" s="13" t="n">
        <v>4</v>
      </c>
      <c r="H262" s="8" t="n">
        <v>7.98</v>
      </c>
      <c r="I262" s="8">
        <f>G262*H262</f>
        <v/>
      </c>
      <c r="J262" s="8">
        <f>H262/E262</f>
        <v/>
      </c>
      <c r="K262" s="8" t="n">
        <v>7.68</v>
      </c>
      <c r="L262" s="8" t="n">
        <v>7.63</v>
      </c>
      <c r="M262" s="14">
        <f>J262/K262-1</f>
        <v/>
      </c>
      <c r="N262" s="7" t="inlineStr">
        <is>
          <t>ACIMA +3.9%</t>
        </is>
      </c>
      <c r="O262" s="7" t="inlineStr"/>
    </row>
    <row r="263">
      <c r="A263" s="7" t="n">
        <v>619851</v>
      </c>
      <c r="B263" s="7" t="inlineStr">
        <is>
          <t>3550</t>
        </is>
      </c>
      <c r="C263" s="12" t="inlineStr">
        <is>
          <t>7899620912441</t>
        </is>
      </c>
      <c r="D263" s="7" t="inlineStr">
        <is>
          <t>SIMETICONA (N.S.) 40MG CX 20 COMP</t>
        </is>
      </c>
      <c r="E263" s="13" t="n">
        <v>1</v>
      </c>
      <c r="F263" s="13" t="n">
        <v>16</v>
      </c>
      <c r="G263" s="13" t="n">
        <v>16</v>
      </c>
      <c r="H263" s="8" t="n">
        <v>2.97</v>
      </c>
      <c r="I263" s="8">
        <f>G263*H263</f>
        <v/>
      </c>
      <c r="J263" s="8">
        <f>H263/E263</f>
        <v/>
      </c>
      <c r="K263" s="8" t="n">
        <v>2.97</v>
      </c>
      <c r="L263" s="8" t="n">
        <v>2.97</v>
      </c>
      <c r="M263" s="14">
        <f>J263/K263-1</f>
        <v/>
      </c>
      <c r="N263" s="7" t="inlineStr">
        <is>
          <t>OK (≤ menor hist.)</t>
        </is>
      </c>
      <c r="O263" s="7" t="inlineStr"/>
    </row>
    <row r="264">
      <c r="A264" s="7" t="n">
        <v>436201</v>
      </c>
      <c r="B264" s="7" t="inlineStr">
        <is>
          <t>3671</t>
        </is>
      </c>
      <c r="C264" s="12" t="inlineStr">
        <is>
          <t>7899620911079</t>
        </is>
      </c>
      <c r="D264" s="7" t="inlineStr">
        <is>
          <t>SINVASTATINA 40MG CX 30 COMP REV</t>
        </is>
      </c>
      <c r="E264" s="13" t="n">
        <v>1</v>
      </c>
      <c r="F264" s="13" t="n">
        <v>3</v>
      </c>
      <c r="G264" s="13" t="n">
        <v>3</v>
      </c>
      <c r="H264" s="8" t="n">
        <v>6.13</v>
      </c>
      <c r="I264" s="8">
        <f>G264*H264</f>
        <v/>
      </c>
      <c r="J264" s="8">
        <f>H264/E264</f>
        <v/>
      </c>
      <c r="K264" s="8" t="n">
        <v>5.79</v>
      </c>
      <c r="L264" s="8" t="n">
        <v>5.79</v>
      </c>
      <c r="M264" s="14">
        <f>J264/K264-1</f>
        <v/>
      </c>
      <c r="N264" s="7" t="inlineStr">
        <is>
          <t>ACIMA +5.9%</t>
        </is>
      </c>
      <c r="O264" s="7" t="inlineStr"/>
    </row>
    <row r="265">
      <c r="A265" s="7" t="n">
        <v>588661</v>
      </c>
      <c r="B265" s="7" t="inlineStr">
        <is>
          <t>7576</t>
        </is>
      </c>
      <c r="C265" s="12" t="inlineStr">
        <is>
          <t>7898031310594</t>
        </is>
      </c>
      <c r="D265" s="7" t="inlineStr">
        <is>
          <t>SOLUCAO FISIOLOGICA 0,9% 250ML UN</t>
        </is>
      </c>
      <c r="E265" s="13" t="n">
        <v>1</v>
      </c>
      <c r="F265" s="13" t="n">
        <v>4</v>
      </c>
      <c r="G265" s="13" t="n">
        <v>4</v>
      </c>
      <c r="H265" s="8" t="n">
        <v>3.585</v>
      </c>
      <c r="I265" s="8">
        <f>G265*H265</f>
        <v/>
      </c>
      <c r="J265" s="8">
        <f>H265/E265</f>
        <v/>
      </c>
      <c r="K265" s="8" t="n">
        <v>3.09</v>
      </c>
      <c r="L265" s="8" t="n">
        <v>3.09</v>
      </c>
      <c r="M265" s="14">
        <f>J265/K265-1</f>
        <v/>
      </c>
      <c r="N265" s="7" t="inlineStr">
        <is>
          <t>ACIMA +16.0%</t>
        </is>
      </c>
      <c r="O265" s="7" t="inlineStr"/>
    </row>
    <row r="266">
      <c r="A266" s="7" t="n">
        <v>614021</v>
      </c>
      <c r="B266" s="7" t="inlineStr">
        <is>
          <t>8240</t>
        </is>
      </c>
      <c r="C266" s="12" t="inlineStr">
        <is>
          <t>7897732608146</t>
        </is>
      </c>
      <c r="D266" s="7" t="inlineStr">
        <is>
          <t>SORALYT 450ML SABOR MORANGO</t>
        </is>
      </c>
      <c r="E266" s="13" t="n">
        <v>1</v>
      </c>
      <c r="F266" s="13" t="n">
        <v>7</v>
      </c>
      <c r="G266" s="13" t="n">
        <v>7</v>
      </c>
      <c r="H266" s="8" t="n">
        <v>6.67</v>
      </c>
      <c r="I266" s="8">
        <f>G266*H266</f>
        <v/>
      </c>
      <c r="J266" s="8">
        <f>H266/E266</f>
        <v/>
      </c>
      <c r="K266" s="8" t="n">
        <v>6.55</v>
      </c>
      <c r="L266" s="8" t="n">
        <v>6.55</v>
      </c>
      <c r="M266" s="14">
        <f>J266/K266-1</f>
        <v/>
      </c>
      <c r="N266" s="7" t="inlineStr">
        <is>
          <t>ACIMA +1.8%</t>
        </is>
      </c>
      <c r="O266" s="7" t="inlineStr"/>
    </row>
    <row r="267">
      <c r="A267" s="7" t="n">
        <v>531861</v>
      </c>
      <c r="B267" s="7" t="inlineStr">
        <is>
          <t>809</t>
        </is>
      </c>
      <c r="C267" s="12" t="inlineStr">
        <is>
          <t>7898031310389</t>
        </is>
      </c>
      <c r="D267" s="7" t="inlineStr">
        <is>
          <t>SORO FISIOLOGICO 9% 100ML</t>
        </is>
      </c>
      <c r="E267" s="13" t="n">
        <v>1</v>
      </c>
      <c r="F267" s="13" t="n">
        <v>103</v>
      </c>
      <c r="G267" s="13" t="n">
        <v>103</v>
      </c>
      <c r="H267" s="8" t="n">
        <v>2.28</v>
      </c>
      <c r="I267" s="8">
        <f>G267*H267</f>
        <v/>
      </c>
      <c r="J267" s="8">
        <f>H267/E267</f>
        <v/>
      </c>
      <c r="K267" s="8" t="n">
        <v>2.27</v>
      </c>
      <c r="L267" s="8" t="n">
        <v>2.0228</v>
      </c>
      <c r="M267" s="14">
        <f>J267/K267-1</f>
        <v/>
      </c>
      <c r="N267" s="7" t="inlineStr">
        <is>
          <t>ACIMA +0.4%</t>
        </is>
      </c>
      <c r="O267" s="7" t="inlineStr"/>
    </row>
    <row r="268">
      <c r="A268" s="7" t="n">
        <v>616441</v>
      </c>
      <c r="B268" s="7" t="inlineStr">
        <is>
          <t>10045</t>
        </is>
      </c>
      <c r="C268" s="12" t="inlineStr">
        <is>
          <t>7896523201542</t>
        </is>
      </c>
      <c r="D268" s="7" t="inlineStr">
        <is>
          <t>SUCCINATO METOPROLOL 100MG CX 30 COMP REV</t>
        </is>
      </c>
      <c r="E268" s="13" t="n">
        <v>1</v>
      </c>
      <c r="F268" s="13" t="n">
        <v>1</v>
      </c>
      <c r="G268" s="13" t="n">
        <v>1</v>
      </c>
      <c r="H268" s="8" t="n">
        <v>0.01</v>
      </c>
      <c r="I268" s="8">
        <f>G268*H268</f>
        <v/>
      </c>
      <c r="J268" s="8">
        <f>H268/E268</f>
        <v/>
      </c>
      <c r="K268" s="8" t="n">
        <v>18.99</v>
      </c>
      <c r="L268" s="8" t="n">
        <v>17.03</v>
      </c>
      <c r="M268" s="14">
        <f>J268/K268-1</f>
        <v/>
      </c>
      <c r="N268" s="7" t="inlineStr">
        <is>
          <t>OK (≤ menor hist.)</t>
        </is>
      </c>
      <c r="O268" s="7" t="inlineStr">
        <is>
          <t>conferir emb.</t>
        </is>
      </c>
    </row>
    <row r="269">
      <c r="A269" s="7" t="n">
        <v>691001</v>
      </c>
      <c r="B269" s="7" t="inlineStr">
        <is>
          <t>8698</t>
        </is>
      </c>
      <c r="C269" s="12" t="inlineStr">
        <is>
          <t>7898575780792</t>
        </is>
      </c>
      <c r="D269" s="7" t="inlineStr">
        <is>
          <t>SULFATO FERROSO 125MG 120ML SUS..</t>
        </is>
      </c>
      <c r="E269" s="13" t="n">
        <v>1</v>
      </c>
      <c r="F269" s="13" t="n">
        <v>9</v>
      </c>
      <c r="G269" s="13" t="n">
        <v>9</v>
      </c>
      <c r="H269" s="8" t="n">
        <v>4.04</v>
      </c>
      <c r="I269" s="8">
        <f>G269*H269</f>
        <v/>
      </c>
      <c r="J269" s="8">
        <f>H269/E269</f>
        <v/>
      </c>
      <c r="K269" s="8" t="n">
        <v>4.04</v>
      </c>
      <c r="L269" s="8" t="n">
        <v>4.04</v>
      </c>
      <c r="M269" s="14">
        <f>J269/K269-1</f>
        <v/>
      </c>
      <c r="N269" s="7" t="inlineStr">
        <is>
          <t>OK (≤ menor hist.)</t>
        </is>
      </c>
      <c r="O269" s="7" t="inlineStr"/>
    </row>
    <row r="270">
      <c r="A270" s="7" t="n">
        <v>3593</v>
      </c>
      <c r="B270" s="7" t="inlineStr">
        <is>
          <t>8743</t>
        </is>
      </c>
      <c r="C270" s="12" t="inlineStr">
        <is>
          <t>7898575780808</t>
        </is>
      </c>
      <c r="D270" s="7" t="inlineStr">
        <is>
          <t>SULFATO FERROSO 125MG 30ML GTS</t>
        </is>
      </c>
      <c r="E270" s="13" t="n">
        <v>1</v>
      </c>
      <c r="F270" s="13" t="n">
        <v>3</v>
      </c>
      <c r="G270" s="13" t="n">
        <v>3</v>
      </c>
      <c r="H270" s="8" t="n">
        <v>2.69</v>
      </c>
      <c r="I270" s="8">
        <f>G270*H270</f>
        <v/>
      </c>
      <c r="J270" s="8">
        <f>H270/E270</f>
        <v/>
      </c>
      <c r="K270" s="8" t="n">
        <v>2.69</v>
      </c>
      <c r="L270" s="8" t="n">
        <v>2.69</v>
      </c>
      <c r="M270" s="14">
        <f>J270/K270-1</f>
        <v/>
      </c>
      <c r="N270" s="7" t="inlineStr">
        <is>
          <t>OK (≤ menor hist.)</t>
        </is>
      </c>
      <c r="O270" s="7" t="inlineStr"/>
    </row>
    <row r="271">
      <c r="A271" s="7" t="n">
        <v>548381</v>
      </c>
      <c r="B271" s="7" t="inlineStr">
        <is>
          <t>1422</t>
        </is>
      </c>
      <c r="C271" s="12" t="inlineStr">
        <is>
          <t>7897146600255</t>
        </is>
      </c>
      <c r="D271" s="7" t="inlineStr">
        <is>
          <t>SULFATO FERROSO 200MG C/50 CPR</t>
        </is>
      </c>
      <c r="E271" s="13" t="n">
        <v>1</v>
      </c>
      <c r="F271" s="13" t="n">
        <v>7</v>
      </c>
      <c r="G271" s="13" t="n">
        <v>7</v>
      </c>
      <c r="H271" s="8" t="n">
        <v>4.37</v>
      </c>
      <c r="I271" s="8">
        <f>G271*H271</f>
        <v/>
      </c>
      <c r="J271" s="8">
        <f>H271/E271</f>
        <v/>
      </c>
      <c r="K271" s="8" t="n">
        <v>4.37</v>
      </c>
      <c r="L271" s="8" t="n">
        <v>4.37</v>
      </c>
      <c r="M271" s="14">
        <f>J271/K271-1</f>
        <v/>
      </c>
      <c r="N271" s="7" t="inlineStr">
        <is>
          <t>OK (≤ menor hist.)</t>
        </is>
      </c>
      <c r="O271" s="7" t="inlineStr"/>
    </row>
    <row r="272">
      <c r="A272" s="7" t="n">
        <v>612291</v>
      </c>
      <c r="B272" s="7" t="inlineStr">
        <is>
          <t>4795</t>
        </is>
      </c>
      <c r="C272" s="12" t="inlineStr">
        <is>
          <t>7894164005802</t>
        </is>
      </c>
      <c r="D272" s="7" t="inlineStr">
        <is>
          <t>SULFERMAX GTS 30ML (SULFATO FERROSO)</t>
        </is>
      </c>
      <c r="E272" s="13" t="n">
        <v>1</v>
      </c>
      <c r="F272" s="13" t="n">
        <v>3</v>
      </c>
      <c r="G272" s="13" t="n">
        <v>3</v>
      </c>
      <c r="H272" s="8" t="n">
        <v>3.29</v>
      </c>
      <c r="I272" s="8">
        <f>G272*H272</f>
        <v/>
      </c>
      <c r="J272" s="8">
        <f>H272/E272</f>
        <v/>
      </c>
      <c r="K272" s="8" t="n">
        <v>3.17</v>
      </c>
      <c r="L272" s="8" t="n">
        <v>3.08</v>
      </c>
      <c r="M272" s="14">
        <f>J272/K272-1</f>
        <v/>
      </c>
      <c r="N272" s="7" t="inlineStr">
        <is>
          <t>ACIMA +3.8%</t>
        </is>
      </c>
      <c r="O272" s="7" t="inlineStr"/>
    </row>
    <row r="273">
      <c r="A273" s="7" t="n">
        <v>201</v>
      </c>
      <c r="B273" s="7" t="inlineStr">
        <is>
          <t>1442</t>
        </is>
      </c>
      <c r="C273" s="12" t="inlineStr">
        <is>
          <t>7893454100678</t>
        </is>
      </c>
      <c r="D273" s="7" t="inlineStr">
        <is>
          <t>TANDENE 125+50+300+30MG CX 15 COMP</t>
        </is>
      </c>
      <c r="E273" s="13" t="n">
        <v>1</v>
      </c>
      <c r="F273" s="13" t="n">
        <v>26</v>
      </c>
      <c r="G273" s="13" t="n">
        <v>26</v>
      </c>
      <c r="H273" s="8" t="n">
        <v>4.26</v>
      </c>
      <c r="I273" s="8">
        <f>G273*H273</f>
        <v/>
      </c>
      <c r="J273" s="8">
        <f>H273/E273</f>
        <v/>
      </c>
      <c r="K273" s="8" t="n">
        <v>3.91</v>
      </c>
      <c r="L273" s="8" t="n">
        <v>3.77</v>
      </c>
      <c r="M273" s="14">
        <f>J273/K273-1</f>
        <v/>
      </c>
      <c r="N273" s="7" t="inlineStr">
        <is>
          <t>ACIMA +9.0%</t>
        </is>
      </c>
      <c r="O273" s="7" t="inlineStr"/>
    </row>
    <row r="274">
      <c r="A274" s="7" t="n">
        <v>82461</v>
      </c>
      <c r="B274" s="7" t="inlineStr">
        <is>
          <t>383</t>
        </is>
      </c>
      <c r="C274" s="12" t="inlineStr">
        <is>
          <t>7893454100685</t>
        </is>
      </c>
      <c r="D274" s="7" t="inlineStr">
        <is>
          <t>TANDENE 125+50+300+30MG CX 30 COMP</t>
        </is>
      </c>
      <c r="E274" s="13" t="n">
        <v>1</v>
      </c>
      <c r="F274" s="13" t="n">
        <v>6</v>
      </c>
      <c r="G274" s="13" t="n">
        <v>6</v>
      </c>
      <c r="H274" s="8" t="n">
        <v>8.68</v>
      </c>
      <c r="I274" s="8">
        <f>G274*H274</f>
        <v/>
      </c>
      <c r="J274" s="8">
        <f>H274/E274</f>
        <v/>
      </c>
      <c r="K274" s="8" t="n">
        <v>7.95</v>
      </c>
      <c r="L274" s="8" t="n">
        <v>7.95</v>
      </c>
      <c r="M274" s="14">
        <f>J274/K274-1</f>
        <v/>
      </c>
      <c r="N274" s="7" t="inlineStr">
        <is>
          <t>ACIMA +9.2%</t>
        </is>
      </c>
      <c r="O274" s="7" t="inlineStr"/>
    </row>
    <row r="275">
      <c r="A275" s="7" t="n">
        <v>601291</v>
      </c>
      <c r="B275" s="7" t="inlineStr">
        <is>
          <t>4759</t>
        </is>
      </c>
      <c r="C275" s="12" t="inlineStr">
        <is>
          <t>7898301056955</t>
        </is>
      </c>
      <c r="D275" s="7" t="inlineStr">
        <is>
          <t>TERMOMETRO CLIN. DIG. AZUL G-TECH</t>
        </is>
      </c>
      <c r="E275" s="13" t="n">
        <v>1</v>
      </c>
      <c r="F275" s="13" t="n">
        <v>1</v>
      </c>
      <c r="G275" s="13" t="n">
        <v>1</v>
      </c>
      <c r="H275" s="8" t="n">
        <v>13.33</v>
      </c>
      <c r="I275" s="8">
        <f>G275*H275</f>
        <v/>
      </c>
      <c r="J275" s="8">
        <f>H275/E275</f>
        <v/>
      </c>
      <c r="K275" s="8" t="n">
        <v>12.56</v>
      </c>
      <c r="L275" s="8" t="n">
        <v>12.56</v>
      </c>
      <c r="M275" s="14">
        <f>J275/K275-1</f>
        <v/>
      </c>
      <c r="N275" s="7" t="inlineStr">
        <is>
          <t>ACIMA +6.1%</t>
        </is>
      </c>
      <c r="O275" s="7" t="inlineStr"/>
    </row>
    <row r="276">
      <c r="A276" s="7" t="n">
        <v>578801</v>
      </c>
      <c r="B276" s="7" t="inlineStr">
        <is>
          <t>4760</t>
        </is>
      </c>
      <c r="C276" s="12" t="inlineStr">
        <is>
          <t>7898301056986</t>
        </is>
      </c>
      <c r="D276" s="7" t="inlineStr">
        <is>
          <t>TERMOMETRO DIGITAL CLINICO TH150 LARANJA</t>
        </is>
      </c>
      <c r="E276" s="13" t="n">
        <v>1</v>
      </c>
      <c r="F276" s="13" t="n">
        <v>1</v>
      </c>
      <c r="G276" s="13" t="n">
        <v>1</v>
      </c>
      <c r="H276" s="8" t="n">
        <v>11.88</v>
      </c>
      <c r="I276" s="8">
        <f>G276*H276</f>
        <v/>
      </c>
      <c r="J276" s="8">
        <f>H276/E276</f>
        <v/>
      </c>
      <c r="K276" s="8" t="n">
        <v>12.59</v>
      </c>
      <c r="L276" s="8" t="n">
        <v>12.59</v>
      </c>
      <c r="M276" s="14">
        <f>J276/K276-1</f>
        <v/>
      </c>
      <c r="N276" s="7" t="inlineStr">
        <is>
          <t>OK (≤ menor hist.)</t>
        </is>
      </c>
      <c r="O276" s="7" t="inlineStr"/>
    </row>
    <row r="277">
      <c r="A277" s="7" t="n">
        <v>543341</v>
      </c>
      <c r="B277" s="7" t="inlineStr">
        <is>
          <t>4761</t>
        </is>
      </c>
      <c r="C277" s="12" t="inlineStr">
        <is>
          <t>7898301056979</t>
        </is>
      </c>
      <c r="D277" s="7" t="inlineStr">
        <is>
          <t>TERMOMETRO DIGITAL G-TECH ROSA UNIDADE</t>
        </is>
      </c>
      <c r="E277" s="13" t="n">
        <v>1</v>
      </c>
      <c r="F277" s="13" t="n">
        <v>1</v>
      </c>
      <c r="G277" s="13" t="n">
        <v>1</v>
      </c>
      <c r="H277" s="8" t="n">
        <v>13.33</v>
      </c>
      <c r="I277" s="8">
        <f>G277*H277</f>
        <v/>
      </c>
      <c r="J277" s="8">
        <f>H277/E277</f>
        <v/>
      </c>
      <c r="K277" s="8" t="n">
        <v>12.59</v>
      </c>
      <c r="L277" s="8" t="n">
        <v>12.59</v>
      </c>
      <c r="M277" s="14">
        <f>J277/K277-1</f>
        <v/>
      </c>
      <c r="N277" s="7" t="inlineStr">
        <is>
          <t>ACIMA +5.9%</t>
        </is>
      </c>
      <c r="O277" s="7" t="inlineStr"/>
    </row>
    <row r="278">
      <c r="A278" s="7" t="n">
        <v>543361</v>
      </c>
      <c r="B278" s="7" t="inlineStr">
        <is>
          <t>4762</t>
        </is>
      </c>
      <c r="C278" s="12" t="inlineStr">
        <is>
          <t>7898301056962</t>
        </is>
      </c>
      <c r="D278" s="7" t="inlineStr">
        <is>
          <t>TERMÔMETRO DIGITAL G-TECH COM PONTA RIGIDA THGTH150V - VERDE</t>
        </is>
      </c>
      <c r="E278" s="13" t="n">
        <v>1</v>
      </c>
      <c r="F278" s="13" t="n">
        <v>1</v>
      </c>
      <c r="G278" s="13" t="n">
        <v>1</v>
      </c>
      <c r="H278" s="8" t="n">
        <v>13.33</v>
      </c>
      <c r="I278" s="8">
        <f>G278*H278</f>
        <v/>
      </c>
      <c r="J278" s="8">
        <f>H278/E278</f>
        <v/>
      </c>
      <c r="K278" s="8" t="n">
        <v>12.59</v>
      </c>
      <c r="L278" s="8" t="n">
        <v>12.59</v>
      </c>
      <c r="M278" s="14">
        <f>J278/K278-1</f>
        <v/>
      </c>
      <c r="N278" s="7" t="inlineStr">
        <is>
          <t>ACIMA +5.9%</t>
        </is>
      </c>
      <c r="O278" s="7" t="inlineStr"/>
    </row>
    <row r="279">
      <c r="A279" s="7" t="n">
        <v>532641</v>
      </c>
      <c r="B279" s="7" t="inlineStr">
        <is>
          <t>271</t>
        </is>
      </c>
      <c r="C279" s="12" t="inlineStr">
        <is>
          <t>7898126050022</t>
        </is>
      </c>
      <c r="D279" s="7" t="inlineStr">
        <is>
          <t>TESTE CONFIRME C/01 UND</t>
        </is>
      </c>
      <c r="E279" s="13" t="n">
        <v>1</v>
      </c>
      <c r="F279" s="13" t="n">
        <v>4</v>
      </c>
      <c r="G279" s="13" t="n">
        <v>4</v>
      </c>
      <c r="H279" s="8" t="n">
        <v>1.69</v>
      </c>
      <c r="I279" s="8">
        <f>G279*H279</f>
        <v/>
      </c>
      <c r="J279" s="8">
        <f>H279/E279</f>
        <v/>
      </c>
      <c r="K279" s="8" t="n">
        <v>1.69</v>
      </c>
      <c r="L279" s="8" t="n">
        <v>1.69</v>
      </c>
      <c r="M279" s="14">
        <f>J279/K279-1</f>
        <v/>
      </c>
      <c r="N279" s="7" t="inlineStr">
        <is>
          <t>OK (≤ menor hist.)</t>
        </is>
      </c>
      <c r="O279" s="7" t="inlineStr"/>
    </row>
    <row r="280">
      <c r="A280" s="7" t="n">
        <v>588881</v>
      </c>
      <c r="B280" s="7" t="inlineStr">
        <is>
          <t>3232</t>
        </is>
      </c>
      <c r="C280" s="12" t="inlineStr">
        <is>
          <t>7898108611968</t>
        </is>
      </c>
      <c r="D280" s="7" t="inlineStr">
        <is>
          <t>TESTE DE GRAVIDEZ CONFIRA PRATIC CANETA</t>
        </is>
      </c>
      <c r="E280" s="13" t="n">
        <v>1</v>
      </c>
      <c r="F280" s="13" t="n">
        <v>8</v>
      </c>
      <c r="G280" s="13" t="n">
        <v>8</v>
      </c>
      <c r="H280" s="8" t="n">
        <v>5.57</v>
      </c>
      <c r="I280" s="8">
        <f>G280*H280</f>
        <v/>
      </c>
      <c r="J280" s="8">
        <f>H280/E280</f>
        <v/>
      </c>
      <c r="K280" s="8" t="n">
        <v>4.91</v>
      </c>
      <c r="L280" s="8" t="n">
        <v>4.91</v>
      </c>
      <c r="M280" s="14">
        <f>J280/K280-1</f>
        <v/>
      </c>
      <c r="N280" s="7" t="inlineStr">
        <is>
          <t>ACIMA +13.4%</t>
        </is>
      </c>
      <c r="O280" s="7" t="inlineStr"/>
    </row>
    <row r="281">
      <c r="A281" s="7" t="n">
        <v>532741</v>
      </c>
      <c r="B281" s="7" t="inlineStr">
        <is>
          <t>5792</t>
        </is>
      </c>
      <c r="C281" s="12" t="inlineStr">
        <is>
          <t>7898126050091</t>
        </is>
      </c>
      <c r="D281" s="7" t="inlineStr">
        <is>
          <t>TESTE DE GRAVIDEZ VERIFIK C/01 UND</t>
        </is>
      </c>
      <c r="E281" s="13" t="n">
        <v>1</v>
      </c>
      <c r="F281" s="13" t="n">
        <v>38</v>
      </c>
      <c r="G281" s="13" t="n">
        <v>38</v>
      </c>
      <c r="H281" s="8" t="n">
        <v>1.35</v>
      </c>
      <c r="I281" s="8">
        <f>G281*H281</f>
        <v/>
      </c>
      <c r="J281" s="8">
        <f>H281/E281</f>
        <v/>
      </c>
      <c r="K281" s="8" t="n">
        <v>1.17</v>
      </c>
      <c r="L281" s="8" t="n">
        <v>1.17</v>
      </c>
      <c r="M281" s="14">
        <f>J281/K281-1</f>
        <v/>
      </c>
      <c r="N281" s="7" t="inlineStr">
        <is>
          <t>ACIMA +15.4%</t>
        </is>
      </c>
      <c r="O281" s="7" t="inlineStr"/>
    </row>
    <row r="282">
      <c r="A282" s="7" t="n">
        <v>640411</v>
      </c>
      <c r="B282" s="7" t="inlineStr">
        <is>
          <t>7368</t>
        </is>
      </c>
      <c r="C282" s="12" t="inlineStr">
        <is>
          <t>7898126050220</t>
        </is>
      </c>
      <c r="D282" s="7" t="inlineStr">
        <is>
          <t>TESTE GRAVIDEZ CONFIRME SEMANAS TIRA C/1</t>
        </is>
      </c>
      <c r="E282" s="13" t="n">
        <v>1</v>
      </c>
      <c r="F282" s="13" t="n">
        <v>2</v>
      </c>
      <c r="G282" s="13" t="n">
        <v>2</v>
      </c>
      <c r="H282" s="8" t="n">
        <v>7.71</v>
      </c>
      <c r="I282" s="8">
        <f>G282*H282</f>
        <v/>
      </c>
      <c r="J282" s="8">
        <f>H282/E282</f>
        <v/>
      </c>
      <c r="K282" s="8" t="n">
        <v>10.85</v>
      </c>
      <c r="L282" s="8" t="n">
        <v>10.85</v>
      </c>
      <c r="M282" s="14">
        <f>J282/K282-1</f>
        <v/>
      </c>
      <c r="N282" s="7" t="inlineStr">
        <is>
          <t>OK (≤ menor hist.)</t>
        </is>
      </c>
      <c r="O282" s="7" t="inlineStr"/>
    </row>
    <row r="283">
      <c r="A283" s="7" t="n">
        <v>180141</v>
      </c>
      <c r="B283" s="7" t="inlineStr">
        <is>
          <t>1534</t>
        </is>
      </c>
      <c r="C283" s="12" t="inlineStr">
        <is>
          <t>7896862970031</t>
        </is>
      </c>
      <c r="D283" s="7" t="inlineStr">
        <is>
          <t>TETRAMED 500MG CART C/ 4CP</t>
        </is>
      </c>
      <c r="E283" s="13" t="n">
        <v>25</v>
      </c>
      <c r="F283" s="13" t="n">
        <v>1</v>
      </c>
      <c r="G283" s="13" t="n">
        <v>1</v>
      </c>
      <c r="H283" s="8" t="n">
        <v>41.62</v>
      </c>
      <c r="I283" s="8">
        <f>G283*H283</f>
        <v/>
      </c>
      <c r="J283" s="8">
        <f>H283/E283</f>
        <v/>
      </c>
      <c r="K283" s="8" t="n">
        <v>1.4796</v>
      </c>
      <c r="L283" s="8" t="n">
        <v>1.4796</v>
      </c>
      <c r="M283" s="14">
        <f>J283/K283-1</f>
        <v/>
      </c>
      <c r="N283" s="7" t="inlineStr">
        <is>
          <t>ACIMA +12.5%</t>
        </is>
      </c>
      <c r="O283" s="7" t="inlineStr">
        <is>
          <t>1 emb = 25 un</t>
        </is>
      </c>
    </row>
    <row r="284">
      <c r="A284" s="7" t="n">
        <v>568541</v>
      </c>
      <c r="B284" s="7" t="inlineStr">
        <is>
          <t>2886</t>
        </is>
      </c>
      <c r="C284" s="12" t="inlineStr">
        <is>
          <t>7896862970208</t>
        </is>
      </c>
      <c r="D284" s="7" t="inlineStr">
        <is>
          <t>TETRAMED 500MG CX100 CAP (10X10)</t>
        </is>
      </c>
      <c r="E284" s="13" t="n">
        <v>10</v>
      </c>
      <c r="F284" s="13" t="n">
        <v>1</v>
      </c>
      <c r="G284" s="13" t="n">
        <v>1</v>
      </c>
      <c r="H284" s="8" t="n">
        <v>43.72</v>
      </c>
      <c r="I284" s="8">
        <f>G284*H284</f>
        <v/>
      </c>
      <c r="J284" s="8">
        <f>H284/E284</f>
        <v/>
      </c>
      <c r="K284" s="8" t="n">
        <v>3.69</v>
      </c>
      <c r="L284" s="8" t="n">
        <v>3.69</v>
      </c>
      <c r="M284" s="14">
        <f>J284/K284-1</f>
        <v/>
      </c>
      <c r="N284" s="7" t="inlineStr">
        <is>
          <t>ACIMA +18.5%</t>
        </is>
      </c>
      <c r="O284" s="7" t="inlineStr">
        <is>
          <t>1 emb = 10 un</t>
        </is>
      </c>
    </row>
    <row r="285">
      <c r="A285" s="7" t="n">
        <v>461941</v>
      </c>
      <c r="B285" s="7" t="inlineStr">
        <is>
          <t>386</t>
        </is>
      </c>
      <c r="C285" s="12" t="inlineStr">
        <is>
          <t>7893454100715</t>
        </is>
      </c>
      <c r="D285" s="7" t="inlineStr">
        <is>
          <t>TIADOL 50MG/G POM DERM BG 20G</t>
        </is>
      </c>
      <c r="E285" s="13" t="n">
        <v>1</v>
      </c>
      <c r="F285" s="13" t="n">
        <v>3</v>
      </c>
      <c r="G285" s="13" t="n">
        <v>3</v>
      </c>
      <c r="H285" s="8" t="n">
        <v>13.89</v>
      </c>
      <c r="I285" s="8">
        <f>G285*H285</f>
        <v/>
      </c>
      <c r="J285" s="8">
        <f>H285/E285</f>
        <v/>
      </c>
      <c r="K285" s="8" t="n">
        <v>13.36</v>
      </c>
      <c r="L285" s="8" t="n">
        <v>13.36</v>
      </c>
      <c r="M285" s="14">
        <f>J285/K285-1</f>
        <v/>
      </c>
      <c r="N285" s="7" t="inlineStr">
        <is>
          <t>ACIMA +4.0%</t>
        </is>
      </c>
      <c r="O285" s="7" t="inlineStr"/>
    </row>
    <row r="286">
      <c r="A286" s="7" t="n">
        <v>540941</v>
      </c>
      <c r="B286" s="7" t="inlineStr">
        <is>
          <t>177</t>
        </is>
      </c>
      <c r="C286" s="12" t="inlineStr">
        <is>
          <t>7898031310952</t>
        </is>
      </c>
      <c r="D286" s="7" t="inlineStr">
        <is>
          <t>TINTURA DE ARNICA 30ML</t>
        </is>
      </c>
      <c r="E286" s="13" t="n">
        <v>1</v>
      </c>
      <c r="F286" s="13" t="n">
        <v>19</v>
      </c>
      <c r="G286" s="13" t="n">
        <v>19</v>
      </c>
      <c r="H286" s="8" t="n">
        <v>4.31</v>
      </c>
      <c r="I286" s="8">
        <f>G286*H286</f>
        <v/>
      </c>
      <c r="J286" s="8">
        <f>H286/E286</f>
        <v/>
      </c>
      <c r="K286" s="8" t="n">
        <v>4.31</v>
      </c>
      <c r="L286" s="8" t="n">
        <v>4.31</v>
      </c>
      <c r="M286" s="14">
        <f>J286/K286-1</f>
        <v/>
      </c>
      <c r="N286" s="7" t="inlineStr">
        <is>
          <t>OK (≤ menor hist.)</t>
        </is>
      </c>
      <c r="O286" s="7" t="inlineStr"/>
    </row>
    <row r="287">
      <c r="A287" s="7" t="n">
        <v>18001</v>
      </c>
      <c r="B287" s="7" t="inlineStr">
        <is>
          <t>1121</t>
        </is>
      </c>
      <c r="C287" s="12" t="inlineStr">
        <is>
          <t>7896004739083</t>
        </is>
      </c>
      <c r="D287" s="7" t="inlineStr">
        <is>
          <t>TREXACONT 250MG 1BL X 12 COMP</t>
        </is>
      </c>
      <c r="E287" s="13" t="n">
        <v>1</v>
      </c>
      <c r="F287" s="13" t="n">
        <v>1</v>
      </c>
      <c r="G287" s="13" t="n">
        <v>1</v>
      </c>
      <c r="H287" s="8" t="n">
        <v>35.81</v>
      </c>
      <c r="I287" s="8">
        <f>G287*H287</f>
        <v/>
      </c>
      <c r="J287" s="8">
        <f>H287/E287</f>
        <v/>
      </c>
      <c r="K287" s="8" t="n">
        <v>40.53</v>
      </c>
      <c r="L287" s="8" t="n">
        <v>40.53</v>
      </c>
      <c r="M287" s="14">
        <f>J287/K287-1</f>
        <v/>
      </c>
      <c r="N287" s="7" t="inlineStr">
        <is>
          <t>OK (≤ menor hist.)</t>
        </is>
      </c>
      <c r="O287" s="7" t="inlineStr"/>
    </row>
    <row r="288">
      <c r="A288" s="7" t="n">
        <v>39303</v>
      </c>
      <c r="B288" s="7" t="inlineStr">
        <is>
          <t>10612</t>
        </is>
      </c>
      <c r="C288" s="12" t="inlineStr">
        <is>
          <t>7896004821993</t>
        </is>
      </c>
      <c r="D288" s="7" t="inlineStr">
        <is>
          <t>TRIMETAZIDINA 35MG 30CPR</t>
        </is>
      </c>
      <c r="E288" s="13" t="n">
        <v>1</v>
      </c>
      <c r="F288" s="13" t="n">
        <v>8</v>
      </c>
      <c r="G288" s="13" t="n">
        <v>8</v>
      </c>
      <c r="H288" s="8" t="n">
        <v>22.59</v>
      </c>
      <c r="I288" s="8">
        <f>G288*H288</f>
        <v/>
      </c>
      <c r="J288" s="8">
        <f>H288/E288</f>
        <v/>
      </c>
      <c r="K288" s="8" t="n">
        <v>16.385</v>
      </c>
      <c r="L288" s="8" t="n">
        <v>16.385</v>
      </c>
      <c r="M288" s="14">
        <f>J288/K288-1</f>
        <v/>
      </c>
      <c r="N288" s="7" t="inlineStr">
        <is>
          <t>ACIMA +37.9%</t>
        </is>
      </c>
      <c r="O288" s="7" t="inlineStr"/>
    </row>
    <row r="289">
      <c r="A289" s="7" t="n">
        <v>563961</v>
      </c>
      <c r="B289" s="7" t="inlineStr">
        <is>
          <t>395</t>
        </is>
      </c>
      <c r="C289" s="12" t="inlineStr">
        <is>
          <t>7898100243945</t>
        </is>
      </c>
      <c r="D289" s="7" t="inlineStr">
        <is>
          <t>TYFLEN 500MG CARTELA COM 10CP</t>
        </is>
      </c>
      <c r="E289" s="13" t="n">
        <v>20</v>
      </c>
      <c r="F289" s="13" t="n">
        <v>1</v>
      </c>
      <c r="G289" s="13" t="n">
        <v>1</v>
      </c>
      <c r="H289" s="8" t="n">
        <v>29.55</v>
      </c>
      <c r="I289" s="8">
        <f>G289*H289</f>
        <v/>
      </c>
      <c r="J289" s="8">
        <f>H289/E289</f>
        <v/>
      </c>
      <c r="K289" s="8" t="n">
        <v>1.8355</v>
      </c>
      <c r="L289" s="8" t="n">
        <v>1.8355</v>
      </c>
      <c r="M289" s="14">
        <f>J289/K289-1</f>
        <v/>
      </c>
      <c r="N289" s="7" t="inlineStr">
        <is>
          <t>OK (≤ menor hist.)</t>
        </is>
      </c>
      <c r="O289" s="7" t="inlineStr">
        <is>
          <t>1 emb = 20 un</t>
        </is>
      </c>
    </row>
    <row r="290">
      <c r="A290" s="7" t="n">
        <v>565801</v>
      </c>
      <c r="B290" s="7" t="inlineStr">
        <is>
          <t>3126</t>
        </is>
      </c>
      <c r="C290" s="12" t="inlineStr">
        <is>
          <t>7898031310600</t>
        </is>
      </c>
      <c r="D290" s="7" t="inlineStr">
        <is>
          <t>UNISSEPT ALCOOL GEL ANTISSEPTICO 450G</t>
        </is>
      </c>
      <c r="E290" s="13" t="n">
        <v>1</v>
      </c>
      <c r="F290" s="13" t="n">
        <v>13</v>
      </c>
      <c r="G290" s="13" t="n">
        <v>13</v>
      </c>
      <c r="H290" s="8" t="n">
        <v>13.08</v>
      </c>
      <c r="I290" s="8">
        <f>G290*H290</f>
        <v/>
      </c>
      <c r="J290" s="8">
        <f>H290/E290</f>
        <v/>
      </c>
      <c r="K290" s="8" t="n">
        <v>13.08</v>
      </c>
      <c r="L290" s="8" t="n">
        <v>12.51</v>
      </c>
      <c r="M290" s="14">
        <f>J290/K290-1</f>
        <v/>
      </c>
      <c r="N290" s="7" t="inlineStr">
        <is>
          <t>OK (≤ últ. compra)</t>
        </is>
      </c>
      <c r="O290" s="7" t="inlineStr"/>
    </row>
    <row r="291">
      <c r="A291" s="7" t="n">
        <v>675881</v>
      </c>
      <c r="B291" s="7" t="inlineStr">
        <is>
          <t>1014</t>
        </is>
      </c>
      <c r="C291" s="12" t="inlineStr">
        <is>
          <t>7898031310990</t>
        </is>
      </c>
      <c r="D291" s="7" t="inlineStr">
        <is>
          <t>VASELINA LIQUIDA 100ML</t>
        </is>
      </c>
      <c r="E291" s="13" t="n">
        <v>1</v>
      </c>
      <c r="F291" s="13" t="n">
        <v>5</v>
      </c>
      <c r="G291" s="13" t="n">
        <v>5</v>
      </c>
      <c r="H291" s="8" t="n">
        <v>5.68</v>
      </c>
      <c r="I291" s="8">
        <f>G291*H291</f>
        <v/>
      </c>
      <c r="J291" s="8">
        <f>H291/E291</f>
        <v/>
      </c>
      <c r="K291" s="8" t="n">
        <v>5.29</v>
      </c>
      <c r="L291" s="8" t="n">
        <v>5.29</v>
      </c>
      <c r="M291" s="14">
        <f>J291/K291-1</f>
        <v/>
      </c>
      <c r="N291" s="7" t="inlineStr">
        <is>
          <t>ACIMA +7.4%</t>
        </is>
      </c>
      <c r="O291" s="7" t="inlineStr"/>
    </row>
    <row r="292">
      <c r="A292" s="7" t="n">
        <v>2973</v>
      </c>
      <c r="B292" s="7" t="inlineStr">
        <is>
          <t>163</t>
        </is>
      </c>
      <c r="C292" s="12" t="inlineStr">
        <is>
          <t>7898031313533</t>
        </is>
      </c>
      <c r="D292" s="7" t="inlineStr">
        <is>
          <t>VASELINA SOLIDA 20G BISNAGA</t>
        </is>
      </c>
      <c r="E292" s="13" t="n">
        <v>1</v>
      </c>
      <c r="F292" s="13" t="n">
        <v>12</v>
      </c>
      <c r="G292" s="13" t="n">
        <v>12</v>
      </c>
      <c r="H292" s="8" t="n">
        <v>5.26</v>
      </c>
      <c r="I292" s="8">
        <f>G292*H292</f>
        <v/>
      </c>
      <c r="J292" s="8">
        <f>H292/E292</f>
        <v/>
      </c>
      <c r="K292" s="8" t="n">
        <v>5.26</v>
      </c>
      <c r="L292" s="8" t="n">
        <v>5.06</v>
      </c>
      <c r="M292" s="14">
        <f>J292/K292-1</f>
        <v/>
      </c>
      <c r="N292" s="7" t="inlineStr">
        <is>
          <t>OK (≤ últ. compra)</t>
        </is>
      </c>
      <c r="O292" s="7" t="inlineStr"/>
    </row>
    <row r="293">
      <c r="A293" s="7" t="n">
        <v>604001</v>
      </c>
      <c r="B293" s="7" t="inlineStr">
        <is>
          <t>851</t>
        </is>
      </c>
      <c r="C293" s="12" t="inlineStr">
        <is>
          <t>7898031310495</t>
        </is>
      </c>
      <c r="D293" s="7" t="inlineStr">
        <is>
          <t>VASELINA SOLIDA 25G POTE (UNIPHAR)</t>
        </is>
      </c>
      <c r="E293" s="13" t="n">
        <v>1</v>
      </c>
      <c r="F293" s="13" t="n">
        <v>10</v>
      </c>
      <c r="G293" s="13" t="n">
        <v>10</v>
      </c>
      <c r="H293" s="8" t="n">
        <v>4.78</v>
      </c>
      <c r="I293" s="8">
        <f>G293*H293</f>
        <v/>
      </c>
      <c r="J293" s="8">
        <f>H293/E293</f>
        <v/>
      </c>
      <c r="K293" s="8" t="n">
        <v>4.48</v>
      </c>
      <c r="L293" s="8" t="n">
        <v>4.35</v>
      </c>
      <c r="M293" s="14">
        <f>J293/K293-1</f>
        <v/>
      </c>
      <c r="N293" s="7" t="inlineStr">
        <is>
          <t>ACIMA +6.7%</t>
        </is>
      </c>
      <c r="O293" s="7" t="inlineStr"/>
    </row>
    <row r="294">
      <c r="A294" s="7" t="n">
        <v>591211</v>
      </c>
      <c r="B294" s="7" t="inlineStr">
        <is>
          <t>7292</t>
        </is>
      </c>
      <c r="C294" s="12" t="inlineStr">
        <is>
          <t>7898241250031</t>
        </is>
      </c>
      <c r="D294" s="7" t="inlineStr">
        <is>
          <t>VELA SEBO DE HOLANDA</t>
        </is>
      </c>
      <c r="E294" s="13" t="n">
        <v>8</v>
      </c>
      <c r="F294" s="13" t="n">
        <v>3</v>
      </c>
      <c r="G294" s="13" t="n">
        <v>1</v>
      </c>
      <c r="H294" s="8" t="n">
        <v>3.99</v>
      </c>
      <c r="I294" s="8">
        <f>G294*H294</f>
        <v/>
      </c>
      <c r="J294" s="8">
        <f>H294/E294</f>
        <v/>
      </c>
      <c r="K294" s="8" t="n">
        <v>0.4988</v>
      </c>
      <c r="L294" s="8" t="n">
        <v>0.4988</v>
      </c>
      <c r="M294" s="14">
        <f>J294/K294-1</f>
        <v/>
      </c>
      <c r="N294" s="7" t="inlineStr">
        <is>
          <t>OK (≤ menor hist.)</t>
        </is>
      </c>
      <c r="O294" s="7" t="inlineStr">
        <is>
          <t>1 emb = 8 un</t>
        </is>
      </c>
    </row>
    <row r="295">
      <c r="A295" s="7" t="n">
        <v>461961</v>
      </c>
      <c r="B295" s="7" t="inlineStr">
        <is>
          <t>391</t>
        </is>
      </c>
      <c r="C295" s="12" t="inlineStr">
        <is>
          <t>7893454100708</t>
        </is>
      </c>
      <c r="D295" s="7" t="inlineStr">
        <is>
          <t>VENCIDO - TIADOL 50MG/G SAB SACO 65G</t>
        </is>
      </c>
      <c r="E295" s="13" t="n">
        <v>1</v>
      </c>
      <c r="F295" s="13" t="n">
        <v>1</v>
      </c>
      <c r="G295" s="13" t="n">
        <v>1</v>
      </c>
      <c r="H295" s="8" t="n">
        <v>18.94</v>
      </c>
      <c r="I295" s="8">
        <f>G295*H295</f>
        <v/>
      </c>
      <c r="J295" s="8">
        <f>H295/E295</f>
        <v/>
      </c>
      <c r="K295" s="8" t="n">
        <v>19.23</v>
      </c>
      <c r="L295" s="8" t="n">
        <v>19.23</v>
      </c>
      <c r="M295" s="14">
        <f>J295/K295-1</f>
        <v/>
      </c>
      <c r="N295" s="7" t="inlineStr">
        <is>
          <t>OK (≤ menor hist.)</t>
        </is>
      </c>
      <c r="O295" s="7" t="inlineStr"/>
    </row>
    <row r="296">
      <c r="A296" s="7" t="n">
        <v>193181</v>
      </c>
      <c r="B296" s="7" t="inlineStr">
        <is>
          <t>10625</t>
        </is>
      </c>
      <c r="C296" s="12" t="inlineStr">
        <is>
          <t>7898569765125</t>
        </is>
      </c>
      <c r="D296" s="7" t="inlineStr">
        <is>
          <t>VITAMINA D3 10000UI CX 8 CAP</t>
        </is>
      </c>
      <c r="E296" s="13" t="n">
        <v>1</v>
      </c>
      <c r="F296" s="13" t="n">
        <v>1</v>
      </c>
      <c r="G296" s="13" t="n">
        <v>1</v>
      </c>
      <c r="H296" s="8" t="n">
        <v>17.54</v>
      </c>
      <c r="I296" s="8">
        <f>G296*H296</f>
        <v/>
      </c>
      <c r="J296" s="8">
        <f>H296/E296</f>
        <v/>
      </c>
      <c r="K296" s="8" t="n">
        <v>12.69</v>
      </c>
      <c r="L296" s="8" t="n">
        <v>12.69</v>
      </c>
      <c r="M296" s="14">
        <f>J296/K296-1</f>
        <v/>
      </c>
      <c r="N296" s="7" t="inlineStr">
        <is>
          <t>ACIMA +38.2%</t>
        </is>
      </c>
      <c r="O296" s="7" t="inlineStr"/>
    </row>
    <row r="297">
      <c r="A297" s="7" t="n">
        <v>653211</v>
      </c>
      <c r="B297" s="7" t="inlineStr">
        <is>
          <t>8544</t>
        </is>
      </c>
      <c r="C297" s="12" t="inlineStr">
        <is>
          <t>7898687734096</t>
        </is>
      </c>
      <c r="D297" s="7" t="inlineStr">
        <is>
          <t>VITAMINA D3 15000UI CX 10 CAP</t>
        </is>
      </c>
      <c r="E297" s="13" t="n">
        <v>1</v>
      </c>
      <c r="F297" s="13" t="n">
        <v>2</v>
      </c>
      <c r="G297" s="13" t="n">
        <v>2</v>
      </c>
      <c r="H297" s="8" t="n">
        <v>23.22</v>
      </c>
      <c r="I297" s="8">
        <f>G297*H297</f>
        <v/>
      </c>
      <c r="J297" s="8">
        <f>H297/E297</f>
        <v/>
      </c>
      <c r="K297" s="8" t="n">
        <v>19.58</v>
      </c>
      <c r="L297" s="8" t="n">
        <v>19.58</v>
      </c>
      <c r="M297" s="14">
        <f>J297/K297-1</f>
        <v/>
      </c>
      <c r="N297" s="7" t="inlineStr">
        <is>
          <t>ACIMA +18.6%</t>
        </is>
      </c>
      <c r="O297" s="7" t="inlineStr"/>
    </row>
    <row r="298">
      <c r="A298" s="7" t="n">
        <v>532061</v>
      </c>
      <c r="B298" s="7" t="inlineStr">
        <is>
          <t>4798</t>
        </is>
      </c>
      <c r="C298" s="12" t="inlineStr">
        <is>
          <t>7894164006014</t>
        </is>
      </c>
      <c r="D298" s="7" t="inlineStr">
        <is>
          <t>VITAXON C TRIPLA ACAO EFERVECE CX C/ 10 CP</t>
        </is>
      </c>
      <c r="E298" s="13" t="n">
        <v>1</v>
      </c>
      <c r="F298" s="13" t="n">
        <v>62</v>
      </c>
      <c r="G298" s="13" t="n">
        <v>62</v>
      </c>
      <c r="H298" s="8" t="n">
        <v>5.39</v>
      </c>
      <c r="I298" s="8">
        <f>G298*H298</f>
        <v/>
      </c>
      <c r="J298" s="8">
        <f>H298/E298</f>
        <v/>
      </c>
      <c r="K298" s="8" t="n">
        <v>4.58</v>
      </c>
      <c r="L298" s="8" t="n">
        <v>4.58</v>
      </c>
      <c r="M298" s="14">
        <f>J298/K298-1</f>
        <v/>
      </c>
      <c r="N298" s="7" t="inlineStr">
        <is>
          <t>ACIMA +17.7%</t>
        </is>
      </c>
      <c r="O298" s="7" t="inlineStr"/>
    </row>
    <row r="299">
      <c r="A299" s="7" t="n">
        <v>4053</v>
      </c>
      <c r="B299" s="7" t="inlineStr">
        <is>
          <t>5175</t>
        </is>
      </c>
      <c r="C299" s="12" t="inlineStr">
        <is>
          <t>7894164007127</t>
        </is>
      </c>
      <c r="D299" s="7" t="inlineStr">
        <is>
          <t>VITAXON C TRIPLA ACAO IMUNO C/30 CPR.</t>
        </is>
      </c>
      <c r="E299" s="13" t="n">
        <v>1</v>
      </c>
      <c r="F299" s="13" t="n">
        <v>1</v>
      </c>
      <c r="G299" s="13" t="n">
        <v>1</v>
      </c>
      <c r="H299" s="8" t="n">
        <v>14.84</v>
      </c>
      <c r="I299" s="8">
        <f>G299*H299</f>
        <v/>
      </c>
      <c r="J299" s="8">
        <f>H299/E299</f>
        <v/>
      </c>
      <c r="K299" s="8" t="n">
        <v>14.84</v>
      </c>
      <c r="L299" s="8" t="n">
        <v>14.84</v>
      </c>
      <c r="M299" s="14">
        <f>J299/K299-1</f>
        <v/>
      </c>
      <c r="N299" s="7" t="inlineStr">
        <is>
          <t>OK (≤ menor hist.)</t>
        </is>
      </c>
      <c r="O299" s="7" t="inlineStr"/>
    </row>
    <row r="300">
      <c r="A300" s="7" t="n">
        <v>604081</v>
      </c>
      <c r="B300" s="7" t="inlineStr">
        <is>
          <t>5905</t>
        </is>
      </c>
      <c r="C300" s="12" t="inlineStr">
        <is>
          <t>7894164007134</t>
        </is>
      </c>
      <c r="D300" s="7" t="inlineStr">
        <is>
          <t>VITAXON C+ZINCO ACAO PROLONGADA 30CP</t>
        </is>
      </c>
      <c r="E300" s="13" t="n">
        <v>1</v>
      </c>
      <c r="F300" s="13" t="n">
        <v>1</v>
      </c>
      <c r="G300" s="13" t="n">
        <v>1</v>
      </c>
      <c r="H300" s="8" t="n">
        <v>11.73</v>
      </c>
      <c r="I300" s="8">
        <f>G300*H300</f>
        <v/>
      </c>
      <c r="J300" s="8">
        <f>H300/E300</f>
        <v/>
      </c>
      <c r="K300" s="8" t="n">
        <v>10.79</v>
      </c>
      <c r="L300" s="8" t="n">
        <v>10.79</v>
      </c>
      <c r="M300" s="14">
        <f>J300/K300-1</f>
        <v/>
      </c>
      <c r="N300" s="7" t="inlineStr">
        <is>
          <t>ACIMA +8.7%</t>
        </is>
      </c>
      <c r="O300" s="7" t="inlineStr"/>
    </row>
    <row r="301">
      <c r="A301" s="7" t="n">
        <v>121961</v>
      </c>
      <c r="B301" s="7" t="inlineStr">
        <is>
          <t>6402</t>
        </is>
      </c>
      <c r="C301" s="12" t="inlineStr">
        <is>
          <t>7896004774947</t>
        </is>
      </c>
      <c r="D301" s="7" t="inlineStr">
        <is>
          <t>VOLIG 8MG CX 10 COMP</t>
        </is>
      </c>
      <c r="E301" s="13" t="n">
        <v>1</v>
      </c>
      <c r="F301" s="13" t="n">
        <v>8</v>
      </c>
      <c r="G301" s="13" t="n">
        <v>8</v>
      </c>
      <c r="H301" s="8" t="n">
        <v>7.31</v>
      </c>
      <c r="I301" s="8">
        <f>G301*H301</f>
        <v/>
      </c>
      <c r="J301" s="8">
        <f>H301/E301</f>
        <v/>
      </c>
      <c r="K301" s="8" t="n">
        <v>7.29</v>
      </c>
      <c r="L301" s="8" t="n">
        <v>7.29</v>
      </c>
      <c r="M301" s="14">
        <f>J301/K301-1</f>
        <v/>
      </c>
      <c r="N301" s="7" t="inlineStr">
        <is>
          <t>ACIMA +0.3%</t>
        </is>
      </c>
      <c r="O301" s="7" t="inlineStr"/>
    </row>
    <row r="302">
      <c r="D302" s="5" t="inlineStr">
        <is>
          <t>TOTAL</t>
        </is>
      </c>
      <c r="I302" s="18">
        <f>SUM(I2:I301)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631621</v>
      </c>
      <c r="B5" s="7" t="inlineStr">
        <is>
          <t>154776</t>
        </is>
      </c>
      <c r="C5" s="12" t="inlineStr">
        <is>
          <t>7895296449816</t>
        </is>
      </c>
      <c r="D5" s="7" t="inlineStr">
        <is>
          <t>CLOR. NARATRIPTANA 2,5 MG C/4 COM REV-NQ</t>
        </is>
      </c>
      <c r="E5" s="13" t="n">
        <v>1</v>
      </c>
      <c r="F5" s="13" t="n">
        <v>7</v>
      </c>
      <c r="G5" s="13" t="n">
        <v>7</v>
      </c>
      <c r="H5" s="8" t="n">
        <v>7.69</v>
      </c>
      <c r="I5" s="8">
        <f>G5*H5</f>
        <v/>
      </c>
      <c r="J5" s="8">
        <f>H5/E5</f>
        <v/>
      </c>
      <c r="K5" s="8" t="n">
        <v>7.78</v>
      </c>
      <c r="L5" s="8" t="n">
        <v>6.5788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146381</v>
      </c>
      <c r="B6" s="7" t="inlineStr">
        <is>
          <t>193615</t>
        </is>
      </c>
      <c r="C6" s="12" t="inlineStr">
        <is>
          <t>7895296447317</t>
        </is>
      </c>
      <c r="D6" s="7" t="inlineStr">
        <is>
          <t>CLOR.FEXOFENADINA 120MG 1BLX10COM REV-NQ</t>
        </is>
      </c>
      <c r="E6" s="13" t="n">
        <v>1</v>
      </c>
      <c r="F6" s="13" t="n">
        <v>1</v>
      </c>
      <c r="G6" s="13" t="n">
        <v>1</v>
      </c>
      <c r="H6" s="8" t="n">
        <v>7.35</v>
      </c>
      <c r="I6" s="8">
        <f>G6*H6</f>
        <v/>
      </c>
      <c r="J6" s="8">
        <f>H6/E6</f>
        <v/>
      </c>
      <c r="K6" s="8" t="n">
        <v>5.6</v>
      </c>
      <c r="L6" s="8" t="n">
        <v>5.6</v>
      </c>
      <c r="M6" s="14">
        <f>J6/K6-1</f>
        <v/>
      </c>
      <c r="N6" s="7" t="inlineStr">
        <is>
          <t>ACIMA +31.2%</t>
        </is>
      </c>
      <c r="O6" s="7" t="inlineStr"/>
    </row>
    <row r="7">
      <c r="A7" s="7" t="n">
        <v>4923</v>
      </c>
      <c r="B7" s="7" t="inlineStr">
        <is>
          <t>183130</t>
        </is>
      </c>
      <c r="C7" s="12" t="inlineStr">
        <is>
          <t>7896472521821</t>
        </is>
      </c>
      <c r="D7" s="7" t="inlineStr">
        <is>
          <t>CLORIDRATO DE FEXOFENADINA 6MG/ML 60ML-NQ</t>
        </is>
      </c>
      <c r="E7" s="13" t="n">
        <v>1</v>
      </c>
      <c r="F7" s="13" t="n">
        <v>2</v>
      </c>
      <c r="G7" s="13" t="n">
        <v>2</v>
      </c>
      <c r="H7" s="8" t="n">
        <v>10.19</v>
      </c>
      <c r="I7" s="8">
        <f>G7*H7</f>
        <v/>
      </c>
      <c r="J7" s="8">
        <f>H7/E7</f>
        <v/>
      </c>
      <c r="K7" s="8" t="n">
        <v>13.28</v>
      </c>
      <c r="L7" s="8" t="n">
        <v>13.28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651091</v>
      </c>
      <c r="B8" s="7" t="inlineStr">
        <is>
          <t>140287</t>
        </is>
      </c>
      <c r="C8" s="12" t="inlineStr">
        <is>
          <t>7895296449823</t>
        </is>
      </c>
      <c r="D8" s="7" t="inlineStr">
        <is>
          <t>CLORIDRATO DE NARATRIPTANA 2,5MG 10 CPR</t>
        </is>
      </c>
      <c r="E8" s="13" t="n">
        <v>1</v>
      </c>
      <c r="F8" s="13" t="n">
        <v>2</v>
      </c>
      <c r="G8" s="13" t="n">
        <v>2</v>
      </c>
      <c r="H8" s="8" t="n">
        <v>18.09</v>
      </c>
      <c r="I8" s="8">
        <f>G8*H8</f>
        <v/>
      </c>
      <c r="J8" s="8">
        <f>H8/E8</f>
        <v/>
      </c>
      <c r="K8" s="8" t="n">
        <v>14.9512</v>
      </c>
      <c r="L8" s="8" t="n">
        <v>14.9512</v>
      </c>
      <c r="M8" s="14">
        <f>J8/K8-1</f>
        <v/>
      </c>
      <c r="N8" s="7" t="inlineStr">
        <is>
          <t>ACIMA +21.0%</t>
        </is>
      </c>
      <c r="O8" s="7" t="inlineStr"/>
    </row>
    <row r="9">
      <c r="A9" s="7" t="n">
        <v>597761</v>
      </c>
      <c r="B9" s="7" t="inlineStr">
        <is>
          <t>190829</t>
        </is>
      </c>
      <c r="C9" s="12" t="inlineStr">
        <is>
          <t>7898687731552</t>
        </is>
      </c>
      <c r="D9" s="7" t="inlineStr">
        <is>
          <t>CLORIDRATO DE ONDANSETRONA DI-HIDRATADO 4MG CX 10 COMP ORODISP</t>
        </is>
      </c>
      <c r="E9" s="13" t="n">
        <v>1</v>
      </c>
      <c r="F9" s="13" t="n">
        <v>1</v>
      </c>
      <c r="G9" s="13" t="n">
        <v>1</v>
      </c>
      <c r="H9" s="8" t="n">
        <v>8.15</v>
      </c>
      <c r="I9" s="8">
        <f>G9*H9</f>
        <v/>
      </c>
      <c r="J9" s="8">
        <f>H9/E9</f>
        <v/>
      </c>
      <c r="K9" s="8" t="n">
        <v>6.71</v>
      </c>
      <c r="L9" s="8" t="n">
        <v>6.71</v>
      </c>
      <c r="M9" s="14">
        <f>J9/K9-1</f>
        <v/>
      </c>
      <c r="N9" s="7" t="inlineStr">
        <is>
          <t>ACIMA +21.5%</t>
        </is>
      </c>
      <c r="O9" s="7" t="inlineStr"/>
    </row>
    <row r="10">
      <c r="A10" s="7" t="n">
        <v>651111</v>
      </c>
      <c r="B10" s="7" t="inlineStr">
        <is>
          <t>114987</t>
        </is>
      </c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16.95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14">
        <f>J10/K10-1</f>
        <v/>
      </c>
      <c r="N10" s="7" t="inlineStr">
        <is>
          <t>ACIMA +20.4%</t>
        </is>
      </c>
      <c r="O10" s="7" t="inlineStr"/>
    </row>
    <row r="11">
      <c r="A11" s="7" t="n">
        <v>182141</v>
      </c>
      <c r="B11" s="7" t="inlineStr">
        <is>
          <t>193976</t>
        </is>
      </c>
      <c r="C11" s="12" t="inlineStr">
        <is>
          <t>7895296014014</t>
        </is>
      </c>
      <c r="D11" s="7" t="inlineStr">
        <is>
          <t>CLORIDRATO DE TRAMADOL 50MG CX 10 CAP</t>
        </is>
      </c>
      <c r="E11" s="13" t="n">
        <v>1</v>
      </c>
      <c r="F11" s="13" t="n">
        <v>6</v>
      </c>
      <c r="G11" s="13" t="n">
        <v>6</v>
      </c>
      <c r="H11" s="8" t="n">
        <v>4.75</v>
      </c>
      <c r="I11" s="8">
        <f>G11*H11</f>
        <v/>
      </c>
      <c r="J11" s="8">
        <f>H11/E11</f>
        <v/>
      </c>
      <c r="K11" s="8" t="n">
        <v>4.7842</v>
      </c>
      <c r="L11" s="8" t="n">
        <v>4.7842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3433</v>
      </c>
      <c r="B12" s="7" t="inlineStr">
        <is>
          <t>187984</t>
        </is>
      </c>
      <c r="C12" s="12" t="inlineStr">
        <is>
          <t>7898108640692</t>
        </is>
      </c>
      <c r="D12" s="7" t="inlineStr">
        <is>
          <t>CURATIVO REDONDO CICATRISAN C/20 UND</t>
        </is>
      </c>
      <c r="E12" s="13" t="n">
        <v>1</v>
      </c>
      <c r="F12" s="13" t="n">
        <v>2</v>
      </c>
      <c r="G12" s="13" t="n">
        <v>2</v>
      </c>
      <c r="H12" s="8" t="n">
        <v>5.95</v>
      </c>
      <c r="I12" s="8">
        <f>G12*H12</f>
        <v/>
      </c>
      <c r="J12" s="8">
        <f>H12/E12</f>
        <v/>
      </c>
      <c r="K12" s="8" t="n">
        <v>5.815</v>
      </c>
      <c r="L12" s="8" t="n">
        <v>5.815</v>
      </c>
      <c r="M12" s="14">
        <f>J12/K12-1</f>
        <v/>
      </c>
      <c r="N12" s="7" t="inlineStr">
        <is>
          <t>ACIMA +2.3%</t>
        </is>
      </c>
      <c r="O12" s="7" t="inlineStr"/>
    </row>
    <row r="13">
      <c r="A13" s="7" t="n">
        <v>201421</v>
      </c>
      <c r="B13" s="7" t="inlineStr">
        <is>
          <t>194123</t>
        </is>
      </c>
      <c r="C13" s="12" t="inlineStr">
        <is>
          <t>7895296277051</t>
        </is>
      </c>
      <c r="D13" s="7" t="inlineStr">
        <is>
          <t>DEFLAZACORTE 6MG CX 20 COMP</t>
        </is>
      </c>
      <c r="E13" s="13" t="n">
        <v>1</v>
      </c>
      <c r="F13" s="13" t="n">
        <v>1</v>
      </c>
      <c r="G13" s="13" t="n">
        <v>1</v>
      </c>
      <c r="H13" s="8" t="n">
        <v>36.45</v>
      </c>
      <c r="I13" s="8">
        <f>G13*H13</f>
        <v/>
      </c>
      <c r="J13" s="8">
        <f>H13/E13</f>
        <v/>
      </c>
      <c r="K13" s="8" t="n">
        <v>34.39</v>
      </c>
      <c r="L13" s="8" t="n">
        <v>34.39</v>
      </c>
      <c r="M13" s="14">
        <f>J13/K13-1</f>
        <v/>
      </c>
      <c r="N13" s="7" t="inlineStr">
        <is>
          <t>ACIMA +6.0%</t>
        </is>
      </c>
      <c r="O13" s="7" t="inlineStr"/>
    </row>
    <row r="14">
      <c r="A14" s="7" t="n">
        <v>661161</v>
      </c>
      <c r="B14" s="7" t="inlineStr">
        <is>
          <t>190659</t>
        </is>
      </c>
      <c r="C14" s="12" t="inlineStr">
        <is>
          <t>7898569767556</t>
        </is>
      </c>
      <c r="D14" s="7" t="inlineStr">
        <is>
          <t>DESVENLAFAXINA 50MG CX 30 COMP REV</t>
        </is>
      </c>
      <c r="E14" s="13" t="n">
        <v>1</v>
      </c>
      <c r="F14" s="13" t="n">
        <v>1</v>
      </c>
      <c r="G14" s="13" t="n">
        <v>1</v>
      </c>
      <c r="H14" s="8" t="n">
        <v>29.27</v>
      </c>
      <c r="I14" s="8">
        <f>G14*H14</f>
        <v/>
      </c>
      <c r="J14" s="8">
        <f>H14/E14</f>
        <v/>
      </c>
      <c r="K14" s="8" t="n">
        <v>24.56</v>
      </c>
      <c r="L14" s="8" t="n">
        <v>24.56</v>
      </c>
      <c r="M14" s="14">
        <f>J14/K14-1</f>
        <v/>
      </c>
      <c r="N14" s="7" t="inlineStr">
        <is>
          <t>ACIMA +19.2%</t>
        </is>
      </c>
      <c r="O14" s="7" t="inlineStr"/>
    </row>
    <row r="15">
      <c r="A15" s="7" t="n">
        <v>150061</v>
      </c>
      <c r="B15" s="7" t="inlineStr">
        <is>
          <t>162922</t>
        </is>
      </c>
      <c r="C15" s="12" t="inlineStr">
        <is>
          <t>7895296053044</t>
        </is>
      </c>
      <c r="D15" s="7" t="inlineStr">
        <is>
          <t>DICLORIDRATO DE HIDROXIZINA 25MG CX 30 COMP</t>
        </is>
      </c>
      <c r="E15" s="13" t="n">
        <v>1</v>
      </c>
      <c r="F15" s="13" t="n">
        <v>1</v>
      </c>
      <c r="G15" s="13" t="n">
        <v>1</v>
      </c>
      <c r="H15" s="8" t="n">
        <v>28.55</v>
      </c>
      <c r="I15" s="8">
        <f>G15*H15</f>
        <v/>
      </c>
      <c r="J15" s="8">
        <f>H15/E15</f>
        <v/>
      </c>
      <c r="K15" s="8" t="n">
        <v>26.56</v>
      </c>
      <c r="L15" s="8" t="n">
        <v>26.56</v>
      </c>
      <c r="M15" s="14">
        <f>J15/K15-1</f>
        <v/>
      </c>
      <c r="N15" s="7" t="inlineStr">
        <is>
          <t>ACIMA +7.5%</t>
        </is>
      </c>
      <c r="O15" s="7" t="inlineStr"/>
    </row>
    <row r="16">
      <c r="A16" s="7" t="n">
        <v>238761</v>
      </c>
      <c r="B16" s="7" t="inlineStr">
        <is>
          <t>194379</t>
        </is>
      </c>
      <c r="C16" s="12" t="inlineStr">
        <is>
          <t>7895296100038</t>
        </is>
      </c>
      <c r="D16" s="7" t="inlineStr">
        <is>
          <t>DROSPIRENONA+ETINILESTRADIOL 3+0,03MG CX 21 COMP REV</t>
        </is>
      </c>
      <c r="E16" s="13" t="n">
        <v>1</v>
      </c>
      <c r="F16" s="13" t="n">
        <v>11</v>
      </c>
      <c r="G16" s="13" t="n">
        <v>11</v>
      </c>
      <c r="H16" s="8" t="n">
        <v>10.39</v>
      </c>
      <c r="I16" s="8">
        <f>G16*H16</f>
        <v/>
      </c>
      <c r="J16" s="8">
        <f>H16/E16</f>
        <v/>
      </c>
      <c r="K16" s="8" t="n">
        <v>10.44</v>
      </c>
      <c r="L16" s="8" t="n">
        <v>8.948700000000001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648331</v>
      </c>
      <c r="B17" s="7" t="inlineStr">
        <is>
          <t>188158</t>
        </is>
      </c>
      <c r="C17" s="12" t="inlineStr">
        <is>
          <t>7898108640944</t>
        </is>
      </c>
      <c r="D17" s="7" t="inlineStr">
        <is>
          <t>ESPARAD IMPERM SANFARMA 50MMX4,5M</t>
        </is>
      </c>
      <c r="E17" s="13" t="n">
        <v>1</v>
      </c>
      <c r="F17" s="13" t="n">
        <v>1</v>
      </c>
      <c r="G17" s="13" t="n">
        <v>1</v>
      </c>
      <c r="H17" s="8" t="n">
        <v>13.85</v>
      </c>
      <c r="I17" s="8">
        <f>G17*H17</f>
        <v/>
      </c>
      <c r="J17" s="8">
        <f>H17/E17</f>
        <v/>
      </c>
      <c r="K17" s="8" t="n">
        <v>11.4</v>
      </c>
      <c r="L17" s="8" t="n">
        <v>11.4</v>
      </c>
      <c r="M17" s="14">
        <f>J17/K17-1</f>
        <v/>
      </c>
      <c r="N17" s="7" t="inlineStr">
        <is>
          <t>ACIMA +21.5%</t>
        </is>
      </c>
      <c r="O17" s="7" t="inlineStr"/>
    </row>
    <row r="18">
      <c r="A18" s="7" t="n">
        <v>660351</v>
      </c>
      <c r="B18" s="7" t="inlineStr">
        <is>
          <t>194328</t>
        </is>
      </c>
      <c r="C18" s="12" t="inlineStr">
        <is>
          <t>7896472521845</t>
        </is>
      </c>
      <c r="D18" s="7" t="inlineStr">
        <is>
          <t>EZETIMIBA 10MG 30 CPR</t>
        </is>
      </c>
      <c r="E18" s="13" t="n">
        <v>1</v>
      </c>
      <c r="F18" s="13" t="n">
        <v>6</v>
      </c>
      <c r="G18" s="13" t="n">
        <v>6</v>
      </c>
      <c r="H18" s="8" t="n">
        <v>16.49</v>
      </c>
      <c r="I18" s="8">
        <f>G18*H18</f>
        <v/>
      </c>
      <c r="J18" s="8">
        <f>H18/E18</f>
        <v/>
      </c>
      <c r="K18" s="8" t="n">
        <v>15.99</v>
      </c>
      <c r="L18" s="8" t="n">
        <v>15.99</v>
      </c>
      <c r="M18" s="14">
        <f>J18/K18-1</f>
        <v/>
      </c>
      <c r="N18" s="7" t="inlineStr">
        <is>
          <t>ACIMA +3.1%</t>
        </is>
      </c>
      <c r="O18" s="7" t="inlineStr"/>
    </row>
    <row r="19">
      <c r="A19" s="7" t="n">
        <v>249001</v>
      </c>
      <c r="B19" s="7" t="inlineStr">
        <is>
          <t>194280</t>
        </is>
      </c>
      <c r="C19" s="12" t="inlineStr">
        <is>
          <t>7895296276047</t>
        </is>
      </c>
      <c r="D19" s="7" t="inlineStr">
        <is>
          <t>FINASTERIDA 5MG CX 30 COMP REV</t>
        </is>
      </c>
      <c r="E19" s="13" t="n">
        <v>1</v>
      </c>
      <c r="F19" s="13" t="n">
        <v>2</v>
      </c>
      <c r="G19" s="13" t="n">
        <v>2</v>
      </c>
      <c r="H19" s="8" t="n">
        <v>19.99</v>
      </c>
      <c r="I19" s="8">
        <f>G19*H19</f>
        <v/>
      </c>
      <c r="J19" s="8">
        <f>H19/E19</f>
        <v/>
      </c>
      <c r="K19" s="8" t="n">
        <v>18.78</v>
      </c>
      <c r="L19" s="8" t="n">
        <v>18.78</v>
      </c>
      <c r="M19" s="14">
        <f>J19/K19-1</f>
        <v/>
      </c>
      <c r="N19" s="7" t="inlineStr">
        <is>
          <t>ACIMA +6.4%</t>
        </is>
      </c>
      <c r="O19" s="7" t="inlineStr"/>
    </row>
    <row r="20">
      <c r="A20" s="7" t="n">
        <v>645451</v>
      </c>
      <c r="B20" s="7" t="inlineStr">
        <is>
          <t>62685</t>
        </is>
      </c>
      <c r="C20" s="12" t="inlineStr">
        <is>
          <t>7898108641262</t>
        </is>
      </c>
      <c r="D20" s="7" t="inlineStr">
        <is>
          <t>FITA MICROPOROSA SANFARMA 25MMX4,5M</t>
        </is>
      </c>
      <c r="E20" s="13" t="n">
        <v>1</v>
      </c>
      <c r="F20" s="13" t="n">
        <v>2</v>
      </c>
      <c r="G20" s="13" t="n">
        <v>2</v>
      </c>
      <c r="H20" s="8" t="n">
        <v>4.65</v>
      </c>
      <c r="I20" s="8">
        <f>G20*H20</f>
        <v/>
      </c>
      <c r="J20" s="8">
        <f>H20/E20</f>
        <v/>
      </c>
      <c r="K20" s="8" t="n">
        <v>4.09</v>
      </c>
      <c r="L20" s="8" t="n">
        <v>4.09</v>
      </c>
      <c r="M20" s="14">
        <f>J20/K20-1</f>
        <v/>
      </c>
      <c r="N20" s="7" t="inlineStr">
        <is>
          <t>ACIMA +13.7%</t>
        </is>
      </c>
      <c r="O20" s="7" t="inlineStr"/>
    </row>
    <row r="21">
      <c r="A21" s="7" t="n">
        <v>294061</v>
      </c>
      <c r="B21" s="7" t="inlineStr">
        <is>
          <t>141305</t>
        </is>
      </c>
      <c r="C21" s="12" t="inlineStr">
        <is>
          <t>7898569763633</t>
        </is>
      </c>
      <c r="D21" s="7" t="inlineStr">
        <is>
          <t>IBANDRONATO DE SODIO 150MG CX 1 COMP REV</t>
        </is>
      </c>
      <c r="E21" s="13" t="n">
        <v>1</v>
      </c>
      <c r="F21" s="13" t="n">
        <v>1</v>
      </c>
      <c r="G21" s="13" t="n">
        <v>1</v>
      </c>
      <c r="H21" s="8" t="n">
        <v>24.46</v>
      </c>
      <c r="I21" s="8">
        <f>G21*H21</f>
        <v/>
      </c>
      <c r="J21" s="8">
        <f>H21/E21</f>
        <v/>
      </c>
      <c r="K21" s="8" t="n">
        <v>19.51</v>
      </c>
      <c r="L21" s="8" t="n">
        <v>19.51</v>
      </c>
      <c r="M21" s="14">
        <f>J21/K21-1</f>
        <v/>
      </c>
      <c r="N21" s="7" t="inlineStr">
        <is>
          <t>ACIMA +25.4%</t>
        </is>
      </c>
      <c r="O21" s="7" t="inlineStr"/>
    </row>
    <row r="22">
      <c r="A22" s="7" t="n">
        <v>630321</v>
      </c>
      <c r="B22" s="7" t="inlineStr">
        <is>
          <t>179620</t>
        </is>
      </c>
      <c r="C22" s="12" t="inlineStr">
        <is>
          <t>7898687735918</t>
        </is>
      </c>
      <c r="D22" s="7" t="inlineStr">
        <is>
          <t>IROSE  NITAZOXANIDA 20MG/ML PO SUS OR FR 100ML+SER DOS</t>
        </is>
      </c>
      <c r="E22" s="13" t="n">
        <v>1</v>
      </c>
      <c r="F22" s="13" t="n">
        <v>11</v>
      </c>
      <c r="G22" s="13" t="n">
        <v>11</v>
      </c>
      <c r="H22" s="8" t="n">
        <v>15.11</v>
      </c>
      <c r="I22" s="8">
        <f>G22*H22</f>
        <v/>
      </c>
      <c r="J22" s="8">
        <f>H22/E22</f>
        <v/>
      </c>
      <c r="K22" s="8" t="n">
        <v>14.56</v>
      </c>
      <c r="L22" s="8" t="n">
        <v>14.56</v>
      </c>
      <c r="M22" s="14">
        <f>J22/K22-1</f>
        <v/>
      </c>
      <c r="N22" s="7" t="inlineStr">
        <is>
          <t>ACIMA +3.8%</t>
        </is>
      </c>
      <c r="O22" s="7" t="inlineStr"/>
    </row>
    <row r="23">
      <c r="A23" s="7" t="n">
        <v>305921</v>
      </c>
      <c r="B23" s="7" t="inlineStr">
        <is>
          <t>194093</t>
        </is>
      </c>
      <c r="C23" s="12" t="inlineStr">
        <is>
          <t>7895296043069</t>
        </is>
      </c>
      <c r="D23" s="7" t="inlineStr">
        <is>
          <t>ISOTRETINOINA 20MG CX 30 CAP</t>
        </is>
      </c>
      <c r="E23" s="13" t="n">
        <v>1</v>
      </c>
      <c r="F23" s="13" t="n">
        <v>1</v>
      </c>
      <c r="G23" s="13" t="n">
        <v>1</v>
      </c>
      <c r="H23" s="8" t="n">
        <v>36.39</v>
      </c>
      <c r="I23" s="8">
        <f>G23*H23</f>
        <v/>
      </c>
      <c r="J23" s="8">
        <f>H23/E23</f>
        <v/>
      </c>
      <c r="K23" s="8" t="n">
        <v>31.09</v>
      </c>
      <c r="L23" s="8" t="n">
        <v>31.09</v>
      </c>
      <c r="M23" s="14">
        <f>J23/K23-1</f>
        <v/>
      </c>
      <c r="N23" s="7" t="inlineStr">
        <is>
          <t>ACIMA +17.0%</t>
        </is>
      </c>
      <c r="O23" s="7" t="inlineStr"/>
    </row>
    <row r="24">
      <c r="A24" s="7" t="n">
        <v>336001</v>
      </c>
      <c r="B24" s="7" t="inlineStr">
        <is>
          <t>132721</t>
        </is>
      </c>
      <c r="C24" s="12" t="inlineStr">
        <is>
          <t>7898945030212</t>
        </is>
      </c>
      <c r="D24" s="7" t="inlineStr">
        <is>
          <t>MALEATO DE TRIMEBUTINA 200MG CX 30 COMP</t>
        </is>
      </c>
      <c r="E24" s="13" t="n">
        <v>1</v>
      </c>
      <c r="F24" s="13" t="n">
        <v>1</v>
      </c>
      <c r="G24" s="13" t="n">
        <v>1</v>
      </c>
      <c r="H24" s="8" t="n">
        <v>34.66</v>
      </c>
      <c r="I24" s="8">
        <f>G24*H24</f>
        <v/>
      </c>
      <c r="J24" s="8">
        <f>H24/E24</f>
        <v/>
      </c>
      <c r="K24" s="8" t="n">
        <v>33.8</v>
      </c>
      <c r="L24" s="8" t="n">
        <v>31.95</v>
      </c>
      <c r="M24" s="14">
        <f>J24/K24-1</f>
        <v/>
      </c>
      <c r="N24" s="7" t="inlineStr">
        <is>
          <t>ACIMA +2.5%</t>
        </is>
      </c>
      <c r="O24" s="7" t="inlineStr"/>
    </row>
    <row r="25">
      <c r="A25" s="7" t="n">
        <v>652061</v>
      </c>
      <c r="B25" s="7" t="inlineStr">
        <is>
          <t>184640</t>
        </is>
      </c>
      <c r="C25" s="12" t="inlineStr">
        <is>
          <t>7891317029951</t>
        </is>
      </c>
      <c r="D25" s="7" t="inlineStr">
        <is>
          <t>MAQ SENIOR PREMIUM 30CPR-DEMAIS PROD</t>
        </is>
      </c>
      <c r="E25" s="13" t="n">
        <v>1</v>
      </c>
      <c r="F25" s="13" t="n">
        <v>1</v>
      </c>
      <c r="G25" s="13" t="n">
        <v>1</v>
      </c>
      <c r="H25" s="8" t="n">
        <v>39.15</v>
      </c>
      <c r="I25" s="8">
        <f>G25*H25</f>
        <v/>
      </c>
      <c r="J25" s="8">
        <f>H25/E25</f>
        <v/>
      </c>
      <c r="K25" s="8" t="n">
        <v>40.97</v>
      </c>
      <c r="L25" s="8" t="n">
        <v>40.97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613381</v>
      </c>
      <c r="B26" s="7" t="inlineStr">
        <is>
          <t>190764</t>
        </is>
      </c>
      <c r="C26" s="12" t="inlineStr">
        <is>
          <t>7898687730487</t>
        </is>
      </c>
      <c r="D26" s="7" t="inlineStr">
        <is>
          <t>NITAZOXANIDA 20MG/ML PO SUS OR FR 100ML+SER DOS</t>
        </is>
      </c>
      <c r="E26" s="13" t="n">
        <v>1</v>
      </c>
      <c r="F26" s="13" t="n">
        <v>7</v>
      </c>
      <c r="G26" s="13" t="n">
        <v>7</v>
      </c>
      <c r="H26" s="8" t="n">
        <v>15.07</v>
      </c>
      <c r="I26" s="8">
        <f>G26*H26</f>
        <v/>
      </c>
      <c r="J26" s="8">
        <f>H26/E26</f>
        <v/>
      </c>
      <c r="K26" s="8" t="n">
        <v>12.23</v>
      </c>
      <c r="L26" s="8" t="n">
        <v>12.23</v>
      </c>
      <c r="M26" s="14">
        <f>J26/K26-1</f>
        <v/>
      </c>
      <c r="N26" s="7" t="inlineStr">
        <is>
          <t>ACIMA +23.2%</t>
        </is>
      </c>
      <c r="O26" s="7" t="inlineStr"/>
    </row>
    <row r="27">
      <c r="A27" s="7" t="n">
        <v>610201</v>
      </c>
      <c r="B27" s="7" t="inlineStr">
        <is>
          <t>190721</t>
        </is>
      </c>
      <c r="C27" s="12" t="inlineStr">
        <is>
          <t>7898687730470</t>
        </is>
      </c>
      <c r="D27" s="7" t="inlineStr">
        <is>
          <t>NITAZOXANIDA 20MG/ML PO SUS OR FR 45ML+SER DOS</t>
        </is>
      </c>
      <c r="E27" s="13" t="n">
        <v>1</v>
      </c>
      <c r="F27" s="13" t="n">
        <v>11</v>
      </c>
      <c r="G27" s="13" t="n">
        <v>11</v>
      </c>
      <c r="H27" s="8" t="n">
        <v>7.68</v>
      </c>
      <c r="I27" s="8">
        <f>G27*H27</f>
        <v/>
      </c>
      <c r="J27" s="8">
        <f>H27/E27</f>
        <v/>
      </c>
      <c r="K27" s="8" t="n">
        <v>6.62</v>
      </c>
      <c r="L27" s="8" t="n">
        <v>6.62</v>
      </c>
      <c r="M27" s="14">
        <f>J27/K27-1</f>
        <v/>
      </c>
      <c r="N27" s="7" t="inlineStr">
        <is>
          <t>ACIMA +16.0%</t>
        </is>
      </c>
      <c r="O27" s="7" t="inlineStr"/>
    </row>
    <row r="28">
      <c r="A28" s="7" t="n">
        <v>375941</v>
      </c>
      <c r="B28" s="7" t="inlineStr">
        <is>
          <t>143162</t>
        </is>
      </c>
      <c r="C28" s="12" t="inlineStr">
        <is>
          <t>7898569763015</t>
        </is>
      </c>
      <c r="D28" s="7" t="inlineStr">
        <is>
          <t>OLMESARTANA MEDOXOMILA 20MG CX 30 COMP REV</t>
        </is>
      </c>
      <c r="E28" s="13" t="n">
        <v>1</v>
      </c>
      <c r="F28" s="13" t="n">
        <v>3</v>
      </c>
      <c r="G28" s="13" t="n">
        <v>3</v>
      </c>
      <c r="H28" s="8" t="n">
        <v>14.13</v>
      </c>
      <c r="I28" s="8">
        <f>G28*H28</f>
        <v/>
      </c>
      <c r="J28" s="8">
        <f>H28/E28</f>
        <v/>
      </c>
      <c r="K28" s="8" t="n">
        <v>11.77</v>
      </c>
      <c r="L28" s="8" t="n">
        <v>9.99</v>
      </c>
      <c r="M28" s="14">
        <f>J28/K28-1</f>
        <v/>
      </c>
      <c r="N28" s="7" t="inlineStr">
        <is>
          <t>ACIMA +20.1%</t>
        </is>
      </c>
      <c r="O28" s="7" t="inlineStr"/>
    </row>
    <row r="29">
      <c r="A29" s="7" t="n">
        <v>388861</v>
      </c>
      <c r="B29" s="7" t="inlineStr">
        <is>
          <t>193720</t>
        </is>
      </c>
      <c r="C29" s="12" t="inlineStr">
        <is>
          <t>7895296199025</t>
        </is>
      </c>
      <c r="D29" s="7" t="inlineStr">
        <is>
          <t>PANTOPRAZOL 20MG CX 4BL X 7 COMP REV</t>
        </is>
      </c>
      <c r="E29" s="13" t="n">
        <v>1</v>
      </c>
      <c r="F29" s="13" t="n">
        <v>1</v>
      </c>
      <c r="G29" s="13" t="n">
        <v>1</v>
      </c>
      <c r="H29" s="8" t="n">
        <v>4.69</v>
      </c>
      <c r="I29" s="8">
        <f>G29*H29</f>
        <v/>
      </c>
      <c r="J29" s="8">
        <f>H29/E29</f>
        <v/>
      </c>
      <c r="K29" s="8" t="n">
        <v>6.5</v>
      </c>
      <c r="L29" s="8" t="n">
        <v>6.38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407821</v>
      </c>
      <c r="B30" s="7" t="inlineStr">
        <is>
          <t>190837</t>
        </is>
      </c>
      <c r="C30" s="12" t="inlineStr">
        <is>
          <t>7898569765347</t>
        </is>
      </c>
      <c r="D30" s="7" t="inlineStr">
        <is>
          <t>PREDNISOLONA 5MG CX 10 COMP</t>
        </is>
      </c>
      <c r="E30" s="13" t="n">
        <v>1</v>
      </c>
      <c r="F30" s="13" t="n">
        <v>3</v>
      </c>
      <c r="G30" s="13" t="n">
        <v>3</v>
      </c>
      <c r="H30" s="8" t="n">
        <v>4.22</v>
      </c>
      <c r="I30" s="8">
        <f>G30*H30</f>
        <v/>
      </c>
      <c r="J30" s="8">
        <f>H30/E30</f>
        <v/>
      </c>
      <c r="K30" s="8" t="n">
        <v>4.32</v>
      </c>
      <c r="L30" s="8" t="n">
        <v>4.32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409221</v>
      </c>
      <c r="B31" s="7" t="inlineStr">
        <is>
          <t>193518</t>
        </is>
      </c>
      <c r="C31" s="12" t="inlineStr">
        <is>
          <t>7895296286022</t>
        </is>
      </c>
      <c r="D31" s="7" t="inlineStr">
        <is>
          <t>PREDNISONA 5MG CX 20 COMP</t>
        </is>
      </c>
      <c r="E31" s="13" t="n">
        <v>1</v>
      </c>
      <c r="F31" s="13" t="n">
        <v>2</v>
      </c>
      <c r="G31" s="13" t="n">
        <v>2</v>
      </c>
      <c r="H31" s="8" t="n">
        <v>4.49</v>
      </c>
      <c r="I31" s="8">
        <f>G31*H31</f>
        <v/>
      </c>
      <c r="J31" s="8">
        <f>H31/E31</f>
        <v/>
      </c>
      <c r="K31" s="8" t="n">
        <v>4.28</v>
      </c>
      <c r="L31" s="8" t="n">
        <v>4.28</v>
      </c>
      <c r="M31" s="14">
        <f>J31/K31-1</f>
        <v/>
      </c>
      <c r="N31" s="7" t="inlineStr">
        <is>
          <t>ACIMA +4.9%</t>
        </is>
      </c>
      <c r="O31" s="7" t="inlineStr"/>
    </row>
    <row r="32">
      <c r="A32" s="7" t="n">
        <v>414621</v>
      </c>
      <c r="B32" s="7" t="inlineStr">
        <is>
          <t>193470</t>
        </is>
      </c>
      <c r="C32" s="12" t="inlineStr">
        <is>
          <t>7895296210324</t>
        </is>
      </c>
      <c r="D32" s="7" t="inlineStr">
        <is>
          <t>PROPIONATO DE CLOBETASOL 0,5MG/G CREME DERM BG 30G</t>
        </is>
      </c>
      <c r="E32" s="13" t="n">
        <v>1</v>
      </c>
      <c r="F32" s="13" t="n">
        <v>7</v>
      </c>
      <c r="G32" s="13" t="n">
        <v>7</v>
      </c>
      <c r="H32" s="8" t="n">
        <v>6.85</v>
      </c>
      <c r="I32" s="8">
        <f>G32*H32</f>
        <v/>
      </c>
      <c r="J32" s="8">
        <f>H32/E32</f>
        <v/>
      </c>
      <c r="K32" s="8" t="n">
        <v>6.19</v>
      </c>
      <c r="L32" s="8" t="n">
        <v>6.19</v>
      </c>
      <c r="M32" s="14">
        <f>J32/K32-1</f>
        <v/>
      </c>
      <c r="N32" s="7" t="inlineStr">
        <is>
          <t>ACIMA +10.7%</t>
        </is>
      </c>
      <c r="O32" s="7" t="inlineStr"/>
    </row>
    <row r="33">
      <c r="A33" s="7" t="n">
        <v>428321</v>
      </c>
      <c r="B33" s="7" t="inlineStr">
        <is>
          <t>138550</t>
        </is>
      </c>
      <c r="C33" s="12" t="inlineStr">
        <is>
          <t>7895296096034</t>
        </is>
      </c>
      <c r="D33" s="7" t="inlineStr">
        <is>
          <t>PVV - ROSUVASTATINA CALCICA 10MG CX 30 COMP REV</t>
        </is>
      </c>
      <c r="E33" s="13" t="n">
        <v>1</v>
      </c>
      <c r="F33" s="13" t="n">
        <v>3</v>
      </c>
      <c r="G33" s="13" t="n">
        <v>3</v>
      </c>
      <c r="H33" s="8" t="n">
        <v>6.79</v>
      </c>
      <c r="I33" s="8">
        <f>G33*H33</f>
        <v/>
      </c>
      <c r="J33" s="8">
        <f>H33/E33</f>
        <v/>
      </c>
      <c r="K33" s="8" t="n">
        <v>7.9862</v>
      </c>
      <c r="L33" s="8" t="n">
        <v>7.9862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428101</v>
      </c>
      <c r="B34" s="7" t="inlineStr">
        <is>
          <t>190616</t>
        </is>
      </c>
      <c r="C34" s="12" t="inlineStr">
        <is>
          <t>7898569760458</t>
        </is>
      </c>
      <c r="D34" s="7" t="inlineStr">
        <is>
          <t>ROSUVASTATINA CALCICA 10MG CX 30 COMP REV</t>
        </is>
      </c>
      <c r="E34" s="13" t="n">
        <v>1</v>
      </c>
      <c r="F34" s="13" t="n">
        <v>1</v>
      </c>
      <c r="G34" s="13" t="n">
        <v>1</v>
      </c>
      <c r="H34" s="8" t="n">
        <v>7.14</v>
      </c>
      <c r="I34" s="8">
        <f>G34*H34</f>
        <v/>
      </c>
      <c r="J34" s="8">
        <f>H34/E34</f>
        <v/>
      </c>
      <c r="K34" s="8" t="n">
        <v>3.89</v>
      </c>
      <c r="L34" s="8" t="n">
        <v>3.89</v>
      </c>
      <c r="M34" s="14">
        <f>J34/K34-1</f>
        <v/>
      </c>
      <c r="N34" s="7" t="inlineStr">
        <is>
          <t>ACIMA +83.5%</t>
        </is>
      </c>
      <c r="O34" s="7" t="inlineStr"/>
    </row>
    <row r="35">
      <c r="A35" s="7" t="n">
        <v>428181</v>
      </c>
      <c r="B35" s="7" t="inlineStr">
        <is>
          <t>190535</t>
        </is>
      </c>
      <c r="C35" s="12" t="inlineStr">
        <is>
          <t>7898569760496</t>
        </is>
      </c>
      <c r="D35" s="7" t="inlineStr">
        <is>
          <t>ROSUVASTATINA CALCICA 20MG CX 30 COMP REV</t>
        </is>
      </c>
      <c r="E35" s="13" t="n">
        <v>1</v>
      </c>
      <c r="F35" s="13" t="n">
        <v>5</v>
      </c>
      <c r="G35" s="13" t="n">
        <v>5</v>
      </c>
      <c r="H35" s="8" t="n">
        <v>13.84</v>
      </c>
      <c r="I35" s="8">
        <f>G35*H35</f>
        <v/>
      </c>
      <c r="J35" s="8">
        <f>H35/E35</f>
        <v/>
      </c>
      <c r="K35" s="8" t="n">
        <v>6.83</v>
      </c>
      <c r="L35" s="8" t="n">
        <v>6.83</v>
      </c>
      <c r="M35" s="14">
        <f>J35/K35-1</f>
        <v/>
      </c>
      <c r="N35" s="7" t="inlineStr">
        <is>
          <t>ACIMA +102.6%</t>
        </is>
      </c>
      <c r="O35" s="7" t="inlineStr">
        <is>
          <t>conferir emb.</t>
        </is>
      </c>
    </row>
    <row r="36">
      <c r="A36" s="7" t="n">
        <v>630531</v>
      </c>
      <c r="B36" s="7" t="inlineStr">
        <is>
          <t>200441</t>
        </is>
      </c>
      <c r="C36" s="12" t="inlineStr">
        <is>
          <t>7892643940019</t>
        </is>
      </c>
      <c r="D36" s="7" t="inlineStr">
        <is>
          <t>SORO FISIOLOGICO 0,9% 500ML - SANDOM</t>
        </is>
      </c>
      <c r="E36" s="13" t="n">
        <v>1</v>
      </c>
      <c r="F36" s="13" t="n">
        <v>183</v>
      </c>
      <c r="G36" s="13" t="n">
        <v>183</v>
      </c>
      <c r="H36" s="8" t="n">
        <v>4.99</v>
      </c>
      <c r="I36" s="8">
        <f>G36*H36</f>
        <v/>
      </c>
      <c r="J36" s="8">
        <f>H36/E36</f>
        <v/>
      </c>
      <c r="K36" s="8" t="n">
        <v>3.89</v>
      </c>
      <c r="L36" s="8" t="n">
        <v>3.89</v>
      </c>
      <c r="M36" s="14">
        <f>J36/K36-1</f>
        <v/>
      </c>
      <c r="N36" s="7" t="inlineStr">
        <is>
          <t>ACIMA +28.3%</t>
        </is>
      </c>
      <c r="O36" s="7" t="inlineStr"/>
    </row>
    <row r="37">
      <c r="A37" s="7" t="n">
        <v>457261</v>
      </c>
      <c r="B37" s="7" t="inlineStr">
        <is>
          <t>193143</t>
        </is>
      </c>
      <c r="C37" s="12" t="inlineStr">
        <is>
          <t>7895296240031</t>
        </is>
      </c>
      <c r="D37" s="7" t="inlineStr">
        <is>
          <t>TADALAFILA 5MG CX 2BL X 15 COMP REV</t>
        </is>
      </c>
      <c r="E37" s="13" t="n">
        <v>1</v>
      </c>
      <c r="F37" s="13" t="n">
        <v>2</v>
      </c>
      <c r="G37" s="13" t="n">
        <v>2</v>
      </c>
      <c r="H37" s="8" t="n">
        <v>3.69</v>
      </c>
      <c r="I37" s="8">
        <f>G37*H37</f>
        <v/>
      </c>
      <c r="J37" s="8">
        <f>H37/E37</f>
        <v/>
      </c>
      <c r="K37" s="8" t="n">
        <v>3.74</v>
      </c>
      <c r="L37" s="8" t="n">
        <v>3.74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460261</v>
      </c>
      <c r="B38" s="7" t="inlineStr">
        <is>
          <t>161691</t>
        </is>
      </c>
      <c r="C38" s="12" t="inlineStr">
        <is>
          <t>7898569762858</t>
        </is>
      </c>
      <c r="D38" s="7" t="inlineStr">
        <is>
          <t>TELMISARTANA 80MG CX 30 COMP</t>
        </is>
      </c>
      <c r="E38" s="13" t="n">
        <v>1</v>
      </c>
      <c r="F38" s="13" t="n">
        <v>1</v>
      </c>
      <c r="G38" s="13" t="n">
        <v>1</v>
      </c>
      <c r="H38" s="8" t="n">
        <v>48.63</v>
      </c>
      <c r="I38" s="8">
        <f>G38*H38</f>
        <v/>
      </c>
      <c r="J38" s="8">
        <f>H38/E38</f>
        <v/>
      </c>
      <c r="K38" s="8" t="n">
        <v>41.255</v>
      </c>
      <c r="L38" s="8" t="n">
        <v>41.255</v>
      </c>
      <c r="M38" s="14">
        <f>J38/K38-1</f>
        <v/>
      </c>
      <c r="N38" s="7" t="inlineStr">
        <is>
          <t>ACIMA +17.9%</t>
        </is>
      </c>
      <c r="O38" s="7" t="inlineStr"/>
    </row>
    <row r="39">
      <c r="A39" s="7" t="n">
        <v>462441</v>
      </c>
      <c r="B39" s="7" t="inlineStr">
        <is>
          <t>193135</t>
        </is>
      </c>
      <c r="C39" s="12" t="inlineStr">
        <is>
          <t>7895296132039</t>
        </is>
      </c>
      <c r="D39" s="7" t="inlineStr">
        <is>
          <t>TIBOLONA 2,5MG  CX 30 COMP</t>
        </is>
      </c>
      <c r="E39" s="13" t="n">
        <v>1</v>
      </c>
      <c r="F39" s="13" t="n">
        <v>3</v>
      </c>
      <c r="G39" s="13" t="n">
        <v>3</v>
      </c>
      <c r="H39" s="8" t="n">
        <v>24.85</v>
      </c>
      <c r="I39" s="8">
        <f>G39*H39</f>
        <v/>
      </c>
      <c r="J39" s="8">
        <f>H39/E39</f>
        <v/>
      </c>
      <c r="K39" s="8" t="n">
        <v>25.2</v>
      </c>
      <c r="L39" s="8" t="n">
        <v>24.21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648221</v>
      </c>
      <c r="B40" s="7" t="inlineStr">
        <is>
          <t>204820</t>
        </is>
      </c>
      <c r="C40" s="12" t="inlineStr">
        <is>
          <t>6939184632407</t>
        </is>
      </c>
      <c r="D40" s="7" t="inlineStr">
        <is>
          <t>TIRA DE TESTE DE GLICOSE C/50 UND</t>
        </is>
      </c>
      <c r="E40" s="13" t="n">
        <v>1</v>
      </c>
      <c r="F40" s="13" t="n">
        <v>2</v>
      </c>
      <c r="G40" s="13" t="n">
        <v>2</v>
      </c>
      <c r="H40" s="8" t="n">
        <v>29.9</v>
      </c>
      <c r="I40" s="8">
        <f>G40*H40</f>
        <v/>
      </c>
      <c r="J40" s="8">
        <f>H40/E40</f>
        <v/>
      </c>
      <c r="K40" s="8" t="n">
        <v>44.53</v>
      </c>
      <c r="L40" s="8" t="n">
        <v>44.53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662781</v>
      </c>
      <c r="B41" s="7" t="inlineStr">
        <is>
          <t>192929</t>
        </is>
      </c>
      <c r="C41" s="12" t="inlineStr">
        <is>
          <t>7896472521784</t>
        </is>
      </c>
      <c r="D41" s="7" t="inlineStr">
        <is>
          <t>VALSARTANA 320MG 30 COM-NQ</t>
        </is>
      </c>
      <c r="E41" s="13" t="n">
        <v>1</v>
      </c>
      <c r="F41" s="13" t="n">
        <v>5</v>
      </c>
      <c r="G41" s="13" t="n">
        <v>5</v>
      </c>
      <c r="H41" s="8" t="n">
        <v>25.05</v>
      </c>
      <c r="I41" s="8">
        <f>G41*H41</f>
        <v/>
      </c>
      <c r="J41" s="8">
        <f>H41/E41</f>
        <v/>
      </c>
      <c r="K41" s="8" t="n">
        <v>25.39</v>
      </c>
      <c r="L41" s="8" t="n">
        <v>25.39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653221</v>
      </c>
      <c r="B42" s="7" t="inlineStr">
        <is>
          <t>190624</t>
        </is>
      </c>
      <c r="C42" s="12" t="inlineStr">
        <is>
          <t>7898687737684</t>
        </is>
      </c>
      <c r="D42" s="7" t="inlineStr">
        <is>
          <t>VITAMINA D 50000UI CX 12 CAP</t>
        </is>
      </c>
      <c r="E42" s="13" t="n">
        <v>1</v>
      </c>
      <c r="F42" s="13" t="n">
        <v>1</v>
      </c>
      <c r="G42" s="13" t="n">
        <v>1</v>
      </c>
      <c r="H42" s="8" t="n">
        <v>35.43</v>
      </c>
      <c r="I42" s="8">
        <f>G42*H42</f>
        <v/>
      </c>
      <c r="J42" s="8">
        <f>H42/E42</f>
        <v/>
      </c>
      <c r="K42" s="8" t="n">
        <v>29.28</v>
      </c>
      <c r="L42" s="8" t="n">
        <v>29.28</v>
      </c>
      <c r="M42" s="14">
        <f>J42/K42-1</f>
        <v/>
      </c>
      <c r="N42" s="7" t="inlineStr">
        <is>
          <t>ACIMA +21.0%</t>
        </is>
      </c>
      <c r="O42" s="7" t="inlineStr"/>
    </row>
    <row r="43">
      <c r="A43" s="7" t="n">
        <v>193221</v>
      </c>
      <c r="B43" s="7" t="inlineStr">
        <is>
          <t>143685</t>
        </is>
      </c>
      <c r="C43" s="12" t="inlineStr">
        <is>
          <t>7898569765149</t>
        </is>
      </c>
      <c r="D43" s="7" t="inlineStr">
        <is>
          <t>VITAMINA D3 10000UI CX 30 CAP</t>
        </is>
      </c>
      <c r="E43" s="13" t="n">
        <v>1</v>
      </c>
      <c r="F43" s="13" t="n">
        <v>2</v>
      </c>
      <c r="G43" s="13" t="n">
        <v>2</v>
      </c>
      <c r="H43" s="8" t="n">
        <v>26.49</v>
      </c>
      <c r="I43" s="8">
        <f>G43*H43</f>
        <v/>
      </c>
      <c r="J43" s="8">
        <f>H43/E43</f>
        <v/>
      </c>
      <c r="K43" s="8" t="n">
        <v>21.98</v>
      </c>
      <c r="L43" s="8" t="n">
        <v>21.98</v>
      </c>
      <c r="M43" s="14">
        <f>J43/K43-1</f>
        <v/>
      </c>
      <c r="N43" s="7" t="inlineStr">
        <is>
          <t>ACIMA +20.5%</t>
        </is>
      </c>
      <c r="O43" s="7" t="inlineStr"/>
    </row>
    <row r="44">
      <c r="A44" s="7" t="n">
        <v>198101</v>
      </c>
      <c r="B44" s="7" t="inlineStr">
        <is>
          <t>175439</t>
        </is>
      </c>
      <c r="C44" s="12" t="inlineStr">
        <is>
          <t>7898569765828</t>
        </is>
      </c>
      <c r="D44" s="7" t="inlineStr">
        <is>
          <t>VITAMINA D3 50000UI CX 10 CAP</t>
        </is>
      </c>
      <c r="E44" s="13" t="n">
        <v>1</v>
      </c>
      <c r="F44" s="13" t="n">
        <v>2</v>
      </c>
      <c r="G44" s="13" t="n">
        <v>2</v>
      </c>
      <c r="H44" s="8" t="n">
        <v>31.11</v>
      </c>
      <c r="I44" s="8">
        <f>G44*H44</f>
        <v/>
      </c>
      <c r="J44" s="8">
        <f>H44/E44</f>
        <v/>
      </c>
      <c r="K44" s="8" t="n">
        <v>25.99</v>
      </c>
      <c r="L44" s="8" t="n">
        <v>25.99</v>
      </c>
      <c r="M44" s="14">
        <f>J44/K44-1</f>
        <v/>
      </c>
      <c r="N44" s="7" t="inlineStr">
        <is>
          <t>ACIMA +19.7%</t>
        </is>
      </c>
      <c r="O44" s="7" t="inlineStr"/>
    </row>
    <row r="45">
      <c r="A45" s="7" t="n">
        <v>193241</v>
      </c>
      <c r="B45" s="7" t="inlineStr">
        <is>
          <t>143618</t>
        </is>
      </c>
      <c r="C45" s="12" t="inlineStr">
        <is>
          <t>7898569765170</t>
        </is>
      </c>
      <c r="D45" s="7" t="inlineStr">
        <is>
          <t>VITAMINA D3 50000UI CX 4 CAP</t>
        </is>
      </c>
      <c r="E45" s="13" t="n">
        <v>1</v>
      </c>
      <c r="F45" s="13" t="n">
        <v>2</v>
      </c>
      <c r="G45" s="13" t="n">
        <v>2</v>
      </c>
      <c r="H45" s="8" t="n">
        <v>16.22</v>
      </c>
      <c r="I45" s="8">
        <f>G45*H45</f>
        <v/>
      </c>
      <c r="J45" s="8">
        <f>H45/E45</f>
        <v/>
      </c>
      <c r="K45" s="8" t="n">
        <v>13.95</v>
      </c>
      <c r="L45" s="8" t="n">
        <v>13.95</v>
      </c>
      <c r="M45" s="14">
        <f>J45/K45-1</f>
        <v/>
      </c>
      <c r="N45" s="7" t="inlineStr">
        <is>
          <t>ACIMA +16.3%</t>
        </is>
      </c>
      <c r="O45" s="7" t="inlineStr"/>
    </row>
    <row r="46">
      <c r="A46" s="7" t="n">
        <v>193101</v>
      </c>
      <c r="B46" s="7" t="inlineStr">
        <is>
          <t>139203</t>
        </is>
      </c>
      <c r="C46" s="12" t="inlineStr">
        <is>
          <t>7898569765071</t>
        </is>
      </c>
      <c r="D46" s="7" t="inlineStr">
        <is>
          <t>VITAMINA D3 7000UI CX 30 CAP</t>
        </is>
      </c>
      <c r="E46" s="13" t="n">
        <v>1</v>
      </c>
      <c r="F46" s="13" t="n">
        <v>1</v>
      </c>
      <c r="G46" s="13" t="n">
        <v>1</v>
      </c>
      <c r="H46" s="8" t="n">
        <v>23.44</v>
      </c>
      <c r="I46" s="8">
        <f>G46*H46</f>
        <v/>
      </c>
      <c r="J46" s="8">
        <f>H46/E46</f>
        <v/>
      </c>
      <c r="K46" s="8" t="n">
        <v>18.96</v>
      </c>
      <c r="L46" s="8" t="n">
        <v>18.96</v>
      </c>
      <c r="M46" s="14">
        <f>J46/K46-1</f>
        <v/>
      </c>
      <c r="N46" s="7" t="inlineStr">
        <is>
          <t>ACIMA +23.6%</t>
        </is>
      </c>
      <c r="O46" s="7" t="inlineStr"/>
    </row>
    <row r="47">
      <c r="D47" s="5" t="inlineStr">
        <is>
          <t>TOTAL</t>
        </is>
      </c>
      <c r="I47" s="18">
        <f>SUM(I2:I46)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566661</v>
      </c>
      <c r="B9" s="7" t="inlineStr">
        <is>
          <t>708003</t>
        </is>
      </c>
      <c r="C9" s="12" t="inlineStr">
        <is>
          <t>7891317144166</t>
        </is>
      </c>
      <c r="D9" s="7" t="inlineStr">
        <is>
          <t>AIDE 3 200UI SOL OR FR 10ML</t>
        </is>
      </c>
      <c r="E9" s="13" t="n">
        <v>1</v>
      </c>
      <c r="F9" s="13" t="n">
        <v>3</v>
      </c>
      <c r="G9" s="13" t="n">
        <v>3</v>
      </c>
      <c r="H9" s="8" t="n">
        <v>47.62</v>
      </c>
      <c r="I9" s="8">
        <f>G9*H9</f>
        <v/>
      </c>
      <c r="J9" s="8">
        <f>H9/E9</f>
        <v/>
      </c>
      <c r="K9" s="8" t="n">
        <v>44.56</v>
      </c>
      <c r="L9" s="8" t="n">
        <v>44.56</v>
      </c>
      <c r="M9" s="14">
        <f>J9/K9-1</f>
        <v/>
      </c>
      <c r="N9" s="7" t="inlineStr">
        <is>
          <t>ACIMA +6.9%</t>
        </is>
      </c>
      <c r="O9" s="7" t="inlineStr"/>
    </row>
    <row r="10">
      <c r="A10" s="7" t="n">
        <v>124481</v>
      </c>
      <c r="B10" s="7" t="inlineStr">
        <is>
          <t>104954</t>
        </is>
      </c>
      <c r="C10" s="12" t="inlineStr">
        <is>
          <t>7896094207851</t>
        </is>
      </c>
      <c r="D10" s="7" t="inlineStr">
        <is>
          <t>ANCORON 200MG CX 30 COMP REV</t>
        </is>
      </c>
      <c r="E10" s="13" t="n">
        <v>1</v>
      </c>
      <c r="F10" s="13" t="n">
        <v>1</v>
      </c>
      <c r="G10" s="13" t="n">
        <v>1</v>
      </c>
      <c r="H10" s="8" t="n">
        <v>50.26</v>
      </c>
      <c r="I10" s="8">
        <f>G10*H10</f>
        <v/>
      </c>
      <c r="J10" s="8">
        <f>H10/E10</f>
        <v/>
      </c>
      <c r="K10" s="8" t="n">
        <v>50.26</v>
      </c>
      <c r="L10" s="8" t="n">
        <v>42.28</v>
      </c>
      <c r="M10" s="14">
        <f>J10/K10-1</f>
        <v/>
      </c>
      <c r="N10" s="7" t="inlineStr">
        <is>
          <t>OK (≤ últ. compra)</t>
        </is>
      </c>
      <c r="O10" s="7" t="inlineStr"/>
    </row>
    <row r="11">
      <c r="A11" s="7" t="n">
        <v>570461</v>
      </c>
      <c r="B11" s="7" t="inlineStr">
        <is>
          <t>705275</t>
        </is>
      </c>
      <c r="C11" s="12" t="inlineStr">
        <is>
          <t>7891025111825</t>
        </is>
      </c>
      <c r="D11" s="7" t="inlineStr">
        <is>
          <t>APTAMIL 1 PREMIUM 800G</t>
        </is>
      </c>
      <c r="E11" s="13" t="n">
        <v>1</v>
      </c>
      <c r="F11" s="13" t="n">
        <v>5</v>
      </c>
      <c r="G11" s="13" t="n">
        <v>5</v>
      </c>
      <c r="H11" s="8" t="n">
        <v>58.12</v>
      </c>
      <c r="I11" s="8">
        <f>G11*H11</f>
        <v/>
      </c>
      <c r="J11" s="8">
        <f>H11/E11</f>
        <v/>
      </c>
      <c r="K11" s="8" t="n">
        <v>66.36499999999999</v>
      </c>
      <c r="L11" s="8" t="n">
        <v>57.9178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570481</v>
      </c>
      <c r="B12" s="7" t="inlineStr">
        <is>
          <t>705310</t>
        </is>
      </c>
      <c r="C12" s="12" t="inlineStr">
        <is>
          <t>7891025107897</t>
        </is>
      </c>
      <c r="D12" s="7" t="inlineStr">
        <is>
          <t>APTAMIL 2 800G</t>
        </is>
      </c>
      <c r="E12" s="13" t="n">
        <v>1</v>
      </c>
      <c r="F12" s="13" t="n">
        <v>1</v>
      </c>
      <c r="G12" s="13" t="n">
        <v>1</v>
      </c>
      <c r="H12" s="8" t="n">
        <v>57.69</v>
      </c>
      <c r="I12" s="8">
        <f>G12*H12</f>
        <v/>
      </c>
      <c r="J12" s="8">
        <f>H12/E12</f>
        <v/>
      </c>
      <c r="K12" s="8" t="n">
        <v>67.1267</v>
      </c>
      <c r="L12" s="8" t="n">
        <v>58.5988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646691</v>
      </c>
      <c r="B13" s="7" t="inlineStr">
        <is>
          <t>709703</t>
        </is>
      </c>
      <c r="C13" s="12" t="inlineStr">
        <is>
          <t>7891025112679</t>
        </is>
      </c>
      <c r="D13" s="7" t="inlineStr">
        <is>
          <t>APTAMIL PROFUT 1 400G-DEMAIS PROD</t>
        </is>
      </c>
      <c r="E13" s="13" t="n">
        <v>1</v>
      </c>
      <c r="F13" s="13" t="n">
        <v>2</v>
      </c>
      <c r="G13" s="13" t="n">
        <v>2</v>
      </c>
      <c r="H13" s="8" t="n">
        <v>44.01</v>
      </c>
      <c r="I13" s="8">
        <f>G13*H13</f>
        <v/>
      </c>
      <c r="J13" s="8">
        <f>H13/E13</f>
        <v/>
      </c>
      <c r="K13" s="8" t="n">
        <v>50.285</v>
      </c>
      <c r="L13" s="8" t="n">
        <v>50.285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339861</v>
      </c>
      <c r="B14" s="7" t="inlineStr">
        <is>
          <t>100441</t>
        </is>
      </c>
      <c r="C14" s="12" t="inlineStr">
        <is>
          <t>7896004726793</t>
        </is>
      </c>
      <c r="D14" s="7" t="inlineStr">
        <is>
          <t>BALSAMO BENGUE 0,10+0,50G AER FR 60G</t>
        </is>
      </c>
      <c r="E14" s="13" t="n">
        <v>1</v>
      </c>
      <c r="F14" s="13" t="n">
        <v>2</v>
      </c>
      <c r="G14" s="13" t="n">
        <v>2</v>
      </c>
      <c r="H14" s="8" t="n">
        <v>36.07</v>
      </c>
      <c r="I14" s="8">
        <f>G14*H14</f>
        <v/>
      </c>
      <c r="J14" s="8">
        <f>H14/E14</f>
        <v/>
      </c>
      <c r="K14" s="8" t="n">
        <v>28.88</v>
      </c>
      <c r="L14" s="8" t="n">
        <v>25.51</v>
      </c>
      <c r="M14" s="14">
        <f>J14/K14-1</f>
        <v/>
      </c>
      <c r="N14" s="7" t="inlineStr">
        <is>
          <t>ACIMA +24.9%</t>
        </is>
      </c>
      <c r="O14" s="7" t="inlineStr"/>
    </row>
    <row r="15">
      <c r="A15" s="7" t="n">
        <v>596541</v>
      </c>
      <c r="B15" s="7" t="inlineStr">
        <is>
          <t>113595</t>
        </is>
      </c>
      <c r="C15" s="12" t="inlineStr">
        <is>
          <t>7891317026554</t>
        </is>
      </c>
      <c r="D15" s="7" t="inlineStr">
        <is>
          <t>BEDOZE 5MG/ML SOL INJ 2 AMP X 1ML</t>
        </is>
      </c>
      <c r="E15" s="13" t="n">
        <v>1</v>
      </c>
      <c r="F15" s="13" t="n">
        <v>1</v>
      </c>
      <c r="G15" s="13" t="n">
        <v>1</v>
      </c>
      <c r="H15" s="8" t="n">
        <v>32.8</v>
      </c>
      <c r="I15" s="8">
        <f>G15*H15</f>
        <v/>
      </c>
      <c r="J15" s="8">
        <f>H15/E15</f>
        <v/>
      </c>
      <c r="K15" s="8" t="n">
        <v>32.8</v>
      </c>
      <c r="L15" s="8" t="n">
        <v>30.2</v>
      </c>
      <c r="M15" s="14">
        <f>J15/K15-1</f>
        <v/>
      </c>
      <c r="N15" s="7" t="inlineStr">
        <is>
          <t>OK (≤ últ. compra)</t>
        </is>
      </c>
      <c r="O15" s="7" t="inlineStr"/>
    </row>
    <row r="16">
      <c r="A16" s="7" t="n">
        <v>54421</v>
      </c>
      <c r="B16" s="7" t="inlineStr">
        <is>
          <t>100462</t>
        </is>
      </c>
      <c r="C16" s="12" t="inlineStr">
        <is>
          <t>7897411611023</t>
        </is>
      </c>
      <c r="D16" s="7" t="inlineStr">
        <is>
          <t>BENICAR ANLO 40+5MG CX 30 COMP REV</t>
        </is>
      </c>
      <c r="E16" s="13" t="n">
        <v>1</v>
      </c>
      <c r="F16" s="13" t="n">
        <v>4</v>
      </c>
      <c r="G16" s="13" t="n">
        <v>4</v>
      </c>
      <c r="H16" s="8" t="n">
        <v>76.89</v>
      </c>
      <c r="I16" s="8">
        <f>G16*H16</f>
        <v/>
      </c>
      <c r="J16" s="8">
        <f>H16/E16</f>
        <v/>
      </c>
      <c r="K16" s="8" t="n">
        <v>76.89</v>
      </c>
      <c r="L16" s="8" t="n">
        <v>68.45999999999999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82401</v>
      </c>
      <c r="B17" s="7" t="inlineStr">
        <is>
          <t>100480</t>
        </is>
      </c>
      <c r="C17" s="12" t="inlineStr">
        <is>
          <t>7896026171182</t>
        </is>
      </c>
      <c r="D17" s="7" t="inlineStr">
        <is>
          <t>BESEROL 300+125+50+30MG CX 12 COMP</t>
        </is>
      </c>
      <c r="E17" s="13" t="n">
        <v>1</v>
      </c>
      <c r="F17" s="13" t="n">
        <v>4</v>
      </c>
      <c r="G17" s="13" t="n">
        <v>4</v>
      </c>
      <c r="H17" s="8" t="n">
        <v>14.43</v>
      </c>
      <c r="I17" s="8">
        <f>G17*H17</f>
        <v/>
      </c>
      <c r="J17" s="8">
        <f>H17/E17</f>
        <v/>
      </c>
      <c r="K17" s="8" t="n">
        <v>18.3167</v>
      </c>
      <c r="L17" s="8" t="n">
        <v>11.71</v>
      </c>
      <c r="M17" s="14">
        <f>J17/K17-1</f>
        <v/>
      </c>
      <c r="N17" s="7" t="inlineStr">
        <is>
          <t>OK (≤ últ. compra)</t>
        </is>
      </c>
      <c r="O17" s="7" t="inlineStr"/>
    </row>
    <row r="18">
      <c r="A18" s="7" t="n">
        <v>128081</v>
      </c>
      <c r="B18" s="7" t="inlineStr">
        <is>
          <t>105824</t>
        </is>
      </c>
      <c r="C18" s="12" t="inlineStr">
        <is>
          <t>7891317478964</t>
        </is>
      </c>
      <c r="D18" s="7" t="inlineStr">
        <is>
          <t>BETINA 24MG CX 30 COMP</t>
        </is>
      </c>
      <c r="E18" s="13" t="n">
        <v>1</v>
      </c>
      <c r="F18" s="13" t="n">
        <v>3</v>
      </c>
      <c r="G18" s="13" t="n">
        <v>3</v>
      </c>
      <c r="H18" s="8" t="n">
        <v>29.58</v>
      </c>
      <c r="I18" s="8">
        <f>G18*H18</f>
        <v/>
      </c>
      <c r="J18" s="8">
        <f>H18/E18</f>
        <v/>
      </c>
      <c r="K18" s="8" t="n">
        <v>29.58</v>
      </c>
      <c r="L18" s="8" t="n">
        <v>26.87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210861</v>
      </c>
      <c r="B19" s="7" t="inlineStr">
        <is>
          <t>400166</t>
        </is>
      </c>
      <c r="C19" s="12" t="inlineStr">
        <is>
          <t>7896658014321</t>
        </is>
      </c>
      <c r="D19" s="7" t="inlineStr">
        <is>
          <t>BIOFENAC 11,6MG/G SOL SER TB 60G</t>
        </is>
      </c>
      <c r="E19" s="13" t="n">
        <v>1</v>
      </c>
      <c r="F19" s="13" t="n">
        <v>6</v>
      </c>
      <c r="G19" s="13" t="n">
        <v>6</v>
      </c>
      <c r="H19" s="8" t="n">
        <v>31.4</v>
      </c>
      <c r="I19" s="8">
        <f>G19*H19</f>
        <v/>
      </c>
      <c r="J19" s="8">
        <f>H19/E19</f>
        <v/>
      </c>
      <c r="K19" s="8" t="n">
        <v>25.4536</v>
      </c>
      <c r="L19" s="8" t="n">
        <v>24.008</v>
      </c>
      <c r="M19" s="14">
        <f>J19/K19-1</f>
        <v/>
      </c>
      <c r="N19" s="7" t="inlineStr">
        <is>
          <t>ACIMA +23.4%</t>
        </is>
      </c>
      <c r="O19" s="7" t="inlineStr"/>
    </row>
    <row r="20">
      <c r="A20" s="7" t="n">
        <v>48321</v>
      </c>
      <c r="B20" s="7" t="inlineStr">
        <is>
          <t>404362</t>
        </is>
      </c>
      <c r="C20" s="12" t="inlineStr">
        <is>
          <t>7898100268290</t>
        </is>
      </c>
      <c r="D20" s="7" t="inlineStr">
        <is>
          <t>BIOVICERIN  END/ML SUS OR 2 FLAC X 5ML</t>
        </is>
      </c>
      <c r="E20" s="13" t="n">
        <v>1</v>
      </c>
      <c r="F20" s="13" t="n">
        <v>9</v>
      </c>
      <c r="G20" s="13" t="n">
        <v>9</v>
      </c>
      <c r="H20" s="8" t="n">
        <v>9.65</v>
      </c>
      <c r="I20" s="8">
        <f>G20*H20</f>
        <v/>
      </c>
      <c r="J20" s="8">
        <f>H20/E20</f>
        <v/>
      </c>
      <c r="K20" s="8" t="n">
        <v>11.36</v>
      </c>
      <c r="L20" s="8" t="n">
        <v>8.533300000000001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477961</v>
      </c>
      <c r="B21" s="7" t="inlineStr">
        <is>
          <t>105219</t>
        </is>
      </c>
      <c r="C21" s="12" t="inlineStr">
        <is>
          <t>7894916508377</t>
        </is>
      </c>
      <c r="D21" s="7" t="inlineStr">
        <is>
          <t>BRASART HCT 320+25MG CX 30 COMP REV</t>
        </is>
      </c>
      <c r="E21" s="13" t="n">
        <v>1</v>
      </c>
      <c r="F21" s="13" t="n">
        <v>1</v>
      </c>
      <c r="G21" s="13" t="n">
        <v>1</v>
      </c>
      <c r="H21" s="8" t="n">
        <v>89.44</v>
      </c>
      <c r="I21" s="8">
        <f>G21*H21</f>
        <v/>
      </c>
      <c r="J21" s="8">
        <f>H21/E21</f>
        <v/>
      </c>
      <c r="K21" s="8" t="n">
        <v>89.44</v>
      </c>
      <c r="L21" s="8" t="n">
        <v>79.81999999999999</v>
      </c>
      <c r="M21" s="14">
        <f>J21/K21-1</f>
        <v/>
      </c>
      <c r="N21" s="7" t="inlineStr">
        <is>
          <t>OK (≤ últ. compra)</t>
        </is>
      </c>
      <c r="O21" s="7" t="inlineStr"/>
    </row>
    <row r="22">
      <c r="A22" s="7" t="n">
        <v>584301</v>
      </c>
      <c r="B22" s="7" t="inlineStr">
        <is>
          <t>719603</t>
        </is>
      </c>
      <c r="C22" s="12" t="inlineStr">
        <is>
          <t>4987188568729</t>
        </is>
      </c>
      <c r="D22" s="7" t="inlineStr">
        <is>
          <t>BYE BYE FEVER PARA CRIANCAS C/2UN(HSM)</t>
        </is>
      </c>
      <c r="E22" s="13" t="n">
        <v>1</v>
      </c>
      <c r="F22" s="13" t="n">
        <v>8</v>
      </c>
      <c r="G22" s="13" t="n">
        <v>8</v>
      </c>
      <c r="H22" s="8" t="n">
        <v>9.58</v>
      </c>
      <c r="I22" s="8">
        <f>G22*H22</f>
        <v/>
      </c>
      <c r="J22" s="8">
        <f>H22/E22</f>
        <v/>
      </c>
      <c r="K22" s="8" t="n">
        <v>11.07</v>
      </c>
      <c r="L22" s="8" t="n">
        <v>8.99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606351</v>
      </c>
      <c r="B23" s="7" t="inlineStr">
        <is>
          <t>716050</t>
        </is>
      </c>
      <c r="C23" s="12" t="inlineStr">
        <is>
          <t>7896004780078</t>
        </is>
      </c>
      <c r="D23" s="7" t="inlineStr">
        <is>
          <t>CALADRYL POS SOL CR 28G</t>
        </is>
      </c>
      <c r="E23" s="13" t="n">
        <v>1</v>
      </c>
      <c r="F23" s="13" t="n">
        <v>2</v>
      </c>
      <c r="G23" s="13" t="n">
        <v>2</v>
      </c>
      <c r="H23" s="8" t="n">
        <v>21.21</v>
      </c>
      <c r="I23" s="8">
        <f>G23*H23</f>
        <v/>
      </c>
      <c r="J23" s="8">
        <f>H23/E23</f>
        <v/>
      </c>
      <c r="K23" s="8" t="n">
        <v>18.74</v>
      </c>
      <c r="L23" s="8" t="n">
        <v>14.1583</v>
      </c>
      <c r="M23" s="14">
        <f>J23/K23-1</f>
        <v/>
      </c>
      <c r="N23" s="7" t="inlineStr">
        <is>
          <t>ACIMA +13.2%</t>
        </is>
      </c>
      <c r="O23" s="7" t="inlineStr"/>
    </row>
    <row r="24">
      <c r="A24" s="7" t="n">
        <v>600551</v>
      </c>
      <c r="B24" s="7" t="inlineStr">
        <is>
          <t>720223</t>
        </is>
      </c>
      <c r="C24" s="12" t="inlineStr">
        <is>
          <t>7898040329761</t>
        </is>
      </c>
      <c r="D24" s="7" t="inlineStr">
        <is>
          <t>CALCITRAN B12 SUSP FR 150ML</t>
        </is>
      </c>
      <c r="E24" s="13" t="n">
        <v>1</v>
      </c>
      <c r="F24" s="13" t="n">
        <v>1</v>
      </c>
      <c r="G24" s="13" t="n">
        <v>1</v>
      </c>
      <c r="H24" s="8" t="n">
        <v>32.31</v>
      </c>
      <c r="I24" s="8">
        <f>G24*H24</f>
        <v/>
      </c>
      <c r="J24" s="8">
        <f>H24/E24</f>
        <v/>
      </c>
      <c r="K24" s="8" t="n">
        <v>34.35</v>
      </c>
      <c r="L24" s="8" t="n">
        <v>31.035</v>
      </c>
      <c r="M24" s="14">
        <f>J24/K24-1</f>
        <v/>
      </c>
      <c r="N24" s="7" t="inlineStr">
        <is>
          <t>OK (≤ últ. compra)</t>
        </is>
      </c>
      <c r="O24" s="7" t="inlineStr"/>
    </row>
    <row r="25">
      <c r="A25" s="7" t="n">
        <v>539701</v>
      </c>
      <c r="B25" s="7" t="inlineStr">
        <is>
          <t>705541</t>
        </is>
      </c>
      <c r="C25" s="12" t="inlineStr">
        <is>
          <t>7898414850891</t>
        </is>
      </c>
      <c r="D25" s="7" t="inlineStr">
        <is>
          <t>CALCITRAN D3 CX 30 COMP</t>
        </is>
      </c>
      <c r="E25" s="13" t="n">
        <v>1</v>
      </c>
      <c r="F25" s="13" t="n">
        <v>4</v>
      </c>
      <c r="G25" s="13" t="n">
        <v>4</v>
      </c>
      <c r="H25" s="8" t="n">
        <v>36.55</v>
      </c>
      <c r="I25" s="8">
        <f>G25*H25</f>
        <v/>
      </c>
      <c r="J25" s="8">
        <f>H25/E25</f>
        <v/>
      </c>
      <c r="K25" s="8" t="n">
        <v>36.48</v>
      </c>
      <c r="L25" s="8" t="n">
        <v>30.8</v>
      </c>
      <c r="M25" s="14">
        <f>J25/K25-1</f>
        <v/>
      </c>
      <c r="N25" s="7" t="inlineStr">
        <is>
          <t>ACIMA +0.2%</t>
        </is>
      </c>
      <c r="O25" s="7" t="inlineStr"/>
    </row>
    <row r="26">
      <c r="A26" s="7" t="n">
        <v>594131</v>
      </c>
      <c r="B26" s="7" t="inlineStr">
        <is>
          <t>708955</t>
        </is>
      </c>
      <c r="C26" s="12" t="inlineStr">
        <is>
          <t>7898040329464</t>
        </is>
      </c>
      <c r="D26" s="7" t="inlineStr">
        <is>
          <t>CALCITRAN MDK CX 30 COMP</t>
        </is>
      </c>
      <c r="E26" s="13" t="n">
        <v>1</v>
      </c>
      <c r="F26" s="13" t="n">
        <v>9</v>
      </c>
      <c r="G26" s="13" t="n">
        <v>9</v>
      </c>
      <c r="H26" s="8" t="n">
        <v>53.87</v>
      </c>
      <c r="I26" s="8">
        <f>G26*H26</f>
        <v/>
      </c>
      <c r="J26" s="8">
        <f>H26/E26</f>
        <v/>
      </c>
      <c r="K26" s="8" t="n">
        <v>53.72</v>
      </c>
      <c r="L26" s="8" t="n">
        <v>42.77</v>
      </c>
      <c r="M26" s="14">
        <f>J26/K26-1</f>
        <v/>
      </c>
      <c r="N26" s="7" t="inlineStr">
        <is>
          <t>ACIMA +0.3%</t>
        </is>
      </c>
      <c r="O26" s="7" t="inlineStr"/>
    </row>
    <row r="27">
      <c r="A27" s="7" t="n">
        <v>210221</v>
      </c>
      <c r="B27" s="7" t="inlineStr">
        <is>
          <t>100664</t>
        </is>
      </c>
      <c r="C27" s="12" t="inlineStr">
        <is>
          <t>7896261013490</t>
        </is>
      </c>
      <c r="D27" s="7" t="inlineStr">
        <is>
          <t>CATAFLAM 50MG CX 10 DRG</t>
        </is>
      </c>
      <c r="E27" s="13" t="n">
        <v>1</v>
      </c>
      <c r="F27" s="13" t="n">
        <v>3</v>
      </c>
      <c r="G27" s="13" t="n">
        <v>3</v>
      </c>
      <c r="H27" s="8" t="n">
        <v>17.03</v>
      </c>
      <c r="I27" s="8">
        <f>G27*H27</f>
        <v/>
      </c>
      <c r="J27" s="8">
        <f>H27/E27</f>
        <v/>
      </c>
      <c r="K27" s="8" t="n">
        <v>17.03</v>
      </c>
      <c r="L27" s="8" t="n">
        <v>16.38</v>
      </c>
      <c r="M27" s="14">
        <f>J27/K27-1</f>
        <v/>
      </c>
      <c r="N27" s="7" t="inlineStr">
        <is>
          <t>OK (≤ últ. compra)</t>
        </is>
      </c>
      <c r="O27" s="7" t="inlineStr"/>
    </row>
    <row r="28">
      <c r="A28" s="7" t="n">
        <v>653981</v>
      </c>
      <c r="B28" s="7" t="inlineStr">
        <is>
          <t>722182</t>
        </is>
      </c>
      <c r="C28" s="12" t="inlineStr">
        <is>
          <t>7500435231510</t>
        </is>
      </c>
      <c r="D28" s="7" t="inlineStr">
        <is>
          <t>CEBION EFV 1G C/10 COMP-DEMAIS PROD</t>
        </is>
      </c>
      <c r="E28" s="13" t="n">
        <v>1</v>
      </c>
      <c r="F28" s="13" t="n">
        <v>1</v>
      </c>
      <c r="G28" s="13" t="n">
        <v>1</v>
      </c>
      <c r="H28" s="8" t="n">
        <v>12.03</v>
      </c>
      <c r="I28" s="8">
        <f>G28*H28</f>
        <v/>
      </c>
      <c r="J28" s="8">
        <f>H28/E28</f>
        <v/>
      </c>
      <c r="K28" s="8" t="n">
        <v>14.32</v>
      </c>
      <c r="L28" s="8" t="n">
        <v>10.775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624291</v>
      </c>
      <c r="B29" s="7" t="inlineStr">
        <is>
          <t>720235</t>
        </is>
      </c>
      <c r="C29" s="12" t="inlineStr">
        <is>
          <t>7899706211178</t>
        </is>
      </c>
      <c r="D29" s="7" t="inlineStr">
        <is>
          <t>CERAVE SA GEL DE LIMPEZA RENOVA 150G</t>
        </is>
      </c>
      <c r="E29" s="13" t="n">
        <v>1</v>
      </c>
      <c r="F29" s="13" t="n">
        <v>1</v>
      </c>
      <c r="G29" s="13" t="n">
        <v>1</v>
      </c>
      <c r="H29" s="8" t="n">
        <v>53.04</v>
      </c>
      <c r="I29" s="8">
        <f>G29*H29</f>
        <v/>
      </c>
      <c r="J29" s="8">
        <f>H29/E29</f>
        <v/>
      </c>
      <c r="K29" s="8" t="n">
        <v>65.59</v>
      </c>
      <c r="L29" s="8" t="n">
        <v>65.59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654251</v>
      </c>
      <c r="B30" s="7" t="inlineStr">
        <is>
          <t>100712</t>
        </is>
      </c>
      <c r="C30" s="12" t="inlineStr">
        <is>
          <t>7897337716215</t>
        </is>
      </c>
      <c r="D30" s="7" t="inlineStr">
        <is>
          <t>CERAZETTE 75MCG 28CPR</t>
        </is>
      </c>
      <c r="E30" s="13" t="n">
        <v>1</v>
      </c>
      <c r="F30" s="13" t="n">
        <v>4</v>
      </c>
      <c r="G30" s="13" t="n">
        <v>4</v>
      </c>
      <c r="H30" s="8" t="n">
        <v>37.81</v>
      </c>
      <c r="I30" s="8">
        <f>G30*H30</f>
        <v/>
      </c>
      <c r="J30" s="8">
        <f>H30/E30</f>
        <v/>
      </c>
      <c r="K30" s="8" t="n">
        <v>37.81</v>
      </c>
      <c r="L30" s="8" t="n">
        <v>35.07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293601</v>
      </c>
      <c r="B31" s="7" t="inlineStr">
        <is>
          <t>400318</t>
        </is>
      </c>
      <c r="C31" s="12" t="inlineStr">
        <is>
          <t>7896548140284</t>
        </is>
      </c>
      <c r="D31" s="7" t="inlineStr">
        <is>
          <t>CERUMIN 0,4+140MG SOL OTO FR GTS 8ML</t>
        </is>
      </c>
      <c r="E31" s="13" t="n">
        <v>1</v>
      </c>
      <c r="F31" s="13" t="n">
        <v>19</v>
      </c>
      <c r="G31" s="13" t="n">
        <v>19</v>
      </c>
      <c r="H31" s="8" t="n">
        <v>22.54</v>
      </c>
      <c r="I31" s="8">
        <f>G31*H31</f>
        <v/>
      </c>
      <c r="J31" s="8">
        <f>H31/E31</f>
        <v/>
      </c>
      <c r="K31" s="8" t="n">
        <v>21.23</v>
      </c>
      <c r="L31" s="8" t="n">
        <v>13.7043</v>
      </c>
      <c r="M31" s="14">
        <f>J31/K31-1</f>
        <v/>
      </c>
      <c r="N31" s="7" t="inlineStr">
        <is>
          <t>ACIMA +6.2%</t>
        </is>
      </c>
      <c r="O31" s="7" t="inlineStr"/>
    </row>
    <row r="32">
      <c r="A32" s="7" t="n">
        <v>363</v>
      </c>
      <c r="B32" s="7" t="inlineStr">
        <is>
          <t>700545</t>
        </is>
      </c>
      <c r="C32" s="12" t="inlineStr">
        <is>
          <t>7897930777798</t>
        </is>
      </c>
      <c r="D32" s="7" t="inlineStr">
        <is>
          <t>CETAPHIL CR HIDRAT 453GR-DEMAIS PROD</t>
        </is>
      </c>
      <c r="E32" s="13" t="n">
        <v>1</v>
      </c>
      <c r="F32" s="13" t="n">
        <v>1</v>
      </c>
      <c r="G32" s="13" t="n">
        <v>1</v>
      </c>
      <c r="H32" s="8" t="n">
        <v>86.76000000000001</v>
      </c>
      <c r="I32" s="8">
        <f>G32*H32</f>
        <v/>
      </c>
      <c r="J32" s="8">
        <f>H32/E32</f>
        <v/>
      </c>
      <c r="K32" s="8" t="n">
        <v>90.42</v>
      </c>
      <c r="L32" s="8" t="n">
        <v>80.845</v>
      </c>
      <c r="M32" s="14">
        <f>J32/K32-1</f>
        <v/>
      </c>
      <c r="N32" s="7" t="inlineStr">
        <is>
          <t>OK (≤ últ. compra)</t>
        </is>
      </c>
      <c r="O32" s="7" t="inlineStr"/>
    </row>
    <row r="33">
      <c r="A33" s="7" t="n">
        <v>383</v>
      </c>
      <c r="B33" s="7" t="inlineStr">
        <is>
          <t>700549</t>
        </is>
      </c>
      <c r="C33" s="12" t="inlineStr">
        <is>
          <t>7897930777743</t>
        </is>
      </c>
      <c r="D33" s="7" t="inlineStr">
        <is>
          <t>CETAPHIL LOC HIDRATANTE 473ML</t>
        </is>
      </c>
      <c r="E33" s="13" t="n">
        <v>1</v>
      </c>
      <c r="F33" s="13" t="n">
        <v>4</v>
      </c>
      <c r="G33" s="13" t="n">
        <v>4</v>
      </c>
      <c r="H33" s="8" t="n">
        <v>85.77</v>
      </c>
      <c r="I33" s="8">
        <f>G33*H33</f>
        <v/>
      </c>
      <c r="J33" s="8">
        <f>H33/E33</f>
        <v/>
      </c>
      <c r="K33" s="8" t="n">
        <v>102.75</v>
      </c>
      <c r="L33" s="8" t="n">
        <v>85.77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632071</v>
      </c>
      <c r="B34" s="7" t="inlineStr">
        <is>
          <t>705994</t>
        </is>
      </c>
      <c r="C34" s="12" t="inlineStr">
        <is>
          <t>7908615000244</t>
        </is>
      </c>
      <c r="D34" s="7" t="inlineStr">
        <is>
          <t>CICAPLAST LRP B5 PLUS 40ML</t>
        </is>
      </c>
      <c r="E34" s="13" t="n">
        <v>1</v>
      </c>
      <c r="F34" s="13" t="n">
        <v>1</v>
      </c>
      <c r="G34" s="13" t="n">
        <v>1</v>
      </c>
      <c r="H34" s="8" t="n">
        <v>71.06999999999999</v>
      </c>
      <c r="I34" s="8">
        <f>G34*H34</f>
        <v/>
      </c>
      <c r="J34" s="8">
        <f>H34/E34</f>
        <v/>
      </c>
      <c r="K34" s="8" t="n">
        <v>83.09</v>
      </c>
      <c r="L34" s="8" t="n">
        <v>76.59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161441</v>
      </c>
      <c r="B35" s="7" t="inlineStr">
        <is>
          <t>400336</t>
        </is>
      </c>
      <c r="C35" s="12" t="inlineStr">
        <is>
          <t>7896548113479</t>
        </is>
      </c>
      <c r="D35" s="7" t="inlineStr">
        <is>
          <t>CLARIL 0,25+3MG SOL FR OFT GTS 15ML</t>
        </is>
      </c>
      <c r="E35" s="13" t="n">
        <v>1</v>
      </c>
      <c r="F35" s="13" t="n">
        <v>6</v>
      </c>
      <c r="G35" s="13" t="n">
        <v>6</v>
      </c>
      <c r="H35" s="8" t="n">
        <v>21.37</v>
      </c>
      <c r="I35" s="8">
        <f>G35*H35</f>
        <v/>
      </c>
      <c r="J35" s="8">
        <f>H35/E35</f>
        <v/>
      </c>
      <c r="K35" s="8" t="n">
        <v>21.37</v>
      </c>
      <c r="L35" s="8" t="n">
        <v>18.9119</v>
      </c>
      <c r="M35" s="14">
        <f>J35/K35-1</f>
        <v/>
      </c>
      <c r="N35" s="7" t="inlineStr">
        <is>
          <t>OK (≤ últ. compra)</t>
        </is>
      </c>
      <c r="O35" s="7" t="inlineStr"/>
    </row>
    <row r="36">
      <c r="A36" s="7" t="n">
        <v>162341</v>
      </c>
      <c r="B36" s="7" t="inlineStr">
        <is>
          <t>303253</t>
        </is>
      </c>
      <c r="C36" s="12" t="inlineStr">
        <is>
          <t>8902220114906</t>
        </is>
      </c>
      <c r="D36" s="7" t="inlineStr">
        <is>
          <t>CLORIDRATO DE NEBIVOLOL 5MG CX 30 COMP</t>
        </is>
      </c>
      <c r="E36" s="13" t="n">
        <v>1</v>
      </c>
      <c r="F36" s="13" t="n">
        <v>2</v>
      </c>
      <c r="G36" s="13" t="n">
        <v>2</v>
      </c>
      <c r="H36" s="8" t="n">
        <v>14.86</v>
      </c>
      <c r="I36" s="8">
        <f>G36*H36</f>
        <v/>
      </c>
      <c r="J36" s="8">
        <f>H36/E36</f>
        <v/>
      </c>
      <c r="K36" s="8" t="n">
        <v>14.865</v>
      </c>
      <c r="L36" s="8" t="n">
        <v>14.865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597771</v>
      </c>
      <c r="B37" s="7" t="inlineStr">
        <is>
          <t>308032</t>
        </is>
      </c>
      <c r="C37" s="12" t="inlineStr">
        <is>
          <t>7898687731736</t>
        </is>
      </c>
      <c r="D37" s="7" t="inlineStr">
        <is>
          <t>CLORIDRATO DE ONDANSETRONA DI-HIDRATADO 8MG CX 10 COMP ORODISP</t>
        </is>
      </c>
      <c r="E37" s="13" t="n">
        <v>1</v>
      </c>
      <c r="F37" s="13" t="n">
        <v>1</v>
      </c>
      <c r="G37" s="13" t="n">
        <v>1</v>
      </c>
      <c r="H37" s="8" t="n">
        <v>12.15</v>
      </c>
      <c r="I37" s="8">
        <f>G37*H37</f>
        <v/>
      </c>
      <c r="J37" s="8">
        <f>H37/E37</f>
        <v/>
      </c>
      <c r="K37" s="8" t="n">
        <v>14.57</v>
      </c>
      <c r="L37" s="8" t="n">
        <v>14.57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674291</v>
      </c>
      <c r="B38" s="7" t="inlineStr">
        <is>
          <t>115680</t>
        </is>
      </c>
      <c r="C38" s="12" t="inlineStr">
        <is>
          <t>7896637035736</t>
        </is>
      </c>
      <c r="D38" s="7" t="inlineStr">
        <is>
          <t>COBI-12 1000MCG C/30 COMP SUBL-OUTROS</t>
        </is>
      </c>
      <c r="E38" s="13" t="n">
        <v>1</v>
      </c>
      <c r="F38" s="13" t="n">
        <v>17</v>
      </c>
      <c r="G38" s="13" t="n">
        <v>17</v>
      </c>
      <c r="H38" s="8" t="n">
        <v>22.81</v>
      </c>
      <c r="I38" s="8">
        <f>G38*H38</f>
        <v/>
      </c>
      <c r="J38" s="8">
        <f>H38/E38</f>
        <v/>
      </c>
      <c r="K38" s="8" t="n">
        <v>22.805</v>
      </c>
      <c r="L38" s="8" t="n">
        <v>18.8279</v>
      </c>
      <c r="M38" s="14">
        <f>J38/K38-1</f>
        <v/>
      </c>
      <c r="N38" s="7" t="inlineStr">
        <is>
          <t>ACIMA +0.0%</t>
        </is>
      </c>
      <c r="O38" s="7" t="inlineStr"/>
    </row>
    <row r="39">
      <c r="A39" s="7" t="n">
        <v>114941</v>
      </c>
      <c r="B39" s="7" t="inlineStr">
        <is>
          <t>400349</t>
        </is>
      </c>
      <c r="C39" s="12" t="inlineStr">
        <is>
          <t>7899824400928</t>
        </is>
      </c>
      <c r="D39" s="7" t="inlineStr">
        <is>
          <t>COLPIST MT 62,5+1,25MG/G+25000UI/G CREM BG 40G+10APLIC</t>
        </is>
      </c>
      <c r="E39" s="13" t="n">
        <v>1</v>
      </c>
      <c r="F39" s="13" t="n">
        <v>2</v>
      </c>
      <c r="G39" s="13" t="n">
        <v>2</v>
      </c>
      <c r="H39" s="8" t="n">
        <v>35.98</v>
      </c>
      <c r="I39" s="8">
        <f>G39*H39</f>
        <v/>
      </c>
      <c r="J39" s="8">
        <f>H39/E39</f>
        <v/>
      </c>
      <c r="K39" s="8" t="n">
        <v>45.99</v>
      </c>
      <c r="L39" s="8" t="n">
        <v>35.9767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90721</v>
      </c>
      <c r="B40" s="7" t="inlineStr">
        <is>
          <t>109670</t>
        </is>
      </c>
      <c r="C40" s="12" t="inlineStr">
        <is>
          <t>7891317137557</t>
        </is>
      </c>
      <c r="D40" s="7" t="inlineStr">
        <is>
          <t>COQUES 200MG CX 10 CAP</t>
        </is>
      </c>
      <c r="E40" s="13" t="n">
        <v>1</v>
      </c>
      <c r="F40" s="13" t="n">
        <v>1</v>
      </c>
      <c r="G40" s="13" t="n">
        <v>1</v>
      </c>
      <c r="H40" s="8" t="n">
        <v>34.79</v>
      </c>
      <c r="I40" s="8">
        <f>G40*H40</f>
        <v/>
      </c>
      <c r="J40" s="8">
        <f>H40/E40</f>
        <v/>
      </c>
      <c r="K40" s="8" t="n">
        <v>34.79</v>
      </c>
      <c r="L40" s="8" t="n">
        <v>30.618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594501</v>
      </c>
      <c r="B41" s="7" t="inlineStr">
        <is>
          <t>714729</t>
        </is>
      </c>
      <c r="C41" s="12" t="inlineStr">
        <is>
          <t>0000042360414</t>
        </is>
      </c>
      <c r="D41" s="7" t="inlineStr">
        <is>
          <t>CR FACIAL NIVEA ANTISSINAIS 100G</t>
        </is>
      </c>
      <c r="E41" s="13" t="n">
        <v>1</v>
      </c>
      <c r="F41" s="13" t="n">
        <v>8</v>
      </c>
      <c r="G41" s="13" t="n">
        <v>8</v>
      </c>
      <c r="H41" s="8" t="n">
        <v>19.6</v>
      </c>
      <c r="I41" s="8">
        <f>G41*H41</f>
        <v/>
      </c>
      <c r="J41" s="8">
        <f>H41/E41</f>
        <v/>
      </c>
      <c r="K41" s="8" t="n">
        <v>21.63</v>
      </c>
      <c r="L41" s="8" t="n">
        <v>20.9125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594521</v>
      </c>
      <c r="B42" s="7" t="inlineStr">
        <is>
          <t>714740</t>
        </is>
      </c>
      <c r="C42" s="12" t="inlineStr">
        <is>
          <t>0000042360407</t>
        </is>
      </c>
      <c r="D42" s="7" t="inlineStr">
        <is>
          <t>CR FACIAL NIVEA NUTRITIVO 100G</t>
        </is>
      </c>
      <c r="E42" s="13" t="n">
        <v>1</v>
      </c>
      <c r="F42" s="13" t="n">
        <v>8</v>
      </c>
      <c r="G42" s="13" t="n">
        <v>8</v>
      </c>
      <c r="H42" s="8" t="n">
        <v>20.91</v>
      </c>
      <c r="I42" s="8">
        <f>G42*H42</f>
        <v/>
      </c>
      <c r="J42" s="8">
        <f>H42/E42</f>
        <v/>
      </c>
      <c r="K42" s="8" t="n">
        <v>23.392</v>
      </c>
      <c r="L42" s="8" t="n">
        <v>20.9117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594271</v>
      </c>
      <c r="B43" s="7" t="inlineStr">
        <is>
          <t>710474</t>
        </is>
      </c>
      <c r="C43" s="12" t="inlineStr">
        <is>
          <t>0000042277217</t>
        </is>
      </c>
      <c r="D43" s="7" t="inlineStr">
        <is>
          <t>CR NIVEA 29G</t>
        </is>
      </c>
      <c r="E43" s="13" t="n">
        <v>1</v>
      </c>
      <c r="F43" s="13" t="n">
        <v>1</v>
      </c>
      <c r="G43" s="13" t="n">
        <v>1</v>
      </c>
      <c r="H43" s="8" t="n">
        <v>10.98</v>
      </c>
      <c r="I43" s="8">
        <f>G43*H43</f>
        <v/>
      </c>
      <c r="J43" s="8">
        <f>H43/E43</f>
        <v/>
      </c>
      <c r="K43" s="8" t="n">
        <v>13.41</v>
      </c>
      <c r="L43" s="8" t="n">
        <v>13.41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556501</v>
      </c>
      <c r="B44" s="7" t="inlineStr">
        <is>
          <t>710474</t>
        </is>
      </c>
      <c r="C44" s="12" t="inlineStr">
        <is>
          <t>42277217</t>
        </is>
      </c>
      <c r="D44" s="7" t="inlineStr">
        <is>
          <t>CR NIVEA 29G</t>
        </is>
      </c>
      <c r="E44" s="13" t="n">
        <v>1</v>
      </c>
      <c r="F44" s="13" t="n">
        <v>18</v>
      </c>
      <c r="G44" s="13" t="n">
        <v>18</v>
      </c>
      <c r="H44" s="8" t="n">
        <v>10.98</v>
      </c>
      <c r="I44" s="8">
        <f>G44*H44</f>
        <v/>
      </c>
      <c r="J44" s="8">
        <f>H44/E44</f>
        <v/>
      </c>
      <c r="K44" s="8" t="n">
        <v>14.24</v>
      </c>
      <c r="L44" s="8" t="n">
        <v>8.833299999999999</v>
      </c>
      <c r="M44" s="14">
        <f>J44/K44-1</f>
        <v/>
      </c>
      <c r="N44" s="7" t="inlineStr">
        <is>
          <t>OK (≤ últ. compra)</t>
        </is>
      </c>
      <c r="O44" s="7" t="inlineStr"/>
    </row>
    <row r="45">
      <c r="A45" s="7" t="n">
        <v>576481</v>
      </c>
      <c r="B45" s="7" t="inlineStr">
        <is>
          <t>701022</t>
        </is>
      </c>
      <c r="C45" s="12" t="inlineStr">
        <is>
          <t>4005808890590</t>
        </is>
      </c>
      <c r="D45" s="7" t="inlineStr">
        <is>
          <t>CR NIVEA SOFT HIDRAT.97G</t>
        </is>
      </c>
      <c r="E45" s="13" t="n">
        <v>1</v>
      </c>
      <c r="F45" s="13" t="n">
        <v>4</v>
      </c>
      <c r="G45" s="13" t="n">
        <v>4</v>
      </c>
      <c r="H45" s="8" t="n">
        <v>24.32</v>
      </c>
      <c r="I45" s="8">
        <f>G45*H45</f>
        <v/>
      </c>
      <c r="J45" s="8">
        <f>H45/E45</f>
        <v/>
      </c>
      <c r="K45" s="8" t="n">
        <v>29.8083</v>
      </c>
      <c r="L45" s="8" t="n">
        <v>29.8083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567181</v>
      </c>
      <c r="B46" s="7" t="inlineStr">
        <is>
          <t>704180</t>
        </is>
      </c>
      <c r="C46" s="12" t="inlineStr">
        <is>
          <t>7891010695415</t>
        </is>
      </c>
      <c r="D46" s="7" t="inlineStr">
        <is>
          <t>CURAT BAND-AID PEQ FERIMENTOS 16UN</t>
        </is>
      </c>
      <c r="E46" s="13" t="n">
        <v>1</v>
      </c>
      <c r="F46" s="13" t="n">
        <v>2</v>
      </c>
      <c r="G46" s="13" t="n">
        <v>2</v>
      </c>
      <c r="H46" s="8" t="n">
        <v>8.039999999999999</v>
      </c>
      <c r="I46" s="8">
        <f>G46*H46</f>
        <v/>
      </c>
      <c r="J46" s="8">
        <f>H46/E46</f>
        <v/>
      </c>
      <c r="K46" s="8" t="n">
        <v>9.369999999999999</v>
      </c>
      <c r="L46" s="8" t="n">
        <v>7.83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575341</v>
      </c>
      <c r="B47" s="7" t="inlineStr">
        <is>
          <t>713084</t>
        </is>
      </c>
      <c r="C47" s="12" t="inlineStr">
        <is>
          <t>7891800342000</t>
        </is>
      </c>
      <c r="D47" s="7" t="inlineStr">
        <is>
          <t>CURATIVO CREMERCARE BEGE C/10</t>
        </is>
      </c>
      <c r="E47" s="13" t="n">
        <v>1</v>
      </c>
      <c r="F47" s="13" t="n">
        <v>2</v>
      </c>
      <c r="G47" s="13" t="n">
        <v>2</v>
      </c>
      <c r="H47" s="8" t="n">
        <v>2.68</v>
      </c>
      <c r="I47" s="8">
        <f>G47*H47</f>
        <v/>
      </c>
      <c r="J47" s="8">
        <f>H47/E47</f>
        <v/>
      </c>
      <c r="K47" s="8" t="n">
        <v>3.16</v>
      </c>
      <c r="L47" s="8" t="n">
        <v>3.16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575361</v>
      </c>
      <c r="B48" s="7" t="inlineStr">
        <is>
          <t>713088</t>
        </is>
      </c>
      <c r="C48" s="12" t="inlineStr">
        <is>
          <t>7891800341966</t>
        </is>
      </c>
      <c r="D48" s="7" t="inlineStr">
        <is>
          <t>CURATIVO CREMERCARE REDONDO C/16</t>
        </is>
      </c>
      <c r="E48" s="13" t="n">
        <v>1</v>
      </c>
      <c r="F48" s="13" t="n">
        <v>8</v>
      </c>
      <c r="G48" s="13" t="n">
        <v>8</v>
      </c>
      <c r="H48" s="8" t="n">
        <v>2.58</v>
      </c>
      <c r="I48" s="8">
        <f>G48*H48</f>
        <v/>
      </c>
      <c r="J48" s="8">
        <f>H48/E48</f>
        <v/>
      </c>
      <c r="K48" s="8" t="n">
        <v>3.802</v>
      </c>
      <c r="L48" s="8" t="n">
        <v>3.802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604731</v>
      </c>
      <c r="B49" s="7" t="inlineStr">
        <is>
          <t>718264</t>
        </is>
      </c>
      <c r="C49" s="12" t="inlineStr">
        <is>
          <t>7891800341997</t>
        </is>
      </c>
      <c r="D49" s="7" t="inlineStr">
        <is>
          <t>CURATIVO CREMERCARE TRASP C/10</t>
        </is>
      </c>
      <c r="E49" s="13" t="n">
        <v>1</v>
      </c>
      <c r="F49" s="13" t="n">
        <v>7</v>
      </c>
      <c r="G49" s="13" t="n">
        <v>7</v>
      </c>
      <c r="H49" s="8" t="n">
        <v>2.62</v>
      </c>
      <c r="I49" s="8">
        <f>G49*H49</f>
        <v/>
      </c>
      <c r="J49" s="8">
        <f>H49/E49</f>
        <v/>
      </c>
      <c r="K49" s="8" t="n">
        <v>3.162</v>
      </c>
      <c r="L49" s="8" t="n">
        <v>3.162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554161</v>
      </c>
      <c r="B50" s="7" t="inlineStr">
        <is>
          <t>704182</t>
        </is>
      </c>
      <c r="C50" s="12" t="inlineStr">
        <is>
          <t>7891010504779</t>
        </is>
      </c>
      <c r="D50" s="7" t="inlineStr">
        <is>
          <t>CURATIVO TRANSPARENTE BAND AID C/10 UNIT</t>
        </is>
      </c>
      <c r="E50" s="13" t="n">
        <v>1</v>
      </c>
      <c r="F50" s="13" t="n">
        <v>5</v>
      </c>
      <c r="G50" s="13" t="n">
        <v>5</v>
      </c>
      <c r="H50" s="8" t="n">
        <v>6.3</v>
      </c>
      <c r="I50" s="8">
        <f>G50*H50</f>
        <v/>
      </c>
      <c r="J50" s="8">
        <f>H50/E50</f>
        <v/>
      </c>
      <c r="K50" s="8" t="n">
        <v>7.32</v>
      </c>
      <c r="L50" s="8" t="n">
        <v>5.662</v>
      </c>
      <c r="M50" s="14">
        <f>J50/K50-1</f>
        <v/>
      </c>
      <c r="N50" s="7" t="inlineStr">
        <is>
          <t>OK (≤ últ. compra)</t>
        </is>
      </c>
      <c r="O50" s="7" t="inlineStr"/>
    </row>
    <row r="51">
      <c r="A51" s="7" t="n">
        <v>651401</v>
      </c>
      <c r="B51" s="7" t="inlineStr">
        <is>
          <t>721808</t>
        </is>
      </c>
      <c r="C51" s="12" t="inlineStr">
        <is>
          <t>7896676440508</t>
        </is>
      </c>
      <c r="D51" s="7" t="inlineStr">
        <is>
          <t>CUTISANOL BABY CREME 45G-DEMAIS PROD</t>
        </is>
      </c>
      <c r="E51" s="13" t="n">
        <v>1</v>
      </c>
      <c r="F51" s="13" t="n">
        <v>1</v>
      </c>
      <c r="G51" s="13" t="n">
        <v>1</v>
      </c>
      <c r="H51" s="8" t="n">
        <v>15.03</v>
      </c>
      <c r="I51" s="8">
        <f>G51*H51</f>
        <v/>
      </c>
      <c r="J51" s="8">
        <f>H51/E51</f>
        <v/>
      </c>
      <c r="K51" s="8" t="n">
        <v>11.58</v>
      </c>
      <c r="L51" s="8" t="n">
        <v>11.58</v>
      </c>
      <c r="M51" s="14">
        <f>J51/K51-1</f>
        <v/>
      </c>
      <c r="N51" s="7" t="inlineStr">
        <is>
          <t>ACIMA +29.8%</t>
        </is>
      </c>
      <c r="O51" s="7" t="inlineStr"/>
    </row>
    <row r="52">
      <c r="A52" s="7" t="n">
        <v>599291</v>
      </c>
      <c r="B52" s="7" t="inlineStr">
        <is>
          <t>704612</t>
        </is>
      </c>
      <c r="C52" s="12" t="inlineStr">
        <is>
          <t>7891025111832</t>
        </is>
      </c>
      <c r="D52" s="7" t="inlineStr">
        <is>
          <t>DANONE APTAMIL PREMIUM 1 LT 400G</t>
        </is>
      </c>
      <c r="E52" s="13" t="n">
        <v>1</v>
      </c>
      <c r="F52" s="13" t="n">
        <v>8</v>
      </c>
      <c r="G52" s="13" t="n">
        <v>8</v>
      </c>
      <c r="H52" s="8" t="n">
        <v>30.85</v>
      </c>
      <c r="I52" s="8">
        <f>G52*H52</f>
        <v/>
      </c>
      <c r="J52" s="8">
        <f>H52/E52</f>
        <v/>
      </c>
      <c r="K52" s="8" t="n">
        <v>35.372</v>
      </c>
      <c r="L52" s="8" t="n">
        <v>33.5244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18903</v>
      </c>
      <c r="B53" s="7" t="inlineStr">
        <is>
          <t>405690</t>
        </is>
      </c>
      <c r="C53" s="12" t="inlineStr">
        <is>
          <t>7896658049620</t>
        </is>
      </c>
      <c r="D53" s="7" t="inlineStr">
        <is>
          <t>DECONTOSSE 40MG/ML XPE 100ML+CP</t>
        </is>
      </c>
      <c r="E53" s="13" t="n">
        <v>1</v>
      </c>
      <c r="F53" s="13" t="n">
        <v>4</v>
      </c>
      <c r="G53" s="13" t="n">
        <v>4</v>
      </c>
      <c r="H53" s="8" t="n">
        <v>23.3</v>
      </c>
      <c r="I53" s="8">
        <f>G53*H53</f>
        <v/>
      </c>
      <c r="J53" s="8">
        <f>H53/E53</f>
        <v/>
      </c>
      <c r="K53" s="8" t="n">
        <v>23.3</v>
      </c>
      <c r="L53" s="8" t="n">
        <v>17.7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6581</v>
      </c>
      <c r="B54" s="7" t="inlineStr">
        <is>
          <t>101046</t>
        </is>
      </c>
      <c r="C54" s="12" t="inlineStr">
        <is>
          <t>7891268101799</t>
        </is>
      </c>
      <c r="D54" s="7" t="inlineStr">
        <is>
          <t>DEPO PROVERA 150MG SUS INJ 1FA X 1ML</t>
        </is>
      </c>
      <c r="E54" s="13" t="n">
        <v>1</v>
      </c>
      <c r="F54" s="13" t="n">
        <v>4</v>
      </c>
      <c r="G54" s="13" t="n">
        <v>4</v>
      </c>
      <c r="H54" s="8" t="n">
        <v>36.87</v>
      </c>
      <c r="I54" s="8">
        <f>G54*H54</f>
        <v/>
      </c>
      <c r="J54" s="8">
        <f>H54/E54</f>
        <v/>
      </c>
      <c r="K54" s="8" t="n">
        <v>36.87</v>
      </c>
      <c r="L54" s="8" t="n">
        <v>33.56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6601</v>
      </c>
      <c r="B55" s="7" t="inlineStr">
        <is>
          <t>101045</t>
        </is>
      </c>
      <c r="C55" s="12" t="inlineStr">
        <is>
          <t>7891268101782</t>
        </is>
      </c>
      <c r="D55" s="7" t="inlineStr">
        <is>
          <t>DEPO PROVERA 150MG SUS INJ 1FA X 1ML+1SER PREENCH</t>
        </is>
      </c>
      <c r="E55" s="13" t="n">
        <v>1</v>
      </c>
      <c r="F55" s="13" t="n">
        <v>1</v>
      </c>
      <c r="G55" s="13" t="n">
        <v>1</v>
      </c>
      <c r="H55" s="8" t="n">
        <v>46.77</v>
      </c>
      <c r="I55" s="8">
        <f>G55*H55</f>
        <v/>
      </c>
      <c r="J55" s="8">
        <f>H55/E55</f>
        <v/>
      </c>
      <c r="K55" s="8" t="n">
        <v>46.77</v>
      </c>
      <c r="L55" s="8" t="n">
        <v>41.6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623211</v>
      </c>
      <c r="B56" s="7" t="inlineStr">
        <is>
          <t>708855</t>
        </is>
      </c>
      <c r="C56" s="12" t="inlineStr">
        <is>
          <t>7899706126335</t>
        </is>
      </c>
      <c r="D56" s="7" t="inlineStr">
        <is>
          <t>DERMO EXP AGUA MICELAR 200ML</t>
        </is>
      </c>
      <c r="E56" s="13" t="n">
        <v>1</v>
      </c>
      <c r="F56" s="13" t="n">
        <v>1</v>
      </c>
      <c r="G56" s="13" t="n">
        <v>1</v>
      </c>
      <c r="H56" s="8" t="n">
        <v>20.36</v>
      </c>
      <c r="I56" s="8">
        <f>G56*H56</f>
        <v/>
      </c>
      <c r="J56" s="8">
        <f>H56/E56</f>
        <v/>
      </c>
      <c r="K56" s="8" t="n">
        <v>21.97</v>
      </c>
      <c r="L56" s="8" t="n">
        <v>18.7783</v>
      </c>
      <c r="M56" s="14">
        <f>J56/K56-1</f>
        <v/>
      </c>
      <c r="N56" s="7" t="inlineStr">
        <is>
          <t>OK (≤ últ. compra)</t>
        </is>
      </c>
      <c r="O56" s="7" t="inlineStr"/>
    </row>
    <row r="57">
      <c r="A57" s="7" t="n">
        <v>566421</v>
      </c>
      <c r="B57" s="7" t="inlineStr">
        <is>
          <t>710882</t>
        </is>
      </c>
      <c r="C57" s="12" t="inlineStr">
        <is>
          <t>7891150054646</t>
        </is>
      </c>
      <c r="D57" s="7" t="inlineStr">
        <is>
          <t>DES AER REXONA MEN IMPAC 150ML</t>
        </is>
      </c>
      <c r="E57" s="13" t="n">
        <v>1</v>
      </c>
      <c r="F57" s="13" t="n">
        <v>8</v>
      </c>
      <c r="G57" s="13" t="n">
        <v>8</v>
      </c>
      <c r="H57" s="8" t="n">
        <v>10.89</v>
      </c>
      <c r="I57" s="8">
        <f>G57*H57</f>
        <v/>
      </c>
      <c r="J57" s="8">
        <f>H57/E57</f>
        <v/>
      </c>
      <c r="K57" s="8" t="n">
        <v>12.202</v>
      </c>
      <c r="L57" s="8" t="n">
        <v>11.3367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604491</v>
      </c>
      <c r="B58" s="7" t="inlineStr">
        <is>
          <t>701394</t>
        </is>
      </c>
      <c r="C58" s="12" t="inlineStr">
        <is>
          <t>4005808257669</t>
        </is>
      </c>
      <c r="D58" s="7" t="inlineStr">
        <is>
          <t>DES.NIVEA R-ON FEM.PERAB.50ML</t>
        </is>
      </c>
      <c r="E58" s="13" t="n">
        <v>1</v>
      </c>
      <c r="F58" s="13" t="n">
        <v>1</v>
      </c>
      <c r="G58" s="13" t="n">
        <v>1</v>
      </c>
      <c r="H58" s="8" t="n">
        <v>6.56</v>
      </c>
      <c r="I58" s="8">
        <f>G58*H58</f>
        <v/>
      </c>
      <c r="J58" s="8">
        <f>H58/E58</f>
        <v/>
      </c>
      <c r="K58" s="8" t="n">
        <v>7.91</v>
      </c>
      <c r="L58" s="8" t="n">
        <v>7.07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578141</v>
      </c>
      <c r="B59" s="7" t="inlineStr">
        <is>
          <t>101090</t>
        </is>
      </c>
      <c r="C59" s="12" t="inlineStr">
        <is>
          <t>7899824400942</t>
        </is>
      </c>
      <c r="D59" s="7" t="inlineStr">
        <is>
          <t>DEXADOR 5000MCG/ML SOL INJ 3AMP X 2ML+3AMP X 1ML</t>
        </is>
      </c>
      <c r="E59" s="13" t="n">
        <v>1</v>
      </c>
      <c r="F59" s="13" t="n">
        <v>1</v>
      </c>
      <c r="G59" s="13" t="n">
        <v>1</v>
      </c>
      <c r="H59" s="8" t="n">
        <v>37.6</v>
      </c>
      <c r="I59" s="8">
        <f>G59*H59</f>
        <v/>
      </c>
      <c r="J59" s="8">
        <f>H59/E59</f>
        <v/>
      </c>
      <c r="K59" s="8" t="n">
        <v>37.6</v>
      </c>
      <c r="L59" s="8" t="n">
        <v>33.77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539561</v>
      </c>
      <c r="B60" s="7" t="inlineStr">
        <is>
          <t>101107</t>
        </is>
      </c>
      <c r="C60" s="12" t="inlineStr">
        <is>
          <t>7891106913966</t>
        </is>
      </c>
      <c r="D60" s="7" t="inlineStr">
        <is>
          <t>DIANE 35 2+0,035MG CX 21 DRG</t>
        </is>
      </c>
      <c r="E60" s="13" t="n">
        <v>1</v>
      </c>
      <c r="F60" s="13" t="n">
        <v>5</v>
      </c>
      <c r="G60" s="13" t="n">
        <v>5</v>
      </c>
      <c r="H60" s="8" t="n">
        <v>32.08</v>
      </c>
      <c r="I60" s="8">
        <f>G60*H60</f>
        <v/>
      </c>
      <c r="J60" s="8">
        <f>H60/E60</f>
        <v/>
      </c>
      <c r="K60" s="8" t="n">
        <v>32.08</v>
      </c>
      <c r="L60" s="8" t="n">
        <v>27.875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645101</v>
      </c>
      <c r="B61" s="7" t="inlineStr">
        <is>
          <t>722193</t>
        </is>
      </c>
      <c r="C61" s="12" t="inlineStr">
        <is>
          <t>7891150095854</t>
        </is>
      </c>
      <c r="D61" s="7" t="inlineStr">
        <is>
          <t>DOVE SER CORP PRO RETINOL 180ML   UNIL %DN:7.00</t>
        </is>
      </c>
      <c r="E61" s="13" t="n">
        <v>1</v>
      </c>
      <c r="F61" s="13" t="n">
        <v>2</v>
      </c>
      <c r="G61" s="13" t="n">
        <v>2</v>
      </c>
      <c r="H61" s="8" t="n">
        <v>19.42</v>
      </c>
      <c r="I61" s="8">
        <f>G61*H61</f>
        <v/>
      </c>
      <c r="J61" s="8">
        <f>H61/E61</f>
        <v/>
      </c>
      <c r="K61" s="8" t="n">
        <v>20.91</v>
      </c>
      <c r="L61" s="8" t="n">
        <v>20.6192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573481</v>
      </c>
      <c r="B62" s="7" t="inlineStr">
        <is>
          <t>710773</t>
        </is>
      </c>
      <c r="C62" s="12" t="inlineStr">
        <is>
          <t>7899706149211</t>
        </is>
      </c>
      <c r="D62" s="7" t="inlineStr">
        <is>
          <t>EFFACLAR LRP CONCENTRADO 70G  LORE %DN:0.00</t>
        </is>
      </c>
      <c r="E62" s="13" t="n">
        <v>1</v>
      </c>
      <c r="F62" s="13" t="n">
        <v>1</v>
      </c>
      <c r="G62" s="13" t="n">
        <v>1</v>
      </c>
      <c r="H62" s="8" t="n">
        <v>47.46</v>
      </c>
      <c r="I62" s="8">
        <f>G62*H62</f>
        <v/>
      </c>
      <c r="J62" s="8">
        <f>H62/E62</f>
        <v/>
      </c>
      <c r="K62" s="8" t="n">
        <v>56.61</v>
      </c>
      <c r="L62" s="8" t="n">
        <v>56.61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599151</v>
      </c>
      <c r="B63" s="7" t="inlineStr">
        <is>
          <t>714750</t>
        </is>
      </c>
      <c r="C63" s="12" t="inlineStr">
        <is>
          <t>7898040327910</t>
        </is>
      </c>
      <c r="D63" s="7" t="inlineStr">
        <is>
          <t>ENZILAC 4500UI CX 30  COMP</t>
        </is>
      </c>
      <c r="E63" s="13" t="n">
        <v>1</v>
      </c>
      <c r="F63" s="13" t="n">
        <v>1</v>
      </c>
      <c r="G63" s="13" t="n">
        <v>1</v>
      </c>
      <c r="H63" s="8" t="n">
        <v>22.24</v>
      </c>
      <c r="I63" s="8">
        <f>G63*H63</f>
        <v/>
      </c>
      <c r="J63" s="8">
        <f>H63/E63</f>
        <v/>
      </c>
      <c r="K63" s="8" t="n">
        <v>23.42</v>
      </c>
      <c r="L63" s="8" t="n">
        <v>23.42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643971</v>
      </c>
      <c r="B64" s="7" t="inlineStr">
        <is>
          <t>720779</t>
        </is>
      </c>
      <c r="C64" s="12" t="inlineStr">
        <is>
          <t>7896026172639</t>
        </is>
      </c>
      <c r="D64" s="7" t="inlineStr">
        <is>
          <t>FISIOGEL HID PELE SECA 200G-DEMAIS PROD</t>
        </is>
      </c>
      <c r="E64" s="13" t="n">
        <v>1</v>
      </c>
      <c r="F64" s="13" t="n">
        <v>1</v>
      </c>
      <c r="G64" s="13" t="n">
        <v>1</v>
      </c>
      <c r="H64" s="8" t="n">
        <v>41.94</v>
      </c>
      <c r="I64" s="8">
        <f>G64*H64</f>
        <v/>
      </c>
      <c r="J64" s="8">
        <f>H64/E64</f>
        <v/>
      </c>
      <c r="K64" s="8" t="n">
        <v>39.97</v>
      </c>
      <c r="L64" s="8" t="n">
        <v>36.95</v>
      </c>
      <c r="M64" s="14">
        <f>J64/K64-1</f>
        <v/>
      </c>
      <c r="N64" s="7" t="inlineStr">
        <is>
          <t>ACIMA +4.9%</t>
        </is>
      </c>
      <c r="O64" s="7" t="inlineStr"/>
    </row>
    <row r="65">
      <c r="A65" s="7" t="n">
        <v>240241</v>
      </c>
      <c r="B65" s="7" t="inlineStr">
        <is>
          <t>107760</t>
        </is>
      </c>
      <c r="C65" s="12" t="inlineStr">
        <is>
          <t>7896637023238</t>
        </is>
      </c>
      <c r="D65" s="7" t="inlineStr">
        <is>
          <t>FLANCOX 500MG CX 14 COMP REV</t>
        </is>
      </c>
      <c r="E65" s="13" t="n">
        <v>1</v>
      </c>
      <c r="F65" s="13" t="n">
        <v>7</v>
      </c>
      <c r="G65" s="13" t="n">
        <v>7</v>
      </c>
      <c r="H65" s="8" t="n">
        <v>27.92</v>
      </c>
      <c r="I65" s="8">
        <f>G65*H65</f>
        <v/>
      </c>
      <c r="J65" s="8">
        <f>H65/E65</f>
        <v/>
      </c>
      <c r="K65" s="8" t="n">
        <v>27.925</v>
      </c>
      <c r="L65" s="8" t="n">
        <v>25.425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566701</v>
      </c>
      <c r="B66" s="7" t="inlineStr">
        <is>
          <t>707835</t>
        </is>
      </c>
      <c r="C66" s="12" t="inlineStr">
        <is>
          <t>7898040324438</t>
        </is>
      </c>
      <c r="D66" s="7" t="inlineStr">
        <is>
          <t>FLETOP LOCAO 200ML</t>
        </is>
      </c>
      <c r="E66" s="13" t="n">
        <v>1</v>
      </c>
      <c r="F66" s="13" t="n">
        <v>2</v>
      </c>
      <c r="G66" s="13" t="n">
        <v>2</v>
      </c>
      <c r="H66" s="8" t="n">
        <v>49.13</v>
      </c>
      <c r="I66" s="8">
        <f>G66*H66</f>
        <v/>
      </c>
      <c r="J66" s="8">
        <f>H66/E66</f>
        <v/>
      </c>
      <c r="K66" s="8" t="n">
        <v>57.135</v>
      </c>
      <c r="L66" s="8" t="n">
        <v>41.344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589581</v>
      </c>
      <c r="B67" s="7" t="inlineStr">
        <is>
          <t>400574</t>
        </is>
      </c>
      <c r="C67" s="12" t="inlineStr">
        <is>
          <t>7898040329655</t>
        </is>
      </c>
      <c r="D67" s="7" t="inlineStr">
        <is>
          <t>FLORATIL 200MG CX 6 CAP</t>
        </is>
      </c>
      <c r="E67" s="13" t="n">
        <v>1</v>
      </c>
      <c r="F67" s="13" t="n">
        <v>6</v>
      </c>
      <c r="G67" s="13" t="n">
        <v>6</v>
      </c>
      <c r="H67" s="8" t="n">
        <v>37.34</v>
      </c>
      <c r="I67" s="8">
        <f>G67*H67</f>
        <v/>
      </c>
      <c r="J67" s="8">
        <f>H67/E67</f>
        <v/>
      </c>
      <c r="K67" s="8" t="n">
        <v>37.185</v>
      </c>
      <c r="L67" s="8" t="n">
        <v>27.3967</v>
      </c>
      <c r="M67" s="14">
        <f>J67/K67-1</f>
        <v/>
      </c>
      <c r="N67" s="7" t="inlineStr">
        <is>
          <t>ACIMA +0.4%</t>
        </is>
      </c>
      <c r="O67" s="7" t="inlineStr"/>
    </row>
    <row r="68">
      <c r="A68" s="7" t="n">
        <v>589611</v>
      </c>
      <c r="B68" s="7" t="inlineStr">
        <is>
          <t>400575</t>
        </is>
      </c>
      <c r="C68" s="12" t="inlineStr">
        <is>
          <t>7898040329570</t>
        </is>
      </c>
      <c r="D68" s="7" t="inlineStr">
        <is>
          <t>FLORATIL 200MG/G PO OR 4 ENV X 1G</t>
        </is>
      </c>
      <c r="E68" s="13" t="n">
        <v>1</v>
      </c>
      <c r="F68" s="13" t="n">
        <v>6</v>
      </c>
      <c r="G68" s="13" t="n">
        <v>6</v>
      </c>
      <c r="H68" s="8" t="n">
        <v>28</v>
      </c>
      <c r="I68" s="8">
        <f>G68*H68</f>
        <v/>
      </c>
      <c r="J68" s="8">
        <f>H68/E68</f>
        <v/>
      </c>
      <c r="K68" s="8" t="n">
        <v>28</v>
      </c>
      <c r="L68" s="8" t="n">
        <v>7.05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622951</v>
      </c>
      <c r="B69" s="7" t="inlineStr">
        <is>
          <t>404987</t>
        </is>
      </c>
      <c r="C69" s="12" t="inlineStr">
        <is>
          <t>7898040329679</t>
        </is>
      </c>
      <c r="D69" s="7" t="inlineStr">
        <is>
          <t>FLORATIL 250MG BL 6 CAP</t>
        </is>
      </c>
      <c r="E69" s="13" t="n">
        <v>1</v>
      </c>
      <c r="F69" s="13" t="n">
        <v>7</v>
      </c>
      <c r="G69" s="13" t="n">
        <v>7</v>
      </c>
      <c r="H69" s="8" t="n">
        <v>36.53</v>
      </c>
      <c r="I69" s="8">
        <f>G69*H69</f>
        <v/>
      </c>
      <c r="J69" s="8">
        <f>H69/E69</f>
        <v/>
      </c>
      <c r="K69" s="8" t="n">
        <v>38.6417</v>
      </c>
      <c r="L69" s="8" t="n">
        <v>31.31</v>
      </c>
      <c r="M69" s="14">
        <f>J69/K69-1</f>
        <v/>
      </c>
      <c r="N69" s="7" t="inlineStr">
        <is>
          <t>OK (≤ últ. compra)</t>
        </is>
      </c>
      <c r="O69" s="7" t="inlineStr"/>
    </row>
    <row r="70">
      <c r="A70" s="7" t="n">
        <v>635741</v>
      </c>
      <c r="B70" s="7" t="inlineStr">
        <is>
          <t>405483</t>
        </is>
      </c>
      <c r="C70" s="12" t="inlineStr">
        <is>
          <t>7891106916059</t>
        </is>
      </c>
      <c r="D70" s="7" t="inlineStr">
        <is>
          <t>GINO CANESTEN 1 500MG 1COMP+APL-REFERENCIA</t>
        </is>
      </c>
      <c r="E70" s="13" t="n">
        <v>1</v>
      </c>
      <c r="F70" s="13" t="n">
        <v>4</v>
      </c>
      <c r="G70" s="13" t="n">
        <v>4</v>
      </c>
      <c r="H70" s="8" t="n">
        <v>72.45</v>
      </c>
      <c r="I70" s="8">
        <f>G70*H70</f>
        <v/>
      </c>
      <c r="J70" s="8">
        <f>H70/E70</f>
        <v/>
      </c>
      <c r="K70" s="8" t="n">
        <v>80.51000000000001</v>
      </c>
      <c r="L70" s="8" t="n">
        <v>68.87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189141</v>
      </c>
      <c r="B71" s="7" t="inlineStr">
        <is>
          <t>101668</t>
        </is>
      </c>
      <c r="C71" s="12" t="inlineStr">
        <is>
          <t>7891106003230</t>
        </is>
      </c>
      <c r="D71" s="7" t="inlineStr">
        <is>
          <t>GINO CANESTEN 20 MG/G CREME VAG BG 20G+3APLIC</t>
        </is>
      </c>
      <c r="E71" s="13" t="n">
        <v>1</v>
      </c>
      <c r="F71" s="13" t="n">
        <v>2</v>
      </c>
      <c r="G71" s="13" t="n">
        <v>2</v>
      </c>
      <c r="H71" s="8" t="n">
        <v>72.78</v>
      </c>
      <c r="I71" s="8">
        <f>G71*H71</f>
        <v/>
      </c>
      <c r="J71" s="8">
        <f>H71/E71</f>
        <v/>
      </c>
      <c r="K71" s="8" t="n">
        <v>70.93000000000001</v>
      </c>
      <c r="L71" s="8" t="n">
        <v>65.23</v>
      </c>
      <c r="M71" s="14">
        <f>J71/K71-1</f>
        <v/>
      </c>
      <c r="N71" s="7" t="inlineStr">
        <is>
          <t>ACIMA +2.6%</t>
        </is>
      </c>
      <c r="O71" s="7" t="inlineStr"/>
    </row>
    <row r="72">
      <c r="A72" s="7" t="n">
        <v>264861</v>
      </c>
      <c r="B72" s="7" t="inlineStr">
        <is>
          <t>309124</t>
        </is>
      </c>
      <c r="C72" s="12" t="inlineStr">
        <is>
          <t>8903855076812</t>
        </is>
      </c>
      <c r="D72" s="7" t="inlineStr">
        <is>
          <t>GLICLAZIDA 30 MG COM LIB PROL CT BL AL AL X 60</t>
        </is>
      </c>
      <c r="E72" s="13" t="n">
        <v>1</v>
      </c>
      <c r="F72" s="13" t="n">
        <v>4</v>
      </c>
      <c r="G72" s="13" t="n">
        <v>4</v>
      </c>
      <c r="H72" s="8" t="n">
        <v>11.56</v>
      </c>
      <c r="I72" s="8">
        <f>G72*H72</f>
        <v/>
      </c>
      <c r="J72" s="8">
        <f>H72/E72</f>
        <v/>
      </c>
      <c r="K72" s="8" t="n">
        <v>11.5525</v>
      </c>
      <c r="L72" s="8" t="n">
        <v>11.5525</v>
      </c>
      <c r="M72" s="14">
        <f>J72/K72-1</f>
        <v/>
      </c>
      <c r="N72" s="7" t="inlineStr">
        <is>
          <t>ACIMA +0.1%</t>
        </is>
      </c>
      <c r="O72" s="7" t="inlineStr"/>
    </row>
    <row r="73">
      <c r="A73" s="7" t="n">
        <v>533121</v>
      </c>
      <c r="B73" s="7" t="inlineStr">
        <is>
          <t>101681</t>
        </is>
      </c>
      <c r="C73" s="12" t="inlineStr">
        <is>
          <t>7891721201806</t>
        </is>
      </c>
      <c r="D73" s="7" t="inlineStr">
        <is>
          <t>GLIFAGE XR 500MG CX 30 COMP</t>
        </is>
      </c>
      <c r="E73" s="13" t="n">
        <v>1</v>
      </c>
      <c r="F73" s="13" t="n">
        <v>266</v>
      </c>
      <c r="G73" s="13" t="n">
        <v>266</v>
      </c>
      <c r="H73" s="8" t="n">
        <v>7.42</v>
      </c>
      <c r="I73" s="8">
        <f>G73*H73</f>
        <v/>
      </c>
      <c r="J73" s="8">
        <f>H73/E73</f>
        <v/>
      </c>
      <c r="K73" s="8" t="n">
        <v>7.2626</v>
      </c>
      <c r="L73" s="8" t="n">
        <v>6.4487</v>
      </c>
      <c r="M73" s="14">
        <f>J73/K73-1</f>
        <v/>
      </c>
      <c r="N73" s="7" t="inlineStr">
        <is>
          <t>ACIMA +2.2%</t>
        </is>
      </c>
      <c r="O73" s="7" t="inlineStr"/>
    </row>
    <row r="74">
      <c r="A74" s="7" t="n">
        <v>264141</v>
      </c>
      <c r="B74" s="7" t="inlineStr">
        <is>
          <t>105083</t>
        </is>
      </c>
      <c r="C74" s="12" t="inlineStr">
        <is>
          <t>7891721026621</t>
        </is>
      </c>
      <c r="D74" s="7" t="inlineStr">
        <is>
          <t>GLUCOVANCE 500+5MG CX 30 COMP REV</t>
        </is>
      </c>
      <c r="E74" s="13" t="n">
        <v>1</v>
      </c>
      <c r="F74" s="13" t="n">
        <v>4</v>
      </c>
      <c r="G74" s="13" t="n">
        <v>4</v>
      </c>
      <c r="H74" s="8" t="n">
        <v>41.36</v>
      </c>
      <c r="I74" s="8">
        <f>G74*H74</f>
        <v/>
      </c>
      <c r="J74" s="8">
        <f>H74/E74</f>
        <v/>
      </c>
      <c r="K74" s="8" t="n">
        <v>42.8067</v>
      </c>
      <c r="L74" s="8" t="n">
        <v>40.76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583361</v>
      </c>
      <c r="B75" s="7" t="inlineStr">
        <is>
          <t>707836</t>
        </is>
      </c>
      <c r="C75" s="12" t="inlineStr">
        <is>
          <t>7896512921369</t>
        </is>
      </c>
      <c r="D75" s="7" t="inlineStr">
        <is>
          <t>GRANADO BEBE LCO UMD C/50</t>
        </is>
      </c>
      <c r="E75" s="13" t="n">
        <v>1</v>
      </c>
      <c r="F75" s="13" t="n">
        <v>1</v>
      </c>
      <c r="G75" s="13" t="n">
        <v>1</v>
      </c>
      <c r="H75" s="8" t="n">
        <v>9.06</v>
      </c>
      <c r="I75" s="8">
        <f>G75*H75</f>
        <v/>
      </c>
      <c r="J75" s="8">
        <f>H75/E75</f>
        <v/>
      </c>
      <c r="K75" s="8" t="n">
        <v>10.375</v>
      </c>
      <c r="L75" s="8" t="n">
        <v>10.375</v>
      </c>
      <c r="M75" s="14">
        <f>J75/K75-1</f>
        <v/>
      </c>
      <c r="N75" s="7" t="inlineStr">
        <is>
          <t>OK (≤ menor hist.)</t>
        </is>
      </c>
      <c r="O75" s="7" t="inlineStr"/>
    </row>
    <row r="76">
      <c r="A76" s="7" t="n">
        <v>639851</v>
      </c>
      <c r="B76" s="7" t="inlineStr">
        <is>
          <t>405167</t>
        </is>
      </c>
      <c r="C76" s="12" t="inlineStr">
        <is>
          <t>7899095200586</t>
        </is>
      </c>
      <c r="D76" s="7" t="inlineStr">
        <is>
          <t>HILUROPT 1,5MG/ML SOL OFT FR GOT X 10ML</t>
        </is>
      </c>
      <c r="E76" s="13" t="n">
        <v>1</v>
      </c>
      <c r="F76" s="13" t="n">
        <v>9</v>
      </c>
      <c r="G76" s="13" t="n">
        <v>9</v>
      </c>
      <c r="H76" s="8" t="n">
        <v>36.09</v>
      </c>
      <c r="I76" s="8">
        <f>G76*H76</f>
        <v/>
      </c>
      <c r="J76" s="8">
        <f>H76/E76</f>
        <v/>
      </c>
      <c r="K76" s="8" t="n">
        <v>39.465</v>
      </c>
      <c r="L76" s="8" t="n">
        <v>33.63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621551</v>
      </c>
      <c r="B77" s="7" t="inlineStr">
        <is>
          <t>721531</t>
        </is>
      </c>
      <c r="C77" s="12" t="inlineStr">
        <is>
          <t>7891010255763</t>
        </is>
      </c>
      <c r="D77" s="7" t="inlineStr">
        <is>
          <t>HIPOGLOS ORIGINAL 40G</t>
        </is>
      </c>
      <c r="E77" s="13" t="n">
        <v>1</v>
      </c>
      <c r="F77" s="13" t="n">
        <v>6</v>
      </c>
      <c r="G77" s="13" t="n">
        <v>6</v>
      </c>
      <c r="H77" s="8" t="n">
        <v>19.49</v>
      </c>
      <c r="I77" s="8">
        <f>G77*H77</f>
        <v/>
      </c>
      <c r="J77" s="8">
        <f>H77/E77</f>
        <v/>
      </c>
      <c r="K77" s="8" t="n">
        <v>21.3575</v>
      </c>
      <c r="L77" s="8" t="n">
        <v>18.405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406241</v>
      </c>
      <c r="B78" s="7" t="inlineStr">
        <is>
          <t>402291</t>
        </is>
      </c>
      <c r="C78" s="12" t="inlineStr">
        <is>
          <t>7897411601505</t>
        </is>
      </c>
      <c r="D78" s="7" t="inlineStr">
        <is>
          <t>HIRUDOID 3MG/G GEL BG X 40G</t>
        </is>
      </c>
      <c r="E78" s="13" t="n">
        <v>1</v>
      </c>
      <c r="F78" s="13" t="n">
        <v>2</v>
      </c>
      <c r="G78" s="13" t="n">
        <v>2</v>
      </c>
      <c r="H78" s="8" t="n">
        <v>32.92</v>
      </c>
      <c r="I78" s="8">
        <f>G78*H78</f>
        <v/>
      </c>
      <c r="J78" s="8">
        <f>H78/E78</f>
        <v/>
      </c>
      <c r="K78" s="8" t="n">
        <v>32.92</v>
      </c>
      <c r="L78" s="8" t="n">
        <v>28.79</v>
      </c>
      <c r="M78" s="14">
        <f>J78/K78-1</f>
        <v/>
      </c>
      <c r="N78" s="7" t="inlineStr">
        <is>
          <t>OK (≤ últ. compra)</t>
        </is>
      </c>
      <c r="O78" s="7" t="inlineStr"/>
    </row>
    <row r="79">
      <c r="A79" s="7" t="n">
        <v>406261</v>
      </c>
      <c r="B79" s="7" t="inlineStr">
        <is>
          <t>402294</t>
        </is>
      </c>
      <c r="C79" s="12" t="inlineStr">
        <is>
          <t>7897411601567</t>
        </is>
      </c>
      <c r="D79" s="7" t="inlineStr">
        <is>
          <t>HIRUDOID 5MG/G POM BG X 40G</t>
        </is>
      </c>
      <c r="E79" s="13" t="n">
        <v>1</v>
      </c>
      <c r="F79" s="13" t="n">
        <v>1</v>
      </c>
      <c r="G79" s="13" t="n">
        <v>1</v>
      </c>
      <c r="H79" s="8" t="n">
        <v>36.05</v>
      </c>
      <c r="I79" s="8">
        <f>G79*H79</f>
        <v/>
      </c>
      <c r="J79" s="8">
        <f>H79/E79</f>
        <v/>
      </c>
      <c r="K79" s="8" t="n">
        <v>36.05</v>
      </c>
      <c r="L79" s="8" t="n">
        <v>31.52</v>
      </c>
      <c r="M79" s="14">
        <f>J79/K79-1</f>
        <v/>
      </c>
      <c r="N79" s="7" t="inlineStr">
        <is>
          <t>OK (≤ últ. compra)</t>
        </is>
      </c>
      <c r="O79" s="7" t="inlineStr"/>
    </row>
    <row r="80">
      <c r="A80" s="7" t="n">
        <v>594891</v>
      </c>
      <c r="B80" s="7" t="inlineStr">
        <is>
          <t>718482</t>
        </is>
      </c>
      <c r="C80" s="12" t="inlineStr">
        <is>
          <t>7898639690708</t>
        </is>
      </c>
      <c r="D80" s="7" t="inlineStr">
        <is>
          <t>INALADOR NEBULIZADOR ULTRANEB DESK2</t>
        </is>
      </c>
      <c r="E80" s="13" t="n">
        <v>1</v>
      </c>
      <c r="F80" s="13" t="n">
        <v>3</v>
      </c>
      <c r="G80" s="13" t="n">
        <v>3</v>
      </c>
      <c r="H80" s="8" t="n">
        <v>117.53</v>
      </c>
      <c r="I80" s="8">
        <f>G80*H80</f>
        <v/>
      </c>
      <c r="J80" s="8">
        <f>H80/E80</f>
        <v/>
      </c>
      <c r="K80" s="8" t="n">
        <v>130.26</v>
      </c>
      <c r="L80" s="8" t="n">
        <v>130.26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240081</v>
      </c>
      <c r="B81" s="7" t="inlineStr">
        <is>
          <t>101904</t>
        </is>
      </c>
      <c r="C81" s="12" t="inlineStr">
        <is>
          <t>7896094208094</t>
        </is>
      </c>
      <c r="D81" s="7" t="inlineStr">
        <is>
          <t>IUMI 3+0,02MG CX 24 COMP REV</t>
        </is>
      </c>
      <c r="E81" s="13" t="n">
        <v>1</v>
      </c>
      <c r="F81" s="13" t="n">
        <v>1</v>
      </c>
      <c r="G81" s="13" t="n">
        <v>1</v>
      </c>
      <c r="H81" s="8" t="n">
        <v>58.84</v>
      </c>
      <c r="I81" s="8">
        <f>G81*H81</f>
        <v/>
      </c>
      <c r="J81" s="8">
        <f>H81/E81</f>
        <v/>
      </c>
      <c r="K81" s="8" t="n">
        <v>58.84</v>
      </c>
      <c r="L81" s="8" t="n">
        <v>54.58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637531</v>
      </c>
      <c r="B82" s="7" t="inlineStr">
        <is>
          <t>702330</t>
        </is>
      </c>
      <c r="C82" s="12" t="inlineStr">
        <is>
          <t>7897211100192</t>
        </is>
      </c>
      <c r="D82" s="7" t="inlineStr">
        <is>
          <t>K-Y GEL LUBRIF INTIMO 50G</t>
        </is>
      </c>
      <c r="E82" s="13" t="n">
        <v>1</v>
      </c>
      <c r="F82" s="13" t="n">
        <v>3</v>
      </c>
      <c r="G82" s="13" t="n">
        <v>3</v>
      </c>
      <c r="H82" s="8" t="n">
        <v>17.47</v>
      </c>
      <c r="I82" s="8">
        <f>G82*H82</f>
        <v/>
      </c>
      <c r="J82" s="8">
        <f>H82/E82</f>
        <v/>
      </c>
      <c r="K82" s="8" t="n">
        <v>18.53</v>
      </c>
      <c r="L82" s="8" t="n">
        <v>18.53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400881</v>
      </c>
      <c r="B83" s="7" t="inlineStr">
        <is>
          <t>101918</t>
        </is>
      </c>
      <c r="C83" s="12" t="inlineStr">
        <is>
          <t>7896641804380</t>
        </is>
      </c>
      <c r="D83" s="7" t="inlineStr">
        <is>
          <t>KALOBA 825MG/ML SOL ORAL FR 20ML</t>
        </is>
      </c>
      <c r="E83" s="13" t="n">
        <v>1</v>
      </c>
      <c r="F83" s="13" t="n">
        <v>7</v>
      </c>
      <c r="G83" s="13" t="n">
        <v>7</v>
      </c>
      <c r="H83" s="8" t="n">
        <v>77.37</v>
      </c>
      <c r="I83" s="8">
        <f>G83*H83</f>
        <v/>
      </c>
      <c r="J83" s="8">
        <f>H83/E83</f>
        <v/>
      </c>
      <c r="K83" s="8" t="n">
        <v>77.37</v>
      </c>
      <c r="L83" s="8" t="n">
        <v>71.405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400901</v>
      </c>
      <c r="B84" s="7" t="inlineStr">
        <is>
          <t>101919</t>
        </is>
      </c>
      <c r="C84" s="12" t="inlineStr">
        <is>
          <t>7896641804397</t>
        </is>
      </c>
      <c r="D84" s="7" t="inlineStr">
        <is>
          <t>KALOBA 825MG/ML SOL ORAL FR 50ML</t>
        </is>
      </c>
      <c r="E84" s="13" t="n">
        <v>1</v>
      </c>
      <c r="F84" s="13" t="n">
        <v>1</v>
      </c>
      <c r="G84" s="13" t="n">
        <v>1</v>
      </c>
      <c r="H84" s="8" t="n">
        <v>128.35</v>
      </c>
      <c r="I84" s="8">
        <f>G84*H84</f>
        <v/>
      </c>
      <c r="J84" s="8">
        <f>H84/E84</f>
        <v/>
      </c>
      <c r="K84" s="8" t="n">
        <v>128.35</v>
      </c>
      <c r="L84" s="8" t="n">
        <v>111.97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190241</v>
      </c>
      <c r="B85" s="7" t="inlineStr">
        <is>
          <t>107753</t>
        </is>
      </c>
      <c r="C85" s="12" t="inlineStr">
        <is>
          <t>7896676427745</t>
        </is>
      </c>
      <c r="D85" s="7" t="inlineStr">
        <is>
          <t>KOLLAGENASE 0,6U/G POM DERM BG 30G+ESP</t>
        </is>
      </c>
      <c r="E85" s="13" t="n">
        <v>1</v>
      </c>
      <c r="F85" s="13" t="n">
        <v>3</v>
      </c>
      <c r="G85" s="13" t="n">
        <v>3</v>
      </c>
      <c r="H85" s="8" t="n">
        <v>57.09</v>
      </c>
      <c r="I85" s="8">
        <f>G85*H85</f>
        <v/>
      </c>
      <c r="J85" s="8">
        <f>H85/E85</f>
        <v/>
      </c>
      <c r="K85" s="8" t="n">
        <v>54.35</v>
      </c>
      <c r="L85" s="8" t="n">
        <v>49.1033</v>
      </c>
      <c r="M85" s="14">
        <f>J85/K85-1</f>
        <v/>
      </c>
      <c r="N85" s="7" t="inlineStr">
        <is>
          <t>ACIMA +5.0%</t>
        </is>
      </c>
      <c r="O85" s="7" t="inlineStr"/>
    </row>
    <row r="86">
      <c r="A86" s="7" t="n">
        <v>129021</v>
      </c>
      <c r="B86" s="7" t="inlineStr">
        <is>
          <t>101961</t>
        </is>
      </c>
      <c r="C86" s="12" t="inlineStr">
        <is>
          <t>7896637028523</t>
        </is>
      </c>
      <c r="D86" s="7" t="inlineStr">
        <is>
          <t>LABIRIN 24MG CX 30 COMP</t>
        </is>
      </c>
      <c r="E86" s="13" t="n">
        <v>1</v>
      </c>
      <c r="F86" s="13" t="n">
        <v>3</v>
      </c>
      <c r="G86" s="13" t="n">
        <v>3</v>
      </c>
      <c r="H86" s="8" t="n">
        <v>19.44</v>
      </c>
      <c r="I86" s="8">
        <f>G86*H86</f>
        <v/>
      </c>
      <c r="J86" s="8">
        <f>H86/E86</f>
        <v/>
      </c>
      <c r="K86" s="8" t="n">
        <v>19.44</v>
      </c>
      <c r="L86" s="8" t="n">
        <v>16.2667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208201</v>
      </c>
      <c r="B87" s="7" t="inlineStr">
        <is>
          <t>400729</t>
        </is>
      </c>
      <c r="C87" s="12" t="inlineStr">
        <is>
          <t>7896676432855</t>
        </is>
      </c>
      <c r="D87" s="7" t="inlineStr">
        <is>
          <t>LACRIBELL 1+3MG SOL OFT FR 15ML</t>
        </is>
      </c>
      <c r="E87" s="13" t="n">
        <v>1</v>
      </c>
      <c r="F87" s="13" t="n">
        <v>3</v>
      </c>
      <c r="G87" s="13" t="n">
        <v>3</v>
      </c>
      <c r="H87" s="8" t="n">
        <v>19.53</v>
      </c>
      <c r="I87" s="8">
        <f>G87*H87</f>
        <v/>
      </c>
      <c r="J87" s="8">
        <f>H87/E87</f>
        <v/>
      </c>
      <c r="K87" s="8" t="n">
        <v>19.53</v>
      </c>
      <c r="L87" s="8" t="n">
        <v>17.415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310061</v>
      </c>
      <c r="B88" s="7" t="inlineStr">
        <is>
          <t>400741</t>
        </is>
      </c>
      <c r="C88" s="12" t="inlineStr">
        <is>
          <t>7897411610750</t>
        </is>
      </c>
      <c r="D88" s="7" t="inlineStr">
        <is>
          <t>LACTULONA 667MG/ML XPE FR 120ML SB AMEIXA</t>
        </is>
      </c>
      <c r="E88" s="13" t="n">
        <v>1</v>
      </c>
      <c r="F88" s="13" t="n">
        <v>1</v>
      </c>
      <c r="G88" s="13" t="n">
        <v>1</v>
      </c>
      <c r="H88" s="8" t="n">
        <v>48.17</v>
      </c>
      <c r="I88" s="8">
        <f>G88*H88</f>
        <v/>
      </c>
      <c r="J88" s="8">
        <f>H88/E88</f>
        <v/>
      </c>
      <c r="K88" s="8" t="n">
        <v>48.17</v>
      </c>
      <c r="L88" s="8" t="n">
        <v>42.12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539621</v>
      </c>
      <c r="B89" s="7" t="inlineStr">
        <is>
          <t>400763</t>
        </is>
      </c>
      <c r="C89" s="12" t="inlineStr">
        <is>
          <t>7895858015688</t>
        </is>
      </c>
      <c r="D89" s="7" t="inlineStr">
        <is>
          <t>LEITE MAGNESIA PHIL C/120ML</t>
        </is>
      </c>
      <c r="E89" s="13" t="n">
        <v>1</v>
      </c>
      <c r="F89" s="13" t="n">
        <v>11</v>
      </c>
      <c r="G89" s="13" t="n">
        <v>11</v>
      </c>
      <c r="H89" s="8" t="n">
        <v>13.74</v>
      </c>
      <c r="I89" s="8">
        <f>G89*H89</f>
        <v/>
      </c>
      <c r="J89" s="8">
        <f>H89/E89</f>
        <v/>
      </c>
      <c r="K89" s="8" t="n">
        <v>16.875</v>
      </c>
      <c r="L89" s="8" t="n">
        <v>8.1403</v>
      </c>
      <c r="M89" s="14">
        <f>J89/K89-1</f>
        <v/>
      </c>
      <c r="N89" s="7" t="inlineStr">
        <is>
          <t>OK (≤ últ. compra)</t>
        </is>
      </c>
      <c r="O89" s="7" t="inlineStr"/>
    </row>
    <row r="90">
      <c r="A90" s="7" t="n">
        <v>560961</v>
      </c>
      <c r="B90" s="7" t="inlineStr">
        <is>
          <t>400764</t>
        </is>
      </c>
      <c r="C90" s="12" t="inlineStr">
        <is>
          <t>7895858015695</t>
        </is>
      </c>
      <c r="D90" s="7" t="inlineStr">
        <is>
          <t>LEITE MAGNESIA PHILL 350ML</t>
        </is>
      </c>
      <c r="E90" s="13" t="n">
        <v>1</v>
      </c>
      <c r="F90" s="13" t="n">
        <v>8</v>
      </c>
      <c r="G90" s="13" t="n">
        <v>8</v>
      </c>
      <c r="H90" s="8" t="n">
        <v>22.18</v>
      </c>
      <c r="I90" s="8">
        <f>G90*H90</f>
        <v/>
      </c>
      <c r="J90" s="8">
        <f>H90/E90</f>
        <v/>
      </c>
      <c r="K90" s="8" t="n">
        <v>27.2467</v>
      </c>
      <c r="L90" s="8" t="n">
        <v>13.1507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320321</v>
      </c>
      <c r="B91" s="7" t="inlineStr">
        <is>
          <t>102028</t>
        </is>
      </c>
      <c r="C91" s="12" t="inlineStr">
        <is>
          <t>7896658008801</t>
        </is>
      </c>
      <c r="D91" s="7" t="inlineStr">
        <is>
          <t>LEVOID 88MCG CX 30 COMP</t>
        </is>
      </c>
      <c r="E91" s="13" t="n">
        <v>1</v>
      </c>
      <c r="F91" s="13" t="n">
        <v>4</v>
      </c>
      <c r="G91" s="13" t="n">
        <v>4</v>
      </c>
      <c r="H91" s="8" t="n">
        <v>20.33</v>
      </c>
      <c r="I91" s="8">
        <f>G91*H91</f>
        <v/>
      </c>
      <c r="J91" s="8">
        <f>H91/E91</f>
        <v/>
      </c>
      <c r="K91" s="8" t="n">
        <v>20.33</v>
      </c>
      <c r="L91" s="8" t="n">
        <v>18.71</v>
      </c>
      <c r="M91" s="14">
        <f>J91/K91-1</f>
        <v/>
      </c>
      <c r="N91" s="7" t="inlineStr">
        <is>
          <t>OK (≤ últ. compra)</t>
        </is>
      </c>
      <c r="O91" s="7" t="inlineStr"/>
    </row>
    <row r="92">
      <c r="A92" s="7" t="n">
        <v>284241</v>
      </c>
      <c r="B92" s="7" t="inlineStr">
        <is>
          <t>404540</t>
        </is>
      </c>
      <c r="C92" s="12" t="inlineStr">
        <is>
          <t>7896676435658</t>
        </is>
      </c>
      <c r="D92" s="7" t="inlineStr">
        <is>
          <t>LUNAH 1MG /ML SOL OFT FR GOT 10ML</t>
        </is>
      </c>
      <c r="E92" s="13" t="n">
        <v>1</v>
      </c>
      <c r="F92" s="13" t="n">
        <v>4</v>
      </c>
      <c r="G92" s="13" t="n">
        <v>4</v>
      </c>
      <c r="H92" s="8" t="n">
        <v>42.72</v>
      </c>
      <c r="I92" s="8">
        <f>G92*H92</f>
        <v/>
      </c>
      <c r="J92" s="8">
        <f>H92/E92</f>
        <v/>
      </c>
      <c r="K92" s="8" t="n">
        <v>42.72</v>
      </c>
      <c r="L92" s="8" t="n">
        <v>38.0767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653771</v>
      </c>
      <c r="B93" s="7" t="inlineStr">
        <is>
          <t>405468</t>
        </is>
      </c>
      <c r="C93" s="12" t="inlineStr">
        <is>
          <t>7898244720630</t>
        </is>
      </c>
      <c r="D93" s="7" t="inlineStr">
        <is>
          <t>MARESIS FLEX 2,16G KIT FR+30SACH   FQM %DN:15.00</t>
        </is>
      </c>
      <c r="E93" s="13" t="n">
        <v>1</v>
      </c>
      <c r="F93" s="13" t="n">
        <v>1</v>
      </c>
      <c r="G93" s="13" t="n">
        <v>1</v>
      </c>
      <c r="H93" s="8" t="n">
        <v>62.16</v>
      </c>
      <c r="I93" s="8">
        <f>G93*H93</f>
        <v/>
      </c>
      <c r="J93" s="8">
        <f>H93/E93</f>
        <v/>
      </c>
      <c r="K93" s="8" t="n">
        <v>52.78</v>
      </c>
      <c r="L93" s="8" t="n">
        <v>52.78</v>
      </c>
      <c r="M93" s="14">
        <f>J93/K93-1</f>
        <v/>
      </c>
      <c r="N93" s="7" t="inlineStr">
        <is>
          <t>ACIMA +17.8%</t>
        </is>
      </c>
      <c r="O93" s="7" t="inlineStr"/>
    </row>
    <row r="94">
      <c r="A94" s="7" t="n">
        <v>206681</v>
      </c>
      <c r="B94" s="7" t="inlineStr">
        <is>
          <t>102202</t>
        </is>
      </c>
      <c r="C94" s="12" t="inlineStr">
        <is>
          <t>7896548111727</t>
        </is>
      </c>
      <c r="D94" s="7" t="inlineStr">
        <is>
          <t>MAXIDEX 1MG/ML SUS OFT FR GTS 5ML</t>
        </is>
      </c>
      <c r="E94" s="13" t="n">
        <v>1</v>
      </c>
      <c r="F94" s="13" t="n">
        <v>18</v>
      </c>
      <c r="G94" s="13" t="n">
        <v>18</v>
      </c>
      <c r="H94" s="8" t="n">
        <v>8.23</v>
      </c>
      <c r="I94" s="8">
        <f>G94*H94</f>
        <v/>
      </c>
      <c r="J94" s="8">
        <f>H94/E94</f>
        <v/>
      </c>
      <c r="K94" s="8" t="n">
        <v>8.23</v>
      </c>
      <c r="L94" s="8" t="n">
        <v>7.8167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673191</v>
      </c>
      <c r="B95" s="7" t="inlineStr">
        <is>
          <t>705710</t>
        </is>
      </c>
      <c r="C95" s="12" t="inlineStr">
        <is>
          <t>7896023752513</t>
        </is>
      </c>
      <c r="D95" s="7" t="inlineStr">
        <is>
          <t>MELAGRIAO SPRAY - MENTA - 30ML-DEMAIS PROD</t>
        </is>
      </c>
      <c r="E95" s="13" t="n">
        <v>1</v>
      </c>
      <c r="F95" s="13" t="n">
        <v>3</v>
      </c>
      <c r="G95" s="13" t="n">
        <v>3</v>
      </c>
      <c r="H95" s="8" t="n">
        <v>11.42</v>
      </c>
      <c r="I95" s="8">
        <f>G95*H95</f>
        <v/>
      </c>
      <c r="J95" s="8">
        <f>H95/E95</f>
        <v/>
      </c>
      <c r="K95" s="8" t="n">
        <v>16.5517</v>
      </c>
      <c r="L95" s="8" t="n">
        <v>13.14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663861</v>
      </c>
      <c r="B96" s="7" t="inlineStr">
        <is>
          <t>114887</t>
        </is>
      </c>
      <c r="C96" s="12" t="inlineStr">
        <is>
          <t>7891106916233</t>
        </is>
      </c>
      <c r="D96" s="7" t="inlineStr">
        <is>
          <t>MESIGYNA 50+5MG/ML C/1 SER PR+AG-REFERENCIA</t>
        </is>
      </c>
      <c r="E96" s="13" t="n">
        <v>1</v>
      </c>
      <c r="F96" s="13" t="n">
        <v>6</v>
      </c>
      <c r="G96" s="13" t="n">
        <v>6</v>
      </c>
      <c r="H96" s="8" t="n">
        <v>35.54</v>
      </c>
      <c r="I96" s="8">
        <f>G96*H96</f>
        <v/>
      </c>
      <c r="J96" s="8">
        <f>H96/E96</f>
        <v/>
      </c>
      <c r="K96" s="8" t="n">
        <v>35.54</v>
      </c>
      <c r="L96" s="8" t="n">
        <v>29.545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650411</v>
      </c>
      <c r="B97" s="7" t="inlineStr">
        <is>
          <t>710708</t>
        </is>
      </c>
      <c r="C97" s="12" t="inlineStr">
        <is>
          <t>7891800665017</t>
        </is>
      </c>
      <c r="D97" s="7" t="inlineStr">
        <is>
          <t>MICROPOROSA CREMER BEGE 1,2CM X 4,5M</t>
        </is>
      </c>
      <c r="E97" s="13" t="n">
        <v>1</v>
      </c>
      <c r="F97" s="13" t="n">
        <v>3</v>
      </c>
      <c r="G97" s="13" t="n">
        <v>3</v>
      </c>
      <c r="H97" s="8" t="n">
        <v>5.07</v>
      </c>
      <c r="I97" s="8">
        <f>G97*H97</f>
        <v/>
      </c>
      <c r="J97" s="8">
        <f>H97/E97</f>
        <v/>
      </c>
      <c r="K97" s="8" t="n">
        <v>5.32</v>
      </c>
      <c r="L97" s="8" t="n">
        <v>5.27</v>
      </c>
      <c r="M97" s="14">
        <f>J97/K97-1</f>
        <v/>
      </c>
      <c r="N97" s="7" t="inlineStr">
        <is>
          <t>OK (≤ menor hist.)</t>
        </is>
      </c>
      <c r="O97" s="7" t="inlineStr"/>
    </row>
    <row r="98">
      <c r="A98" s="7" t="n">
        <v>622791</v>
      </c>
      <c r="B98" s="7" t="inlineStr">
        <is>
          <t>405240</t>
        </is>
      </c>
      <c r="C98" s="12" t="inlineStr">
        <is>
          <t>7891317022174</t>
        </is>
      </c>
      <c r="D98" s="7" t="inlineStr">
        <is>
          <t>MINILAX PEDIATRICO 714,0+7,70MG/G SOL RET 7 BG X 6,5G</t>
        </is>
      </c>
      <c r="E98" s="13" t="n">
        <v>1</v>
      </c>
      <c r="F98" s="13" t="n">
        <v>1</v>
      </c>
      <c r="G98" s="13" t="n">
        <v>1</v>
      </c>
      <c r="H98" s="8" t="n">
        <v>44.5</v>
      </c>
      <c r="I98" s="8">
        <f>G98*H98</f>
        <v/>
      </c>
      <c r="J98" s="8">
        <f>H98/E98</f>
        <v/>
      </c>
      <c r="K98" s="8" t="n">
        <v>44.4967</v>
      </c>
      <c r="L98" s="8" t="n">
        <v>38.8975</v>
      </c>
      <c r="M98" s="14">
        <f>J98/K98-1</f>
        <v/>
      </c>
      <c r="N98" s="7" t="inlineStr">
        <is>
          <t>ACIMA +0.0%</t>
        </is>
      </c>
      <c r="O98" s="7" t="inlineStr"/>
    </row>
    <row r="99">
      <c r="A99" s="7" t="n">
        <v>133581</v>
      </c>
      <c r="B99" s="7" t="inlineStr">
        <is>
          <t>102323</t>
        </is>
      </c>
      <c r="C99" s="12" t="inlineStr">
        <is>
          <t>7896637023665</t>
        </is>
      </c>
      <c r="D99" s="7" t="inlineStr">
        <is>
          <t>MIOSAN 10MG CX 10 COMP REV</t>
        </is>
      </c>
      <c r="E99" s="13" t="n">
        <v>1</v>
      </c>
      <c r="F99" s="13" t="n">
        <v>3</v>
      </c>
      <c r="G99" s="13" t="n">
        <v>3</v>
      </c>
      <c r="H99" s="8" t="n">
        <v>12.44</v>
      </c>
      <c r="I99" s="8">
        <f>G99*H99</f>
        <v/>
      </c>
      <c r="J99" s="8">
        <f>H99/E99</f>
        <v/>
      </c>
      <c r="K99" s="8" t="n">
        <v>12.4417</v>
      </c>
      <c r="L99" s="8" t="n">
        <v>9.375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293561</v>
      </c>
      <c r="B100" s="7" t="inlineStr">
        <is>
          <t>102337</t>
        </is>
      </c>
      <c r="C100" s="12" t="inlineStr">
        <is>
          <t>7896676435214</t>
        </is>
      </c>
      <c r="D100" s="7" t="inlineStr">
        <is>
          <t>MIRUGELL 0,4+0,3+0,1% SOL OFT FR 5ML</t>
        </is>
      </c>
      <c r="E100" s="13" t="n">
        <v>1</v>
      </c>
      <c r="F100" s="13" t="n">
        <v>1</v>
      </c>
      <c r="G100" s="13" t="n">
        <v>1</v>
      </c>
      <c r="H100" s="8" t="n">
        <v>20.79</v>
      </c>
      <c r="I100" s="8">
        <f>G100*H100</f>
        <v/>
      </c>
      <c r="J100" s="8">
        <f>H100/E100</f>
        <v/>
      </c>
      <c r="K100" s="8" t="n">
        <v>19.8</v>
      </c>
      <c r="L100" s="8" t="n">
        <v>18.33</v>
      </c>
      <c r="M100" s="14">
        <f>J100/K100-1</f>
        <v/>
      </c>
      <c r="N100" s="7" t="inlineStr">
        <is>
          <t>ACIMA +5.0%</t>
        </is>
      </c>
      <c r="O100" s="7" t="inlineStr"/>
    </row>
    <row r="101">
      <c r="A101" s="7" t="n">
        <v>582301</v>
      </c>
      <c r="B101" s="7" t="inlineStr">
        <is>
          <t>102407</t>
        </is>
      </c>
      <c r="C101" s="12" t="inlineStr">
        <is>
          <t>7897337716550</t>
        </is>
      </c>
      <c r="D101" s="7" t="inlineStr">
        <is>
          <t>NASONEX 0,5MG/G SUS NAS FR SPR 60 ATOMIZ</t>
        </is>
      </c>
      <c r="E101" s="13" t="n">
        <v>1</v>
      </c>
      <c r="F101" s="13" t="n">
        <v>3</v>
      </c>
      <c r="G101" s="13" t="n">
        <v>3</v>
      </c>
      <c r="H101" s="8" t="n">
        <v>37.12</v>
      </c>
      <c r="I101" s="8">
        <f>G101*H101</f>
        <v/>
      </c>
      <c r="J101" s="8">
        <f>H101/E101</f>
        <v/>
      </c>
      <c r="K101" s="8" t="n">
        <v>37.12</v>
      </c>
      <c r="L101" s="8" t="n">
        <v>33.325</v>
      </c>
      <c r="M101" s="14">
        <f>J101/K101-1</f>
        <v/>
      </c>
      <c r="N101" s="7" t="inlineStr">
        <is>
          <t>OK (≤ últ. compra)</t>
        </is>
      </c>
      <c r="O101" s="7" t="inlineStr"/>
    </row>
    <row r="102">
      <c r="A102" s="7" t="n">
        <v>644791</v>
      </c>
      <c r="B102" s="7" t="inlineStr">
        <is>
          <t>715557</t>
        </is>
      </c>
      <c r="C102" s="12" t="inlineStr">
        <is>
          <t>7891010248130</t>
        </is>
      </c>
      <c r="D102" s="7" t="inlineStr">
        <is>
          <t>NEOS MINESOL COR/ROS FPS99 200ML</t>
        </is>
      </c>
      <c r="E102" s="13" t="n">
        <v>1</v>
      </c>
      <c r="F102" s="13" t="n">
        <v>2</v>
      </c>
      <c r="G102" s="13" t="n">
        <v>2</v>
      </c>
      <c r="H102" s="8" t="n">
        <v>128.52</v>
      </c>
      <c r="I102" s="8">
        <f>G102*H102</f>
        <v/>
      </c>
      <c r="J102" s="8">
        <f>H102/E102</f>
        <v/>
      </c>
      <c r="K102" s="8" t="n">
        <v>126.85</v>
      </c>
      <c r="L102" s="8" t="n">
        <v>126.85</v>
      </c>
      <c r="M102" s="14">
        <f>J102/K102-1</f>
        <v/>
      </c>
      <c r="N102" s="7" t="inlineStr">
        <is>
          <t>ACIMA +1.3%</t>
        </is>
      </c>
      <c r="O102" s="7" t="inlineStr"/>
    </row>
    <row r="103">
      <c r="A103" s="7" t="n">
        <v>613781</v>
      </c>
      <c r="B103" s="7" t="inlineStr">
        <is>
          <t>715677</t>
        </is>
      </c>
      <c r="C103" s="12" t="inlineStr">
        <is>
          <t>7891010249106</t>
        </is>
      </c>
      <c r="D103" s="7" t="inlineStr">
        <is>
          <t>NEUT SUN FRESH FPS90 200ML</t>
        </is>
      </c>
      <c r="E103" s="13" t="n">
        <v>1</v>
      </c>
      <c r="F103" s="13" t="n">
        <v>1</v>
      </c>
      <c r="G103" s="13" t="n">
        <v>1</v>
      </c>
      <c r="H103" s="8" t="n">
        <v>82.93000000000001</v>
      </c>
      <c r="I103" s="8">
        <f>G103*H103</f>
        <v/>
      </c>
      <c r="J103" s="8">
        <f>H103/E103</f>
        <v/>
      </c>
      <c r="K103" s="8" t="n">
        <v>76.9183</v>
      </c>
      <c r="L103" s="8" t="n">
        <v>76.9183</v>
      </c>
      <c r="M103" s="14">
        <f>J103/K103-1</f>
        <v/>
      </c>
      <c r="N103" s="7" t="inlineStr">
        <is>
          <t>ACIMA +7.8%</t>
        </is>
      </c>
      <c r="O103" s="7" t="inlineStr"/>
    </row>
    <row r="104">
      <c r="A104" s="7" t="n">
        <v>473</v>
      </c>
      <c r="B104" s="7" t="inlineStr">
        <is>
          <t>718018</t>
        </is>
      </c>
      <c r="C104" s="12" t="inlineStr">
        <is>
          <t>7891010253899</t>
        </is>
      </c>
      <c r="D104" s="7" t="inlineStr">
        <is>
          <t>NEUTROG HIDRATA &amp; REPARA 200ML</t>
        </is>
      </c>
      <c r="E104" s="13" t="n">
        <v>1</v>
      </c>
      <c r="F104" s="13" t="n">
        <v>1</v>
      </c>
      <c r="G104" s="13" t="n">
        <v>1</v>
      </c>
      <c r="H104" s="8" t="n">
        <v>17.13</v>
      </c>
      <c r="I104" s="8">
        <f>G104*H104</f>
        <v/>
      </c>
      <c r="J104" s="8">
        <f>H104/E104</f>
        <v/>
      </c>
      <c r="K104" s="8" t="n">
        <v>17.1617</v>
      </c>
      <c r="L104" s="8" t="n">
        <v>17.1617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652331</v>
      </c>
      <c r="B105" s="7" t="inlineStr">
        <is>
          <t>702677</t>
        </is>
      </c>
      <c r="C105" s="12" t="inlineStr">
        <is>
          <t>7896026160018</t>
        </is>
      </c>
      <c r="D105" s="7" t="inlineStr">
        <is>
          <t>NOPLAK SOL 250ML</t>
        </is>
      </c>
      <c r="E105" s="13" t="n">
        <v>1</v>
      </c>
      <c r="F105" s="13" t="n">
        <v>1</v>
      </c>
      <c r="G105" s="13" t="n">
        <v>1</v>
      </c>
      <c r="H105" s="8" t="n">
        <v>22.84</v>
      </c>
      <c r="I105" s="8">
        <f>G105*H105</f>
        <v/>
      </c>
      <c r="J105" s="8">
        <f>H105/E105</f>
        <v/>
      </c>
      <c r="K105" s="8" t="n">
        <v>16.94</v>
      </c>
      <c r="L105" s="8" t="n">
        <v>10.385</v>
      </c>
      <c r="M105" s="14">
        <f>J105/K105-1</f>
        <v/>
      </c>
      <c r="N105" s="7" t="inlineStr">
        <is>
          <t>ACIMA +34.8%</t>
        </is>
      </c>
      <c r="O105" s="7" t="inlineStr"/>
    </row>
    <row r="106">
      <c r="A106" s="7" t="n">
        <v>588801</v>
      </c>
      <c r="B106" s="7" t="inlineStr">
        <is>
          <t>102512</t>
        </is>
      </c>
      <c r="C106" s="12" t="inlineStr">
        <is>
          <t>7898581710578</t>
        </is>
      </c>
      <c r="D106" s="7" t="inlineStr">
        <is>
          <t>NORIPURUM 10MG/ML XPE FR 120ML</t>
        </is>
      </c>
      <c r="E106" s="13" t="n">
        <v>1</v>
      </c>
      <c r="F106" s="13" t="n">
        <v>2</v>
      </c>
      <c r="G106" s="13" t="n">
        <v>2</v>
      </c>
      <c r="H106" s="8" t="n">
        <v>26.06</v>
      </c>
      <c r="I106" s="8">
        <f>G106*H106</f>
        <v/>
      </c>
      <c r="J106" s="8">
        <f>H106/E106</f>
        <v/>
      </c>
      <c r="K106" s="8" t="n">
        <v>26.06</v>
      </c>
      <c r="L106" s="8" t="n">
        <v>26.06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468981</v>
      </c>
      <c r="B107" s="7" t="inlineStr">
        <is>
          <t>102574</t>
        </is>
      </c>
      <c r="C107" s="12" t="inlineStr">
        <is>
          <t>7895858015824</t>
        </is>
      </c>
      <c r="D107" s="7" t="inlineStr">
        <is>
          <t>OMCILON A 1,0MG/G PAS BG 10G</t>
        </is>
      </c>
      <c r="E107" s="13" t="n">
        <v>1</v>
      </c>
      <c r="F107" s="13" t="n">
        <v>8</v>
      </c>
      <c r="G107" s="13" t="n">
        <v>8</v>
      </c>
      <c r="H107" s="8" t="n">
        <v>18.94</v>
      </c>
      <c r="I107" s="8">
        <f>G107*H107</f>
        <v/>
      </c>
      <c r="J107" s="8">
        <f>H107/E107</f>
        <v/>
      </c>
      <c r="K107" s="8" t="n">
        <v>18.945</v>
      </c>
      <c r="L107" s="8" t="n">
        <v>16.8473</v>
      </c>
      <c r="M107" s="14">
        <f>J107/K107-1</f>
        <v/>
      </c>
      <c r="N107" s="7" t="inlineStr">
        <is>
          <t>OK (≤ últ. compra)</t>
        </is>
      </c>
      <c r="O107" s="7" t="inlineStr"/>
    </row>
    <row r="108">
      <c r="A108" s="7" t="n">
        <v>627711</v>
      </c>
      <c r="B108" s="7" t="inlineStr">
        <is>
          <t>722004</t>
        </is>
      </c>
      <c r="C108" s="12" t="inlineStr">
        <is>
          <t>7896023799983</t>
        </is>
      </c>
      <c r="D108" s="7" t="inlineStr">
        <is>
          <t>OMEGA 3 1000MG 60CAP</t>
        </is>
      </c>
      <c r="E108" s="13" t="n">
        <v>1</v>
      </c>
      <c r="F108" s="13" t="n">
        <v>13</v>
      </c>
      <c r="G108" s="13" t="n">
        <v>13</v>
      </c>
      <c r="H108" s="8" t="n">
        <v>19.03</v>
      </c>
      <c r="I108" s="8">
        <f>G108*H108</f>
        <v/>
      </c>
      <c r="J108" s="8">
        <f>H108/E108</f>
        <v/>
      </c>
      <c r="K108" s="8" t="n">
        <v>32.02</v>
      </c>
      <c r="L108" s="8" t="n">
        <v>27.45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609511</v>
      </c>
      <c r="B109" s="7" t="inlineStr">
        <is>
          <t>402850</t>
        </is>
      </c>
      <c r="C109" s="12" t="inlineStr">
        <is>
          <t>7897316806388</t>
        </is>
      </c>
      <c r="D109" s="7" t="inlineStr">
        <is>
          <t>OPTIVE FR 15ML</t>
        </is>
      </c>
      <c r="E109" s="13" t="n">
        <v>1</v>
      </c>
      <c r="F109" s="13" t="n">
        <v>1</v>
      </c>
      <c r="G109" s="13" t="n">
        <v>1</v>
      </c>
      <c r="H109" s="8" t="n">
        <v>67.69</v>
      </c>
      <c r="I109" s="8">
        <f>G109*H109</f>
        <v/>
      </c>
      <c r="J109" s="8">
        <f>H109/E109</f>
        <v/>
      </c>
      <c r="K109" s="8" t="n">
        <v>81.22</v>
      </c>
      <c r="L109" s="8" t="n">
        <v>73.28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589541</v>
      </c>
      <c r="B110" s="7" t="inlineStr">
        <is>
          <t>716754</t>
        </is>
      </c>
      <c r="C110" s="12" t="inlineStr">
        <is>
          <t>7500435154222</t>
        </is>
      </c>
      <c r="D110" s="7" t="inlineStr">
        <is>
          <t>PANTENE SH 200ML BAMBU</t>
        </is>
      </c>
      <c r="E110" s="13" t="n">
        <v>1</v>
      </c>
      <c r="F110" s="13" t="n">
        <v>3</v>
      </c>
      <c r="G110" s="13" t="n">
        <v>3</v>
      </c>
      <c r="H110" s="8" t="n">
        <v>11.92</v>
      </c>
      <c r="I110" s="8">
        <f>G110*H110</f>
        <v/>
      </c>
      <c r="J110" s="8">
        <f>H110/E110</f>
        <v/>
      </c>
      <c r="K110" s="8" t="n">
        <v>14.14</v>
      </c>
      <c r="L110" s="8" t="n">
        <v>11.27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115101</v>
      </c>
      <c r="B111" s="7" t="inlineStr">
        <is>
          <t>400847</t>
        </is>
      </c>
      <c r="C111" s="12" t="inlineStr">
        <is>
          <t>78905108</t>
        </is>
      </c>
      <c r="D111" s="7" t="inlineStr">
        <is>
          <t>POMADA MINANCORA 20%+0,5%+5% POM DERM BG 30G</t>
        </is>
      </c>
      <c r="E111" s="13" t="n">
        <v>1</v>
      </c>
      <c r="F111" s="13" t="n">
        <v>1</v>
      </c>
      <c r="G111" s="13" t="n">
        <v>1</v>
      </c>
      <c r="H111" s="8" t="n">
        <v>16.07</v>
      </c>
      <c r="I111" s="8">
        <f>G111*H111</f>
        <v/>
      </c>
      <c r="J111" s="8">
        <f>H111/E111</f>
        <v/>
      </c>
      <c r="K111" s="8" t="n">
        <v>16.1667</v>
      </c>
      <c r="L111" s="8" t="n">
        <v>14.245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205761</v>
      </c>
      <c r="B112" s="7" t="inlineStr">
        <is>
          <t>102878</t>
        </is>
      </c>
      <c r="C112" s="12" t="inlineStr">
        <is>
          <t>7891317177652</t>
        </is>
      </c>
      <c r="D112" s="7" t="inlineStr">
        <is>
          <t>PRIMERA 0,150+0,020MG CAIXA C/ 3 CARTELAS</t>
        </is>
      </c>
      <c r="E112" s="13" t="n">
        <v>1</v>
      </c>
      <c r="F112" s="13" t="n">
        <v>2</v>
      </c>
      <c r="G112" s="13" t="n">
        <v>2</v>
      </c>
      <c r="H112" s="8" t="n">
        <v>69.47</v>
      </c>
      <c r="I112" s="8">
        <f>G112*H112</f>
        <v/>
      </c>
      <c r="J112" s="8">
        <f>H112/E112</f>
        <v/>
      </c>
      <c r="K112" s="8" t="n">
        <v>69.47</v>
      </c>
      <c r="L112" s="8" t="n">
        <v>20.79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644221</v>
      </c>
      <c r="B113" s="7" t="inlineStr">
        <is>
          <t>405381</t>
        </is>
      </c>
      <c r="C113" s="12" t="inlineStr">
        <is>
          <t>7898636193622</t>
        </is>
      </c>
      <c r="D113" s="7" t="inlineStr">
        <is>
          <t>PROCTAN 25G C/ 10 LUVAS-OUTROS</t>
        </is>
      </c>
      <c r="E113" s="13" t="n">
        <v>1</v>
      </c>
      <c r="F113" s="13" t="n">
        <v>1</v>
      </c>
      <c r="G113" s="13" t="n">
        <v>1</v>
      </c>
      <c r="H113" s="8" t="n">
        <v>41.77</v>
      </c>
      <c r="I113" s="8">
        <f>G113*H113</f>
        <v/>
      </c>
      <c r="J113" s="8">
        <f>H113/E113</f>
        <v/>
      </c>
      <c r="K113" s="8" t="n">
        <v>44.71</v>
      </c>
      <c r="L113" s="8" t="n">
        <v>34.175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543021</v>
      </c>
      <c r="B114" s="7" t="inlineStr">
        <is>
          <t>402424</t>
        </is>
      </c>
      <c r="C114" s="12" t="inlineStr">
        <is>
          <t>7898949409465</t>
        </is>
      </c>
      <c r="D114" s="7" t="inlineStr">
        <is>
          <t>PROCTAN 25G POMADA GENO %DN:0.00</t>
        </is>
      </c>
      <c r="E114" s="13" t="n">
        <v>1</v>
      </c>
      <c r="F114" s="13" t="n">
        <v>3</v>
      </c>
      <c r="G114" s="13" t="n">
        <v>3</v>
      </c>
      <c r="H114" s="8" t="n">
        <v>41.77</v>
      </c>
      <c r="I114" s="8">
        <f>G114*H114</f>
        <v/>
      </c>
      <c r="J114" s="8">
        <f>H114/E114</f>
        <v/>
      </c>
      <c r="K114" s="8" t="n">
        <v>41.765</v>
      </c>
      <c r="L114" s="8" t="n">
        <v>34.1775</v>
      </c>
      <c r="M114" s="14">
        <f>J114/K114-1</f>
        <v/>
      </c>
      <c r="N114" s="7" t="inlineStr">
        <is>
          <t>ACIMA +0.0%</t>
        </is>
      </c>
      <c r="O114" s="7" t="inlineStr"/>
    </row>
    <row r="115">
      <c r="A115" s="7" t="n">
        <v>405861</v>
      </c>
      <c r="B115" s="7" t="inlineStr">
        <is>
          <t>401084</t>
        </is>
      </c>
      <c r="C115" s="12" t="inlineStr">
        <is>
          <t>7896641801792</t>
        </is>
      </c>
      <c r="D115" s="7" t="inlineStr">
        <is>
          <t>PROCTYL POM BG 30G</t>
        </is>
      </c>
      <c r="E115" s="13" t="n">
        <v>1</v>
      </c>
      <c r="F115" s="13" t="n">
        <v>3</v>
      </c>
      <c r="G115" s="13" t="n">
        <v>3</v>
      </c>
      <c r="H115" s="8" t="n">
        <v>84.06999999999999</v>
      </c>
      <c r="I115" s="8">
        <f>G115*H115</f>
        <v/>
      </c>
      <c r="J115" s="8">
        <f>H115/E115</f>
        <v/>
      </c>
      <c r="K115" s="8" t="n">
        <v>84.06999999999999</v>
      </c>
      <c r="L115" s="8" t="n">
        <v>65.70999999999999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96361</v>
      </c>
      <c r="B116" s="7" t="inlineStr">
        <is>
          <t>102905</t>
        </is>
      </c>
      <c r="C116" s="12" t="inlineStr">
        <is>
          <t>7896070601871</t>
        </is>
      </c>
      <c r="D116" s="7" t="inlineStr">
        <is>
          <t>PROFENID 50MG SOL INJ CX 6 AMP X 2ML</t>
        </is>
      </c>
      <c r="E116" s="13" t="n">
        <v>6</v>
      </c>
      <c r="F116" s="13" t="n">
        <v>1</v>
      </c>
      <c r="G116" s="13" t="n">
        <v>1</v>
      </c>
      <c r="H116" s="8" t="n">
        <v>31.85</v>
      </c>
      <c r="I116" s="8">
        <f>G116*H116</f>
        <v/>
      </c>
      <c r="J116" s="8">
        <f>H116/E116</f>
        <v/>
      </c>
      <c r="K116" s="8" t="n">
        <v>5.3083</v>
      </c>
      <c r="L116" s="8" t="n">
        <v>5.0654</v>
      </c>
      <c r="M116" s="14">
        <f>J116/K116-1</f>
        <v/>
      </c>
      <c r="N116" s="7" t="inlineStr">
        <is>
          <t>OK (≤ últ. compra)</t>
        </is>
      </c>
      <c r="O116" s="7" t="inlineStr">
        <is>
          <t>1 emb = 6 un</t>
        </is>
      </c>
    </row>
    <row r="117">
      <c r="A117" s="7" t="n">
        <v>566961</v>
      </c>
      <c r="B117" s="7" t="inlineStr">
        <is>
          <t>715740</t>
        </is>
      </c>
      <c r="C117" s="12" t="inlineStr">
        <is>
          <t>4005808555345</t>
        </is>
      </c>
      <c r="D117" s="7" t="inlineStr">
        <is>
          <t>PROT NIVEA SOLAR SUN PROT  HIDRAT FPS50 200ML</t>
        </is>
      </c>
      <c r="E117" s="13" t="n">
        <v>1</v>
      </c>
      <c r="F117" s="13" t="n">
        <v>3</v>
      </c>
      <c r="G117" s="13" t="n">
        <v>3</v>
      </c>
      <c r="H117" s="8" t="n">
        <v>50.34</v>
      </c>
      <c r="I117" s="8">
        <f>G117*H117</f>
        <v/>
      </c>
      <c r="J117" s="8">
        <f>H117/E117</f>
        <v/>
      </c>
      <c r="K117" s="8" t="n">
        <v>50.005</v>
      </c>
      <c r="L117" s="8" t="n">
        <v>50.005</v>
      </c>
      <c r="M117" s="14">
        <f>J117/K117-1</f>
        <v/>
      </c>
      <c r="N117" s="7" t="inlineStr">
        <is>
          <t>ACIMA +0.7%</t>
        </is>
      </c>
      <c r="O117" s="7" t="inlineStr"/>
    </row>
    <row r="118">
      <c r="A118" s="7" t="n">
        <v>615391</v>
      </c>
      <c r="B118" s="7" t="inlineStr">
        <is>
          <t>720013</t>
        </is>
      </c>
      <c r="C118" s="12" t="inlineStr">
        <is>
          <t>4005900980397</t>
        </is>
      </c>
      <c r="D118" s="7" t="inlineStr">
        <is>
          <t>PROT NIVEA SUN FACIAL TOQUE SECO FPS70 40ML</t>
        </is>
      </c>
      <c r="E118" s="13" t="n">
        <v>1</v>
      </c>
      <c r="F118" s="13" t="n">
        <v>1</v>
      </c>
      <c r="G118" s="13" t="n">
        <v>1</v>
      </c>
      <c r="H118" s="8" t="n">
        <v>29.1</v>
      </c>
      <c r="I118" s="8">
        <f>G118*H118</f>
        <v/>
      </c>
      <c r="J118" s="8">
        <f>H118/E118</f>
        <v/>
      </c>
      <c r="K118" s="8" t="n">
        <v>35.045</v>
      </c>
      <c r="L118" s="8" t="n">
        <v>29.3933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69321</v>
      </c>
      <c r="B119" s="7" t="inlineStr">
        <is>
          <t>102953</t>
        </is>
      </c>
      <c r="C119" s="12" t="inlineStr">
        <is>
          <t>7896206402013</t>
        </is>
      </c>
      <c r="D119" s="7" t="inlineStr">
        <is>
          <t>PULMICORT 0,25MG SUS NEB CX 5 FR X 2ML</t>
        </is>
      </c>
      <c r="E119" s="13" t="n">
        <v>1</v>
      </c>
      <c r="F119" s="13" t="n">
        <v>8</v>
      </c>
      <c r="G119" s="13" t="n">
        <v>8</v>
      </c>
      <c r="H119" s="8" t="n">
        <v>41.06</v>
      </c>
      <c r="I119" s="8">
        <f>G119*H119</f>
        <v/>
      </c>
      <c r="J119" s="8">
        <f>H119/E119</f>
        <v/>
      </c>
      <c r="K119" s="8" t="n">
        <v>41.0625</v>
      </c>
      <c r="L119" s="8" t="n">
        <v>39.12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319641</v>
      </c>
      <c r="B120" s="7" t="inlineStr">
        <is>
          <t>106525</t>
        </is>
      </c>
      <c r="C120" s="12" t="inlineStr">
        <is>
          <t>7891058003562</t>
        </is>
      </c>
      <c r="D120" s="7" t="inlineStr">
        <is>
          <t>PURAN T4 37,5MCG CX 30 COMP</t>
        </is>
      </c>
      <c r="E120" s="13" t="n">
        <v>1</v>
      </c>
      <c r="F120" s="13" t="n">
        <v>9</v>
      </c>
      <c r="G120" s="13" t="n">
        <v>9</v>
      </c>
      <c r="H120" s="8" t="n">
        <v>8.26</v>
      </c>
      <c r="I120" s="8">
        <f>G120*H120</f>
        <v/>
      </c>
      <c r="J120" s="8">
        <f>H120/E120</f>
        <v/>
      </c>
      <c r="K120" s="8" t="n">
        <v>8.255000000000001</v>
      </c>
      <c r="L120" s="8" t="n">
        <v>7.6</v>
      </c>
      <c r="M120" s="14">
        <f>J120/K120-1</f>
        <v/>
      </c>
      <c r="N120" s="7" t="inlineStr">
        <is>
          <t>ACIMA +0.1%</t>
        </is>
      </c>
      <c r="O120" s="7" t="inlineStr"/>
    </row>
    <row r="121">
      <c r="A121" s="7" t="n">
        <v>320861</v>
      </c>
      <c r="B121" s="7" t="inlineStr">
        <is>
          <t>102972</t>
        </is>
      </c>
      <c r="C121" s="12" t="inlineStr">
        <is>
          <t>7897595901316</t>
        </is>
      </c>
      <c r="D121" s="7" t="inlineStr">
        <is>
          <t>PURAN T4 50MCG CX 30 COMP</t>
        </is>
      </c>
      <c r="E121" s="13" t="n">
        <v>1</v>
      </c>
      <c r="F121" s="13" t="n">
        <v>6</v>
      </c>
      <c r="G121" s="13" t="n">
        <v>6</v>
      </c>
      <c r="H121" s="8" t="n">
        <v>14.43</v>
      </c>
      <c r="I121" s="8">
        <f>G121*H121</f>
        <v/>
      </c>
      <c r="J121" s="8">
        <f>H121/E121</f>
        <v/>
      </c>
      <c r="K121" s="8" t="n">
        <v>14.437</v>
      </c>
      <c r="L121" s="8" t="n">
        <v>12.2508</v>
      </c>
      <c r="M121" s="14">
        <f>J121/K121-1</f>
        <v/>
      </c>
      <c r="N121" s="7" t="inlineStr">
        <is>
          <t>OK (≤ últ. compra)</t>
        </is>
      </c>
      <c r="O121" s="7" t="inlineStr"/>
    </row>
    <row r="122">
      <c r="A122" s="7" t="n">
        <v>500621</v>
      </c>
      <c r="B122" s="7" t="inlineStr">
        <is>
          <t>106526</t>
        </is>
      </c>
      <c r="C122" s="12" t="inlineStr">
        <is>
          <t>7891058003579</t>
        </is>
      </c>
      <c r="D122" s="7" t="inlineStr">
        <is>
          <t>PURAN T4 62,5MCG CX 30 COMP</t>
        </is>
      </c>
      <c r="E122" s="13" t="n">
        <v>1</v>
      </c>
      <c r="F122" s="13" t="n">
        <v>2</v>
      </c>
      <c r="G122" s="13" t="n">
        <v>2</v>
      </c>
      <c r="H122" s="8" t="n">
        <v>13.74</v>
      </c>
      <c r="I122" s="8">
        <f>G122*H122</f>
        <v/>
      </c>
      <c r="J122" s="8">
        <f>H122/E122</f>
        <v/>
      </c>
      <c r="K122" s="8" t="n">
        <v>13.74</v>
      </c>
      <c r="L122" s="8" t="n">
        <v>12.655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649771</v>
      </c>
      <c r="B123" s="7" t="inlineStr">
        <is>
          <t>721848</t>
        </is>
      </c>
      <c r="C123" s="12" t="inlineStr">
        <is>
          <t>7896676440492</t>
        </is>
      </c>
      <c r="D123" s="7" t="inlineStr">
        <is>
          <t>PVV - CUTISANOL BABY CREME 120G-DEMAIS PROD</t>
        </is>
      </c>
      <c r="E123" s="13" t="n">
        <v>1</v>
      </c>
      <c r="F123" s="13" t="n">
        <v>1</v>
      </c>
      <c r="G123" s="13" t="n">
        <v>1</v>
      </c>
      <c r="H123" s="8" t="n">
        <v>41.78</v>
      </c>
      <c r="I123" s="8">
        <f>G123*H123</f>
        <v/>
      </c>
      <c r="J123" s="8">
        <f>H123/E123</f>
        <v/>
      </c>
      <c r="K123" s="8" t="n">
        <v>33.0067</v>
      </c>
      <c r="L123" s="8" t="n">
        <v>33.0067</v>
      </c>
      <c r="M123" s="14">
        <f>J123/K123-1</f>
        <v/>
      </c>
      <c r="N123" s="7" t="inlineStr">
        <is>
          <t>ACIMA +26.6%</t>
        </is>
      </c>
      <c r="O123" s="7" t="inlineStr"/>
    </row>
    <row r="124">
      <c r="A124" s="7" t="n">
        <v>654181</v>
      </c>
      <c r="B124" s="7" t="inlineStr">
        <is>
          <t>405686</t>
        </is>
      </c>
      <c r="C124" s="12" t="inlineStr">
        <is>
          <t>7896112409625</t>
        </is>
      </c>
      <c r="D124" s="7" t="inlineStr">
        <is>
          <t>PVV - FLY GOTAS 150MG LAR 15ML</t>
        </is>
      </c>
      <c r="E124" s="13" t="n">
        <v>1</v>
      </c>
      <c r="F124" s="13" t="n">
        <v>1</v>
      </c>
      <c r="G124" s="13" t="n">
        <v>1</v>
      </c>
      <c r="H124" s="8" t="n">
        <v>18.32</v>
      </c>
      <c r="I124" s="8">
        <f>G124*H124</f>
        <v/>
      </c>
      <c r="J124" s="8">
        <f>H124/E124</f>
        <v/>
      </c>
      <c r="K124" s="8" t="n">
        <v>28.935</v>
      </c>
      <c r="L124" s="8" t="n">
        <v>28.935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146061</v>
      </c>
      <c r="B125" s="7" t="inlineStr">
        <is>
          <t>102982</t>
        </is>
      </c>
      <c r="C125" s="12" t="inlineStr">
        <is>
          <t>7892953001387</t>
        </is>
      </c>
      <c r="D125" s="7" t="inlineStr">
        <is>
          <t>PYRIDIUM 200MG CX 18 COMP REV</t>
        </is>
      </c>
      <c r="E125" s="13" t="n">
        <v>1</v>
      </c>
      <c r="F125" s="13" t="n">
        <v>11</v>
      </c>
      <c r="G125" s="13" t="n">
        <v>11</v>
      </c>
      <c r="H125" s="8" t="n">
        <v>25.56</v>
      </c>
      <c r="I125" s="8">
        <f>G125*H125</f>
        <v/>
      </c>
      <c r="J125" s="8">
        <f>H125/E125</f>
        <v/>
      </c>
      <c r="K125" s="8" t="n">
        <v>24.21</v>
      </c>
      <c r="L125" s="8" t="n">
        <v>19.4555</v>
      </c>
      <c r="M125" s="14">
        <f>J125/K125-1</f>
        <v/>
      </c>
      <c r="N125" s="7" t="inlineStr">
        <is>
          <t>ACIMA +5.6%</t>
        </is>
      </c>
      <c r="O125" s="7" t="inlineStr"/>
    </row>
    <row r="126">
      <c r="A126" s="7" t="n">
        <v>565941</v>
      </c>
      <c r="B126" s="7" t="inlineStr">
        <is>
          <t>715228</t>
        </is>
      </c>
      <c r="C126" s="12" t="inlineStr">
        <is>
          <t>7891106912655</t>
        </is>
      </c>
      <c r="D126" s="7" t="inlineStr">
        <is>
          <t>REDOXON TRIPLA ACAO 10CP EFERV</t>
        </is>
      </c>
      <c r="E126" s="13" t="n">
        <v>1</v>
      </c>
      <c r="F126" s="13" t="n">
        <v>10</v>
      </c>
      <c r="G126" s="13" t="n">
        <v>10</v>
      </c>
      <c r="H126" s="8" t="n">
        <v>13.55</v>
      </c>
      <c r="I126" s="8">
        <f>G126*H126</f>
        <v/>
      </c>
      <c r="J126" s="8">
        <f>H126/E126</f>
        <v/>
      </c>
      <c r="K126" s="8" t="n">
        <v>14.155</v>
      </c>
      <c r="L126" s="8" t="n">
        <v>11.2925</v>
      </c>
      <c r="M126" s="14">
        <f>J126/K126-1</f>
        <v/>
      </c>
      <c r="N126" s="7" t="inlineStr">
        <is>
          <t>OK (≤ últ. compra)</t>
        </is>
      </c>
      <c r="O126" s="7" t="inlineStr"/>
    </row>
    <row r="127">
      <c r="A127" s="7" t="n">
        <v>114041</v>
      </c>
      <c r="B127" s="7" t="inlineStr">
        <is>
          <t>103039</t>
        </is>
      </c>
      <c r="C127" s="12" t="inlineStr">
        <is>
          <t>7896676432886</t>
        </is>
      </c>
      <c r="D127" s="7" t="inlineStr">
        <is>
          <t>REGENCEL 10000UI+25/5/5MG POM OFT 3,5G</t>
        </is>
      </c>
      <c r="E127" s="13" t="n">
        <v>1</v>
      </c>
      <c r="F127" s="13" t="n">
        <v>2</v>
      </c>
      <c r="G127" s="13" t="n">
        <v>2</v>
      </c>
      <c r="H127" s="8" t="n">
        <v>13.54</v>
      </c>
      <c r="I127" s="8">
        <f>G127*H127</f>
        <v/>
      </c>
      <c r="J127" s="8">
        <f>H127/E127</f>
        <v/>
      </c>
      <c r="K127" s="8" t="n">
        <v>13.54</v>
      </c>
      <c r="L127" s="8" t="n">
        <v>11.94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553</v>
      </c>
      <c r="B128" s="7" t="inlineStr">
        <is>
          <t>703976</t>
        </is>
      </c>
      <c r="C128" s="12" t="inlineStr">
        <is>
          <t>310119033227</t>
        </is>
      </c>
      <c r="D128" s="7" t="inlineStr">
        <is>
          <t>RENU PLUS SOL MULTI-USO S/ FRICCAO FR 120ML (+12% IPI)</t>
        </is>
      </c>
      <c r="E128" s="13" t="n">
        <v>1</v>
      </c>
      <c r="F128" s="13" t="n">
        <v>1</v>
      </c>
      <c r="G128" s="13" t="n">
        <v>1</v>
      </c>
      <c r="H128" s="8" t="n">
        <v>34.72</v>
      </c>
      <c r="I128" s="8">
        <f>G128*H128</f>
        <v/>
      </c>
      <c r="J128" s="8">
        <f>H128/E128</f>
        <v/>
      </c>
      <c r="K128" s="8" t="n">
        <v>37.74</v>
      </c>
      <c r="L128" s="8" t="n">
        <v>31.97</v>
      </c>
      <c r="M128" s="14">
        <f>J128/K128-1</f>
        <v/>
      </c>
      <c r="N128" s="7" t="inlineStr">
        <is>
          <t>OK (≤ últ. compra)</t>
        </is>
      </c>
      <c r="O128" s="7" t="inlineStr"/>
    </row>
    <row r="129">
      <c r="A129" s="7" t="n">
        <v>617521</v>
      </c>
      <c r="B129" s="7" t="inlineStr">
        <is>
          <t>721167</t>
        </is>
      </c>
      <c r="C129" s="12" t="inlineStr">
        <is>
          <t>7896512959843</t>
        </is>
      </c>
      <c r="D129" s="7" t="inlineStr">
        <is>
          <t>SAB LIQ GRANADO 250ML REF CALENDULA</t>
        </is>
      </c>
      <c r="E129" s="13" t="n">
        <v>1</v>
      </c>
      <c r="F129" s="13" t="n">
        <v>3</v>
      </c>
      <c r="G129" s="13" t="n">
        <v>3</v>
      </c>
      <c r="H129" s="8" t="n">
        <v>11.64</v>
      </c>
      <c r="I129" s="8">
        <f>G129*H129</f>
        <v/>
      </c>
      <c r="J129" s="8">
        <f>H129/E129</f>
        <v/>
      </c>
      <c r="K129" s="8" t="n">
        <v>12.5767</v>
      </c>
      <c r="L129" s="8" t="n">
        <v>12.5767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611001</v>
      </c>
      <c r="B130" s="7" t="inlineStr">
        <is>
          <t>720210</t>
        </is>
      </c>
      <c r="C130" s="12" t="inlineStr">
        <is>
          <t>4005900945709</t>
        </is>
      </c>
      <c r="D130" s="7" t="inlineStr">
        <is>
          <t>SAB NIVEA GEL ACNE CONTROL 150G</t>
        </is>
      </c>
      <c r="E130" s="13" t="n">
        <v>1</v>
      </c>
      <c r="F130" s="13" t="n">
        <v>1</v>
      </c>
      <c r="G130" s="13" t="n">
        <v>1</v>
      </c>
      <c r="H130" s="8" t="n">
        <v>27.4</v>
      </c>
      <c r="I130" s="8">
        <f>G130*H130</f>
        <v/>
      </c>
      <c r="J130" s="8">
        <f>H130/E130</f>
        <v/>
      </c>
      <c r="K130" s="8" t="n">
        <v>23.5633</v>
      </c>
      <c r="L130" s="8" t="n">
        <v>23.5633</v>
      </c>
      <c r="M130" s="14">
        <f>J130/K130-1</f>
        <v/>
      </c>
      <c r="N130" s="7" t="inlineStr">
        <is>
          <t>ACIMA +16.3%</t>
        </is>
      </c>
      <c r="O130" s="7" t="inlineStr"/>
    </row>
    <row r="131">
      <c r="A131" s="7" t="n">
        <v>577181</v>
      </c>
      <c r="B131" s="7" t="inlineStr">
        <is>
          <t>715569</t>
        </is>
      </c>
      <c r="C131" s="12" t="inlineStr">
        <is>
          <t>7891150065338</t>
        </is>
      </c>
      <c r="D131" s="7" t="inlineStr">
        <is>
          <t>SAB. LIQ. DOVE BAB.180ML REF.</t>
        </is>
      </c>
      <c r="E131" s="13" t="n">
        <v>1</v>
      </c>
      <c r="F131" s="13" t="n">
        <v>3</v>
      </c>
      <c r="G131" s="13" t="n">
        <v>3</v>
      </c>
      <c r="H131" s="8" t="n">
        <v>7</v>
      </c>
      <c r="I131" s="8">
        <f>G131*H131</f>
        <v/>
      </c>
      <c r="J131" s="8">
        <f>H131/E131</f>
        <v/>
      </c>
      <c r="K131" s="8" t="n">
        <v>9.27</v>
      </c>
      <c r="L131" s="8" t="n">
        <v>9.27</v>
      </c>
      <c r="M131" s="14">
        <f>J131/K131-1</f>
        <v/>
      </c>
      <c r="N131" s="7" t="inlineStr">
        <is>
          <t>OK (≤ menor hist.)</t>
        </is>
      </c>
      <c r="O131" s="7" t="inlineStr"/>
    </row>
    <row r="132">
      <c r="A132" s="7" t="n">
        <v>577161</v>
      </c>
      <c r="B132" s="7" t="inlineStr">
        <is>
          <t>715567</t>
        </is>
      </c>
      <c r="C132" s="12" t="inlineStr">
        <is>
          <t>7891150065291</t>
        </is>
      </c>
      <c r="D132" s="7" t="inlineStr">
        <is>
          <t>SAB. LIQ. DOVE BABY 200ML HID.</t>
        </is>
      </c>
      <c r="E132" s="13" t="n">
        <v>1</v>
      </c>
      <c r="F132" s="13" t="n">
        <v>8</v>
      </c>
      <c r="G132" s="13" t="n">
        <v>8</v>
      </c>
      <c r="H132" s="8" t="n">
        <v>9.77</v>
      </c>
      <c r="I132" s="8">
        <f>G132*H132</f>
        <v/>
      </c>
      <c r="J132" s="8">
        <f>H132/E132</f>
        <v/>
      </c>
      <c r="K132" s="8" t="n">
        <v>12.4633</v>
      </c>
      <c r="L132" s="8" t="n">
        <v>12.4633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104</v>
      </c>
      <c r="B133" s="7" t="inlineStr">
        <is>
          <t>703913</t>
        </is>
      </c>
      <c r="C133" s="12" t="inlineStr">
        <is>
          <t>4005808189342</t>
        </is>
      </c>
      <c r="D133" s="7" t="inlineStr">
        <is>
          <t>SABONETE FACIAL GEL NIVEA EQUI NUT 150G</t>
        </is>
      </c>
      <c r="E133" s="13" t="n">
        <v>1</v>
      </c>
      <c r="F133" s="13" t="n">
        <v>1</v>
      </c>
      <c r="G133" s="13" t="n">
        <v>1</v>
      </c>
      <c r="H133" s="8" t="n">
        <v>22.03</v>
      </c>
      <c r="I133" s="8">
        <f>G133*H133</f>
        <v/>
      </c>
      <c r="J133" s="8">
        <f>H133/E133</f>
        <v/>
      </c>
      <c r="K133" s="8" t="n">
        <v>26.19</v>
      </c>
      <c r="L133" s="8" t="n">
        <v>21.2</v>
      </c>
      <c r="M133" s="14">
        <f>J133/K133-1</f>
        <v/>
      </c>
      <c r="N133" s="7" t="inlineStr">
        <is>
          <t>OK (≤ últ. compra)</t>
        </is>
      </c>
      <c r="O133" s="7" t="inlineStr"/>
    </row>
    <row r="134">
      <c r="A134" s="7" t="n">
        <v>660401</v>
      </c>
      <c r="B134" s="7" t="inlineStr">
        <is>
          <t>103151</t>
        </is>
      </c>
      <c r="C134" s="12" t="inlineStr">
        <is>
          <t>7897337716703</t>
        </is>
      </c>
      <c r="D134" s="7" t="inlineStr">
        <is>
          <t>SANDRENA 0,1 PCC GEL CT 28 SACH X 0,5 G</t>
        </is>
      </c>
      <c r="E134" s="13" t="n">
        <v>1</v>
      </c>
      <c r="F134" s="13" t="n">
        <v>1</v>
      </c>
      <c r="G134" s="13" t="n">
        <v>1</v>
      </c>
      <c r="H134" s="8" t="n">
        <v>31.3</v>
      </c>
      <c r="I134" s="8">
        <f>G134*H134</f>
        <v/>
      </c>
      <c r="J134" s="8">
        <f>H134/E134</f>
        <v/>
      </c>
      <c r="K134" s="8" t="n">
        <v>31.3</v>
      </c>
      <c r="L134" s="8" t="n">
        <v>29.42</v>
      </c>
      <c r="M134" s="14">
        <f>J134/K134-1</f>
        <v/>
      </c>
      <c r="N134" s="7" t="inlineStr">
        <is>
          <t>OK (≤ últ. compra)</t>
        </is>
      </c>
      <c r="O134" s="7" t="inlineStr"/>
    </row>
    <row r="135">
      <c r="A135" s="7" t="n">
        <v>628971</v>
      </c>
      <c r="B135" s="7" t="inlineStr">
        <is>
          <t>714781</t>
        </is>
      </c>
      <c r="C135" s="12" t="inlineStr">
        <is>
          <t>7891150053229</t>
        </is>
      </c>
      <c r="D135" s="7" t="inlineStr">
        <is>
          <t>SB LIQ DOVE 200ML RF NUTRICAO PROFU M3</t>
        </is>
      </c>
      <c r="E135" s="13" t="n">
        <v>1</v>
      </c>
      <c r="F135" s="13" t="n">
        <v>8</v>
      </c>
      <c r="G135" s="13" t="n">
        <v>8</v>
      </c>
      <c r="H135" s="8" t="n">
        <v>5.92</v>
      </c>
      <c r="I135" s="8">
        <f>G135*H135</f>
        <v/>
      </c>
      <c r="J135" s="8">
        <f>H135/E135</f>
        <v/>
      </c>
      <c r="K135" s="8" t="n">
        <v>7.88</v>
      </c>
      <c r="L135" s="8" t="n">
        <v>7.53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648651</v>
      </c>
      <c r="B136" s="7" t="inlineStr">
        <is>
          <t>722167</t>
        </is>
      </c>
      <c r="C136" s="12" t="inlineStr">
        <is>
          <t>7891150095670</t>
        </is>
      </c>
      <c r="D136" s="7" t="inlineStr">
        <is>
          <t>SDS LIQ DOVE 200ML RF PELE SENSIVEL M3</t>
        </is>
      </c>
      <c r="E136" s="13" t="n">
        <v>1</v>
      </c>
      <c r="F136" s="13" t="n">
        <v>6</v>
      </c>
      <c r="G136" s="13" t="n">
        <v>6</v>
      </c>
      <c r="H136" s="8" t="n">
        <v>5.92</v>
      </c>
      <c r="I136" s="8">
        <f>G136*H136</f>
        <v/>
      </c>
      <c r="J136" s="8">
        <f>H136/E136</f>
        <v/>
      </c>
      <c r="K136" s="8" t="n">
        <v>7.88</v>
      </c>
      <c r="L136" s="8" t="n">
        <v>7.5292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648361</v>
      </c>
      <c r="B137" s="7" t="inlineStr">
        <is>
          <t>721053</t>
        </is>
      </c>
      <c r="C137" s="12" t="inlineStr">
        <is>
          <t>7891150091788</t>
        </is>
      </c>
      <c r="D137" s="7" t="inlineStr">
        <is>
          <t>SEDA CCP 1KG BOOM DEFINICAO SUPER HID M3</t>
        </is>
      </c>
      <c r="E137" s="13" t="n">
        <v>1</v>
      </c>
      <c r="F137" s="13" t="n">
        <v>1</v>
      </c>
      <c r="G137" s="13" t="n">
        <v>1</v>
      </c>
      <c r="H137" s="8" t="n">
        <v>14.15</v>
      </c>
      <c r="I137" s="8">
        <f>G137*H137</f>
        <v/>
      </c>
      <c r="J137" s="8">
        <f>H137/E137</f>
        <v/>
      </c>
      <c r="K137" s="8" t="n">
        <v>20.61</v>
      </c>
      <c r="L137" s="8" t="n">
        <v>17.3012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662751</v>
      </c>
      <c r="B138" s="7" t="inlineStr">
        <is>
          <t>722191</t>
        </is>
      </c>
      <c r="C138" s="12" t="inlineStr">
        <is>
          <t>7891150095823</t>
        </is>
      </c>
      <c r="D138" s="7" t="inlineStr">
        <is>
          <t>SERUM DOVE CORP PRO RETIN 380ML-DEMAIS PROD</t>
        </is>
      </c>
      <c r="E138" s="13" t="n">
        <v>1</v>
      </c>
      <c r="F138" s="13" t="n">
        <v>2</v>
      </c>
      <c r="G138" s="13" t="n">
        <v>2</v>
      </c>
      <c r="H138" s="8" t="n">
        <v>32.08</v>
      </c>
      <c r="I138" s="8">
        <f>G138*H138</f>
        <v/>
      </c>
      <c r="J138" s="8">
        <f>H138/E138</f>
        <v/>
      </c>
      <c r="K138" s="8" t="n">
        <v>34.89</v>
      </c>
      <c r="L138" s="8" t="n">
        <v>34.3683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623061</v>
      </c>
      <c r="B139" s="7" t="inlineStr">
        <is>
          <t>720414</t>
        </is>
      </c>
      <c r="C139" s="12" t="inlineStr">
        <is>
          <t>7899706244107</t>
        </is>
      </c>
      <c r="D139" s="7" t="inlineStr">
        <is>
          <t>SH ELSEVE 400ML PURE HIALURONICO</t>
        </is>
      </c>
      <c r="E139" s="13" t="n">
        <v>1</v>
      </c>
      <c r="F139" s="13" t="n">
        <v>4</v>
      </c>
      <c r="G139" s="13" t="n">
        <v>4</v>
      </c>
      <c r="H139" s="8" t="n">
        <v>21.03</v>
      </c>
      <c r="I139" s="8">
        <f>G139*H139</f>
        <v/>
      </c>
      <c r="J139" s="8">
        <f>H139/E139</f>
        <v/>
      </c>
      <c r="K139" s="8" t="n">
        <v>25.82</v>
      </c>
      <c r="L139" s="8" t="n">
        <v>25.82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844</v>
      </c>
      <c r="B140" s="7" t="inlineStr">
        <is>
          <t>710113</t>
        </is>
      </c>
      <c r="C140" s="12" t="inlineStr">
        <is>
          <t>7898949409922</t>
        </is>
      </c>
      <c r="D140" s="7" t="inlineStr">
        <is>
          <t>SHP TIO NACHO ENGROSSADOR 415ML</t>
        </is>
      </c>
      <c r="E140" s="13" t="n">
        <v>1</v>
      </c>
      <c r="F140" s="13" t="n">
        <v>1</v>
      </c>
      <c r="G140" s="13" t="n">
        <v>1</v>
      </c>
      <c r="H140" s="8" t="n">
        <v>25.73</v>
      </c>
      <c r="I140" s="8">
        <f>G140*H140</f>
        <v/>
      </c>
      <c r="J140" s="8">
        <f>H140/E140</f>
        <v/>
      </c>
      <c r="K140" s="8" t="n">
        <v>29.05</v>
      </c>
      <c r="L140" s="8" t="n">
        <v>21.23</v>
      </c>
      <c r="M140" s="14">
        <f>J140/K140-1</f>
        <v/>
      </c>
      <c r="N140" s="7" t="inlineStr">
        <is>
          <t>OK (≤ últ. compra)</t>
        </is>
      </c>
      <c r="O140" s="7" t="inlineStr"/>
    </row>
    <row r="141">
      <c r="A141" s="7" t="n">
        <v>109721</v>
      </c>
      <c r="B141" s="7" t="inlineStr">
        <is>
          <t>103232</t>
        </is>
      </c>
      <c r="C141" s="12" t="inlineStr">
        <is>
          <t>7894916501477</t>
        </is>
      </c>
      <c r="D141" s="7" t="inlineStr">
        <is>
          <t>SIGMA-CLAV BD 400+57MG/5ML SUS ORAL FR 70ML</t>
        </is>
      </c>
      <c r="E141" s="13" t="n">
        <v>1</v>
      </c>
      <c r="F141" s="13" t="n">
        <v>2</v>
      </c>
      <c r="G141" s="13" t="n">
        <v>2</v>
      </c>
      <c r="H141" s="8" t="n">
        <v>27.52</v>
      </c>
      <c r="I141" s="8">
        <f>G141*H141</f>
        <v/>
      </c>
      <c r="J141" s="8">
        <f>H141/E141</f>
        <v/>
      </c>
      <c r="K141" s="8" t="n">
        <v>27.52</v>
      </c>
      <c r="L141" s="8" t="n">
        <v>25.95</v>
      </c>
      <c r="M141" s="14">
        <f>J141/K141-1</f>
        <v/>
      </c>
      <c r="N141" s="7" t="inlineStr">
        <is>
          <t>OK (≤ últ. compra)</t>
        </is>
      </c>
      <c r="O141" s="7" t="inlineStr"/>
    </row>
    <row r="142">
      <c r="A142" s="7" t="n">
        <v>605291</v>
      </c>
      <c r="B142" s="7" t="inlineStr">
        <is>
          <t>405203</t>
        </is>
      </c>
      <c r="C142" s="12" t="inlineStr">
        <is>
          <t>7897460401934</t>
        </is>
      </c>
      <c r="D142" s="7" t="inlineStr">
        <is>
          <t>SILIMALON 100+70MG CX 10 COMP REV</t>
        </is>
      </c>
      <c r="E142" s="13" t="n">
        <v>1</v>
      </c>
      <c r="F142" s="13" t="n">
        <v>5</v>
      </c>
      <c r="G142" s="13" t="n">
        <v>5</v>
      </c>
      <c r="H142" s="8" t="n">
        <v>18.34</v>
      </c>
      <c r="I142" s="8">
        <f>G142*H142</f>
        <v/>
      </c>
      <c r="J142" s="8">
        <f>H142/E142</f>
        <v/>
      </c>
      <c r="K142" s="8" t="n">
        <v>19.2467</v>
      </c>
      <c r="L142" s="8" t="n">
        <v>15.4333</v>
      </c>
      <c r="M142" s="14">
        <f>J142/K142-1</f>
        <v/>
      </c>
      <c r="N142" s="7" t="inlineStr">
        <is>
          <t>OK (≤ últ. compra)</t>
        </is>
      </c>
      <c r="O142" s="7" t="inlineStr"/>
    </row>
    <row r="143">
      <c r="A143" s="7" t="n">
        <v>434001</v>
      </c>
      <c r="B143" s="7" t="inlineStr">
        <is>
          <t>111035</t>
        </is>
      </c>
      <c r="C143" s="12" t="inlineStr">
        <is>
          <t>7897460401743</t>
        </is>
      </c>
      <c r="D143" s="7" t="inlineStr">
        <is>
          <t>SILIMALON 140 140+100MG CX 30 COMP REV</t>
        </is>
      </c>
      <c r="E143" s="13" t="n">
        <v>1</v>
      </c>
      <c r="F143" s="13" t="n">
        <v>3</v>
      </c>
      <c r="G143" s="13" t="n">
        <v>3</v>
      </c>
      <c r="H143" s="8" t="n">
        <v>90.18000000000001</v>
      </c>
      <c r="I143" s="8">
        <f>G143*H143</f>
        <v/>
      </c>
      <c r="J143" s="8">
        <f>H143/E143</f>
        <v/>
      </c>
      <c r="K143" s="8" t="n">
        <v>92.47</v>
      </c>
      <c r="L143" s="8" t="n">
        <v>84.03</v>
      </c>
      <c r="M143" s="14">
        <f>J143/K143-1</f>
        <v/>
      </c>
      <c r="N143" s="7" t="inlineStr">
        <is>
          <t>OK (≤ últ. compra)</t>
        </is>
      </c>
      <c r="O143" s="7" t="inlineStr"/>
    </row>
    <row r="144">
      <c r="A144" s="7" t="n">
        <v>433961</v>
      </c>
      <c r="B144" s="7" t="inlineStr">
        <is>
          <t>111951</t>
        </is>
      </c>
      <c r="C144" s="12" t="inlineStr">
        <is>
          <t>7897460401750</t>
        </is>
      </c>
      <c r="D144" s="7" t="inlineStr">
        <is>
          <t>SILIMALON 140 140+100MG CX 60 COMP REV</t>
        </is>
      </c>
      <c r="E144" s="13" t="n">
        <v>1</v>
      </c>
      <c r="F144" s="13" t="n">
        <v>1</v>
      </c>
      <c r="G144" s="13" t="n">
        <v>1</v>
      </c>
      <c r="H144" s="8" t="n">
        <v>137.87</v>
      </c>
      <c r="I144" s="8">
        <f>G144*H144</f>
        <v/>
      </c>
      <c r="J144" s="8">
        <f>H144/E144</f>
        <v/>
      </c>
      <c r="K144" s="8" t="n">
        <v>128.47</v>
      </c>
      <c r="L144" s="8" t="n">
        <v>128.47</v>
      </c>
      <c r="M144" s="14">
        <f>J144/K144-1</f>
        <v/>
      </c>
      <c r="N144" s="7" t="inlineStr">
        <is>
          <t>ACIMA +7.3%</t>
        </is>
      </c>
      <c r="O144" s="7" t="inlineStr"/>
    </row>
    <row r="145">
      <c r="A145" s="7" t="n">
        <v>114821</v>
      </c>
      <c r="B145" s="7" t="inlineStr">
        <is>
          <t>401188</t>
        </is>
      </c>
      <c r="C145" s="12" t="inlineStr">
        <is>
          <t>7896082900337</t>
        </is>
      </c>
      <c r="D145" s="7" t="inlineStr">
        <is>
          <t>SINUSTRAT FR 10ML</t>
        </is>
      </c>
      <c r="E145" s="13" t="n">
        <v>1</v>
      </c>
      <c r="F145" s="13" t="n">
        <v>1</v>
      </c>
      <c r="G145" s="13" t="n">
        <v>1</v>
      </c>
      <c r="H145" s="8" t="n">
        <v>16.46</v>
      </c>
      <c r="I145" s="8">
        <f>G145*H145</f>
        <v/>
      </c>
      <c r="J145" s="8">
        <f>H145/E145</f>
        <v/>
      </c>
      <c r="K145" s="8" t="n">
        <v>13.3867</v>
      </c>
      <c r="L145" s="8" t="n">
        <v>13.3867</v>
      </c>
      <c r="M145" s="14">
        <f>J145/K145-1</f>
        <v/>
      </c>
      <c r="N145" s="7" t="inlineStr">
        <is>
          <t>ACIMA +23.0%</t>
        </is>
      </c>
      <c r="O145" s="7" t="inlineStr"/>
    </row>
    <row r="146">
      <c r="A146" s="7" t="n">
        <v>297921</v>
      </c>
      <c r="B146" s="7" t="inlineStr">
        <is>
          <t>103317</t>
        </is>
      </c>
      <c r="C146" s="12" t="inlineStr">
        <is>
          <t>7898074617803</t>
        </is>
      </c>
      <c r="D146" s="7" t="inlineStr">
        <is>
          <t>SPIDUFEN 1155MG GRAN SOL CX 10 ENV 3G SB DAMASCO</t>
        </is>
      </c>
      <c r="E146" s="13" t="n">
        <v>1</v>
      </c>
      <c r="F146" s="13" t="n">
        <v>1</v>
      </c>
      <c r="G146" s="13" t="n">
        <v>1</v>
      </c>
      <c r="H146" s="8" t="n">
        <v>42.05</v>
      </c>
      <c r="I146" s="8">
        <f>G146*H146</f>
        <v/>
      </c>
      <c r="J146" s="8">
        <f>H146/E146</f>
        <v/>
      </c>
      <c r="K146" s="8" t="n">
        <v>42.05</v>
      </c>
      <c r="L146" s="8" t="n">
        <v>36.49</v>
      </c>
      <c r="M146" s="14">
        <f>J146/K146-1</f>
        <v/>
      </c>
      <c r="N146" s="7" t="inlineStr">
        <is>
          <t>OK (≤ últ. compra)</t>
        </is>
      </c>
      <c r="O146" s="7" t="inlineStr"/>
    </row>
    <row r="147">
      <c r="A147" s="7" t="n">
        <v>445201</v>
      </c>
      <c r="B147" s="7" t="inlineStr">
        <is>
          <t>103377</t>
        </is>
      </c>
      <c r="C147" s="12" t="inlineStr">
        <is>
          <t>7896094201064</t>
        </is>
      </c>
      <c r="D147" s="7" t="inlineStr">
        <is>
          <t>SUMAX 25MG CX 4 COMP REV</t>
        </is>
      </c>
      <c r="E147" s="13" t="n">
        <v>1</v>
      </c>
      <c r="F147" s="13" t="n">
        <v>2</v>
      </c>
      <c r="G147" s="13" t="n">
        <v>2</v>
      </c>
      <c r="H147" s="8" t="n">
        <v>28.8</v>
      </c>
      <c r="I147" s="8">
        <f>G147*H147</f>
        <v/>
      </c>
      <c r="J147" s="8">
        <f>H147/E147</f>
        <v/>
      </c>
      <c r="K147" s="8" t="n">
        <v>28.8</v>
      </c>
      <c r="L147" s="8" t="n">
        <v>24.6367</v>
      </c>
      <c r="M147" s="14">
        <f>J147/K147-1</f>
        <v/>
      </c>
      <c r="N147" s="7" t="inlineStr">
        <is>
          <t>OK (≤ últ. compra)</t>
        </is>
      </c>
      <c r="O147" s="7" t="inlineStr"/>
    </row>
    <row r="148">
      <c r="A148" s="7" t="n">
        <v>634101</v>
      </c>
      <c r="B148" s="7" t="inlineStr">
        <is>
          <t>721634</t>
        </is>
      </c>
      <c r="C148" s="12" t="inlineStr">
        <is>
          <t>7702031244653</t>
        </is>
      </c>
      <c r="D148" s="7" t="inlineStr">
        <is>
          <t>TALCO J J BABY HORA DO SONO 100G</t>
        </is>
      </c>
      <c r="E148" s="13" t="n">
        <v>1</v>
      </c>
      <c r="F148" s="13" t="n">
        <v>3</v>
      </c>
      <c r="G148" s="13" t="n">
        <v>3</v>
      </c>
      <c r="H148" s="8" t="n">
        <v>19.33</v>
      </c>
      <c r="I148" s="8">
        <f>G148*H148</f>
        <v/>
      </c>
      <c r="J148" s="8">
        <f>H148/E148</f>
        <v/>
      </c>
      <c r="K148" s="8" t="n">
        <v>22.87</v>
      </c>
      <c r="L148" s="8" t="n">
        <v>17.9567</v>
      </c>
      <c r="M148" s="14">
        <f>J148/K148-1</f>
        <v/>
      </c>
      <c r="N148" s="7" t="inlineStr">
        <is>
          <t>OK (≤ últ. compra)</t>
        </is>
      </c>
      <c r="O148" s="7" t="inlineStr"/>
    </row>
    <row r="149">
      <c r="A149" s="7" t="n">
        <v>645201</v>
      </c>
      <c r="B149" s="7" t="inlineStr">
        <is>
          <t>112725</t>
        </is>
      </c>
      <c r="C149" s="12" t="inlineStr">
        <is>
          <t>7891317009717</t>
        </is>
      </c>
      <c r="D149" s="7" t="inlineStr">
        <is>
          <t>TAMISA NF 0,075+0,030MG CX 21 COMP REV</t>
        </is>
      </c>
      <c r="E149" s="13" t="n">
        <v>1</v>
      </c>
      <c r="F149" s="13" t="n">
        <v>4</v>
      </c>
      <c r="G149" s="13" t="n">
        <v>4</v>
      </c>
      <c r="H149" s="8" t="n">
        <v>29.2</v>
      </c>
      <c r="I149" s="8">
        <f>G149*H149</f>
        <v/>
      </c>
      <c r="J149" s="8">
        <f>H149/E149</f>
        <v/>
      </c>
      <c r="K149" s="8" t="n">
        <v>29.1975</v>
      </c>
      <c r="L149" s="8" t="n">
        <v>26.225</v>
      </c>
      <c r="M149" s="14">
        <f>J149/K149-1</f>
        <v/>
      </c>
      <c r="N149" s="7" t="inlineStr">
        <is>
          <t>ACIMA +0.0%</t>
        </is>
      </c>
      <c r="O149" s="7" t="inlineStr"/>
    </row>
    <row r="150">
      <c r="A150" s="7" t="n">
        <v>345721</v>
      </c>
      <c r="B150" s="7" t="inlineStr">
        <is>
          <t>103450</t>
        </is>
      </c>
      <c r="C150" s="12" t="inlineStr">
        <is>
          <t>7892953101865</t>
        </is>
      </c>
      <c r="D150" s="7" t="inlineStr">
        <is>
          <t>TECNOMET 2,5MG CX 20 COMP</t>
        </is>
      </c>
      <c r="E150" s="13" t="n">
        <v>1</v>
      </c>
      <c r="F150" s="13" t="n">
        <v>9</v>
      </c>
      <c r="G150" s="13" t="n">
        <v>9</v>
      </c>
      <c r="H150" s="8" t="n">
        <v>31.91</v>
      </c>
      <c r="I150" s="8">
        <f>G150*H150</f>
        <v/>
      </c>
      <c r="J150" s="8">
        <f>H150/E150</f>
        <v/>
      </c>
      <c r="K150" s="8" t="n">
        <v>31.91</v>
      </c>
      <c r="L150" s="8" t="n">
        <v>27.316</v>
      </c>
      <c r="M150" s="14">
        <f>J150/K150-1</f>
        <v/>
      </c>
      <c r="N150" s="7" t="inlineStr">
        <is>
          <t>OK (≤ últ. compra)</t>
        </is>
      </c>
      <c r="O150" s="7" t="inlineStr"/>
    </row>
    <row r="151">
      <c r="A151" s="7" t="n">
        <v>180421</v>
      </c>
      <c r="B151" s="7" t="inlineStr">
        <is>
          <t>103478</t>
        </is>
      </c>
      <c r="C151" s="12" t="inlineStr">
        <is>
          <t>7899824400911</t>
        </is>
      </c>
      <c r="D151" s="7" t="inlineStr">
        <is>
          <t>TERICIN AT 25+12,5MG CREM VAG BG 45G+10APLIC</t>
        </is>
      </c>
      <c r="E151" s="13" t="n">
        <v>1</v>
      </c>
      <c r="F151" s="13" t="n">
        <v>1</v>
      </c>
      <c r="G151" s="13" t="n">
        <v>1</v>
      </c>
      <c r="H151" s="8" t="n">
        <v>60.41</v>
      </c>
      <c r="I151" s="8">
        <f>G151*H151</f>
        <v/>
      </c>
      <c r="J151" s="8">
        <f>H151/E151</f>
        <v/>
      </c>
      <c r="K151" s="8" t="n">
        <v>73.98999999999999</v>
      </c>
      <c r="L151" s="8" t="n">
        <v>54.77</v>
      </c>
      <c r="M151" s="14">
        <f>J151/K151-1</f>
        <v/>
      </c>
      <c r="N151" s="7" t="inlineStr">
        <is>
          <t>OK (≤ últ. compra)</t>
        </is>
      </c>
      <c r="O151" s="7" t="inlineStr"/>
    </row>
    <row r="152">
      <c r="A152" s="7" t="n">
        <v>622921</v>
      </c>
      <c r="B152" s="7" t="inlineStr">
        <is>
          <t>718105</t>
        </is>
      </c>
      <c r="C152" s="12" t="inlineStr">
        <is>
          <t>7500435137959</t>
        </is>
      </c>
      <c r="D152" s="7" t="inlineStr">
        <is>
          <t>TESTE GRAV CLEARBLUE SAIBA ANTES-DEMAIS PROD</t>
        </is>
      </c>
      <c r="E152" s="13" t="n">
        <v>1</v>
      </c>
      <c r="F152" s="13" t="n">
        <v>8</v>
      </c>
      <c r="G152" s="13" t="n">
        <v>8</v>
      </c>
      <c r="H152" s="8" t="n">
        <v>20.95</v>
      </c>
      <c r="I152" s="8">
        <f>G152*H152</f>
        <v/>
      </c>
      <c r="J152" s="8">
        <f>H152/E152</f>
        <v/>
      </c>
      <c r="K152" s="8" t="n">
        <v>21.65</v>
      </c>
      <c r="L152" s="8" t="n">
        <v>19.62</v>
      </c>
      <c r="M152" s="14">
        <f>J152/K152-1</f>
        <v/>
      </c>
      <c r="N152" s="7" t="inlineStr">
        <is>
          <t>OK (≤ últ. compra)</t>
        </is>
      </c>
      <c r="O152" s="7" t="inlineStr"/>
    </row>
    <row r="153">
      <c r="A153" s="7" t="n">
        <v>3153</v>
      </c>
      <c r="B153" s="7" t="inlineStr">
        <is>
          <t>713042</t>
        </is>
      </c>
      <c r="C153" s="12" t="inlineStr">
        <is>
          <t>7898301056757</t>
        </is>
      </c>
      <c r="D153" s="7" t="inlineStr">
        <is>
          <t>TIRA DE TESTE DE GLICOSE C/25 UND FREE 1</t>
        </is>
      </c>
      <c r="E153" s="13" t="n">
        <v>1</v>
      </c>
      <c r="F153" s="13" t="n">
        <v>5</v>
      </c>
      <c r="G153" s="13" t="n">
        <v>5</v>
      </c>
      <c r="H153" s="8" t="n">
        <v>39.88</v>
      </c>
      <c r="I153" s="8">
        <f>G153*H153</f>
        <v/>
      </c>
      <c r="J153" s="8">
        <f>H153/E153</f>
        <v/>
      </c>
      <c r="K153" s="8" t="n">
        <v>46.42</v>
      </c>
      <c r="L153" s="8" t="n">
        <v>43.95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3163</v>
      </c>
      <c r="B154" s="7" t="inlineStr">
        <is>
          <t>713043</t>
        </is>
      </c>
      <c r="C154" s="12" t="inlineStr">
        <is>
          <t>7898301056740</t>
        </is>
      </c>
      <c r="D154" s="7" t="inlineStr">
        <is>
          <t>TIRA DE TESTE DE GLICOSE C/50 UND FREE 1</t>
        </is>
      </c>
      <c r="E154" s="13" t="n">
        <v>1</v>
      </c>
      <c r="F154" s="13" t="n">
        <v>23</v>
      </c>
      <c r="G154" s="13" t="n">
        <v>23</v>
      </c>
      <c r="H154" s="8" t="n">
        <v>52.34</v>
      </c>
      <c r="I154" s="8">
        <f>G154*H154</f>
        <v/>
      </c>
      <c r="J154" s="8">
        <f>H154/E154</f>
        <v/>
      </c>
      <c r="K154" s="8" t="n">
        <v>51.625</v>
      </c>
      <c r="L154" s="8" t="n">
        <v>48.88</v>
      </c>
      <c r="M154" s="14">
        <f>J154/K154-1</f>
        <v/>
      </c>
      <c r="N154" s="7" t="inlineStr">
        <is>
          <t>ACIMA +1.4%</t>
        </is>
      </c>
      <c r="O154" s="7" t="inlineStr"/>
    </row>
    <row r="155">
      <c r="A155" s="7" t="n">
        <v>600561</v>
      </c>
      <c r="B155" s="7" t="inlineStr">
        <is>
          <t>715318</t>
        </is>
      </c>
      <c r="C155" s="12" t="inlineStr">
        <is>
          <t>7898653620033</t>
        </is>
      </c>
      <c r="D155" s="7" t="inlineStr">
        <is>
          <t>TIRAS ACCU-CHEK CAIXA C/ 3 CX C/ 50UN</t>
        </is>
      </c>
      <c r="E155" s="13" t="n">
        <v>1</v>
      </c>
      <c r="F155" s="13" t="n">
        <v>1</v>
      </c>
      <c r="G155" s="13" t="n">
        <v>1</v>
      </c>
      <c r="H155" s="8" t="n">
        <v>175.73</v>
      </c>
      <c r="I155" s="8">
        <f>G155*H155</f>
        <v/>
      </c>
      <c r="J155" s="8">
        <f>H155/E155</f>
        <v/>
      </c>
      <c r="K155" s="8" t="n">
        <v>64.9867</v>
      </c>
      <c r="L155" s="8" t="n">
        <v>50.8467</v>
      </c>
      <c r="M155" s="14">
        <f>J155/K155-1</f>
        <v/>
      </c>
      <c r="N155" s="7" t="inlineStr">
        <is>
          <t>ACIMA +170.4%</t>
        </is>
      </c>
      <c r="O155" s="7" t="inlineStr">
        <is>
          <t>conferir emb.</t>
        </is>
      </c>
    </row>
    <row r="156">
      <c r="A156" s="7" t="n">
        <v>596521</v>
      </c>
      <c r="B156" s="7" t="inlineStr">
        <is>
          <t>113397</t>
        </is>
      </c>
      <c r="C156" s="12" t="inlineStr">
        <is>
          <t>7894916516006</t>
        </is>
      </c>
      <c r="D156" s="7" t="inlineStr">
        <is>
          <t>TORAGESIC 10MG PEEL OFF CX 10 COMP</t>
        </is>
      </c>
      <c r="E156" s="13" t="n">
        <v>1</v>
      </c>
      <c r="F156" s="13" t="n">
        <v>10</v>
      </c>
      <c r="G156" s="13" t="n">
        <v>10</v>
      </c>
      <c r="H156" s="8" t="n">
        <v>26.08</v>
      </c>
      <c r="I156" s="8">
        <f>G156*H156</f>
        <v/>
      </c>
      <c r="J156" s="8">
        <f>H156/E156</f>
        <v/>
      </c>
      <c r="K156" s="8" t="n">
        <v>26.0814</v>
      </c>
      <c r="L156" s="8" t="n">
        <v>23.048</v>
      </c>
      <c r="M156" s="14">
        <f>J156/K156-1</f>
        <v/>
      </c>
      <c r="N156" s="7" t="inlineStr">
        <is>
          <t>OK (≤ últ. compra)</t>
        </is>
      </c>
      <c r="O156" s="7" t="inlineStr"/>
    </row>
    <row r="157">
      <c r="A157" s="7" t="n">
        <v>207441</v>
      </c>
      <c r="B157" s="7" t="inlineStr">
        <is>
          <t>103625</t>
        </is>
      </c>
      <c r="C157" s="12" t="inlineStr">
        <is>
          <t>7896226102504</t>
        </is>
      </c>
      <c r="D157" s="7" t="inlineStr">
        <is>
          <t>TRIVAGEL-N CREME VAG BG 60G+10APLIC</t>
        </is>
      </c>
      <c r="E157" s="13" t="n">
        <v>1</v>
      </c>
      <c r="F157" s="13" t="n">
        <v>2</v>
      </c>
      <c r="G157" s="13" t="n">
        <v>2</v>
      </c>
      <c r="H157" s="8" t="n">
        <v>73.68000000000001</v>
      </c>
      <c r="I157" s="8">
        <f>G157*H157</f>
        <v/>
      </c>
      <c r="J157" s="8">
        <f>H157/E157</f>
        <v/>
      </c>
      <c r="K157" s="8" t="n">
        <v>73.675</v>
      </c>
      <c r="L157" s="8" t="n">
        <v>63.0967</v>
      </c>
      <c r="M157" s="14">
        <f>J157/K157-1</f>
        <v/>
      </c>
      <c r="N157" s="7" t="inlineStr">
        <is>
          <t>ACIMA +0.0%</t>
        </is>
      </c>
      <c r="O157" s="7" t="inlineStr"/>
    </row>
    <row r="158">
      <c r="A158" s="7" t="n">
        <v>609051</v>
      </c>
      <c r="B158" s="7" t="inlineStr">
        <is>
          <t>103630</t>
        </is>
      </c>
      <c r="C158" s="12" t="inlineStr">
        <is>
          <t>7891317025564</t>
        </is>
      </c>
      <c r="D158" s="7" t="inlineStr">
        <is>
          <t>TROK 20+0,5MG/G CREM DERM BG 10G</t>
        </is>
      </c>
      <c r="E158" s="13" t="n">
        <v>1</v>
      </c>
      <c r="F158" s="13" t="n">
        <v>1</v>
      </c>
      <c r="G158" s="13" t="n">
        <v>1</v>
      </c>
      <c r="H158" s="8" t="n">
        <v>15.42</v>
      </c>
      <c r="I158" s="8">
        <f>G158*H158</f>
        <v/>
      </c>
      <c r="J158" s="8">
        <f>H158/E158</f>
        <v/>
      </c>
      <c r="K158" s="8" t="n">
        <v>15.42</v>
      </c>
      <c r="L158" s="8" t="n">
        <v>14.02</v>
      </c>
      <c r="M158" s="14">
        <f>J158/K158-1</f>
        <v/>
      </c>
      <c r="N158" s="7" t="inlineStr">
        <is>
          <t>OK (≤ últ. compra)</t>
        </is>
      </c>
      <c r="O158" s="7" t="inlineStr"/>
    </row>
    <row r="159">
      <c r="A159" s="7" t="n">
        <v>451941</v>
      </c>
      <c r="B159" s="7" t="inlineStr">
        <is>
          <t>103636</t>
        </is>
      </c>
      <c r="C159" s="12" t="inlineStr">
        <is>
          <t>7891317445737</t>
        </is>
      </c>
      <c r="D159" s="7" t="inlineStr">
        <is>
          <t>TROK-N 20+0,5+2,5MG/G CREM DERM BG 30G</t>
        </is>
      </c>
      <c r="E159" s="13" t="n">
        <v>1</v>
      </c>
      <c r="F159" s="13" t="n">
        <v>2</v>
      </c>
      <c r="G159" s="13" t="n">
        <v>2</v>
      </c>
      <c r="H159" s="8" t="n">
        <v>31.85</v>
      </c>
      <c r="I159" s="8">
        <f>G159*H159</f>
        <v/>
      </c>
      <c r="J159" s="8">
        <f>H159/E159</f>
        <v/>
      </c>
      <c r="K159" s="8" t="n">
        <v>31.855</v>
      </c>
      <c r="L159" s="8" t="n">
        <v>28.9525</v>
      </c>
      <c r="M159" s="14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282781</v>
      </c>
      <c r="B160" s="7" t="inlineStr">
        <is>
          <t>401300</t>
        </is>
      </c>
      <c r="C160" s="12" t="inlineStr">
        <is>
          <t>7896255717885</t>
        </is>
      </c>
      <c r="D160" s="7" t="inlineStr">
        <is>
          <t>TROMBOFOB 200UI GEL BG 40G</t>
        </is>
      </c>
      <c r="E160" s="13" t="n">
        <v>1</v>
      </c>
      <c r="F160" s="13" t="n">
        <v>6</v>
      </c>
      <c r="G160" s="13" t="n">
        <v>6</v>
      </c>
      <c r="H160" s="8" t="n">
        <v>32.62</v>
      </c>
      <c r="I160" s="8">
        <f>G160*H160</f>
        <v/>
      </c>
      <c r="J160" s="8">
        <f>H160/E160</f>
        <v/>
      </c>
      <c r="K160" s="8" t="n">
        <v>32.62</v>
      </c>
      <c r="L160" s="8" t="n">
        <v>25.57</v>
      </c>
      <c r="M160" s="14">
        <f>J160/K160-1</f>
        <v/>
      </c>
      <c r="N160" s="7" t="inlineStr">
        <is>
          <t>OK (≤ últ. compra)</t>
        </is>
      </c>
      <c r="O160" s="7" t="inlineStr"/>
    </row>
    <row r="161">
      <c r="A161" s="7" t="n">
        <v>413281</v>
      </c>
      <c r="B161" s="7" t="inlineStr">
        <is>
          <t>105564</t>
        </is>
      </c>
      <c r="C161" s="12" t="inlineStr">
        <is>
          <t>7898948648131</t>
        </is>
      </c>
      <c r="D161" s="7" t="inlineStr">
        <is>
          <t>UTROGESTAN 100MG CX 30 CAP</t>
        </is>
      </c>
      <c r="E161" s="13" t="n">
        <v>1</v>
      </c>
      <c r="F161" s="13" t="n">
        <v>1</v>
      </c>
      <c r="G161" s="13" t="n">
        <v>1</v>
      </c>
      <c r="H161" s="8" t="n">
        <v>64.64</v>
      </c>
      <c r="I161" s="8">
        <f>G161*H161</f>
        <v/>
      </c>
      <c r="J161" s="8">
        <f>H161/E161</f>
        <v/>
      </c>
      <c r="K161" s="8" t="n">
        <v>64.64</v>
      </c>
      <c r="L161" s="8" t="n">
        <v>56.81</v>
      </c>
      <c r="M161" s="14">
        <f>J161/K161-1</f>
        <v/>
      </c>
      <c r="N161" s="7" t="inlineStr">
        <is>
          <t>OK (≤ últ. compra)</t>
        </is>
      </c>
      <c r="O161" s="7" t="inlineStr"/>
    </row>
    <row r="162">
      <c r="A162" s="7" t="n">
        <v>319341</v>
      </c>
      <c r="B162" s="7" t="inlineStr">
        <is>
          <t>102504</t>
        </is>
      </c>
      <c r="C162" s="12" t="inlineStr">
        <is>
          <t>7891045008433</t>
        </is>
      </c>
      <c r="D162" s="7" t="inlineStr">
        <is>
          <t>V - NORDETTE 0,15+0,03MG CX 21 DRG</t>
        </is>
      </c>
      <c r="E162" s="13" t="n">
        <v>1</v>
      </c>
      <c r="F162" s="13" t="n">
        <v>4</v>
      </c>
      <c r="G162" s="13" t="n">
        <v>4</v>
      </c>
      <c r="H162" s="8" t="n">
        <v>10.31</v>
      </c>
      <c r="I162" s="8">
        <f>G162*H162</f>
        <v/>
      </c>
      <c r="J162" s="8">
        <f>H162/E162</f>
        <v/>
      </c>
      <c r="K162" s="8" t="n">
        <v>10.31</v>
      </c>
      <c r="L162" s="8" t="n">
        <v>9.265000000000001</v>
      </c>
      <c r="M162" s="14">
        <f>J162/K162-1</f>
        <v/>
      </c>
      <c r="N162" s="7" t="inlineStr">
        <is>
          <t>OK (≤ últ. compra)</t>
        </is>
      </c>
      <c r="O162" s="7" t="inlineStr"/>
    </row>
    <row r="163">
      <c r="A163" s="7" t="n">
        <v>612541</v>
      </c>
      <c r="B163" s="7" t="inlineStr">
        <is>
          <t>112768</t>
        </is>
      </c>
      <c r="C163" s="12" t="inlineStr">
        <is>
          <t>7891317010379</t>
        </is>
      </c>
      <c r="D163" s="7" t="inlineStr">
        <is>
          <t>VENTUS 50MCG SUS SPR NAS FR 60 ACIONAMENTOS</t>
        </is>
      </c>
      <c r="E163" s="13" t="n">
        <v>1</v>
      </c>
      <c r="F163" s="13" t="n">
        <v>3</v>
      </c>
      <c r="G163" s="13" t="n">
        <v>3</v>
      </c>
      <c r="H163" s="8" t="n">
        <v>35.24</v>
      </c>
      <c r="I163" s="8">
        <f>G163*H163</f>
        <v/>
      </c>
      <c r="J163" s="8">
        <f>H163/E163</f>
        <v/>
      </c>
      <c r="K163" s="8" t="n">
        <v>35.24</v>
      </c>
      <c r="L163" s="8" t="n">
        <v>31.645</v>
      </c>
      <c r="M163" s="14">
        <f>J163/K163-1</f>
        <v/>
      </c>
      <c r="N163" s="7" t="inlineStr">
        <is>
          <t>OK (≤ últ. compra)</t>
        </is>
      </c>
      <c r="O163" s="7" t="inlineStr"/>
    </row>
    <row r="164">
      <c r="A164" s="7" t="n">
        <v>254901</v>
      </c>
      <c r="B164" s="7" t="inlineStr">
        <is>
          <t>103878</t>
        </is>
      </c>
      <c r="C164" s="12" t="inlineStr">
        <is>
          <t>7896548197554</t>
        </is>
      </c>
      <c r="D164" s="7" t="inlineStr">
        <is>
          <t>VIGADEXA 5+1MG/ML SOL OFT FR GOT 5ML</t>
        </is>
      </c>
      <c r="E164" s="13" t="n">
        <v>1</v>
      </c>
      <c r="F164" s="13" t="n">
        <v>1</v>
      </c>
      <c r="G164" s="13" t="n">
        <v>1</v>
      </c>
      <c r="H164" s="8" t="n">
        <v>37.75</v>
      </c>
      <c r="I164" s="8">
        <f>G164*H164</f>
        <v/>
      </c>
      <c r="J164" s="8">
        <f>H164/E164</f>
        <v/>
      </c>
      <c r="K164" s="8" t="n">
        <v>50.5</v>
      </c>
      <c r="L164" s="8" t="n">
        <v>35.1083</v>
      </c>
      <c r="M164" s="14">
        <f>J164/K164-1</f>
        <v/>
      </c>
      <c r="N164" s="7" t="inlineStr">
        <is>
          <t>OK (≤ últ. compra)</t>
        </is>
      </c>
      <c r="O164" s="7" t="inlineStr"/>
    </row>
    <row r="165">
      <c r="A165" s="7" t="n">
        <v>211861</v>
      </c>
      <c r="B165" s="7" t="inlineStr">
        <is>
          <t>103907</t>
        </is>
      </c>
      <c r="C165" s="12" t="inlineStr">
        <is>
          <t>7896261000797</t>
        </is>
      </c>
      <c r="D165" s="7" t="inlineStr">
        <is>
          <t>VOLTAREN 25MG INJ CX 5AMP X 3ML</t>
        </is>
      </c>
      <c r="E165" s="13" t="n">
        <v>1</v>
      </c>
      <c r="F165" s="13" t="n">
        <v>1</v>
      </c>
      <c r="G165" s="13" t="n">
        <v>1</v>
      </c>
      <c r="H165" s="8" t="n">
        <v>17.14</v>
      </c>
      <c r="I165" s="8">
        <f>G165*H165</f>
        <v/>
      </c>
      <c r="J165" s="8">
        <f>H165/E165</f>
        <v/>
      </c>
      <c r="K165" s="8" t="n">
        <v>3.428</v>
      </c>
      <c r="L165" s="8" t="n">
        <v>3.4276</v>
      </c>
      <c r="M165" s="14">
        <f>J165/K165-1</f>
        <v/>
      </c>
      <c r="N165" s="7" t="inlineStr">
        <is>
          <t>ACIMA +400.0%</t>
        </is>
      </c>
      <c r="O165" s="7" t="inlineStr">
        <is>
          <t>conferir emb.</t>
        </is>
      </c>
    </row>
    <row r="166">
      <c r="A166" s="7" t="n">
        <v>287141</v>
      </c>
      <c r="B166" s="7" t="inlineStr">
        <is>
          <t>103966</t>
        </is>
      </c>
      <c r="C166" s="12" t="inlineStr">
        <is>
          <t>7891317451417</t>
        </is>
      </c>
      <c r="D166" s="7" t="inlineStr">
        <is>
          <t>ZART H H 50+12,5MG CX 30 COMP REV</t>
        </is>
      </c>
      <c r="E166" s="13" t="n">
        <v>1</v>
      </c>
      <c r="F166" s="13" t="n">
        <v>2</v>
      </c>
      <c r="G166" s="13" t="n">
        <v>2</v>
      </c>
      <c r="H166" s="8" t="n">
        <v>41.61</v>
      </c>
      <c r="I166" s="8">
        <f>G166*H166</f>
        <v/>
      </c>
      <c r="J166" s="8">
        <f>H166/E166</f>
        <v/>
      </c>
      <c r="K166" s="8" t="n">
        <v>41.61</v>
      </c>
      <c r="L166" s="8" t="n">
        <v>36.88</v>
      </c>
      <c r="M166" s="14">
        <f>J166/K166-1</f>
        <v/>
      </c>
      <c r="N166" s="7" t="inlineStr">
        <is>
          <t>OK (≤ últ. compra)</t>
        </is>
      </c>
      <c r="O166" s="7" t="inlineStr"/>
    </row>
    <row r="167">
      <c r="D167" s="5" t="inlineStr">
        <is>
          <t>TOTAL</t>
        </is>
      </c>
      <c r="I167" s="18">
        <f>SUM(I2:I166)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14">
        <f>J2/K2-1</f>
        <v/>
      </c>
      <c r="N2" s="7" t="inlineStr">
        <is>
          <t>ACIMA +16.5%</t>
        </is>
      </c>
      <c r="O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14">
        <f>J3/K3-1</f>
        <v/>
      </c>
      <c r="N3" s="7" t="inlineStr">
        <is>
          <t>ACIMA +30.2%</t>
        </is>
      </c>
      <c r="O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14">
        <f>J4/K4-1</f>
        <v/>
      </c>
      <c r="N4" s="7" t="inlineStr">
        <is>
          <t>ACIMA +43.9%</t>
        </is>
      </c>
      <c r="O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14">
        <f>J5/K5-1</f>
        <v/>
      </c>
      <c r="N5" s="7" t="inlineStr">
        <is>
          <t>ACIMA +38.5%</t>
        </is>
      </c>
      <c r="O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14">
        <f>J6/K6-1</f>
        <v/>
      </c>
      <c r="N6" s="7" t="inlineStr">
        <is>
          <t>ACIMA +34.7%</t>
        </is>
      </c>
      <c r="O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14">
        <f>J7/K7-1</f>
        <v/>
      </c>
      <c r="N7" s="7" t="inlineStr">
        <is>
          <t>ACIMA +12.4%</t>
        </is>
      </c>
      <c r="O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14">
        <f>J8/K8-1</f>
        <v/>
      </c>
      <c r="N8" s="7" t="inlineStr">
        <is>
          <t>ACIMA +30.7%</t>
        </is>
      </c>
      <c r="O8" s="7" t="inlineStr"/>
    </row>
    <row r="9">
      <c r="A9" s="7" t="n">
        <v>657951</v>
      </c>
      <c r="B9" s="7" t="inlineStr">
        <is>
          <t>162</t>
        </is>
      </c>
      <c r="C9" s="12" t="inlineStr">
        <is>
          <t>07896902210561</t>
        </is>
      </c>
      <c r="D9" s="7" t="inlineStr">
        <is>
          <t>AGUA OXIG FARMAX 90ML 20V</t>
        </is>
      </c>
      <c r="E9" s="13" t="n">
        <v>1</v>
      </c>
      <c r="F9" s="13" t="n">
        <v>1</v>
      </c>
      <c r="G9" s="13" t="n">
        <v>1</v>
      </c>
      <c r="H9" s="8" t="n">
        <v>2.09</v>
      </c>
      <c r="I9" s="8">
        <f>G9*H9</f>
        <v/>
      </c>
      <c r="J9" s="8">
        <f>H9/E9</f>
        <v/>
      </c>
      <c r="K9" s="8" t="n">
        <v>2.22</v>
      </c>
      <c r="L9" s="8" t="n">
        <v>2.22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674721</v>
      </c>
      <c r="B10" s="7" t="inlineStr">
        <is>
          <t>159</t>
        </is>
      </c>
      <c r="C10" s="12" t="inlineStr">
        <is>
          <t>7896902210530</t>
        </is>
      </c>
      <c r="D10" s="7" t="inlineStr">
        <is>
          <t>AGUA OXIGENADA CR 10VOL DESCOLOR 90ML</t>
        </is>
      </c>
      <c r="E10" s="13" t="n">
        <v>1</v>
      </c>
      <c r="F10" s="13" t="n">
        <v>5</v>
      </c>
      <c r="G10" s="13" t="n">
        <v>5</v>
      </c>
      <c r="H10" s="8" t="n">
        <v>2.11</v>
      </c>
      <c r="I10" s="8">
        <f>G10*H10</f>
        <v/>
      </c>
      <c r="J10" s="8">
        <f>H10/E10</f>
        <v/>
      </c>
      <c r="K10" s="8" t="n">
        <v>1.97</v>
      </c>
      <c r="L10" s="8" t="n">
        <v>1.97</v>
      </c>
      <c r="M10" s="14">
        <f>J10/K10-1</f>
        <v/>
      </c>
      <c r="N10" s="7" t="inlineStr">
        <is>
          <t>ACIMA +7.1%</t>
        </is>
      </c>
      <c r="O10" s="7" t="inlineStr"/>
    </row>
    <row r="11">
      <c r="A11" s="7" t="n">
        <v>534741</v>
      </c>
      <c r="B11" s="7" t="inlineStr">
        <is>
          <t>165</t>
        </is>
      </c>
      <c r="C11" s="12" t="inlineStr">
        <is>
          <t>7896902210608</t>
        </is>
      </c>
      <c r="D11" s="7" t="inlineStr">
        <is>
          <t>AGUA OXIGENADA CREMOSA - 30 VOL 90ML</t>
        </is>
      </c>
      <c r="E11" s="13" t="n">
        <v>1</v>
      </c>
      <c r="F11" s="13" t="n">
        <v>16</v>
      </c>
      <c r="G11" s="13" t="n">
        <v>16</v>
      </c>
      <c r="H11" s="8" t="n">
        <v>2.16</v>
      </c>
      <c r="I11" s="8">
        <f>G11*H11</f>
        <v/>
      </c>
      <c r="J11" s="8">
        <f>H11/E11</f>
        <v/>
      </c>
      <c r="K11" s="8" t="n">
        <v>1.84</v>
      </c>
      <c r="L11" s="8" t="n">
        <v>1.5367</v>
      </c>
      <c r="M11" s="14">
        <f>J11/K11-1</f>
        <v/>
      </c>
      <c r="N11" s="7" t="inlineStr">
        <is>
          <t>ACIMA +17.4%</t>
        </is>
      </c>
      <c r="O11" s="7" t="inlineStr"/>
    </row>
    <row r="12">
      <c r="A12" s="7" t="n">
        <v>534761</v>
      </c>
      <c r="B12" s="7" t="inlineStr">
        <is>
          <t>6157</t>
        </is>
      </c>
      <c r="C12" s="12" t="inlineStr">
        <is>
          <t>7896902210905</t>
        </is>
      </c>
      <c r="D12" s="7" t="inlineStr">
        <is>
          <t>AGUA OXIGENADA CREMOSA - AMONIA 100ML</t>
        </is>
      </c>
      <c r="E12" s="13" t="n">
        <v>1</v>
      </c>
      <c r="F12" s="13" t="n">
        <v>2</v>
      </c>
      <c r="G12" s="13" t="n">
        <v>2</v>
      </c>
      <c r="H12" s="8" t="n">
        <v>2.2</v>
      </c>
      <c r="I12" s="8">
        <f>G12*H12</f>
        <v/>
      </c>
      <c r="J12" s="8">
        <f>H12/E12</f>
        <v/>
      </c>
      <c r="K12" s="8" t="n">
        <v>1.95</v>
      </c>
      <c r="L12" s="8" t="n">
        <v>1.95</v>
      </c>
      <c r="M12" s="14">
        <f>J12/K12-1</f>
        <v/>
      </c>
      <c r="N12" s="7" t="inlineStr">
        <is>
          <t>ACIMA +12.8%</t>
        </is>
      </c>
      <c r="O12" s="7" t="inlineStr"/>
    </row>
    <row r="13">
      <c r="A13" s="7" t="n">
        <v>651171</v>
      </c>
      <c r="B13" s="7" t="inlineStr">
        <is>
          <t>174</t>
        </is>
      </c>
      <c r="C13" s="12" t="inlineStr">
        <is>
          <t>7898048690900</t>
        </is>
      </c>
      <c r="D13" s="7" t="inlineStr">
        <is>
          <t>AGUARDENTE ALEMA JALAPA 200ML</t>
        </is>
      </c>
      <c r="E13" s="13" t="n">
        <v>1</v>
      </c>
      <c r="F13" s="13" t="n">
        <v>1</v>
      </c>
      <c r="G13" s="13" t="n">
        <v>1</v>
      </c>
      <c r="H13" s="8" t="n">
        <v>8.08</v>
      </c>
      <c r="I13" s="8">
        <f>G13*H13</f>
        <v/>
      </c>
      <c r="J13" s="8">
        <f>H13/E13</f>
        <v/>
      </c>
      <c r="K13" s="8" t="n">
        <v>8.09</v>
      </c>
      <c r="L13" s="8" t="n">
        <v>8.09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642881</v>
      </c>
      <c r="B14" s="7" t="inlineStr">
        <is>
          <t>483</t>
        </is>
      </c>
      <c r="C14" s="12" t="inlineStr">
        <is>
          <t>7894913003875</t>
        </is>
      </c>
      <c r="D14" s="7" t="inlineStr">
        <is>
          <t>ARTICULAM ULTRA C/30 CAPS</t>
        </is>
      </c>
      <c r="E14" s="13" t="n">
        <v>1</v>
      </c>
      <c r="F14" s="13" t="n">
        <v>2</v>
      </c>
      <c r="G14" s="13" t="n">
        <v>2</v>
      </c>
      <c r="H14" s="8" t="n">
        <v>39.71</v>
      </c>
      <c r="I14" s="8">
        <f>G14*H14</f>
        <v/>
      </c>
      <c r="J14" s="8">
        <f>H14/E14</f>
        <v/>
      </c>
      <c r="K14" s="8" t="n">
        <v>37.6</v>
      </c>
      <c r="L14" s="8" t="n">
        <v>37.6</v>
      </c>
      <c r="M14" s="14">
        <f>J14/K14-1</f>
        <v/>
      </c>
      <c r="N14" s="7" t="inlineStr">
        <is>
          <t>ACIMA +5.6%</t>
        </is>
      </c>
      <c r="O14" s="7" t="inlineStr"/>
    </row>
    <row r="15">
      <c r="A15" s="7" t="n">
        <v>3443</v>
      </c>
      <c r="B15" s="7" t="inlineStr">
        <is>
          <t>497</t>
        </is>
      </c>
      <c r="C15" s="12" t="inlineStr">
        <is>
          <t>7898108641323</t>
        </is>
      </c>
      <c r="D15" s="7" t="inlineStr">
        <is>
          <t>ATADURA DE CREPE 06CM C/12 UND</t>
        </is>
      </c>
      <c r="E15" s="13" t="n">
        <v>1</v>
      </c>
      <c r="F15" s="13" t="n">
        <v>1</v>
      </c>
      <c r="G15" s="13" t="n">
        <v>1</v>
      </c>
      <c r="H15" s="8" t="n">
        <v>1.13</v>
      </c>
      <c r="I15" s="8">
        <f>G15*H15</f>
        <v/>
      </c>
      <c r="J15" s="8">
        <f>H15/E15</f>
        <v/>
      </c>
      <c r="K15" s="8" t="n">
        <v>12.54</v>
      </c>
      <c r="L15" s="8" t="n">
        <v>12.54</v>
      </c>
      <c r="M15" s="14">
        <f>J15/K15-1</f>
        <v/>
      </c>
      <c r="N15" s="7" t="inlineStr">
        <is>
          <t>OK (≤ menor hist.)</t>
        </is>
      </c>
      <c r="O15" s="7" t="inlineStr">
        <is>
          <t>conferir emb.</t>
        </is>
      </c>
    </row>
    <row r="16">
      <c r="A16" s="7" t="n">
        <v>653611</v>
      </c>
      <c r="B16" s="7" t="inlineStr">
        <is>
          <t>8438</t>
        </is>
      </c>
      <c r="C16" s="12" t="inlineStr">
        <is>
          <t>7898108642078</t>
        </is>
      </c>
      <c r="D16" s="7" t="inlineStr">
        <is>
          <t>ATADURA DE CREPE MICKEY 06CM</t>
        </is>
      </c>
      <c r="E16" s="13" t="n">
        <v>1</v>
      </c>
      <c r="F16" s="13" t="n">
        <v>4</v>
      </c>
      <c r="G16" s="13" t="n">
        <v>4</v>
      </c>
      <c r="H16" s="8" t="n">
        <v>1.32</v>
      </c>
      <c r="I16" s="8">
        <f>G16*H16</f>
        <v/>
      </c>
      <c r="J16" s="8">
        <f>H16/E16</f>
        <v/>
      </c>
      <c r="K16" s="8" t="n">
        <v>1.25</v>
      </c>
      <c r="L16" s="8" t="n">
        <v>1.25</v>
      </c>
      <c r="M16" s="14">
        <f>J16/K16-1</f>
        <v/>
      </c>
      <c r="N16" s="7" t="inlineStr">
        <is>
          <t>ACIMA +5.6%</t>
        </is>
      </c>
      <c r="O16" s="7" t="inlineStr"/>
    </row>
    <row r="17">
      <c r="A17" s="7" t="n">
        <v>661591</v>
      </c>
      <c r="B17" s="7" t="inlineStr">
        <is>
          <t>8439</t>
        </is>
      </c>
      <c r="C17" s="12" t="inlineStr">
        <is>
          <t>7898108642085</t>
        </is>
      </c>
      <c r="D17" s="7" t="inlineStr">
        <is>
          <t>ATADURA DE CREPE MICKEY 08CM</t>
        </is>
      </c>
      <c r="E17" s="13" t="n">
        <v>1</v>
      </c>
      <c r="F17" s="13" t="n">
        <v>3</v>
      </c>
      <c r="G17" s="13" t="n">
        <v>3</v>
      </c>
      <c r="H17" s="8" t="n">
        <v>1.67</v>
      </c>
      <c r="I17" s="8">
        <f>G17*H17</f>
        <v/>
      </c>
      <c r="J17" s="8">
        <f>H17/E17</f>
        <v/>
      </c>
      <c r="K17" s="8" t="n">
        <v>1.935</v>
      </c>
      <c r="L17" s="8" t="n">
        <v>1.935</v>
      </c>
      <c r="M17" s="14">
        <f>J17/K17-1</f>
        <v/>
      </c>
      <c r="N17" s="7" t="inlineStr">
        <is>
          <t>OK (≤ menor hist.)</t>
        </is>
      </c>
      <c r="O17" s="7" t="inlineStr"/>
    </row>
    <row r="18">
      <c r="A18" s="7" t="n">
        <v>661601</v>
      </c>
      <c r="B18" s="7" t="inlineStr">
        <is>
          <t>500</t>
        </is>
      </c>
      <c r="C18" s="12" t="inlineStr">
        <is>
          <t>7898108641347</t>
        </is>
      </c>
      <c r="D18" s="7" t="inlineStr">
        <is>
          <t>ATADURA DE CREPE SANF 12CMX1,80M</t>
        </is>
      </c>
      <c r="E18" s="13" t="n">
        <v>1</v>
      </c>
      <c r="F18" s="13" t="n">
        <v>2</v>
      </c>
      <c r="G18" s="13" t="n">
        <v>2</v>
      </c>
      <c r="H18" s="8" t="n">
        <v>2.08</v>
      </c>
      <c r="I18" s="8">
        <f>G18*H18</f>
        <v/>
      </c>
      <c r="J18" s="8">
        <f>H18/E18</f>
        <v/>
      </c>
      <c r="K18" s="8" t="n">
        <v>2.23</v>
      </c>
      <c r="L18" s="8" t="n">
        <v>2.23</v>
      </c>
      <c r="M18" s="14">
        <f>J18/K18-1</f>
        <v/>
      </c>
      <c r="N18" s="7" t="inlineStr">
        <is>
          <t>OK (≤ menor hist.)</t>
        </is>
      </c>
      <c r="O18" s="7" t="inlineStr"/>
    </row>
    <row r="19">
      <c r="A19" s="7" t="n">
        <v>46141</v>
      </c>
      <c r="B19" s="7" t="inlineStr">
        <is>
          <t>559</t>
        </is>
      </c>
      <c r="C19" s="12" t="inlineStr">
        <is>
          <t>7898060132518</t>
        </is>
      </c>
      <c r="D19" s="7" t="inlineStr">
        <is>
          <t>AZITROMICINA 500MG CX 5 COMP</t>
        </is>
      </c>
      <c r="E19" s="13" t="n">
        <v>1</v>
      </c>
      <c r="F19" s="13" t="n">
        <v>1</v>
      </c>
      <c r="G19" s="13" t="n">
        <v>1</v>
      </c>
      <c r="H19" s="8" t="n">
        <v>6.17</v>
      </c>
      <c r="I19" s="8">
        <f>G19*H19</f>
        <v/>
      </c>
      <c r="J19" s="8">
        <f>H19/E19</f>
        <v/>
      </c>
      <c r="K19" s="8" t="n">
        <v>5.86</v>
      </c>
      <c r="L19" s="8" t="n">
        <v>5.86</v>
      </c>
      <c r="M19" s="14">
        <f>J19/K19-1</f>
        <v/>
      </c>
      <c r="N19" s="7" t="inlineStr">
        <is>
          <t>ACIMA +5.3%</t>
        </is>
      </c>
      <c r="O19" s="7" t="inlineStr"/>
    </row>
    <row r="20">
      <c r="A20" s="7" t="n">
        <v>48221</v>
      </c>
      <c r="B20" s="7" t="inlineStr">
        <is>
          <t>562</t>
        </is>
      </c>
      <c r="C20" s="12" t="inlineStr">
        <is>
          <t>7898216360123</t>
        </is>
      </c>
      <c r="D20" s="7" t="inlineStr">
        <is>
          <t>AZITROPHAR 500MG CX 3 COM REV</t>
        </is>
      </c>
      <c r="E20" s="13" t="n">
        <v>1</v>
      </c>
      <c r="F20" s="13" t="n">
        <v>3</v>
      </c>
      <c r="G20" s="13" t="n">
        <v>3</v>
      </c>
      <c r="H20" s="8" t="n">
        <v>3.84</v>
      </c>
      <c r="I20" s="8">
        <f>G20*H20</f>
        <v/>
      </c>
      <c r="J20" s="8">
        <f>H20/E20</f>
        <v/>
      </c>
      <c r="K20" s="8" t="n">
        <v>3.63</v>
      </c>
      <c r="L20" s="8" t="n">
        <v>3.63</v>
      </c>
      <c r="M20" s="14">
        <f>J20/K20-1</f>
        <v/>
      </c>
      <c r="N20" s="7" t="inlineStr">
        <is>
          <t>ACIMA +5.8%</t>
        </is>
      </c>
      <c r="O20" s="7" t="inlineStr"/>
    </row>
    <row r="21">
      <c r="A21" s="7" t="n">
        <v>632861</v>
      </c>
      <c r="B21" s="7" t="inlineStr">
        <is>
          <t>642</t>
        </is>
      </c>
      <c r="C21" s="12" t="inlineStr">
        <is>
          <t>7899828214026</t>
        </is>
      </c>
      <c r="D21" s="7" t="inlineStr">
        <is>
          <t>BANDAGEM ELAST FITA KINES 5MX5CM PRETO</t>
        </is>
      </c>
      <c r="E21" s="13" t="n">
        <v>1</v>
      </c>
      <c r="F21" s="13" t="n">
        <v>1</v>
      </c>
      <c r="G21" s="13" t="n">
        <v>1</v>
      </c>
      <c r="H21" s="8" t="n">
        <v>27.34</v>
      </c>
      <c r="I21" s="8">
        <f>G21*H21</f>
        <v/>
      </c>
      <c r="J21" s="8">
        <f>H21/E21</f>
        <v/>
      </c>
      <c r="K21" s="8" t="n">
        <v>23.99</v>
      </c>
      <c r="L21" s="8" t="n">
        <v>23.99</v>
      </c>
      <c r="M21" s="14">
        <f>J21/K21-1</f>
        <v/>
      </c>
      <c r="N21" s="7" t="inlineStr">
        <is>
          <t>ACIMA +14.0%</t>
        </is>
      </c>
      <c r="O21" s="7" t="inlineStr"/>
    </row>
    <row r="22">
      <c r="A22" s="7" t="n">
        <v>632871</v>
      </c>
      <c r="B22" s="7" t="inlineStr">
        <is>
          <t>643</t>
        </is>
      </c>
      <c r="C22" s="12" t="inlineStr">
        <is>
          <t>7899828214033</t>
        </is>
      </c>
      <c r="D22" s="7" t="inlineStr">
        <is>
          <t>BANDAGEM ELAST FITA KINES 5MX5CM ROSA</t>
        </is>
      </c>
      <c r="E22" s="13" t="n">
        <v>1</v>
      </c>
      <c r="F22" s="13" t="n">
        <v>1</v>
      </c>
      <c r="G22" s="13" t="n">
        <v>1</v>
      </c>
      <c r="H22" s="8" t="n">
        <v>27.4</v>
      </c>
      <c r="I22" s="8">
        <f>G22*H22</f>
        <v/>
      </c>
      <c r="J22" s="8">
        <f>H22/E22</f>
        <v/>
      </c>
      <c r="K22" s="8" t="n">
        <v>21.99</v>
      </c>
      <c r="L22" s="8" t="n">
        <v>21.99</v>
      </c>
      <c r="M22" s="14">
        <f>J22/K22-1</f>
        <v/>
      </c>
      <c r="N22" s="7" t="inlineStr">
        <is>
          <t>ACIMA +24.6%</t>
        </is>
      </c>
      <c r="O22" s="7" t="inlineStr"/>
    </row>
    <row r="23">
      <c r="A23" s="7" t="n">
        <v>655521</v>
      </c>
      <c r="B23" s="7" t="inlineStr">
        <is>
          <t>7002</t>
        </is>
      </c>
      <c r="C23" s="12" t="inlineStr">
        <is>
          <t>7899811100596</t>
        </is>
      </c>
      <c r="D23" s="7" t="inlineStr">
        <is>
          <t>BASILICAO POMADA BISNAGA 27G BASILIFLAM</t>
        </is>
      </c>
      <c r="E23" s="13" t="n">
        <v>1</v>
      </c>
      <c r="F23" s="13" t="n">
        <v>1</v>
      </c>
      <c r="G23" s="13" t="n">
        <v>1</v>
      </c>
      <c r="H23" s="8" t="n">
        <v>15.63</v>
      </c>
      <c r="I23" s="8">
        <f>G23*H23</f>
        <v/>
      </c>
      <c r="J23" s="8">
        <f>H23/E23</f>
        <v/>
      </c>
      <c r="K23" s="8" t="n">
        <v>14.62</v>
      </c>
      <c r="L23" s="8" t="n">
        <v>14.62</v>
      </c>
      <c r="M23" s="14">
        <f>J23/K23-1</f>
        <v/>
      </c>
      <c r="N23" s="7" t="inlineStr">
        <is>
          <t>ACIMA +6.9%</t>
        </is>
      </c>
      <c r="O23" s="7" t="inlineStr"/>
    </row>
    <row r="24">
      <c r="A24" s="7" t="n">
        <v>597661</v>
      </c>
      <c r="B24" s="7" t="inlineStr">
        <is>
          <t>674</t>
        </is>
      </c>
      <c r="C24" s="12" t="inlineStr">
        <is>
          <t>7898944775053</t>
        </is>
      </c>
      <c r="D24" s="7" t="inlineStr">
        <is>
          <t>BCAA 2400 MAX TITANIUM 60 CAPS</t>
        </is>
      </c>
      <c r="E24" s="13" t="n">
        <v>1</v>
      </c>
      <c r="F24" s="13" t="n">
        <v>1</v>
      </c>
      <c r="G24" s="13" t="n">
        <v>1</v>
      </c>
      <c r="H24" s="8" t="n">
        <v>37.75</v>
      </c>
      <c r="I24" s="8">
        <f>G24*H24</f>
        <v/>
      </c>
      <c r="J24" s="8">
        <f>H24/E24</f>
        <v/>
      </c>
      <c r="K24" s="8" t="n">
        <v>26.95</v>
      </c>
      <c r="L24" s="8" t="n">
        <v>26.68</v>
      </c>
      <c r="M24" s="14">
        <f>J24/K24-1</f>
        <v/>
      </c>
      <c r="N24" s="7" t="inlineStr">
        <is>
          <t>ACIMA +40.1%</t>
        </is>
      </c>
      <c r="O24" s="7" t="inlineStr"/>
    </row>
    <row r="25">
      <c r="A25" s="7" t="n">
        <v>446981</v>
      </c>
      <c r="B25" s="7" t="inlineStr">
        <is>
          <t>6268</t>
        </is>
      </c>
      <c r="C25" s="12" t="inlineStr">
        <is>
          <t>7897917000260</t>
        </is>
      </c>
      <c r="D25" s="7" t="inlineStr">
        <is>
          <t>BELFACTRIM 400+80MG CX 20 COMP</t>
        </is>
      </c>
      <c r="E25" s="13" t="n">
        <v>1</v>
      </c>
      <c r="F25" s="13" t="n">
        <v>2</v>
      </c>
      <c r="G25" s="13" t="n">
        <v>2</v>
      </c>
      <c r="H25" s="8" t="n">
        <v>5.11</v>
      </c>
      <c r="I25" s="8">
        <f>G25*H25</f>
        <v/>
      </c>
      <c r="J25" s="8">
        <f>H25/E25</f>
        <v/>
      </c>
      <c r="K25" s="8" t="n">
        <v>5.42</v>
      </c>
      <c r="L25" s="8" t="n">
        <v>5.42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337401</v>
      </c>
      <c r="B26" s="7" t="inlineStr">
        <is>
          <t>4297</t>
        </is>
      </c>
      <c r="C26" s="12" t="inlineStr">
        <is>
          <t>7897917000031</t>
        </is>
      </c>
      <c r="D26" s="7" t="inlineStr">
        <is>
          <t>BELMIRAX 100MG CX 6 COMP</t>
        </is>
      </c>
      <c r="E26" s="13" t="n">
        <v>1</v>
      </c>
      <c r="F26" s="13" t="n">
        <v>12</v>
      </c>
      <c r="G26" s="13" t="n">
        <v>12</v>
      </c>
      <c r="H26" s="8" t="n">
        <v>2.54</v>
      </c>
      <c r="I26" s="8">
        <f>G26*H26</f>
        <v/>
      </c>
      <c r="J26" s="8">
        <f>H26/E26</f>
        <v/>
      </c>
      <c r="K26" s="8" t="n">
        <v>2.41</v>
      </c>
      <c r="L26" s="8" t="n">
        <v>1.55</v>
      </c>
      <c r="M26" s="14">
        <f>J26/K26-1</f>
        <v/>
      </c>
      <c r="N26" s="7" t="inlineStr">
        <is>
          <t>ACIMA +5.4%</t>
        </is>
      </c>
      <c r="O26" s="7" t="inlineStr"/>
    </row>
    <row r="27">
      <c r="A27" s="7" t="n">
        <v>457961</v>
      </c>
      <c r="B27" s="7" t="inlineStr">
        <is>
          <t>7448</t>
        </is>
      </c>
      <c r="C27" s="12" t="inlineStr">
        <is>
          <t>7896004810140</t>
        </is>
      </c>
      <c r="D27" s="7" t="inlineStr">
        <is>
          <t>BISMU-JET SOL FR GTS 20ML</t>
        </is>
      </c>
      <c r="E27" s="13" t="n">
        <v>1</v>
      </c>
      <c r="F27" s="13" t="n">
        <v>7</v>
      </c>
      <c r="G27" s="13" t="n">
        <v>7</v>
      </c>
      <c r="H27" s="8" t="n">
        <v>16.94</v>
      </c>
      <c r="I27" s="8">
        <f>G27*H27</f>
        <v/>
      </c>
      <c r="J27" s="8">
        <f>H27/E27</f>
        <v/>
      </c>
      <c r="K27" s="8" t="n">
        <v>16.56</v>
      </c>
      <c r="L27" s="8" t="n">
        <v>14.3</v>
      </c>
      <c r="M27" s="14">
        <f>J27/K27-1</f>
        <v/>
      </c>
      <c r="N27" s="7" t="inlineStr">
        <is>
          <t>ACIMA +2.3%</t>
        </is>
      </c>
      <c r="O27" s="7" t="inlineStr"/>
    </row>
    <row r="28">
      <c r="A28" s="7" t="n">
        <v>647231</v>
      </c>
      <c r="B28" s="7" t="inlineStr">
        <is>
          <t>974</t>
        </is>
      </c>
      <c r="C28" s="12" t="inlineStr">
        <is>
          <t>7896023706554</t>
        </is>
      </c>
      <c r="D28" s="7" t="inlineStr">
        <is>
          <t>CALCIO 600 + VIT D3 + K2 C/60 (CALKADE)</t>
        </is>
      </c>
      <c r="E28" s="13" t="n">
        <v>1</v>
      </c>
      <c r="F28" s="13" t="n">
        <v>1</v>
      </c>
      <c r="G28" s="13" t="n">
        <v>1</v>
      </c>
      <c r="H28" s="8" t="n">
        <v>37.15</v>
      </c>
      <c r="I28" s="8">
        <f>G28*H28</f>
        <v/>
      </c>
      <c r="J28" s="8">
        <f>H28/E28</f>
        <v/>
      </c>
      <c r="K28" s="8" t="n">
        <v>14.99</v>
      </c>
      <c r="L28" s="8" t="n">
        <v>14.99</v>
      </c>
      <c r="M28" s="14">
        <f>J28/K28-1</f>
        <v/>
      </c>
      <c r="N28" s="7" t="inlineStr">
        <is>
          <t>ACIMA +147.8%</t>
        </is>
      </c>
      <c r="O28" s="7" t="inlineStr">
        <is>
          <t>conferir emb.</t>
        </is>
      </c>
    </row>
    <row r="29">
      <c r="A29" s="7" t="n">
        <v>84261</v>
      </c>
      <c r="B29" s="7" t="inlineStr">
        <is>
          <t>1072</t>
        </is>
      </c>
      <c r="C29" s="12" t="inlineStr">
        <is>
          <t>7895296261012</t>
        </is>
      </c>
      <c r="D29" s="7" t="inlineStr">
        <is>
          <t>CARDBET 12,5MG CX 30 COMP</t>
        </is>
      </c>
      <c r="E29" s="13" t="n">
        <v>1</v>
      </c>
      <c r="F29" s="13" t="n">
        <v>2</v>
      </c>
      <c r="G29" s="13" t="n">
        <v>2</v>
      </c>
      <c r="H29" s="8" t="n">
        <v>5.3</v>
      </c>
      <c r="I29" s="8">
        <f>G29*H29</f>
        <v/>
      </c>
      <c r="J29" s="8">
        <f>H29/E29</f>
        <v/>
      </c>
      <c r="K29" s="8" t="n">
        <v>4.6</v>
      </c>
      <c r="L29" s="8" t="n">
        <v>4.6</v>
      </c>
      <c r="M29" s="14">
        <f>J29/K29-1</f>
        <v/>
      </c>
      <c r="N29" s="7" t="inlineStr">
        <is>
          <t>ACIMA +15.2%</t>
        </is>
      </c>
      <c r="O29" s="7" t="inlineStr"/>
    </row>
    <row r="30">
      <c r="A30" s="7" t="n">
        <v>664091</v>
      </c>
      <c r="B30" s="7" t="inlineStr">
        <is>
          <t>1136</t>
        </is>
      </c>
      <c r="C30" s="12" t="inlineStr">
        <is>
          <t>7894913002083</t>
        </is>
      </c>
      <c r="D30" s="7" t="inlineStr">
        <is>
          <t>CENTROLIV HOMEM + 50 C/30 CPR</t>
        </is>
      </c>
      <c r="E30" s="13" t="n">
        <v>1</v>
      </c>
      <c r="F30" s="13" t="n">
        <v>1</v>
      </c>
      <c r="G30" s="13" t="n">
        <v>1</v>
      </c>
      <c r="H30" s="8" t="n">
        <v>36.84</v>
      </c>
      <c r="I30" s="8">
        <f>G30*H30</f>
        <v/>
      </c>
      <c r="J30" s="8">
        <f>H30/E30</f>
        <v/>
      </c>
      <c r="K30" s="8" t="n">
        <v>41.76</v>
      </c>
      <c r="L30" s="8" t="n">
        <v>41.76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664141</v>
      </c>
      <c r="B31" s="7" t="inlineStr">
        <is>
          <t>1137</t>
        </is>
      </c>
      <c r="C31" s="12" t="inlineStr">
        <is>
          <t>7894913002069</t>
        </is>
      </c>
      <c r="D31" s="7" t="inlineStr">
        <is>
          <t>CENTROLIV HOMEM C/30 CPR</t>
        </is>
      </c>
      <c r="E31" s="13" t="n">
        <v>1</v>
      </c>
      <c r="F31" s="13" t="n">
        <v>1</v>
      </c>
      <c r="G31" s="13" t="n">
        <v>1</v>
      </c>
      <c r="H31" s="8" t="n">
        <v>27.11</v>
      </c>
      <c r="I31" s="8">
        <f>G31*H31</f>
        <v/>
      </c>
      <c r="J31" s="8">
        <f>H31/E31</f>
        <v/>
      </c>
      <c r="K31" s="8" t="n">
        <v>24.35</v>
      </c>
      <c r="L31" s="8" t="n">
        <v>24.35</v>
      </c>
      <c r="M31" s="14">
        <f>J31/K31-1</f>
        <v/>
      </c>
      <c r="N31" s="7" t="inlineStr">
        <is>
          <t>ACIMA +11.3%</t>
        </is>
      </c>
      <c r="O31" s="7" t="inlineStr"/>
    </row>
    <row r="32">
      <c r="A32" s="7" t="n">
        <v>31303</v>
      </c>
      <c r="B32" s="7" t="inlineStr">
        <is>
          <t>1579</t>
        </is>
      </c>
      <c r="C32" s="12" t="inlineStr">
        <is>
          <t>7896658049132</t>
        </is>
      </c>
      <c r="D32" s="7" t="inlineStr">
        <is>
          <t>CIPROFIBRATO 100MG CX 60 COMP</t>
        </is>
      </c>
      <c r="E32" s="13" t="n">
        <v>1</v>
      </c>
      <c r="F32" s="13" t="n">
        <v>2</v>
      </c>
      <c r="G32" s="13" t="n">
        <v>2</v>
      </c>
      <c r="H32" s="8" t="n">
        <v>26.34</v>
      </c>
      <c r="I32" s="8">
        <f>G32*H32</f>
        <v/>
      </c>
      <c r="J32" s="8">
        <f>H32/E32</f>
        <v/>
      </c>
      <c r="K32" s="8" t="n">
        <v>28.9</v>
      </c>
      <c r="L32" s="8" t="n">
        <v>28.9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4093</v>
      </c>
      <c r="B33" s="7" t="inlineStr">
        <is>
          <t>1547</t>
        </is>
      </c>
      <c r="C33" s="12" t="inlineStr">
        <is>
          <t>7899095204188</t>
        </is>
      </c>
      <c r="D33" s="7" t="inlineStr">
        <is>
          <t>CLORIDRATO DE CICLOBENZAPRINA 5MG C/15 CPR</t>
        </is>
      </c>
      <c r="E33" s="13" t="n">
        <v>1</v>
      </c>
      <c r="F33" s="13" t="n">
        <v>2</v>
      </c>
      <c r="G33" s="13" t="n">
        <v>2</v>
      </c>
      <c r="H33" s="8" t="n">
        <v>4.14</v>
      </c>
      <c r="I33" s="8">
        <f>G33*H33</f>
        <v/>
      </c>
      <c r="J33" s="8">
        <f>H33/E33</f>
        <v/>
      </c>
      <c r="K33" s="8" t="n">
        <v>3.36</v>
      </c>
      <c r="L33" s="8" t="n">
        <v>3.36</v>
      </c>
      <c r="M33" s="14">
        <f>J33/K33-1</f>
        <v/>
      </c>
      <c r="N33" s="7" t="inlineStr">
        <is>
          <t>ACIMA +23.2%</t>
        </is>
      </c>
      <c r="O33" s="7" t="inlineStr"/>
    </row>
    <row r="34">
      <c r="A34" s="7" t="n">
        <v>136261</v>
      </c>
      <c r="B34" s="7" t="inlineStr">
        <is>
          <t>1588</t>
        </is>
      </c>
      <c r="C34" s="12" t="inlineStr">
        <is>
          <t>7898060131399</t>
        </is>
      </c>
      <c r="D34" s="7" t="inlineStr">
        <is>
          <t>CLORIDRATO DE CIPROFLOXACINO 500MG CX 14 COMP REV</t>
        </is>
      </c>
      <c r="E34" s="13" t="n">
        <v>1</v>
      </c>
      <c r="F34" s="13" t="n">
        <v>1</v>
      </c>
      <c r="G34" s="13" t="n">
        <v>1</v>
      </c>
      <c r="H34" s="8" t="n">
        <v>6.31</v>
      </c>
      <c r="I34" s="8">
        <f>G34*H34</f>
        <v/>
      </c>
      <c r="J34" s="8">
        <f>H34/E34</f>
        <v/>
      </c>
      <c r="K34" s="8" t="n">
        <v>5.99</v>
      </c>
      <c r="L34" s="8" t="n">
        <v>5.99</v>
      </c>
      <c r="M34" s="14">
        <f>J34/K34-1</f>
        <v/>
      </c>
      <c r="N34" s="7" t="inlineStr">
        <is>
          <t>ACIMA +5.3%</t>
        </is>
      </c>
      <c r="O34" s="7" t="inlineStr"/>
    </row>
    <row r="35">
      <c r="A35" s="7" t="n">
        <v>171281</v>
      </c>
      <c r="B35" s="7" t="inlineStr">
        <is>
          <t>5566</t>
        </is>
      </c>
      <c r="C35" s="12" t="inlineStr">
        <is>
          <t>7898216362431</t>
        </is>
      </c>
      <c r="D35" s="7" t="inlineStr">
        <is>
          <t>CLORIDRATO DE PROPANOLOL 40MG CX 30 COMP</t>
        </is>
      </c>
      <c r="E35" s="13" t="n">
        <v>1</v>
      </c>
      <c r="F35" s="13" t="n">
        <v>4</v>
      </c>
      <c r="G35" s="13" t="n">
        <v>4</v>
      </c>
      <c r="H35" s="8" t="n">
        <v>2.23</v>
      </c>
      <c r="I35" s="8">
        <f>G35*H35</f>
        <v/>
      </c>
      <c r="J35" s="8">
        <f>H35/E35</f>
        <v/>
      </c>
      <c r="K35" s="8" t="n">
        <v>2.12</v>
      </c>
      <c r="L35" s="8" t="n">
        <v>2.12</v>
      </c>
      <c r="M35" s="14">
        <f>J35/K35-1</f>
        <v/>
      </c>
      <c r="N35" s="7" t="inlineStr">
        <is>
          <t>ACIMA +5.2%</t>
        </is>
      </c>
      <c r="O35" s="7" t="inlineStr"/>
    </row>
    <row r="36">
      <c r="A36" s="7" t="n">
        <v>651051</v>
      </c>
      <c r="B36" s="7" t="inlineStr">
        <is>
          <t>4444</t>
        </is>
      </c>
      <c r="C36" s="12" t="inlineStr">
        <is>
          <t>7897917004459</t>
        </is>
      </c>
      <c r="D36" s="7" t="inlineStr">
        <is>
          <t>COLPADAK 20MG 30ML LOCAO</t>
        </is>
      </c>
      <c r="E36" s="13" t="n">
        <v>1</v>
      </c>
      <c r="F36" s="13" t="n">
        <v>2</v>
      </c>
      <c r="G36" s="13" t="n">
        <v>2</v>
      </c>
      <c r="H36" s="8" t="n">
        <v>6.41</v>
      </c>
      <c r="I36" s="8">
        <f>G36*H36</f>
        <v/>
      </c>
      <c r="J36" s="8">
        <f>H36/E36</f>
        <v/>
      </c>
      <c r="K36" s="8" t="n">
        <v>4.71</v>
      </c>
      <c r="L36" s="8" t="n">
        <v>4.71</v>
      </c>
      <c r="M36" s="14">
        <f>J36/K36-1</f>
        <v/>
      </c>
      <c r="N36" s="7" t="inlineStr">
        <is>
          <t>ACIMA +36.1%</t>
        </is>
      </c>
      <c r="O36" s="7" t="inlineStr"/>
    </row>
    <row r="37">
      <c r="A37" s="7" t="n">
        <v>602191</v>
      </c>
      <c r="B37" s="7" t="inlineStr">
        <is>
          <t>1834</t>
        </is>
      </c>
      <c r="C37" s="12" t="inlineStr">
        <is>
          <t>7898277713258</t>
        </is>
      </c>
      <c r="D37" s="7" t="inlineStr">
        <is>
          <t>COMPLEXO B C/50 COMP REV (ARTE NATIVA)</t>
        </is>
      </c>
      <c r="E37" s="13" t="n">
        <v>1</v>
      </c>
      <c r="F37" s="13" t="n">
        <v>5</v>
      </c>
      <c r="G37" s="13" t="n">
        <v>5</v>
      </c>
      <c r="H37" s="8" t="n">
        <v>5.68</v>
      </c>
      <c r="I37" s="8">
        <f>G37*H37</f>
        <v/>
      </c>
      <c r="J37" s="8">
        <f>H37/E37</f>
        <v/>
      </c>
      <c r="K37" s="8" t="n">
        <v>5.75</v>
      </c>
      <c r="L37" s="8" t="n">
        <v>5.75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648311</v>
      </c>
      <c r="B38" s="7" t="inlineStr">
        <is>
          <t>1854</t>
        </is>
      </c>
      <c r="C38" s="12" t="inlineStr">
        <is>
          <t>7898108640104</t>
        </is>
      </c>
      <c r="D38" s="7" t="inlineStr">
        <is>
          <t>COMPRESSA GAZES 11FIOS ESTER 10UN</t>
        </is>
      </c>
      <c r="E38" s="13" t="n">
        <v>1</v>
      </c>
      <c r="F38" s="13" t="n">
        <v>8</v>
      </c>
      <c r="G38" s="13" t="n">
        <v>8</v>
      </c>
      <c r="H38" s="8" t="n">
        <v>0.93</v>
      </c>
      <c r="I38" s="8">
        <f>G38*H38</f>
        <v/>
      </c>
      <c r="J38" s="8">
        <f>H38/E38</f>
        <v/>
      </c>
      <c r="K38" s="8" t="n">
        <v>1.1617</v>
      </c>
      <c r="L38" s="8" t="n">
        <v>1.1617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653671</v>
      </c>
      <c r="B39" s="7" t="inlineStr">
        <is>
          <t>2081</t>
        </is>
      </c>
      <c r="C39" s="12" t="inlineStr">
        <is>
          <t>7894913004438</t>
        </is>
      </c>
      <c r="D39" s="7" t="inlineStr">
        <is>
          <t>CORTCLEAN SPRAY 45ML (MERTHIOCORT)</t>
        </is>
      </c>
      <c r="E39" s="13" t="n">
        <v>1</v>
      </c>
      <c r="F39" s="13" t="n">
        <v>2</v>
      </c>
      <c r="G39" s="13" t="n">
        <v>2</v>
      </c>
      <c r="H39" s="8" t="n">
        <v>11.66</v>
      </c>
      <c r="I39" s="8">
        <f>G39*H39</f>
        <v/>
      </c>
      <c r="J39" s="8">
        <f>H39/E39</f>
        <v/>
      </c>
      <c r="K39" s="8" t="n">
        <v>13.41</v>
      </c>
      <c r="L39" s="8" t="n">
        <v>13.41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597721</v>
      </c>
      <c r="B40" s="7" t="inlineStr">
        <is>
          <t>2101</t>
        </is>
      </c>
      <c r="C40" s="12" t="inlineStr">
        <is>
          <t>7898920041455</t>
        </is>
      </c>
      <c r="D40" s="7" t="inlineStr">
        <is>
          <t>CREATINE MAX TITANIUM 150G</t>
        </is>
      </c>
      <c r="E40" s="13" t="n">
        <v>1</v>
      </c>
      <c r="F40" s="13" t="n">
        <v>24</v>
      </c>
      <c r="G40" s="13" t="n">
        <v>24</v>
      </c>
      <c r="H40" s="8" t="n">
        <v>28.79</v>
      </c>
      <c r="I40" s="8">
        <f>G40*H40</f>
        <v/>
      </c>
      <c r="J40" s="8">
        <f>H40/E40</f>
        <v/>
      </c>
      <c r="K40" s="8" t="n">
        <v>27.35</v>
      </c>
      <c r="L40" s="8" t="n">
        <v>27.35</v>
      </c>
      <c r="M40" s="14">
        <f>J40/K40-1</f>
        <v/>
      </c>
      <c r="N40" s="7" t="inlineStr">
        <is>
          <t>ACIMA +5.3%</t>
        </is>
      </c>
      <c r="O40" s="7" t="inlineStr"/>
    </row>
    <row r="41">
      <c r="A41" s="7" t="n">
        <v>631611</v>
      </c>
      <c r="B41" s="7" t="inlineStr">
        <is>
          <t>2165</t>
        </is>
      </c>
      <c r="C41" s="12" t="inlineStr">
        <is>
          <t>7896544925496</t>
        </is>
      </c>
      <c r="D41" s="7" t="inlineStr">
        <is>
          <t>CURATIVO FLEXIVEL SHOW DA LUNA  C/10UN.</t>
        </is>
      </c>
      <c r="E41" s="13" t="n">
        <v>1</v>
      </c>
      <c r="F41" s="13" t="n">
        <v>7</v>
      </c>
      <c r="G41" s="13" t="n">
        <v>7</v>
      </c>
      <c r="H41" s="8" t="n">
        <v>3.69</v>
      </c>
      <c r="I41" s="8">
        <f>G41*H41</f>
        <v/>
      </c>
      <c r="J41" s="8">
        <f>H41/E41</f>
        <v/>
      </c>
      <c r="K41" s="8" t="n">
        <v>3.06</v>
      </c>
      <c r="L41" s="8" t="n">
        <v>3.06</v>
      </c>
      <c r="M41" s="14">
        <f>J41/K41-1</f>
        <v/>
      </c>
      <c r="N41" s="7" t="inlineStr">
        <is>
          <t>ACIMA +20.6%</t>
        </is>
      </c>
      <c r="O41" s="7" t="inlineStr"/>
    </row>
    <row r="42">
      <c r="A42" s="7" t="n">
        <v>666411</v>
      </c>
      <c r="B42" s="7" t="inlineStr">
        <is>
          <t>8965</t>
        </is>
      </c>
      <c r="C42" s="12" t="inlineStr">
        <is>
          <t>7896862994372</t>
        </is>
      </c>
      <c r="D42" s="7" t="inlineStr">
        <is>
          <t>DAPAGLIFLOZINA 10MG COM REV CX 30 COMP</t>
        </is>
      </c>
      <c r="E42" s="13" t="n">
        <v>1</v>
      </c>
      <c r="F42" s="13" t="n">
        <v>2</v>
      </c>
      <c r="G42" s="13" t="n">
        <v>2</v>
      </c>
      <c r="H42" s="8" t="n">
        <v>42.26</v>
      </c>
      <c r="I42" s="8">
        <f>G42*H42</f>
        <v/>
      </c>
      <c r="J42" s="8">
        <f>H42/E42</f>
        <v/>
      </c>
      <c r="K42" s="8" t="n">
        <v>48.25</v>
      </c>
      <c r="L42" s="8" t="n">
        <v>48.25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201981</v>
      </c>
      <c r="B43" s="7" t="inlineStr">
        <is>
          <t>2188</t>
        </is>
      </c>
      <c r="C43" s="12" t="inlineStr">
        <is>
          <t>7897917000161</t>
        </is>
      </c>
      <c r="D43" s="7" t="inlineStr">
        <is>
          <t>DELTAPIL 0,20MG LOCAO FR 100ML</t>
        </is>
      </c>
      <c r="E43" s="13" t="n">
        <v>1</v>
      </c>
      <c r="F43" s="13" t="n">
        <v>3</v>
      </c>
      <c r="G43" s="13" t="n">
        <v>3</v>
      </c>
      <c r="H43" s="8" t="n">
        <v>8.119999999999999</v>
      </c>
      <c r="I43" s="8">
        <f>G43*H43</f>
        <v/>
      </c>
      <c r="J43" s="8">
        <f>H43/E43</f>
        <v/>
      </c>
      <c r="K43" s="8" t="n">
        <v>8.220000000000001</v>
      </c>
      <c r="L43" s="8" t="n">
        <v>8.220000000000001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649041</v>
      </c>
      <c r="B44" s="7" t="inlineStr">
        <is>
          <t>5289</t>
        </is>
      </c>
      <c r="C44" s="12" t="inlineStr">
        <is>
          <t>7896902208612</t>
        </is>
      </c>
      <c r="D44" s="7" t="inlineStr">
        <is>
          <t>DESCOL FARMAX 8G CAMOMILA P/CABELOS</t>
        </is>
      </c>
      <c r="E44" s="13" t="n">
        <v>1</v>
      </c>
      <c r="F44" s="13" t="n">
        <v>3</v>
      </c>
      <c r="G44" s="13" t="n">
        <v>3</v>
      </c>
      <c r="H44" s="8" t="n">
        <v>2.37</v>
      </c>
      <c r="I44" s="8">
        <f>G44*H44</f>
        <v/>
      </c>
      <c r="J44" s="8">
        <f>H44/E44</f>
        <v/>
      </c>
      <c r="K44" s="8" t="n">
        <v>2.31</v>
      </c>
      <c r="L44" s="8" t="n">
        <v>2.31</v>
      </c>
      <c r="M44" s="14">
        <f>J44/K44-1</f>
        <v/>
      </c>
      <c r="N44" s="7" t="inlineStr">
        <is>
          <t>ACIMA +2.6%</t>
        </is>
      </c>
      <c r="O44" s="7" t="inlineStr"/>
    </row>
    <row r="45">
      <c r="A45" s="7" t="n">
        <v>638511</v>
      </c>
      <c r="B45" s="7" t="inlineStr">
        <is>
          <t>5292</t>
        </is>
      </c>
      <c r="C45" s="12" t="inlineStr">
        <is>
          <t>7896902208599</t>
        </is>
      </c>
      <c r="D45" s="7" t="inlineStr">
        <is>
          <t>DESCOL FARMAX 8G QUERATIN P/CABELOS</t>
        </is>
      </c>
      <c r="E45" s="13" t="n">
        <v>1</v>
      </c>
      <c r="F45" s="13" t="n">
        <v>3</v>
      </c>
      <c r="G45" s="13" t="n">
        <v>3</v>
      </c>
      <c r="H45" s="8" t="n">
        <v>2.37</v>
      </c>
      <c r="I45" s="8">
        <f>G45*H45</f>
        <v/>
      </c>
      <c r="J45" s="8">
        <f>H45/E45</f>
        <v/>
      </c>
      <c r="K45" s="8" t="n">
        <v>2.25</v>
      </c>
      <c r="L45" s="8" t="n">
        <v>2.25</v>
      </c>
      <c r="M45" s="14">
        <f>J45/K45-1</f>
        <v/>
      </c>
      <c r="N45" s="7" t="inlineStr">
        <is>
          <t>ACIMA +5.3%</t>
        </is>
      </c>
      <c r="O45" s="7" t="inlineStr"/>
    </row>
    <row r="46">
      <c r="A46" s="7" t="n">
        <v>329901</v>
      </c>
      <c r="B46" s="7" t="inlineStr">
        <is>
          <t>2377</t>
        </is>
      </c>
      <c r="C46" s="12" t="inlineStr">
        <is>
          <t>7897917002677</t>
        </is>
      </c>
      <c r="D46" s="7" t="inlineStr">
        <is>
          <t>DRENOGRIP 500+30+2MG CX 120 COMP</t>
        </is>
      </c>
      <c r="E46" s="13" t="n">
        <v>1</v>
      </c>
      <c r="F46" s="13" t="n">
        <v>5</v>
      </c>
      <c r="G46" s="13" t="n">
        <v>5</v>
      </c>
      <c r="H46" s="8" t="n">
        <v>20.03</v>
      </c>
      <c r="I46" s="8">
        <f>G46*H46</f>
        <v/>
      </c>
      <c r="J46" s="8">
        <f>H46/E46</f>
        <v/>
      </c>
      <c r="K46" s="8" t="n">
        <v>0.874</v>
      </c>
      <c r="L46" s="8" t="n">
        <v>0.874</v>
      </c>
      <c r="M46" s="14">
        <f>J46/K46-1</f>
        <v/>
      </c>
      <c r="N46" s="7" t="inlineStr">
        <is>
          <t>ACIMA +2191.8%</t>
        </is>
      </c>
      <c r="O46" s="7" t="inlineStr">
        <is>
          <t>conferir emb.</t>
        </is>
      </c>
    </row>
    <row r="47">
      <c r="A47" s="7" t="n">
        <v>38203</v>
      </c>
      <c r="B47" s="7" t="inlineStr">
        <is>
          <t>2856</t>
        </is>
      </c>
      <c r="C47" s="12" t="inlineStr">
        <is>
          <t>7898601061406</t>
        </is>
      </c>
      <c r="D47" s="7" t="inlineStr">
        <is>
          <t>ESTABILIZADOR DE TORNOZELO PT G KSN043</t>
        </is>
      </c>
      <c r="E47" s="13" t="n">
        <v>1</v>
      </c>
      <c r="F47" s="13" t="n">
        <v>1</v>
      </c>
      <c r="G47" s="13" t="n">
        <v>1</v>
      </c>
      <c r="H47" s="8" t="n">
        <v>57.04</v>
      </c>
      <c r="I47" s="8">
        <f>G47*H47</f>
        <v/>
      </c>
      <c r="J47" s="8">
        <f>H47/E47</f>
        <v/>
      </c>
      <c r="K47" s="8" t="n">
        <v>44</v>
      </c>
      <c r="L47" s="8" t="n">
        <v>44</v>
      </c>
      <c r="M47" s="14">
        <f>J47/K47-1</f>
        <v/>
      </c>
      <c r="N47" s="7" t="inlineStr">
        <is>
          <t>ACIMA +29.6%</t>
        </is>
      </c>
      <c r="O47" s="7" t="inlineStr"/>
    </row>
    <row r="48">
      <c r="A48" s="7" t="n">
        <v>642951</v>
      </c>
      <c r="B48" s="7" t="inlineStr">
        <is>
          <t>2883</t>
        </is>
      </c>
      <c r="C48" s="12" t="inlineStr">
        <is>
          <t>7894913003745</t>
        </is>
      </c>
      <c r="D48" s="7" t="inlineStr">
        <is>
          <t>EXOMUC ADULTO MEL/LIMAO 120ML</t>
        </is>
      </c>
      <c r="E48" s="13" t="n">
        <v>1</v>
      </c>
      <c r="F48" s="13" t="n">
        <v>1</v>
      </c>
      <c r="G48" s="13" t="n">
        <v>1</v>
      </c>
      <c r="H48" s="8" t="n">
        <v>13.82</v>
      </c>
      <c r="I48" s="8">
        <f>G48*H48</f>
        <v/>
      </c>
      <c r="J48" s="8">
        <f>H48/E48</f>
        <v/>
      </c>
      <c r="K48" s="8" t="n">
        <v>16.33</v>
      </c>
      <c r="L48" s="8" t="n">
        <v>16.33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303461</v>
      </c>
      <c r="B49" s="7" t="inlineStr">
        <is>
          <t>7471</t>
        </is>
      </c>
      <c r="C49" s="12" t="inlineStr">
        <is>
          <t>7896004812168</t>
        </is>
      </c>
      <c r="D49" s="7" t="inlineStr">
        <is>
          <t>EXPEC XPE FR 120ML</t>
        </is>
      </c>
      <c r="E49" s="13" t="n">
        <v>1</v>
      </c>
      <c r="F49" s="13" t="n">
        <v>3</v>
      </c>
      <c r="G49" s="13" t="n">
        <v>3</v>
      </c>
      <c r="H49" s="8" t="n">
        <v>24.82</v>
      </c>
      <c r="I49" s="8">
        <f>G49*H49</f>
        <v/>
      </c>
      <c r="J49" s="8">
        <f>H49/E49</f>
        <v/>
      </c>
      <c r="K49" s="8" t="n">
        <v>16.86</v>
      </c>
      <c r="L49" s="8" t="n">
        <v>14</v>
      </c>
      <c r="M49" s="14">
        <f>J49/K49-1</f>
        <v/>
      </c>
      <c r="N49" s="7" t="inlineStr">
        <is>
          <t>ACIMA +47.2%</t>
        </is>
      </c>
      <c r="O49" s="7" t="inlineStr"/>
    </row>
    <row r="50">
      <c r="A50" s="7" t="n">
        <v>243061</v>
      </c>
      <c r="B50" s="7" t="inlineStr">
        <is>
          <t>2898</t>
        </is>
      </c>
      <c r="C50" s="12" t="inlineStr">
        <is>
          <t>7898569762674</t>
        </is>
      </c>
      <c r="D50" s="7" t="inlineStr">
        <is>
          <t>EZETIMIBA 10MG CX 30 COMP REV</t>
        </is>
      </c>
      <c r="E50" s="13" t="n">
        <v>1</v>
      </c>
      <c r="F50" s="13" t="n">
        <v>14</v>
      </c>
      <c r="G50" s="13" t="n">
        <v>14</v>
      </c>
      <c r="H50" s="8" t="n">
        <v>16.4</v>
      </c>
      <c r="I50" s="8">
        <f>G50*H50</f>
        <v/>
      </c>
      <c r="J50" s="8">
        <f>H50/E50</f>
        <v/>
      </c>
      <c r="K50" s="8" t="n">
        <v>15.58</v>
      </c>
      <c r="L50" s="8" t="n">
        <v>13.1</v>
      </c>
      <c r="M50" s="14">
        <f>J50/K50-1</f>
        <v/>
      </c>
      <c r="N50" s="7" t="inlineStr">
        <is>
          <t>ACIMA +5.3%</t>
        </is>
      </c>
      <c r="O50" s="7" t="inlineStr"/>
    </row>
    <row r="51">
      <c r="A51" s="7" t="n">
        <v>642961</v>
      </c>
      <c r="B51" s="7" t="inlineStr">
        <is>
          <t>2906</t>
        </is>
      </c>
      <c r="C51" s="12" t="inlineStr">
        <is>
          <t>7894913002922</t>
        </is>
      </c>
      <c r="D51" s="7" t="inlineStr">
        <is>
          <t>F GARENA 180ML</t>
        </is>
      </c>
      <c r="E51" s="13" t="n">
        <v>1</v>
      </c>
      <c r="F51" s="13" t="n">
        <v>1</v>
      </c>
      <c r="G51" s="13" t="n">
        <v>1</v>
      </c>
      <c r="H51" s="8" t="n">
        <v>15.49</v>
      </c>
      <c r="I51" s="8">
        <f>G51*H51</f>
        <v/>
      </c>
      <c r="J51" s="8">
        <f>H51/E51</f>
        <v/>
      </c>
      <c r="K51" s="8" t="n">
        <v>16.6</v>
      </c>
      <c r="L51" s="8" t="n">
        <v>16.6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613831</v>
      </c>
      <c r="B52" s="7" t="inlineStr">
        <is>
          <t>3512</t>
        </is>
      </c>
      <c r="C52" s="12" t="inlineStr">
        <is>
          <t>7896902234093</t>
        </is>
      </c>
      <c r="D52" s="7" t="inlineStr">
        <is>
          <t>FARMAIODINE PVPI 10% 100ML</t>
        </is>
      </c>
      <c r="E52" s="13" t="n">
        <v>1</v>
      </c>
      <c r="F52" s="13" t="n">
        <v>2</v>
      </c>
      <c r="G52" s="13" t="n">
        <v>2</v>
      </c>
      <c r="H52" s="8" t="n">
        <v>7.41</v>
      </c>
      <c r="I52" s="8">
        <f>G52*H52</f>
        <v/>
      </c>
      <c r="J52" s="8">
        <f>H52/E52</f>
        <v/>
      </c>
      <c r="K52" s="8" t="n">
        <v>7.09</v>
      </c>
      <c r="L52" s="8" t="n">
        <v>7.09</v>
      </c>
      <c r="M52" s="14">
        <f>J52/K52-1</f>
        <v/>
      </c>
      <c r="N52" s="7" t="inlineStr">
        <is>
          <t>ACIMA +4.5%</t>
        </is>
      </c>
      <c r="O52" s="7" t="inlineStr"/>
    </row>
    <row r="53">
      <c r="A53" s="7" t="n">
        <v>565341</v>
      </c>
      <c r="B53" s="7" t="inlineStr">
        <is>
          <t>163</t>
        </is>
      </c>
      <c r="C53" s="12" t="inlineStr">
        <is>
          <t>7896902213463</t>
        </is>
      </c>
      <c r="D53" s="7" t="inlineStr">
        <is>
          <t>FARMAX AGUA OXIGENADA 70ML V30</t>
        </is>
      </c>
      <c r="E53" s="13" t="n">
        <v>1</v>
      </c>
      <c r="F53" s="13" t="n">
        <v>5</v>
      </c>
      <c r="G53" s="13" t="n">
        <v>5</v>
      </c>
      <c r="H53" s="8" t="n">
        <v>2.01</v>
      </c>
      <c r="I53" s="8">
        <f>G53*H53</f>
        <v/>
      </c>
      <c r="J53" s="8">
        <f>H53/E53</f>
        <v/>
      </c>
      <c r="K53" s="8" t="n">
        <v>1.84</v>
      </c>
      <c r="L53" s="8" t="n">
        <v>1.84</v>
      </c>
      <c r="M53" s="14">
        <f>J53/K53-1</f>
        <v/>
      </c>
      <c r="N53" s="7" t="inlineStr">
        <is>
          <t>ACIMA +9.2%</t>
        </is>
      </c>
      <c r="O53" s="7" t="inlineStr"/>
    </row>
    <row r="54">
      <c r="A54" s="7" t="n">
        <v>543981</v>
      </c>
      <c r="B54" s="7" t="inlineStr">
        <is>
          <t>166</t>
        </is>
      </c>
      <c r="C54" s="12" t="inlineStr">
        <is>
          <t>7896902213487</t>
        </is>
      </c>
      <c r="D54" s="7" t="inlineStr">
        <is>
          <t>FARMAX AGUA OXIGENADA 70ML V40</t>
        </is>
      </c>
      <c r="E54" s="13" t="n">
        <v>1</v>
      </c>
      <c r="F54" s="13" t="n">
        <v>4</v>
      </c>
      <c r="G54" s="13" t="n">
        <v>4</v>
      </c>
      <c r="H54" s="8" t="n">
        <v>2.14</v>
      </c>
      <c r="I54" s="8">
        <f>G54*H54</f>
        <v/>
      </c>
      <c r="J54" s="8">
        <f>H54/E54</f>
        <v/>
      </c>
      <c r="K54" s="8" t="n">
        <v>1.79</v>
      </c>
      <c r="L54" s="8" t="n">
        <v>1.79</v>
      </c>
      <c r="M54" s="14">
        <f>J54/K54-1</f>
        <v/>
      </c>
      <c r="N54" s="7" t="inlineStr">
        <is>
          <t>ACIMA +19.6%</t>
        </is>
      </c>
      <c r="O54" s="7" t="inlineStr"/>
    </row>
    <row r="55">
      <c r="A55" s="7" t="n">
        <v>626071</v>
      </c>
      <c r="B55" s="7" t="inlineStr">
        <is>
          <t>2952</t>
        </is>
      </c>
      <c r="C55" s="12" t="inlineStr">
        <is>
          <t>7896023756849</t>
        </is>
      </c>
      <c r="D55" s="7" t="inlineStr">
        <is>
          <t>FIGATIL 10ML FLACONETE</t>
        </is>
      </c>
      <c r="E55" s="13" t="n">
        <v>48</v>
      </c>
      <c r="F55" s="13" t="n">
        <v>1</v>
      </c>
      <c r="G55" s="13" t="n">
        <v>1</v>
      </c>
      <c r="H55" s="8" t="n">
        <v>94.06</v>
      </c>
      <c r="I55" s="8">
        <f>G55*H55</f>
        <v/>
      </c>
      <c r="J55" s="8">
        <f>H55/E55</f>
        <v/>
      </c>
      <c r="K55" s="8" t="n">
        <v>2.4223</v>
      </c>
      <c r="L55" s="8" t="n">
        <v>1.1388</v>
      </c>
      <c r="M55" s="14">
        <f>J55/K55-1</f>
        <v/>
      </c>
      <c r="N55" s="7" t="inlineStr">
        <is>
          <t>OK (≤ últ. compra)</t>
        </is>
      </c>
      <c r="O55" s="7" t="inlineStr">
        <is>
          <t>1 emb = 48 un</t>
        </is>
      </c>
    </row>
    <row r="56">
      <c r="A56" s="7" t="n">
        <v>616141</v>
      </c>
      <c r="B56" s="7" t="inlineStr">
        <is>
          <t>3009</t>
        </is>
      </c>
      <c r="C56" s="12" t="inlineStr">
        <is>
          <t>7899838832012</t>
        </is>
      </c>
      <c r="D56" s="7" t="inlineStr">
        <is>
          <t>FITA DE KINESIO 5CM X 5M VERMELHA</t>
        </is>
      </c>
      <c r="E56" s="13" t="n">
        <v>1</v>
      </c>
      <c r="F56" s="13" t="n">
        <v>1</v>
      </c>
      <c r="G56" s="13" t="n">
        <v>1</v>
      </c>
      <c r="H56" s="8" t="n">
        <v>19.67</v>
      </c>
      <c r="I56" s="8">
        <f>G56*H56</f>
        <v/>
      </c>
      <c r="J56" s="8">
        <f>H56/E56</f>
        <v/>
      </c>
      <c r="K56" s="8" t="n">
        <v>18.69</v>
      </c>
      <c r="L56" s="8" t="n">
        <v>18.69</v>
      </c>
      <c r="M56" s="14">
        <f>J56/K56-1</f>
        <v/>
      </c>
      <c r="N56" s="7" t="inlineStr">
        <is>
          <t>ACIMA +5.2%</t>
        </is>
      </c>
      <c r="O56" s="7" t="inlineStr"/>
    </row>
    <row r="57">
      <c r="A57" s="7" t="n">
        <v>671121</v>
      </c>
      <c r="B57" s="7" t="inlineStr">
        <is>
          <t>641</t>
        </is>
      </c>
      <c r="C57" s="12" t="inlineStr">
        <is>
          <t>7899828214019</t>
        </is>
      </c>
      <c r="D57" s="7" t="inlineStr">
        <is>
          <t>FITA KINES 5MX5CM BEGE</t>
        </is>
      </c>
      <c r="E57" s="13" t="n">
        <v>1</v>
      </c>
      <c r="F57" s="13" t="n">
        <v>2</v>
      </c>
      <c r="G57" s="13" t="n">
        <v>2</v>
      </c>
      <c r="H57" s="8" t="n">
        <v>27.32</v>
      </c>
      <c r="I57" s="8">
        <f>G57*H57</f>
        <v/>
      </c>
      <c r="J57" s="8">
        <f>H57/E57</f>
        <v/>
      </c>
      <c r="K57" s="8" t="n">
        <v>21.99</v>
      </c>
      <c r="L57" s="8" t="n">
        <v>21.99</v>
      </c>
      <c r="M57" s="14">
        <f>J57/K57-1</f>
        <v/>
      </c>
      <c r="N57" s="7" t="inlineStr">
        <is>
          <t>ACIMA +24.2%</t>
        </is>
      </c>
      <c r="O57" s="7" t="inlineStr"/>
    </row>
    <row r="58">
      <c r="A58" s="7" t="n">
        <v>638781</v>
      </c>
      <c r="B58" s="7" t="inlineStr">
        <is>
          <t>9607</t>
        </is>
      </c>
      <c r="C58" s="12" t="inlineStr">
        <is>
          <t>040141785435</t>
        </is>
      </c>
      <c r="D58" s="7" t="inlineStr">
        <is>
          <t>FORTMAGRI 1500MG 60 CPS (BERBERINA+FENO+MOROSIL+CROMO)</t>
        </is>
      </c>
      <c r="E58" s="13" t="n">
        <v>1</v>
      </c>
      <c r="F58" s="13" t="n">
        <v>1</v>
      </c>
      <c r="G58" s="13" t="n">
        <v>1</v>
      </c>
      <c r="H58" s="8" t="n">
        <v>64.67</v>
      </c>
      <c r="I58" s="8">
        <f>G58*H58</f>
        <v/>
      </c>
      <c r="J58" s="8">
        <f>H58/E58</f>
        <v/>
      </c>
      <c r="K58" s="8" t="n">
        <v>79.90000000000001</v>
      </c>
      <c r="L58" s="8" t="n">
        <v>79.90000000000001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601411</v>
      </c>
      <c r="B59" s="7" t="inlineStr">
        <is>
          <t>3230</t>
        </is>
      </c>
      <c r="C59" s="12" t="inlineStr">
        <is>
          <t>7899620911833</t>
        </is>
      </c>
      <c r="D59" s="7" t="inlineStr">
        <is>
          <t>GLICENIX (N.S.) 1,37G CX 6 GLICEROL PED</t>
        </is>
      </c>
      <c r="E59" s="13" t="n">
        <v>1</v>
      </c>
      <c r="F59" s="13" t="n">
        <v>5</v>
      </c>
      <c r="G59" s="13" t="n">
        <v>5</v>
      </c>
      <c r="H59" s="8" t="n">
        <v>5.98</v>
      </c>
      <c r="I59" s="8">
        <f>G59*H59</f>
        <v/>
      </c>
      <c r="J59" s="8">
        <f>H59/E59</f>
        <v/>
      </c>
      <c r="K59" s="8" t="n">
        <v>5.68</v>
      </c>
      <c r="L59" s="8" t="n">
        <v>5.68</v>
      </c>
      <c r="M59" s="14">
        <f>J59/K59-1</f>
        <v/>
      </c>
      <c r="N59" s="7" t="inlineStr">
        <is>
          <t>ACIMA +5.3%</t>
        </is>
      </c>
      <c r="O59" s="7" t="inlineStr"/>
    </row>
    <row r="60">
      <c r="A60" s="7" t="n">
        <v>584761</v>
      </c>
      <c r="B60" s="7" t="inlineStr">
        <is>
          <t>3233</t>
        </is>
      </c>
      <c r="C60" s="12" t="inlineStr">
        <is>
          <t>7896902217614</t>
        </is>
      </c>
      <c r="D60" s="7" t="inlineStr">
        <is>
          <t>GLICERINA PURA 100ML</t>
        </is>
      </c>
      <c r="E60" s="13" t="n">
        <v>1</v>
      </c>
      <c r="F60" s="13" t="n">
        <v>6</v>
      </c>
      <c r="G60" s="13" t="n">
        <v>6</v>
      </c>
      <c r="H60" s="8" t="n">
        <v>6.71</v>
      </c>
      <c r="I60" s="8">
        <f>G60*H60</f>
        <v/>
      </c>
      <c r="J60" s="8">
        <f>H60/E60</f>
        <v/>
      </c>
      <c r="K60" s="8" t="n">
        <v>6.04</v>
      </c>
      <c r="L60" s="8" t="n">
        <v>5.85</v>
      </c>
      <c r="M60" s="14">
        <f>J60/K60-1</f>
        <v/>
      </c>
      <c r="N60" s="7" t="inlineStr">
        <is>
          <t>ACIMA +11.1%</t>
        </is>
      </c>
      <c r="O60" s="7" t="inlineStr"/>
    </row>
    <row r="61">
      <c r="A61" s="7" t="n">
        <v>619931</v>
      </c>
      <c r="B61" s="7" t="inlineStr">
        <is>
          <t>3254</t>
        </is>
      </c>
      <c r="C61" s="12" t="inlineStr">
        <is>
          <t>7894913002809</t>
        </is>
      </c>
      <c r="D61" s="7" t="inlineStr">
        <is>
          <t>GLUCOZINC LARANJA 120ML</t>
        </is>
      </c>
      <c r="E61" s="13" t="n">
        <v>1</v>
      </c>
      <c r="F61" s="13" t="n">
        <v>1</v>
      </c>
      <c r="G61" s="13" t="n">
        <v>1</v>
      </c>
      <c r="H61" s="8" t="n">
        <v>16.67</v>
      </c>
      <c r="I61" s="8">
        <f>G61*H61</f>
        <v/>
      </c>
      <c r="J61" s="8">
        <f>H61/E61</f>
        <v/>
      </c>
      <c r="K61" s="8" t="n">
        <v>17.61</v>
      </c>
      <c r="L61" s="8" t="n">
        <v>17.61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622371</v>
      </c>
      <c r="B62" s="7" t="inlineStr">
        <is>
          <t>3306</t>
        </is>
      </c>
      <c r="C62" s="12" t="inlineStr">
        <is>
          <t>7896321024657</t>
        </is>
      </c>
      <c r="D62" s="7" t="inlineStr">
        <is>
          <t>GUMMY HAIR VITAMIN MELANCIA 60CPR</t>
        </is>
      </c>
      <c r="E62" s="13" t="n">
        <v>1</v>
      </c>
      <c r="F62" s="13" t="n">
        <v>1</v>
      </c>
      <c r="G62" s="13" t="n">
        <v>1</v>
      </c>
      <c r="H62" s="8" t="n">
        <v>72.22</v>
      </c>
      <c r="I62" s="8">
        <f>G62*H62</f>
        <v/>
      </c>
      <c r="J62" s="8">
        <f>H62/E62</f>
        <v/>
      </c>
      <c r="K62" s="8" t="n">
        <v>58.95</v>
      </c>
      <c r="L62" s="8" t="n">
        <v>58.95</v>
      </c>
      <c r="M62" s="14">
        <f>J62/K62-1</f>
        <v/>
      </c>
      <c r="N62" s="7" t="inlineStr">
        <is>
          <t>ACIMA +22.5%</t>
        </is>
      </c>
      <c r="O62" s="7" t="inlineStr"/>
    </row>
    <row r="63">
      <c r="A63" s="7" t="n">
        <v>622351</v>
      </c>
      <c r="B63" s="7" t="inlineStr">
        <is>
          <t>3308</t>
        </is>
      </c>
      <c r="C63" s="12" t="inlineStr">
        <is>
          <t>7896321035820</t>
        </is>
      </c>
      <c r="D63" s="7" t="inlineStr">
        <is>
          <t>GUMMY HAIR VITAMIN TUTTI-FRUTTI 60CPR</t>
        </is>
      </c>
      <c r="E63" s="13" t="n">
        <v>1</v>
      </c>
      <c r="F63" s="13" t="n">
        <v>1</v>
      </c>
      <c r="G63" s="13" t="n">
        <v>1</v>
      </c>
      <c r="H63" s="8" t="n">
        <v>72.22</v>
      </c>
      <c r="I63" s="8">
        <f>G63*H63</f>
        <v/>
      </c>
      <c r="J63" s="8">
        <f>H63/E63</f>
        <v/>
      </c>
      <c r="K63" s="8" t="n">
        <v>51.71</v>
      </c>
      <c r="L63" s="8" t="n">
        <v>51.71</v>
      </c>
      <c r="M63" s="14">
        <f>J63/K63-1</f>
        <v/>
      </c>
      <c r="N63" s="7" t="inlineStr">
        <is>
          <t>ACIMA +39.7%</t>
        </is>
      </c>
      <c r="O63" s="7" t="inlineStr"/>
    </row>
    <row r="64">
      <c r="A64" s="7" t="n">
        <v>553901</v>
      </c>
      <c r="B64" s="7" t="inlineStr">
        <is>
          <t>7474</t>
        </is>
      </c>
      <c r="C64" s="12" t="inlineStr">
        <is>
          <t>7896004780481</t>
        </is>
      </c>
      <c r="D64" s="7" t="inlineStr">
        <is>
          <t>HEDRA EXPEC 7MG/ML SOL ORAL FR 100ML</t>
        </is>
      </c>
      <c r="E64" s="13" t="n">
        <v>1</v>
      </c>
      <c r="F64" s="13" t="n">
        <v>11</v>
      </c>
      <c r="G64" s="13" t="n">
        <v>11</v>
      </c>
      <c r="H64" s="8" t="n">
        <v>14.51</v>
      </c>
      <c r="I64" s="8">
        <f>G64*H64</f>
        <v/>
      </c>
      <c r="J64" s="8">
        <f>H64/E64</f>
        <v/>
      </c>
      <c r="K64" s="8" t="n">
        <v>13.0325</v>
      </c>
      <c r="L64" s="8" t="n">
        <v>11.95</v>
      </c>
      <c r="M64" s="14">
        <f>J64/K64-1</f>
        <v/>
      </c>
      <c r="N64" s="7" t="inlineStr">
        <is>
          <t>ACIMA +11.3%</t>
        </is>
      </c>
      <c r="O64" s="7" t="inlineStr"/>
    </row>
    <row r="65">
      <c r="A65" s="7" t="n">
        <v>276061</v>
      </c>
      <c r="B65" s="7" t="inlineStr">
        <is>
          <t>9750</t>
        </is>
      </c>
      <c r="C65" s="12" t="inlineStr">
        <is>
          <t>8902220114128</t>
        </is>
      </c>
      <c r="D65" s="7" t="inlineStr">
        <is>
          <t>HEMIFUMARATO DE BISOPROLOL 1,25MG CX 30 COMP REV</t>
        </is>
      </c>
      <c r="E65" s="13" t="n">
        <v>1</v>
      </c>
      <c r="F65" s="13" t="n">
        <v>2</v>
      </c>
      <c r="G65" s="13" t="n">
        <v>2</v>
      </c>
      <c r="H65" s="8" t="n">
        <v>11.81</v>
      </c>
      <c r="I65" s="8">
        <f>G65*H65</f>
        <v/>
      </c>
      <c r="J65" s="8">
        <f>H65/E65</f>
        <v/>
      </c>
      <c r="K65" s="8" t="n">
        <v>19.81</v>
      </c>
      <c r="L65" s="8" t="n">
        <v>19.81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276001</v>
      </c>
      <c r="B66" s="7" t="inlineStr">
        <is>
          <t>9752</t>
        </is>
      </c>
      <c r="C66" s="12" t="inlineStr">
        <is>
          <t>8902220114166</t>
        </is>
      </c>
      <c r="D66" s="7" t="inlineStr">
        <is>
          <t>HEMIFUMARATO DE BISOPROLOL 2,5MG CX 30 COMP REV</t>
        </is>
      </c>
      <c r="E66" s="13" t="n">
        <v>1</v>
      </c>
      <c r="F66" s="13" t="n">
        <v>1</v>
      </c>
      <c r="G66" s="13" t="n">
        <v>1</v>
      </c>
      <c r="H66" s="8" t="n">
        <v>7.29</v>
      </c>
      <c r="I66" s="8">
        <f>G66*H66</f>
        <v/>
      </c>
      <c r="J66" s="8">
        <f>H66/E66</f>
        <v/>
      </c>
      <c r="K66" s="8" t="n">
        <v>6.92</v>
      </c>
      <c r="L66" s="8" t="n">
        <v>6.92</v>
      </c>
      <c r="M66" s="14">
        <f>J66/K66-1</f>
        <v/>
      </c>
      <c r="N66" s="7" t="inlineStr">
        <is>
          <t>ACIMA +5.3%</t>
        </is>
      </c>
      <c r="O66" s="7" t="inlineStr"/>
    </row>
    <row r="67">
      <c r="A67" s="7" t="n">
        <v>1633</v>
      </c>
      <c r="B67" s="7" t="inlineStr">
        <is>
          <t>6171</t>
        </is>
      </c>
      <c r="C67" s="12" t="inlineStr">
        <is>
          <t>7894164009480</t>
        </is>
      </c>
      <c r="D67" s="7" t="inlineStr">
        <is>
          <t>HIDRALI 45 PO ENVELOPE CX C/ 4</t>
        </is>
      </c>
      <c r="E67" s="13" t="n">
        <v>1</v>
      </c>
      <c r="F67" s="13" t="n">
        <v>1</v>
      </c>
      <c r="G67" s="13" t="n">
        <v>1</v>
      </c>
      <c r="H67" s="8" t="n">
        <v>9.050000000000001</v>
      </c>
      <c r="I67" s="8">
        <f>G67*H67</f>
        <v/>
      </c>
      <c r="J67" s="8">
        <f>H67/E67</f>
        <v/>
      </c>
      <c r="K67" s="8" t="n">
        <v>2.3475</v>
      </c>
      <c r="L67" s="8" t="n">
        <v>2.2875</v>
      </c>
      <c r="M67" s="14">
        <f>J67/K67-1</f>
        <v/>
      </c>
      <c r="N67" s="7" t="inlineStr">
        <is>
          <t>ACIMA +285.5%</t>
        </is>
      </c>
      <c r="O67" s="7" t="inlineStr">
        <is>
          <t>conferir emb.</t>
        </is>
      </c>
    </row>
    <row r="68">
      <c r="A68" s="7" t="n">
        <v>597601</v>
      </c>
      <c r="B68" s="7" t="inlineStr">
        <is>
          <t>3418</t>
        </is>
      </c>
      <c r="C68" s="12" t="inlineStr">
        <is>
          <t>7899941201958</t>
        </is>
      </c>
      <c r="D68" s="7" t="inlineStr">
        <is>
          <t>HORUS MAX TITANIUM BLUE ICE POTE 150G</t>
        </is>
      </c>
      <c r="E68" s="13" t="n">
        <v>1</v>
      </c>
      <c r="F68" s="13" t="n">
        <v>1</v>
      </c>
      <c r="G68" s="13" t="n">
        <v>1</v>
      </c>
      <c r="H68" s="8" t="n">
        <v>41.64</v>
      </c>
      <c r="I68" s="8">
        <f>G68*H68</f>
        <v/>
      </c>
      <c r="J68" s="8">
        <f>H68/E68</f>
        <v/>
      </c>
      <c r="K68" s="8" t="n">
        <v>63.43</v>
      </c>
      <c r="L68" s="8" t="n">
        <v>63.43</v>
      </c>
      <c r="M68" s="14">
        <f>J68/K68-1</f>
        <v/>
      </c>
      <c r="N68" s="7" t="inlineStr">
        <is>
          <t>OK (≤ menor hist.)</t>
        </is>
      </c>
      <c r="O68" s="7" t="inlineStr"/>
    </row>
    <row r="69">
      <c r="A69" s="7" t="n">
        <v>597591</v>
      </c>
      <c r="B69" s="7" t="inlineStr">
        <is>
          <t>3420</t>
        </is>
      </c>
      <c r="C69" s="12" t="inlineStr">
        <is>
          <t>7899941202849</t>
        </is>
      </c>
      <c r="D69" s="7" t="inlineStr">
        <is>
          <t>HORUS MAX TITANIUM CITRUS POTE 150G</t>
        </is>
      </c>
      <c r="E69" s="13" t="n">
        <v>1</v>
      </c>
      <c r="F69" s="13" t="n">
        <v>1</v>
      </c>
      <c r="G69" s="13" t="n">
        <v>1</v>
      </c>
      <c r="H69" s="8" t="n">
        <v>41.64</v>
      </c>
      <c r="I69" s="8">
        <f>G69*H69</f>
        <v/>
      </c>
      <c r="J69" s="8">
        <f>H69/E69</f>
        <v/>
      </c>
      <c r="K69" s="8" t="n">
        <v>56.83</v>
      </c>
      <c r="L69" s="8" t="n">
        <v>56.83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646171</v>
      </c>
      <c r="B70" s="7" t="inlineStr">
        <is>
          <t>3422</t>
        </is>
      </c>
      <c r="C70" s="12" t="inlineStr">
        <is>
          <t>7899941202269</t>
        </is>
      </c>
      <c r="D70" s="7" t="inlineStr">
        <is>
          <t>HORUS MAX TITANIUM FRUTAS VERMELHAS POTE 150G</t>
        </is>
      </c>
      <c r="E70" s="13" t="n">
        <v>1</v>
      </c>
      <c r="F70" s="13" t="n">
        <v>3</v>
      </c>
      <c r="G70" s="13" t="n">
        <v>3</v>
      </c>
      <c r="H70" s="8" t="n">
        <v>41.64</v>
      </c>
      <c r="I70" s="8">
        <f>G70*H70</f>
        <v/>
      </c>
      <c r="J70" s="8">
        <f>H70/E70</f>
        <v/>
      </c>
      <c r="K70" s="8" t="n">
        <v>59.9</v>
      </c>
      <c r="L70" s="8" t="n">
        <v>59.9</v>
      </c>
      <c r="M70" s="14">
        <f>J70/K70-1</f>
        <v/>
      </c>
      <c r="N70" s="7" t="inlineStr">
        <is>
          <t>OK (≤ menor hist.)</t>
        </is>
      </c>
      <c r="O70" s="7" t="inlineStr"/>
    </row>
    <row r="71">
      <c r="A71" s="7" t="n">
        <v>295141</v>
      </c>
      <c r="B71" s="7" t="inlineStr">
        <is>
          <t>7476</t>
        </is>
      </c>
      <c r="C71" s="12" t="inlineStr">
        <is>
          <t>7896004747507</t>
        </is>
      </c>
      <c r="D71" s="7" t="inlineStr">
        <is>
          <t>IBUFLEX 400MG CX 4 CAPS</t>
        </is>
      </c>
      <c r="E71" s="13" t="n">
        <v>1</v>
      </c>
      <c r="F71" s="13" t="n">
        <v>1</v>
      </c>
      <c r="G71" s="13" t="n">
        <v>1</v>
      </c>
      <c r="H71" s="8" t="n">
        <v>33.56</v>
      </c>
      <c r="I71" s="8">
        <f>G71*H71</f>
        <v/>
      </c>
      <c r="J71" s="8">
        <f>H71/E71</f>
        <v/>
      </c>
      <c r="K71" s="8" t="n">
        <v>3.0145</v>
      </c>
      <c r="L71" s="8" t="n">
        <v>2.782</v>
      </c>
      <c r="M71" s="14">
        <f>J71/K71-1</f>
        <v/>
      </c>
      <c r="N71" s="7" t="inlineStr">
        <is>
          <t>ACIMA +1013.3%</t>
        </is>
      </c>
      <c r="O71" s="7" t="inlineStr">
        <is>
          <t>conferir emb.</t>
        </is>
      </c>
    </row>
    <row r="72">
      <c r="A72" s="7" t="n">
        <v>297621</v>
      </c>
      <c r="B72" s="7" t="inlineStr">
        <is>
          <t>3435</t>
        </is>
      </c>
      <c r="C72" s="12" t="inlineStr">
        <is>
          <t>7896862960087</t>
        </is>
      </c>
      <c r="D72" s="7" t="inlineStr">
        <is>
          <t>IBUPROFENO 100MG/ML SUS OR FR GTS 20ML</t>
        </is>
      </c>
      <c r="E72" s="13" t="n">
        <v>1</v>
      </c>
      <c r="F72" s="13" t="n">
        <v>9</v>
      </c>
      <c r="G72" s="13" t="n">
        <v>9</v>
      </c>
      <c r="H72" s="8" t="n">
        <v>3.19</v>
      </c>
      <c r="I72" s="8">
        <f>G72*H72</f>
        <v/>
      </c>
      <c r="J72" s="8">
        <f>H72/E72</f>
        <v/>
      </c>
      <c r="K72" s="8" t="n">
        <v>2.64</v>
      </c>
      <c r="L72" s="8" t="n">
        <v>2.64</v>
      </c>
      <c r="M72" s="14">
        <f>J72/K72-1</f>
        <v/>
      </c>
      <c r="N72" s="7" t="inlineStr">
        <is>
          <t>ACIMA +20.8%</t>
        </is>
      </c>
      <c r="O72" s="7" t="inlineStr"/>
    </row>
    <row r="73">
      <c r="A73" s="7" t="n">
        <v>518921</v>
      </c>
      <c r="B73" s="7" t="inlineStr">
        <is>
          <t>3465</t>
        </is>
      </c>
      <c r="C73" s="12" t="inlineStr">
        <is>
          <t>7898687730500</t>
        </is>
      </c>
      <c r="D73" s="7" t="inlineStr">
        <is>
          <t>IBUPROFENO 600MG CX 10 CAP GEL</t>
        </is>
      </c>
      <c r="E73" s="13" t="n">
        <v>1</v>
      </c>
      <c r="F73" s="13" t="n">
        <v>1</v>
      </c>
      <c r="G73" s="13" t="n">
        <v>1</v>
      </c>
      <c r="H73" s="8" t="n">
        <v>15.04</v>
      </c>
      <c r="I73" s="8">
        <f>G73*H73</f>
        <v/>
      </c>
      <c r="J73" s="8">
        <f>H73/E73</f>
        <v/>
      </c>
      <c r="K73" s="8" t="n">
        <v>13.06</v>
      </c>
      <c r="L73" s="8" t="n">
        <v>12.73</v>
      </c>
      <c r="M73" s="14">
        <f>J73/K73-1</f>
        <v/>
      </c>
      <c r="N73" s="7" t="inlineStr">
        <is>
          <t>ACIMA +15.2%</t>
        </is>
      </c>
      <c r="O73" s="7" t="inlineStr"/>
    </row>
    <row r="74">
      <c r="A74" s="7" t="n">
        <v>549281</v>
      </c>
      <c r="B74" s="7" t="inlineStr">
        <is>
          <t>7481</t>
        </is>
      </c>
      <c r="C74" s="12" t="inlineStr">
        <is>
          <t>7896004768465</t>
        </is>
      </c>
      <c r="D74" s="7" t="inlineStr">
        <is>
          <t>LACTULIV 667MG/ML 120ML AMEIXA (LACTULOS</t>
        </is>
      </c>
      <c r="E74" s="13" t="n">
        <v>1</v>
      </c>
      <c r="F74" s="13" t="n">
        <v>7</v>
      </c>
      <c r="G74" s="13" t="n">
        <v>7</v>
      </c>
      <c r="H74" s="8" t="n">
        <v>14.15</v>
      </c>
      <c r="I74" s="8">
        <f>G74*H74</f>
        <v/>
      </c>
      <c r="J74" s="8">
        <f>H74/E74</f>
        <v/>
      </c>
      <c r="K74" s="8" t="n">
        <v>13.43</v>
      </c>
      <c r="L74" s="8" t="n">
        <v>12.89</v>
      </c>
      <c r="M74" s="14">
        <f>J74/K74-1</f>
        <v/>
      </c>
      <c r="N74" s="7" t="inlineStr">
        <is>
          <t>ACIMA +5.4%</t>
        </is>
      </c>
      <c r="O74" s="7" t="inlineStr"/>
    </row>
    <row r="75">
      <c r="A75" s="7" t="n">
        <v>645491</v>
      </c>
      <c r="B75" s="7" t="inlineStr">
        <is>
          <t>7482</t>
        </is>
      </c>
      <c r="C75" s="12" t="inlineStr">
        <is>
          <t>7896004768472</t>
        </is>
      </c>
      <c r="D75" s="7" t="inlineStr">
        <is>
          <t>LACTULIV 667MG/ML 120ML SAL.FRUTAS (LACT</t>
        </is>
      </c>
      <c r="E75" s="13" t="n">
        <v>1</v>
      </c>
      <c r="F75" s="13" t="n">
        <v>3</v>
      </c>
      <c r="G75" s="13" t="n">
        <v>3</v>
      </c>
      <c r="H75" s="8" t="n">
        <v>13.95</v>
      </c>
      <c r="I75" s="8">
        <f>G75*H75</f>
        <v/>
      </c>
      <c r="J75" s="8">
        <f>H75/E75</f>
        <v/>
      </c>
      <c r="K75" s="8" t="n">
        <v>4.17</v>
      </c>
      <c r="L75" s="8" t="n">
        <v>4.17</v>
      </c>
      <c r="M75" s="14">
        <f>J75/K75-1</f>
        <v/>
      </c>
      <c r="N75" s="7" t="inlineStr">
        <is>
          <t>ACIMA +234.5%</t>
        </is>
      </c>
      <c r="O75" s="7" t="inlineStr">
        <is>
          <t>conferir emb.</t>
        </is>
      </c>
    </row>
    <row r="76">
      <c r="A76" s="7" t="n">
        <v>556441</v>
      </c>
      <c r="B76" s="7" t="inlineStr">
        <is>
          <t>3816</t>
        </is>
      </c>
      <c r="C76" s="12" t="inlineStr">
        <is>
          <t>7897732607323</t>
        </is>
      </c>
      <c r="D76" s="7" t="inlineStr">
        <is>
          <t>LEITE DE MAGNESIA 100ML TRADICIONAL</t>
        </is>
      </c>
      <c r="E76" s="13" t="n">
        <v>1</v>
      </c>
      <c r="F76" s="13" t="n">
        <v>5</v>
      </c>
      <c r="G76" s="13" t="n">
        <v>5</v>
      </c>
      <c r="H76" s="8" t="n">
        <v>4.34</v>
      </c>
      <c r="I76" s="8">
        <f>G76*H76</f>
        <v/>
      </c>
      <c r="J76" s="8">
        <f>H76/E76</f>
        <v/>
      </c>
      <c r="K76" s="8" t="n">
        <v>4.12</v>
      </c>
      <c r="L76" s="8" t="n">
        <v>4.12</v>
      </c>
      <c r="M76" s="14">
        <f>J76/K76-1</f>
        <v/>
      </c>
      <c r="N76" s="7" t="inlineStr">
        <is>
          <t>ACIMA +5.3%</t>
        </is>
      </c>
      <c r="O76" s="7" t="inlineStr"/>
    </row>
    <row r="77">
      <c r="A77" s="7" t="n">
        <v>492281</v>
      </c>
      <c r="B77" s="7" t="inlineStr">
        <is>
          <t>3855</t>
        </is>
      </c>
      <c r="C77" s="12" t="inlineStr">
        <is>
          <t>7908020500889</t>
        </is>
      </c>
      <c r="D77" s="7" t="inlineStr">
        <is>
          <t>LEVONORGESTREL 0,15+0,03MG CX 21 COMP REV+CALEND</t>
        </is>
      </c>
      <c r="E77" s="13" t="n">
        <v>1</v>
      </c>
      <c r="F77" s="13" t="n">
        <v>1</v>
      </c>
      <c r="G77" s="13" t="n">
        <v>1</v>
      </c>
      <c r="H77" s="8" t="n">
        <v>3.4</v>
      </c>
      <c r="I77" s="8">
        <f>G77*H77</f>
        <v/>
      </c>
      <c r="J77" s="8">
        <f>H77/E77</f>
        <v/>
      </c>
      <c r="K77" s="8" t="n">
        <v>3.23</v>
      </c>
      <c r="L77" s="8" t="n">
        <v>3.23</v>
      </c>
      <c r="M77" s="14">
        <f>J77/K77-1</f>
        <v/>
      </c>
      <c r="N77" s="7" t="inlineStr">
        <is>
          <t>ACIMA +5.3%</t>
        </is>
      </c>
      <c r="O77" s="7" t="inlineStr"/>
    </row>
    <row r="78">
      <c r="A78" s="7" t="n">
        <v>56761</v>
      </c>
      <c r="B78" s="7" t="inlineStr">
        <is>
          <t>2288</t>
        </is>
      </c>
      <c r="C78" s="12" t="inlineStr">
        <is>
          <t>7898060132075</t>
        </is>
      </c>
      <c r="D78" s="7" t="inlineStr">
        <is>
          <t>MAL DEXCLORFENIRAMINA+BETAMETASONA 0,4+0,05MG XPE FR 120ML+CM</t>
        </is>
      </c>
      <c r="E78" s="13" t="n">
        <v>1</v>
      </c>
      <c r="F78" s="13" t="n">
        <v>20</v>
      </c>
      <c r="G78" s="13" t="n">
        <v>20</v>
      </c>
      <c r="H78" s="8" t="n">
        <v>4.65</v>
      </c>
      <c r="I78" s="8">
        <f>G78*H78</f>
        <v/>
      </c>
      <c r="J78" s="8">
        <f>H78/E78</f>
        <v/>
      </c>
      <c r="K78" s="8" t="n">
        <v>5.1</v>
      </c>
      <c r="L78" s="8" t="n">
        <v>5.1</v>
      </c>
      <c r="M78" s="14">
        <f>J78/K78-1</f>
        <v/>
      </c>
      <c r="N78" s="7" t="inlineStr">
        <is>
          <t>OK (≤ menor hist.)</t>
        </is>
      </c>
      <c r="O78" s="7" t="inlineStr"/>
    </row>
    <row r="79">
      <c r="A79" s="7" t="n">
        <v>334801</v>
      </c>
      <c r="B79" s="7" t="inlineStr">
        <is>
          <t>2596</t>
        </is>
      </c>
      <c r="C79" s="12" t="inlineStr">
        <is>
          <t>7897917005180</t>
        </is>
      </c>
      <c r="D79" s="7" t="inlineStr">
        <is>
          <t>MALEATO DE ENALAPRIL 5MG CX 30 COMP</t>
        </is>
      </c>
      <c r="E79" s="13" t="n">
        <v>1</v>
      </c>
      <c r="F79" s="13" t="n">
        <v>3</v>
      </c>
      <c r="G79" s="13" t="n">
        <v>3</v>
      </c>
      <c r="H79" s="8" t="n">
        <v>2</v>
      </c>
      <c r="I79" s="8">
        <f>G79*H79</f>
        <v/>
      </c>
      <c r="J79" s="8">
        <f>H79/E79</f>
        <v/>
      </c>
      <c r="K79" s="8" t="n">
        <v>2.18</v>
      </c>
      <c r="L79" s="8" t="n">
        <v>2.18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605911</v>
      </c>
      <c r="B80" s="7" t="inlineStr">
        <is>
          <t>7484</t>
        </is>
      </c>
      <c r="C80" s="12" t="inlineStr">
        <is>
          <t>7896004779201</t>
        </is>
      </c>
      <c r="D80" s="7" t="inlineStr">
        <is>
          <t>MARACUJA CONCENTRIX SOL ORAL 100ML (PASS</t>
        </is>
      </c>
      <c r="E80" s="13" t="n">
        <v>1</v>
      </c>
      <c r="F80" s="13" t="n">
        <v>1</v>
      </c>
      <c r="G80" s="13" t="n">
        <v>1</v>
      </c>
      <c r="H80" s="8" t="n">
        <v>12.09</v>
      </c>
      <c r="I80" s="8">
        <f>G80*H80</f>
        <v/>
      </c>
      <c r="J80" s="8">
        <f>H80/E80</f>
        <v/>
      </c>
      <c r="K80" s="8" t="n">
        <v>11.9433</v>
      </c>
      <c r="L80" s="8" t="n">
        <v>10.92</v>
      </c>
      <c r="M80" s="14">
        <f>J80/K80-1</f>
        <v/>
      </c>
      <c r="N80" s="7" t="inlineStr">
        <is>
          <t>ACIMA +1.2%</t>
        </is>
      </c>
      <c r="O80" s="7" t="inlineStr"/>
    </row>
    <row r="81">
      <c r="A81" s="7" t="n">
        <v>555821</v>
      </c>
      <c r="B81" s="7" t="inlineStr">
        <is>
          <t>4269</t>
        </is>
      </c>
      <c r="C81" s="12" t="inlineStr">
        <is>
          <t>7898283815182</t>
        </is>
      </c>
      <c r="D81" s="7" t="inlineStr">
        <is>
          <t>MASCARA TRIPLA C/ELASTI BRANCA 50UN CART</t>
        </is>
      </c>
      <c r="E81" s="13" t="n">
        <v>1</v>
      </c>
      <c r="F81" s="13" t="n">
        <v>1</v>
      </c>
      <c r="G81" s="13" t="n">
        <v>1</v>
      </c>
      <c r="H81" s="8" t="n">
        <v>8.109999999999999</v>
      </c>
      <c r="I81" s="8">
        <f>G81*H81</f>
        <v/>
      </c>
      <c r="J81" s="8">
        <f>H81/E81</f>
        <v/>
      </c>
      <c r="K81" s="8" t="n">
        <v>9.83</v>
      </c>
      <c r="L81" s="8" t="n">
        <v>9.83</v>
      </c>
      <c r="M81" s="14">
        <f>J81/K81-1</f>
        <v/>
      </c>
      <c r="N81" s="7" t="inlineStr">
        <is>
          <t>OK (≤ menor hist.)</t>
        </is>
      </c>
      <c r="O81" s="7" t="inlineStr"/>
    </row>
    <row r="82">
      <c r="A82" s="7" t="n">
        <v>673371</v>
      </c>
      <c r="B82" s="7" t="inlineStr">
        <is>
          <t>4272</t>
        </is>
      </c>
      <c r="C82" s="12" t="inlineStr">
        <is>
          <t>7898920041318</t>
        </is>
      </c>
      <c r="D82" s="7" t="inlineStr">
        <is>
          <t>MASS TITANIUM 17500 BAUNILHA 3KG</t>
        </is>
      </c>
      <c r="E82" s="13" t="n">
        <v>1</v>
      </c>
      <c r="F82" s="13" t="n">
        <v>1</v>
      </c>
      <c r="G82" s="13" t="n">
        <v>1</v>
      </c>
      <c r="H82" s="8" t="n">
        <v>98.44</v>
      </c>
      <c r="I82" s="8">
        <f>G82*H82</f>
        <v/>
      </c>
      <c r="J82" s="8">
        <f>H82/E82</f>
        <v/>
      </c>
      <c r="K82" s="8" t="n">
        <v>93.20999999999999</v>
      </c>
      <c r="L82" s="8" t="n">
        <v>86.75</v>
      </c>
      <c r="M82" s="14">
        <f>J82/K82-1</f>
        <v/>
      </c>
      <c r="N82" s="7" t="inlineStr">
        <is>
          <t>ACIMA +5.6%</t>
        </is>
      </c>
      <c r="O82" s="7" t="inlineStr"/>
    </row>
    <row r="83">
      <c r="A83" s="7" t="n">
        <v>643061</v>
      </c>
      <c r="B83" s="7" t="inlineStr">
        <is>
          <t>4766</t>
        </is>
      </c>
      <c r="C83" s="12" t="inlineStr">
        <is>
          <t>7894913003691</t>
        </is>
      </c>
      <c r="D83" s="7" t="inlineStr">
        <is>
          <t>NINNAR MELATONINA 120CPR MARACUJA</t>
        </is>
      </c>
      <c r="E83" s="13" t="n">
        <v>1</v>
      </c>
      <c r="F83" s="13" t="n">
        <v>3</v>
      </c>
      <c r="G83" s="13" t="n">
        <v>3</v>
      </c>
      <c r="H83" s="8" t="n">
        <v>17.78</v>
      </c>
      <c r="I83" s="8">
        <f>G83*H83</f>
        <v/>
      </c>
      <c r="J83" s="8">
        <f>H83/E83</f>
        <v/>
      </c>
      <c r="K83" s="8" t="n">
        <v>16.84</v>
      </c>
      <c r="L83" s="8" t="n">
        <v>16.84</v>
      </c>
      <c r="M83" s="14">
        <f>J83/K83-1</f>
        <v/>
      </c>
      <c r="N83" s="7" t="inlineStr">
        <is>
          <t>ACIMA +5.6%</t>
        </is>
      </c>
      <c r="O83" s="7" t="inlineStr"/>
    </row>
    <row r="84">
      <c r="A84" s="7" t="n">
        <v>643071</v>
      </c>
      <c r="B84" s="7" t="inlineStr">
        <is>
          <t>4767</t>
        </is>
      </c>
      <c r="C84" s="12" t="inlineStr">
        <is>
          <t>7894913003189</t>
        </is>
      </c>
      <c r="D84" s="7" t="inlineStr">
        <is>
          <t>NINNAR MELATONINA MARACUJA 30ML</t>
        </is>
      </c>
      <c r="E84" s="13" t="n">
        <v>1</v>
      </c>
      <c r="F84" s="13" t="n">
        <v>1</v>
      </c>
      <c r="G84" s="13" t="n">
        <v>1</v>
      </c>
      <c r="H84" s="8" t="n">
        <v>13.79</v>
      </c>
      <c r="I84" s="8">
        <f>G84*H84</f>
        <v/>
      </c>
      <c r="J84" s="8">
        <f>H84/E84</f>
        <v/>
      </c>
      <c r="K84" s="8" t="n">
        <v>13.1</v>
      </c>
      <c r="L84" s="8" t="n">
        <v>13.1</v>
      </c>
      <c r="M84" s="14">
        <f>J84/K84-1</f>
        <v/>
      </c>
      <c r="N84" s="7" t="inlineStr">
        <is>
          <t>ACIMA +5.3%</t>
        </is>
      </c>
      <c r="O84" s="7" t="inlineStr"/>
    </row>
    <row r="85">
      <c r="A85" s="7" t="n">
        <v>363861</v>
      </c>
      <c r="B85" s="7" t="inlineStr">
        <is>
          <t>4791</t>
        </is>
      </c>
      <c r="C85" s="12" t="inlineStr">
        <is>
          <t>7898569764517</t>
        </is>
      </c>
      <c r="D85" s="7" t="inlineStr">
        <is>
          <t>NITAZOXANIDA 500MG CX 6 COMP REV</t>
        </is>
      </c>
      <c r="E85" s="13" t="n">
        <v>1</v>
      </c>
      <c r="F85" s="13" t="n">
        <v>5</v>
      </c>
      <c r="G85" s="13" t="n">
        <v>5</v>
      </c>
      <c r="H85" s="8" t="n">
        <v>13.79</v>
      </c>
      <c r="I85" s="8">
        <f>G85*H85</f>
        <v/>
      </c>
      <c r="J85" s="8">
        <f>H85/E85</f>
        <v/>
      </c>
      <c r="K85" s="8" t="n">
        <v>12.98</v>
      </c>
      <c r="L85" s="8" t="n">
        <v>12.98</v>
      </c>
      <c r="M85" s="14">
        <f>J85/K85-1</f>
        <v/>
      </c>
      <c r="N85" s="7" t="inlineStr">
        <is>
          <t>ACIMA +6.2%</t>
        </is>
      </c>
      <c r="O85" s="7" t="inlineStr"/>
    </row>
    <row r="86">
      <c r="A86" s="7" t="n">
        <v>598371</v>
      </c>
      <c r="B86" s="7" t="inlineStr">
        <is>
          <t>4902</t>
        </is>
      </c>
      <c r="C86" s="12" t="inlineStr">
        <is>
          <t>7896902285422</t>
        </is>
      </c>
      <c r="D86" s="7" t="inlineStr">
        <is>
          <t>OLEO CAP/CORP FARMAX 30ML PURO RICINO</t>
        </is>
      </c>
      <c r="E86" s="13" t="n">
        <v>1</v>
      </c>
      <c r="F86" s="13" t="n">
        <v>2</v>
      </c>
      <c r="G86" s="13" t="n">
        <v>2</v>
      </c>
      <c r="H86" s="8" t="n">
        <v>4.61</v>
      </c>
      <c r="I86" s="8">
        <f>G86*H86</f>
        <v/>
      </c>
      <c r="J86" s="8">
        <f>H86/E86</f>
        <v/>
      </c>
      <c r="K86" s="8" t="n">
        <v>4.69</v>
      </c>
      <c r="L86" s="8" t="n">
        <v>4.69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611431</v>
      </c>
      <c r="B87" s="7" t="inlineStr">
        <is>
          <t>4894</t>
        </is>
      </c>
      <c r="C87" s="12" t="inlineStr">
        <is>
          <t>7897732607583</t>
        </is>
      </c>
      <c r="D87" s="7" t="inlineStr">
        <is>
          <t>OLEO DE RICINO 100% 30ML SOBRAL</t>
        </is>
      </c>
      <c r="E87" s="13" t="n">
        <v>1</v>
      </c>
      <c r="F87" s="13" t="n">
        <v>5</v>
      </c>
      <c r="G87" s="13" t="n">
        <v>5</v>
      </c>
      <c r="H87" s="8" t="n">
        <v>4.73</v>
      </c>
      <c r="I87" s="8">
        <f>G87*H87</f>
        <v/>
      </c>
      <c r="J87" s="8">
        <f>H87/E87</f>
        <v/>
      </c>
      <c r="K87" s="8" t="n">
        <v>4.31</v>
      </c>
      <c r="L87" s="8" t="n">
        <v>4.31</v>
      </c>
      <c r="M87" s="14">
        <f>J87/K87-1</f>
        <v/>
      </c>
      <c r="N87" s="7" t="inlineStr">
        <is>
          <t>ACIMA +9.7%</t>
        </is>
      </c>
      <c r="O87" s="7" t="inlineStr"/>
    </row>
    <row r="88">
      <c r="A88" s="7" t="n">
        <v>376061</v>
      </c>
      <c r="B88" s="7" t="inlineStr">
        <is>
          <t>4944</t>
        </is>
      </c>
      <c r="C88" s="12" t="inlineStr">
        <is>
          <t>7898569763077</t>
        </is>
      </c>
      <c r="D88" s="7" t="inlineStr">
        <is>
          <t>OLMESARTANA MEDOXOMILA 40MG CX 30 COMP REV</t>
        </is>
      </c>
      <c r="E88" s="13" t="n">
        <v>1</v>
      </c>
      <c r="F88" s="13" t="n">
        <v>13</v>
      </c>
      <c r="G88" s="13" t="n">
        <v>13</v>
      </c>
      <c r="H88" s="8" t="n">
        <v>20.42</v>
      </c>
      <c r="I88" s="8">
        <f>G88*H88</f>
        <v/>
      </c>
      <c r="J88" s="8">
        <f>H88/E88</f>
        <v/>
      </c>
      <c r="K88" s="8" t="n">
        <v>17.13</v>
      </c>
      <c r="L88" s="8" t="n">
        <v>14.57</v>
      </c>
      <c r="M88" s="14">
        <f>J88/K88-1</f>
        <v/>
      </c>
      <c r="N88" s="7" t="inlineStr">
        <is>
          <t>ACIMA +19.2%</t>
        </is>
      </c>
      <c r="O88" s="7" t="inlineStr"/>
    </row>
    <row r="89">
      <c r="A89" s="7" t="n">
        <v>653711</v>
      </c>
      <c r="B89" s="7" t="inlineStr">
        <is>
          <t>4963</t>
        </is>
      </c>
      <c r="C89" s="12" t="inlineStr">
        <is>
          <t>7898675805227</t>
        </is>
      </c>
      <c r="D89" s="7" t="inlineStr">
        <is>
          <t>OMEGA 3 60CAPS EPA+DHA NUTRACEUTICAL</t>
        </is>
      </c>
      <c r="E89" s="13" t="n">
        <v>1</v>
      </c>
      <c r="F89" s="13" t="n">
        <v>3</v>
      </c>
      <c r="G89" s="13" t="n">
        <v>3</v>
      </c>
      <c r="H89" s="8" t="n">
        <v>30.14</v>
      </c>
      <c r="I89" s="8">
        <f>G89*H89</f>
        <v/>
      </c>
      <c r="J89" s="8">
        <f>H89/E89</f>
        <v/>
      </c>
      <c r="K89" s="8" t="n">
        <v>20.09</v>
      </c>
      <c r="L89" s="8" t="n">
        <v>20.09</v>
      </c>
      <c r="M89" s="14">
        <f>J89/K89-1</f>
        <v/>
      </c>
      <c r="N89" s="7" t="inlineStr">
        <is>
          <t>ACIMA +50.0%</t>
        </is>
      </c>
      <c r="O89" s="7" t="inlineStr"/>
    </row>
    <row r="90">
      <c r="A90" s="7" t="n">
        <v>378201</v>
      </c>
      <c r="B90" s="7" t="inlineStr">
        <is>
          <t>5005</t>
        </is>
      </c>
      <c r="C90" s="12" t="inlineStr">
        <is>
          <t>7897917003285</t>
        </is>
      </c>
      <c r="D90" s="7" t="inlineStr">
        <is>
          <t>OMOPREL 40MG CX 56 CAP</t>
        </is>
      </c>
      <c r="E90" s="13" t="n">
        <v>1</v>
      </c>
      <c r="F90" s="13" t="n">
        <v>8</v>
      </c>
      <c r="G90" s="13" t="n">
        <v>8</v>
      </c>
      <c r="H90" s="8" t="n">
        <v>15.01</v>
      </c>
      <c r="I90" s="8">
        <f>G90*H90</f>
        <v/>
      </c>
      <c r="J90" s="8">
        <f>H90/E90</f>
        <v/>
      </c>
      <c r="K90" s="8" t="n">
        <v>9.09</v>
      </c>
      <c r="L90" s="8" t="n">
        <v>9.09</v>
      </c>
      <c r="M90" s="14">
        <f>J90/K90-1</f>
        <v/>
      </c>
      <c r="N90" s="7" t="inlineStr">
        <is>
          <t>ACIMA +65.1%</t>
        </is>
      </c>
      <c r="O90" s="7" t="inlineStr"/>
    </row>
    <row r="91">
      <c r="A91" s="7" t="n">
        <v>493261</v>
      </c>
      <c r="B91" s="7" t="inlineStr">
        <is>
          <t>5096</t>
        </is>
      </c>
      <c r="C91" s="12" t="inlineStr">
        <is>
          <t>7896862923273</t>
        </is>
      </c>
      <c r="D91" s="7" t="inlineStr">
        <is>
          <t>PANTOPRAZOL SODICO SESQUI-HIDRATADO 40MG CX 30 COMP REV</t>
        </is>
      </c>
      <c r="E91" s="13" t="n">
        <v>1</v>
      </c>
      <c r="F91" s="13" t="n">
        <v>10</v>
      </c>
      <c r="G91" s="13" t="n">
        <v>10</v>
      </c>
      <c r="H91" s="8" t="n">
        <v>4.98</v>
      </c>
      <c r="I91" s="8">
        <f>G91*H91</f>
        <v/>
      </c>
      <c r="J91" s="8">
        <f>H91/E91</f>
        <v/>
      </c>
      <c r="K91" s="8" t="n">
        <v>3.99</v>
      </c>
      <c r="L91" s="8" t="n">
        <v>3.99</v>
      </c>
      <c r="M91" s="14">
        <f>J91/K91-1</f>
        <v/>
      </c>
      <c r="N91" s="7" t="inlineStr">
        <is>
          <t>ACIMA +24.8%</t>
        </is>
      </c>
      <c r="O91" s="7" t="inlineStr"/>
    </row>
    <row r="92">
      <c r="A92" s="7" t="n">
        <v>487921</v>
      </c>
      <c r="B92" s="7" t="inlineStr">
        <is>
          <t>5254</t>
        </is>
      </c>
      <c r="C92" s="12" t="inlineStr">
        <is>
          <t>7898100244485</t>
        </is>
      </c>
      <c r="D92" s="7" t="inlineStr">
        <is>
          <t>PETIVIT BC XPE FR 240ML</t>
        </is>
      </c>
      <c r="E92" s="13" t="n">
        <v>1</v>
      </c>
      <c r="F92" s="13" t="n">
        <v>33</v>
      </c>
      <c r="G92" s="13" t="n">
        <v>33</v>
      </c>
      <c r="H92" s="8" t="n">
        <v>8.199999999999999</v>
      </c>
      <c r="I92" s="8">
        <f>G92*H92</f>
        <v/>
      </c>
      <c r="J92" s="8">
        <f>H92/E92</f>
        <v/>
      </c>
      <c r="K92" s="8" t="n">
        <v>6.99</v>
      </c>
      <c r="L92" s="8" t="n">
        <v>6.99</v>
      </c>
      <c r="M92" s="14">
        <f>J92/K92-1</f>
        <v/>
      </c>
      <c r="N92" s="7" t="inlineStr">
        <is>
          <t>ACIMA +17.3%</t>
        </is>
      </c>
      <c r="O92" s="7" t="inlineStr"/>
    </row>
    <row r="93">
      <c r="A93" s="7" t="n">
        <v>274781</v>
      </c>
      <c r="B93" s="7" t="inlineStr">
        <is>
          <t>5255</t>
        </is>
      </c>
      <c r="C93" s="12" t="inlineStr">
        <is>
          <t>7898100243112</t>
        </is>
      </c>
      <c r="D93" s="7" t="inlineStr">
        <is>
          <t>PHITOSS 7MG/ML XPE FR 100ML PET</t>
        </is>
      </c>
      <c r="E93" s="13" t="n">
        <v>1</v>
      </c>
      <c r="F93" s="13" t="n">
        <v>22</v>
      </c>
      <c r="G93" s="13" t="n">
        <v>22</v>
      </c>
      <c r="H93" s="8" t="n">
        <v>5.67</v>
      </c>
      <c r="I93" s="8">
        <f>G93*H93</f>
        <v/>
      </c>
      <c r="J93" s="8">
        <f>H93/E93</f>
        <v/>
      </c>
      <c r="K93" s="8" t="n">
        <v>5.49</v>
      </c>
      <c r="L93" s="8" t="n">
        <v>5.49</v>
      </c>
      <c r="M93" s="14">
        <f>J93/K93-1</f>
        <v/>
      </c>
      <c r="N93" s="7" t="inlineStr">
        <is>
          <t>ACIMA +3.3%</t>
        </is>
      </c>
      <c r="O93" s="7" t="inlineStr"/>
    </row>
    <row r="94">
      <c r="A94" s="7" t="n">
        <v>485641</v>
      </c>
      <c r="B94" s="7" t="inlineStr">
        <is>
          <t>5333</t>
        </is>
      </c>
      <c r="C94" s="12" t="inlineStr">
        <is>
          <t>7908020503125</t>
        </is>
      </c>
      <c r="D94" s="7" t="inlineStr">
        <is>
          <t>POSLOV 1,5MG CX 1 COMP</t>
        </is>
      </c>
      <c r="E94" s="13" t="n">
        <v>1</v>
      </c>
      <c r="F94" s="13" t="n">
        <v>24</v>
      </c>
      <c r="G94" s="13" t="n">
        <v>24</v>
      </c>
      <c r="H94" s="8" t="n">
        <v>3.03</v>
      </c>
      <c r="I94" s="8">
        <f>G94*H94</f>
        <v/>
      </c>
      <c r="J94" s="8">
        <f>H94/E94</f>
        <v/>
      </c>
      <c r="K94" s="8" t="n">
        <v>1.31</v>
      </c>
      <c r="L94" s="8" t="n">
        <v>1.31</v>
      </c>
      <c r="M94" s="14">
        <f>J94/K94-1</f>
        <v/>
      </c>
      <c r="N94" s="7" t="inlineStr">
        <is>
          <t>ACIMA +131.3%</t>
        </is>
      </c>
      <c r="O94" s="7" t="inlineStr">
        <is>
          <t>conferir emb.</t>
        </is>
      </c>
    </row>
    <row r="95">
      <c r="A95" s="7" t="n">
        <v>393141</v>
      </c>
      <c r="B95" s="7" t="inlineStr">
        <is>
          <t>7499</t>
        </is>
      </c>
      <c r="C95" s="12" t="inlineStr">
        <is>
          <t>7896004755410</t>
        </is>
      </c>
      <c r="D95" s="7" t="inlineStr">
        <is>
          <t>PRAZY 20MG CX 4BL X 7 COMP REV</t>
        </is>
      </c>
      <c r="E95" s="13" t="n">
        <v>1</v>
      </c>
      <c r="F95" s="13" t="n">
        <v>2</v>
      </c>
      <c r="G95" s="13" t="n">
        <v>2</v>
      </c>
      <c r="H95" s="8" t="n">
        <v>7.16</v>
      </c>
      <c r="I95" s="8">
        <f>G95*H95</f>
        <v/>
      </c>
      <c r="J95" s="8">
        <f>H95/E95</f>
        <v/>
      </c>
      <c r="K95" s="8" t="n">
        <v>6.8</v>
      </c>
      <c r="L95" s="8" t="n">
        <v>6.6</v>
      </c>
      <c r="M95" s="14">
        <f>J95/K95-1</f>
        <v/>
      </c>
      <c r="N95" s="7" t="inlineStr">
        <is>
          <t>ACIMA +5.3%</t>
        </is>
      </c>
      <c r="O95" s="7" t="inlineStr"/>
    </row>
    <row r="96">
      <c r="A96" s="7" t="n">
        <v>407941</v>
      </c>
      <c r="B96" s="7" t="inlineStr">
        <is>
          <t>5360</t>
        </is>
      </c>
      <c r="C96" s="12" t="inlineStr">
        <is>
          <t>7898569765439</t>
        </is>
      </c>
      <c r="D96" s="7" t="inlineStr">
        <is>
          <t>PREDNISOLONA 20MG CX 10 COMP</t>
        </is>
      </c>
      <c r="E96" s="13" t="n">
        <v>1</v>
      </c>
      <c r="F96" s="13" t="n">
        <v>1</v>
      </c>
      <c r="G96" s="13" t="n">
        <v>1</v>
      </c>
      <c r="H96" s="8" t="n">
        <v>8.73</v>
      </c>
      <c r="I96" s="8">
        <f>G96*H96</f>
        <v/>
      </c>
      <c r="J96" s="8">
        <f>H96/E96</f>
        <v/>
      </c>
      <c r="K96" s="8" t="n">
        <v>6.82</v>
      </c>
      <c r="L96" s="8" t="n">
        <v>6.82</v>
      </c>
      <c r="M96" s="14">
        <f>J96/K96-1</f>
        <v/>
      </c>
      <c r="N96" s="7" t="inlineStr">
        <is>
          <t>ACIMA +28.0%</t>
        </is>
      </c>
      <c r="O96" s="7" t="inlineStr"/>
    </row>
    <row r="97">
      <c r="A97" s="7" t="n">
        <v>408041</v>
      </c>
      <c r="B97" s="7" t="inlineStr">
        <is>
          <t>5366</t>
        </is>
      </c>
      <c r="C97" s="12" t="inlineStr">
        <is>
          <t>7898569765514</t>
        </is>
      </c>
      <c r="D97" s="7" t="inlineStr">
        <is>
          <t>PREDNISOLONA 40MG CX 7 COMP</t>
        </is>
      </c>
      <c r="E97" s="13" t="n">
        <v>1</v>
      </c>
      <c r="F97" s="13" t="n">
        <v>6</v>
      </c>
      <c r="G97" s="13" t="n">
        <v>6</v>
      </c>
      <c r="H97" s="8" t="n">
        <v>10.4</v>
      </c>
      <c r="I97" s="8">
        <f>G97*H97</f>
        <v/>
      </c>
      <c r="J97" s="8">
        <f>H97/E97</f>
        <v/>
      </c>
      <c r="K97" s="8" t="n">
        <v>9.75</v>
      </c>
      <c r="L97" s="8" t="n">
        <v>9.75</v>
      </c>
      <c r="M97" s="14">
        <f>J97/K97-1</f>
        <v/>
      </c>
      <c r="N97" s="7" t="inlineStr">
        <is>
          <t>ACIMA +6.7%</t>
        </is>
      </c>
      <c r="O97" s="7" t="inlineStr"/>
    </row>
    <row r="98">
      <c r="A98" s="7" t="n">
        <v>657401</v>
      </c>
      <c r="B98" s="7" t="inlineStr">
        <is>
          <t>5477</t>
        </is>
      </c>
      <c r="C98" s="12" t="inlineStr">
        <is>
          <t>7898079002864</t>
        </is>
      </c>
      <c r="D98" s="7" t="inlineStr">
        <is>
          <t>PRES. PRUDENCE AROM MORANGAO C/03</t>
        </is>
      </c>
      <c r="E98" s="13" t="n">
        <v>1</v>
      </c>
      <c r="F98" s="13" t="n">
        <v>1</v>
      </c>
      <c r="G98" s="13" t="n">
        <v>1</v>
      </c>
      <c r="H98" s="8" t="n">
        <v>7.45</v>
      </c>
      <c r="I98" s="8">
        <f>G98*H98</f>
        <v/>
      </c>
      <c r="J98" s="8">
        <f>H98/E98</f>
        <v/>
      </c>
      <c r="K98" s="8" t="n">
        <v>6.64</v>
      </c>
      <c r="L98" s="8" t="n">
        <v>6.64</v>
      </c>
      <c r="M98" s="14">
        <f>J98/K98-1</f>
        <v/>
      </c>
      <c r="N98" s="7" t="inlineStr">
        <is>
          <t>ACIMA +12.2%</t>
        </is>
      </c>
      <c r="O98" s="7" t="inlineStr"/>
    </row>
    <row r="99">
      <c r="A99" s="7" t="n">
        <v>657391</v>
      </c>
      <c r="B99" s="7" t="inlineStr">
        <is>
          <t>5479</t>
        </is>
      </c>
      <c r="C99" s="12" t="inlineStr">
        <is>
          <t>7898079001300</t>
        </is>
      </c>
      <c r="D99" s="7" t="inlineStr">
        <is>
          <t>PRES. PRUDENCE AROM MORANGO C/06</t>
        </is>
      </c>
      <c r="E99" s="13" t="n">
        <v>1</v>
      </c>
      <c r="F99" s="13" t="n">
        <v>6</v>
      </c>
      <c r="G99" s="13" t="n">
        <v>6</v>
      </c>
      <c r="H99" s="8" t="n">
        <v>9.85</v>
      </c>
      <c r="I99" s="8">
        <f>G99*H99</f>
        <v/>
      </c>
      <c r="J99" s="8">
        <f>H99/E99</f>
        <v/>
      </c>
      <c r="K99" s="8" t="n">
        <v>8.390000000000001</v>
      </c>
      <c r="L99" s="8" t="n">
        <v>8.390000000000001</v>
      </c>
      <c r="M99" s="14">
        <f>J99/K99-1</f>
        <v/>
      </c>
      <c r="N99" s="7" t="inlineStr">
        <is>
          <t>ACIMA +17.4%</t>
        </is>
      </c>
      <c r="O99" s="7" t="inlineStr"/>
    </row>
    <row r="100">
      <c r="A100" s="7" t="n">
        <v>657381</v>
      </c>
      <c r="B100" s="7" t="inlineStr">
        <is>
          <t>5488</t>
        </is>
      </c>
      <c r="C100" s="12" t="inlineStr">
        <is>
          <t>7898079000259</t>
        </is>
      </c>
      <c r="D100" s="7" t="inlineStr">
        <is>
          <t>PRES. PRUDENCE EXT GRANDE ULTR SENS C/03</t>
        </is>
      </c>
      <c r="E100" s="13" t="n">
        <v>1</v>
      </c>
      <c r="F100" s="13" t="n">
        <v>5</v>
      </c>
      <c r="G100" s="13" t="n">
        <v>5</v>
      </c>
      <c r="H100" s="8" t="n">
        <v>7.69</v>
      </c>
      <c r="I100" s="8">
        <f>G100*H100</f>
        <v/>
      </c>
      <c r="J100" s="8">
        <f>H100/E100</f>
        <v/>
      </c>
      <c r="K100" s="8" t="n">
        <v>6.94</v>
      </c>
      <c r="L100" s="8" t="n">
        <v>6.94</v>
      </c>
      <c r="M100" s="14">
        <f>J100/K100-1</f>
        <v/>
      </c>
      <c r="N100" s="7" t="inlineStr">
        <is>
          <t>ACIMA +10.8%</t>
        </is>
      </c>
      <c r="O100" s="7" t="inlineStr"/>
    </row>
    <row r="101">
      <c r="A101" s="7" t="n">
        <v>657361</v>
      </c>
      <c r="B101" s="7" t="inlineStr">
        <is>
          <t>7646</t>
        </is>
      </c>
      <c r="C101" s="12" t="inlineStr">
        <is>
          <t>7898079003168</t>
        </is>
      </c>
      <c r="D101" s="7" t="inlineStr">
        <is>
          <t>PRES. PRUDENCE LUBRIFICADOS LEVE8 PAGUE6</t>
        </is>
      </c>
      <c r="E101" s="13" t="n">
        <v>1</v>
      </c>
      <c r="F101" s="13" t="n">
        <v>7</v>
      </c>
      <c r="G101" s="13" t="n">
        <v>7</v>
      </c>
      <c r="H101" s="8" t="n">
        <v>6.94</v>
      </c>
      <c r="I101" s="8">
        <f>G101*H101</f>
        <v/>
      </c>
      <c r="J101" s="8">
        <f>H101/E101</f>
        <v/>
      </c>
      <c r="K101" s="8" t="n">
        <v>6.88</v>
      </c>
      <c r="L101" s="8" t="n">
        <v>6.67</v>
      </c>
      <c r="M101" s="14">
        <f>J101/K101-1</f>
        <v/>
      </c>
      <c r="N101" s="7" t="inlineStr">
        <is>
          <t>ACIMA +0.9%</t>
        </is>
      </c>
      <c r="O101" s="7" t="inlineStr"/>
    </row>
    <row r="102">
      <c r="A102" s="7" t="n">
        <v>657341</v>
      </c>
      <c r="B102" s="7" t="inlineStr">
        <is>
          <t>5502</t>
        </is>
      </c>
      <c r="C102" s="12" t="inlineStr">
        <is>
          <t>7898079000549</t>
        </is>
      </c>
      <c r="D102" s="7" t="inlineStr">
        <is>
          <t>PRES. PRUDENCE SENSACOES SENS RETAR C/03</t>
        </is>
      </c>
      <c r="E102" s="13" t="n">
        <v>1</v>
      </c>
      <c r="F102" s="13" t="n">
        <v>2</v>
      </c>
      <c r="G102" s="13" t="n">
        <v>2</v>
      </c>
      <c r="H102" s="8" t="n">
        <v>8.859999999999999</v>
      </c>
      <c r="I102" s="8">
        <f>G102*H102</f>
        <v/>
      </c>
      <c r="J102" s="8">
        <f>H102/E102</f>
        <v/>
      </c>
      <c r="K102" s="8" t="n">
        <v>7.89</v>
      </c>
      <c r="L102" s="8" t="n">
        <v>7.89</v>
      </c>
      <c r="M102" s="14">
        <f>J102/K102-1</f>
        <v/>
      </c>
      <c r="N102" s="7" t="inlineStr">
        <is>
          <t>ACIMA +12.3%</t>
        </is>
      </c>
      <c r="O102" s="7" t="inlineStr"/>
    </row>
    <row r="103">
      <c r="A103" s="7" t="n">
        <v>569121</v>
      </c>
      <c r="B103" s="7" t="inlineStr">
        <is>
          <t>5435</t>
        </is>
      </c>
      <c r="C103" s="12" t="inlineStr">
        <is>
          <t>7896007200504</t>
        </is>
      </c>
      <c r="D103" s="7" t="inlineStr">
        <is>
          <t>PRESERV BLOWTEX ELITE C/3UN (BLO)</t>
        </is>
      </c>
      <c r="E103" s="13" t="n">
        <v>1</v>
      </c>
      <c r="F103" s="13" t="n">
        <v>5</v>
      </c>
      <c r="G103" s="13" t="n">
        <v>5</v>
      </c>
      <c r="H103" s="8" t="n">
        <v>1.37</v>
      </c>
      <c r="I103" s="8">
        <f>G103*H103</f>
        <v/>
      </c>
      <c r="J103" s="8">
        <f>H103/E103</f>
        <v/>
      </c>
      <c r="K103" s="8" t="n">
        <v>1.29</v>
      </c>
      <c r="L103" s="8" t="n">
        <v>1.18</v>
      </c>
      <c r="M103" s="14">
        <f>J103/K103-1</f>
        <v/>
      </c>
      <c r="N103" s="7" t="inlineStr">
        <is>
          <t>ACIMA +6.2%</t>
        </is>
      </c>
      <c r="O103" s="7" t="inlineStr"/>
    </row>
    <row r="104">
      <c r="A104" s="7" t="n">
        <v>641761</v>
      </c>
      <c r="B104" s="7" t="inlineStr">
        <is>
          <t>5438</t>
        </is>
      </c>
      <c r="C104" s="12" t="inlineStr">
        <is>
          <t>7896007202003</t>
        </is>
      </c>
      <c r="D104" s="7" t="inlineStr">
        <is>
          <t>PRESERV BLOWTEX LUBRIFICADO L9P6</t>
        </is>
      </c>
      <c r="E104" s="13" t="n">
        <v>1</v>
      </c>
      <c r="F104" s="13" t="n">
        <v>3</v>
      </c>
      <c r="G104" s="13" t="n">
        <v>3</v>
      </c>
      <c r="H104" s="8" t="n">
        <v>8.869999999999999</v>
      </c>
      <c r="I104" s="8">
        <f>G104*H104</f>
        <v/>
      </c>
      <c r="J104" s="8">
        <f>H104/E104</f>
        <v/>
      </c>
      <c r="K104" s="8" t="n">
        <v>8.26</v>
      </c>
      <c r="L104" s="8" t="n">
        <v>7.23</v>
      </c>
      <c r="M104" s="14">
        <f>J104/K104-1</f>
        <v/>
      </c>
      <c r="N104" s="7" t="inlineStr">
        <is>
          <t>ACIMA +7.4%</t>
        </is>
      </c>
      <c r="O104" s="7" t="inlineStr"/>
    </row>
    <row r="105">
      <c r="A105" s="7" t="n">
        <v>579341</v>
      </c>
      <c r="B105" s="7" t="inlineStr">
        <is>
          <t>5428</t>
        </is>
      </c>
      <c r="C105" s="12" t="inlineStr">
        <is>
          <t>7896007200344</t>
        </is>
      </c>
      <c r="D105" s="7" t="inlineStr">
        <is>
          <t>PRESERV BLOWTEX MENTA C/3UN (BLO)</t>
        </is>
      </c>
      <c r="E105" s="13" t="n">
        <v>1</v>
      </c>
      <c r="F105" s="13" t="n">
        <v>2</v>
      </c>
      <c r="G105" s="13" t="n">
        <v>2</v>
      </c>
      <c r="H105" s="8" t="n">
        <v>4.73</v>
      </c>
      <c r="I105" s="8">
        <f>G105*H105</f>
        <v/>
      </c>
      <c r="J105" s="8">
        <f>H105/E105</f>
        <v/>
      </c>
      <c r="K105" s="8" t="n">
        <v>4.33</v>
      </c>
      <c r="L105" s="8" t="n">
        <v>4.33</v>
      </c>
      <c r="M105" s="14">
        <f>J105/K105-1</f>
        <v/>
      </c>
      <c r="N105" s="7" t="inlineStr">
        <is>
          <t>ACIMA +9.2%</t>
        </is>
      </c>
      <c r="O105" s="7" t="inlineStr"/>
    </row>
    <row r="106">
      <c r="A106" s="7" t="n">
        <v>643211</v>
      </c>
      <c r="B106" s="7" t="inlineStr">
        <is>
          <t>5429</t>
        </is>
      </c>
      <c r="C106" s="12" t="inlineStr">
        <is>
          <t>7896007202348</t>
        </is>
      </c>
      <c r="D106" s="7" t="inlineStr">
        <is>
          <t>PRESERV BLOWTEX MENTA L9P6</t>
        </is>
      </c>
      <c r="E106" s="13" t="n">
        <v>1</v>
      </c>
      <c r="F106" s="13" t="n">
        <v>2</v>
      </c>
      <c r="G106" s="13" t="n">
        <v>2</v>
      </c>
      <c r="H106" s="8" t="n">
        <v>9.779999999999999</v>
      </c>
      <c r="I106" s="8">
        <f>G106*H106</f>
        <v/>
      </c>
      <c r="J106" s="8">
        <f>H106/E106</f>
        <v/>
      </c>
      <c r="K106" s="8" t="n">
        <v>7.72</v>
      </c>
      <c r="L106" s="8" t="n">
        <v>7.72</v>
      </c>
      <c r="M106" s="14">
        <f>J106/K106-1</f>
        <v/>
      </c>
      <c r="N106" s="7" t="inlineStr">
        <is>
          <t>ACIMA +26.7%</t>
        </is>
      </c>
      <c r="O106" s="7" t="inlineStr"/>
    </row>
    <row r="107">
      <c r="A107" s="7" t="n">
        <v>632781</v>
      </c>
      <c r="B107" s="7" t="inlineStr">
        <is>
          <t>5449</t>
        </is>
      </c>
      <c r="C107" s="12" t="inlineStr">
        <is>
          <t>7896007202720</t>
        </is>
      </c>
      <c r="D107" s="7" t="inlineStr">
        <is>
          <t>PRESERV BLOWTEX SENS EXTRA FINO 3UN</t>
        </is>
      </c>
      <c r="E107" s="13" t="n">
        <v>1</v>
      </c>
      <c r="F107" s="13" t="n">
        <v>3</v>
      </c>
      <c r="G107" s="13" t="n">
        <v>3</v>
      </c>
      <c r="H107" s="8" t="n">
        <v>8.1</v>
      </c>
      <c r="I107" s="8">
        <f>G107*H107</f>
        <v/>
      </c>
      <c r="J107" s="8">
        <f>H107/E107</f>
        <v/>
      </c>
      <c r="K107" s="8" t="n">
        <v>7.79</v>
      </c>
      <c r="L107" s="8" t="n">
        <v>7.16</v>
      </c>
      <c r="M107" s="14">
        <f>J107/K107-1</f>
        <v/>
      </c>
      <c r="N107" s="7" t="inlineStr">
        <is>
          <t>ACIMA +4.0%</t>
        </is>
      </c>
      <c r="O107" s="7" t="inlineStr"/>
    </row>
    <row r="108">
      <c r="A108" s="7" t="n">
        <v>579381</v>
      </c>
      <c r="B108" s="7" t="inlineStr">
        <is>
          <t>5453</t>
        </is>
      </c>
      <c r="C108" s="12" t="inlineStr">
        <is>
          <t>7896007201358</t>
        </is>
      </c>
      <c r="D108" s="7" t="inlineStr">
        <is>
          <t>PRESERV BLOWTEX SKYN ELITE C/3UN</t>
        </is>
      </c>
      <c r="E108" s="13" t="n">
        <v>1</v>
      </c>
      <c r="F108" s="13" t="n">
        <v>2</v>
      </c>
      <c r="G108" s="13" t="n">
        <v>2</v>
      </c>
      <c r="H108" s="8" t="n">
        <v>11.97</v>
      </c>
      <c r="I108" s="8">
        <f>G108*H108</f>
        <v/>
      </c>
      <c r="J108" s="8">
        <f>H108/E108</f>
        <v/>
      </c>
      <c r="K108" s="8" t="n">
        <v>8.91</v>
      </c>
      <c r="L108" s="8" t="n">
        <v>8.91</v>
      </c>
      <c r="M108" s="14">
        <f>J108/K108-1</f>
        <v/>
      </c>
      <c r="N108" s="7" t="inlineStr">
        <is>
          <t>ACIMA +34.3%</t>
        </is>
      </c>
      <c r="O108" s="7" t="inlineStr"/>
    </row>
    <row r="109">
      <c r="A109" s="7" t="n">
        <v>641781</v>
      </c>
      <c r="B109" s="7" t="inlineStr">
        <is>
          <t>5465</t>
        </is>
      </c>
      <c r="C109" s="12" t="inlineStr">
        <is>
          <t>7896007201297</t>
        </is>
      </c>
      <c r="D109" s="7" t="inlineStr">
        <is>
          <t>PRESERV BLOWTEX SKYN TEXTURIZADO 3UN</t>
        </is>
      </c>
      <c r="E109" s="13" t="n">
        <v>1</v>
      </c>
      <c r="F109" s="13" t="n">
        <v>4</v>
      </c>
      <c r="G109" s="13" t="n">
        <v>4</v>
      </c>
      <c r="H109" s="8" t="n">
        <v>11.97</v>
      </c>
      <c r="I109" s="8">
        <f>G109*H109</f>
        <v/>
      </c>
      <c r="J109" s="8">
        <f>H109/E109</f>
        <v/>
      </c>
      <c r="K109" s="8" t="n">
        <v>11.39</v>
      </c>
      <c r="L109" s="8" t="n">
        <v>10.69</v>
      </c>
      <c r="M109" s="14">
        <f>J109/K109-1</f>
        <v/>
      </c>
      <c r="N109" s="7" t="inlineStr">
        <is>
          <t>ACIMA +5.1%</t>
        </is>
      </c>
      <c r="O109" s="7" t="inlineStr"/>
    </row>
    <row r="110">
      <c r="A110" s="7" t="n">
        <v>579321</v>
      </c>
      <c r="B110" s="7" t="inlineStr">
        <is>
          <t>5427</t>
        </is>
      </c>
      <c r="C110" s="12" t="inlineStr">
        <is>
          <t>7896007200368</t>
        </is>
      </c>
      <c r="D110" s="7" t="inlineStr">
        <is>
          <t>PRESERV BLOWTEX TUTTI-FRUTTI C/3UN (BLO)</t>
        </is>
      </c>
      <c r="E110" s="13" t="n">
        <v>1</v>
      </c>
      <c r="F110" s="13" t="n">
        <v>3</v>
      </c>
      <c r="G110" s="13" t="n">
        <v>3</v>
      </c>
      <c r="H110" s="8" t="n">
        <v>4.98</v>
      </c>
      <c r="I110" s="8">
        <f>G110*H110</f>
        <v/>
      </c>
      <c r="J110" s="8">
        <f>H110/E110</f>
        <v/>
      </c>
      <c r="K110" s="8" t="n">
        <v>4.288</v>
      </c>
      <c r="L110" s="8" t="n">
        <v>4.288</v>
      </c>
      <c r="M110" s="14">
        <f>J110/K110-1</f>
        <v/>
      </c>
      <c r="N110" s="7" t="inlineStr">
        <is>
          <t>ACIMA +16.1%</t>
        </is>
      </c>
      <c r="O110" s="7" t="inlineStr"/>
    </row>
    <row r="111">
      <c r="A111" s="7" t="n">
        <v>595671</v>
      </c>
      <c r="B111" s="7" t="inlineStr">
        <is>
          <t>5500</t>
        </is>
      </c>
      <c r="C111" s="12" t="inlineStr">
        <is>
          <t>7898079006404</t>
        </is>
      </c>
      <c r="D111" s="7" t="inlineStr">
        <is>
          <t>PRESERV PRUDENCE EF RET 8 OF</t>
        </is>
      </c>
      <c r="E111" s="13" t="n">
        <v>1</v>
      </c>
      <c r="F111" s="13" t="n">
        <v>3</v>
      </c>
      <c r="G111" s="13" t="n">
        <v>3</v>
      </c>
      <c r="H111" s="8" t="n">
        <v>14.79</v>
      </c>
      <c r="I111" s="8">
        <f>G111*H111</f>
        <v/>
      </c>
      <c r="J111" s="8">
        <f>H111/E111</f>
        <v/>
      </c>
      <c r="K111" s="8" t="n">
        <v>12.99</v>
      </c>
      <c r="L111" s="8" t="n">
        <v>12.99</v>
      </c>
      <c r="M111" s="14">
        <f>J111/K111-1</f>
        <v/>
      </c>
      <c r="N111" s="7" t="inlineStr">
        <is>
          <t>ACIMA +13.9%</t>
        </is>
      </c>
      <c r="O111" s="7" t="inlineStr"/>
    </row>
    <row r="112">
      <c r="A112" s="7" t="n">
        <v>595661</v>
      </c>
      <c r="B112" s="7" t="inlineStr">
        <is>
          <t>5489</t>
        </is>
      </c>
      <c r="C112" s="12" t="inlineStr">
        <is>
          <t>7898079000433</t>
        </is>
      </c>
      <c r="D112" s="7" t="inlineStr">
        <is>
          <t>PRESERV PRUDENCE EG US 8 OF</t>
        </is>
      </c>
      <c r="E112" s="13" t="n">
        <v>1</v>
      </c>
      <c r="F112" s="13" t="n">
        <v>4</v>
      </c>
      <c r="G112" s="13" t="n">
        <v>4</v>
      </c>
      <c r="H112" s="8" t="n">
        <v>13.71</v>
      </c>
      <c r="I112" s="8">
        <f>G112*H112</f>
        <v/>
      </c>
      <c r="J112" s="8">
        <f>H112/E112</f>
        <v/>
      </c>
      <c r="K112" s="8" t="n">
        <v>11.88</v>
      </c>
      <c r="L112" s="8" t="n">
        <v>11.88</v>
      </c>
      <c r="M112" s="14">
        <f>J112/K112-1</f>
        <v/>
      </c>
      <c r="N112" s="7" t="inlineStr">
        <is>
          <t>ACIMA +15.4%</t>
        </is>
      </c>
      <c r="O112" s="7" t="inlineStr"/>
    </row>
    <row r="113">
      <c r="A113" s="7" t="n">
        <v>595641</v>
      </c>
      <c r="B113" s="7" t="inlineStr">
        <is>
          <t>5495</t>
        </is>
      </c>
      <c r="C113" s="12" t="inlineStr">
        <is>
          <t>7898079006770</t>
        </is>
      </c>
      <c r="D113" s="7" t="inlineStr">
        <is>
          <t>PRESERV PRUDENCE MIX 6X8 OF</t>
        </is>
      </c>
      <c r="E113" s="13" t="n">
        <v>1</v>
      </c>
      <c r="F113" s="13" t="n">
        <v>2</v>
      </c>
      <c r="G113" s="13" t="n">
        <v>2</v>
      </c>
      <c r="H113" s="8" t="n">
        <v>9.81</v>
      </c>
      <c r="I113" s="8">
        <f>G113*H113</f>
        <v/>
      </c>
      <c r="J113" s="8">
        <f>H113/E113</f>
        <v/>
      </c>
      <c r="K113" s="8" t="n">
        <v>8.539999999999999</v>
      </c>
      <c r="L113" s="8" t="n">
        <v>8.539999999999999</v>
      </c>
      <c r="M113" s="14">
        <f>J113/K113-1</f>
        <v/>
      </c>
      <c r="N113" s="7" t="inlineStr">
        <is>
          <t>ACIMA +14.9%</t>
        </is>
      </c>
      <c r="O113" s="7" t="inlineStr"/>
    </row>
    <row r="114">
      <c r="A114" s="7" t="n">
        <v>595621</v>
      </c>
      <c r="B114" s="7" t="inlineStr">
        <is>
          <t>5480</t>
        </is>
      </c>
      <c r="C114" s="12" t="inlineStr">
        <is>
          <t>7898079000358</t>
        </is>
      </c>
      <c r="D114" s="7" t="inlineStr">
        <is>
          <t>PRESERV PRUDENCE T FRUTTI 12UN</t>
        </is>
      </c>
      <c r="E114" s="13" t="n">
        <v>1</v>
      </c>
      <c r="F114" s="13" t="n">
        <v>1</v>
      </c>
      <c r="G114" s="13" t="n">
        <v>1</v>
      </c>
      <c r="H114" s="8" t="n">
        <v>4.18</v>
      </c>
      <c r="I114" s="8">
        <f>G114*H114</f>
        <v/>
      </c>
      <c r="J114" s="8">
        <f>H114/E114</f>
        <v/>
      </c>
      <c r="K114" s="8" t="n">
        <v>5.13</v>
      </c>
      <c r="L114" s="8" t="n">
        <v>4.97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595611</v>
      </c>
      <c r="B115" s="7" t="inlineStr">
        <is>
          <t>5514</t>
        </is>
      </c>
      <c r="C115" s="12" t="inlineStr">
        <is>
          <t>7898079002963</t>
        </is>
      </c>
      <c r="D115" s="7" t="inlineStr">
        <is>
          <t>PRESERV PRUDENCE ULT S 6X8 OF</t>
        </is>
      </c>
      <c r="E115" s="13" t="n">
        <v>1</v>
      </c>
      <c r="F115" s="13" t="n">
        <v>7</v>
      </c>
      <c r="G115" s="13" t="n">
        <v>7</v>
      </c>
      <c r="H115" s="8" t="n">
        <v>10.52</v>
      </c>
      <c r="I115" s="8">
        <f>G115*H115</f>
        <v/>
      </c>
      <c r="J115" s="8">
        <f>H115/E115</f>
        <v/>
      </c>
      <c r="K115" s="8" t="n">
        <v>9.99</v>
      </c>
      <c r="L115" s="8" t="n">
        <v>9.69</v>
      </c>
      <c r="M115" s="14">
        <f>J115/K115-1</f>
        <v/>
      </c>
      <c r="N115" s="7" t="inlineStr">
        <is>
          <t>ACIMA +5.3%</t>
        </is>
      </c>
      <c r="O115" s="7" t="inlineStr"/>
    </row>
    <row r="116">
      <c r="A116" s="7" t="n">
        <v>595601</v>
      </c>
      <c r="B116" s="7" t="inlineStr">
        <is>
          <t>5515</t>
        </is>
      </c>
      <c r="C116" s="12" t="inlineStr">
        <is>
          <t>7898079000136</t>
        </is>
      </c>
      <c r="D116" s="7" t="inlineStr">
        <is>
          <t>PRESERV PRUDENCE ULTRA S 3UN</t>
        </is>
      </c>
      <c r="E116" s="13" t="n">
        <v>1</v>
      </c>
      <c r="F116" s="13" t="n">
        <v>2</v>
      </c>
      <c r="G116" s="13" t="n">
        <v>2</v>
      </c>
      <c r="H116" s="8" t="n">
        <v>6.6</v>
      </c>
      <c r="I116" s="8">
        <f>G116*H116</f>
        <v/>
      </c>
      <c r="J116" s="8">
        <f>H116/E116</f>
        <v/>
      </c>
      <c r="K116" s="8" t="n">
        <v>5.89</v>
      </c>
      <c r="L116" s="8" t="n">
        <v>5.89</v>
      </c>
      <c r="M116" s="14">
        <f>J116/K116-1</f>
        <v/>
      </c>
      <c r="N116" s="7" t="inlineStr">
        <is>
          <t>ACIMA +12.1%</t>
        </is>
      </c>
      <c r="O116" s="7" t="inlineStr"/>
    </row>
    <row r="117">
      <c r="A117" s="7" t="n">
        <v>585221</v>
      </c>
      <c r="B117" s="7" t="inlineStr">
        <is>
          <t>5439</t>
        </is>
      </c>
      <c r="C117" s="12" t="inlineStr">
        <is>
          <t>7896007200313</t>
        </is>
      </c>
      <c r="D117" s="7" t="inlineStr">
        <is>
          <t>PRESERV. BLOWTEX LUB.12X3</t>
        </is>
      </c>
      <c r="E117" s="13" t="n">
        <v>1</v>
      </c>
      <c r="F117" s="13" t="n">
        <v>4</v>
      </c>
      <c r="G117" s="13" t="n">
        <v>4</v>
      </c>
      <c r="H117" s="8" t="n">
        <v>4.23</v>
      </c>
      <c r="I117" s="8">
        <f>G117*H117</f>
        <v/>
      </c>
      <c r="J117" s="8">
        <f>H117/E117</f>
        <v/>
      </c>
      <c r="K117" s="8" t="n">
        <v>4.02</v>
      </c>
      <c r="L117" s="8" t="n">
        <v>3.99</v>
      </c>
      <c r="M117" s="14">
        <f>J117/K117-1</f>
        <v/>
      </c>
      <c r="N117" s="7" t="inlineStr">
        <is>
          <t>ACIMA +5.2%</t>
        </is>
      </c>
      <c r="O117" s="7" t="inlineStr"/>
    </row>
    <row r="118">
      <c r="A118" s="7" t="n">
        <v>585281</v>
      </c>
      <c r="B118" s="7" t="inlineStr">
        <is>
          <t>5498</t>
        </is>
      </c>
      <c r="C118" s="12" t="inlineStr">
        <is>
          <t>7898079000129</t>
        </is>
      </c>
      <c r="D118" s="7" t="inlineStr">
        <is>
          <t>PRESERV. PRUDENCE EF. RETA.12X3</t>
        </is>
      </c>
      <c r="E118" s="13" t="n">
        <v>1</v>
      </c>
      <c r="F118" s="13" t="n">
        <v>1</v>
      </c>
      <c r="G118" s="13" t="n">
        <v>1</v>
      </c>
      <c r="H118" s="8" t="n">
        <v>8.460000000000001</v>
      </c>
      <c r="I118" s="8">
        <f>G118*H118</f>
        <v/>
      </c>
      <c r="J118" s="8">
        <f>H118/E118</f>
        <v/>
      </c>
      <c r="K118" s="8" t="n">
        <v>7.57</v>
      </c>
      <c r="L118" s="8" t="n">
        <v>7.57</v>
      </c>
      <c r="M118" s="14">
        <f>J118/K118-1</f>
        <v/>
      </c>
      <c r="N118" s="7" t="inlineStr">
        <is>
          <t>ACIMA +11.8%</t>
        </is>
      </c>
      <c r="O118" s="7" t="inlineStr"/>
    </row>
    <row r="119">
      <c r="A119" s="7" t="n">
        <v>585321</v>
      </c>
      <c r="B119" s="7" t="inlineStr">
        <is>
          <t>5484</t>
        </is>
      </c>
      <c r="C119" s="12" t="inlineStr">
        <is>
          <t>7898079003021</t>
        </is>
      </c>
      <c r="D119" s="7" t="inlineStr">
        <is>
          <t>PRESERV. PRUDENCE LUB.12X3</t>
        </is>
      </c>
      <c r="E119" s="13" t="n">
        <v>1</v>
      </c>
      <c r="F119" s="13" t="n">
        <v>3</v>
      </c>
      <c r="G119" s="13" t="n">
        <v>3</v>
      </c>
      <c r="H119" s="8" t="n">
        <v>3.93</v>
      </c>
      <c r="I119" s="8">
        <f>G119*H119</f>
        <v/>
      </c>
      <c r="J119" s="8">
        <f>H119/E119</f>
        <v/>
      </c>
      <c r="K119" s="8" t="n">
        <v>3.91</v>
      </c>
      <c r="L119" s="8" t="n">
        <v>3.91</v>
      </c>
      <c r="M119" s="14">
        <f>J119/K119-1</f>
        <v/>
      </c>
      <c r="N119" s="7" t="inlineStr">
        <is>
          <t>ACIMA +0.5%</t>
        </is>
      </c>
      <c r="O119" s="7" t="inlineStr"/>
    </row>
    <row r="120">
      <c r="A120" s="7" t="n">
        <v>585341</v>
      </c>
      <c r="B120" s="7" t="inlineStr">
        <is>
          <t>5476</t>
        </is>
      </c>
      <c r="C120" s="12" t="inlineStr">
        <is>
          <t>7898079000495</t>
        </is>
      </c>
      <c r="D120" s="7" t="inlineStr">
        <is>
          <t>PRESERV. PRUDENCE MELANCIA 12X3</t>
        </is>
      </c>
      <c r="E120" s="13" t="n">
        <v>1</v>
      </c>
      <c r="F120" s="13" t="n">
        <v>7</v>
      </c>
      <c r="G120" s="13" t="n">
        <v>7</v>
      </c>
      <c r="H120" s="8" t="n">
        <v>4.76</v>
      </c>
      <c r="I120" s="8">
        <f>G120*H120</f>
        <v/>
      </c>
      <c r="J120" s="8">
        <f>H120/E120</f>
        <v/>
      </c>
      <c r="K120" s="8" t="n">
        <v>5.5</v>
      </c>
      <c r="L120" s="8" t="n">
        <v>5.5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585361</v>
      </c>
      <c r="B121" s="7" t="inlineStr">
        <is>
          <t>5478</t>
        </is>
      </c>
      <c r="C121" s="12" t="inlineStr">
        <is>
          <t>7898079000303</t>
        </is>
      </c>
      <c r="D121" s="7" t="inlineStr">
        <is>
          <t>PRESERV. PRUDENCE MORANGO 12X3</t>
        </is>
      </c>
      <c r="E121" s="13" t="n">
        <v>1</v>
      </c>
      <c r="F121" s="13" t="n">
        <v>7</v>
      </c>
      <c r="G121" s="13" t="n">
        <v>7</v>
      </c>
      <c r="H121" s="8" t="n">
        <v>5.18</v>
      </c>
      <c r="I121" s="8">
        <f>G121*H121</f>
        <v/>
      </c>
      <c r="J121" s="8">
        <f>H121/E121</f>
        <v/>
      </c>
      <c r="K121" s="8" t="n">
        <v>4.92</v>
      </c>
      <c r="L121" s="8" t="n">
        <v>4.92</v>
      </c>
      <c r="M121" s="14">
        <f>J121/K121-1</f>
        <v/>
      </c>
      <c r="N121" s="7" t="inlineStr">
        <is>
          <t>ACIMA +5.3%</t>
        </is>
      </c>
      <c r="O121" s="7" t="inlineStr"/>
    </row>
    <row r="122">
      <c r="A122" s="7" t="n">
        <v>585381</v>
      </c>
      <c r="B122" s="7" t="inlineStr">
        <is>
          <t>5482</t>
        </is>
      </c>
      <c r="C122" s="12" t="inlineStr">
        <is>
          <t>7898079000327</t>
        </is>
      </c>
      <c r="D122" s="7" t="inlineStr">
        <is>
          <t>PRESERV. PRUDENCE UVA 12X3</t>
        </is>
      </c>
      <c r="E122" s="13" t="n">
        <v>1</v>
      </c>
      <c r="F122" s="13" t="n">
        <v>7</v>
      </c>
      <c r="G122" s="13" t="n">
        <v>7</v>
      </c>
      <c r="H122" s="8" t="n">
        <v>3.8</v>
      </c>
      <c r="I122" s="8">
        <f>G122*H122</f>
        <v/>
      </c>
      <c r="J122" s="8">
        <f>H122/E122</f>
        <v/>
      </c>
      <c r="K122" s="8" t="n">
        <v>5.17</v>
      </c>
      <c r="L122" s="8" t="n">
        <v>5.17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595631</v>
      </c>
      <c r="B123" s="7" t="inlineStr">
        <is>
          <t>5504</t>
        </is>
      </c>
      <c r="C123" s="12" t="inlineStr">
        <is>
          <t>7898079002499</t>
        </is>
      </c>
      <c r="D123" s="7" t="inlineStr">
        <is>
          <t>PRESERV.PRUDENCE SUPER 03UN</t>
        </is>
      </c>
      <c r="E123" s="13" t="n">
        <v>1</v>
      </c>
      <c r="F123" s="13" t="n">
        <v>4</v>
      </c>
      <c r="G123" s="13" t="n">
        <v>4</v>
      </c>
      <c r="H123" s="8" t="n">
        <v>8.56</v>
      </c>
      <c r="I123" s="8">
        <f>G123*H123</f>
        <v/>
      </c>
      <c r="J123" s="8">
        <f>H123/E123</f>
        <v/>
      </c>
      <c r="K123" s="8" t="n">
        <v>7.63</v>
      </c>
      <c r="L123" s="8" t="n">
        <v>7.63</v>
      </c>
      <c r="M123" s="14">
        <f>J123/K123-1</f>
        <v/>
      </c>
      <c r="N123" s="7" t="inlineStr">
        <is>
          <t>ACIMA +12.2%</t>
        </is>
      </c>
      <c r="O123" s="7" t="inlineStr"/>
    </row>
    <row r="124">
      <c r="A124" s="7" t="n">
        <v>662501</v>
      </c>
      <c r="B124" s="7" t="inlineStr">
        <is>
          <t>5483</t>
        </is>
      </c>
      <c r="C124" s="12" t="inlineStr">
        <is>
          <t>7898079000938</t>
        </is>
      </c>
      <c r="D124" s="7" t="inlineStr">
        <is>
          <t>PRESERVATIVO PRUDENCE C S MIX TROPICAL LV8 PG6</t>
        </is>
      </c>
      <c r="E124" s="13" t="n">
        <v>1</v>
      </c>
      <c r="F124" s="13" t="n">
        <v>2</v>
      </c>
      <c r="G124" s="13" t="n">
        <v>2</v>
      </c>
      <c r="H124" s="8" t="n">
        <v>9.859999999999999</v>
      </c>
      <c r="I124" s="8">
        <f>G124*H124</f>
        <v/>
      </c>
      <c r="J124" s="8">
        <f>H124/E124</f>
        <v/>
      </c>
      <c r="K124" s="8" t="n">
        <v>8.539999999999999</v>
      </c>
      <c r="L124" s="8" t="n">
        <v>8.539999999999999</v>
      </c>
      <c r="M124" s="14">
        <f>J124/K124-1</f>
        <v/>
      </c>
      <c r="N124" s="7" t="inlineStr">
        <is>
          <t>ACIMA +15.5%</t>
        </is>
      </c>
      <c r="O124" s="7" t="inlineStr"/>
    </row>
    <row r="125">
      <c r="A125" s="7" t="n">
        <v>492781</v>
      </c>
      <c r="B125" s="7" t="inlineStr">
        <is>
          <t>8044</t>
        </is>
      </c>
      <c r="C125" s="12" t="inlineStr">
        <is>
          <t>7896004778341</t>
        </is>
      </c>
      <c r="D125" s="7" t="inlineStr">
        <is>
          <t>PVV - ALLOVITA 50MG/ML SOL CAPI 3 FR 50ML(UNIDADE)</t>
        </is>
      </c>
      <c r="E125" s="13" t="n">
        <v>1</v>
      </c>
      <c r="F125" s="13" t="n">
        <v>2</v>
      </c>
      <c r="G125" s="13" t="n">
        <v>2</v>
      </c>
      <c r="H125" s="8" t="n">
        <v>81.64</v>
      </c>
      <c r="I125" s="8">
        <f>G125*H125</f>
        <v/>
      </c>
      <c r="J125" s="8">
        <f>H125/E125</f>
        <v/>
      </c>
      <c r="K125" s="8" t="n">
        <v>47.24</v>
      </c>
      <c r="L125" s="8" t="n">
        <v>47.24</v>
      </c>
      <c r="M125" s="14">
        <f>J125/K125-1</f>
        <v/>
      </c>
      <c r="N125" s="7" t="inlineStr">
        <is>
          <t>ACIMA +72.8%</t>
        </is>
      </c>
      <c r="O125" s="7" t="inlineStr"/>
    </row>
    <row r="126">
      <c r="A126" s="7" t="n">
        <v>70701</v>
      </c>
      <c r="B126" s="7" t="inlineStr">
        <is>
          <t>2697</t>
        </is>
      </c>
      <c r="C126" s="12" t="inlineStr">
        <is>
          <t>7897917001380</t>
        </is>
      </c>
      <c r="D126" s="7" t="inlineStr">
        <is>
          <t>PVV - BELSPAN 333,4+6,67MG SOL OR FR GTS 20ML</t>
        </is>
      </c>
      <c r="E126" s="13" t="n">
        <v>1</v>
      </c>
      <c r="F126" s="13" t="n">
        <v>2</v>
      </c>
      <c r="G126" s="13" t="n">
        <v>2</v>
      </c>
      <c r="H126" s="8" t="n">
        <v>8.449999999999999</v>
      </c>
      <c r="I126" s="8">
        <f>G126*H126</f>
        <v/>
      </c>
      <c r="J126" s="8">
        <f>H126/E126</f>
        <v/>
      </c>
      <c r="K126" s="8" t="n">
        <v>6.15</v>
      </c>
      <c r="L126" s="8" t="n">
        <v>6.15</v>
      </c>
      <c r="M126" s="14">
        <f>J126/K126-1</f>
        <v/>
      </c>
      <c r="N126" s="7" t="inlineStr">
        <is>
          <t>ACIMA +37.4%</t>
        </is>
      </c>
      <c r="O126" s="7" t="inlineStr"/>
    </row>
    <row r="127">
      <c r="A127" s="7" t="n">
        <v>647251</v>
      </c>
      <c r="B127" s="7" t="inlineStr">
        <is>
          <t>6766</t>
        </is>
      </c>
      <c r="C127" s="12" t="inlineStr">
        <is>
          <t>7896023716430</t>
        </is>
      </c>
      <c r="D127" s="7" t="inlineStr">
        <is>
          <t>PVV - VITAMINA C 1G C/30 CPR</t>
        </is>
      </c>
      <c r="E127" s="13" t="n">
        <v>1</v>
      </c>
      <c r="F127" s="13" t="n">
        <v>1</v>
      </c>
      <c r="G127" s="13" t="n">
        <v>1</v>
      </c>
      <c r="H127" s="8" t="n">
        <v>32.49</v>
      </c>
      <c r="I127" s="8">
        <f>G127*H127</f>
        <v/>
      </c>
      <c r="J127" s="8">
        <f>H127/E127</f>
        <v/>
      </c>
      <c r="K127" s="8" t="n">
        <v>24.6</v>
      </c>
      <c r="L127" s="8" t="n">
        <v>24.6</v>
      </c>
      <c r="M127" s="14">
        <f>J127/K127-1</f>
        <v/>
      </c>
      <c r="N127" s="7" t="inlineStr">
        <is>
          <t>ACIMA +32.1%</t>
        </is>
      </c>
      <c r="O127" s="7" t="inlineStr"/>
    </row>
    <row r="128">
      <c r="A128" s="7" t="n">
        <v>643331</v>
      </c>
      <c r="B128" s="7" t="inlineStr">
        <is>
          <t>3</t>
        </is>
      </c>
      <c r="C128" s="12" t="inlineStr">
        <is>
          <t>7899941202016</t>
        </is>
      </c>
      <c r="D128" s="7" t="inlineStr">
        <is>
          <t>REFIL 100% WHEY MAX TITANIUM BAUNILHA 900G</t>
        </is>
      </c>
      <c r="E128" s="13" t="n">
        <v>1</v>
      </c>
      <c r="F128" s="13" t="n">
        <v>1</v>
      </c>
      <c r="G128" s="13" t="n">
        <v>1</v>
      </c>
      <c r="H128" s="8" t="n">
        <v>145.73</v>
      </c>
      <c r="I128" s="8">
        <f>G128*H128</f>
        <v/>
      </c>
      <c r="J128" s="8">
        <f>H128/E128</f>
        <v/>
      </c>
      <c r="K128" s="8" t="n">
        <v>117.03</v>
      </c>
      <c r="L128" s="8" t="n">
        <v>101.11</v>
      </c>
      <c r="M128" s="14">
        <f>J128/K128-1</f>
        <v/>
      </c>
      <c r="N128" s="7" t="inlineStr">
        <is>
          <t>ACIMA +24.5%</t>
        </is>
      </c>
      <c r="O128" s="7" t="inlineStr"/>
    </row>
    <row r="129">
      <c r="A129" s="7" t="n">
        <v>609371</v>
      </c>
      <c r="B129" s="7" t="inlineStr">
        <is>
          <t>5</t>
        </is>
      </c>
      <c r="C129" s="12" t="inlineStr">
        <is>
          <t>7899941201729</t>
        </is>
      </c>
      <c r="D129" s="7" t="inlineStr">
        <is>
          <t>REFIL 100% WHEY MAX TITANIUM CHOCOLATE 900G</t>
        </is>
      </c>
      <c r="E129" s="13" t="n">
        <v>1</v>
      </c>
      <c r="F129" s="13" t="n">
        <v>1</v>
      </c>
      <c r="G129" s="13" t="n">
        <v>1</v>
      </c>
      <c r="H129" s="8" t="n">
        <v>167.09</v>
      </c>
      <c r="I129" s="8">
        <f>G129*H129</f>
        <v/>
      </c>
      <c r="J129" s="8">
        <f>H129/E129</f>
        <v/>
      </c>
      <c r="K129" s="8" t="n">
        <v>125.03</v>
      </c>
      <c r="L129" s="8" t="n">
        <v>117.03</v>
      </c>
      <c r="M129" s="14">
        <f>J129/K129-1</f>
        <v/>
      </c>
      <c r="N129" s="7" t="inlineStr">
        <is>
          <t>ACIMA +33.6%</t>
        </is>
      </c>
      <c r="O129" s="7" t="inlineStr"/>
    </row>
    <row r="130">
      <c r="A130" s="7" t="n">
        <v>618891</v>
      </c>
      <c r="B130" s="7" t="inlineStr">
        <is>
          <t>8</t>
        </is>
      </c>
      <c r="C130" s="12" t="inlineStr">
        <is>
          <t>7899941202023</t>
        </is>
      </c>
      <c r="D130" s="7" t="inlineStr">
        <is>
          <t>REFIL 100% WHEY MAX TITANIUM COOKIES E CREAM 900G</t>
        </is>
      </c>
      <c r="E130" s="13" t="n">
        <v>1</v>
      </c>
      <c r="F130" s="13" t="n">
        <v>1</v>
      </c>
      <c r="G130" s="13" t="n">
        <v>1</v>
      </c>
      <c r="H130" s="8" t="n">
        <v>169.8</v>
      </c>
      <c r="I130" s="8">
        <f>G130*H130</f>
        <v/>
      </c>
      <c r="J130" s="8">
        <f>H130/E130</f>
        <v/>
      </c>
      <c r="K130" s="8" t="n">
        <v>127.93</v>
      </c>
      <c r="L130" s="8" t="n">
        <v>101.11</v>
      </c>
      <c r="M130" s="14">
        <f>J130/K130-1</f>
        <v/>
      </c>
      <c r="N130" s="7" t="inlineStr">
        <is>
          <t>ACIMA +32.7%</t>
        </is>
      </c>
      <c r="O130" s="7" t="inlineStr"/>
    </row>
    <row r="131">
      <c r="A131" s="7" t="n">
        <v>643321</v>
      </c>
      <c r="B131" s="7" t="inlineStr">
        <is>
          <t>10</t>
        </is>
      </c>
      <c r="C131" s="12" t="inlineStr">
        <is>
          <t>7899941201712</t>
        </is>
      </c>
      <c r="D131" s="7" t="inlineStr">
        <is>
          <t>REFIL 100% WHEY MAX TITANIUM MORANGO  900G</t>
        </is>
      </c>
      <c r="E131" s="13" t="n">
        <v>1</v>
      </c>
      <c r="F131" s="13" t="n">
        <v>2</v>
      </c>
      <c r="G131" s="13" t="n">
        <v>2</v>
      </c>
      <c r="H131" s="8" t="n">
        <v>177.22</v>
      </c>
      <c r="I131" s="8">
        <f>G131*H131</f>
        <v/>
      </c>
      <c r="J131" s="8">
        <f>H131/E131</f>
        <v/>
      </c>
      <c r="K131" s="8" t="n">
        <v>127.93</v>
      </c>
      <c r="L131" s="8" t="n">
        <v>101.11</v>
      </c>
      <c r="M131" s="14">
        <f>J131/K131-1</f>
        <v/>
      </c>
      <c r="N131" s="7" t="inlineStr">
        <is>
          <t>ACIMA +38.5%</t>
        </is>
      </c>
      <c r="O131" s="7" t="inlineStr"/>
    </row>
    <row r="132">
      <c r="A132" s="7" t="n">
        <v>2193</v>
      </c>
      <c r="B132" s="7" t="inlineStr">
        <is>
          <t>5740</t>
        </is>
      </c>
      <c r="C132" s="12" t="inlineStr">
        <is>
          <t>7896902212497</t>
        </is>
      </c>
      <c r="D132" s="7" t="inlineStr">
        <is>
          <t>REPELENTE BABY FARMAX MOSKITOFF 100ML</t>
        </is>
      </c>
      <c r="E132" s="13" t="n">
        <v>1</v>
      </c>
      <c r="F132" s="13" t="n">
        <v>1</v>
      </c>
      <c r="G132" s="13" t="n">
        <v>1</v>
      </c>
      <c r="H132" s="8" t="n">
        <v>16.83</v>
      </c>
      <c r="I132" s="8">
        <f>G132*H132</f>
        <v/>
      </c>
      <c r="J132" s="8">
        <f>H132/E132</f>
        <v/>
      </c>
      <c r="K132" s="8" t="n">
        <v>20.39</v>
      </c>
      <c r="L132" s="8" t="n">
        <v>20.39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315381</v>
      </c>
      <c r="B133" s="7" t="inlineStr">
        <is>
          <t>7505</t>
        </is>
      </c>
      <c r="C133" s="12" t="inlineStr">
        <is>
          <t>7896004715247</t>
        </is>
      </c>
      <c r="D133" s="7" t="inlineStr">
        <is>
          <t>REPOFLOR 100MG FR 12 CAP</t>
        </is>
      </c>
      <c r="E133" s="13" t="n">
        <v>1</v>
      </c>
      <c r="F133" s="13" t="n">
        <v>7</v>
      </c>
      <c r="G133" s="13" t="n">
        <v>7</v>
      </c>
      <c r="H133" s="8" t="n">
        <v>24.67</v>
      </c>
      <c r="I133" s="8">
        <f>G133*H133</f>
        <v/>
      </c>
      <c r="J133" s="8">
        <f>H133/E133</f>
        <v/>
      </c>
      <c r="K133" s="8" t="n">
        <v>22.17</v>
      </c>
      <c r="L133" s="8" t="n">
        <v>14.55</v>
      </c>
      <c r="M133" s="14">
        <f>J133/K133-1</f>
        <v/>
      </c>
      <c r="N133" s="7" t="inlineStr">
        <is>
          <t>ACIMA +11.3%</t>
        </is>
      </c>
      <c r="O133" s="7" t="inlineStr"/>
    </row>
    <row r="134">
      <c r="A134" s="7" t="n">
        <v>315361</v>
      </c>
      <c r="B134" s="7" t="inlineStr">
        <is>
          <t>7507</t>
        </is>
      </c>
      <c r="C134" s="12" t="inlineStr">
        <is>
          <t>7896004720838</t>
        </is>
      </c>
      <c r="D134" s="7" t="inlineStr">
        <is>
          <t>REPOFLOR 200MG FR 6 CAP</t>
        </is>
      </c>
      <c r="E134" s="13" t="n">
        <v>1</v>
      </c>
      <c r="F134" s="13" t="n">
        <v>17</v>
      </c>
      <c r="G134" s="13" t="n">
        <v>17</v>
      </c>
      <c r="H134" s="8" t="n">
        <v>25.07</v>
      </c>
      <c r="I134" s="8">
        <f>G134*H134</f>
        <v/>
      </c>
      <c r="J134" s="8">
        <f>H134/E134</f>
        <v/>
      </c>
      <c r="K134" s="8" t="n">
        <v>21.536</v>
      </c>
      <c r="L134" s="8" t="n">
        <v>14.14</v>
      </c>
      <c r="M134" s="14">
        <f>J134/K134-1</f>
        <v/>
      </c>
      <c r="N134" s="7" t="inlineStr">
        <is>
          <t>ACIMA +16.4%</t>
        </is>
      </c>
      <c r="O134" s="7" t="inlineStr"/>
    </row>
    <row r="135">
      <c r="A135" s="7" t="n">
        <v>624511</v>
      </c>
      <c r="B135" s="7" t="inlineStr">
        <is>
          <t>7509</t>
        </is>
      </c>
      <c r="C135" s="12" t="inlineStr">
        <is>
          <t>7896004769943</t>
        </is>
      </c>
      <c r="D135" s="7" t="inlineStr">
        <is>
          <t>REPOFLOR 250MG CX 10 SACHES</t>
        </is>
      </c>
      <c r="E135" s="13" t="n">
        <v>1</v>
      </c>
      <c r="F135" s="13" t="n">
        <v>1</v>
      </c>
      <c r="G135" s="13" t="n">
        <v>1</v>
      </c>
      <c r="H135" s="8" t="n">
        <v>35.1</v>
      </c>
      <c r="I135" s="8">
        <f>G135*H135</f>
        <v/>
      </c>
      <c r="J135" s="8">
        <f>H135/E135</f>
        <v/>
      </c>
      <c r="K135" s="8" t="n">
        <v>33.23</v>
      </c>
      <c r="L135" s="8" t="n">
        <v>29.22</v>
      </c>
      <c r="M135" s="14">
        <f>J135/K135-1</f>
        <v/>
      </c>
      <c r="N135" s="7" t="inlineStr">
        <is>
          <t>ACIMA +5.6%</t>
        </is>
      </c>
      <c r="O135" s="7" t="inlineStr"/>
    </row>
    <row r="136">
      <c r="A136" s="7" t="n">
        <v>619021</v>
      </c>
      <c r="B136" s="7" t="inlineStr">
        <is>
          <t>5959</t>
        </is>
      </c>
      <c r="C136" s="12" t="inlineStr">
        <is>
          <t>7898283813454</t>
        </is>
      </c>
      <c r="D136" s="7" t="inlineStr">
        <is>
          <t>SCALP 23G AZUL</t>
        </is>
      </c>
      <c r="E136" s="13" t="n">
        <v>1</v>
      </c>
      <c r="F136" s="13" t="n">
        <v>2</v>
      </c>
      <c r="G136" s="13" t="n">
        <v>2</v>
      </c>
      <c r="H136" s="8" t="n">
        <v>32.02</v>
      </c>
      <c r="I136" s="8">
        <f>G136*H136</f>
        <v/>
      </c>
      <c r="J136" s="8">
        <f>H136/E136</f>
        <v/>
      </c>
      <c r="K136" s="8" t="n">
        <v>0.7662</v>
      </c>
      <c r="L136" s="8" t="n">
        <v>0.7662</v>
      </c>
      <c r="M136" s="14">
        <f>J136/K136-1</f>
        <v/>
      </c>
      <c r="N136" s="7" t="inlineStr">
        <is>
          <t>ACIMA +4079.1%</t>
        </is>
      </c>
      <c r="O136" s="7" t="inlineStr">
        <is>
          <t>conferir emb.</t>
        </is>
      </c>
    </row>
    <row r="137">
      <c r="A137" s="7" t="n">
        <v>671161</v>
      </c>
      <c r="B137" s="7" t="inlineStr">
        <is>
          <t>8723</t>
        </is>
      </c>
      <c r="C137" s="12" t="inlineStr">
        <is>
          <t>7898706400155</t>
        </is>
      </c>
      <c r="D137" s="7" t="inlineStr">
        <is>
          <t>SERINGA P/ LAVAGEM NASAL 10ML PATATI PAT</t>
        </is>
      </c>
      <c r="E137" s="13" t="n">
        <v>1</v>
      </c>
      <c r="F137" s="13" t="n">
        <v>2</v>
      </c>
      <c r="G137" s="13" t="n">
        <v>2</v>
      </c>
      <c r="H137" s="8" t="n">
        <v>15.6</v>
      </c>
      <c r="I137" s="8">
        <f>G137*H137</f>
        <v/>
      </c>
      <c r="J137" s="8">
        <f>H137/E137</f>
        <v/>
      </c>
      <c r="K137" s="8" t="n">
        <v>14.82</v>
      </c>
      <c r="L137" s="8" t="n">
        <v>14.69</v>
      </c>
      <c r="M137" s="14">
        <f>J137/K137-1</f>
        <v/>
      </c>
      <c r="N137" s="7" t="inlineStr">
        <is>
          <t>ACIMA +5.3%</t>
        </is>
      </c>
      <c r="O137" s="7" t="inlineStr"/>
    </row>
    <row r="138">
      <c r="A138" s="7" t="n">
        <v>671141</v>
      </c>
      <c r="B138" s="7" t="inlineStr">
        <is>
          <t>7601</t>
        </is>
      </c>
      <c r="C138" s="12" t="inlineStr">
        <is>
          <t>7898706401138</t>
        </is>
      </c>
      <c r="D138" s="7" t="inlineStr">
        <is>
          <t>SERINGA P/ LAVAGEM NASAL BABY 5 ML</t>
        </is>
      </c>
      <c r="E138" s="13" t="n">
        <v>1</v>
      </c>
      <c r="F138" s="13" t="n">
        <v>1</v>
      </c>
      <c r="G138" s="13" t="n">
        <v>1</v>
      </c>
      <c r="H138" s="8" t="n">
        <v>18.37</v>
      </c>
      <c r="I138" s="8">
        <f>G138*H138</f>
        <v/>
      </c>
      <c r="J138" s="8">
        <f>H138/E138</f>
        <v/>
      </c>
      <c r="K138" s="8" t="n">
        <v>15.84</v>
      </c>
      <c r="L138" s="8" t="n">
        <v>15.84</v>
      </c>
      <c r="M138" s="14">
        <f>J138/K138-1</f>
        <v/>
      </c>
      <c r="N138" s="7" t="inlineStr">
        <is>
          <t>ACIMA +16.0%</t>
        </is>
      </c>
      <c r="O138" s="7" t="inlineStr"/>
    </row>
    <row r="139">
      <c r="A139" s="7" t="n">
        <v>685901</v>
      </c>
      <c r="B139" s="7" t="inlineStr">
        <is>
          <t>6009</t>
        </is>
      </c>
      <c r="C139" s="12" t="inlineStr">
        <is>
          <t>7898706401930</t>
        </is>
      </c>
      <c r="D139" s="7" t="inlineStr">
        <is>
          <t>SERINGA P/LAVAGEM NASAL LALA JACARE 10ML</t>
        </is>
      </c>
      <c r="E139" s="13" t="n">
        <v>1</v>
      </c>
      <c r="F139" s="13" t="n">
        <v>14</v>
      </c>
      <c r="G139" s="13" t="n">
        <v>14</v>
      </c>
      <c r="H139" s="8" t="n">
        <v>14.17</v>
      </c>
      <c r="I139" s="8">
        <f>G139*H139</f>
        <v/>
      </c>
      <c r="J139" s="8">
        <f>H139/E139</f>
        <v/>
      </c>
      <c r="K139" s="8" t="n">
        <v>14.69</v>
      </c>
      <c r="L139" s="8" t="n">
        <v>13.46</v>
      </c>
      <c r="M139" s="14">
        <f>J139/K139-1</f>
        <v/>
      </c>
      <c r="N139" s="7" t="inlineStr">
        <is>
          <t>OK (≤ últ. compra)</t>
        </is>
      </c>
      <c r="O139" s="7" t="inlineStr"/>
    </row>
    <row r="140">
      <c r="A140" s="7" t="n">
        <v>2203</v>
      </c>
      <c r="B140" s="7" t="inlineStr">
        <is>
          <t>8924</t>
        </is>
      </c>
      <c r="C140" s="12" t="inlineStr">
        <is>
          <t>7894164010844</t>
        </is>
      </c>
      <c r="D140" s="7" t="inlineStr">
        <is>
          <t>SIMETICONA 75MG 10ML GTS</t>
        </is>
      </c>
      <c r="E140" s="13" t="n">
        <v>1</v>
      </c>
      <c r="F140" s="13" t="n">
        <v>19</v>
      </c>
      <c r="G140" s="13" t="n">
        <v>19</v>
      </c>
      <c r="H140" s="8" t="n">
        <v>1.57</v>
      </c>
      <c r="I140" s="8">
        <f>G140*H140</f>
        <v/>
      </c>
      <c r="J140" s="8">
        <f>H140/E140</f>
        <v/>
      </c>
      <c r="K140" s="8" t="n">
        <v>1.78</v>
      </c>
      <c r="L140" s="8" t="n">
        <v>1.77</v>
      </c>
      <c r="M140" s="14">
        <f>J140/K140-1</f>
        <v/>
      </c>
      <c r="N140" s="7" t="inlineStr">
        <is>
          <t>OK (≤ menor hist.)</t>
        </is>
      </c>
      <c r="O140" s="7" t="inlineStr"/>
    </row>
    <row r="141">
      <c r="A141" s="7" t="n">
        <v>4963</v>
      </c>
      <c r="B141" s="7" t="inlineStr">
        <is>
          <t>6131</t>
        </is>
      </c>
      <c r="C141" s="12" t="inlineStr">
        <is>
          <t>7894164010899</t>
        </is>
      </c>
      <c r="D141" s="7" t="inlineStr">
        <is>
          <t>SIMETICONA 75MG 15ML GTS</t>
        </is>
      </c>
      <c r="E141" s="13" t="n">
        <v>1</v>
      </c>
      <c r="F141" s="13" t="n">
        <v>1</v>
      </c>
      <c r="G141" s="13" t="n">
        <v>1</v>
      </c>
      <c r="H141" s="8" t="n">
        <v>2.31</v>
      </c>
      <c r="I141" s="8">
        <f>G141*H141</f>
        <v/>
      </c>
      <c r="J141" s="8">
        <f>H141/E141</f>
        <v/>
      </c>
      <c r="K141" s="8" t="n">
        <v>2.28</v>
      </c>
      <c r="L141" s="8" t="n">
        <v>2.28</v>
      </c>
      <c r="M141" s="14">
        <f>J141/K141-1</f>
        <v/>
      </c>
      <c r="N141" s="7" t="inlineStr">
        <is>
          <t>ACIMA +1.3%</t>
        </is>
      </c>
      <c r="O141" s="7" t="inlineStr"/>
    </row>
    <row r="142">
      <c r="A142" s="7" t="n">
        <v>438221</v>
      </c>
      <c r="B142" s="7" t="inlineStr">
        <is>
          <t>6147</t>
        </is>
      </c>
      <c r="C142" s="12" t="inlineStr">
        <is>
          <t>7898060138091</t>
        </is>
      </c>
      <c r="D142" s="7" t="inlineStr">
        <is>
          <t>SINVASMAX 40MG CX 30 COMP REV</t>
        </is>
      </c>
      <c r="E142" s="13" t="n">
        <v>1</v>
      </c>
      <c r="F142" s="13" t="n">
        <v>3</v>
      </c>
      <c r="G142" s="13" t="n">
        <v>3</v>
      </c>
      <c r="H142" s="8" t="n">
        <v>5.46</v>
      </c>
      <c r="I142" s="8">
        <f>G142*H142</f>
        <v/>
      </c>
      <c r="J142" s="8">
        <f>H142/E142</f>
        <v/>
      </c>
      <c r="K142" s="8" t="n">
        <v>5.09</v>
      </c>
      <c r="L142" s="8" t="n">
        <v>5.09</v>
      </c>
      <c r="M142" s="14">
        <f>J142/K142-1</f>
        <v/>
      </c>
      <c r="N142" s="7" t="inlineStr">
        <is>
          <t>ACIMA +7.3%</t>
        </is>
      </c>
      <c r="O142" s="7" t="inlineStr"/>
    </row>
    <row r="143">
      <c r="A143" s="7" t="n">
        <v>558381</v>
      </c>
      <c r="B143" s="7" t="inlineStr">
        <is>
          <t>6162</t>
        </is>
      </c>
      <c r="C143" s="12" t="inlineStr">
        <is>
          <t>7896902212152</t>
        </is>
      </c>
      <c r="D143" s="7" t="inlineStr">
        <is>
          <t>SOLUCAO SORIMAX 100 ML</t>
        </is>
      </c>
      <c r="E143" s="13" t="n">
        <v>1</v>
      </c>
      <c r="F143" s="13" t="n">
        <v>50</v>
      </c>
      <c r="G143" s="13" t="n">
        <v>50</v>
      </c>
      <c r="H143" s="8" t="n">
        <v>2.7</v>
      </c>
      <c r="I143" s="8">
        <f>G143*H143</f>
        <v/>
      </c>
      <c r="J143" s="8">
        <f>H143/E143</f>
        <v/>
      </c>
      <c r="K143" s="8" t="n">
        <v>2.69</v>
      </c>
      <c r="L143" s="8" t="n">
        <v>2.69</v>
      </c>
      <c r="M143" s="14">
        <f>J143/K143-1</f>
        <v/>
      </c>
      <c r="N143" s="7" t="inlineStr">
        <is>
          <t>ACIMA +0.4%</t>
        </is>
      </c>
      <c r="O143" s="7" t="inlineStr"/>
    </row>
    <row r="144">
      <c r="A144" s="7" t="n">
        <v>651041</v>
      </c>
      <c r="B144" s="7" t="inlineStr">
        <is>
          <t>6471</t>
        </is>
      </c>
      <c r="C144" s="12" t="inlineStr">
        <is>
          <t>7898639694324</t>
        </is>
      </c>
      <c r="D144" s="7" t="inlineStr">
        <is>
          <t>TERMOMETRO DIGITAL CORES SORTIDAS M24</t>
        </is>
      </c>
      <c r="E144" s="13" t="n">
        <v>1</v>
      </c>
      <c r="F144" s="13" t="n">
        <v>5</v>
      </c>
      <c r="G144" s="13" t="n">
        <v>5</v>
      </c>
      <c r="H144" s="8" t="n">
        <v>10.86</v>
      </c>
      <c r="I144" s="8">
        <f>G144*H144</f>
        <v/>
      </c>
      <c r="J144" s="8">
        <f>H144/E144</f>
        <v/>
      </c>
      <c r="K144" s="8" t="n">
        <v>10.32</v>
      </c>
      <c r="L144" s="8" t="n">
        <v>7.9875</v>
      </c>
      <c r="M144" s="14">
        <f>J144/K144-1</f>
        <v/>
      </c>
      <c r="N144" s="7" t="inlineStr">
        <is>
          <t>ACIMA +5.2%</t>
        </is>
      </c>
      <c r="O144" s="7" t="inlineStr"/>
    </row>
    <row r="145">
      <c r="A145" s="7" t="n">
        <v>591661</v>
      </c>
      <c r="B145" s="7" t="inlineStr">
        <is>
          <t>6485</t>
        </is>
      </c>
      <c r="C145" s="12" t="inlineStr">
        <is>
          <t>7898108640609</t>
        </is>
      </c>
      <c r="D145" s="7" t="inlineStr">
        <is>
          <t>TESTE DE GRAVIDEZ CONFIRA</t>
        </is>
      </c>
      <c r="E145" s="13" t="n">
        <v>1</v>
      </c>
      <c r="F145" s="13" t="n">
        <v>22</v>
      </c>
      <c r="G145" s="13" t="n">
        <v>22</v>
      </c>
      <c r="H145" s="8" t="n">
        <v>1.21</v>
      </c>
      <c r="I145" s="8">
        <f>G145*H145</f>
        <v/>
      </c>
      <c r="J145" s="8">
        <f>H145/E145</f>
        <v/>
      </c>
      <c r="K145" s="8" t="n">
        <v>1.15</v>
      </c>
      <c r="L145" s="8" t="n">
        <v>1.15</v>
      </c>
      <c r="M145" s="14">
        <f>J145/K145-1</f>
        <v/>
      </c>
      <c r="N145" s="7" t="inlineStr">
        <is>
          <t>ACIMA +5.2%</t>
        </is>
      </c>
      <c r="O145" s="7" t="inlineStr"/>
    </row>
    <row r="146">
      <c r="A146" s="7" t="n">
        <v>619311</v>
      </c>
      <c r="B146" s="7" t="inlineStr">
        <is>
          <t>6540</t>
        </is>
      </c>
      <c r="C146" s="12" t="inlineStr">
        <is>
          <t>7898601062984</t>
        </is>
      </c>
      <c r="D146" s="7" t="inlineStr">
        <is>
          <t>TIPOIA ORTOPEDICA INF MASC AZUL M KSN058</t>
        </is>
      </c>
      <c r="E146" s="13" t="n">
        <v>1</v>
      </c>
      <c r="F146" s="13" t="n">
        <v>1</v>
      </c>
      <c r="G146" s="13" t="n">
        <v>1</v>
      </c>
      <c r="H146" s="8" t="n">
        <v>52.58</v>
      </c>
      <c r="I146" s="8">
        <f>G146*H146</f>
        <v/>
      </c>
      <c r="J146" s="8">
        <f>H146/E146</f>
        <v/>
      </c>
      <c r="K146" s="8" t="n">
        <v>49.55</v>
      </c>
      <c r="L146" s="8" t="n">
        <v>49.55</v>
      </c>
      <c r="M146" s="14">
        <f>J146/K146-1</f>
        <v/>
      </c>
      <c r="N146" s="7" t="inlineStr">
        <is>
          <t>ACIMA +6.1%</t>
        </is>
      </c>
      <c r="O146" s="7" t="inlineStr"/>
    </row>
    <row r="147">
      <c r="A147" s="7" t="n">
        <v>630641</v>
      </c>
      <c r="B147" s="7" t="inlineStr">
        <is>
          <t>6656</t>
        </is>
      </c>
      <c r="C147" s="12" t="inlineStr">
        <is>
          <t>7894913003738</t>
        </is>
      </c>
      <c r="D147" s="7" t="inlineStr">
        <is>
          <t>UNIQ B12 BAUNILHA C/60 CPR MASTIGAVEL</t>
        </is>
      </c>
      <c r="E147" s="13" t="n">
        <v>1</v>
      </c>
      <c r="F147" s="13" t="n">
        <v>3</v>
      </c>
      <c r="G147" s="13" t="n">
        <v>3</v>
      </c>
      <c r="H147" s="8" t="n">
        <v>19.97</v>
      </c>
      <c r="I147" s="8">
        <f>G147*H147</f>
        <v/>
      </c>
      <c r="J147" s="8">
        <f>H147/E147</f>
        <v/>
      </c>
      <c r="K147" s="8" t="n">
        <v>19.97</v>
      </c>
      <c r="L147" s="8" t="n">
        <v>18.97</v>
      </c>
      <c r="M147" s="14">
        <f>J147/K147-1</f>
        <v/>
      </c>
      <c r="N147" s="7" t="inlineStr">
        <is>
          <t>OK (≤ últ. compra)</t>
        </is>
      </c>
      <c r="O147" s="7" t="inlineStr"/>
    </row>
    <row r="148">
      <c r="A148" s="7" t="n">
        <v>619911</v>
      </c>
      <c r="B148" s="7" t="inlineStr">
        <is>
          <t>6691</t>
        </is>
      </c>
      <c r="C148" s="12" t="inlineStr">
        <is>
          <t>7896902214828</t>
        </is>
      </c>
      <c r="D148" s="7" t="inlineStr">
        <is>
          <t>VASELINA LIQUIDA 100ML (VASEMAX)</t>
        </is>
      </c>
      <c r="E148" s="13" t="n">
        <v>1</v>
      </c>
      <c r="F148" s="13" t="n">
        <v>1</v>
      </c>
      <c r="G148" s="13" t="n">
        <v>1</v>
      </c>
      <c r="H148" s="8" t="n">
        <v>5.42</v>
      </c>
      <c r="I148" s="8">
        <f>G148*H148</f>
        <v/>
      </c>
      <c r="J148" s="8">
        <f>H148/E148</f>
        <v/>
      </c>
      <c r="K148" s="8" t="n">
        <v>4.36</v>
      </c>
      <c r="L148" s="8" t="n">
        <v>4.36</v>
      </c>
      <c r="M148" s="14">
        <f>J148/K148-1</f>
        <v/>
      </c>
      <c r="N148" s="7" t="inlineStr">
        <is>
          <t>ACIMA +24.3%</t>
        </is>
      </c>
      <c r="O148" s="7" t="inlineStr"/>
    </row>
    <row r="149">
      <c r="A149" s="7" t="n">
        <v>55781</v>
      </c>
      <c r="B149" s="7" t="inlineStr">
        <is>
          <t>2310</t>
        </is>
      </c>
      <c r="C149" s="12" t="inlineStr">
        <is>
          <t>7898495603218</t>
        </is>
      </c>
      <c r="D149" s="7" t="inlineStr">
        <is>
          <t>VENCIDO - DEXTAMINE 2MG+025MG CX 20 COMP</t>
        </is>
      </c>
      <c r="E149" s="13" t="n">
        <v>1</v>
      </c>
      <c r="F149" s="13" t="n">
        <v>1</v>
      </c>
      <c r="G149" s="13" t="n">
        <v>1</v>
      </c>
      <c r="H149" s="8" t="n">
        <v>5.72</v>
      </c>
      <c r="I149" s="8">
        <f>G149*H149</f>
        <v/>
      </c>
      <c r="J149" s="8">
        <f>H149/E149</f>
        <v/>
      </c>
      <c r="K149" s="8" t="n">
        <v>5.43</v>
      </c>
      <c r="L149" s="8" t="n">
        <v>5.43</v>
      </c>
      <c r="M149" s="14">
        <f>J149/K149-1</f>
        <v/>
      </c>
      <c r="N149" s="7" t="inlineStr">
        <is>
          <t>ACIMA +5.3%</t>
        </is>
      </c>
      <c r="O149" s="7" t="inlineStr"/>
    </row>
    <row r="150">
      <c r="A150" s="7" t="n">
        <v>3063</v>
      </c>
      <c r="B150" s="7" t="inlineStr">
        <is>
          <t>6811</t>
        </is>
      </c>
      <c r="C150" s="12" t="inlineStr">
        <is>
          <t>7898687734089</t>
        </is>
      </c>
      <c r="D150" s="7" t="inlineStr">
        <is>
          <t>VITAMINA D3 15000UI CX 4 CAP</t>
        </is>
      </c>
      <c r="E150" s="13" t="n">
        <v>1</v>
      </c>
      <c r="F150" s="13" t="n">
        <v>4</v>
      </c>
      <c r="G150" s="13" t="n">
        <v>4</v>
      </c>
      <c r="H150" s="8" t="n">
        <v>13.35</v>
      </c>
      <c r="I150" s="8">
        <f>G150*H150</f>
        <v/>
      </c>
      <c r="J150" s="8">
        <f>H150/E150</f>
        <v/>
      </c>
      <c r="K150" s="8" t="n">
        <v>14.54</v>
      </c>
      <c r="L150" s="8" t="n">
        <v>10.73</v>
      </c>
      <c r="M150" s="14">
        <f>J150/K150-1</f>
        <v/>
      </c>
      <c r="N150" s="7" t="inlineStr">
        <is>
          <t>OK (≤ últ. compra)</t>
        </is>
      </c>
      <c r="O150" s="7" t="inlineStr"/>
    </row>
    <row r="151">
      <c r="A151" s="7" t="n">
        <v>193261</v>
      </c>
      <c r="B151" s="7" t="inlineStr">
        <is>
          <t>6831</t>
        </is>
      </c>
      <c r="C151" s="12" t="inlineStr">
        <is>
          <t>7898569765194</t>
        </is>
      </c>
      <c r="D151" s="7" t="inlineStr">
        <is>
          <t>VITAMINA D3 50000UI BL 8 CAP</t>
        </is>
      </c>
      <c r="E151" s="13" t="n">
        <v>1</v>
      </c>
      <c r="F151" s="13" t="n">
        <v>1</v>
      </c>
      <c r="G151" s="13" t="n">
        <v>1</v>
      </c>
      <c r="H151" s="8" t="n">
        <v>25.02</v>
      </c>
      <c r="I151" s="8">
        <f>G151*H151</f>
        <v/>
      </c>
      <c r="J151" s="8">
        <f>H151/E151</f>
        <v/>
      </c>
      <c r="K151" s="8" t="n">
        <v>23.77</v>
      </c>
      <c r="L151" s="8" t="n">
        <v>23.77</v>
      </c>
      <c r="M151" s="14">
        <f>J151/K151-1</f>
        <v/>
      </c>
      <c r="N151" s="7" t="inlineStr">
        <is>
          <t>ACIMA +5.3%</t>
        </is>
      </c>
      <c r="O151" s="7" t="inlineStr"/>
    </row>
    <row r="152">
      <c r="A152" s="7" t="n">
        <v>193001</v>
      </c>
      <c r="B152" s="7" t="inlineStr">
        <is>
          <t>6824</t>
        </is>
      </c>
      <c r="C152" s="12" t="inlineStr">
        <is>
          <t>7898569765019</t>
        </is>
      </c>
      <c r="D152" s="7" t="inlineStr">
        <is>
          <t>VITAMINA D3 5000UI CX 30 CAP</t>
        </is>
      </c>
      <c r="E152" s="13" t="n">
        <v>1</v>
      </c>
      <c r="F152" s="13" t="n">
        <v>1</v>
      </c>
      <c r="G152" s="13" t="n">
        <v>1</v>
      </c>
      <c r="H152" s="8" t="n">
        <v>14.04</v>
      </c>
      <c r="I152" s="8">
        <f>G152*H152</f>
        <v/>
      </c>
      <c r="J152" s="8">
        <f>H152/E152</f>
        <v/>
      </c>
      <c r="K152" s="8" t="n">
        <v>13.68</v>
      </c>
      <c r="L152" s="8" t="n">
        <v>13.68</v>
      </c>
      <c r="M152" s="14">
        <f>J152/K152-1</f>
        <v/>
      </c>
      <c r="N152" s="7" t="inlineStr">
        <is>
          <t>ACIMA +2.6%</t>
        </is>
      </c>
      <c r="O152" s="7" t="inlineStr"/>
    </row>
    <row r="153">
      <c r="D153" s="5" t="inlineStr">
        <is>
          <t>TOTAL</t>
        </is>
      </c>
      <c r="I153" s="18">
        <f>SUM(I2:I152)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2026-09-08T20:03:20Z</dcterms:created>
  <dcterms:modified xsi:type="dcterms:W3CDTF">2026-09-08T20:03:25Z</dcterms:modified>
</cp:coreProperties>
</file>