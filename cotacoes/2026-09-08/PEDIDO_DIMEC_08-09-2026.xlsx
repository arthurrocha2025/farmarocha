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42" customWidth="1" min="4" max="4"/>
    <col width="42" customWidth="1" min="5" max="5"/>
    <col width="13" customWidth="1" min="6" max="6"/>
    <col width="8" customWidth="1" min="7" max="7"/>
    <col width="9" customWidth="1" min="8" max="8"/>
    <col width="10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9" customWidth="1" min="15" max="15"/>
    <col width="12" customWidth="1" min="16" max="16"/>
    <col width="34" customWidth="1" min="17" max="17"/>
  </cols>
  <sheetData>
    <row r="1" ht="28" customHeight="1">
      <c r="A1" s="1" t="inlineStr">
        <is>
          <t>Cód. Dimec</t>
        </is>
      </c>
      <c r="B1" s="1" t="inlineStr">
        <is>
          <t>Cód. interno</t>
        </is>
      </c>
      <c r="C1" s="1" t="inlineStr">
        <is>
          <t>EAN Dimec</t>
        </is>
      </c>
      <c r="D1" s="1" t="inlineStr">
        <is>
          <t>Produto (Dimec)</t>
        </is>
      </c>
      <c r="E1" s="1" t="inlineStr">
        <is>
          <t>Produto (Radar)</t>
        </is>
      </c>
      <c r="F1" s="1" t="inlineStr">
        <is>
          <t>Marca</t>
        </is>
      </c>
      <c r="G1" s="1" t="inlineStr">
        <is>
          <t>Un/Emb</t>
        </is>
      </c>
      <c r="H1" s="1" t="inlineStr">
        <is>
          <t>Caixas Radar</t>
        </is>
      </c>
      <c r="I1" s="1" t="inlineStr">
        <is>
          <t>Qtd pedido (emb.)</t>
        </is>
      </c>
      <c r="J1" s="1" t="inlineStr">
        <is>
          <t>Preço Dimec (emb.)</t>
        </is>
      </c>
      <c r="K1" s="1" t="inlineStr">
        <is>
          <t>Total</t>
        </is>
      </c>
      <c r="L1" s="1" t="inlineStr">
        <is>
          <t>Preço un. equiv.</t>
        </is>
      </c>
      <c r="M1" s="1" t="inlineStr">
        <is>
          <t>Últ. compra</t>
        </is>
      </c>
      <c r="N1" s="1" t="inlineStr">
        <is>
          <t>Menor hist.</t>
        </is>
      </c>
      <c r="O1" s="1" t="inlineStr">
        <is>
          <t>Dif. %</t>
        </is>
      </c>
      <c r="P1" s="1" t="inlineStr">
        <is>
          <t>Estoque Dimec</t>
        </is>
      </c>
      <c r="Q1" s="1" t="inlineStr">
        <is>
          <t>OBS</t>
        </is>
      </c>
    </row>
    <row r="2">
      <c r="A2" s="2" t="n">
        <v>9626</v>
      </c>
      <c r="B2" s="2" t="n">
        <v>634551</v>
      </c>
      <c r="C2" s="3" t="inlineStr">
        <is>
          <t>7898767760014</t>
        </is>
      </c>
      <c r="D2" s="2" t="inlineStr">
        <is>
          <t>5MAG C/60 CPS</t>
        </is>
      </c>
      <c r="E2" s="2" t="inlineStr">
        <is>
          <t>5MAG 500MG 60CAPS QUALYNUTRI</t>
        </is>
      </c>
      <c r="F2" s="2" t="inlineStr">
        <is>
          <t>QUALYNUTRI</t>
        </is>
      </c>
      <c r="G2" s="4" t="n">
        <v>1</v>
      </c>
      <c r="H2" s="4" t="n">
        <v>2</v>
      </c>
      <c r="I2" s="4" t="n">
        <v>2</v>
      </c>
      <c r="J2" s="5" t="n">
        <v>33.53</v>
      </c>
      <c r="K2" s="5">
        <f>I2*J2</f>
        <v/>
      </c>
      <c r="L2" s="5">
        <f>J2/G2</f>
        <v/>
      </c>
      <c r="M2" s="5" t="n">
        <v>33.53</v>
      </c>
      <c r="N2" s="5" t="n">
        <v>33.53</v>
      </c>
      <c r="O2" s="6">
        <f>L2/M2-1</f>
        <v/>
      </c>
      <c r="P2" s="4" t="n">
        <v>163</v>
      </c>
      <c r="Q2" s="2" t="inlineStr"/>
    </row>
    <row r="3">
      <c r="A3" s="2" t="n">
        <v>685</v>
      </c>
      <c r="B3" s="2" t="n">
        <v>647221</v>
      </c>
      <c r="C3" s="3" t="inlineStr">
        <is>
          <t>7896023705397</t>
        </is>
      </c>
      <c r="D3" s="2" t="inlineStr">
        <is>
          <t>AGUA INGLESA 500ML SUS</t>
        </is>
      </c>
      <c r="E3" s="2" t="inlineStr">
        <is>
          <t>AGUA INGLESA 500ML</t>
        </is>
      </c>
      <c r="F3" s="2" t="inlineStr">
        <is>
          <t>CATARINENSE</t>
        </is>
      </c>
      <c r="G3" s="4" t="n">
        <v>1</v>
      </c>
      <c r="H3" s="4" t="n">
        <v>3</v>
      </c>
      <c r="I3" s="4" t="n">
        <v>3</v>
      </c>
      <c r="J3" s="5" t="n">
        <v>22.17</v>
      </c>
      <c r="K3" s="5">
        <f>I3*J3</f>
        <v/>
      </c>
      <c r="L3" s="5">
        <f>J3/G3</f>
        <v/>
      </c>
      <c r="M3" s="5" t="n">
        <v>22.12</v>
      </c>
      <c r="N3" s="5" t="n">
        <v>22.12</v>
      </c>
      <c r="O3" s="6">
        <f>L3/M3-1</f>
        <v/>
      </c>
      <c r="P3" s="4" t="n">
        <v>173</v>
      </c>
      <c r="Q3" s="2" t="inlineStr"/>
    </row>
    <row r="4">
      <c r="A4" s="2" t="n">
        <v>505</v>
      </c>
      <c r="B4" s="2" t="n">
        <v>578621</v>
      </c>
      <c r="C4" s="3" t="inlineStr">
        <is>
          <t>17898259491423</t>
        </is>
      </c>
      <c r="D4" s="2" t="inlineStr">
        <is>
          <t>AGULHA 0,7X30 C/100 UND</t>
        </is>
      </c>
      <c r="E4" s="2" t="inlineStr">
        <is>
          <t>AGULHA 30X0,7 DESC. WILTEX</t>
        </is>
      </c>
      <c r="F4" s="2" t="inlineStr">
        <is>
          <t>SR SALDANHA</t>
        </is>
      </c>
      <c r="G4" s="4" t="n">
        <v>100</v>
      </c>
      <c r="H4" s="4" t="n">
        <v>1</v>
      </c>
      <c r="I4" s="4" t="n">
        <v>1</v>
      </c>
      <c r="J4" s="5" t="n">
        <v>11.6</v>
      </c>
      <c r="K4" s="5">
        <f>I4*J4</f>
        <v/>
      </c>
      <c r="L4" s="5">
        <f>J4/G4</f>
        <v/>
      </c>
      <c r="M4" s="5" t="n">
        <v>0.1234</v>
      </c>
      <c r="N4" s="5" t="n">
        <v>0.1234</v>
      </c>
      <c r="O4" s="6">
        <f>L4/M4-1</f>
        <v/>
      </c>
      <c r="P4" s="4" t="n">
        <v>761</v>
      </c>
      <c r="Q4" s="2" t="inlineStr">
        <is>
          <t>1 emb. Dimec = 100 un do Radar (pedido = 1 emb.)</t>
        </is>
      </c>
    </row>
    <row r="5">
      <c r="A5" s="2" t="n">
        <v>7553</v>
      </c>
      <c r="B5" s="2" t="n">
        <v>623471</v>
      </c>
      <c r="C5" s="3" t="inlineStr">
        <is>
          <t>7898933598830</t>
        </is>
      </c>
      <c r="D5" s="2" t="inlineStr">
        <is>
          <t>ATADURA DE CREPE 15CM X 1,8M C/12 UND</t>
        </is>
      </c>
      <c r="E5" s="2" t="inlineStr">
        <is>
          <t>ATADURA DE CREPE 15CM C/12 UND</t>
        </is>
      </c>
      <c r="F5" s="2" t="inlineStr">
        <is>
          <t>TEXPHARMA</t>
        </is>
      </c>
      <c r="G5" s="4" t="n">
        <v>12</v>
      </c>
      <c r="H5" s="4" t="n">
        <v>11</v>
      </c>
      <c r="I5" s="4" t="n">
        <v>1</v>
      </c>
      <c r="J5" s="5" t="n">
        <v>9.82</v>
      </c>
      <c r="K5" s="5">
        <f>I5*J5</f>
        <v/>
      </c>
      <c r="L5" s="5">
        <f>J5/G5</f>
        <v/>
      </c>
      <c r="M5" s="5" t="n">
        <v>1.2492</v>
      </c>
      <c r="N5" s="5" t="n">
        <v>1.1658</v>
      </c>
      <c r="O5" s="6">
        <f>L5/M5-1</f>
        <v/>
      </c>
      <c r="P5" s="4" t="n">
        <v>1978</v>
      </c>
      <c r="Q5" s="2" t="inlineStr">
        <is>
          <t>1 emb. Dimec = 12 un do Radar (pedido = 1 emb.)</t>
        </is>
      </c>
    </row>
    <row r="6">
      <c r="A6" s="2" t="n">
        <v>5772</v>
      </c>
      <c r="B6" s="2" t="n">
        <v>573701</v>
      </c>
      <c r="C6" s="3" t="inlineStr">
        <is>
          <t>7898582292646</t>
        </is>
      </c>
      <c r="D6" s="2" t="inlineStr">
        <is>
          <t>OLEO DE GIRASSOL 200ML DERSOL</t>
        </is>
      </c>
      <c r="E6" s="2" t="inlineStr">
        <is>
          <t>DERSOL LOCAO OLEOSA 200ML</t>
        </is>
      </c>
      <c r="F6" s="2" t="inlineStr">
        <is>
          <t>BELLA PHYTUS</t>
        </is>
      </c>
      <c r="G6" s="4" t="n">
        <v>1</v>
      </c>
      <c r="H6" s="4" t="n">
        <v>5</v>
      </c>
      <c r="I6" s="4" t="n">
        <v>5</v>
      </c>
      <c r="J6" s="5" t="n">
        <v>11.41</v>
      </c>
      <c r="K6" s="5">
        <f>I6*J6</f>
        <v/>
      </c>
      <c r="L6" s="5">
        <f>J6/G6</f>
        <v/>
      </c>
      <c r="M6" s="5" t="n">
        <v>10.99</v>
      </c>
      <c r="N6" s="5" t="n">
        <v>10.99</v>
      </c>
      <c r="O6" s="6">
        <f>L6/M6-1</f>
        <v/>
      </c>
      <c r="P6" s="4" t="n">
        <v>681</v>
      </c>
      <c r="Q6" s="2" t="inlineStr"/>
    </row>
    <row r="7">
      <c r="A7" s="2" t="n">
        <v>270</v>
      </c>
      <c r="B7" s="2" t="n">
        <v>393461</v>
      </c>
      <c r="C7" s="3" t="inlineStr">
        <is>
          <t>7896023701436</t>
        </is>
      </c>
      <c r="D7" s="2" t="inlineStr">
        <is>
          <t>ELIXIR PAREGORICO 30ML GTS</t>
        </is>
      </c>
      <c r="E7" s="2" t="inlineStr">
        <is>
          <t>ELIXIR PAREGORICO 0,05ML/ML SOL OR FR GOT 30ML</t>
        </is>
      </c>
      <c r="F7" s="2" t="inlineStr">
        <is>
          <t>CATARINENSE</t>
        </is>
      </c>
      <c r="G7" s="4" t="n">
        <v>1</v>
      </c>
      <c r="H7" s="4" t="n">
        <v>13</v>
      </c>
      <c r="I7" s="4" t="n">
        <v>13</v>
      </c>
      <c r="J7" s="5" t="n">
        <v>10.65</v>
      </c>
      <c r="K7" s="5">
        <f>I7*J7</f>
        <v/>
      </c>
      <c r="L7" s="5">
        <f>J7/G7</f>
        <v/>
      </c>
      <c r="M7" s="5" t="n">
        <v>10.65</v>
      </c>
      <c r="N7" s="5" t="n">
        <v>10.65</v>
      </c>
      <c r="O7" s="6">
        <f>L7/M7-1</f>
        <v/>
      </c>
      <c r="P7" s="4" t="n">
        <v>2236</v>
      </c>
      <c r="Q7" s="2" t="inlineStr"/>
    </row>
    <row r="8">
      <c r="A8" s="2" t="n">
        <v>3141</v>
      </c>
      <c r="B8" s="2" t="n">
        <v>626071</v>
      </c>
      <c r="C8" s="3" t="inlineStr">
        <is>
          <t>17896023756846</t>
        </is>
      </c>
      <c r="D8" s="2" t="inlineStr">
        <is>
          <t>FIGATIL C/48 FLAC 10ML</t>
        </is>
      </c>
      <c r="E8" s="2" t="inlineStr">
        <is>
          <t>FIGATIL 10ML FLACONETE</t>
        </is>
      </c>
      <c r="F8" s="2" t="inlineStr">
        <is>
          <t>CATARINENSE</t>
        </is>
      </c>
      <c r="G8" s="4" t="n">
        <v>48</v>
      </c>
      <c r="H8" s="4" t="n">
        <v>1</v>
      </c>
      <c r="I8" s="4" t="n">
        <v>1</v>
      </c>
      <c r="J8" s="5" t="n">
        <v>108.31</v>
      </c>
      <c r="K8" s="5">
        <f>I8*J8</f>
        <v/>
      </c>
      <c r="L8" s="5">
        <f>J8/G8</f>
        <v/>
      </c>
      <c r="M8" s="5" t="n">
        <v>2.4223</v>
      </c>
      <c r="N8" s="5" t="n">
        <v>1.1388</v>
      </c>
      <c r="O8" s="6">
        <f>L8/M8-1</f>
        <v/>
      </c>
      <c r="P8" s="4" t="n">
        <v>48</v>
      </c>
      <c r="Q8" s="2" t="inlineStr">
        <is>
          <t>1 emb. Dimec = 48 un do Radar (pedido = 1 emb.)</t>
        </is>
      </c>
    </row>
    <row r="9">
      <c r="A9" s="2" t="n">
        <v>1253</v>
      </c>
      <c r="B9" s="2" t="n">
        <v>532961</v>
      </c>
      <c r="C9" s="3" t="inlineStr">
        <is>
          <t>7898100242962</t>
        </is>
      </c>
      <c r="D9" s="2" t="inlineStr">
        <is>
          <t>GRIPALCE (20X10) C/200 CPS</t>
        </is>
      </c>
      <c r="E9" s="2" t="inlineStr">
        <is>
          <t>GRIPALCE 400MG+4MG+4MG CARTELA C/10 CP</t>
        </is>
      </c>
      <c r="F9" s="2" t="inlineStr">
        <is>
          <t>BRASTERAPICA</t>
        </is>
      </c>
      <c r="G9" s="4" t="n">
        <v>20</v>
      </c>
      <c r="H9" s="4" t="n">
        <v>18</v>
      </c>
      <c r="I9" s="4" t="n">
        <v>1</v>
      </c>
      <c r="J9" s="5" t="n">
        <v>44.97</v>
      </c>
      <c r="K9" s="5">
        <f>I9*J9</f>
        <v/>
      </c>
      <c r="L9" s="5">
        <f>J9/G9</f>
        <v/>
      </c>
      <c r="M9" s="5" t="n">
        <v>1.9845</v>
      </c>
      <c r="N9" s="5" t="n">
        <v>1.85</v>
      </c>
      <c r="O9" s="6">
        <f>L9/M9-1</f>
        <v/>
      </c>
      <c r="P9" s="4" t="n">
        <v>1714</v>
      </c>
      <c r="Q9" s="2" t="inlineStr">
        <is>
          <t>1 emb. Dimec = 20 un do Radar (pedido = 1 emb.)</t>
        </is>
      </c>
    </row>
    <row r="10">
      <c r="A10" s="2" t="n">
        <v>6660</v>
      </c>
      <c r="B10" s="2" t="n">
        <v>330261</v>
      </c>
      <c r="C10" s="3" t="inlineStr">
        <is>
          <t>7898100244454</t>
        </is>
      </c>
      <c r="D10" s="2" t="inlineStr">
        <is>
          <t>GRIPALCE (20X5) C/100 CPS</t>
        </is>
      </c>
      <c r="E10" s="2" t="inlineStr">
        <is>
          <t>GRIPALCE CX 20BL X 5 COMP</t>
        </is>
      </c>
      <c r="F10" s="2" t="inlineStr">
        <is>
          <t>BRASTERAPICA</t>
        </is>
      </c>
      <c r="G10" s="4" t="n">
        <v>20</v>
      </c>
      <c r="H10" s="4" t="n">
        <v>107</v>
      </c>
      <c r="I10" s="4" t="n">
        <v>6</v>
      </c>
      <c r="J10" s="5" t="n">
        <v>26.99</v>
      </c>
      <c r="K10" s="5">
        <f>I10*J10</f>
        <v/>
      </c>
      <c r="L10" s="5">
        <f>J10/G10</f>
        <v/>
      </c>
      <c r="M10" s="5" t="n">
        <v>1.0425</v>
      </c>
      <c r="N10" s="5" t="n">
        <v>1.0425</v>
      </c>
      <c r="O10" s="6">
        <f>L10/M10-1</f>
        <v/>
      </c>
      <c r="P10" s="4" t="n">
        <v>100</v>
      </c>
      <c r="Q10" s="2" t="inlineStr">
        <is>
          <t>1 emb. Dimec = 20 un do Radar (pedido = 6 emb.)</t>
        </is>
      </c>
    </row>
    <row r="11">
      <c r="A11" s="2" t="n">
        <v>7133</v>
      </c>
      <c r="B11" s="2" t="n">
        <v>594881</v>
      </c>
      <c r="C11" s="3" t="inlineStr">
        <is>
          <t>7898639690975</t>
        </is>
      </c>
      <c r="D11" s="2" t="inlineStr">
        <is>
          <t>NEBULIZADOR COMPACT DC1 BRANCO</t>
        </is>
      </c>
      <c r="E11" s="2" t="inlineStr">
        <is>
          <t>INALADOR NEBULIZADOR COMPACT DC1 G-TECH</t>
        </is>
      </c>
      <c r="F11" s="2" t="inlineStr">
        <is>
          <t>GTECH</t>
        </is>
      </c>
      <c r="G11" s="4" t="n">
        <v>1</v>
      </c>
      <c r="H11" s="4" t="n">
        <v>2</v>
      </c>
      <c r="I11" s="4" t="n">
        <v>2</v>
      </c>
      <c r="J11" s="5" t="n">
        <v>98.45999999999999</v>
      </c>
      <c r="K11" s="5">
        <f>I11*J11</f>
        <v/>
      </c>
      <c r="L11" s="5">
        <f>J11/G11</f>
        <v/>
      </c>
      <c r="M11" s="5" t="n">
        <v>90.756</v>
      </c>
      <c r="N11" s="5" t="n">
        <v>90.756</v>
      </c>
      <c r="O11" s="6">
        <f>L11/M11-1</f>
        <v/>
      </c>
      <c r="P11" s="4" t="n">
        <v>764</v>
      </c>
      <c r="Q11" s="2" t="inlineStr"/>
    </row>
    <row r="12">
      <c r="A12" s="2" t="n">
        <v>4499</v>
      </c>
      <c r="B12" s="2" t="n">
        <v>1173</v>
      </c>
      <c r="C12" s="3" t="inlineStr">
        <is>
          <t>7898639691934</t>
        </is>
      </c>
      <c r="D12" s="2" t="inlineStr">
        <is>
          <t>LANCETAS PARA LANCETADOR 28G C/100 UND</t>
        </is>
      </c>
      <c r="E12" s="2" t="inlineStr">
        <is>
          <t>LANCETAS PARA LANCETADOR 28G C/100 UND</t>
        </is>
      </c>
      <c r="F12" s="2" t="inlineStr">
        <is>
          <t>GTECH</t>
        </is>
      </c>
      <c r="G12" s="4" t="n">
        <v>1</v>
      </c>
      <c r="H12" s="4" t="n">
        <v>1</v>
      </c>
      <c r="I12" s="4" t="n">
        <v>1</v>
      </c>
      <c r="J12" s="5" t="n">
        <v>5.54</v>
      </c>
      <c r="K12" s="5">
        <f>I12*J12</f>
        <v/>
      </c>
      <c r="L12" s="5">
        <f>J12/G12</f>
        <v/>
      </c>
      <c r="M12" s="5" t="n">
        <v>5.6025</v>
      </c>
      <c r="N12" s="5" t="n">
        <v>5.6025</v>
      </c>
      <c r="O12" s="6">
        <f>L12/M12-1</f>
        <v/>
      </c>
      <c r="P12" s="4" t="n">
        <v>826</v>
      </c>
      <c r="Q12" s="2" t="inlineStr"/>
    </row>
    <row r="13">
      <c r="A13" s="2" t="n">
        <v>4729</v>
      </c>
      <c r="B13" s="2" t="n">
        <v>3223</v>
      </c>
      <c r="C13" s="3" t="inlineStr">
        <is>
          <t>7896023708626</t>
        </is>
      </c>
      <c r="D13" s="2" t="inlineStr">
        <is>
          <t>MELAGRIAO SPRAY 30ML EXTRA FORTE</t>
        </is>
      </c>
      <c r="E13" s="2" t="inlineStr">
        <is>
          <t>MELAGRIAO SPRAY 30ML EXTRA FORTE</t>
        </is>
      </c>
      <c r="F13" s="2" t="inlineStr">
        <is>
          <t>CATARINENSE</t>
        </is>
      </c>
      <c r="G13" s="4" t="n">
        <v>1</v>
      </c>
      <c r="H13" s="4" t="n">
        <v>2</v>
      </c>
      <c r="I13" s="4" t="n">
        <v>2</v>
      </c>
      <c r="J13" s="5" t="n">
        <v>13.22</v>
      </c>
      <c r="K13" s="5">
        <f>I13*J13</f>
        <v/>
      </c>
      <c r="L13" s="5">
        <f>J13/G13</f>
        <v/>
      </c>
      <c r="M13" s="5" t="n">
        <v>21.72</v>
      </c>
      <c r="N13" s="5" t="n">
        <v>18.02</v>
      </c>
      <c r="O13" s="6">
        <f>L13/M13-1</f>
        <v/>
      </c>
      <c r="P13" s="4" t="n">
        <v>322</v>
      </c>
      <c r="Q13" s="2" t="inlineStr"/>
    </row>
    <row r="14">
      <c r="A14" s="2" t="n">
        <v>625</v>
      </c>
      <c r="B14" s="2" t="n">
        <v>548221</v>
      </c>
      <c r="C14" s="3" t="inlineStr">
        <is>
          <t>7896023719899</t>
        </is>
      </c>
      <c r="D14" s="2" t="inlineStr">
        <is>
          <t>MELAGRIAO 150ML XPE</t>
        </is>
      </c>
      <c r="E14" s="2" t="inlineStr">
        <is>
          <t>MELAGRIÃO EXPECTORANTE CATARINENSE 150ML</t>
        </is>
      </c>
      <c r="F14" s="2" t="inlineStr">
        <is>
          <t>CATARINENSE</t>
        </is>
      </c>
      <c r="G14" s="4" t="n">
        <v>1</v>
      </c>
      <c r="H14" s="4" t="n">
        <v>3</v>
      </c>
      <c r="I14" s="4" t="n">
        <v>3</v>
      </c>
      <c r="J14" s="5" t="n">
        <v>15.82</v>
      </c>
      <c r="K14" s="5">
        <f>I14*J14</f>
        <v/>
      </c>
      <c r="L14" s="5">
        <f>J14/G14</f>
        <v/>
      </c>
      <c r="M14" s="5" t="n">
        <v>35.31</v>
      </c>
      <c r="N14" s="5" t="n">
        <v>14.77</v>
      </c>
      <c r="O14" s="6">
        <f>L14/M14-1</f>
        <v/>
      </c>
      <c r="P14" s="4" t="n">
        <v>899</v>
      </c>
      <c r="Q14" s="2" t="inlineStr"/>
    </row>
    <row r="15">
      <c r="A15" s="2" t="n">
        <v>5739</v>
      </c>
      <c r="B15" s="2" t="n">
        <v>621241</v>
      </c>
      <c r="C15" s="3" t="inlineStr">
        <is>
          <t>7896920304334</t>
        </is>
      </c>
      <c r="D15" s="2" t="inlineStr">
        <is>
          <t>MILMUNE PED 120ML SUS LARANJA CARAMELO</t>
        </is>
      </c>
      <c r="E15" s="2" t="inlineStr">
        <is>
          <t>MILMUNE CONCENTRADO 120ML</t>
        </is>
      </c>
      <c r="F15" s="2" t="inlineStr">
        <is>
          <t>ECOFITUS</t>
        </is>
      </c>
      <c r="G15" s="4" t="n">
        <v>1</v>
      </c>
      <c r="H15" s="4" t="n">
        <v>4</v>
      </c>
      <c r="I15" s="4" t="n">
        <v>4</v>
      </c>
      <c r="J15" s="5" t="n">
        <v>26.484262</v>
      </c>
      <c r="K15" s="5">
        <f>I15*J15</f>
        <v/>
      </c>
      <c r="L15" s="5">
        <f>J15/G15</f>
        <v/>
      </c>
      <c r="M15" s="5" t="n">
        <v>21.33</v>
      </c>
      <c r="N15" s="5" t="n">
        <v>21.33</v>
      </c>
      <c r="O15" s="6">
        <f>L15/M15-1</f>
        <v/>
      </c>
      <c r="P15" s="4" t="n">
        <v>4677</v>
      </c>
      <c r="Q15" s="2" t="inlineStr"/>
    </row>
    <row r="16">
      <c r="A16" s="2" t="n">
        <v>5738</v>
      </c>
      <c r="B16" s="2" t="n">
        <v>557961</v>
      </c>
      <c r="C16" s="3" t="inlineStr">
        <is>
          <t>7896920304037</t>
        </is>
      </c>
      <c r="D16" s="2" t="inlineStr">
        <is>
          <t>MILMUNE CONCENTRADO C/30 CPR</t>
        </is>
      </c>
      <c r="E16" s="2" t="inlineStr">
        <is>
          <t>MILMUNE CONCENTRADO 30CP</t>
        </is>
      </c>
      <c r="F16" s="2" t="inlineStr">
        <is>
          <t>ECOFITUS</t>
        </is>
      </c>
      <c r="G16" s="4" t="n">
        <v>1</v>
      </c>
      <c r="H16" s="4" t="n">
        <v>6</v>
      </c>
      <c r="I16" s="4" t="n">
        <v>6</v>
      </c>
      <c r="J16" s="5" t="n">
        <v>42.609678</v>
      </c>
      <c r="K16" s="5">
        <f>I16*J16</f>
        <v/>
      </c>
      <c r="L16" s="5">
        <f>J16/G16</f>
        <v/>
      </c>
      <c r="M16" s="5" t="n">
        <v>37.65</v>
      </c>
      <c r="N16" s="5" t="n">
        <v>34.22</v>
      </c>
      <c r="O16" s="6">
        <f>L16/M16-1</f>
        <v/>
      </c>
      <c r="P16" s="4" t="n">
        <v>8695</v>
      </c>
      <c r="Q16" s="2" t="inlineStr"/>
    </row>
    <row r="17">
      <c r="A17" s="2" t="n">
        <v>3381</v>
      </c>
      <c r="B17" s="2" t="n">
        <v>627711</v>
      </c>
      <c r="C17" s="3" t="inlineStr">
        <is>
          <t>7896023799983</t>
        </is>
      </c>
      <c r="D17" s="2" t="inlineStr">
        <is>
          <t>OMEGA 3 1000MG C/60 CPS</t>
        </is>
      </c>
      <c r="E17" s="2" t="inlineStr">
        <is>
          <t>OMEGA 3 1000MG 60CAP</t>
        </is>
      </c>
      <c r="F17" s="2" t="inlineStr">
        <is>
          <t>CATARINENSE</t>
        </is>
      </c>
      <c r="G17" s="4" t="n">
        <v>1</v>
      </c>
      <c r="H17" s="4" t="n">
        <v>13</v>
      </c>
      <c r="I17" s="4" t="n">
        <v>13</v>
      </c>
      <c r="J17" s="5" t="n">
        <v>37.44</v>
      </c>
      <c r="K17" s="5">
        <f>I17*J17</f>
        <v/>
      </c>
      <c r="L17" s="5">
        <f>J17/G17</f>
        <v/>
      </c>
      <c r="M17" s="5" t="n">
        <v>32.02</v>
      </c>
      <c r="N17" s="5" t="n">
        <v>27.45</v>
      </c>
      <c r="O17" s="6">
        <f>L17/M17-1</f>
        <v/>
      </c>
      <c r="P17" s="4" t="n">
        <v>340</v>
      </c>
      <c r="Q17" s="2" t="inlineStr"/>
    </row>
    <row r="18">
      <c r="A18" s="2" t="n">
        <v>4502</v>
      </c>
      <c r="B18" s="2" t="n">
        <v>578761</v>
      </c>
      <c r="C18" s="3" t="inlineStr">
        <is>
          <t>7898639690418</t>
        </is>
      </c>
      <c r="D18" s="2" t="inlineStr">
        <is>
          <t>TERMOMETRO DIGITAL TH1027</t>
        </is>
      </c>
      <c r="E18" s="2" t="inlineStr">
        <is>
          <t>PVV - TERMOMETRO DIGITAL CLINICO TH1027</t>
        </is>
      </c>
      <c r="F18" s="2" t="inlineStr">
        <is>
          <t>GTECH</t>
        </is>
      </c>
      <c r="G18" s="4" t="n">
        <v>1</v>
      </c>
      <c r="H18" s="4" t="n">
        <v>15</v>
      </c>
      <c r="I18" s="4" t="n">
        <v>15</v>
      </c>
      <c r="J18" s="5" t="n">
        <v>11.56</v>
      </c>
      <c r="K18" s="5">
        <f>I18*J18</f>
        <v/>
      </c>
      <c r="L18" s="5">
        <f>J18/G18</f>
        <v/>
      </c>
      <c r="M18" s="5" t="n">
        <v>8.082000000000001</v>
      </c>
      <c r="N18" s="5" t="n">
        <v>8.08</v>
      </c>
      <c r="O18" s="6">
        <f>L18/M18-1</f>
        <v/>
      </c>
      <c r="P18" s="4" t="n">
        <v>2198</v>
      </c>
      <c r="Q18" s="2" t="inlineStr"/>
    </row>
    <row r="19">
      <c r="A19" s="2" t="n">
        <v>8808</v>
      </c>
      <c r="B19" s="2" t="n">
        <v>671301</v>
      </c>
      <c r="C19" s="3" t="inlineStr">
        <is>
          <t>7898652375736</t>
        </is>
      </c>
      <c r="D19" s="2" t="inlineStr">
        <is>
          <t>SERINGA 20ML LL AG 0,7X25</t>
        </is>
      </c>
      <c r="E19" s="2" t="inlineStr">
        <is>
          <t>SERINGA 20ML LL AGULHA 0,7X25</t>
        </is>
      </c>
      <c r="F19" s="2" t="inlineStr">
        <is>
          <t>MEDIX</t>
        </is>
      </c>
      <c r="G19" s="4" t="n">
        <v>1</v>
      </c>
      <c r="H19" s="4" t="n">
        <v>24</v>
      </c>
      <c r="I19" s="4" t="n">
        <v>24</v>
      </c>
      <c r="J19" s="5" t="n">
        <v>0.89</v>
      </c>
      <c r="K19" s="5">
        <f>I19*J19</f>
        <v/>
      </c>
      <c r="L19" s="5">
        <f>J19/G19</f>
        <v/>
      </c>
      <c r="M19" s="5" t="n">
        <v>0.59</v>
      </c>
      <c r="N19" s="5" t="n">
        <v>0.59</v>
      </c>
      <c r="O19" s="6">
        <f>L19/M19-1</f>
        <v/>
      </c>
      <c r="P19" s="4" t="n">
        <v>11472</v>
      </c>
      <c r="Q19" s="2" t="inlineStr"/>
    </row>
    <row r="20">
      <c r="A20" s="2" t="n">
        <v>3232</v>
      </c>
      <c r="B20" s="2" t="n">
        <v>588881</v>
      </c>
      <c r="C20" s="3" t="inlineStr">
        <is>
          <t>7898108640616</t>
        </is>
      </c>
      <c r="D20" s="2" t="inlineStr">
        <is>
          <t>TESTE CONFIRA PRATIC CANETA*</t>
        </is>
      </c>
      <c r="E20" s="2" t="inlineStr">
        <is>
          <t>TESTE DE GRAVIDEZ CONFIRA PRATIC CANETA</t>
        </is>
      </c>
      <c r="F20" s="2" t="inlineStr">
        <is>
          <t>SANFARMA</t>
        </is>
      </c>
      <c r="G20" s="4" t="n">
        <v>1</v>
      </c>
      <c r="H20" s="4" t="n">
        <v>8</v>
      </c>
      <c r="I20" s="4" t="n">
        <v>8</v>
      </c>
      <c r="J20" s="5" t="n">
        <v>5.57</v>
      </c>
      <c r="K20" s="5">
        <f>I20*J20</f>
        <v/>
      </c>
      <c r="L20" s="5">
        <f>J20/G20</f>
        <v/>
      </c>
      <c r="M20" s="5" t="n">
        <v>4.91</v>
      </c>
      <c r="N20" s="5" t="n">
        <v>4.91</v>
      </c>
      <c r="O20" s="6">
        <f>L20/M20-1</f>
        <v/>
      </c>
      <c r="P20" s="4" t="n">
        <v>787</v>
      </c>
      <c r="Q20" s="2" t="inlineStr"/>
    </row>
    <row r="21">
      <c r="A21" s="2" t="n">
        <v>4503</v>
      </c>
      <c r="B21" s="2" t="n">
        <v>3153</v>
      </c>
      <c r="C21" s="3" t="inlineStr">
        <is>
          <t>7898301056757</t>
        </is>
      </c>
      <c r="D21" s="2" t="inlineStr">
        <is>
          <t>TIRA DE GLICOSE FREE 1 C/25 UND</t>
        </is>
      </c>
      <c r="E21" s="2" t="inlineStr">
        <is>
          <t>TIRA DE TESTE DE GLICOSE C/25 UND FREE 1</t>
        </is>
      </c>
      <c r="F21" s="2" t="inlineStr">
        <is>
          <t>GTECH</t>
        </is>
      </c>
      <c r="G21" s="4" t="n">
        <v>1</v>
      </c>
      <c r="H21" s="4" t="n">
        <v>5</v>
      </c>
      <c r="I21" s="4" t="n">
        <v>5</v>
      </c>
      <c r="J21" s="5" t="n">
        <v>51.3</v>
      </c>
      <c r="K21" s="5">
        <f>I21*J21</f>
        <v/>
      </c>
      <c r="L21" s="5">
        <f>J21/G21</f>
        <v/>
      </c>
      <c r="M21" s="5" t="n">
        <v>46.42</v>
      </c>
      <c r="N21" s="5" t="n">
        <v>43.95</v>
      </c>
      <c r="O21" s="6">
        <f>L21/M21-1</f>
        <v/>
      </c>
      <c r="P21" s="4" t="n">
        <v>203</v>
      </c>
      <c r="Q21" s="2" t="inlineStr"/>
    </row>
    <row r="22">
      <c r="A22" s="2" t="n">
        <v>4504</v>
      </c>
      <c r="B22" s="2" t="n">
        <v>3163</v>
      </c>
      <c r="C22" s="3" t="inlineStr">
        <is>
          <t>7898301056740</t>
        </is>
      </c>
      <c r="D22" s="2" t="inlineStr">
        <is>
          <t>TIRA DE GLICOSE FREE 1 C/50 UND</t>
        </is>
      </c>
      <c r="E22" s="2" t="inlineStr">
        <is>
          <t>TIRA DE TESTE DE GLICOSE C/50 UND FREE 1</t>
        </is>
      </c>
      <c r="F22" s="2" t="inlineStr">
        <is>
          <t>GTECH</t>
        </is>
      </c>
      <c r="G22" s="4" t="n">
        <v>1</v>
      </c>
      <c r="H22" s="4" t="n">
        <v>23</v>
      </c>
      <c r="I22" s="4" t="n">
        <v>23</v>
      </c>
      <c r="J22" s="5" t="n">
        <v>67.45999999999999</v>
      </c>
      <c r="K22" s="5">
        <f>I22*J22</f>
        <v/>
      </c>
      <c r="L22" s="5">
        <f>J22/G22</f>
        <v/>
      </c>
      <c r="M22" s="5" t="n">
        <v>51.625</v>
      </c>
      <c r="N22" s="5" t="n">
        <v>48.88</v>
      </c>
      <c r="O22" s="6">
        <f>L22/M22-1</f>
        <v/>
      </c>
      <c r="P22" s="4" t="n">
        <v>795</v>
      </c>
      <c r="Q22" s="2" t="inlineStr"/>
    </row>
    <row r="23">
      <c r="A23" s="2" t="n">
        <v>395</v>
      </c>
      <c r="B23" s="2" t="n">
        <v>563961</v>
      </c>
      <c r="C23" s="3" t="inlineStr">
        <is>
          <t>7898100241590</t>
        </is>
      </c>
      <c r="D23" s="2" t="inlineStr">
        <is>
          <t>TYFLEN 500MG (20X10) C/200 CPR</t>
        </is>
      </c>
      <c r="E23" s="2" t="inlineStr">
        <is>
          <t>TYFLEN 500MG CARTELA COM 10CP</t>
        </is>
      </c>
      <c r="F23" s="2" t="inlineStr">
        <is>
          <t>BRASTERAPICA</t>
        </is>
      </c>
      <c r="G23" s="4" t="n">
        <v>20</v>
      </c>
      <c r="H23" s="4" t="n">
        <v>1</v>
      </c>
      <c r="I23" s="4" t="n">
        <v>1</v>
      </c>
      <c r="J23" s="5" t="n">
        <v>29.55</v>
      </c>
      <c r="K23" s="5">
        <f>I23*J23</f>
        <v/>
      </c>
      <c r="L23" s="5">
        <f>J23/G23</f>
        <v/>
      </c>
      <c r="M23" s="5" t="n">
        <v>1.8355</v>
      </c>
      <c r="N23" s="5" t="n">
        <v>1.8355</v>
      </c>
      <c r="O23" s="6">
        <f>L23/M23-1</f>
        <v/>
      </c>
      <c r="P23" s="4" t="n">
        <v>125</v>
      </c>
      <c r="Q23" s="2" t="inlineStr">
        <is>
          <t>1 emb. Dimec = 20 un do Radar (pedido = 1 emb.)</t>
        </is>
      </c>
    </row>
    <row r="24">
      <c r="E24" s="7" t="inlineStr">
        <is>
          <t>TOTAL</t>
        </is>
      </c>
      <c r="K24" s="8">
        <f>SUM(K2:K23)</f>
        <v/>
      </c>
    </row>
    <row r="26">
      <c r="A26" s="9" t="inlineStr">
        <is>
          <t>Pedido Dimec (catálogo 'preço 2%') × Radar Pareto 08/09/2026 — casado por TODOS os EANs (Radar adic. 1-5 + controle 04/09), com equivalência DUN-14/EAN-13. SEM LIMIAR DE PREÇOS: todos os itens casados entram; 'Últ. compra' e 'Menor hist.' (3/6/12m) são referência. 'Un/Emb' = unidades do Radar por embalagem Dimec (detectado pelo nome e preço); 'Qtd pedido' já convertida para embalagens Dimec (arredondada para cima).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2026-09-08T19:11:27Z</dcterms:created>
  <dcterms:modified xsi:type="dcterms:W3CDTF">2026-09-08T19:11:27Z</dcterms:modified>
</cp:coreProperties>
</file>