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164" fontId="2" fillId="0" borderId="1" pivotButton="0" quotePrefix="0" xfId="0"/>
    <xf numFmtId="0" fontId="3" fillId="0" borderId="0" pivotButton="0" quotePrefix="0" xfId="0"/>
    <xf numFmtId="4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5" customWidth="1" min="3" max="3"/>
    <col width="42" customWidth="1" min="4" max="4"/>
    <col width="42" customWidth="1" min="5" max="5"/>
    <col width="13" customWidth="1" min="6" max="6"/>
    <col width="8" customWidth="1" min="7" max="7"/>
    <col width="9" customWidth="1" min="8" max="8"/>
    <col width="10" customWidth="1" min="9" max="9"/>
    <col width="12" customWidth="1" min="10" max="10"/>
    <col width="11" customWidth="1" min="11" max="11"/>
    <col width="11" customWidth="1" min="12" max="12"/>
    <col width="11" customWidth="1" min="13" max="13"/>
    <col width="11" customWidth="1" min="14" max="14"/>
    <col width="9" customWidth="1" min="15" max="15"/>
    <col width="12" customWidth="1" min="16" max="16"/>
    <col width="34" customWidth="1" min="17" max="17"/>
  </cols>
  <sheetData>
    <row r="1" ht="28" customHeight="1">
      <c r="A1" s="1" t="inlineStr">
        <is>
          <t>Cód. Dimec</t>
        </is>
      </c>
      <c r="B1" s="1" t="inlineStr">
        <is>
          <t>Cód. interno</t>
        </is>
      </c>
      <c r="C1" s="1" t="inlineStr">
        <is>
          <t>EAN Dimec</t>
        </is>
      </c>
      <c r="D1" s="1" t="inlineStr">
        <is>
          <t>Produto (Dimec)</t>
        </is>
      </c>
      <c r="E1" s="1" t="inlineStr">
        <is>
          <t>Produto (Radar)</t>
        </is>
      </c>
      <c r="F1" s="1" t="inlineStr">
        <is>
          <t>Marca</t>
        </is>
      </c>
      <c r="G1" s="1" t="inlineStr">
        <is>
          <t>Un/Emb</t>
        </is>
      </c>
      <c r="H1" s="1" t="inlineStr">
        <is>
          <t>Caixas Radar</t>
        </is>
      </c>
      <c r="I1" s="1" t="inlineStr">
        <is>
          <t>Qtd pedido (emb.)</t>
        </is>
      </c>
      <c r="J1" s="1" t="inlineStr">
        <is>
          <t>Preço Dimec (emb.)</t>
        </is>
      </c>
      <c r="K1" s="1" t="inlineStr">
        <is>
          <t>Total</t>
        </is>
      </c>
      <c r="L1" s="1" t="inlineStr">
        <is>
          <t>Preço un. equiv.</t>
        </is>
      </c>
      <c r="M1" s="1" t="inlineStr">
        <is>
          <t>Últ. compra</t>
        </is>
      </c>
      <c r="N1" s="1" t="inlineStr">
        <is>
          <t>Menor hist.</t>
        </is>
      </c>
      <c r="O1" s="1" t="inlineStr">
        <is>
          <t>Dif. %</t>
        </is>
      </c>
      <c r="P1" s="1" t="inlineStr">
        <is>
          <t>Estoque Dimec</t>
        </is>
      </c>
      <c r="Q1" s="1" t="inlineStr">
        <is>
          <t>OBS</t>
        </is>
      </c>
    </row>
    <row r="2">
      <c r="A2" s="2" t="n">
        <v>4853</v>
      </c>
      <c r="B2" s="2" t="n">
        <v>441</v>
      </c>
      <c r="C2" s="3" t="inlineStr">
        <is>
          <t>7896422513173</t>
        </is>
      </c>
      <c r="D2" s="2" t="inlineStr">
        <is>
          <t>DOMPERIDONA 1MG 100ML SUS</t>
        </is>
      </c>
      <c r="E2" s="2" t="inlineStr">
        <is>
          <t>- DOMPERIDONA 1MG/ML SUS OR FR 100ML+PIPET DOS</t>
        </is>
      </c>
      <c r="F2" s="2" t="inlineStr">
        <is>
          <t>MEDLEY</t>
        </is>
      </c>
      <c r="G2" s="4" t="n">
        <v>1</v>
      </c>
      <c r="H2" s="4" t="n">
        <v>3</v>
      </c>
      <c r="I2" s="4" t="n">
        <v>3</v>
      </c>
      <c r="J2" s="5" t="n">
        <v>12.2</v>
      </c>
      <c r="K2" s="5">
        <f>I2*J2</f>
        <v/>
      </c>
      <c r="L2" s="5">
        <f>J2/G2</f>
        <v/>
      </c>
      <c r="M2" s="5" t="n">
        <v>9.367100000000001</v>
      </c>
      <c r="N2" s="5" t="n">
        <v>9.367100000000001</v>
      </c>
      <c r="O2" s="6">
        <f>L2/M2-1</f>
        <v/>
      </c>
      <c r="P2" s="4" t="n">
        <v>849</v>
      </c>
      <c r="Q2" s="2" t="inlineStr"/>
    </row>
    <row r="3">
      <c r="A3" s="2" t="n">
        <v>9626</v>
      </c>
      <c r="B3" s="2" t="n">
        <v>634551</v>
      </c>
      <c r="C3" s="3" t="inlineStr">
        <is>
          <t>7898767760014</t>
        </is>
      </c>
      <c r="D3" s="2" t="inlineStr">
        <is>
          <t>5MAG C/60 CPS</t>
        </is>
      </c>
      <c r="E3" s="2" t="inlineStr">
        <is>
          <t>5MAG 500MG 60CAPS QUALYNUTRI</t>
        </is>
      </c>
      <c r="F3" s="2" t="inlineStr">
        <is>
          <t>QUALYNUTRI</t>
        </is>
      </c>
      <c r="G3" s="4" t="n">
        <v>1</v>
      </c>
      <c r="H3" s="4" t="n">
        <v>2</v>
      </c>
      <c r="I3" s="4" t="n">
        <v>2</v>
      </c>
      <c r="J3" s="5" t="n">
        <v>33.53</v>
      </c>
      <c r="K3" s="5">
        <f>I3*J3</f>
        <v/>
      </c>
      <c r="L3" s="5">
        <f>J3/G3</f>
        <v/>
      </c>
      <c r="M3" s="5" t="n">
        <v>33.53</v>
      </c>
      <c r="N3" s="5" t="n">
        <v>33.53</v>
      </c>
      <c r="O3" s="6">
        <f>L3/M3-1</f>
        <v/>
      </c>
      <c r="P3" s="4" t="n">
        <v>163</v>
      </c>
      <c r="Q3" s="2" t="inlineStr"/>
    </row>
    <row r="4">
      <c r="A4" s="2" t="n">
        <v>7634</v>
      </c>
      <c r="B4" s="2" t="n">
        <v>638981</v>
      </c>
      <c r="C4" s="3" t="inlineStr">
        <is>
          <t>7894164009008</t>
        </is>
      </c>
      <c r="D4" s="2" t="inlineStr">
        <is>
          <t>ABIDOR CRIANCA 32MG 60ML SUS</t>
        </is>
      </c>
      <c r="E4" s="2" t="inlineStr">
        <is>
          <t>ABIDOR CRIANCA 32G 60ML SUS.</t>
        </is>
      </c>
      <c r="F4" s="2" t="inlineStr">
        <is>
          <t>AIRELA</t>
        </is>
      </c>
      <c r="G4" s="4" t="n">
        <v>1</v>
      </c>
      <c r="H4" s="4" t="n">
        <v>4</v>
      </c>
      <c r="I4" s="4" t="n">
        <v>4</v>
      </c>
      <c r="J4" s="5" t="n">
        <v>6.4</v>
      </c>
      <c r="K4" s="5">
        <f>I4*J4</f>
        <v/>
      </c>
      <c r="L4" s="5">
        <f>J4/G4</f>
        <v/>
      </c>
      <c r="M4" s="5" t="n">
        <v>5.65</v>
      </c>
      <c r="N4" s="5" t="n">
        <v>5.65</v>
      </c>
      <c r="O4" s="6">
        <f>L4/M4-1</f>
        <v/>
      </c>
      <c r="P4" s="4" t="n">
        <v>87</v>
      </c>
      <c r="Q4" s="2" t="inlineStr"/>
    </row>
    <row r="5">
      <c r="A5" s="2" t="n">
        <v>8910</v>
      </c>
      <c r="B5" s="2" t="n">
        <v>2081</v>
      </c>
      <c r="C5" s="3" t="inlineStr">
        <is>
          <t>7899620912731</t>
        </is>
      </c>
      <c r="D5" s="2" t="inlineStr">
        <is>
          <t>ACEBROFILINA AD 50MG 120ML XPE</t>
        </is>
      </c>
      <c r="E5" s="2" t="inlineStr">
        <is>
          <t>ACEBROFILINA 10MG/ML XPE FR 120ML+COP MED</t>
        </is>
      </c>
      <c r="F5" s="2" t="inlineStr">
        <is>
          <t>GLOBO PHARMA</t>
        </is>
      </c>
      <c r="G5" s="4" t="n">
        <v>1</v>
      </c>
      <c r="H5" s="4" t="n">
        <v>2</v>
      </c>
      <c r="I5" s="4" t="n">
        <v>2</v>
      </c>
      <c r="J5" s="5" t="n">
        <v>7.03</v>
      </c>
      <c r="K5" s="5">
        <f>I5*J5</f>
        <v/>
      </c>
      <c r="L5" s="5">
        <f>J5/G5</f>
        <v/>
      </c>
      <c r="M5" s="5" t="n">
        <v>7.01</v>
      </c>
      <c r="N5" s="5" t="n">
        <v>7.01</v>
      </c>
      <c r="O5" s="6">
        <f>L5/M5-1</f>
        <v/>
      </c>
      <c r="P5" s="4" t="n">
        <v>1261</v>
      </c>
      <c r="Q5" s="2" t="inlineStr"/>
    </row>
    <row r="6">
      <c r="A6" s="2" t="n">
        <v>866</v>
      </c>
      <c r="B6" s="2" t="n">
        <v>403321</v>
      </c>
      <c r="C6" s="3" t="inlineStr">
        <is>
          <t>7893454300115</t>
        </is>
      </c>
      <c r="D6" s="2" t="inlineStr">
        <is>
          <t>ACERATUM 100MG 10ML GTS</t>
        </is>
      </c>
      <c r="E6" s="2" t="inlineStr">
        <is>
          <t>ACERATUM SOL FR 10ML</t>
        </is>
      </c>
      <c r="F6" s="2" t="inlineStr">
        <is>
          <t>DELTA</t>
        </is>
      </c>
      <c r="G6" s="4" t="n">
        <v>1</v>
      </c>
      <c r="H6" s="4" t="n">
        <v>1</v>
      </c>
      <c r="I6" s="4" t="n">
        <v>1</v>
      </c>
      <c r="J6" s="5" t="n">
        <v>11.39</v>
      </c>
      <c r="K6" s="5">
        <f>I6*J6</f>
        <v/>
      </c>
      <c r="L6" s="5">
        <f>J6/G6</f>
        <v/>
      </c>
      <c r="M6" s="5" t="n">
        <v>13.04</v>
      </c>
      <c r="N6" s="5" t="n">
        <v>13.04</v>
      </c>
      <c r="O6" s="6">
        <f>L6/M6-1</f>
        <v/>
      </c>
      <c r="P6" s="4" t="n">
        <v>666</v>
      </c>
      <c r="Q6" s="2" t="inlineStr"/>
    </row>
    <row r="7">
      <c r="A7" s="2" t="n">
        <v>2509</v>
      </c>
      <c r="B7" s="2" t="n">
        <v>14301</v>
      </c>
      <c r="C7" s="3" t="inlineStr">
        <is>
          <t>7898122913772</t>
        </is>
      </c>
      <c r="D7" s="2" t="inlineStr">
        <is>
          <t>VITAMINA C 500MG C/100 AMP 5ML INJ</t>
        </is>
      </c>
      <c r="E7" s="2" t="inlineStr">
        <is>
          <t>ACIDO ASCORBICO (VIT C) HYPOFARMA 100 MG/ML SOL INJ IV/IM CX 100 AMP VD AMB X 5 ML (EMB HOSP)</t>
        </is>
      </c>
      <c r="F7" s="2" t="inlineStr">
        <is>
          <t>HYPOFARMA</t>
        </is>
      </c>
      <c r="G7" s="4" t="n">
        <v>1</v>
      </c>
      <c r="H7" s="4" t="n">
        <v>1</v>
      </c>
      <c r="I7" s="4" t="n">
        <v>1</v>
      </c>
      <c r="J7" s="5" t="n">
        <v>103.59</v>
      </c>
      <c r="K7" s="5">
        <f>I7*J7</f>
        <v/>
      </c>
      <c r="L7" s="5">
        <f>J7/G7</f>
        <v/>
      </c>
      <c r="M7" s="5" t="n">
        <v>117</v>
      </c>
      <c r="N7" s="5" t="n">
        <v>117</v>
      </c>
      <c r="O7" s="6">
        <f>L7/M7-1</f>
        <v/>
      </c>
      <c r="P7" s="4" t="n">
        <v>139</v>
      </c>
      <c r="Q7" s="2" t="inlineStr"/>
    </row>
    <row r="8">
      <c r="A8" s="2" t="n">
        <v>2194</v>
      </c>
      <c r="B8" s="2" t="n">
        <v>1463</v>
      </c>
      <c r="C8" s="3" t="inlineStr">
        <is>
          <t>7898277713739</t>
        </is>
      </c>
      <c r="D8" s="2" t="inlineStr">
        <is>
          <t>AFT RUB 30ML SPRAY BUCAL</t>
        </is>
      </c>
      <c r="E8" s="2" t="inlineStr">
        <is>
          <t>AFT RUB 30ML SPRAY BUCAL</t>
        </is>
      </c>
      <c r="F8" s="2" t="inlineStr">
        <is>
          <t>ARTE NATIVA</t>
        </is>
      </c>
      <c r="G8" s="4" t="n">
        <v>1</v>
      </c>
      <c r="H8" s="4" t="n">
        <v>1</v>
      </c>
      <c r="I8" s="4" t="n">
        <v>1</v>
      </c>
      <c r="J8" s="5" t="n">
        <v>8.09</v>
      </c>
      <c r="K8" s="5">
        <f>I8*J8</f>
        <v/>
      </c>
      <c r="L8" s="5">
        <f>J8/G8</f>
        <v/>
      </c>
      <c r="M8" s="5" t="n">
        <v>8.09</v>
      </c>
      <c r="N8" s="5" t="n">
        <v>8.09</v>
      </c>
      <c r="O8" s="6">
        <f>L8/M8-1</f>
        <v/>
      </c>
      <c r="P8" s="4" t="n">
        <v>173</v>
      </c>
      <c r="Q8" s="2" t="inlineStr"/>
    </row>
    <row r="9">
      <c r="A9" s="2" t="n">
        <v>4782</v>
      </c>
      <c r="B9" s="2" t="n">
        <v>538041</v>
      </c>
      <c r="C9" s="3" t="inlineStr">
        <is>
          <t>7894164005208</t>
        </is>
      </c>
      <c r="D9" s="2" t="inlineStr">
        <is>
          <t>AFTANAX 25ML SPRAY BUCAL</t>
        </is>
      </c>
      <c r="E9" s="2" t="inlineStr">
        <is>
          <t>AFTANAX 100MG/ML SPRAY 25ML</t>
        </is>
      </c>
      <c r="F9" s="2" t="inlineStr">
        <is>
          <t>AIRELA</t>
        </is>
      </c>
      <c r="G9" s="4" t="n">
        <v>1</v>
      </c>
      <c r="H9" s="4" t="n">
        <v>1</v>
      </c>
      <c r="I9" s="4" t="n">
        <v>1</v>
      </c>
      <c r="J9" s="5" t="n">
        <v>12.35</v>
      </c>
      <c r="K9" s="5">
        <f>I9*J9</f>
        <v/>
      </c>
      <c r="L9" s="5">
        <f>J9/G9</f>
        <v/>
      </c>
      <c r="M9" s="5" t="n">
        <v>12.35</v>
      </c>
      <c r="N9" s="5" t="n">
        <v>12.35</v>
      </c>
      <c r="O9" s="6">
        <f>L9/M9-1</f>
        <v/>
      </c>
      <c r="P9" s="4" t="n">
        <v>116</v>
      </c>
      <c r="Q9" s="2" t="inlineStr"/>
    </row>
    <row r="10">
      <c r="A10" s="2" t="n">
        <v>137</v>
      </c>
      <c r="B10" s="2" t="n">
        <v>532121</v>
      </c>
      <c r="C10" s="3" t="inlineStr">
        <is>
          <t>7898031310082</t>
        </is>
      </c>
      <c r="D10" s="2" t="inlineStr">
        <is>
          <t>AGUA BORICADA 3% 100ML</t>
        </is>
      </c>
      <c r="E10" s="2" t="inlineStr">
        <is>
          <t>AGUA BORICADA 3% 100ML</t>
        </is>
      </c>
      <c r="F10" s="2" t="inlineStr">
        <is>
          <t>UNIPHAR</t>
        </is>
      </c>
      <c r="G10" s="4" t="n">
        <v>1</v>
      </c>
      <c r="H10" s="4" t="n">
        <v>1</v>
      </c>
      <c r="I10" s="4" t="n">
        <v>1</v>
      </c>
      <c r="J10" s="5" t="n">
        <v>2.69</v>
      </c>
      <c r="K10" s="5">
        <f>I10*J10</f>
        <v/>
      </c>
      <c r="L10" s="5">
        <f>J10/G10</f>
        <v/>
      </c>
      <c r="M10" s="5" t="n">
        <v>2.49</v>
      </c>
      <c r="N10" s="5" t="n">
        <v>2.49</v>
      </c>
      <c r="O10" s="6">
        <f>L10/M10-1</f>
        <v/>
      </c>
      <c r="P10" s="4" t="n">
        <v>3083</v>
      </c>
      <c r="Q10" s="2" t="inlineStr"/>
    </row>
    <row r="11">
      <c r="A11" s="2" t="n">
        <v>1251</v>
      </c>
      <c r="B11" s="2" t="n">
        <v>541181</v>
      </c>
      <c r="C11" s="3" t="inlineStr">
        <is>
          <t>7898048691419</t>
        </is>
      </c>
      <c r="D11" s="2" t="inlineStr">
        <is>
          <t>AGUA FLOR DE LARANJEIRA 100ML</t>
        </is>
      </c>
      <c r="E11" s="2" t="inlineStr">
        <is>
          <t>AGUA FLOR DE LARANJEIRA 100ML</t>
        </is>
      </c>
      <c r="F11" s="2" t="inlineStr">
        <is>
          <t>LAPON</t>
        </is>
      </c>
      <c r="G11" s="4" t="n">
        <v>1</v>
      </c>
      <c r="H11" s="4" t="n">
        <v>2</v>
      </c>
      <c r="I11" s="4" t="n">
        <v>2</v>
      </c>
      <c r="J11" s="5" t="n">
        <v>5.06</v>
      </c>
      <c r="K11" s="5">
        <f>I11*J11</f>
        <v/>
      </c>
      <c r="L11" s="5">
        <f>J11/G11</f>
        <v/>
      </c>
      <c r="M11" s="5" t="n">
        <v>5.06</v>
      </c>
      <c r="N11" s="5" t="n">
        <v>5.06</v>
      </c>
      <c r="O11" s="6">
        <f>L11/M11-1</f>
        <v/>
      </c>
      <c r="P11" s="4" t="n">
        <v>467</v>
      </c>
      <c r="Q11" s="2" t="inlineStr"/>
    </row>
    <row r="12">
      <c r="A12" s="2" t="n">
        <v>324</v>
      </c>
      <c r="B12" s="2" t="n">
        <v>618971</v>
      </c>
      <c r="C12" s="3" t="inlineStr">
        <is>
          <t>7898048690771</t>
        </is>
      </c>
      <c r="D12" s="2" t="inlineStr">
        <is>
          <t>AGUA INGLESA CINCHONA 450ML SUS</t>
        </is>
      </c>
      <c r="E12" s="2" t="inlineStr">
        <is>
          <t>AGUA INGLESA 450ML (CINCHONA OFFICINALI)</t>
        </is>
      </c>
      <c r="F12" s="2" t="inlineStr">
        <is>
          <t>LAPON</t>
        </is>
      </c>
      <c r="G12" s="4" t="n">
        <v>1</v>
      </c>
      <c r="H12" s="4" t="n">
        <v>7</v>
      </c>
      <c r="I12" s="4" t="n">
        <v>7</v>
      </c>
      <c r="J12" s="5" t="n">
        <v>10.73</v>
      </c>
      <c r="K12" s="5">
        <f>I12*J12</f>
        <v/>
      </c>
      <c r="L12" s="5">
        <f>J12/G12</f>
        <v/>
      </c>
      <c r="M12" s="5" t="n">
        <v>11.95</v>
      </c>
      <c r="N12" s="5" t="n">
        <v>10.05</v>
      </c>
      <c r="O12" s="6">
        <f>L12/M12-1</f>
        <v/>
      </c>
      <c r="P12" s="4" t="n">
        <v>2896</v>
      </c>
      <c r="Q12" s="2" t="inlineStr"/>
    </row>
    <row r="13">
      <c r="A13" s="2" t="n">
        <v>685</v>
      </c>
      <c r="B13" s="2" t="n">
        <v>647221</v>
      </c>
      <c r="C13" s="3" t="inlineStr">
        <is>
          <t>7896023705397</t>
        </is>
      </c>
      <c r="D13" s="2" t="inlineStr">
        <is>
          <t>AGUA INGLESA 500ML SUS</t>
        </is>
      </c>
      <c r="E13" s="2" t="inlineStr">
        <is>
          <t>AGUA INGLESA 500ML</t>
        </is>
      </c>
      <c r="F13" s="2" t="inlineStr">
        <is>
          <t>CATARINENSE</t>
        </is>
      </c>
      <c r="G13" s="4" t="n">
        <v>1</v>
      </c>
      <c r="H13" s="4" t="n">
        <v>3</v>
      </c>
      <c r="I13" s="4" t="n">
        <v>3</v>
      </c>
      <c r="J13" s="5" t="n">
        <v>22.17</v>
      </c>
      <c r="K13" s="5">
        <f>I13*J13</f>
        <v/>
      </c>
      <c r="L13" s="5">
        <f>J13/G13</f>
        <v/>
      </c>
      <c r="M13" s="5" t="n">
        <v>22.12</v>
      </c>
      <c r="N13" s="5" t="n">
        <v>22.12</v>
      </c>
      <c r="O13" s="6">
        <f>L13/M13-1</f>
        <v/>
      </c>
      <c r="P13" s="4" t="n">
        <v>173</v>
      </c>
      <c r="Q13" s="2" t="inlineStr"/>
    </row>
    <row r="14">
      <c r="A14" s="2" t="n">
        <v>2382</v>
      </c>
      <c r="B14" s="2" t="n">
        <v>584341</v>
      </c>
      <c r="C14" s="3" t="inlineStr">
        <is>
          <t>7897732606234</t>
        </is>
      </c>
      <c r="D14" s="2" t="inlineStr">
        <is>
          <t>AGUA INGLESA 430ML SUS</t>
        </is>
      </c>
      <c r="E14" s="2" t="inlineStr">
        <is>
          <t>AGUA INGLESA SOBRAL COMPOSTA 430ML (SBR)</t>
        </is>
      </c>
      <c r="F14" s="2" t="inlineStr">
        <is>
          <t>SOBRAL</t>
        </is>
      </c>
      <c r="G14" s="4" t="n">
        <v>1</v>
      </c>
      <c r="H14" s="4" t="n">
        <v>22</v>
      </c>
      <c r="I14" s="4" t="n">
        <v>22</v>
      </c>
      <c r="J14" s="5" t="n">
        <v>14.39</v>
      </c>
      <c r="K14" s="5">
        <f>I14*J14</f>
        <v/>
      </c>
      <c r="L14" s="5">
        <f>J14/G14</f>
        <v/>
      </c>
      <c r="M14" s="5" t="n">
        <v>11.36</v>
      </c>
      <c r="N14" s="5" t="n">
        <v>11.36</v>
      </c>
      <c r="O14" s="6">
        <f>L14/M14-1</f>
        <v/>
      </c>
      <c r="P14" s="4" t="n">
        <v>796</v>
      </c>
      <c r="Q14" s="2" t="inlineStr"/>
    </row>
    <row r="15">
      <c r="A15" s="2" t="n">
        <v>1467</v>
      </c>
      <c r="B15" s="2" t="n">
        <v>532161</v>
      </c>
      <c r="C15" s="3" t="inlineStr">
        <is>
          <t>7898031310587</t>
        </is>
      </c>
      <c r="D15" s="2" t="inlineStr">
        <is>
          <t>AGUA OXIGENADA 10-VOL 100ML</t>
        </is>
      </c>
      <c r="E15" s="2" t="inlineStr">
        <is>
          <t>AGUA OXIGENADA ALMOT. 10 VOL. 100ML</t>
        </is>
      </c>
      <c r="F15" s="2" t="inlineStr">
        <is>
          <t>UNIPHAR</t>
        </is>
      </c>
      <c r="G15" s="4" t="n">
        <v>1</v>
      </c>
      <c r="H15" s="4" t="n">
        <v>45</v>
      </c>
      <c r="I15" s="4" t="n">
        <v>45</v>
      </c>
      <c r="J15" s="5" t="n">
        <v>2.69</v>
      </c>
      <c r="K15" s="5">
        <f>I15*J15</f>
        <v/>
      </c>
      <c r="L15" s="5">
        <f>J15/G15</f>
        <v/>
      </c>
      <c r="M15" s="5" t="n">
        <v>2.35</v>
      </c>
      <c r="N15" s="5" t="n">
        <v>2.18</v>
      </c>
      <c r="O15" s="6">
        <f>L15/M15-1</f>
        <v/>
      </c>
      <c r="P15" s="4" t="n">
        <v>3699</v>
      </c>
      <c r="Q15" s="2" t="inlineStr"/>
    </row>
    <row r="16">
      <c r="A16" s="2" t="n">
        <v>2970</v>
      </c>
      <c r="B16" s="2" t="n">
        <v>534761</v>
      </c>
      <c r="C16" s="3" t="inlineStr">
        <is>
          <t>7896902210905</t>
        </is>
      </c>
      <c r="D16" s="2" t="inlineStr">
        <is>
          <t>AMONIA 100ML</t>
        </is>
      </c>
      <c r="E16" s="2" t="inlineStr">
        <is>
          <t>AGUA OXIGENADA CREMOSA - AMONIA 100ML</t>
        </is>
      </c>
      <c r="F16" s="2" t="inlineStr">
        <is>
          <t>FARMAX</t>
        </is>
      </c>
      <c r="G16" s="4" t="n">
        <v>1</v>
      </c>
      <c r="H16" s="4" t="n">
        <v>2</v>
      </c>
      <c r="I16" s="4" t="n">
        <v>2</v>
      </c>
      <c r="J16" s="5" t="n">
        <v>2.42</v>
      </c>
      <c r="K16" s="5">
        <f>I16*J16</f>
        <v/>
      </c>
      <c r="L16" s="5">
        <f>J16/G16</f>
        <v/>
      </c>
      <c r="M16" s="5" t="n">
        <v>1.95</v>
      </c>
      <c r="N16" s="5" t="n">
        <v>1.95</v>
      </c>
      <c r="O16" s="6">
        <f>L16/M16-1</f>
        <v/>
      </c>
      <c r="P16" s="4" t="n">
        <v>208</v>
      </c>
      <c r="Q16" s="2" t="inlineStr"/>
    </row>
    <row r="17">
      <c r="A17" s="2" t="n">
        <v>320</v>
      </c>
      <c r="B17" s="2" t="n">
        <v>547721</v>
      </c>
      <c r="C17" s="3" t="inlineStr">
        <is>
          <t>7896902211544</t>
        </is>
      </c>
      <c r="D17" s="2" t="inlineStr">
        <is>
          <t>AGUA OXIGENADA 10-VOL 100ML</t>
        </is>
      </c>
      <c r="E17" s="2" t="inlineStr">
        <is>
          <t>AGUA OXIGENADA VOL10</t>
        </is>
      </c>
      <c r="F17" s="2" t="inlineStr">
        <is>
          <t>FARMAX</t>
        </is>
      </c>
      <c r="G17" s="4" t="n">
        <v>1</v>
      </c>
      <c r="H17" s="4" t="n">
        <v>39</v>
      </c>
      <c r="I17" s="4" t="n">
        <v>39</v>
      </c>
      <c r="J17" s="5" t="n">
        <v>2.4</v>
      </c>
      <c r="K17" s="5">
        <f>I17*J17</f>
        <v/>
      </c>
      <c r="L17" s="5">
        <f>J17/G17</f>
        <v/>
      </c>
      <c r="M17" s="5" t="n">
        <v>2.37</v>
      </c>
      <c r="N17" s="5" t="n">
        <v>1.9</v>
      </c>
      <c r="O17" s="6">
        <f>L17/M17-1</f>
        <v/>
      </c>
      <c r="P17" s="4" t="n">
        <v>7423</v>
      </c>
      <c r="Q17" s="2" t="inlineStr"/>
    </row>
    <row r="18">
      <c r="A18" s="2" t="n">
        <v>4245</v>
      </c>
      <c r="B18" s="2" t="n">
        <v>651171</v>
      </c>
      <c r="C18" s="3" t="inlineStr">
        <is>
          <t>7898048690900</t>
        </is>
      </c>
      <c r="D18" s="2" t="inlineStr">
        <is>
          <t>AGUARDENTE ALEMA JALAPA 200ML</t>
        </is>
      </c>
      <c r="E18" s="2" t="inlineStr">
        <is>
          <t>AGUARDENTE ALEMA JALAPA 200ML</t>
        </is>
      </c>
      <c r="F18" s="2" t="inlineStr">
        <is>
          <t>LAPON</t>
        </is>
      </c>
      <c r="G18" s="4" t="n">
        <v>1</v>
      </c>
      <c r="H18" s="4" t="n">
        <v>1</v>
      </c>
      <c r="I18" s="4" t="n">
        <v>1</v>
      </c>
      <c r="J18" s="5" t="n">
        <v>8.119999999999999</v>
      </c>
      <c r="K18" s="5">
        <f>I18*J18</f>
        <v/>
      </c>
      <c r="L18" s="5">
        <f>J18/G18</f>
        <v/>
      </c>
      <c r="M18" s="5" t="n">
        <v>8.09</v>
      </c>
      <c r="N18" s="5" t="n">
        <v>8.09</v>
      </c>
      <c r="O18" s="6">
        <f>L18/M18-1</f>
        <v/>
      </c>
      <c r="P18" s="4" t="n">
        <v>841</v>
      </c>
      <c r="Q18" s="2" t="inlineStr"/>
    </row>
    <row r="19">
      <c r="A19" s="2" t="n">
        <v>854</v>
      </c>
      <c r="B19" s="2" t="n">
        <v>532201</v>
      </c>
      <c r="C19" s="3" t="inlineStr">
        <is>
          <t>7898048690887</t>
        </is>
      </c>
      <c r="D19" s="2" t="inlineStr">
        <is>
          <t>AGUARDENTE ALEMA JALAPA 30ML</t>
        </is>
      </c>
      <c r="E19" s="2" t="inlineStr">
        <is>
          <t>AGUARDENTE ALEMA JALAPA D1 30ML</t>
        </is>
      </c>
      <c r="F19" s="2" t="inlineStr">
        <is>
          <t>LAPON</t>
        </is>
      </c>
      <c r="G19" s="4" t="n">
        <v>1</v>
      </c>
      <c r="H19" s="4" t="n">
        <v>3</v>
      </c>
      <c r="I19" s="4" t="n">
        <v>3</v>
      </c>
      <c r="J19" s="5" t="n">
        <v>2.4</v>
      </c>
      <c r="K19" s="5">
        <f>I19*J19</f>
        <v/>
      </c>
      <c r="L19" s="5">
        <f>J19/G19</f>
        <v/>
      </c>
      <c r="M19" s="5" t="n">
        <v>2.4</v>
      </c>
      <c r="N19" s="5" t="n">
        <v>2.38</v>
      </c>
      <c r="O19" s="6">
        <f>L19/M19-1</f>
        <v/>
      </c>
      <c r="P19" s="4" t="n">
        <v>866</v>
      </c>
      <c r="Q19" s="2" t="inlineStr"/>
    </row>
    <row r="20">
      <c r="A20" s="2" t="n">
        <v>505</v>
      </c>
      <c r="B20" s="2" t="n">
        <v>578621</v>
      </c>
      <c r="C20" s="3" t="inlineStr">
        <is>
          <t>17898259491423</t>
        </is>
      </c>
      <c r="D20" s="2" t="inlineStr">
        <is>
          <t>AGULHA 0,7X30 C/100 UND</t>
        </is>
      </c>
      <c r="E20" s="2" t="inlineStr">
        <is>
          <t>AGULHA 30X0,7 DESC. WILTEX</t>
        </is>
      </c>
      <c r="F20" s="2" t="inlineStr">
        <is>
          <t>SR SALDANHA</t>
        </is>
      </c>
      <c r="G20" s="4" t="n">
        <v>100</v>
      </c>
      <c r="H20" s="4" t="n">
        <v>1</v>
      </c>
      <c r="I20" s="4" t="n">
        <v>1</v>
      </c>
      <c r="J20" s="5" t="n">
        <v>11.6</v>
      </c>
      <c r="K20" s="5">
        <f>I20*J20</f>
        <v/>
      </c>
      <c r="L20" s="5">
        <f>J20/G20</f>
        <v/>
      </c>
      <c r="M20" s="5" t="n">
        <v>0.1234</v>
      </c>
      <c r="N20" s="5" t="n">
        <v>0.1234</v>
      </c>
      <c r="O20" s="6">
        <f>L20/M20-1</f>
        <v/>
      </c>
      <c r="P20" s="4" t="n">
        <v>761</v>
      </c>
      <c r="Q20" s="2" t="inlineStr">
        <is>
          <t>1 emb. Dimec = 100 un do Radar (pedido = 1 emb.)</t>
        </is>
      </c>
    </row>
    <row r="21">
      <c r="A21" s="2" t="n">
        <v>503</v>
      </c>
      <c r="B21" s="2" t="n">
        <v>553701</v>
      </c>
      <c r="C21" s="3" t="inlineStr">
        <is>
          <t>10000078936260</t>
        </is>
      </c>
      <c r="D21" s="2" t="inlineStr">
        <is>
          <t>AGULHA 0,7X25 C/100 UND</t>
        </is>
      </c>
      <c r="E21" s="2" t="inlineStr">
        <is>
          <t>AGULHA 30X8 WILTEX</t>
        </is>
      </c>
      <c r="F21" s="2" t="inlineStr">
        <is>
          <t>SR SALDANHA</t>
        </is>
      </c>
      <c r="G21" s="4" t="n">
        <v>100</v>
      </c>
      <c r="H21" s="4" t="n">
        <v>3</v>
      </c>
      <c r="I21" s="4" t="n">
        <v>1</v>
      </c>
      <c r="J21" s="5" t="n">
        <v>11.42</v>
      </c>
      <c r="K21" s="5">
        <f>I21*J21</f>
        <v/>
      </c>
      <c r="L21" s="5">
        <f>J21/G21</f>
        <v/>
      </c>
      <c r="M21" s="5" t="n">
        <v>0.15</v>
      </c>
      <c r="N21" s="5" t="n">
        <v>0.15</v>
      </c>
      <c r="O21" s="6">
        <f>L21/M21-1</f>
        <v/>
      </c>
      <c r="P21" s="4" t="n">
        <v>205</v>
      </c>
      <c r="Q21" s="2" t="inlineStr">
        <is>
          <t>1 emb. Dimec = 100 un do Radar (pedido = 1 emb.)</t>
        </is>
      </c>
    </row>
    <row r="22">
      <c r="A22" s="2" t="n">
        <v>7101</v>
      </c>
      <c r="B22" s="2" t="n">
        <v>532221</v>
      </c>
      <c r="C22" s="3" t="inlineStr">
        <is>
          <t>7898031311010</t>
        </is>
      </c>
      <c r="D22" s="2" t="inlineStr">
        <is>
          <t>ALCOOL 70% 50ML SPRAY</t>
        </is>
      </c>
      <c r="E22" s="2" t="inlineStr">
        <is>
          <t>ALCOOL 70% SPRAY 50 ML</t>
        </is>
      </c>
      <c r="F22" s="2" t="inlineStr">
        <is>
          <t>UNIPHAR</t>
        </is>
      </c>
      <c r="G22" s="4" t="n">
        <v>1</v>
      </c>
      <c r="H22" s="4" t="n">
        <v>15</v>
      </c>
      <c r="I22" s="4" t="n">
        <v>15</v>
      </c>
      <c r="J22" s="5" t="n">
        <v>4.24</v>
      </c>
      <c r="K22" s="5">
        <f>I22*J22</f>
        <v/>
      </c>
      <c r="L22" s="5">
        <f>J22/G22</f>
        <v/>
      </c>
      <c r="M22" s="5" t="n">
        <v>4.01</v>
      </c>
      <c r="N22" s="5" t="n">
        <v>4.01</v>
      </c>
      <c r="O22" s="6">
        <f>L22/M22-1</f>
        <v/>
      </c>
      <c r="P22" s="4" t="n">
        <v>899</v>
      </c>
      <c r="Q22" s="2" t="inlineStr"/>
    </row>
    <row r="23">
      <c r="A23" s="2" t="n">
        <v>5030</v>
      </c>
      <c r="B23" s="2" t="n">
        <v>559941</v>
      </c>
      <c r="C23" s="3" t="inlineStr">
        <is>
          <t>7898179710775</t>
        </is>
      </c>
      <c r="D23" s="2" t="inlineStr">
        <is>
          <t>ALCOOL 70% 50ML</t>
        </is>
      </c>
      <c r="E23" s="2" t="inlineStr">
        <is>
          <t>ALCOOL ETILICO 50ML</t>
        </is>
      </c>
      <c r="F23" s="2" t="inlineStr">
        <is>
          <t>IMEC NUTIVIT</t>
        </is>
      </c>
      <c r="G23" s="4" t="n">
        <v>1</v>
      </c>
      <c r="H23" s="4" t="n">
        <v>7</v>
      </c>
      <c r="I23" s="4" t="n">
        <v>7</v>
      </c>
      <c r="J23" s="5" t="n">
        <v>2.43</v>
      </c>
      <c r="K23" s="5">
        <f>I23*J23</f>
        <v/>
      </c>
      <c r="L23" s="5">
        <f>J23/G23</f>
        <v/>
      </c>
      <c r="M23" s="5" t="n">
        <v>2.11</v>
      </c>
      <c r="N23" s="5" t="n">
        <v>2.11</v>
      </c>
      <c r="O23" s="6">
        <f>L23/M23-1</f>
        <v/>
      </c>
      <c r="P23" s="4" t="n">
        <v>5304</v>
      </c>
      <c r="Q23" s="2" t="inlineStr"/>
    </row>
    <row r="24">
      <c r="A24" s="2" t="n">
        <v>1959</v>
      </c>
      <c r="B24" s="2" t="n">
        <v>4353</v>
      </c>
      <c r="C24" s="3" t="inlineStr">
        <is>
          <t>7898582292257</t>
        </is>
      </c>
      <c r="D24" s="2" t="inlineStr">
        <is>
          <t>ALCOOL GEL 60ML UNIPROTEGE</t>
        </is>
      </c>
      <c r="E24" s="2" t="inlineStr">
        <is>
          <t>ALCOOL GEL 60ML UNIPROTEGE</t>
        </is>
      </c>
      <c r="F24" s="2" t="inlineStr">
        <is>
          <t>BELLA PHYTUS</t>
        </is>
      </c>
      <c r="G24" s="4" t="n">
        <v>1</v>
      </c>
      <c r="H24" s="4" t="n">
        <v>4</v>
      </c>
      <c r="I24" s="4" t="n">
        <v>4</v>
      </c>
      <c r="J24" s="5" t="n">
        <v>5.17</v>
      </c>
      <c r="K24" s="5">
        <f>I24*J24</f>
        <v/>
      </c>
      <c r="L24" s="5">
        <f>J24/G24</f>
        <v/>
      </c>
      <c r="M24" s="5" t="n">
        <v>4.51</v>
      </c>
      <c r="N24" s="5" t="n">
        <v>4.51</v>
      </c>
      <c r="O24" s="6">
        <f>L24/M24-1</f>
        <v/>
      </c>
      <c r="P24" s="4" t="n">
        <v>98</v>
      </c>
      <c r="Q24" s="2" t="inlineStr"/>
    </row>
    <row r="25">
      <c r="A25" s="2" t="n">
        <v>9310</v>
      </c>
      <c r="B25" s="2" t="n">
        <v>571901</v>
      </c>
      <c r="C25" s="3" t="inlineStr">
        <is>
          <t>7898582291694</t>
        </is>
      </c>
      <c r="D25" s="2" t="inlineStr">
        <is>
          <t>ALCOOL GEL 60ML PERFUMADO</t>
        </is>
      </c>
      <c r="E25" s="2" t="inlineStr">
        <is>
          <t>ALCOOL GEL 70% PERFUMAD COM MICROES 60ML</t>
        </is>
      </c>
      <c r="F25" s="2" t="inlineStr">
        <is>
          <t>BELLA PHYTUS</t>
        </is>
      </c>
      <c r="G25" s="4" t="n">
        <v>1</v>
      </c>
      <c r="H25" s="4" t="n">
        <v>4</v>
      </c>
      <c r="I25" s="4" t="n">
        <v>4</v>
      </c>
      <c r="J25" s="5" t="n">
        <v>5.6</v>
      </c>
      <c r="K25" s="5">
        <f>I25*J25</f>
        <v/>
      </c>
      <c r="L25" s="5">
        <f>J25/G25</f>
        <v/>
      </c>
      <c r="M25" s="5" t="n">
        <v>5.59</v>
      </c>
      <c r="N25" s="5" t="n">
        <v>5.39</v>
      </c>
      <c r="O25" s="6">
        <f>L25/M25-1</f>
        <v/>
      </c>
      <c r="P25" s="4" t="n">
        <v>199</v>
      </c>
      <c r="Q25" s="2" t="inlineStr"/>
    </row>
    <row r="26">
      <c r="A26" s="2" t="n">
        <v>141</v>
      </c>
      <c r="B26" s="2" t="n">
        <v>532241</v>
      </c>
      <c r="C26" s="3" t="inlineStr">
        <is>
          <t>7898031310198</t>
        </is>
      </c>
      <c r="D26" s="2" t="inlineStr">
        <is>
          <t>ALCOOL IODADO 100ML</t>
        </is>
      </c>
      <c r="E26" s="2" t="inlineStr">
        <is>
          <t>ALCOOL IODADO 1% 100ML</t>
        </is>
      </c>
      <c r="F26" s="2" t="inlineStr">
        <is>
          <t>UNIPHAR</t>
        </is>
      </c>
      <c r="G26" s="4" t="n">
        <v>1</v>
      </c>
      <c r="H26" s="4" t="n">
        <v>11</v>
      </c>
      <c r="I26" s="4" t="n">
        <v>11</v>
      </c>
      <c r="J26" s="5" t="n">
        <v>4.17</v>
      </c>
      <c r="K26" s="5">
        <f>I26*J26</f>
        <v/>
      </c>
      <c r="L26" s="5">
        <f>J26/G26</f>
        <v/>
      </c>
      <c r="M26" s="5" t="n">
        <v>3.91</v>
      </c>
      <c r="N26" s="5" t="n">
        <v>3.66</v>
      </c>
      <c r="O26" s="6">
        <f>L26/M26-1</f>
        <v/>
      </c>
      <c r="P26" s="4" t="n">
        <v>2229</v>
      </c>
      <c r="Q26" s="2" t="inlineStr"/>
    </row>
    <row r="27">
      <c r="A27" s="2" t="n">
        <v>1521</v>
      </c>
      <c r="B27" s="2" t="n">
        <v>331061</v>
      </c>
      <c r="C27" s="3" t="inlineStr">
        <is>
          <t>7896523209715</t>
        </is>
      </c>
      <c r="D27" s="2" t="inlineStr">
        <is>
          <t>ALERGOMINE 30G CREME</t>
        </is>
      </c>
      <c r="E27" s="2" t="inlineStr">
        <is>
          <t>ALERGOMINE 10MG/G CREME BG 30G</t>
        </is>
      </c>
      <c r="F27" s="2" t="inlineStr">
        <is>
          <t>CIMED</t>
        </is>
      </c>
      <c r="G27" s="4" t="n">
        <v>1</v>
      </c>
      <c r="H27" s="4" t="n">
        <v>5</v>
      </c>
      <c r="I27" s="4" t="n">
        <v>5</v>
      </c>
      <c r="J27" s="5" t="n">
        <v>6.55</v>
      </c>
      <c r="K27" s="5">
        <f>I27*J27</f>
        <v/>
      </c>
      <c r="L27" s="5">
        <f>J27/G27</f>
        <v/>
      </c>
      <c r="M27" s="5" t="n">
        <v>6.89</v>
      </c>
      <c r="N27" s="5" t="n">
        <v>6.89</v>
      </c>
      <c r="O27" s="6">
        <f>L27/M27-1</f>
        <v/>
      </c>
      <c r="P27" s="4" t="n">
        <v>7</v>
      </c>
      <c r="Q27" s="2" t="inlineStr"/>
    </row>
    <row r="28">
      <c r="A28" s="2" t="n">
        <v>812</v>
      </c>
      <c r="B28" s="2" t="n">
        <v>562421</v>
      </c>
      <c r="C28" s="3" t="inlineStr">
        <is>
          <t>7894488000019</t>
        </is>
      </c>
      <c r="D28" s="2" t="inlineStr">
        <is>
          <t>ALGODAO FLOC 25G M40</t>
        </is>
      </c>
      <c r="E28" s="2" t="inlineStr">
        <is>
          <t>ALGODAO SPARTERX MULTIUSO 25G</t>
        </is>
      </c>
      <c r="F28" s="2" t="inlineStr">
        <is>
          <t>SPARTEX</t>
        </is>
      </c>
      <c r="G28" s="4" t="n">
        <v>1</v>
      </c>
      <c r="H28" s="4" t="n">
        <v>25</v>
      </c>
      <c r="I28" s="4" t="n">
        <v>25</v>
      </c>
      <c r="J28" s="5" t="n">
        <v>1.09</v>
      </c>
      <c r="K28" s="5">
        <f>I28*J28</f>
        <v/>
      </c>
      <c r="L28" s="5">
        <f>J28/G28</f>
        <v/>
      </c>
      <c r="M28" s="5" t="n">
        <v>1.09</v>
      </c>
      <c r="N28" s="5" t="n">
        <v>1.09</v>
      </c>
      <c r="O28" s="6">
        <f>L28/M28-1</f>
        <v/>
      </c>
      <c r="P28" s="4" t="n">
        <v>7137</v>
      </c>
      <c r="Q28" s="2" t="inlineStr"/>
    </row>
    <row r="29">
      <c r="A29" s="2" t="n">
        <v>5181</v>
      </c>
      <c r="B29" s="2" t="n">
        <v>4373</v>
      </c>
      <c r="C29" s="3" t="inlineStr">
        <is>
          <t>7896186003316</t>
        </is>
      </c>
      <c r="D29" s="2" t="inlineStr">
        <is>
          <t>ALIVIK 40G POTE</t>
        </is>
      </c>
      <c r="E29" s="2" t="inlineStr">
        <is>
          <t>ALIVIK 40G POTE</t>
        </is>
      </c>
      <c r="F29" s="2" t="inlineStr">
        <is>
          <t>BRAVIR</t>
        </is>
      </c>
      <c r="G29" s="4" t="n">
        <v>1</v>
      </c>
      <c r="H29" s="4" t="n">
        <v>5</v>
      </c>
      <c r="I29" s="4" t="n">
        <v>5</v>
      </c>
      <c r="J29" s="5" t="n">
        <v>8.02</v>
      </c>
      <c r="K29" s="5">
        <f>I29*J29</f>
        <v/>
      </c>
      <c r="L29" s="5">
        <f>J29/G29</f>
        <v/>
      </c>
      <c r="M29" s="5" t="n">
        <v>6.52</v>
      </c>
      <c r="N29" s="5" t="n">
        <v>6.52</v>
      </c>
      <c r="O29" s="6">
        <f>L29/M29-1</f>
        <v/>
      </c>
      <c r="P29" s="4" t="n">
        <v>566</v>
      </c>
      <c r="Q29" s="2" t="inlineStr"/>
    </row>
    <row r="30">
      <c r="A30" s="2" t="n">
        <v>161</v>
      </c>
      <c r="B30" s="2" t="n">
        <v>29321</v>
      </c>
      <c r="C30" s="3" t="inlineStr">
        <is>
          <t>7896422516921</t>
        </is>
      </c>
      <c r="D30" s="2" t="inlineStr">
        <is>
          <t>ALOPURINOL 100MG C/30 CPR</t>
        </is>
      </c>
      <c r="E30" s="2" t="inlineStr">
        <is>
          <t>ALOPURINOL 100MG CX 30 COMP</t>
        </is>
      </c>
      <c r="F30" s="2" t="inlineStr">
        <is>
          <t>MEDLEY</t>
        </is>
      </c>
      <c r="G30" s="4" t="n">
        <v>1</v>
      </c>
      <c r="H30" s="4" t="n">
        <v>1</v>
      </c>
      <c r="I30" s="4" t="n">
        <v>1</v>
      </c>
      <c r="J30" s="5" t="n">
        <v>4.85</v>
      </c>
      <c r="K30" s="5">
        <f>I30*J30</f>
        <v/>
      </c>
      <c r="L30" s="5">
        <f>J30/G30</f>
        <v/>
      </c>
      <c r="M30" s="5" t="n">
        <v>4.0675</v>
      </c>
      <c r="N30" s="5" t="n">
        <v>3.83</v>
      </c>
      <c r="O30" s="6">
        <f>L30/M30-1</f>
        <v/>
      </c>
      <c r="P30" s="4" t="n">
        <v>761</v>
      </c>
      <c r="Q30" s="2" t="inlineStr"/>
    </row>
    <row r="31">
      <c r="A31" s="2" t="n">
        <v>111</v>
      </c>
      <c r="B31" s="2" t="n">
        <v>122441</v>
      </c>
      <c r="C31" s="3" t="inlineStr">
        <is>
          <t>7898100243143</t>
        </is>
      </c>
      <c r="D31" s="2" t="inlineStr">
        <is>
          <t>AMBROL INF 15MG 100ML XPE FRAMBOESA</t>
        </is>
      </c>
      <c r="E31" s="2" t="inlineStr">
        <is>
          <t>AMBROL 15MG/5ML XPE FR 100ML PED</t>
        </is>
      </c>
      <c r="F31" s="2" t="inlineStr">
        <is>
          <t>BRASTERAPICA</t>
        </is>
      </c>
      <c r="G31" s="4" t="n">
        <v>1</v>
      </c>
      <c r="H31" s="4" t="n">
        <v>16</v>
      </c>
      <c r="I31" s="4" t="n">
        <v>16</v>
      </c>
      <c r="J31" s="5" t="n">
        <v>4.69</v>
      </c>
      <c r="K31" s="5">
        <f>I31*J31</f>
        <v/>
      </c>
      <c r="L31" s="5">
        <f>J31/G31</f>
        <v/>
      </c>
      <c r="M31" s="5" t="n">
        <v>3.69</v>
      </c>
      <c r="N31" s="5" t="n">
        <v>3.69</v>
      </c>
      <c r="O31" s="6">
        <f>L31/M31-1</f>
        <v/>
      </c>
      <c r="P31" s="4" t="n">
        <v>9360</v>
      </c>
      <c r="Q31" s="2" t="inlineStr"/>
    </row>
    <row r="32">
      <c r="A32" s="2" t="n">
        <v>110</v>
      </c>
      <c r="B32" s="2" t="n">
        <v>122461</v>
      </c>
      <c r="C32" s="3" t="inlineStr">
        <is>
          <t>7898100243150</t>
        </is>
      </c>
      <c r="D32" s="2" t="inlineStr">
        <is>
          <t>AMBROL AD 30MG 100ML XPE PESSEGO/BAUNILH</t>
        </is>
      </c>
      <c r="E32" s="2" t="inlineStr">
        <is>
          <t>AMBROL 30MG/5ML XPE FR 100ML ADU</t>
        </is>
      </c>
      <c r="F32" s="2" t="inlineStr">
        <is>
          <t>BRASTERAPICA</t>
        </is>
      </c>
      <c r="G32" s="4" t="n">
        <v>1</v>
      </c>
      <c r="H32" s="4" t="n">
        <v>70</v>
      </c>
      <c r="I32" s="4" t="n">
        <v>70</v>
      </c>
      <c r="J32" s="5" t="n">
        <v>4.71</v>
      </c>
      <c r="K32" s="5">
        <f>I32*J32</f>
        <v/>
      </c>
      <c r="L32" s="5">
        <f>J32/G32</f>
        <v/>
      </c>
      <c r="M32" s="5" t="n">
        <v>4.68</v>
      </c>
      <c r="N32" s="5" t="n">
        <v>3.69</v>
      </c>
      <c r="O32" s="6">
        <f>L32/M32-1</f>
        <v/>
      </c>
      <c r="P32" s="4" t="n">
        <v>7379</v>
      </c>
      <c r="Q32" s="2" t="inlineStr"/>
    </row>
    <row r="33">
      <c r="A33" s="2" t="n">
        <v>6555</v>
      </c>
      <c r="B33" s="2" t="n">
        <v>533061</v>
      </c>
      <c r="C33" s="3" t="inlineStr">
        <is>
          <t>7899620915091</t>
        </is>
      </c>
      <c r="D33" s="2" t="inlineStr">
        <is>
          <t>APETISINA BC 240ML SUS MORANGO</t>
        </is>
      </c>
      <c r="E33" s="2" t="inlineStr">
        <is>
          <t>APETISINA BC 240ML MORANGO</t>
        </is>
      </c>
      <c r="F33" s="2" t="inlineStr">
        <is>
          <t>GLOBO PHARMA</t>
        </is>
      </c>
      <c r="G33" s="4" t="n">
        <v>1</v>
      </c>
      <c r="H33" s="4" t="n">
        <v>5</v>
      </c>
      <c r="I33" s="4" t="n">
        <v>5</v>
      </c>
      <c r="J33" s="5" t="n">
        <v>5.49</v>
      </c>
      <c r="K33" s="5">
        <f>I33*J33</f>
        <v/>
      </c>
      <c r="L33" s="5">
        <f>J33/G33</f>
        <v/>
      </c>
      <c r="M33" s="5" t="n">
        <v>4.35</v>
      </c>
      <c r="N33" s="5" t="n">
        <v>4.35</v>
      </c>
      <c r="O33" s="6">
        <f>L33/M33-1</f>
        <v/>
      </c>
      <c r="P33" s="4" t="n">
        <v>38</v>
      </c>
      <c r="Q33" s="2" t="inlineStr"/>
    </row>
    <row r="34">
      <c r="A34" s="2" t="n">
        <v>2609</v>
      </c>
      <c r="B34" s="2" t="n">
        <v>547741</v>
      </c>
      <c r="C34" s="3" t="inlineStr">
        <is>
          <t>7899620910584</t>
        </is>
      </c>
      <c r="D34" s="2" t="inlineStr">
        <is>
          <t>APETISINA BC 240ML SUS UVA</t>
        </is>
      </c>
      <c r="E34" s="2" t="inlineStr">
        <is>
          <t>APETISINA BC 240ML UVA</t>
        </is>
      </c>
      <c r="F34" s="2" t="inlineStr">
        <is>
          <t>GLOBO PHARMA</t>
        </is>
      </c>
      <c r="G34" s="4" t="n">
        <v>1</v>
      </c>
      <c r="H34" s="4" t="n">
        <v>4</v>
      </c>
      <c r="I34" s="4" t="n">
        <v>4</v>
      </c>
      <c r="J34" s="5" t="n">
        <v>5.49</v>
      </c>
      <c r="K34" s="5">
        <f>I34*J34</f>
        <v/>
      </c>
      <c r="L34" s="5">
        <f>J34/G34</f>
        <v/>
      </c>
      <c r="M34" s="5" t="n">
        <v>5.48</v>
      </c>
      <c r="N34" s="5" t="n">
        <v>4.8</v>
      </c>
      <c r="O34" s="6">
        <f>L34/M34-1</f>
        <v/>
      </c>
      <c r="P34" s="4" t="n">
        <v>114</v>
      </c>
      <c r="Q34" s="2" t="inlineStr"/>
    </row>
    <row r="35">
      <c r="A35" s="2" t="n">
        <v>9627</v>
      </c>
      <c r="B35" s="2" t="n">
        <v>5503</v>
      </c>
      <c r="C35" s="3" t="inlineStr">
        <is>
          <t>7898767760922</t>
        </is>
      </c>
      <c r="D35" s="2" t="inlineStr">
        <is>
          <t>ARTRIFLEX 40MG C/60 CPS*</t>
        </is>
      </c>
      <c r="E35" s="2" t="inlineStr">
        <is>
          <t>ARTRIFLEX 40MG C/60 CPS</t>
        </is>
      </c>
      <c r="F35" s="2" t="inlineStr">
        <is>
          <t>QUALYNUTRI</t>
        </is>
      </c>
      <c r="G35" s="4" t="n">
        <v>1</v>
      </c>
      <c r="H35" s="4" t="n">
        <v>1</v>
      </c>
      <c r="I35" s="4" t="n">
        <v>1</v>
      </c>
      <c r="J35" s="5" t="n">
        <v>42.39</v>
      </c>
      <c r="K35" s="5">
        <f>I35*J35</f>
        <v/>
      </c>
      <c r="L35" s="5">
        <f>J35/G35</f>
        <v/>
      </c>
      <c r="M35" s="5" t="n">
        <v>26.99</v>
      </c>
      <c r="N35" s="5" t="n">
        <v>26.99</v>
      </c>
      <c r="O35" s="6">
        <f>L35/M35-1</f>
        <v/>
      </c>
      <c r="P35" s="4" t="n">
        <v>48</v>
      </c>
      <c r="Q35" s="2" t="inlineStr"/>
    </row>
    <row r="36">
      <c r="A36" s="2" t="n">
        <v>9</v>
      </c>
      <c r="B36" s="2" t="n">
        <v>339181</v>
      </c>
      <c r="C36" s="3" t="inlineStr">
        <is>
          <t>7898216360581</t>
        </is>
      </c>
      <c r="D36" s="2" t="inlineStr">
        <is>
          <t>ARTRITEC 7,5MG C/10 CPR</t>
        </is>
      </c>
      <c r="E36" s="2" t="inlineStr">
        <is>
          <t>ARTRITEC 7,5MG CX 10 COMP</t>
        </is>
      </c>
      <c r="F36" s="2" t="inlineStr">
        <is>
          <t>PHARLAB</t>
        </is>
      </c>
      <c r="G36" s="4" t="n">
        <v>1</v>
      </c>
      <c r="H36" s="4" t="n">
        <v>2</v>
      </c>
      <c r="I36" s="4" t="n">
        <v>2</v>
      </c>
      <c r="J36" s="5" t="n">
        <v>3.3</v>
      </c>
      <c r="K36" s="5">
        <f>I36*J36</f>
        <v/>
      </c>
      <c r="L36" s="5">
        <f>J36/G36</f>
        <v/>
      </c>
      <c r="M36" s="5" t="n">
        <v>3.22</v>
      </c>
      <c r="N36" s="5" t="n">
        <v>3.22</v>
      </c>
      <c r="O36" s="6">
        <f>L36/M36-1</f>
        <v/>
      </c>
      <c r="P36" s="4" t="n">
        <v>374</v>
      </c>
      <c r="Q36" s="2" t="inlineStr"/>
    </row>
    <row r="37">
      <c r="A37" s="2" t="n">
        <v>6415</v>
      </c>
      <c r="B37" s="2" t="n">
        <v>3443</v>
      </c>
      <c r="C37" s="3" t="inlineStr">
        <is>
          <t>7898108641323</t>
        </is>
      </c>
      <c r="D37" s="2" t="inlineStr">
        <is>
          <t>ATADURA DE CREPE 06CM X 1,8M C/01 UND</t>
        </is>
      </c>
      <c r="E37" s="2" t="inlineStr">
        <is>
          <t>ATADURA DE CREPE 06CM C/12 UND</t>
        </is>
      </c>
      <c r="F37" s="2" t="inlineStr">
        <is>
          <t>SANFARMA</t>
        </is>
      </c>
      <c r="G37" s="4" t="n">
        <v>1</v>
      </c>
      <c r="H37" s="4" t="n">
        <v>1</v>
      </c>
      <c r="I37" s="4" t="n">
        <v>1</v>
      </c>
      <c r="J37" s="5" t="n">
        <v>1.24</v>
      </c>
      <c r="K37" s="5">
        <f>I37*J37</f>
        <v/>
      </c>
      <c r="L37" s="5">
        <f>J37/G37</f>
        <v/>
      </c>
      <c r="M37" s="5" t="n">
        <v>12.54</v>
      </c>
      <c r="N37" s="5" t="n">
        <v>12.54</v>
      </c>
      <c r="O37" s="6">
        <f>L37/M37-1</f>
        <v/>
      </c>
      <c r="P37" s="4" t="n">
        <v>1280</v>
      </c>
      <c r="Q37" s="2" t="inlineStr">
        <is>
          <t>conferir embalagem (preço muito fora da referência)</t>
        </is>
      </c>
    </row>
    <row r="38">
      <c r="A38" s="2" t="n">
        <v>7705</v>
      </c>
      <c r="B38" s="2" t="n">
        <v>597791</v>
      </c>
      <c r="C38" s="3" t="inlineStr">
        <is>
          <t>7898933598625</t>
        </is>
      </c>
      <c r="D38" s="2" t="inlineStr">
        <is>
          <t>ATADURA DE CREPE 06CM X 1,8M C/12 UND</t>
        </is>
      </c>
      <c r="E38" s="2" t="inlineStr">
        <is>
          <t>ATADURA DE CREPE 06CM UND</t>
        </is>
      </c>
      <c r="F38" s="2" t="inlineStr">
        <is>
          <t>TEXPHARMA</t>
        </is>
      </c>
      <c r="G38" s="4" t="n">
        <v>12</v>
      </c>
      <c r="H38" s="4" t="n">
        <v>7</v>
      </c>
      <c r="I38" s="4" t="n">
        <v>1</v>
      </c>
      <c r="J38" s="5" t="n">
        <v>5.25</v>
      </c>
      <c r="K38" s="5">
        <f>I38*J38</f>
        <v/>
      </c>
      <c r="L38" s="5">
        <f>J38/G38</f>
        <v/>
      </c>
      <c r="M38" s="5" t="n">
        <v>0.4992</v>
      </c>
      <c r="N38" s="5" t="n">
        <v>0.4992</v>
      </c>
      <c r="O38" s="6">
        <f>L38/M38-1</f>
        <v/>
      </c>
      <c r="P38" s="4" t="n">
        <v>1177</v>
      </c>
      <c r="Q38" s="2" t="inlineStr">
        <is>
          <t>1 emb. Dimec = 12 un do Radar (pedido = 1 emb.)</t>
        </is>
      </c>
    </row>
    <row r="39">
      <c r="A39" s="2" t="n">
        <v>7648</v>
      </c>
      <c r="B39" s="2" t="n">
        <v>621511</v>
      </c>
      <c r="C39" s="3" t="inlineStr">
        <is>
          <t>7898933598816</t>
        </is>
      </c>
      <c r="D39" s="2" t="inlineStr">
        <is>
          <t>ATADURA DE CREPE 10CM X 1,8M C/12 UND</t>
        </is>
      </c>
      <c r="E39" s="2" t="inlineStr">
        <is>
          <t>ATADURA DE CREPE 10CM 13 FIOS TEXPHARMA</t>
        </is>
      </c>
      <c r="F39" s="2" t="inlineStr">
        <is>
          <t>TEXPHARMA</t>
        </is>
      </c>
      <c r="G39" s="4" t="n">
        <v>12</v>
      </c>
      <c r="H39" s="4" t="n">
        <v>12</v>
      </c>
      <c r="I39" s="4" t="n">
        <v>1</v>
      </c>
      <c r="J39" s="5" t="n">
        <v>6.53</v>
      </c>
      <c r="K39" s="5">
        <f>I39*J39</f>
        <v/>
      </c>
      <c r="L39" s="5">
        <f>J39/G39</f>
        <v/>
      </c>
      <c r="M39" s="5" t="n">
        <v>0.8325</v>
      </c>
      <c r="N39" s="5" t="n">
        <v>0.8325</v>
      </c>
      <c r="O39" s="6">
        <f>L39/M39-1</f>
        <v/>
      </c>
      <c r="P39" s="4" t="n">
        <v>1904</v>
      </c>
      <c r="Q39" s="2" t="inlineStr">
        <is>
          <t>1 emb. Dimec = 12 un do Radar (pedido = 1 emb.)</t>
        </is>
      </c>
    </row>
    <row r="40">
      <c r="A40" s="2" t="n">
        <v>7553</v>
      </c>
      <c r="B40" s="2" t="n">
        <v>623471</v>
      </c>
      <c r="C40" s="3" t="inlineStr">
        <is>
          <t>7898933598830</t>
        </is>
      </c>
      <c r="D40" s="2" t="inlineStr">
        <is>
          <t>ATADURA DE CREPE 15CM X 1,8M C/12 UND</t>
        </is>
      </c>
      <c r="E40" s="2" t="inlineStr">
        <is>
          <t>ATADURA DE CREPE 15CM C/12 UND</t>
        </is>
      </c>
      <c r="F40" s="2" t="inlineStr">
        <is>
          <t>TEXPHARMA</t>
        </is>
      </c>
      <c r="G40" s="4" t="n">
        <v>12</v>
      </c>
      <c r="H40" s="4" t="n">
        <v>11</v>
      </c>
      <c r="I40" s="4" t="n">
        <v>1</v>
      </c>
      <c r="J40" s="5" t="n">
        <v>9.82</v>
      </c>
      <c r="K40" s="5">
        <f>I40*J40</f>
        <v/>
      </c>
      <c r="L40" s="5">
        <f>J40/G40</f>
        <v/>
      </c>
      <c r="M40" s="5" t="n">
        <v>1.2492</v>
      </c>
      <c r="N40" s="5" t="n">
        <v>1.1658</v>
      </c>
      <c r="O40" s="6">
        <f>L40/M40-1</f>
        <v/>
      </c>
      <c r="P40" s="4" t="n">
        <v>1978</v>
      </c>
      <c r="Q40" s="2" t="inlineStr">
        <is>
          <t>1 emb. Dimec = 12 un do Radar (pedido = 1 emb.)</t>
        </is>
      </c>
    </row>
    <row r="41">
      <c r="A41" s="2" t="n">
        <v>7706</v>
      </c>
      <c r="B41" s="2" t="n">
        <v>623481</v>
      </c>
      <c r="C41" s="3" t="inlineStr">
        <is>
          <t>7898933598847</t>
        </is>
      </c>
      <c r="D41" s="2" t="inlineStr">
        <is>
          <t>ATADURA DE CREPE 20CM X 1,8M C/12 UND</t>
        </is>
      </c>
      <c r="E41" s="2" t="inlineStr">
        <is>
          <t>ATADURA DE CREPE 20CM 13 FIOS TEXPHARMA</t>
        </is>
      </c>
      <c r="F41" s="2" t="inlineStr">
        <is>
          <t>TEXPHARMA</t>
        </is>
      </c>
      <c r="G41" s="4" t="n">
        <v>12</v>
      </c>
      <c r="H41" s="4" t="n">
        <v>1</v>
      </c>
      <c r="I41" s="4" t="n">
        <v>1</v>
      </c>
      <c r="J41" s="5" t="n">
        <v>13.08</v>
      </c>
      <c r="K41" s="5">
        <f>I41*J41</f>
        <v/>
      </c>
      <c r="L41" s="5">
        <f>J41/G41</f>
        <v/>
      </c>
      <c r="M41" s="5" t="n">
        <v>1.6658</v>
      </c>
      <c r="N41" s="5" t="n">
        <v>1.6658</v>
      </c>
      <c r="O41" s="6">
        <f>L41/M41-1</f>
        <v/>
      </c>
      <c r="P41" s="4" t="n">
        <v>241</v>
      </c>
      <c r="Q41" s="2" t="inlineStr">
        <is>
          <t>1 emb. Dimec = 12 un do Radar (pedido = 1 emb.)</t>
        </is>
      </c>
    </row>
    <row r="42">
      <c r="A42" s="2" t="n">
        <v>7710</v>
      </c>
      <c r="B42" s="2" t="n">
        <v>613211</v>
      </c>
      <c r="C42" s="3" t="inlineStr">
        <is>
          <t>7898933598786</t>
        </is>
      </c>
      <c r="D42" s="2" t="inlineStr">
        <is>
          <t>ATADURA DE CREPE 30CM X 1,8M C/12 UND</t>
        </is>
      </c>
      <c r="E42" s="2" t="inlineStr">
        <is>
          <t>ATADURA DE CREPE 30CM C/12 UND</t>
        </is>
      </c>
      <c r="F42" s="2" t="inlineStr">
        <is>
          <t>TEXPHARMA</t>
        </is>
      </c>
      <c r="G42" s="4" t="n">
        <v>12</v>
      </c>
      <c r="H42" s="4" t="n">
        <v>3</v>
      </c>
      <c r="I42" s="4" t="n">
        <v>1</v>
      </c>
      <c r="J42" s="5" t="n">
        <v>19.67</v>
      </c>
      <c r="K42" s="5">
        <f>I42*J42</f>
        <v/>
      </c>
      <c r="L42" s="5">
        <f>J42/G42</f>
        <v/>
      </c>
      <c r="M42" s="5" t="n">
        <v>2.1658</v>
      </c>
      <c r="N42" s="5" t="n">
        <v>2.1658</v>
      </c>
      <c r="O42" s="6">
        <f>L42/M42-1</f>
        <v/>
      </c>
      <c r="P42" s="4" t="n">
        <v>134</v>
      </c>
      <c r="Q42" s="2" t="inlineStr">
        <is>
          <t>1 emb. Dimec = 12 un do Radar (pedido = 1 emb.)</t>
        </is>
      </c>
    </row>
    <row r="43">
      <c r="A43" s="2" t="n">
        <v>10682</v>
      </c>
      <c r="B43" s="2" t="n">
        <v>653621</v>
      </c>
      <c r="C43" s="3" t="inlineStr">
        <is>
          <t>7898108642108</t>
        </is>
      </c>
      <c r="D43" s="2" t="inlineStr">
        <is>
          <t>ATADURA DE CREPE MICKEY 12CM C/01 UND*</t>
        </is>
      </c>
      <c r="E43" s="2" t="inlineStr">
        <is>
          <t>ATADURA DE CREPE MICKEY 12CM</t>
        </is>
      </c>
      <c r="F43" s="2" t="inlineStr">
        <is>
          <t>SANFARMA</t>
        </is>
      </c>
      <c r="G43" s="4" t="n">
        <v>1</v>
      </c>
      <c r="H43" s="4" t="n">
        <v>2</v>
      </c>
      <c r="I43" s="4" t="n">
        <v>2</v>
      </c>
      <c r="J43" s="5" t="n">
        <v>2.66</v>
      </c>
      <c r="K43" s="5">
        <f>I43*J43</f>
        <v/>
      </c>
      <c r="L43" s="5">
        <f>J43/G43</f>
        <v/>
      </c>
      <c r="M43" s="5" t="n">
        <v>2.53</v>
      </c>
      <c r="N43" s="5" t="n">
        <v>2.51</v>
      </c>
      <c r="O43" s="6">
        <f>L43/M43-1</f>
        <v/>
      </c>
      <c r="P43" s="4" t="n">
        <v>48</v>
      </c>
      <c r="Q43" s="2" t="inlineStr"/>
    </row>
    <row r="44">
      <c r="A44" s="2" t="n">
        <v>224</v>
      </c>
      <c r="B44" s="2" t="n">
        <v>661601</v>
      </c>
      <c r="C44" s="3" t="inlineStr">
        <is>
          <t>7898108641347</t>
        </is>
      </c>
      <c r="D44" s="2" t="inlineStr">
        <is>
          <t>ATADURA DE CREPE 12CM X 1,8M C/01 UND</t>
        </is>
      </c>
      <c r="E44" s="2" t="inlineStr">
        <is>
          <t>ATADURA DE CREPE SANF 12CMX1,80M</t>
        </is>
      </c>
      <c r="F44" s="2" t="inlineStr">
        <is>
          <t>SANFARMA</t>
        </is>
      </c>
      <c r="G44" s="4" t="n">
        <v>1</v>
      </c>
      <c r="H44" s="4" t="n">
        <v>2</v>
      </c>
      <c r="I44" s="4" t="n">
        <v>2</v>
      </c>
      <c r="J44" s="5" t="n">
        <v>2.33</v>
      </c>
      <c r="K44" s="5">
        <f>I44*J44</f>
        <v/>
      </c>
      <c r="L44" s="5">
        <f>J44/G44</f>
        <v/>
      </c>
      <c r="M44" s="5" t="n">
        <v>2.23</v>
      </c>
      <c r="N44" s="5" t="n">
        <v>2.23</v>
      </c>
      <c r="O44" s="6">
        <f>L44/M44-1</f>
        <v/>
      </c>
      <c r="P44" s="4" t="n">
        <v>1603</v>
      </c>
      <c r="Q44" s="2" t="inlineStr"/>
    </row>
    <row r="45">
      <c r="A45" s="2" t="n">
        <v>225</v>
      </c>
      <c r="B45" s="2" t="n">
        <v>648271</v>
      </c>
      <c r="C45" s="3" t="inlineStr">
        <is>
          <t>7898108641354</t>
        </is>
      </c>
      <c r="D45" s="2" t="inlineStr">
        <is>
          <t>ATADURA DE CREPE 15CM X 1,8M C/01 UND</t>
        </is>
      </c>
      <c r="E45" s="2" t="inlineStr">
        <is>
          <t>ATADURA DE CREPE SANF 15CMX1,80M</t>
        </is>
      </c>
      <c r="F45" s="2" t="inlineStr">
        <is>
          <t>SANFARMA</t>
        </is>
      </c>
      <c r="G45" s="4" t="n">
        <v>1</v>
      </c>
      <c r="H45" s="4" t="n">
        <v>1</v>
      </c>
      <c r="I45" s="4" t="n">
        <v>1</v>
      </c>
      <c r="J45" s="5" t="n">
        <v>3.07</v>
      </c>
      <c r="K45" s="5">
        <f>I45*J45</f>
        <v/>
      </c>
      <c r="L45" s="5">
        <f>J45/G45</f>
        <v/>
      </c>
      <c r="M45" s="5" t="n">
        <v>2.6808</v>
      </c>
      <c r="N45" s="5" t="n">
        <v>2.6808</v>
      </c>
      <c r="O45" s="6">
        <f>L45/M45-1</f>
        <v/>
      </c>
      <c r="P45" s="4" t="n">
        <v>2058</v>
      </c>
      <c r="Q45" s="2" t="inlineStr"/>
    </row>
    <row r="46">
      <c r="A46" s="2" t="n">
        <v>8460</v>
      </c>
      <c r="B46" s="2" t="n">
        <v>648171</v>
      </c>
      <c r="C46" s="3" t="inlineStr">
        <is>
          <t>7908007905478</t>
        </is>
      </c>
      <c r="D46" s="2" t="inlineStr">
        <is>
          <t>AUTOTESTE COVID-19 AG</t>
        </is>
      </c>
      <c r="E46" s="2" t="inlineStr">
        <is>
          <t>AUTOTESTE COVID-19 AG (TESTE RAPIDO)</t>
        </is>
      </c>
      <c r="F46" s="2" t="inlineStr">
        <is>
          <t>MEDLEVENSOHN</t>
        </is>
      </c>
      <c r="G46" s="4" t="n">
        <v>1</v>
      </c>
      <c r="H46" s="4" t="n">
        <v>1</v>
      </c>
      <c r="I46" s="4" t="n">
        <v>1</v>
      </c>
      <c r="J46" s="5" t="n">
        <v>8.289999999999999</v>
      </c>
      <c r="K46" s="5">
        <f>I46*J46</f>
        <v/>
      </c>
      <c r="L46" s="5">
        <f>J46/G46</f>
        <v/>
      </c>
      <c r="M46" s="5" t="n">
        <v>10.7</v>
      </c>
      <c r="N46" s="5" t="n">
        <v>10.7</v>
      </c>
      <c r="O46" s="6">
        <f>L46/M46-1</f>
        <v/>
      </c>
      <c r="P46" s="4" t="n">
        <v>27</v>
      </c>
      <c r="Q46" s="2" t="inlineStr"/>
    </row>
    <row r="47">
      <c r="A47" s="2" t="n">
        <v>165</v>
      </c>
      <c r="B47" s="2" t="n">
        <v>3143</v>
      </c>
      <c r="C47" s="3" t="inlineStr">
        <is>
          <t>7898031310259</t>
        </is>
      </c>
      <c r="D47" s="2" t="inlineStr">
        <is>
          <t>AZEITE DOCE 30ML</t>
        </is>
      </c>
      <c r="E47" s="2" t="inlineStr">
        <is>
          <t>AZEITE DOCE 30ML</t>
        </is>
      </c>
      <c r="F47" s="2" t="inlineStr">
        <is>
          <t>UNIPHAR</t>
        </is>
      </c>
      <c r="G47" s="4" t="n">
        <v>1</v>
      </c>
      <c r="H47" s="4" t="n">
        <v>1</v>
      </c>
      <c r="I47" s="4" t="n">
        <v>1</v>
      </c>
      <c r="J47" s="5" t="n">
        <v>3.6</v>
      </c>
      <c r="K47" s="5">
        <f>I47*J47</f>
        <v/>
      </c>
      <c r="L47" s="5">
        <f>J47/G47</f>
        <v/>
      </c>
      <c r="M47" s="5" t="n">
        <v>3.54</v>
      </c>
      <c r="N47" s="5" t="n">
        <v>3.54</v>
      </c>
      <c r="O47" s="6">
        <f>L47/M47-1</f>
        <v/>
      </c>
      <c r="P47" s="4" t="n">
        <v>970</v>
      </c>
      <c r="Q47" s="2" t="inlineStr"/>
    </row>
    <row r="48">
      <c r="A48" s="2" t="n">
        <v>2051</v>
      </c>
      <c r="B48" s="2" t="n">
        <v>46141</v>
      </c>
      <c r="C48" s="3" t="inlineStr">
        <is>
          <t>7898060132518</t>
        </is>
      </c>
      <c r="D48" s="2" t="inlineStr">
        <is>
          <t>AZITROMICINA 500MG C/05 CPR..</t>
        </is>
      </c>
      <c r="E48" s="2" t="inlineStr">
        <is>
          <t>AZITROMICINA 500MG CX 5 COMP</t>
        </is>
      </c>
      <c r="F48" s="2" t="inlineStr">
        <is>
          <t>GLOBO PHARMA</t>
        </is>
      </c>
      <c r="G48" s="4" t="n">
        <v>1</v>
      </c>
      <c r="H48" s="4" t="n">
        <v>1</v>
      </c>
      <c r="I48" s="4" t="n">
        <v>1</v>
      </c>
      <c r="J48" s="5" t="n">
        <v>6.44</v>
      </c>
      <c r="K48" s="5">
        <f>I48*J48</f>
        <v/>
      </c>
      <c r="L48" s="5">
        <f>J48/G48</f>
        <v/>
      </c>
      <c r="M48" s="5" t="n">
        <v>5.86</v>
      </c>
      <c r="N48" s="5" t="n">
        <v>5.86</v>
      </c>
      <c r="O48" s="6">
        <f>L48/M48-1</f>
        <v/>
      </c>
      <c r="P48" s="4" t="n">
        <v>852</v>
      </c>
      <c r="Q48" s="2" t="inlineStr"/>
    </row>
    <row r="49">
      <c r="A49" s="2" t="n">
        <v>4650</v>
      </c>
      <c r="B49" s="2" t="n">
        <v>47221</v>
      </c>
      <c r="C49" s="3" t="inlineStr">
        <is>
          <t>7898216365708</t>
        </is>
      </c>
      <c r="D49" s="2" t="inlineStr">
        <is>
          <t>AZITROMICINA 500MG C/05 CPR</t>
        </is>
      </c>
      <c r="E49" s="2" t="inlineStr">
        <is>
          <t>AZITROMICINA DI-HIDRATADA 500MG CX 5 COMP REV</t>
        </is>
      </c>
      <c r="F49" s="2" t="inlineStr">
        <is>
          <t>PHARLAB</t>
        </is>
      </c>
      <c r="G49" s="4" t="n">
        <v>1</v>
      </c>
      <c r="H49" s="4" t="n">
        <v>18</v>
      </c>
      <c r="I49" s="4" t="n">
        <v>18</v>
      </c>
      <c r="J49" s="5" t="n">
        <v>6</v>
      </c>
      <c r="K49" s="5">
        <f>I49*J49</f>
        <v/>
      </c>
      <c r="L49" s="5">
        <f>J49/G49</f>
        <v/>
      </c>
      <c r="M49" s="5" t="n">
        <v>5.78</v>
      </c>
      <c r="N49" s="5" t="n">
        <v>5.78</v>
      </c>
      <c r="O49" s="6">
        <f>L49/M49-1</f>
        <v/>
      </c>
      <c r="P49" s="4" t="n">
        <v>8047</v>
      </c>
      <c r="Q49" s="2" t="inlineStr"/>
    </row>
    <row r="50">
      <c r="A50" s="2" t="n">
        <v>4</v>
      </c>
      <c r="B50" s="2" t="n">
        <v>48221</v>
      </c>
      <c r="C50" s="3" t="inlineStr">
        <is>
          <t>7898216360123</t>
        </is>
      </c>
      <c r="D50" s="2" t="inlineStr">
        <is>
          <t>AZITROPHAR 500MG C/03 CPR**</t>
        </is>
      </c>
      <c r="E50" s="2" t="inlineStr">
        <is>
          <t>AZITROPHAR 500MG CX 3 COM REV</t>
        </is>
      </c>
      <c r="F50" s="2" t="inlineStr">
        <is>
          <t>PHARLAB</t>
        </is>
      </c>
      <c r="G50" s="4" t="n">
        <v>1</v>
      </c>
      <c r="H50" s="4" t="n">
        <v>3</v>
      </c>
      <c r="I50" s="4" t="n">
        <v>3</v>
      </c>
      <c r="J50" s="5" t="n">
        <v>3.91</v>
      </c>
      <c r="K50" s="5">
        <f>I50*J50</f>
        <v/>
      </c>
      <c r="L50" s="5">
        <f>J50/G50</f>
        <v/>
      </c>
      <c r="M50" s="5" t="n">
        <v>3.63</v>
      </c>
      <c r="N50" s="5" t="n">
        <v>3.63</v>
      </c>
      <c r="O50" s="6">
        <f>L50/M50-1</f>
        <v/>
      </c>
      <c r="P50" s="4" t="n">
        <v>5708</v>
      </c>
      <c r="Q50" s="2" t="inlineStr"/>
    </row>
    <row r="51">
      <c r="A51" s="2" t="n">
        <v>6</v>
      </c>
      <c r="B51" s="2" t="n">
        <v>47701</v>
      </c>
      <c r="C51" s="3" t="inlineStr">
        <is>
          <t>7898216364510</t>
        </is>
      </c>
      <c r="D51" s="2" t="inlineStr">
        <is>
          <t>AZITROPHAR 600MG SUS**</t>
        </is>
      </c>
      <c r="E51" s="2" t="inlineStr">
        <is>
          <t>AZITROPHAR 600MG PO SUS OR FR 15ML + SER DOS 5ML</t>
        </is>
      </c>
      <c r="F51" s="2" t="inlineStr">
        <is>
          <t>PHARLAB</t>
        </is>
      </c>
      <c r="G51" s="4" t="n">
        <v>1</v>
      </c>
      <c r="H51" s="4" t="n">
        <v>6</v>
      </c>
      <c r="I51" s="4" t="n">
        <v>6</v>
      </c>
      <c r="J51" s="5" t="n">
        <v>14.499</v>
      </c>
      <c r="K51" s="5">
        <f>I51*J51</f>
        <v/>
      </c>
      <c r="L51" s="5">
        <f>J51/G51</f>
        <v/>
      </c>
      <c r="M51" s="5" t="n">
        <v>13.96</v>
      </c>
      <c r="N51" s="5" t="n">
        <v>13.96</v>
      </c>
      <c r="O51" s="6">
        <f>L51/M51-1</f>
        <v/>
      </c>
      <c r="P51" s="4" t="n">
        <v>1920</v>
      </c>
      <c r="Q51" s="2" t="inlineStr"/>
    </row>
    <row r="52">
      <c r="A52" s="2" t="n">
        <v>1371</v>
      </c>
      <c r="B52" s="2" t="n">
        <v>533001</v>
      </c>
      <c r="C52" s="3" t="inlineStr">
        <is>
          <t>7896523223223</t>
        </is>
      </c>
      <c r="D52" s="2" t="inlineStr">
        <is>
          <t>BABYMED MENINO 45G POMADA</t>
        </is>
      </c>
      <c r="E52" s="2" t="inlineStr">
        <is>
          <t>BABYMED MENINO 45G POMADA</t>
        </is>
      </c>
      <c r="F52" s="2" t="inlineStr">
        <is>
          <t>CIMED</t>
        </is>
      </c>
      <c r="G52" s="4" t="n">
        <v>1</v>
      </c>
      <c r="H52" s="4" t="n">
        <v>11</v>
      </c>
      <c r="I52" s="4" t="n">
        <v>11</v>
      </c>
      <c r="J52" s="5" t="n">
        <v>6.74</v>
      </c>
      <c r="K52" s="5">
        <f>I52*J52</f>
        <v/>
      </c>
      <c r="L52" s="5">
        <f>J52/G52</f>
        <v/>
      </c>
      <c r="M52" s="5" t="n">
        <v>4.99</v>
      </c>
      <c r="N52" s="5" t="n">
        <v>4.99</v>
      </c>
      <c r="O52" s="6">
        <f>L52/M52-1</f>
        <v/>
      </c>
      <c r="P52" s="4" t="n">
        <v>163</v>
      </c>
      <c r="Q52" s="2" t="inlineStr"/>
    </row>
    <row r="53">
      <c r="A53" s="2" t="n">
        <v>1619</v>
      </c>
      <c r="B53" s="2" t="n">
        <v>606841</v>
      </c>
      <c r="C53" s="3" t="inlineStr">
        <is>
          <t>7896148500259</t>
        </is>
      </c>
      <c r="D53" s="2" t="inlineStr">
        <is>
          <t>BALA DE FITOMELITO C/10 UND</t>
        </is>
      </c>
      <c r="E53" s="2" t="inlineStr">
        <is>
          <t>BALAS DE FITOMELITO 37G (FIT)</t>
        </is>
      </c>
      <c r="F53" s="2" t="inlineStr">
        <is>
          <t>FITOBEL</t>
        </is>
      </c>
      <c r="G53" s="4" t="n">
        <v>1</v>
      </c>
      <c r="H53" s="4" t="n">
        <v>11</v>
      </c>
      <c r="I53" s="4" t="n">
        <v>11</v>
      </c>
      <c r="J53" s="5" t="n">
        <v>4.47</v>
      </c>
      <c r="K53" s="5">
        <f>I53*J53</f>
        <v/>
      </c>
      <c r="L53" s="5">
        <f>J53/G53</f>
        <v/>
      </c>
      <c r="M53" s="5" t="n">
        <v>3.68</v>
      </c>
      <c r="N53" s="5" t="n">
        <v>3.68</v>
      </c>
      <c r="O53" s="6">
        <f>L53/M53-1</f>
        <v/>
      </c>
      <c r="P53" s="4" t="n">
        <v>3317</v>
      </c>
      <c r="Q53" s="2" t="inlineStr"/>
    </row>
    <row r="54">
      <c r="A54" s="2" t="n">
        <v>10510</v>
      </c>
      <c r="B54" s="2" t="n">
        <v>541321</v>
      </c>
      <c r="C54" s="3" t="inlineStr">
        <is>
          <t>7898563802468</t>
        </is>
      </c>
      <c r="D54" s="2" t="inlineStr">
        <is>
          <t>MANTEIGA DE CACAU BATOM</t>
        </is>
      </c>
      <c r="E54" s="2" t="inlineStr">
        <is>
          <t>BATOM DE CACAU UN</t>
        </is>
      </c>
      <c r="F54" s="2" t="inlineStr">
        <is>
          <t>TROL-HADASS</t>
        </is>
      </c>
      <c r="G54" s="4" t="n">
        <v>1</v>
      </c>
      <c r="H54" s="4" t="n">
        <v>1</v>
      </c>
      <c r="I54" s="4" t="n">
        <v>1</v>
      </c>
      <c r="J54" s="5" t="n">
        <v>1.61</v>
      </c>
      <c r="K54" s="5">
        <f>I54*J54</f>
        <v/>
      </c>
      <c r="L54" s="5">
        <f>J54/G54</f>
        <v/>
      </c>
      <c r="M54" s="5" t="n">
        <v>1.61</v>
      </c>
      <c r="N54" s="5" t="n">
        <v>1.61</v>
      </c>
      <c r="O54" s="6">
        <f>L54/M54-1</f>
        <v/>
      </c>
      <c r="P54" s="4" t="n">
        <v>428</v>
      </c>
      <c r="Q54" s="2" t="inlineStr"/>
    </row>
    <row r="55">
      <c r="A55" s="2" t="n">
        <v>3079</v>
      </c>
      <c r="B55" s="2" t="n">
        <v>590701</v>
      </c>
      <c r="C55" s="3" t="inlineStr">
        <is>
          <t>7898031310075</t>
        </is>
      </c>
      <c r="D55" s="2" t="inlineStr">
        <is>
          <t>BAZELIN 10G GEL LATINHA</t>
        </is>
      </c>
      <c r="E55" s="2" t="inlineStr">
        <is>
          <t>BAZELIN 10G UN</t>
        </is>
      </c>
      <c r="F55" s="2" t="inlineStr">
        <is>
          <t>UNIPHAR</t>
        </is>
      </c>
      <c r="G55" s="4" t="n">
        <v>1</v>
      </c>
      <c r="H55" s="4" t="n">
        <v>1</v>
      </c>
      <c r="I55" s="4" t="n">
        <v>1</v>
      </c>
      <c r="J55" s="5" t="n">
        <v>3.81</v>
      </c>
      <c r="K55" s="5">
        <f>I55*J55</f>
        <v/>
      </c>
      <c r="L55" s="5">
        <f>J55/G55</f>
        <v/>
      </c>
      <c r="M55" s="5" t="n">
        <v>3.79</v>
      </c>
      <c r="N55" s="5" t="n">
        <v>3.79</v>
      </c>
      <c r="O55" s="6">
        <f>L55/M55-1</f>
        <v/>
      </c>
      <c r="P55" s="4" t="n">
        <v>2894</v>
      </c>
      <c r="Q55" s="2" t="inlineStr"/>
    </row>
    <row r="56">
      <c r="A56" s="2" t="n">
        <v>508</v>
      </c>
      <c r="B56" s="2" t="n">
        <v>446981</v>
      </c>
      <c r="C56" s="3" t="inlineStr">
        <is>
          <t>7897917000260</t>
        </is>
      </c>
      <c r="D56" s="2" t="inlineStr">
        <is>
          <t>BELFACTRIM 400+80MG C/20 CPR</t>
        </is>
      </c>
      <c r="E56" s="2" t="inlineStr">
        <is>
          <t>BELFACTRIM 400+80MG CX 20 COMP</t>
        </is>
      </c>
      <c r="F56" s="2" t="inlineStr">
        <is>
          <t>BELFAR</t>
        </is>
      </c>
      <c r="G56" s="4" t="n">
        <v>1</v>
      </c>
      <c r="H56" s="4" t="n">
        <v>2</v>
      </c>
      <c r="I56" s="4" t="n">
        <v>2</v>
      </c>
      <c r="J56" s="5" t="n">
        <v>6.3</v>
      </c>
      <c r="K56" s="5">
        <f>I56*J56</f>
        <v/>
      </c>
      <c r="L56" s="5">
        <f>J56/G56</f>
        <v/>
      </c>
      <c r="M56" s="5" t="n">
        <v>5.42</v>
      </c>
      <c r="N56" s="5" t="n">
        <v>5.42</v>
      </c>
      <c r="O56" s="6">
        <f>L56/M56-1</f>
        <v/>
      </c>
      <c r="P56" s="4" t="n">
        <v>6022</v>
      </c>
      <c r="Q56" s="2" t="inlineStr"/>
    </row>
    <row r="57">
      <c r="A57" s="2" t="n">
        <v>181</v>
      </c>
      <c r="B57" s="2" t="n">
        <v>212561</v>
      </c>
      <c r="C57" s="3" t="inlineStr">
        <is>
          <t>7897917001465</t>
        </is>
      </c>
      <c r="D57" s="2" t="inlineStr">
        <is>
          <t>BELFAREN 50MG C/20 CPR</t>
        </is>
      </c>
      <c r="E57" s="2" t="inlineStr">
        <is>
          <t>BELFAREN 50MG CX 20 COMP</t>
        </is>
      </c>
      <c r="F57" s="2" t="inlineStr">
        <is>
          <t>BELFAR</t>
        </is>
      </c>
      <c r="G57" s="4" t="n">
        <v>1</v>
      </c>
      <c r="H57" s="4" t="n">
        <v>2</v>
      </c>
      <c r="I57" s="4" t="n">
        <v>2</v>
      </c>
      <c r="J57" s="5" t="n">
        <v>1.78</v>
      </c>
      <c r="K57" s="5">
        <f>I57*J57</f>
        <v/>
      </c>
      <c r="L57" s="5">
        <f>J57/G57</f>
        <v/>
      </c>
      <c r="M57" s="5" t="n">
        <v>1.62</v>
      </c>
      <c r="N57" s="5" t="n">
        <v>1.62</v>
      </c>
      <c r="O57" s="6">
        <f>L57/M57-1</f>
        <v/>
      </c>
      <c r="P57" s="4" t="n">
        <v>2017</v>
      </c>
      <c r="Q57" s="2" t="inlineStr"/>
    </row>
    <row r="58">
      <c r="A58" s="2" t="n">
        <v>9611</v>
      </c>
      <c r="B58" s="2" t="n">
        <v>210461</v>
      </c>
      <c r="C58" s="3" t="inlineStr">
        <is>
          <t>7896004800400</t>
        </is>
      </c>
      <c r="D58" s="2" t="inlineStr">
        <is>
          <t>BENEVRAN 50MG C/20 CPR**</t>
        </is>
      </c>
      <c r="E58" s="2" t="inlineStr">
        <is>
          <t>BENEVRAN CX 20 DRG</t>
        </is>
      </c>
      <c r="F58" s="2" t="inlineStr">
        <is>
          <t>MULTILAB MARCA</t>
        </is>
      </c>
      <c r="G58" s="4" t="n">
        <v>1</v>
      </c>
      <c r="H58" s="4" t="n">
        <v>31</v>
      </c>
      <c r="I58" s="4" t="n">
        <v>31</v>
      </c>
      <c r="J58" s="5" t="n">
        <v>2.34</v>
      </c>
      <c r="K58" s="5">
        <f>I58*J58</f>
        <v/>
      </c>
      <c r="L58" s="5">
        <f>J58/G58</f>
        <v/>
      </c>
      <c r="M58" s="5" t="n">
        <v>2.34</v>
      </c>
      <c r="N58" s="5" t="n">
        <v>2.34</v>
      </c>
      <c r="O58" s="6">
        <f>L58/M58-1</f>
        <v/>
      </c>
      <c r="P58" s="4" t="n">
        <v>187</v>
      </c>
      <c r="Q58" s="2" t="inlineStr"/>
    </row>
    <row r="59">
      <c r="A59" s="2" t="n">
        <v>453</v>
      </c>
      <c r="B59" s="2" t="n">
        <v>49581</v>
      </c>
      <c r="C59" s="3" t="inlineStr">
        <is>
          <t>7898014560077</t>
        </is>
      </c>
      <c r="D59" s="2" t="inlineStr">
        <is>
          <t>BENZODERM 60G SABONETE</t>
        </is>
      </c>
      <c r="E59" s="2" t="inlineStr">
        <is>
          <t>BENZODERM 100 MG/G SAB CT FIL PP X 60 G</t>
        </is>
      </c>
      <c r="F59" s="2" t="inlineStr">
        <is>
          <t>PHARMASCIENCE</t>
        </is>
      </c>
      <c r="G59" s="4" t="n">
        <v>1</v>
      </c>
      <c r="H59" s="4" t="n">
        <v>1</v>
      </c>
      <c r="I59" s="4" t="n">
        <v>1</v>
      </c>
      <c r="J59" s="5" t="n">
        <v>6.59</v>
      </c>
      <c r="K59" s="5">
        <f>I59*J59</f>
        <v/>
      </c>
      <c r="L59" s="5">
        <f>J59/G59</f>
        <v/>
      </c>
      <c r="M59" s="5" t="n">
        <v>6.59</v>
      </c>
      <c r="N59" s="5" t="n">
        <v>6.59</v>
      </c>
      <c r="O59" s="6">
        <f>L59/M59-1</f>
        <v/>
      </c>
      <c r="P59" s="4" t="n">
        <v>1103</v>
      </c>
      <c r="Q59" s="2" t="inlineStr"/>
    </row>
    <row r="60">
      <c r="A60" s="2" t="n">
        <v>5589</v>
      </c>
      <c r="B60" s="2" t="n">
        <v>50061</v>
      </c>
      <c r="C60" s="3" t="inlineStr">
        <is>
          <t>7897917000994</t>
        </is>
      </c>
      <c r="D60" s="2" t="inlineStr">
        <is>
          <t>METRONIDAZOL 40MG 100ML SUS</t>
        </is>
      </c>
      <c r="E60" s="2" t="inlineStr">
        <is>
          <t>BENZOILMETRONIDAZOL 40MG/ML SUS OR FR 100ML+COP MED</t>
        </is>
      </c>
      <c r="F60" s="2" t="inlineStr">
        <is>
          <t>BELFAR</t>
        </is>
      </c>
      <c r="G60" s="4" t="n">
        <v>1</v>
      </c>
      <c r="H60" s="4" t="n">
        <v>10</v>
      </c>
      <c r="I60" s="4" t="n">
        <v>10</v>
      </c>
      <c r="J60" s="5" t="n">
        <v>9.83</v>
      </c>
      <c r="K60" s="5">
        <f>I60*J60</f>
        <v/>
      </c>
      <c r="L60" s="5">
        <f>J60/G60</f>
        <v/>
      </c>
      <c r="M60" s="5" t="n">
        <v>8.84</v>
      </c>
      <c r="N60" s="5" t="n">
        <v>8.84</v>
      </c>
      <c r="O60" s="6">
        <f>L60/M60-1</f>
        <v/>
      </c>
      <c r="P60" s="4" t="n">
        <v>1913</v>
      </c>
      <c r="Q60" s="2" t="inlineStr"/>
    </row>
    <row r="61">
      <c r="A61" s="2" t="n">
        <v>1357</v>
      </c>
      <c r="B61" s="2" t="n">
        <v>208141</v>
      </c>
      <c r="C61" s="3" t="inlineStr">
        <is>
          <t>7896523210797</t>
        </is>
      </c>
      <c r="D61" s="2" t="inlineStr">
        <is>
          <t>BEPANTRIZ 50MG 30G POMADA</t>
        </is>
      </c>
      <c r="E61" s="2" t="inlineStr">
        <is>
          <t>BEPANTRIZ 50MG/G POM DERM BG 30G</t>
        </is>
      </c>
      <c r="F61" s="2" t="inlineStr">
        <is>
          <t>CIMED</t>
        </is>
      </c>
      <c r="G61" s="4" t="n">
        <v>1</v>
      </c>
      <c r="H61" s="4" t="n">
        <v>9</v>
      </c>
      <c r="I61" s="4" t="n">
        <v>9</v>
      </c>
      <c r="J61" s="5" t="n">
        <v>7.43</v>
      </c>
      <c r="K61" s="5">
        <f>I61*J61</f>
        <v/>
      </c>
      <c r="L61" s="5">
        <f>J61/G61</f>
        <v/>
      </c>
      <c r="M61" s="5" t="n">
        <v>6.49</v>
      </c>
      <c r="N61" s="5" t="n">
        <v>6.49</v>
      </c>
      <c r="O61" s="6">
        <f>L61/M61-1</f>
        <v/>
      </c>
      <c r="P61" s="4" t="n">
        <v>693</v>
      </c>
      <c r="Q61" s="2" t="inlineStr"/>
    </row>
    <row r="62">
      <c r="A62" s="2" t="n">
        <v>143</v>
      </c>
      <c r="B62" s="2" t="n">
        <v>538061</v>
      </c>
      <c r="C62" s="3" t="inlineStr">
        <is>
          <t>7898031310303</t>
        </is>
      </c>
      <c r="D62" s="2" t="inlineStr">
        <is>
          <t>BICARBONATO DE SODIO 100G CAIXA</t>
        </is>
      </c>
      <c r="E62" s="2" t="inlineStr">
        <is>
          <t>BICARBONATO DE SODIO 100G</t>
        </is>
      </c>
      <c r="F62" s="2" t="inlineStr">
        <is>
          <t>UNIPHAR</t>
        </is>
      </c>
      <c r="G62" s="4" t="n">
        <v>1</v>
      </c>
      <c r="H62" s="4" t="n">
        <v>24</v>
      </c>
      <c r="I62" s="4" t="n">
        <v>24</v>
      </c>
      <c r="J62" s="5" t="n">
        <v>3.23</v>
      </c>
      <c r="K62" s="5">
        <f>I62*J62</f>
        <v/>
      </c>
      <c r="L62" s="5">
        <f>J62/G62</f>
        <v/>
      </c>
      <c r="M62" s="5" t="n">
        <v>3.05</v>
      </c>
      <c r="N62" s="5" t="n">
        <v>3.05</v>
      </c>
      <c r="O62" s="6">
        <f>L62/M62-1</f>
        <v/>
      </c>
      <c r="P62" s="4" t="n">
        <v>10524</v>
      </c>
      <c r="Q62" s="2" t="inlineStr"/>
    </row>
    <row r="63">
      <c r="A63" s="2" t="n">
        <v>8452</v>
      </c>
      <c r="B63" s="2" t="n">
        <v>619101</v>
      </c>
      <c r="C63" s="3" t="inlineStr">
        <is>
          <t>7898953484243</t>
        </is>
      </c>
      <c r="D63" s="2" t="inlineStr">
        <is>
          <t>BICO LAVADOR NASAL UNIVERSAL C/02 UND</t>
        </is>
      </c>
      <c r="E63" s="2" t="inlineStr">
        <is>
          <t>BICO P/ SERINGA DE LAVAGEN NASAL C/2</t>
        </is>
      </c>
      <c r="F63" s="2" t="inlineStr">
        <is>
          <t>3B</t>
        </is>
      </c>
      <c r="G63" s="4" t="n">
        <v>1</v>
      </c>
      <c r="H63" s="4" t="n">
        <v>7</v>
      </c>
      <c r="I63" s="4" t="n">
        <v>7</v>
      </c>
      <c r="J63" s="5" t="n">
        <v>4.3</v>
      </c>
      <c r="K63" s="5">
        <f>I63*J63</f>
        <v/>
      </c>
      <c r="L63" s="5">
        <f>J63/G63</f>
        <v/>
      </c>
      <c r="M63" s="5" t="n">
        <v>4.3</v>
      </c>
      <c r="N63" s="5" t="n">
        <v>4.3</v>
      </c>
      <c r="O63" s="6">
        <f>L63/M63-1</f>
        <v/>
      </c>
      <c r="P63" s="4" t="n">
        <v>743</v>
      </c>
      <c r="Q63" s="2" t="inlineStr"/>
    </row>
    <row r="64">
      <c r="A64" s="2" t="n">
        <v>7444</v>
      </c>
      <c r="B64" s="2" t="n">
        <v>3893</v>
      </c>
      <c r="C64" s="3" t="inlineStr">
        <is>
          <t>7908414448933</t>
        </is>
      </c>
      <c r="D64" s="2" t="inlineStr">
        <is>
          <t>BOLSA TERMICA GEL AZUL HC353</t>
        </is>
      </c>
      <c r="E64" s="2" t="inlineStr">
        <is>
          <t>BOLSA TERMICA GEL AZUL HC353</t>
        </is>
      </c>
      <c r="F64" s="2" t="inlineStr">
        <is>
          <t>MULTILASER</t>
        </is>
      </c>
      <c r="G64" s="4" t="n">
        <v>1</v>
      </c>
      <c r="H64" s="4" t="n">
        <v>6</v>
      </c>
      <c r="I64" s="4" t="n">
        <v>6</v>
      </c>
      <c r="J64" s="5" t="n">
        <v>12.92</v>
      </c>
      <c r="K64" s="5">
        <f>I64*J64</f>
        <v/>
      </c>
      <c r="L64" s="5">
        <f>J64/G64</f>
        <v/>
      </c>
      <c r="M64" s="5" t="n">
        <v>12.92</v>
      </c>
      <c r="N64" s="5" t="n">
        <v>12.92</v>
      </c>
      <c r="O64" s="6">
        <f>L64/M64-1</f>
        <v/>
      </c>
      <c r="P64" s="4" t="n">
        <v>40</v>
      </c>
      <c r="Q64" s="2" t="inlineStr"/>
    </row>
    <row r="65">
      <c r="A65" s="2" t="n">
        <v>9959</v>
      </c>
      <c r="B65" s="2" t="n">
        <v>674321</v>
      </c>
      <c r="C65" s="3" t="inlineStr">
        <is>
          <t>7898975719040</t>
        </is>
      </c>
      <c r="D65" s="2" t="inlineStr">
        <is>
          <t>BOLSA TERMICA GEL QUENTE E FRIO GRANDE</t>
        </is>
      </c>
      <c r="E65" s="2" t="inlineStr">
        <is>
          <t>BOLSA TERMICA GEL QUENTE OU FRIO GRANDE</t>
        </is>
      </c>
      <c r="F65" s="2" t="inlineStr">
        <is>
          <t>3B</t>
        </is>
      </c>
      <c r="G65" s="4" t="n">
        <v>1</v>
      </c>
      <c r="H65" s="4" t="n">
        <v>1</v>
      </c>
      <c r="I65" s="4" t="n">
        <v>1</v>
      </c>
      <c r="J65" s="5" t="n">
        <v>10.63</v>
      </c>
      <c r="K65" s="5">
        <f>I65*J65</f>
        <v/>
      </c>
      <c r="L65" s="5">
        <f>J65/G65</f>
        <v/>
      </c>
      <c r="M65" s="5" t="n">
        <v>10.63</v>
      </c>
      <c r="N65" s="5" t="n">
        <v>10.63</v>
      </c>
      <c r="O65" s="6">
        <f>L65/M65-1</f>
        <v/>
      </c>
      <c r="P65" s="4" t="n">
        <v>144</v>
      </c>
      <c r="Q65" s="2" t="inlineStr"/>
    </row>
    <row r="66">
      <c r="A66" s="2" t="n">
        <v>10651</v>
      </c>
      <c r="B66" s="2" t="n">
        <v>194</v>
      </c>
      <c r="C66" s="3" t="inlineStr">
        <is>
          <t>7894164010264</t>
        </is>
      </c>
      <c r="D66" s="2" t="inlineStr">
        <is>
          <t>BROMOPRIDA 4MG 20ML GTS</t>
        </is>
      </c>
      <c r="E66" s="2" t="inlineStr">
        <is>
          <t>BROMOPRIDA 4MG/ML 20ML</t>
        </is>
      </c>
      <c r="F66" s="2" t="inlineStr">
        <is>
          <t>AIRELA</t>
        </is>
      </c>
      <c r="G66" s="4" t="n">
        <v>1</v>
      </c>
      <c r="H66" s="4" t="n">
        <v>2</v>
      </c>
      <c r="I66" s="4" t="n">
        <v>2</v>
      </c>
      <c r="J66" s="5" t="n">
        <v>3.58</v>
      </c>
      <c r="K66" s="5">
        <f>I66*J66</f>
        <v/>
      </c>
      <c r="L66" s="5">
        <f>J66/G66</f>
        <v/>
      </c>
      <c r="M66" s="5" t="n">
        <v>3.58</v>
      </c>
      <c r="N66" s="5" t="n">
        <v>3.58</v>
      </c>
      <c r="O66" s="6">
        <f>L66/M66-1</f>
        <v/>
      </c>
      <c r="P66" s="4" t="n">
        <v>24</v>
      </c>
      <c r="Q66" s="2" t="inlineStr"/>
    </row>
    <row r="67">
      <c r="A67" s="2" t="n">
        <v>1553</v>
      </c>
      <c r="B67" s="2" t="n">
        <v>294981</v>
      </c>
      <c r="C67" s="3" t="inlineStr">
        <is>
          <t>7896472513284</t>
        </is>
      </c>
      <c r="D67" s="2" t="inlineStr">
        <is>
          <t>BUPROVIL 300MG C/20 CPR</t>
        </is>
      </c>
      <c r="E67" s="2" t="inlineStr">
        <is>
          <t>BUPROVIL 300MG CX 20 COMP</t>
        </is>
      </c>
      <c r="F67" s="2" t="inlineStr">
        <is>
          <t>MULTILAB MARCA</t>
        </is>
      </c>
      <c r="G67" s="4" t="n">
        <v>1</v>
      </c>
      <c r="H67" s="4" t="n">
        <v>1</v>
      </c>
      <c r="I67" s="4" t="n">
        <v>1</v>
      </c>
      <c r="J67" s="5" t="n">
        <v>5.63</v>
      </c>
      <c r="K67" s="5">
        <f>I67*J67</f>
        <v/>
      </c>
      <c r="L67" s="5">
        <f>J67/G67</f>
        <v/>
      </c>
      <c r="M67" s="5" t="n">
        <v>5.63</v>
      </c>
      <c r="N67" s="5" t="n">
        <v>5.63</v>
      </c>
      <c r="O67" s="6">
        <f>L67/M67-1</f>
        <v/>
      </c>
      <c r="P67" s="4" t="n">
        <v>451</v>
      </c>
      <c r="Q67" s="2" t="inlineStr"/>
    </row>
    <row r="68">
      <c r="A68" s="2" t="n">
        <v>10610</v>
      </c>
      <c r="B68" s="2" t="n">
        <v>71481</v>
      </c>
      <c r="C68" s="3" t="inlineStr">
        <is>
          <t>7895296211024</t>
        </is>
      </c>
      <c r="D68" s="2" t="inlineStr">
        <is>
          <t>CABERGOLINA 0,5MG C/08 CPR</t>
        </is>
      </c>
      <c r="E68" s="2" t="inlineStr">
        <is>
          <t>CABERGOLINA 0,5 MG CX 8 COMP</t>
        </is>
      </c>
      <c r="F68" s="2" t="inlineStr">
        <is>
          <t>NOVA QUIMICA GENERICO</t>
        </is>
      </c>
      <c r="G68" s="4" t="n">
        <v>1</v>
      </c>
      <c r="H68" s="4" t="n">
        <v>1</v>
      </c>
      <c r="I68" s="4" t="n">
        <v>1</v>
      </c>
      <c r="J68" s="5" t="n">
        <v>62.18</v>
      </c>
      <c r="K68" s="5">
        <f>I68*J68</f>
        <v/>
      </c>
      <c r="L68" s="5">
        <f>J68/G68</f>
        <v/>
      </c>
      <c r="M68" s="5" t="n">
        <v>50.565</v>
      </c>
      <c r="N68" s="5" t="n">
        <v>50.565</v>
      </c>
      <c r="O68" s="6">
        <f>L68/M68-1</f>
        <v/>
      </c>
      <c r="P68" s="4" t="n">
        <v>82</v>
      </c>
      <c r="Q68" s="2" t="inlineStr"/>
    </row>
    <row r="69">
      <c r="A69" s="2" t="n">
        <v>5564</v>
      </c>
      <c r="B69" s="2" t="n">
        <v>596481</v>
      </c>
      <c r="C69" s="3" t="inlineStr">
        <is>
          <t>7894164005260</t>
        </is>
      </c>
      <c r="D69" s="2" t="inlineStr">
        <is>
          <t>CALOFIM 5ML CALOS E VERRUGAS</t>
        </is>
      </c>
      <c r="E69" s="2" t="inlineStr">
        <is>
          <t>CALOFIM 5ML SOL (AIRELA)</t>
        </is>
      </c>
      <c r="F69" s="2" t="inlineStr">
        <is>
          <t>AIRELA</t>
        </is>
      </c>
      <c r="G69" s="4" t="n">
        <v>1</v>
      </c>
      <c r="H69" s="4" t="n">
        <v>8</v>
      </c>
      <c r="I69" s="4" t="n">
        <v>8</v>
      </c>
      <c r="J69" s="5" t="n">
        <v>8.9</v>
      </c>
      <c r="K69" s="5">
        <f>I69*J69</f>
        <v/>
      </c>
      <c r="L69" s="5">
        <f>J69/G69</f>
        <v/>
      </c>
      <c r="M69" s="5" t="n">
        <v>8.56</v>
      </c>
      <c r="N69" s="5" t="n">
        <v>8.48</v>
      </c>
      <c r="O69" s="6">
        <f>L69/M69-1</f>
        <v/>
      </c>
      <c r="P69" s="4" t="n">
        <v>130</v>
      </c>
      <c r="Q69" s="2" t="inlineStr"/>
    </row>
    <row r="70">
      <c r="A70" s="2" t="n">
        <v>1128</v>
      </c>
      <c r="B70" s="2" t="n">
        <v>74721</v>
      </c>
      <c r="C70" s="3" t="inlineStr">
        <is>
          <t>7899620910164</t>
        </is>
      </c>
      <c r="D70" s="2" t="inlineStr">
        <is>
          <t>CAPTOPRIL 50MG C/30 CPR</t>
        </is>
      </c>
      <c r="E70" s="2" t="inlineStr">
        <is>
          <t>CAPTOPRIL 50MG CX 30 COMP</t>
        </is>
      </c>
      <c r="F70" s="2" t="inlineStr">
        <is>
          <t>GLOBO PHARMA</t>
        </is>
      </c>
      <c r="G70" s="4" t="n">
        <v>1</v>
      </c>
      <c r="H70" s="4" t="n">
        <v>3</v>
      </c>
      <c r="I70" s="4" t="n">
        <v>3</v>
      </c>
      <c r="J70" s="5" t="n">
        <v>4.04</v>
      </c>
      <c r="K70" s="5">
        <f>I70*J70</f>
        <v/>
      </c>
      <c r="L70" s="5">
        <f>J70/G70</f>
        <v/>
      </c>
      <c r="M70" s="5" t="n">
        <v>4.04</v>
      </c>
      <c r="N70" s="5" t="n">
        <v>4.04</v>
      </c>
      <c r="O70" s="6">
        <f>L70/M70-1</f>
        <v/>
      </c>
      <c r="P70" s="4" t="n">
        <v>2025</v>
      </c>
      <c r="Q70" s="2" t="inlineStr"/>
    </row>
    <row r="71">
      <c r="A71" s="2" t="n">
        <v>2273</v>
      </c>
      <c r="B71" s="2" t="n">
        <v>84281</v>
      </c>
      <c r="C71" s="3" t="inlineStr">
        <is>
          <t>7895296261036</t>
        </is>
      </c>
      <c r="D71" s="2" t="inlineStr">
        <is>
          <t>CARDBET 3,125MG C/30 CPR</t>
        </is>
      </c>
      <c r="E71" s="2" t="inlineStr">
        <is>
          <t>CARDBET 3,125MG CX 30 COMP</t>
        </is>
      </c>
      <c r="F71" s="2" t="inlineStr">
        <is>
          <t>MULTILAB MARCA</t>
        </is>
      </c>
      <c r="G71" s="4" t="n">
        <v>1</v>
      </c>
      <c r="H71" s="4" t="n">
        <v>3</v>
      </c>
      <c r="I71" s="4" t="n">
        <v>3</v>
      </c>
      <c r="J71" s="5" t="n">
        <v>3.62</v>
      </c>
      <c r="K71" s="5">
        <f>I71*J71</f>
        <v/>
      </c>
      <c r="L71" s="5">
        <f>J71/G71</f>
        <v/>
      </c>
      <c r="M71" s="5" t="n">
        <v>3</v>
      </c>
      <c r="N71" s="5" t="n">
        <v>3</v>
      </c>
      <c r="O71" s="6">
        <f>L71/M71-1</f>
        <v/>
      </c>
      <c r="P71" s="4" t="n">
        <v>351</v>
      </c>
      <c r="Q71" s="2" t="inlineStr"/>
    </row>
    <row r="72">
      <c r="A72" s="2" t="n">
        <v>1669</v>
      </c>
      <c r="B72" s="2" t="n">
        <v>86481</v>
      </c>
      <c r="C72" s="3" t="inlineStr">
        <is>
          <t>7896004718309</t>
        </is>
      </c>
      <c r="D72" s="2" t="inlineStr">
        <is>
          <t>CEDROXIL 500MG C/08 CPS**</t>
        </is>
      </c>
      <c r="E72" s="2" t="inlineStr">
        <is>
          <t>CEDROXIL 500MG CX 8 CAP</t>
        </is>
      </c>
      <c r="F72" s="2" t="inlineStr">
        <is>
          <t>MULTILAB MARCA</t>
        </is>
      </c>
      <c r="G72" s="4" t="n">
        <v>1</v>
      </c>
      <c r="H72" s="4" t="n">
        <v>1</v>
      </c>
      <c r="I72" s="4" t="n">
        <v>1</v>
      </c>
      <c r="J72" s="5" t="n">
        <v>9.789999999999999</v>
      </c>
      <c r="K72" s="5">
        <f>I72*J72</f>
        <v/>
      </c>
      <c r="L72" s="5">
        <f>J72/G72</f>
        <v/>
      </c>
      <c r="M72" s="5" t="n">
        <v>9.4</v>
      </c>
      <c r="N72" s="5" t="n">
        <v>9.35</v>
      </c>
      <c r="O72" s="6">
        <f>L72/M72-1</f>
        <v/>
      </c>
      <c r="P72" s="4" t="n">
        <v>498</v>
      </c>
      <c r="Q72" s="2" t="inlineStr"/>
    </row>
    <row r="73">
      <c r="A73" s="2" t="n">
        <v>8333</v>
      </c>
      <c r="B73" s="2" t="n">
        <v>630661</v>
      </c>
      <c r="C73" s="3" t="inlineStr">
        <is>
          <t>7896920304556</t>
        </is>
      </c>
      <c r="D73" s="2" t="inlineStr">
        <is>
          <t>CENTROMAX AZ C/60 CPS</t>
        </is>
      </c>
      <c r="E73" s="2" t="inlineStr">
        <is>
          <t>CENTROMAX A Z 60 CAPS</t>
        </is>
      </c>
      <c r="F73" s="2" t="inlineStr">
        <is>
          <t>ECOFITUS</t>
        </is>
      </c>
      <c r="G73" s="4" t="n">
        <v>1</v>
      </c>
      <c r="H73" s="4" t="n">
        <v>1</v>
      </c>
      <c r="I73" s="4" t="n">
        <v>1</v>
      </c>
      <c r="J73" s="5" t="n">
        <v>28.48981</v>
      </c>
      <c r="K73" s="5">
        <f>I73*J73</f>
        <v/>
      </c>
      <c r="L73" s="5">
        <f>J73/G73</f>
        <v/>
      </c>
      <c r="M73" s="5" t="n">
        <v>26.85</v>
      </c>
      <c r="N73" s="5" t="n">
        <v>26.85</v>
      </c>
      <c r="O73" s="6">
        <f>L73/M73-1</f>
        <v/>
      </c>
      <c r="P73" s="4" t="n">
        <v>523</v>
      </c>
      <c r="Q73" s="2" t="inlineStr"/>
    </row>
    <row r="74">
      <c r="A74" s="2" t="n">
        <v>372</v>
      </c>
      <c r="B74" s="2" t="n">
        <v>1301</v>
      </c>
      <c r="C74" s="3" t="inlineStr">
        <is>
          <t>7893454100647</t>
        </is>
      </c>
      <c r="D74" s="2" t="inlineStr">
        <is>
          <t>CETOBETA 30G POMADA</t>
        </is>
      </c>
      <c r="E74" s="2" t="inlineStr">
        <is>
          <t>CETOBETA 20+0,64+2,5MG/G POM BG 30G</t>
        </is>
      </c>
      <c r="F74" s="2" t="inlineStr">
        <is>
          <t>DELTA</t>
        </is>
      </c>
      <c r="G74" s="4" t="n">
        <v>1</v>
      </c>
      <c r="H74" s="4" t="n">
        <v>21</v>
      </c>
      <c r="I74" s="4" t="n">
        <v>21</v>
      </c>
      <c r="J74" s="5" t="n">
        <v>8.76</v>
      </c>
      <c r="K74" s="5">
        <f>I74*J74</f>
        <v/>
      </c>
      <c r="L74" s="5">
        <f>J74/G74</f>
        <v/>
      </c>
      <c r="M74" s="5" t="n">
        <v>8</v>
      </c>
      <c r="N74" s="5" t="n">
        <v>7.69</v>
      </c>
      <c r="O74" s="6">
        <f>L74/M74-1</f>
        <v/>
      </c>
      <c r="P74" s="4" t="n">
        <v>6999</v>
      </c>
      <c r="Q74" s="2" t="inlineStr"/>
    </row>
    <row r="75">
      <c r="A75" s="2" t="n">
        <v>3542</v>
      </c>
      <c r="B75" s="2" t="n">
        <v>92221</v>
      </c>
      <c r="C75" s="3" t="inlineStr">
        <is>
          <t>7899620911352</t>
        </is>
      </c>
      <c r="D75" s="2" t="inlineStr">
        <is>
          <t>CETOCONAZOL 200MG C/10 CPR</t>
        </is>
      </c>
      <c r="E75" s="2" t="inlineStr">
        <is>
          <t>CETOCONAZOL 200MG CX 10 COMP</t>
        </is>
      </c>
      <c r="F75" s="2" t="inlineStr">
        <is>
          <t>GLOBO PHARMA</t>
        </is>
      </c>
      <c r="G75" s="4" t="n">
        <v>1</v>
      </c>
      <c r="H75" s="4" t="n">
        <v>2</v>
      </c>
      <c r="I75" s="4" t="n">
        <v>2</v>
      </c>
      <c r="J75" s="5" t="n">
        <v>4.28</v>
      </c>
      <c r="K75" s="5">
        <f>I75*J75</f>
        <v/>
      </c>
      <c r="L75" s="5">
        <f>J75/G75</f>
        <v/>
      </c>
      <c r="M75" s="5" t="n">
        <v>4.1</v>
      </c>
      <c r="N75" s="5" t="n">
        <v>4.1</v>
      </c>
      <c r="O75" s="6">
        <f>L75/M75-1</f>
        <v/>
      </c>
      <c r="P75" s="4" t="n">
        <v>1950</v>
      </c>
      <c r="Q75" s="2" t="inlineStr"/>
    </row>
    <row r="76">
      <c r="A76" s="2" t="n">
        <v>234</v>
      </c>
      <c r="B76" s="2" t="n">
        <v>92021</v>
      </c>
      <c r="C76" s="3" t="inlineStr">
        <is>
          <t>7898216367535</t>
        </is>
      </c>
      <c r="D76" s="2" t="inlineStr">
        <is>
          <t>CETOCONAZOL 200MG C/10 CPR**</t>
        </is>
      </c>
      <c r="E76" s="2" t="inlineStr">
        <is>
          <t>CETOCONAZOL 200MG CX 10 COMP</t>
        </is>
      </c>
      <c r="F76" s="2" t="inlineStr">
        <is>
          <t>PHARLAB</t>
        </is>
      </c>
      <c r="G76" s="4" t="n">
        <v>1</v>
      </c>
      <c r="H76" s="4" t="n">
        <v>4</v>
      </c>
      <c r="I76" s="4" t="n">
        <v>4</v>
      </c>
      <c r="J76" s="5" t="n">
        <v>6.16</v>
      </c>
      <c r="K76" s="5">
        <f>I76*J76</f>
        <v/>
      </c>
      <c r="L76" s="5">
        <f>J76/G76</f>
        <v/>
      </c>
      <c r="M76" s="5" t="n">
        <v>4.81</v>
      </c>
      <c r="N76" s="5" t="n">
        <v>4.81</v>
      </c>
      <c r="O76" s="6">
        <f>L76/M76-1</f>
        <v/>
      </c>
      <c r="P76" s="4" t="n">
        <v>48</v>
      </c>
      <c r="Q76" s="2" t="inlineStr"/>
    </row>
    <row r="77">
      <c r="A77" s="2" t="n">
        <v>4848</v>
      </c>
      <c r="B77" s="2" t="n">
        <v>96181</v>
      </c>
      <c r="C77" s="3" t="inlineStr">
        <is>
          <t>7896422507295</t>
        </is>
      </c>
      <c r="D77" s="2" t="inlineStr">
        <is>
          <t>CETOPROFENO 100MG C/20 CPR</t>
        </is>
      </c>
      <c r="E77" s="2" t="inlineStr">
        <is>
          <t>CETOPROFENO 100MG CX 20 COMP</t>
        </is>
      </c>
      <c r="F77" s="2" t="inlineStr">
        <is>
          <t>MEDLEY</t>
        </is>
      </c>
      <c r="G77" s="4" t="n">
        <v>1</v>
      </c>
      <c r="H77" s="4" t="n">
        <v>36</v>
      </c>
      <c r="I77" s="4" t="n">
        <v>36</v>
      </c>
      <c r="J77" s="5" t="n">
        <v>22.49</v>
      </c>
      <c r="K77" s="5">
        <f>I77*J77</f>
        <v/>
      </c>
      <c r="L77" s="5">
        <f>J77/G77</f>
        <v/>
      </c>
      <c r="M77" s="5" t="n">
        <v>20.1267</v>
      </c>
      <c r="N77" s="5" t="n">
        <v>17.7656</v>
      </c>
      <c r="O77" s="6">
        <f>L77/M77-1</f>
        <v/>
      </c>
      <c r="P77" s="4" t="n">
        <v>7192</v>
      </c>
      <c r="Q77" s="2" t="inlineStr"/>
    </row>
    <row r="78">
      <c r="A78" s="2" t="n">
        <v>4849</v>
      </c>
      <c r="B78" s="2" t="n">
        <v>95101</v>
      </c>
      <c r="C78" s="3" t="inlineStr">
        <is>
          <t>7891058002961</t>
        </is>
      </c>
      <c r="D78" s="2" t="inlineStr">
        <is>
          <t>CETOPROFENO 150MG C/10 CPR</t>
        </is>
      </c>
      <c r="E78" s="2" t="inlineStr">
        <is>
          <t>CETOPROFENO 150MG CX 10 COMP REV LIB PROL</t>
        </is>
      </c>
      <c r="F78" s="2" t="inlineStr">
        <is>
          <t>MEDLEY</t>
        </is>
      </c>
      <c r="G78" s="4" t="n">
        <v>1</v>
      </c>
      <c r="H78" s="4" t="n">
        <v>153</v>
      </c>
      <c r="I78" s="4" t="n">
        <v>153</v>
      </c>
      <c r="J78" s="5" t="n">
        <v>5.99</v>
      </c>
      <c r="K78" s="5">
        <f>I78*J78</f>
        <v/>
      </c>
      <c r="L78" s="5">
        <f>J78/G78</f>
        <v/>
      </c>
      <c r="M78" s="5" t="n">
        <v>5.1338</v>
      </c>
      <c r="N78" s="5" t="n">
        <v>5.1338</v>
      </c>
      <c r="O78" s="6">
        <f>L78/M78-1</f>
        <v/>
      </c>
      <c r="P78" s="4" t="n">
        <v>12637</v>
      </c>
      <c r="Q78" s="2" t="inlineStr"/>
    </row>
    <row r="79">
      <c r="A79" s="2" t="n">
        <v>4850</v>
      </c>
      <c r="B79" s="2" t="n">
        <v>95121</v>
      </c>
      <c r="C79" s="3" t="inlineStr">
        <is>
          <t>7896422507349</t>
        </is>
      </c>
      <c r="D79" s="2" t="inlineStr">
        <is>
          <t>CETOPROFENO 50MG C/24 CPR</t>
        </is>
      </c>
      <c r="E79" s="2" t="inlineStr">
        <is>
          <t>CETOPROFENO 50MG CX 24 CAP</t>
        </is>
      </c>
      <c r="F79" s="2" t="inlineStr">
        <is>
          <t>MEDLEY</t>
        </is>
      </c>
      <c r="G79" s="4" t="n">
        <v>1</v>
      </c>
      <c r="H79" s="4" t="n">
        <v>1</v>
      </c>
      <c r="I79" s="4" t="n">
        <v>1</v>
      </c>
      <c r="J79" s="5" t="n">
        <v>10.49</v>
      </c>
      <c r="K79" s="5">
        <f>I79*J79</f>
        <v/>
      </c>
      <c r="L79" s="5">
        <f>J79/G79</f>
        <v/>
      </c>
      <c r="M79" s="5" t="n">
        <v>8.57</v>
      </c>
      <c r="N79" s="5" t="n">
        <v>7.375</v>
      </c>
      <c r="O79" s="6">
        <f>L79/M79-1</f>
        <v/>
      </c>
      <c r="P79" s="4" t="n">
        <v>210</v>
      </c>
      <c r="Q79" s="2" t="inlineStr"/>
    </row>
    <row r="80">
      <c r="A80" s="2" t="n">
        <v>5415</v>
      </c>
      <c r="B80" s="2" t="n">
        <v>608881</v>
      </c>
      <c r="C80" s="3" t="inlineStr">
        <is>
          <t>7898108640678</t>
        </is>
      </c>
      <c r="D80" s="2" t="inlineStr">
        <is>
          <t>CURATIVO CICATRISAN C/10 UND MICROPOROSO</t>
        </is>
      </c>
      <c r="E80" s="2" t="inlineStr">
        <is>
          <t>CICATRISAN CURATIVO 10UN MICROPOROSO</t>
        </is>
      </c>
      <c r="F80" s="2" t="inlineStr">
        <is>
          <t>SANFARMA</t>
        </is>
      </c>
      <c r="G80" s="4" t="n">
        <v>1</v>
      </c>
      <c r="H80" s="4" t="n">
        <v>7</v>
      </c>
      <c r="I80" s="4" t="n">
        <v>7</v>
      </c>
      <c r="J80" s="5" t="n">
        <v>2.01</v>
      </c>
      <c r="K80" s="5">
        <f>I80*J80</f>
        <v/>
      </c>
      <c r="L80" s="5">
        <f>J80/G80</f>
        <v/>
      </c>
      <c r="M80" s="5" t="n">
        <v>1.96</v>
      </c>
      <c r="N80" s="5" t="n">
        <v>1.68</v>
      </c>
      <c r="O80" s="6">
        <f>L80/M80-1</f>
        <v/>
      </c>
      <c r="P80" s="4" t="n">
        <v>1370</v>
      </c>
      <c r="Q80" s="2" t="inlineStr"/>
    </row>
    <row r="81">
      <c r="A81" s="2" t="n">
        <v>9995</v>
      </c>
      <c r="B81" s="2" t="n">
        <v>98201</v>
      </c>
      <c r="C81" s="3" t="inlineStr">
        <is>
          <t>7896422512169</t>
        </is>
      </c>
      <c r="D81" s="2" t="inlineStr">
        <is>
          <t>CICLOPIROX OLAMINA 10MG 20G CREME</t>
        </is>
      </c>
      <c r="E81" s="2" t="inlineStr">
        <is>
          <t>CICLOPIROX OLAMINA 10MG CREME DERM BG 20G</t>
        </is>
      </c>
      <c r="F81" s="2" t="inlineStr">
        <is>
          <t>MEDLEY</t>
        </is>
      </c>
      <c r="G81" s="4" t="n">
        <v>1</v>
      </c>
      <c r="H81" s="4" t="n">
        <v>1</v>
      </c>
      <c r="I81" s="4" t="n">
        <v>1</v>
      </c>
      <c r="J81" s="5" t="n">
        <v>12.91</v>
      </c>
      <c r="K81" s="5">
        <f>I81*J81</f>
        <v/>
      </c>
      <c r="L81" s="5">
        <f>J81/G81</f>
        <v/>
      </c>
      <c r="M81" s="5" t="n">
        <v>9.56</v>
      </c>
      <c r="N81" s="5" t="n">
        <v>9.19</v>
      </c>
      <c r="O81" s="6">
        <f>L81/M81-1</f>
        <v/>
      </c>
      <c r="P81" s="4" t="n">
        <v>961</v>
      </c>
      <c r="Q81" s="2" t="inlineStr"/>
    </row>
    <row r="82">
      <c r="A82" s="2" t="n">
        <v>1135</v>
      </c>
      <c r="B82" s="2" t="n">
        <v>127321</v>
      </c>
      <c r="C82" s="3" t="inlineStr">
        <is>
          <t>7896523216454</t>
        </is>
      </c>
      <c r="D82" s="2" t="inlineStr">
        <is>
          <t>CIFLOGEX C/12 PASTILHAS LARANJA</t>
        </is>
      </c>
      <c r="E82" s="2" t="inlineStr">
        <is>
          <t>CIFLOGEX 3,0MG CX 12 PAST SB LARANJA</t>
        </is>
      </c>
      <c r="F82" s="2" t="inlineStr">
        <is>
          <t>CIMED</t>
        </is>
      </c>
      <c r="G82" s="4" t="n">
        <v>1</v>
      </c>
      <c r="H82" s="4" t="n">
        <v>7</v>
      </c>
      <c r="I82" s="4" t="n">
        <v>7</v>
      </c>
      <c r="J82" s="5" t="n">
        <v>9.44</v>
      </c>
      <c r="K82" s="5">
        <f>I82*J82</f>
        <v/>
      </c>
      <c r="L82" s="5">
        <f>J82/G82</f>
        <v/>
      </c>
      <c r="M82" s="5" t="n">
        <v>7.49</v>
      </c>
      <c r="N82" s="5" t="n">
        <v>7.49</v>
      </c>
      <c r="O82" s="6">
        <f>L82/M82-1</f>
        <v/>
      </c>
      <c r="P82" s="4" t="n">
        <v>291</v>
      </c>
      <c r="Q82" s="2" t="inlineStr"/>
    </row>
    <row r="83">
      <c r="A83" s="2" t="n">
        <v>6973</v>
      </c>
      <c r="B83" s="2" t="n">
        <v>108901</v>
      </c>
      <c r="C83" s="3" t="inlineStr">
        <is>
          <t>7898216363445</t>
        </is>
      </c>
      <c r="D83" s="2" t="inlineStr">
        <is>
          <t>CLARITROMICINA 500MG C/14 CPR</t>
        </is>
      </c>
      <c r="E83" s="2" t="inlineStr">
        <is>
          <t>CLARITROMICINA 500MG CX 14 COMP REV</t>
        </is>
      </c>
      <c r="F83" s="2" t="inlineStr">
        <is>
          <t>PHARLAB</t>
        </is>
      </c>
      <c r="G83" s="4" t="n">
        <v>1</v>
      </c>
      <c r="H83" s="4" t="n">
        <v>7</v>
      </c>
      <c r="I83" s="4" t="n">
        <v>7</v>
      </c>
      <c r="J83" s="5" t="n">
        <v>45.8</v>
      </c>
      <c r="K83" s="5">
        <f>I83*J83</f>
        <v/>
      </c>
      <c r="L83" s="5">
        <f>J83/G83</f>
        <v/>
      </c>
      <c r="M83" s="5" t="n">
        <v>64.98999999999999</v>
      </c>
      <c r="N83" s="5" t="n">
        <v>43.94</v>
      </c>
      <c r="O83" s="6">
        <f>L83/M83-1</f>
        <v/>
      </c>
      <c r="P83" s="4" t="n">
        <v>595</v>
      </c>
      <c r="Q83" s="2" t="inlineStr"/>
    </row>
    <row r="84">
      <c r="A84" s="2" t="n">
        <v>8359</v>
      </c>
      <c r="B84" s="2" t="n">
        <v>1103</v>
      </c>
      <c r="C84" s="3" t="inlineStr">
        <is>
          <t>7898216361267</t>
        </is>
      </c>
      <c r="D84" s="2" t="inlineStr">
        <is>
          <t>CLARITROMICINA 500MG C/07 CPR</t>
        </is>
      </c>
      <c r="E84" s="2" t="inlineStr">
        <is>
          <t>CLARITROMICINA 500MG CX 7 COMP REV</t>
        </is>
      </c>
      <c r="F84" s="2" t="inlineStr">
        <is>
          <t>PHARLAB</t>
        </is>
      </c>
      <c r="G84" s="4" t="n">
        <v>1</v>
      </c>
      <c r="H84" s="4" t="n">
        <v>5</v>
      </c>
      <c r="I84" s="4" t="n">
        <v>5</v>
      </c>
      <c r="J84" s="5" t="n">
        <v>25.38</v>
      </c>
      <c r="K84" s="5">
        <f>I84*J84</f>
        <v/>
      </c>
      <c r="L84" s="5">
        <f>J84/G84</f>
        <v/>
      </c>
      <c r="M84" s="5" t="n">
        <v>31.9</v>
      </c>
      <c r="N84" s="5" t="n">
        <v>23.13</v>
      </c>
      <c r="O84" s="6">
        <f>L84/M84-1</f>
        <v/>
      </c>
      <c r="P84" s="4" t="n">
        <v>220</v>
      </c>
      <c r="Q84" s="2" t="inlineStr"/>
    </row>
    <row r="85">
      <c r="A85" s="2" t="n">
        <v>2492</v>
      </c>
      <c r="B85" s="2" t="n">
        <v>631621</v>
      </c>
      <c r="C85" s="3" t="inlineStr">
        <is>
          <t>7895296449816</t>
        </is>
      </c>
      <c r="D85" s="2" t="inlineStr">
        <is>
          <t>NARATRIPTANA 2,5MG C/04 CPR</t>
        </is>
      </c>
      <c r="E85" s="2" t="inlineStr">
        <is>
          <t>CLOR. NARATRIPTANA 2,5 MG C/4 COM REV-NQ</t>
        </is>
      </c>
      <c r="F85" s="2" t="inlineStr">
        <is>
          <t>NOVA QUIMICA GENERICO</t>
        </is>
      </c>
      <c r="G85" s="4" t="n">
        <v>1</v>
      </c>
      <c r="H85" s="4" t="n">
        <v>7</v>
      </c>
      <c r="I85" s="4" t="n">
        <v>7</v>
      </c>
      <c r="J85" s="5" t="n">
        <v>7.78</v>
      </c>
      <c r="K85" s="5">
        <f>I85*J85</f>
        <v/>
      </c>
      <c r="L85" s="5">
        <f>J85/G85</f>
        <v/>
      </c>
      <c r="M85" s="5" t="n">
        <v>7.78</v>
      </c>
      <c r="N85" s="5" t="n">
        <v>6.5788</v>
      </c>
      <c r="O85" s="6">
        <f>L85/M85-1</f>
        <v/>
      </c>
      <c r="P85" s="4" t="n">
        <v>1066</v>
      </c>
      <c r="Q85" s="2" t="inlineStr"/>
    </row>
    <row r="86">
      <c r="A86" s="2" t="n">
        <v>5937</v>
      </c>
      <c r="B86" s="2" t="n">
        <v>146381</v>
      </c>
      <c r="C86" s="3" t="inlineStr">
        <is>
          <t>7895296447317</t>
        </is>
      </c>
      <c r="D86" s="2" t="inlineStr">
        <is>
          <t>FEXOFENADINA 120MG C/10 CPR</t>
        </is>
      </c>
      <c r="E86" s="2" t="inlineStr">
        <is>
          <t>CLOR.FEXOFENADINA 120MG 1BLX10COM REV-NQ</t>
        </is>
      </c>
      <c r="F86" s="2" t="inlineStr">
        <is>
          <t>NOVA QUIMICA GENERICO</t>
        </is>
      </c>
      <c r="G86" s="4" t="n">
        <v>1</v>
      </c>
      <c r="H86" s="4" t="n">
        <v>1</v>
      </c>
      <c r="I86" s="4" t="n">
        <v>1</v>
      </c>
      <c r="J86" s="5" t="n">
        <v>7.45</v>
      </c>
      <c r="K86" s="5">
        <f>I86*J86</f>
        <v/>
      </c>
      <c r="L86" s="5">
        <f>J86/G86</f>
        <v/>
      </c>
      <c r="M86" s="5" t="n">
        <v>5.6</v>
      </c>
      <c r="N86" s="5" t="n">
        <v>5.6</v>
      </c>
      <c r="O86" s="6">
        <f>L86/M86-1</f>
        <v/>
      </c>
      <c r="P86" s="4" t="n">
        <v>574</v>
      </c>
      <c r="Q86" s="2" t="inlineStr"/>
    </row>
    <row r="87">
      <c r="A87" s="2" t="n">
        <v>8003</v>
      </c>
      <c r="B87" s="2" t="n">
        <v>646641</v>
      </c>
      <c r="C87" s="3" t="inlineStr">
        <is>
          <t>7898048690405</t>
        </is>
      </c>
      <c r="D87" s="2" t="inlineStr">
        <is>
          <t>CLORETO DE MAGNESIO P.A 600MG C/60 CPR</t>
        </is>
      </c>
      <c r="E87" s="2" t="inlineStr">
        <is>
          <t>CLORETO DE MAGNESIO P.A 600MG C/60 CPR</t>
        </is>
      </c>
      <c r="F87" s="2" t="inlineStr">
        <is>
          <t>LAPON</t>
        </is>
      </c>
      <c r="G87" s="4" t="n">
        <v>1</v>
      </c>
      <c r="H87" s="4" t="n">
        <v>5</v>
      </c>
      <c r="I87" s="4" t="n">
        <v>5</v>
      </c>
      <c r="J87" s="5" t="n">
        <v>9.18</v>
      </c>
      <c r="K87" s="5">
        <f>I87*J87</f>
        <v/>
      </c>
      <c r="L87" s="5">
        <f>J87/G87</f>
        <v/>
      </c>
      <c r="M87" s="5" t="n">
        <v>8.9</v>
      </c>
      <c r="N87" s="5" t="n">
        <v>8.9</v>
      </c>
      <c r="O87" s="6">
        <f>L87/M87-1</f>
        <v/>
      </c>
      <c r="P87" s="4" t="n">
        <v>822</v>
      </c>
      <c r="Q87" s="2" t="inlineStr"/>
    </row>
    <row r="88">
      <c r="A88" s="2" t="n">
        <v>147</v>
      </c>
      <c r="B88" s="2" t="n">
        <v>560161</v>
      </c>
      <c r="C88" s="3" t="inlineStr">
        <is>
          <t>7898031310365</t>
        </is>
      </c>
      <c r="D88" s="2" t="inlineStr">
        <is>
          <t>CLORETO DE MAGNESIO P.A 33G POTE</t>
        </is>
      </c>
      <c r="E88" s="2" t="inlineStr">
        <is>
          <t>CLORETO DE MAGNESIO PA 33G</t>
        </is>
      </c>
      <c r="F88" s="2" t="inlineStr">
        <is>
          <t>UNIPHAR</t>
        </is>
      </c>
      <c r="G88" s="4" t="n">
        <v>1</v>
      </c>
      <c r="H88" s="4" t="n">
        <v>1</v>
      </c>
      <c r="I88" s="4" t="n">
        <v>1</v>
      </c>
      <c r="J88" s="5" t="n">
        <v>5.39</v>
      </c>
      <c r="K88" s="5">
        <f>I88*J88</f>
        <v/>
      </c>
      <c r="L88" s="5">
        <f>J88/G88</f>
        <v/>
      </c>
      <c r="M88" s="5" t="n">
        <v>4.93</v>
      </c>
      <c r="N88" s="5" t="n">
        <v>4.93</v>
      </c>
      <c r="O88" s="6">
        <f>L88/M88-1</f>
        <v/>
      </c>
      <c r="P88" s="4" t="n">
        <v>621</v>
      </c>
      <c r="Q88" s="2" t="inlineStr"/>
    </row>
    <row r="89">
      <c r="A89" s="2" t="n">
        <v>1332</v>
      </c>
      <c r="B89" s="2" t="n">
        <v>619951</v>
      </c>
      <c r="C89" s="3" t="inlineStr">
        <is>
          <t>7898031310853</t>
        </is>
      </c>
      <c r="D89" s="2" t="inlineStr">
        <is>
          <t>CLORETO DE MAGNESIO P.A 500MG C/60 CPS</t>
        </is>
      </c>
      <c r="E89" s="2" t="inlineStr">
        <is>
          <t>CLORETO DE MAGNESIO PA 500MG C/60 CPS</t>
        </is>
      </c>
      <c r="F89" s="2" t="inlineStr">
        <is>
          <t>UNIPHAR</t>
        </is>
      </c>
      <c r="G89" s="4" t="n">
        <v>1</v>
      </c>
      <c r="H89" s="4" t="n">
        <v>6</v>
      </c>
      <c r="I89" s="4" t="n">
        <v>6</v>
      </c>
      <c r="J89" s="5" t="n">
        <v>13.61</v>
      </c>
      <c r="K89" s="5">
        <f>I89*J89</f>
        <v/>
      </c>
      <c r="L89" s="5">
        <f>J89/G89</f>
        <v/>
      </c>
      <c r="M89" s="5" t="n">
        <v>13.61</v>
      </c>
      <c r="N89" s="5" t="n">
        <v>13.61</v>
      </c>
      <c r="O89" s="6">
        <f>L89/M89-1</f>
        <v/>
      </c>
      <c r="P89" s="4" t="n">
        <v>448</v>
      </c>
      <c r="Q89" s="2" t="inlineStr"/>
    </row>
    <row r="90">
      <c r="A90" s="2" t="n">
        <v>9911</v>
      </c>
      <c r="B90" s="2" t="n">
        <v>124681</v>
      </c>
      <c r="C90" s="3" t="inlineStr">
        <is>
          <t>7891058001681</t>
        </is>
      </c>
      <c r="D90" s="2" t="inlineStr">
        <is>
          <t>AMIODARONA 200MG C/30 CPR</t>
        </is>
      </c>
      <c r="E90" s="2" t="inlineStr">
        <is>
          <t>CLORIDRATO DE AMIODARONA 200MG CX 30 COMP</t>
        </is>
      </c>
      <c r="F90" s="2" t="inlineStr">
        <is>
          <t>MEDLEY</t>
        </is>
      </c>
      <c r="G90" s="4" t="n">
        <v>1</v>
      </c>
      <c r="H90" s="4" t="n">
        <v>1</v>
      </c>
      <c r="I90" s="4" t="n">
        <v>1</v>
      </c>
      <c r="J90" s="5" t="n">
        <v>20.44</v>
      </c>
      <c r="K90" s="5">
        <f>I90*J90</f>
        <v/>
      </c>
      <c r="L90" s="5">
        <f>J90/G90</f>
        <v/>
      </c>
      <c r="M90" s="5" t="n">
        <v>16.4233</v>
      </c>
      <c r="N90" s="5" t="n">
        <v>13.6767</v>
      </c>
      <c r="O90" s="6">
        <f>L90/M90-1</f>
        <v/>
      </c>
      <c r="P90" s="4" t="n">
        <v>108</v>
      </c>
      <c r="Q90" s="2" t="inlineStr"/>
    </row>
    <row r="91">
      <c r="A91" s="2" t="n">
        <v>2260</v>
      </c>
      <c r="B91" s="2" t="n">
        <v>132801</v>
      </c>
      <c r="C91" s="3" t="inlineStr">
        <is>
          <t>7896523214641</t>
        </is>
      </c>
      <c r="D91" s="2" t="inlineStr">
        <is>
          <t>CICLOBENZAPRINA 10MG C/15 CPR</t>
        </is>
      </c>
      <c r="E91" s="2" t="inlineStr">
        <is>
          <t>CLORIDRATO DE CICLOBENZAPRINA 10MG CX 15 COMP REV</t>
        </is>
      </c>
      <c r="F91" s="2" t="inlineStr">
        <is>
          <t>CIMED</t>
        </is>
      </c>
      <c r="G91" s="4" t="n">
        <v>1</v>
      </c>
      <c r="H91" s="4" t="n">
        <v>34</v>
      </c>
      <c r="I91" s="4" t="n">
        <v>34</v>
      </c>
      <c r="J91" s="5" t="n">
        <v>2.63</v>
      </c>
      <c r="K91" s="5">
        <f>I91*J91</f>
        <v/>
      </c>
      <c r="L91" s="5">
        <f>J91/G91</f>
        <v/>
      </c>
      <c r="M91" s="5" t="n">
        <v>2.63</v>
      </c>
      <c r="N91" s="5" t="n">
        <v>2.49</v>
      </c>
      <c r="O91" s="6">
        <f>L91/M91-1</f>
        <v/>
      </c>
      <c r="P91" s="4" t="n">
        <v>700</v>
      </c>
      <c r="Q91" s="2" t="inlineStr"/>
    </row>
    <row r="92">
      <c r="A92" s="2" t="n">
        <v>6559</v>
      </c>
      <c r="B92" s="2" t="n">
        <v>134601</v>
      </c>
      <c r="C92" s="3" t="inlineStr">
        <is>
          <t>7898060139951</t>
        </is>
      </c>
      <c r="D92" s="2" t="inlineStr">
        <is>
          <t>CICLOBENZAPRINA 10MG C/30 CPR</t>
        </is>
      </c>
      <c r="E92" s="2" t="inlineStr">
        <is>
          <t>CLORIDRATO DE CICLOBENZAPRINA 10MG CX 30 COMP REV</t>
        </is>
      </c>
      <c r="F92" s="2" t="inlineStr">
        <is>
          <t>GLOBO PHARMA</t>
        </is>
      </c>
      <c r="G92" s="4" t="n">
        <v>1</v>
      </c>
      <c r="H92" s="4" t="n">
        <v>4</v>
      </c>
      <c r="I92" s="4" t="n">
        <v>4</v>
      </c>
      <c r="J92" s="5" t="n">
        <v>5.58</v>
      </c>
      <c r="K92" s="5">
        <f>I92*J92</f>
        <v/>
      </c>
      <c r="L92" s="5">
        <f>J92/G92</f>
        <v/>
      </c>
      <c r="M92" s="5" t="n">
        <v>5.48</v>
      </c>
      <c r="N92" s="5" t="n">
        <v>5.48</v>
      </c>
      <c r="O92" s="6">
        <f>L92/M92-1</f>
        <v/>
      </c>
      <c r="P92" s="4" t="n">
        <v>70</v>
      </c>
      <c r="Q92" s="2" t="inlineStr"/>
    </row>
    <row r="93">
      <c r="A93" s="2" t="n">
        <v>9491</v>
      </c>
      <c r="B93" s="2" t="n">
        <v>4093</v>
      </c>
      <c r="C93" s="3" t="inlineStr">
        <is>
          <t>7899095204188</t>
        </is>
      </c>
      <c r="D93" s="2" t="inlineStr">
        <is>
          <t>CICLOBENZAPRINA 5MG C/15 CPR</t>
        </is>
      </c>
      <c r="E93" s="2" t="inlineStr">
        <is>
          <t>CLORIDRATO DE CICLOBENZAPRINA 5MG C/15 CPR</t>
        </is>
      </c>
      <c r="F93" s="2" t="inlineStr">
        <is>
          <t>GEOLAB</t>
        </is>
      </c>
      <c r="G93" s="4" t="n">
        <v>1</v>
      </c>
      <c r="H93" s="4" t="n">
        <v>2</v>
      </c>
      <c r="I93" s="4" t="n">
        <v>2</v>
      </c>
      <c r="J93" s="5" t="n">
        <v>4.25</v>
      </c>
      <c r="K93" s="5">
        <f>I93*J93</f>
        <v/>
      </c>
      <c r="L93" s="5">
        <f>J93/G93</f>
        <v/>
      </c>
      <c r="M93" s="5" t="n">
        <v>3.36</v>
      </c>
      <c r="N93" s="5" t="n">
        <v>3.36</v>
      </c>
      <c r="O93" s="6">
        <f>L93/M93-1</f>
        <v/>
      </c>
      <c r="P93" s="4" t="n">
        <v>131</v>
      </c>
      <c r="Q93" s="2" t="inlineStr"/>
    </row>
    <row r="94">
      <c r="A94" s="2" t="n">
        <v>5401</v>
      </c>
      <c r="B94" s="2" t="n">
        <v>134661</v>
      </c>
      <c r="C94" s="3" t="inlineStr">
        <is>
          <t>7898060139913</t>
        </is>
      </c>
      <c r="D94" s="2" t="inlineStr">
        <is>
          <t>CICLOBENZAPRINA 5MG C/15 CPR</t>
        </is>
      </c>
      <c r="E94" s="2" t="inlineStr">
        <is>
          <t>CLORIDRATO DE CICLOBENZAPRINA 5MG CX 15 COMP REV</t>
        </is>
      </c>
      <c r="F94" s="2" t="inlineStr">
        <is>
          <t>GLOBO PHARMA</t>
        </is>
      </c>
      <c r="G94" s="4" t="n">
        <v>1</v>
      </c>
      <c r="H94" s="4" t="n">
        <v>1</v>
      </c>
      <c r="I94" s="4" t="n">
        <v>1</v>
      </c>
      <c r="J94" s="5" t="n">
        <v>2.55</v>
      </c>
      <c r="K94" s="5">
        <f>I94*J94</f>
        <v/>
      </c>
      <c r="L94" s="5">
        <f>J94/G94</f>
        <v/>
      </c>
      <c r="M94" s="5" t="n">
        <v>2.53</v>
      </c>
      <c r="N94" s="5" t="n">
        <v>2.53</v>
      </c>
      <c r="O94" s="6">
        <f>L94/M94-1</f>
        <v/>
      </c>
      <c r="P94" s="4" t="n">
        <v>172</v>
      </c>
      <c r="Q94" s="2" t="inlineStr"/>
    </row>
    <row r="95">
      <c r="A95" s="2" t="n">
        <v>2006</v>
      </c>
      <c r="B95" s="2" t="n">
        <v>135981</v>
      </c>
      <c r="C95" s="3" t="inlineStr">
        <is>
          <t>7898216360185</t>
        </is>
      </c>
      <c r="D95" s="2" t="inlineStr">
        <is>
          <t>CIPROFLOXACINO 500MG C/14 CPR</t>
        </is>
      </c>
      <c r="E95" s="2" t="inlineStr">
        <is>
          <t>CLORIDRATO DE CIPROFLOXACINO 500MG CX 14 COMP REV</t>
        </is>
      </c>
      <c r="F95" s="2" t="inlineStr">
        <is>
          <t>PHARLAB</t>
        </is>
      </c>
      <c r="G95" s="4" t="n">
        <v>1</v>
      </c>
      <c r="H95" s="4" t="n">
        <v>14</v>
      </c>
      <c r="I95" s="4" t="n">
        <v>14</v>
      </c>
      <c r="J95" s="5" t="n">
        <v>6.43</v>
      </c>
      <c r="K95" s="5">
        <f>I95*J95</f>
        <v/>
      </c>
      <c r="L95" s="5">
        <f>J95/G95</f>
        <v/>
      </c>
      <c r="M95" s="5" t="n">
        <v>6.19</v>
      </c>
      <c r="N95" s="5" t="n">
        <v>5.99</v>
      </c>
      <c r="O95" s="6">
        <f>L95/M95-1</f>
        <v/>
      </c>
      <c r="P95" s="4" t="n">
        <v>4496</v>
      </c>
      <c r="Q95" s="2" t="inlineStr"/>
    </row>
    <row r="96">
      <c r="A96" s="2" t="n">
        <v>418</v>
      </c>
      <c r="B96" s="2" t="n">
        <v>136261</v>
      </c>
      <c r="C96" s="3" t="inlineStr">
        <is>
          <t>7898060131399</t>
        </is>
      </c>
      <c r="D96" s="2" t="inlineStr">
        <is>
          <t>CIPROFLOXACINO 500MG C/14 CPR</t>
        </is>
      </c>
      <c r="E96" s="2" t="inlineStr">
        <is>
          <t>CLORIDRATO DE CIPROFLOXACINO 500MG CX 14 COMP REV</t>
        </is>
      </c>
      <c r="F96" s="2" t="inlineStr">
        <is>
          <t>GLOBO PHARMA</t>
        </is>
      </c>
      <c r="G96" s="4" t="n">
        <v>1</v>
      </c>
      <c r="H96" s="4" t="n">
        <v>1</v>
      </c>
      <c r="I96" s="4" t="n">
        <v>1</v>
      </c>
      <c r="J96" s="5" t="n">
        <v>7.42</v>
      </c>
      <c r="K96" s="5">
        <f>I96*J96</f>
        <v/>
      </c>
      <c r="L96" s="5">
        <f>J96/G96</f>
        <v/>
      </c>
      <c r="M96" s="5" t="n">
        <v>5.99</v>
      </c>
      <c r="N96" s="5" t="n">
        <v>5.99</v>
      </c>
      <c r="O96" s="6">
        <f>L96/M96-1</f>
        <v/>
      </c>
      <c r="P96" s="4" t="n">
        <v>5965</v>
      </c>
      <c r="Q96" s="2" t="inlineStr"/>
    </row>
    <row r="97">
      <c r="A97" s="2" t="n">
        <v>5936</v>
      </c>
      <c r="B97" s="2" t="n">
        <v>142821</v>
      </c>
      <c r="C97" s="3" t="inlineStr">
        <is>
          <t>7895296186018</t>
        </is>
      </c>
      <c r="D97" s="2" t="inlineStr">
        <is>
          <t>DORZOLAMIDA 2% 5ML COLIRIO</t>
        </is>
      </c>
      <c r="E97" s="2" t="inlineStr">
        <is>
          <t>CLORIDRATO DE DORZOLAMIDA 20MG/ML FR X 5ML</t>
        </is>
      </c>
      <c r="F97" s="2" t="inlineStr">
        <is>
          <t>NOVA QUIMICA GENERICO</t>
        </is>
      </c>
      <c r="G97" s="4" t="n">
        <v>1</v>
      </c>
      <c r="H97" s="4" t="n">
        <v>2</v>
      </c>
      <c r="I97" s="4" t="n">
        <v>2</v>
      </c>
      <c r="J97" s="5" t="n">
        <v>46.94</v>
      </c>
      <c r="K97" s="5">
        <f>I97*J97</f>
        <v/>
      </c>
      <c r="L97" s="5">
        <f>J97/G97</f>
        <v/>
      </c>
      <c r="M97" s="5" t="n">
        <v>29.87</v>
      </c>
      <c r="N97" s="5" t="n">
        <v>29.87</v>
      </c>
      <c r="O97" s="6">
        <f>L97/M97-1</f>
        <v/>
      </c>
      <c r="P97" s="4" t="n">
        <v>121</v>
      </c>
      <c r="Q97" s="2" t="inlineStr"/>
    </row>
    <row r="98">
      <c r="A98" s="2" t="n">
        <v>4270</v>
      </c>
      <c r="B98" s="2" t="n">
        <v>146661</v>
      </c>
      <c r="C98" s="3" t="inlineStr">
        <is>
          <t>7896523220239</t>
        </is>
      </c>
      <c r="D98" s="2" t="inlineStr">
        <is>
          <t>FEXOFENADINA 60MG C/10 CPR</t>
        </is>
      </c>
      <c r="E98" s="2" t="inlineStr">
        <is>
          <t>CLORIDRATO DE FEXOFENADINA 60MG CX 10 COMP REV</t>
        </is>
      </c>
      <c r="F98" s="2" t="inlineStr">
        <is>
          <t>CIMED</t>
        </is>
      </c>
      <c r="G98" s="4" t="n">
        <v>1</v>
      </c>
      <c r="H98" s="4" t="n">
        <v>3</v>
      </c>
      <c r="I98" s="4" t="n">
        <v>3</v>
      </c>
      <c r="J98" s="5" t="n">
        <v>8.4</v>
      </c>
      <c r="K98" s="5">
        <f>I98*J98</f>
        <v/>
      </c>
      <c r="L98" s="5">
        <f>J98/G98</f>
        <v/>
      </c>
      <c r="M98" s="5" t="n">
        <v>6.69</v>
      </c>
      <c r="N98" s="5" t="n">
        <v>6.18</v>
      </c>
      <c r="O98" s="6">
        <f>L98/M98-1</f>
        <v/>
      </c>
      <c r="P98" s="4" t="n">
        <v>150</v>
      </c>
      <c r="Q98" s="2" t="inlineStr"/>
    </row>
    <row r="99">
      <c r="A99" s="2" t="n">
        <v>6524</v>
      </c>
      <c r="B99" s="2" t="n">
        <v>152261</v>
      </c>
      <c r="C99" s="3" t="inlineStr">
        <is>
          <t>7898216360864</t>
        </is>
      </c>
      <c r="D99" s="2" t="inlineStr">
        <is>
          <t>LIDOCAINA 20MG 30G GELEIA</t>
        </is>
      </c>
      <c r="E99" s="2" t="inlineStr">
        <is>
          <t>CLORIDRATO DE LIDOCAINA 20MG/G GELEIA BG 30G</t>
        </is>
      </c>
      <c r="F99" s="2" t="inlineStr">
        <is>
          <t>PHARLAB</t>
        </is>
      </c>
      <c r="G99" s="4" t="n">
        <v>1</v>
      </c>
      <c r="H99" s="4" t="n">
        <v>1</v>
      </c>
      <c r="I99" s="4" t="n">
        <v>1</v>
      </c>
      <c r="J99" s="5" t="n">
        <v>8.949999999999999</v>
      </c>
      <c r="K99" s="5">
        <f>I99*J99</f>
        <v/>
      </c>
      <c r="L99" s="5">
        <f>J99/G99</f>
        <v/>
      </c>
      <c r="M99" s="5" t="n">
        <v>8.93</v>
      </c>
      <c r="N99" s="5" t="n">
        <v>8.77</v>
      </c>
      <c r="O99" s="6">
        <f>L99/M99-1</f>
        <v/>
      </c>
      <c r="P99" s="4" t="n">
        <v>258</v>
      </c>
      <c r="Q99" s="2" t="inlineStr"/>
    </row>
    <row r="100">
      <c r="A100" s="2" t="n">
        <v>3580</v>
      </c>
      <c r="B100" s="2" t="n">
        <v>323981</v>
      </c>
      <c r="C100" s="3" t="inlineStr">
        <is>
          <t>7898060132600</t>
        </is>
      </c>
      <c r="D100" s="2" t="inlineStr">
        <is>
          <t>LOPERAMIDA 2MG C/12 CPR</t>
        </is>
      </c>
      <c r="E100" s="2" t="inlineStr">
        <is>
          <t>CLORIDRATO DE LOPERAMIDA 2MG CX 12 COMP</t>
        </is>
      </c>
      <c r="F100" s="2" t="inlineStr">
        <is>
          <t>GLOBO PHARMA</t>
        </is>
      </c>
      <c r="G100" s="4" t="n">
        <v>1</v>
      </c>
      <c r="H100" s="4" t="n">
        <v>19</v>
      </c>
      <c r="I100" s="4" t="n">
        <v>19</v>
      </c>
      <c r="J100" s="5" t="n">
        <v>2.08</v>
      </c>
      <c r="K100" s="5">
        <f>I100*J100</f>
        <v/>
      </c>
      <c r="L100" s="5">
        <f>J100/G100</f>
        <v/>
      </c>
      <c r="M100" s="5" t="n">
        <v>2.02</v>
      </c>
      <c r="N100" s="5" t="n">
        <v>2.02</v>
      </c>
      <c r="O100" s="6">
        <f>L100/M100-1</f>
        <v/>
      </c>
      <c r="P100" s="4" t="n">
        <v>325</v>
      </c>
      <c r="Q100" s="2" t="inlineStr"/>
    </row>
    <row r="101">
      <c r="A101" s="2" t="n">
        <v>8223</v>
      </c>
      <c r="B101" s="2" t="n">
        <v>511621</v>
      </c>
      <c r="C101" s="3" t="inlineStr">
        <is>
          <t>7897917005708</t>
        </is>
      </c>
      <c r="D101" s="2" t="inlineStr">
        <is>
          <t>METOCLOPRAMIDA 10MG C/20 CPR</t>
        </is>
      </c>
      <c r="E101" s="2" t="inlineStr">
        <is>
          <t>CLORIDRATO DE METOCLOPRAMIDA 10MG CX 20 COMP</t>
        </is>
      </c>
      <c r="F101" s="2" t="inlineStr">
        <is>
          <t>BELFAR</t>
        </is>
      </c>
      <c r="G101" s="4" t="n">
        <v>1</v>
      </c>
      <c r="H101" s="4" t="n">
        <v>1</v>
      </c>
      <c r="I101" s="4" t="n">
        <v>1</v>
      </c>
      <c r="J101" s="5" t="n">
        <v>3.2</v>
      </c>
      <c r="K101" s="5">
        <f>I101*J101</f>
        <v/>
      </c>
      <c r="L101" s="5">
        <f>J101/G101</f>
        <v/>
      </c>
      <c r="M101" s="5" t="n">
        <v>3.2</v>
      </c>
      <c r="N101" s="5" t="n">
        <v>3.2</v>
      </c>
      <c r="O101" s="6">
        <f>L101/M101-1</f>
        <v/>
      </c>
      <c r="P101" s="4" t="n">
        <v>1264</v>
      </c>
      <c r="Q101" s="2" t="inlineStr"/>
    </row>
    <row r="102">
      <c r="A102" s="2" t="n">
        <v>63</v>
      </c>
      <c r="B102" s="2" t="n">
        <v>171281</v>
      </c>
      <c r="C102" s="3" t="inlineStr">
        <is>
          <t>7898216362431</t>
        </is>
      </c>
      <c r="D102" s="2" t="inlineStr">
        <is>
          <t>PROPRANOLOL 40MG C/30 CPR</t>
        </is>
      </c>
      <c r="E102" s="2" t="inlineStr">
        <is>
          <t>CLORIDRATO DE PROPANOLOL 40MG CX 30 COMP</t>
        </is>
      </c>
      <c r="F102" s="2" t="inlineStr">
        <is>
          <t>PHARLAB</t>
        </is>
      </c>
      <c r="G102" s="4" t="n">
        <v>1</v>
      </c>
      <c r="H102" s="4" t="n">
        <v>4</v>
      </c>
      <c r="I102" s="4" t="n">
        <v>4</v>
      </c>
      <c r="J102" s="5" t="n">
        <v>2.23</v>
      </c>
      <c r="K102" s="5">
        <f>I102*J102</f>
        <v/>
      </c>
      <c r="L102" s="5">
        <f>J102/G102</f>
        <v/>
      </c>
      <c r="M102" s="5" t="n">
        <v>2.12</v>
      </c>
      <c r="N102" s="5" t="n">
        <v>2.12</v>
      </c>
      <c r="O102" s="6">
        <f>L102/M102-1</f>
        <v/>
      </c>
      <c r="P102" s="4" t="n">
        <v>1044</v>
      </c>
      <c r="Q102" s="2" t="inlineStr"/>
    </row>
    <row r="103">
      <c r="A103" s="2" t="n">
        <v>8643</v>
      </c>
      <c r="B103" s="2" t="n">
        <v>651111</v>
      </c>
      <c r="C103" s="3" t="inlineStr">
        <is>
          <t>7891317009052</t>
        </is>
      </c>
      <c r="D103" s="2" t="inlineStr">
        <is>
          <t>*TRAMADOL (A2) 100MG 10ML GTS</t>
        </is>
      </c>
      <c r="E103" s="2" t="inlineStr">
        <is>
          <t>CLORIDRATO DE TRAMADOL 100MG 10ML GTS</t>
        </is>
      </c>
      <c r="F103" s="2" t="inlineStr">
        <is>
          <t>EUROFARMA</t>
        </is>
      </c>
      <c r="G103" s="4" t="n">
        <v>1</v>
      </c>
      <c r="H103" s="4" t="n">
        <v>1</v>
      </c>
      <c r="I103" s="4" t="n">
        <v>1</v>
      </c>
      <c r="J103" s="5" t="n">
        <v>17.29</v>
      </c>
      <c r="K103" s="5">
        <f>I103*J103</f>
        <v/>
      </c>
      <c r="L103" s="5">
        <f>J103/G103</f>
        <v/>
      </c>
      <c r="M103" s="5" t="n">
        <v>14.0725</v>
      </c>
      <c r="N103" s="5" t="n">
        <v>14.0725</v>
      </c>
      <c r="O103" s="6">
        <f>L103/M103-1</f>
        <v/>
      </c>
      <c r="P103" s="4" t="n">
        <v>152</v>
      </c>
      <c r="Q103" s="2" t="inlineStr"/>
    </row>
    <row r="104">
      <c r="A104" s="2" t="n">
        <v>9914</v>
      </c>
      <c r="B104" s="2" t="n">
        <v>189601</v>
      </c>
      <c r="C104" s="3" t="inlineStr">
        <is>
          <t>7896422506427</t>
        </is>
      </c>
      <c r="D104" s="2" t="inlineStr">
        <is>
          <t>CLOTRIMAZOL 10MG 35G 6 APLIC CRM VAGINAL</t>
        </is>
      </c>
      <c r="E104" s="2" t="inlineStr">
        <is>
          <t>CLOTRIMAZOL 10MG CREM VAG BG 35G+6APLIC</t>
        </is>
      </c>
      <c r="F104" s="2" t="inlineStr">
        <is>
          <t>MEDLEY</t>
        </is>
      </c>
      <c r="G104" s="4" t="n">
        <v>1</v>
      </c>
      <c r="H104" s="4" t="n">
        <v>7</v>
      </c>
      <c r="I104" s="4" t="n">
        <v>7</v>
      </c>
      <c r="J104" s="5" t="n">
        <v>17.18</v>
      </c>
      <c r="K104" s="5">
        <f>I104*J104</f>
        <v/>
      </c>
      <c r="L104" s="5">
        <f>J104/G104</f>
        <v/>
      </c>
      <c r="M104" s="5" t="n">
        <v>15.376</v>
      </c>
      <c r="N104" s="5" t="n">
        <v>13.0614</v>
      </c>
      <c r="O104" s="6">
        <f>L104/M104-1</f>
        <v/>
      </c>
      <c r="P104" s="4" t="n">
        <v>2066</v>
      </c>
      <c r="Q104" s="2" t="inlineStr"/>
    </row>
    <row r="105">
      <c r="A105" s="2" t="n">
        <v>9898</v>
      </c>
      <c r="B105" s="2" t="n">
        <v>189641</v>
      </c>
      <c r="C105" s="3" t="inlineStr">
        <is>
          <t>7896422506434</t>
        </is>
      </c>
      <c r="D105" s="2" t="inlineStr">
        <is>
          <t>CLOTRIMAZOL 20MG 20G 3 APLIC CRM VAGINAL</t>
        </is>
      </c>
      <c r="E105" s="2" t="inlineStr">
        <is>
          <t>CLOTRIMAZOL 20MG CREM VAG BG 20G+3APLIC</t>
        </is>
      </c>
      <c r="F105" s="2" t="inlineStr">
        <is>
          <t>MEDLEY</t>
        </is>
      </c>
      <c r="G105" s="4" t="n">
        <v>1</v>
      </c>
      <c r="H105" s="4" t="n">
        <v>7</v>
      </c>
      <c r="I105" s="4" t="n">
        <v>7</v>
      </c>
      <c r="J105" s="5" t="n">
        <v>17</v>
      </c>
      <c r="K105" s="5">
        <f>I105*J105</f>
        <v/>
      </c>
      <c r="L105" s="5">
        <f>J105/G105</f>
        <v/>
      </c>
      <c r="M105" s="5" t="n">
        <v>13.045</v>
      </c>
      <c r="N105" s="5" t="n">
        <v>13.045</v>
      </c>
      <c r="O105" s="6">
        <f>L105/M105-1</f>
        <v/>
      </c>
      <c r="P105" s="4" t="n">
        <v>2842</v>
      </c>
      <c r="Q105" s="2" t="inlineStr"/>
    </row>
    <row r="106">
      <c r="A106" s="2" t="n">
        <v>8235</v>
      </c>
      <c r="B106" s="2" t="n">
        <v>189681</v>
      </c>
      <c r="C106" s="3" t="inlineStr">
        <is>
          <t>7896422504812</t>
        </is>
      </c>
      <c r="D106" s="2" t="inlineStr">
        <is>
          <t>CLOTRIMAZOL 10MG 20G CREME</t>
        </is>
      </c>
      <c r="E106" s="2" t="inlineStr">
        <is>
          <t>CLOTRIMAZOL CREM DERM BG 20G</t>
        </is>
      </c>
      <c r="F106" s="2" t="inlineStr">
        <is>
          <t>MEDLEY</t>
        </is>
      </c>
      <c r="G106" s="4" t="n">
        <v>1</v>
      </c>
      <c r="H106" s="4" t="n">
        <v>6</v>
      </c>
      <c r="I106" s="4" t="n">
        <v>6</v>
      </c>
      <c r="J106" s="5" t="n">
        <v>5.44</v>
      </c>
      <c r="K106" s="5">
        <f>I106*J106</f>
        <v/>
      </c>
      <c r="L106" s="5">
        <f>J106/G106</f>
        <v/>
      </c>
      <c r="M106" s="5" t="n">
        <v>4.1567</v>
      </c>
      <c r="N106" s="5" t="n">
        <v>4.1567</v>
      </c>
      <c r="O106" s="6">
        <f>L106/M106-1</f>
        <v/>
      </c>
      <c r="P106" s="4" t="n">
        <v>3704</v>
      </c>
      <c r="Q106" s="2" t="inlineStr"/>
    </row>
    <row r="107">
      <c r="A107" s="2" t="n">
        <v>6994</v>
      </c>
      <c r="B107" s="2" t="n">
        <v>570701</v>
      </c>
      <c r="C107" s="3" t="inlineStr">
        <is>
          <t>7898953484014</t>
        </is>
      </c>
      <c r="D107" s="2" t="inlineStr">
        <is>
          <t>COLETOR 80ML BRANCO TAMPA VERDE M100</t>
        </is>
      </c>
      <c r="E107" s="2" t="inlineStr">
        <is>
          <t>COLETOR UNIV.BRANCO 80ML TAMPA VERDE</t>
        </is>
      </c>
      <c r="F107" s="2" t="inlineStr">
        <is>
          <t>3B</t>
        </is>
      </c>
      <c r="G107" s="4" t="n">
        <v>1</v>
      </c>
      <c r="H107" s="4" t="n">
        <v>113</v>
      </c>
      <c r="I107" s="4" t="n">
        <v>113</v>
      </c>
      <c r="J107" s="5" t="n">
        <v>0.6</v>
      </c>
      <c r="K107" s="5">
        <f>I107*J107</f>
        <v/>
      </c>
      <c r="L107" s="5">
        <f>J107/G107</f>
        <v/>
      </c>
      <c r="M107" s="5" t="n">
        <v>0.54</v>
      </c>
      <c r="N107" s="5" t="n">
        <v>0.54</v>
      </c>
      <c r="O107" s="6">
        <f>L107/M107-1</f>
        <v/>
      </c>
      <c r="P107" s="4" t="n">
        <v>18906</v>
      </c>
      <c r="Q107" s="2" t="inlineStr"/>
    </row>
    <row r="108">
      <c r="A108" s="2" t="n">
        <v>8069</v>
      </c>
      <c r="B108" s="2" t="n">
        <v>661121</v>
      </c>
      <c r="C108" s="3" t="inlineStr">
        <is>
          <t>7897146650021</t>
        </is>
      </c>
      <c r="D108" s="2" t="inlineStr">
        <is>
          <t>COMPLEXO B C/100 CPR.</t>
        </is>
      </c>
      <c r="E108" s="2" t="inlineStr">
        <is>
          <t>COMPLEXO B C/100 CPR.</t>
        </is>
      </c>
      <c r="F108" s="2" t="inlineStr">
        <is>
          <t>HENFER</t>
        </is>
      </c>
      <c r="G108" s="4" t="n">
        <v>1</v>
      </c>
      <c r="H108" s="4" t="n">
        <v>1</v>
      </c>
      <c r="I108" s="4" t="n">
        <v>1</v>
      </c>
      <c r="J108" s="5" t="n">
        <v>7.97</v>
      </c>
      <c r="K108" s="5">
        <f>I108*J108</f>
        <v/>
      </c>
      <c r="L108" s="5">
        <f>J108/G108</f>
        <v/>
      </c>
      <c r="M108" s="5" t="n">
        <v>7.97</v>
      </c>
      <c r="N108" s="5" t="n">
        <v>7.97</v>
      </c>
      <c r="O108" s="6">
        <f>L108/M108-1</f>
        <v/>
      </c>
      <c r="P108" s="4" t="n">
        <v>296</v>
      </c>
      <c r="Q108" s="2" t="inlineStr"/>
    </row>
    <row r="109">
      <c r="A109" s="2" t="n">
        <v>795</v>
      </c>
      <c r="B109" s="2" t="n">
        <v>608751</v>
      </c>
      <c r="C109" s="3" t="inlineStr">
        <is>
          <t>7897146600200</t>
        </is>
      </c>
      <c r="D109" s="2" t="inlineStr">
        <is>
          <t>COMPLEXO B C/30 CPR</t>
        </is>
      </c>
      <c r="E109" s="2" t="inlineStr">
        <is>
          <t>COMPLEXO B C/30 CPR</t>
        </is>
      </c>
      <c r="F109" s="2" t="inlineStr">
        <is>
          <t>HENFER</t>
        </is>
      </c>
      <c r="G109" s="4" t="n">
        <v>1</v>
      </c>
      <c r="H109" s="4" t="n">
        <v>1</v>
      </c>
      <c r="I109" s="4" t="n">
        <v>1</v>
      </c>
      <c r="J109" s="5" t="n">
        <v>3.38</v>
      </c>
      <c r="K109" s="5">
        <f>I109*J109</f>
        <v/>
      </c>
      <c r="L109" s="5">
        <f>J109/G109</f>
        <v/>
      </c>
      <c r="M109" s="5" t="n">
        <v>3.38</v>
      </c>
      <c r="N109" s="5" t="n">
        <v>3.38</v>
      </c>
      <c r="O109" s="6">
        <f>L109/M109-1</f>
        <v/>
      </c>
      <c r="P109" s="4" t="n">
        <v>2395</v>
      </c>
      <c r="Q109" s="2" t="inlineStr"/>
    </row>
    <row r="110">
      <c r="A110" s="2" t="n">
        <v>2195</v>
      </c>
      <c r="B110" s="2" t="n">
        <v>602191</v>
      </c>
      <c r="C110" s="3" t="inlineStr">
        <is>
          <t>7898277713258</t>
        </is>
      </c>
      <c r="D110" s="2" t="inlineStr">
        <is>
          <t>COMPLEXO B C/50 CPR</t>
        </is>
      </c>
      <c r="E110" s="2" t="inlineStr">
        <is>
          <t>COMPLEXO B C/50 COMP REV (ARTE NATIVA)</t>
        </is>
      </c>
      <c r="F110" s="2" t="inlineStr">
        <is>
          <t>ARTE NATIVA</t>
        </is>
      </c>
      <c r="G110" s="4" t="n">
        <v>1</v>
      </c>
      <c r="H110" s="4" t="n">
        <v>5</v>
      </c>
      <c r="I110" s="4" t="n">
        <v>5</v>
      </c>
      <c r="J110" s="5" t="n">
        <v>5.82</v>
      </c>
      <c r="K110" s="5">
        <f>I110*J110</f>
        <v/>
      </c>
      <c r="L110" s="5">
        <f>J110/G110</f>
        <v/>
      </c>
      <c r="M110" s="5" t="n">
        <v>5.75</v>
      </c>
      <c r="N110" s="5" t="n">
        <v>5.75</v>
      </c>
      <c r="O110" s="6">
        <f>L110/M110-1</f>
        <v/>
      </c>
      <c r="P110" s="4" t="n">
        <v>525</v>
      </c>
      <c r="Q110" s="2" t="inlineStr"/>
    </row>
    <row r="111">
      <c r="A111" s="2" t="n">
        <v>7632</v>
      </c>
      <c r="B111" s="2" t="n">
        <v>592581</v>
      </c>
      <c r="C111" s="3" t="inlineStr">
        <is>
          <t>7897146600064</t>
        </is>
      </c>
      <c r="D111" s="2" t="inlineStr">
        <is>
          <t>COMPLEXO B C/50 CPR</t>
        </is>
      </c>
      <c r="E111" s="2" t="inlineStr">
        <is>
          <t>COMPLEXO B C/50 CPR</t>
        </is>
      </c>
      <c r="F111" s="2" t="inlineStr">
        <is>
          <t>HENFER</t>
        </is>
      </c>
      <c r="G111" s="4" t="n">
        <v>1</v>
      </c>
      <c r="H111" s="4" t="n">
        <v>4</v>
      </c>
      <c r="I111" s="4" t="n">
        <v>4</v>
      </c>
      <c r="J111" s="5" t="n">
        <v>5</v>
      </c>
      <c r="K111" s="5">
        <f>I111*J111</f>
        <v/>
      </c>
      <c r="L111" s="5">
        <f>J111/G111</f>
        <v/>
      </c>
      <c r="M111" s="5" t="n">
        <v>5</v>
      </c>
      <c r="N111" s="5" t="n">
        <v>5</v>
      </c>
      <c r="O111" s="6">
        <f>L111/M111-1</f>
        <v/>
      </c>
      <c r="P111" s="4" t="n">
        <v>1418</v>
      </c>
      <c r="Q111" s="2" t="inlineStr"/>
    </row>
    <row r="112">
      <c r="A112" s="2" t="n">
        <v>5033</v>
      </c>
      <c r="B112" s="2" t="n">
        <v>541341</v>
      </c>
      <c r="C112" s="3" t="inlineStr">
        <is>
          <t>7898964832156</t>
        </is>
      </c>
      <c r="D112" s="2" t="inlineStr">
        <is>
          <t>COMPLEXO B C/60 CPR</t>
        </is>
      </c>
      <c r="E112" s="2" t="inlineStr">
        <is>
          <t>COMPLEXO B C/60COMP.</t>
        </is>
      </c>
      <c r="F112" s="2" t="inlineStr">
        <is>
          <t>IMEC NUTIVIT</t>
        </is>
      </c>
      <c r="G112" s="4" t="n">
        <v>1</v>
      </c>
      <c r="H112" s="4" t="n">
        <v>10</v>
      </c>
      <c r="I112" s="4" t="n">
        <v>10</v>
      </c>
      <c r="J112" s="5" t="n">
        <v>5.24</v>
      </c>
      <c r="K112" s="5">
        <f>I112*J112</f>
        <v/>
      </c>
      <c r="L112" s="5">
        <f>J112/G112</f>
        <v/>
      </c>
      <c r="M112" s="5" t="n">
        <v>5.24</v>
      </c>
      <c r="N112" s="5" t="n">
        <v>5.13</v>
      </c>
      <c r="O112" s="6">
        <f>L112/M112-1</f>
        <v/>
      </c>
      <c r="P112" s="4" t="n">
        <v>1271</v>
      </c>
      <c r="Q112" s="2" t="inlineStr"/>
    </row>
    <row r="113">
      <c r="A113" s="2" t="n">
        <v>3494</v>
      </c>
      <c r="B113" s="2" t="n">
        <v>581021</v>
      </c>
      <c r="C113" s="3" t="inlineStr">
        <is>
          <t>7898277713333</t>
        </is>
      </c>
      <c r="D113" s="2" t="inlineStr">
        <is>
          <t>COMPLEXO B 100ML XPE</t>
        </is>
      </c>
      <c r="E113" s="2" t="inlineStr">
        <is>
          <t>COMPLEXO B SOL ORAL 100ML (POLIVITAMINAS</t>
        </is>
      </c>
      <c r="F113" s="2" t="inlineStr">
        <is>
          <t>ARTE NATIVA</t>
        </is>
      </c>
      <c r="G113" s="4" t="n">
        <v>1</v>
      </c>
      <c r="H113" s="4" t="n">
        <v>3</v>
      </c>
      <c r="I113" s="4" t="n">
        <v>3</v>
      </c>
      <c r="J113" s="5" t="n">
        <v>3.9</v>
      </c>
      <c r="K113" s="5">
        <f>I113*J113</f>
        <v/>
      </c>
      <c r="L113" s="5">
        <f>J113/G113</f>
        <v/>
      </c>
      <c r="M113" s="5" t="n">
        <v>3.9</v>
      </c>
      <c r="N113" s="5" t="n">
        <v>3.9</v>
      </c>
      <c r="O113" s="6">
        <f>L113/M113-1</f>
        <v/>
      </c>
      <c r="P113" s="4" t="n">
        <v>1545</v>
      </c>
      <c r="Q113" s="2" t="inlineStr"/>
    </row>
    <row r="114">
      <c r="A114" s="2" t="n">
        <v>6037</v>
      </c>
      <c r="B114" s="2" t="n">
        <v>556101</v>
      </c>
      <c r="C114" s="3" t="inlineStr">
        <is>
          <t>7898668060152</t>
        </is>
      </c>
      <c r="D114" s="2" t="inlineStr">
        <is>
          <t>COMPRESSA GAZE 11 FIOS C/10 UND LIVIA</t>
        </is>
      </c>
      <c r="E114" s="2" t="inlineStr">
        <is>
          <t>COMPRESSA GAZE 11 FIOS C/10 UND LIVIA</t>
        </is>
      </c>
      <c r="F114" s="2" t="inlineStr">
        <is>
          <t>AMED..</t>
        </is>
      </c>
      <c r="G114" s="4" t="n">
        <v>1</v>
      </c>
      <c r="H114" s="4" t="n">
        <v>347</v>
      </c>
      <c r="I114" s="4" t="n">
        <v>347</v>
      </c>
      <c r="J114" s="5" t="n">
        <v>0.55</v>
      </c>
      <c r="K114" s="5">
        <f>I114*J114</f>
        <v/>
      </c>
      <c r="L114" s="5">
        <f>J114/G114</f>
        <v/>
      </c>
      <c r="M114" s="5" t="n">
        <v>0.55</v>
      </c>
      <c r="N114" s="5" t="n">
        <v>0.1</v>
      </c>
      <c r="O114" s="6">
        <f>L114/M114-1</f>
        <v/>
      </c>
      <c r="P114" s="4" t="n">
        <v>75812</v>
      </c>
      <c r="Q114" s="2" t="inlineStr"/>
    </row>
    <row r="115">
      <c r="A115" s="2" t="n">
        <v>5571</v>
      </c>
      <c r="B115" s="2" t="n">
        <v>593361</v>
      </c>
      <c r="C115" s="3" t="inlineStr">
        <is>
          <t>7898933598168</t>
        </is>
      </c>
      <c r="D115" s="2" t="inlineStr">
        <is>
          <t>COMPRESSA GAZE 13 FIOS C/10 UN TEXPHARMA</t>
        </is>
      </c>
      <c r="E115" s="2" t="inlineStr">
        <is>
          <t>COMPRESSA GAZE 13 FIOS C/10 UN TEXPHARMA</t>
        </is>
      </c>
      <c r="F115" s="2" t="inlineStr">
        <is>
          <t>TEXPHARMA</t>
        </is>
      </c>
      <c r="G115" s="4" t="n">
        <v>1</v>
      </c>
      <c r="H115" s="4" t="n">
        <v>144</v>
      </c>
      <c r="I115" s="4" t="n">
        <v>144</v>
      </c>
      <c r="J115" s="5" t="n">
        <v>0.59</v>
      </c>
      <c r="K115" s="5">
        <f>I115*J115</f>
        <v/>
      </c>
      <c r="L115" s="5">
        <f>J115/G115</f>
        <v/>
      </c>
      <c r="M115" s="5" t="n">
        <v>0.1</v>
      </c>
      <c r="N115" s="5" t="n">
        <v>0.1</v>
      </c>
      <c r="O115" s="6">
        <f>L115/M115-1</f>
        <v/>
      </c>
      <c r="P115" s="4" t="n">
        <v>99454</v>
      </c>
      <c r="Q115" s="2" t="inlineStr">
        <is>
          <t>conferir embalagem (preço muito fora da referência)</t>
        </is>
      </c>
    </row>
    <row r="116">
      <c r="A116" s="2" t="n">
        <v>4382</v>
      </c>
      <c r="B116" s="2" t="n">
        <v>538361</v>
      </c>
      <c r="C116" s="3" t="inlineStr">
        <is>
          <t>7898668060190</t>
        </is>
      </c>
      <c r="D116" s="2" t="inlineStr">
        <is>
          <t>COMPRESSA GAZE 13 FIOS C/10 UND LIVIA</t>
        </is>
      </c>
      <c r="E116" s="2" t="inlineStr">
        <is>
          <t>COMPRESSA GAZE 13 FIOS C/10 UND LIVIA</t>
        </is>
      </c>
      <c r="F116" s="2" t="inlineStr">
        <is>
          <t>AMED..</t>
        </is>
      </c>
      <c r="G116" s="4" t="n">
        <v>1</v>
      </c>
      <c r="H116" s="4" t="n">
        <v>368</v>
      </c>
      <c r="I116" s="4" t="n">
        <v>368</v>
      </c>
      <c r="J116" s="5" t="n">
        <v>0.58</v>
      </c>
      <c r="K116" s="5">
        <f>I116*J116</f>
        <v/>
      </c>
      <c r="L116" s="5">
        <f>J116/G116</f>
        <v/>
      </c>
      <c r="M116" s="5" t="n">
        <v>0.58</v>
      </c>
      <c r="N116" s="5" t="n">
        <v>0.1</v>
      </c>
      <c r="O116" s="6">
        <f>L116/M116-1</f>
        <v/>
      </c>
      <c r="P116" s="4" t="n">
        <v>165463</v>
      </c>
      <c r="Q116" s="2" t="inlineStr"/>
    </row>
    <row r="117">
      <c r="A117" s="2" t="n">
        <v>1197</v>
      </c>
      <c r="B117" s="2" t="n">
        <v>92041</v>
      </c>
      <c r="C117" s="3" t="inlineStr">
        <is>
          <t>7898100241279</t>
        </is>
      </c>
      <c r="D117" s="2" t="inlineStr">
        <is>
          <t>CONAZOL 20MG 20G CREME</t>
        </is>
      </c>
      <c r="E117" s="2" t="inlineStr">
        <is>
          <t>CONAZOL 20MG/G CREME BG 20G</t>
        </is>
      </c>
      <c r="F117" s="2" t="inlineStr">
        <is>
          <t>BRASTERAPICA</t>
        </is>
      </c>
      <c r="G117" s="4" t="n">
        <v>1</v>
      </c>
      <c r="H117" s="4" t="n">
        <v>7</v>
      </c>
      <c r="I117" s="4" t="n">
        <v>7</v>
      </c>
      <c r="J117" s="5" t="n">
        <v>4.3</v>
      </c>
      <c r="K117" s="5">
        <f>I117*J117</f>
        <v/>
      </c>
      <c r="L117" s="5">
        <f>J117/G117</f>
        <v/>
      </c>
      <c r="M117" s="5" t="n">
        <v>3.69</v>
      </c>
      <c r="N117" s="5" t="n">
        <v>3.69</v>
      </c>
      <c r="O117" s="6">
        <f>L117/M117-1</f>
        <v/>
      </c>
      <c r="P117" s="4" t="n">
        <v>2355</v>
      </c>
      <c r="Q117" s="2" t="inlineStr"/>
    </row>
    <row r="118">
      <c r="A118" s="2" t="n">
        <v>9825</v>
      </c>
      <c r="B118" s="2" t="n">
        <v>620061</v>
      </c>
      <c r="C118" s="3" t="inlineStr">
        <is>
          <t>7898136150446</t>
        </is>
      </c>
      <c r="D118" s="2" t="inlineStr">
        <is>
          <t>CURATIVO NATHY C/10 UND TRANSPARENT.....</t>
        </is>
      </c>
      <c r="E118" s="2" t="inlineStr">
        <is>
          <t>CURATIVO ADESIVO NATHY TRANSPARENTE 10UN</t>
        </is>
      </c>
      <c r="F118" s="2" t="inlineStr">
        <is>
          <t>NATHY</t>
        </is>
      </c>
      <c r="G118" s="4" t="n">
        <v>1</v>
      </c>
      <c r="H118" s="4" t="n">
        <v>2</v>
      </c>
      <c r="I118" s="4" t="n">
        <v>2</v>
      </c>
      <c r="J118" s="5" t="n">
        <v>1.42</v>
      </c>
      <c r="K118" s="5">
        <f>I118*J118</f>
        <v/>
      </c>
      <c r="L118" s="5">
        <f>J118/G118</f>
        <v/>
      </c>
      <c r="M118" s="5" t="n">
        <v>1.91</v>
      </c>
      <c r="N118" s="5" t="n">
        <v>1.91</v>
      </c>
      <c r="O118" s="6">
        <f>L118/M118-1</f>
        <v/>
      </c>
      <c r="P118" s="4" t="n">
        <v>23</v>
      </c>
      <c r="Q118" s="2" t="inlineStr"/>
    </row>
    <row r="119">
      <c r="A119" s="2" t="n">
        <v>3472</v>
      </c>
      <c r="B119" s="2" t="n">
        <v>630671</v>
      </c>
      <c r="C119" s="3" t="inlineStr">
        <is>
          <t>7898108640746</t>
        </is>
      </c>
      <c r="D119" s="2" t="inlineStr">
        <is>
          <t>CURATIVO KURA DODOI C/20 UND*</t>
        </is>
      </c>
      <c r="E119" s="2" t="inlineStr">
        <is>
          <t>CURATIVO CICATRISAN KURA DODOI CX 20 UND</t>
        </is>
      </c>
      <c r="F119" s="2" t="inlineStr">
        <is>
          <t>SANFARMA</t>
        </is>
      </c>
      <c r="G119" s="4" t="n">
        <v>1</v>
      </c>
      <c r="H119" s="4" t="n">
        <v>4</v>
      </c>
      <c r="I119" s="4" t="n">
        <v>4</v>
      </c>
      <c r="J119" s="5" t="n">
        <v>5.42</v>
      </c>
      <c r="K119" s="5">
        <f>I119*J119</f>
        <v/>
      </c>
      <c r="L119" s="5">
        <f>J119/G119</f>
        <v/>
      </c>
      <c r="M119" s="5" t="n">
        <v>5.42</v>
      </c>
      <c r="N119" s="5" t="n">
        <v>5.42</v>
      </c>
      <c r="O119" s="6">
        <f>L119/M119-1</f>
        <v/>
      </c>
      <c r="P119" s="4" t="n">
        <v>11</v>
      </c>
      <c r="Q119" s="2" t="inlineStr"/>
    </row>
    <row r="120">
      <c r="A120" s="2" t="n">
        <v>3468</v>
      </c>
      <c r="B120" s="2" t="n">
        <v>3243</v>
      </c>
      <c r="C120" s="3" t="inlineStr">
        <is>
          <t>7898108640791</t>
        </is>
      </c>
      <c r="D120" s="2" t="inlineStr">
        <is>
          <t>CURATIVO HIDROCOLOIDE P/ACNE C/35 UND</t>
        </is>
      </c>
      <c r="E120" s="2" t="inlineStr">
        <is>
          <t>CURATIVO HIDROCOLOIDE SANCARE C/24 UND</t>
        </is>
      </c>
      <c r="F120" s="2" t="inlineStr">
        <is>
          <t>SANFARMA</t>
        </is>
      </c>
      <c r="G120" s="4" t="n">
        <v>1</v>
      </c>
      <c r="H120" s="4" t="n">
        <v>5</v>
      </c>
      <c r="I120" s="4" t="n">
        <v>5</v>
      </c>
      <c r="J120" s="5" t="n">
        <v>17.17</v>
      </c>
      <c r="K120" s="5">
        <f>I120*J120</f>
        <v/>
      </c>
      <c r="L120" s="5">
        <f>J120/G120</f>
        <v/>
      </c>
      <c r="M120" s="5" t="n">
        <v>14.93</v>
      </c>
      <c r="N120" s="5" t="n">
        <v>14.93</v>
      </c>
      <c r="O120" s="6">
        <f>L120/M120-1</f>
        <v/>
      </c>
      <c r="P120" s="4" t="n">
        <v>278</v>
      </c>
      <c r="Q120" s="2" t="inlineStr"/>
    </row>
    <row r="121">
      <c r="A121" s="2" t="n">
        <v>9828</v>
      </c>
      <c r="B121" s="2" t="n">
        <v>656461</v>
      </c>
      <c r="C121" s="3" t="inlineStr">
        <is>
          <t>7898136150620</t>
        </is>
      </c>
      <c r="D121" s="2" t="inlineStr">
        <is>
          <t>CURATIVO NATHY C/35 UND BEGE............</t>
        </is>
      </c>
      <c r="E121" s="2" t="inlineStr">
        <is>
          <t>CURATIVO NATHY C/35UN BEGE</t>
        </is>
      </c>
      <c r="F121" s="2" t="inlineStr">
        <is>
          <t>NATHY</t>
        </is>
      </c>
      <c r="G121" s="4" t="n">
        <v>1</v>
      </c>
      <c r="H121" s="4" t="n">
        <v>22</v>
      </c>
      <c r="I121" s="4" t="n">
        <v>22</v>
      </c>
      <c r="J121" s="5" t="n">
        <v>3.25</v>
      </c>
      <c r="K121" s="5">
        <f>I121*J121</f>
        <v/>
      </c>
      <c r="L121" s="5">
        <f>J121/G121</f>
        <v/>
      </c>
      <c r="M121" s="5" t="n">
        <v>3.25</v>
      </c>
      <c r="N121" s="5" t="n">
        <v>3.25</v>
      </c>
      <c r="O121" s="6">
        <f>L121/M121-1</f>
        <v/>
      </c>
      <c r="P121" s="4" t="n">
        <v>23</v>
      </c>
      <c r="Q121" s="2" t="inlineStr"/>
    </row>
    <row r="122">
      <c r="A122" s="2" t="n">
        <v>10130</v>
      </c>
      <c r="B122" s="2" t="n">
        <v>666411</v>
      </c>
      <c r="C122" s="3" t="inlineStr">
        <is>
          <t>7896862994372</t>
        </is>
      </c>
      <c r="D122" s="2" t="inlineStr">
        <is>
          <t>DAPAGLIFLOZINA 10MG C/30 CPR....</t>
        </is>
      </c>
      <c r="E122" s="2" t="inlineStr">
        <is>
          <t>DAPAGLIFLOZINA 10MG COM REV CX 30 COMP</t>
        </is>
      </c>
      <c r="F122" s="2" t="inlineStr">
        <is>
          <t>MEDQUIMICA</t>
        </is>
      </c>
      <c r="G122" s="4" t="n">
        <v>1</v>
      </c>
      <c r="H122" s="4" t="n">
        <v>2</v>
      </c>
      <c r="I122" s="4" t="n">
        <v>2</v>
      </c>
      <c r="J122" s="5" t="n">
        <v>44.99</v>
      </c>
      <c r="K122" s="5">
        <f>I122*J122</f>
        <v/>
      </c>
      <c r="L122" s="5">
        <f>J122/G122</f>
        <v/>
      </c>
      <c r="M122" s="5" t="n">
        <v>48.25</v>
      </c>
      <c r="N122" s="5" t="n">
        <v>48.25</v>
      </c>
      <c r="O122" s="6">
        <f>L122/M122-1</f>
        <v/>
      </c>
      <c r="P122" s="4" t="n">
        <v>267</v>
      </c>
      <c r="Q122" s="2" t="inlineStr"/>
    </row>
    <row r="123">
      <c r="A123" s="2" t="n">
        <v>2444</v>
      </c>
      <c r="B123" s="2" t="n">
        <v>201421</v>
      </c>
      <c r="C123" s="3" t="inlineStr">
        <is>
          <t>7895296277051</t>
        </is>
      </c>
      <c r="D123" s="2" t="inlineStr">
        <is>
          <t>DEFLAZACORTE 6MG C/20 CPR</t>
        </is>
      </c>
      <c r="E123" s="2" t="inlineStr">
        <is>
          <t>DEFLAZACORTE 6MG CX 20 COMP</t>
        </is>
      </c>
      <c r="F123" s="2" t="inlineStr">
        <is>
          <t>NOVA QUIMICA GENERICO</t>
        </is>
      </c>
      <c r="G123" s="4" t="n">
        <v>1</v>
      </c>
      <c r="H123" s="4" t="n">
        <v>1</v>
      </c>
      <c r="I123" s="4" t="n">
        <v>1</v>
      </c>
      <c r="J123" s="5" t="n">
        <v>36.78</v>
      </c>
      <c r="K123" s="5">
        <f>I123*J123</f>
        <v/>
      </c>
      <c r="L123" s="5">
        <f>J123/G123</f>
        <v/>
      </c>
      <c r="M123" s="5" t="n">
        <v>34.39</v>
      </c>
      <c r="N123" s="5" t="n">
        <v>34.39</v>
      </c>
      <c r="O123" s="6">
        <f>L123/M123-1</f>
        <v/>
      </c>
      <c r="P123" s="4" t="n">
        <v>102</v>
      </c>
      <c r="Q123" s="2" t="inlineStr"/>
    </row>
    <row r="124">
      <c r="A124" s="2" t="n">
        <v>1363</v>
      </c>
      <c r="B124" s="2" t="n">
        <v>354681</v>
      </c>
      <c r="C124" s="3" t="inlineStr">
        <is>
          <t>7893736010220</t>
        </is>
      </c>
      <c r="D124" s="2" t="inlineStr">
        <is>
          <t>DERMOBAN 20MG 15G POMADA</t>
        </is>
      </c>
      <c r="E124" s="2" t="inlineStr">
        <is>
          <t>DERMOBAN 20MG CREME DERM BG 15G</t>
        </is>
      </c>
      <c r="F124" s="2" t="inlineStr">
        <is>
          <t>CAZI</t>
        </is>
      </c>
      <c r="G124" s="4" t="n">
        <v>1</v>
      </c>
      <c r="H124" s="4" t="n">
        <v>10</v>
      </c>
      <c r="I124" s="4" t="n">
        <v>10</v>
      </c>
      <c r="J124" s="5" t="n">
        <v>25.99</v>
      </c>
      <c r="K124" s="5">
        <f>I124*J124</f>
        <v/>
      </c>
      <c r="L124" s="5">
        <f>J124/G124</f>
        <v/>
      </c>
      <c r="M124" s="5" t="n">
        <v>32.99</v>
      </c>
      <c r="N124" s="5" t="n">
        <v>25.01</v>
      </c>
      <c r="O124" s="6">
        <f>L124/M124-1</f>
        <v/>
      </c>
      <c r="P124" s="4" t="n">
        <v>1623</v>
      </c>
      <c r="Q124" s="2" t="inlineStr"/>
    </row>
    <row r="125">
      <c r="A125" s="2" t="n">
        <v>380</v>
      </c>
      <c r="B125" s="2" t="n">
        <v>821</v>
      </c>
      <c r="C125" s="3" t="inlineStr">
        <is>
          <t>7893454100661</t>
        </is>
      </c>
      <c r="D125" s="2" t="inlineStr">
        <is>
          <t>DERMOSALIC 30G POMADA</t>
        </is>
      </c>
      <c r="E125" s="2" t="inlineStr">
        <is>
          <t>DERMOSALIC 30G POM BG</t>
        </is>
      </c>
      <c r="F125" s="2" t="inlineStr">
        <is>
          <t>DELTA</t>
        </is>
      </c>
      <c r="G125" s="4" t="n">
        <v>1</v>
      </c>
      <c r="H125" s="4" t="n">
        <v>14</v>
      </c>
      <c r="I125" s="4" t="n">
        <v>14</v>
      </c>
      <c r="J125" s="5" t="n">
        <v>10.76</v>
      </c>
      <c r="K125" s="5">
        <f>I125*J125</f>
        <v/>
      </c>
      <c r="L125" s="5">
        <f>J125/G125</f>
        <v/>
      </c>
      <c r="M125" s="5" t="n">
        <v>10.36</v>
      </c>
      <c r="N125" s="5" t="n">
        <v>10.36</v>
      </c>
      <c r="O125" s="6">
        <f>L125/M125-1</f>
        <v/>
      </c>
      <c r="P125" s="4" t="n">
        <v>2745</v>
      </c>
      <c r="Q125" s="2" t="inlineStr"/>
    </row>
    <row r="126">
      <c r="A126" s="2" t="n">
        <v>6114</v>
      </c>
      <c r="B126" s="2" t="n">
        <v>691501</v>
      </c>
      <c r="C126" s="3" t="inlineStr">
        <is>
          <t>7898593050716</t>
        </is>
      </c>
      <c r="D126" s="2" t="inlineStr">
        <is>
          <t>DERMUP COLAGENO VERISOL C/90 CPS</t>
        </is>
      </c>
      <c r="E126" s="2" t="inlineStr">
        <is>
          <t>DERMUP COLAGENO VERISOL C/90 CPS</t>
        </is>
      </c>
      <c r="F126" s="2" t="inlineStr">
        <is>
          <t>MAXINUTRI</t>
        </is>
      </c>
      <c r="G126" s="4" t="n">
        <v>1</v>
      </c>
      <c r="H126" s="4" t="n">
        <v>1</v>
      </c>
      <c r="I126" s="4" t="n">
        <v>1</v>
      </c>
      <c r="J126" s="5" t="n">
        <v>42.53</v>
      </c>
      <c r="K126" s="5">
        <f>I126*J126</f>
        <v/>
      </c>
      <c r="L126" s="5">
        <f>J126/G126</f>
        <v/>
      </c>
      <c r="M126" s="5" t="n">
        <v>41.85</v>
      </c>
      <c r="N126" s="5" t="n">
        <v>41.85</v>
      </c>
      <c r="O126" s="6">
        <f>L126/M126-1</f>
        <v/>
      </c>
      <c r="P126" s="4" t="n">
        <v>38</v>
      </c>
      <c r="Q126" s="2" t="inlineStr"/>
    </row>
    <row r="127">
      <c r="A127" s="2" t="n">
        <v>5772</v>
      </c>
      <c r="B127" s="2" t="n">
        <v>573701</v>
      </c>
      <c r="C127" s="3" t="inlineStr">
        <is>
          <t>7898582292646</t>
        </is>
      </c>
      <c r="D127" s="2" t="inlineStr">
        <is>
          <t>OLEO DE GIRASSOL 200ML DERSOL</t>
        </is>
      </c>
      <c r="E127" s="2" t="inlineStr">
        <is>
          <t>DERSOL LOCAO OLEOSA 200ML</t>
        </is>
      </c>
      <c r="F127" s="2" t="inlineStr">
        <is>
          <t>BELLA PHYTUS</t>
        </is>
      </c>
      <c r="G127" s="4" t="n">
        <v>1</v>
      </c>
      <c r="H127" s="4" t="n">
        <v>5</v>
      </c>
      <c r="I127" s="4" t="n">
        <v>5</v>
      </c>
      <c r="J127" s="5" t="n">
        <v>11.41</v>
      </c>
      <c r="K127" s="5">
        <f>I127*J127</f>
        <v/>
      </c>
      <c r="L127" s="5">
        <f>J127/G127</f>
        <v/>
      </c>
      <c r="M127" s="5" t="n">
        <v>10.99</v>
      </c>
      <c r="N127" s="5" t="n">
        <v>10.99</v>
      </c>
      <c r="O127" s="6">
        <f>L127/M127-1</f>
        <v/>
      </c>
      <c r="P127" s="4" t="n">
        <v>681</v>
      </c>
      <c r="Q127" s="2" t="inlineStr"/>
    </row>
    <row r="128">
      <c r="A128" s="2" t="n">
        <v>2447</v>
      </c>
      <c r="B128" s="2" t="n">
        <v>668951</v>
      </c>
      <c r="C128" s="3" t="inlineStr">
        <is>
          <t>7896472520299</t>
        </is>
      </c>
      <c r="D128" s="2" t="inlineStr">
        <is>
          <t>DESLORATADINA 5MG C/10 CPR</t>
        </is>
      </c>
      <c r="E128" s="2" t="inlineStr">
        <is>
          <t>DESLORATADINA 5MG CX 10 COMP REV</t>
        </is>
      </c>
      <c r="F128" s="2" t="inlineStr">
        <is>
          <t>NOVA QUIMICA GENERICO</t>
        </is>
      </c>
      <c r="G128" s="4" t="n">
        <v>1</v>
      </c>
      <c r="H128" s="4" t="n">
        <v>25</v>
      </c>
      <c r="I128" s="4" t="n">
        <v>25</v>
      </c>
      <c r="J128" s="5" t="n">
        <v>4.83</v>
      </c>
      <c r="K128" s="5">
        <f>I128*J128</f>
        <v/>
      </c>
      <c r="L128" s="5">
        <f>J128/G128</f>
        <v/>
      </c>
      <c r="M128" s="5" t="n">
        <v>6.11</v>
      </c>
      <c r="N128" s="5" t="n">
        <v>5.7026</v>
      </c>
      <c r="O128" s="6">
        <f>L128/M128-1</f>
        <v/>
      </c>
      <c r="P128" s="4" t="n">
        <v>1125</v>
      </c>
      <c r="Q128" s="2" t="inlineStr"/>
    </row>
    <row r="129">
      <c r="A129" s="2" t="n">
        <v>5588</v>
      </c>
      <c r="B129" s="2" t="n">
        <v>490121</v>
      </c>
      <c r="C129" s="3" t="inlineStr">
        <is>
          <t>7897917004008</t>
        </is>
      </c>
      <c r="D129" s="2" t="inlineStr">
        <is>
          <t>DICLOFENACO SODICO 50MG C/20 CPR.</t>
        </is>
      </c>
      <c r="E129" s="2" t="inlineStr">
        <is>
          <t>DICLOFENACO SODICO 50MG CX 20 COMP REV</t>
        </is>
      </c>
      <c r="F129" s="2" t="inlineStr">
        <is>
          <t>BELFAR</t>
        </is>
      </c>
      <c r="G129" s="4" t="n">
        <v>1</v>
      </c>
      <c r="H129" s="4" t="n">
        <v>4</v>
      </c>
      <c r="I129" s="4" t="n">
        <v>4</v>
      </c>
      <c r="J129" s="5" t="n">
        <v>1.65</v>
      </c>
      <c r="K129" s="5">
        <f>I129*J129</f>
        <v/>
      </c>
      <c r="L129" s="5">
        <f>J129/G129</f>
        <v/>
      </c>
      <c r="M129" s="5" t="n">
        <v>1.65</v>
      </c>
      <c r="N129" s="5" t="n">
        <v>1.65</v>
      </c>
      <c r="O129" s="6">
        <f>L129/M129-1</f>
        <v/>
      </c>
      <c r="P129" s="4" t="n">
        <v>323</v>
      </c>
      <c r="Q129" s="2" t="inlineStr"/>
    </row>
    <row r="130">
      <c r="A130" s="2" t="n">
        <v>4469</v>
      </c>
      <c r="B130" s="2" t="n">
        <v>150061</v>
      </c>
      <c r="C130" s="3" t="inlineStr">
        <is>
          <t>7895296053044</t>
        </is>
      </c>
      <c r="D130" s="2" t="inlineStr">
        <is>
          <t>HIDROXIZINA 25MG C/30 CPR</t>
        </is>
      </c>
      <c r="E130" s="2" t="inlineStr">
        <is>
          <t>DICLORIDRATO DE HIDROXIZINA 25MG CX 30 COMP</t>
        </is>
      </c>
      <c r="F130" s="2" t="inlineStr">
        <is>
          <t>NOVA QUIMICA GENERICO</t>
        </is>
      </c>
      <c r="G130" s="4" t="n">
        <v>1</v>
      </c>
      <c r="H130" s="4" t="n">
        <v>1</v>
      </c>
      <c r="I130" s="4" t="n">
        <v>1</v>
      </c>
      <c r="J130" s="5" t="n">
        <v>28.96</v>
      </c>
      <c r="K130" s="5">
        <f>I130*J130</f>
        <v/>
      </c>
      <c r="L130" s="5">
        <f>J130/G130</f>
        <v/>
      </c>
      <c r="M130" s="5" t="n">
        <v>26.56</v>
      </c>
      <c r="N130" s="5" t="n">
        <v>26.56</v>
      </c>
      <c r="O130" s="6">
        <f>L130/M130-1</f>
        <v/>
      </c>
      <c r="P130" s="4" t="n">
        <v>206</v>
      </c>
      <c r="Q130" s="2" t="inlineStr"/>
    </row>
    <row r="131">
      <c r="A131" s="2" t="n">
        <v>8507</v>
      </c>
      <c r="B131" s="2" t="n">
        <v>214</v>
      </c>
      <c r="C131" s="3" t="inlineStr">
        <is>
          <t>7898216367016</t>
        </is>
      </c>
      <c r="D131" s="2" t="inlineStr">
        <is>
          <t>LEVOCETIRIZINA 5MG C/10 CPR</t>
        </is>
      </c>
      <c r="E131" s="2" t="inlineStr">
        <is>
          <t>DICLORIDRATO DE LEVOCETIRIZINA</t>
        </is>
      </c>
      <c r="F131" s="2" t="inlineStr">
        <is>
          <t>PHARLAB</t>
        </is>
      </c>
      <c r="G131" s="4" t="n">
        <v>1</v>
      </c>
      <c r="H131" s="4" t="n">
        <v>6</v>
      </c>
      <c r="I131" s="4" t="n">
        <v>6</v>
      </c>
      <c r="J131" s="5" t="n">
        <v>9.17</v>
      </c>
      <c r="K131" s="5">
        <f>I131*J131</f>
        <v/>
      </c>
      <c r="L131" s="5">
        <f>J131/G131</f>
        <v/>
      </c>
      <c r="M131" s="5" t="n">
        <v>8.48</v>
      </c>
      <c r="N131" s="5" t="n">
        <v>8.48</v>
      </c>
      <c r="O131" s="6">
        <f>L131/M131-1</f>
        <v/>
      </c>
      <c r="P131" s="4" t="n">
        <v>680</v>
      </c>
      <c r="Q131" s="2" t="inlineStr"/>
    </row>
    <row r="132">
      <c r="A132" s="2" t="n">
        <v>1032</v>
      </c>
      <c r="B132" s="2" t="n">
        <v>222121</v>
      </c>
      <c r="C132" s="3" t="inlineStr">
        <is>
          <t>7898166041004</t>
        </is>
      </c>
      <c r="D132" s="2" t="inlineStr">
        <is>
          <t>DIPIFARMA 500MG C/100 AMP 2ML INJ</t>
        </is>
      </c>
      <c r="E132" s="2" t="inlineStr">
        <is>
          <t>DIPIFARMA 500 MG/ML SOL INJ CX 100 AMP VD AMB X 2 ML (EMB HOSP)</t>
        </is>
      </c>
      <c r="F132" s="2" t="inlineStr">
        <is>
          <t>FARMACE</t>
        </is>
      </c>
      <c r="G132" s="4" t="n">
        <v>1</v>
      </c>
      <c r="H132" s="4" t="n">
        <v>1</v>
      </c>
      <c r="I132" s="4" t="n">
        <v>1</v>
      </c>
      <c r="J132" s="5" t="n">
        <v>81</v>
      </c>
      <c r="K132" s="5">
        <f>I132*J132</f>
        <v/>
      </c>
      <c r="L132" s="5">
        <f>J132/G132</f>
        <v/>
      </c>
      <c r="M132" s="5" t="n">
        <v>2.56</v>
      </c>
      <c r="N132" s="5" t="n">
        <v>2.56</v>
      </c>
      <c r="O132" s="6">
        <f>L132/M132-1</f>
        <v/>
      </c>
      <c r="P132" s="4" t="n">
        <v>133</v>
      </c>
      <c r="Q132" s="2" t="inlineStr">
        <is>
          <t>conferir embalagem (preço muito fora da referência)</t>
        </is>
      </c>
    </row>
    <row r="133">
      <c r="A133" s="2" t="n">
        <v>3021</v>
      </c>
      <c r="B133" s="2" t="n">
        <v>558021</v>
      </c>
      <c r="C133" s="3" t="inlineStr">
        <is>
          <t>742832304719</t>
        </is>
      </c>
      <c r="D133" s="2" t="inlineStr">
        <is>
          <t>DIPIRONA 500MG (10X10) C/100 CPR</t>
        </is>
      </c>
      <c r="E133" s="2" t="inlineStr">
        <is>
          <t>DIPIRONA 500MG CT 10CP</t>
        </is>
      </c>
      <c r="F133" s="2" t="inlineStr">
        <is>
          <t>GREEN PHARMA</t>
        </is>
      </c>
      <c r="G133" s="4" t="n">
        <v>1</v>
      </c>
      <c r="H133" s="4" t="n">
        <v>1</v>
      </c>
      <c r="I133" s="4" t="n">
        <v>1</v>
      </c>
      <c r="J133" s="5" t="n">
        <v>17.91</v>
      </c>
      <c r="K133" s="5">
        <f>I133*J133</f>
        <v/>
      </c>
      <c r="L133" s="5">
        <f>J133/G133</f>
        <v/>
      </c>
      <c r="M133" s="5" t="n"/>
      <c r="N133" s="5" t="n"/>
      <c r="O133" s="6" t="n"/>
      <c r="P133" s="4" t="n">
        <v>313</v>
      </c>
      <c r="Q133" s="2" t="inlineStr"/>
    </row>
    <row r="134">
      <c r="A134" s="2" t="n">
        <v>8168</v>
      </c>
      <c r="B134" s="2" t="n">
        <v>526021</v>
      </c>
      <c r="C134" s="3" t="inlineStr">
        <is>
          <t>7896523201054</t>
        </is>
      </c>
      <c r="D134" s="2" t="inlineStr">
        <is>
          <t>DOMPERIDONA 10MG C/30 CPR</t>
        </is>
      </c>
      <c r="E134" s="2" t="inlineStr">
        <is>
          <t>DOMPERIDONA 10MG CX 30 COMP</t>
        </is>
      </c>
      <c r="F134" s="2" t="inlineStr">
        <is>
          <t>CIMED</t>
        </is>
      </c>
      <c r="G134" s="4" t="n">
        <v>1</v>
      </c>
      <c r="H134" s="4" t="n">
        <v>23</v>
      </c>
      <c r="I134" s="4" t="n">
        <v>23</v>
      </c>
      <c r="J134" s="5" t="n">
        <v>3.23</v>
      </c>
      <c r="K134" s="5">
        <f>I134*J134</f>
        <v/>
      </c>
      <c r="L134" s="5">
        <f>J134/G134</f>
        <v/>
      </c>
      <c r="M134" s="5" t="n">
        <v>2.28</v>
      </c>
      <c r="N134" s="5" t="n">
        <v>2.19</v>
      </c>
      <c r="O134" s="6">
        <f>L134/M134-1</f>
        <v/>
      </c>
      <c r="P134" s="4" t="n">
        <v>5584</v>
      </c>
      <c r="Q134" s="2" t="inlineStr"/>
    </row>
    <row r="135">
      <c r="A135" s="2" t="n">
        <v>4788</v>
      </c>
      <c r="B135" s="2" t="n">
        <v>13361</v>
      </c>
      <c r="C135" s="3" t="inlineStr">
        <is>
          <t>7898179710065</t>
        </is>
      </c>
      <c r="D135" s="2" t="inlineStr">
        <is>
          <t>DORMEC INF 100MG (20X10) C/200 CPR</t>
        </is>
      </c>
      <c r="E135" s="2" t="inlineStr">
        <is>
          <t>DORMEC 100 MG C/10 (CARTELA)</t>
        </is>
      </c>
      <c r="F135" s="2" t="inlineStr">
        <is>
          <t>IMEC NUTIVIT</t>
        </is>
      </c>
      <c r="G135" s="4" t="n">
        <v>20</v>
      </c>
      <c r="H135" s="4" t="n">
        <v>21</v>
      </c>
      <c r="I135" s="4" t="n">
        <v>2</v>
      </c>
      <c r="J135" s="5" t="n">
        <v>12.12</v>
      </c>
      <c r="K135" s="5">
        <f>I135*J135</f>
        <v/>
      </c>
      <c r="L135" s="5">
        <f>J135/G135</f>
        <v/>
      </c>
      <c r="M135" s="5" t="n">
        <v>0.5885</v>
      </c>
      <c r="N135" s="5" t="n">
        <v>0.5855</v>
      </c>
      <c r="O135" s="6">
        <f>L135/M135-1</f>
        <v/>
      </c>
      <c r="P135" s="4" t="n">
        <v>8600</v>
      </c>
      <c r="Q135" s="2" t="inlineStr">
        <is>
          <t>1 emb. Dimec = 20 un do Radar (pedido = 2 emb.)</t>
        </is>
      </c>
    </row>
    <row r="136">
      <c r="A136" s="2" t="n">
        <v>2454</v>
      </c>
      <c r="B136" s="2" t="n">
        <v>238761</v>
      </c>
      <c r="C136" s="3" t="inlineStr">
        <is>
          <t>7895296100038</t>
        </is>
      </c>
      <c r="D136" s="2" t="inlineStr">
        <is>
          <t>DROSPIRENONA+ETINIL 3+0,03MG C/21 CPR</t>
        </is>
      </c>
      <c r="E136" s="2" t="inlineStr">
        <is>
          <t>DROSPIRENONA+ETINILESTRADIOL 3+0,03MG CX 21 COMP REV</t>
        </is>
      </c>
      <c r="F136" s="2" t="inlineStr">
        <is>
          <t>NOVA QUIMICA GENERICO</t>
        </is>
      </c>
      <c r="G136" s="4" t="n">
        <v>1</v>
      </c>
      <c r="H136" s="4" t="n">
        <v>11</v>
      </c>
      <c r="I136" s="4" t="n">
        <v>11</v>
      </c>
      <c r="J136" s="5" t="n">
        <v>10.44</v>
      </c>
      <c r="K136" s="5">
        <f>I136*J136</f>
        <v/>
      </c>
      <c r="L136" s="5">
        <f>J136/G136</f>
        <v/>
      </c>
      <c r="M136" s="5" t="n">
        <v>10.44</v>
      </c>
      <c r="N136" s="5" t="n">
        <v>8.948700000000001</v>
      </c>
      <c r="O136" s="6">
        <f>L136/M136-1</f>
        <v/>
      </c>
      <c r="P136" s="4" t="n">
        <v>310</v>
      </c>
      <c r="Q136" s="2" t="inlineStr"/>
    </row>
    <row r="137">
      <c r="A137" s="2" t="n">
        <v>270</v>
      </c>
      <c r="B137" s="2" t="n">
        <v>393461</v>
      </c>
      <c r="C137" s="3" t="inlineStr">
        <is>
          <t>7896023701436</t>
        </is>
      </c>
      <c r="D137" s="2" t="inlineStr">
        <is>
          <t>ELIXIR PAREGORICO 30ML GTS</t>
        </is>
      </c>
      <c r="E137" s="2" t="inlineStr">
        <is>
          <t>ELIXIR PAREGORICO 0,05ML/ML SOL OR FR GOT 30ML</t>
        </is>
      </c>
      <c r="F137" s="2" t="inlineStr">
        <is>
          <t>CATARINENSE</t>
        </is>
      </c>
      <c r="G137" s="4" t="n">
        <v>1</v>
      </c>
      <c r="H137" s="4" t="n">
        <v>13</v>
      </c>
      <c r="I137" s="4" t="n">
        <v>13</v>
      </c>
      <c r="J137" s="5" t="n">
        <v>10.65</v>
      </c>
      <c r="K137" s="5">
        <f>I137*J137</f>
        <v/>
      </c>
      <c r="L137" s="5">
        <f>J137/G137</f>
        <v/>
      </c>
      <c r="M137" s="5" t="n">
        <v>10.65</v>
      </c>
      <c r="N137" s="5" t="n">
        <v>10.65</v>
      </c>
      <c r="O137" s="6">
        <f>L137/M137-1</f>
        <v/>
      </c>
      <c r="P137" s="4" t="n">
        <v>2236</v>
      </c>
      <c r="Q137" s="2" t="inlineStr"/>
    </row>
    <row r="138">
      <c r="A138" s="2" t="n">
        <v>6901</v>
      </c>
      <c r="B138" s="2" t="n">
        <v>604941</v>
      </c>
      <c r="C138" s="3" t="inlineStr">
        <is>
          <t>7898687731996</t>
        </is>
      </c>
      <c r="D138" s="2" t="inlineStr">
        <is>
          <t>MELATONINA 210MCG C/120 CPR SUBLINGUAL</t>
        </is>
      </c>
      <c r="E138" s="2" t="inlineStr">
        <is>
          <t>EQUALIV MELATONINA 0,21MG X120</t>
        </is>
      </c>
      <c r="F138" s="2" t="inlineStr">
        <is>
          <t>ALTHAIA</t>
        </is>
      </c>
      <c r="G138" s="4" t="n">
        <v>1</v>
      </c>
      <c r="H138" s="4" t="n">
        <v>1</v>
      </c>
      <c r="I138" s="4" t="n">
        <v>1</v>
      </c>
      <c r="J138" s="5" t="n">
        <v>23.73</v>
      </c>
      <c r="K138" s="5">
        <f>I138*J138</f>
        <v/>
      </c>
      <c r="L138" s="5">
        <f>J138/G138</f>
        <v/>
      </c>
      <c r="M138" s="5" t="n">
        <v>18.9925</v>
      </c>
      <c r="N138" s="5" t="n">
        <v>18.9925</v>
      </c>
      <c r="O138" s="6">
        <f>L138/M138-1</f>
        <v/>
      </c>
      <c r="P138" s="4" t="n">
        <v>75</v>
      </c>
      <c r="Q138" s="2" t="inlineStr"/>
    </row>
    <row r="139">
      <c r="A139" s="2" t="n">
        <v>6875</v>
      </c>
      <c r="B139" s="2" t="n">
        <v>611991</v>
      </c>
      <c r="C139" s="3" t="inlineStr">
        <is>
          <t>17898157722704</t>
        </is>
      </c>
      <c r="D139" s="2" t="inlineStr">
        <is>
          <t>EQUIPO MACROGOTAS LUER LOCK M25</t>
        </is>
      </c>
      <c r="E139" s="2" t="inlineStr">
        <is>
          <t>EQUIPO MACROGOTAS MOD L2 - M25</t>
        </is>
      </c>
      <c r="F139" s="2" t="inlineStr">
        <is>
          <t>LABOR</t>
        </is>
      </c>
      <c r="G139" s="4" t="n">
        <v>1</v>
      </c>
      <c r="H139" s="4" t="n">
        <v>5</v>
      </c>
      <c r="I139" s="4" t="n">
        <v>5</v>
      </c>
      <c r="J139" s="5" t="n">
        <v>0.9</v>
      </c>
      <c r="K139" s="5">
        <f>I139*J139</f>
        <v/>
      </c>
      <c r="L139" s="5">
        <f>J139/G139</f>
        <v/>
      </c>
      <c r="M139" s="5" t="n">
        <v>1.49</v>
      </c>
      <c r="N139" s="5" t="n">
        <v>1.49</v>
      </c>
      <c r="O139" s="6">
        <f>L139/M139-1</f>
        <v/>
      </c>
      <c r="P139" s="4" t="n">
        <v>36475</v>
      </c>
      <c r="Q139" s="2" t="inlineStr"/>
    </row>
    <row r="140">
      <c r="A140" s="2" t="n">
        <v>406</v>
      </c>
      <c r="B140" s="2" t="n">
        <v>234861</v>
      </c>
      <c r="C140" s="3" t="inlineStr">
        <is>
          <t>7895296128124</t>
        </is>
      </c>
      <c r="D140" s="2" t="inlineStr">
        <is>
          <t>ESOP 20MG C/28 CPR</t>
        </is>
      </c>
      <c r="E140" s="2" t="inlineStr">
        <is>
          <t>ESOP 20MG CX 28 COMP REV</t>
        </is>
      </c>
      <c r="F140" s="2" t="inlineStr">
        <is>
          <t>MULTILAB MARCA</t>
        </is>
      </c>
      <c r="G140" s="4" t="n">
        <v>1</v>
      </c>
      <c r="H140" s="4" t="n">
        <v>1</v>
      </c>
      <c r="I140" s="4" t="n">
        <v>1</v>
      </c>
      <c r="J140" s="5" t="n">
        <v>24.96</v>
      </c>
      <c r="K140" s="5">
        <f>I140*J140</f>
        <v/>
      </c>
      <c r="L140" s="5">
        <f>J140/G140</f>
        <v/>
      </c>
      <c r="M140" s="5" t="n">
        <v>21.71</v>
      </c>
      <c r="N140" s="5" t="n">
        <v>21.71</v>
      </c>
      <c r="O140" s="6">
        <f>L140/M140-1</f>
        <v/>
      </c>
      <c r="P140" s="4" t="n">
        <v>1120</v>
      </c>
      <c r="Q140" s="2" t="inlineStr"/>
    </row>
    <row r="141">
      <c r="A141" s="2" t="n">
        <v>1127</v>
      </c>
      <c r="B141" s="2" t="n">
        <v>234881</v>
      </c>
      <c r="C141" s="3" t="inlineStr">
        <is>
          <t>7895296128162</t>
        </is>
      </c>
      <c r="D141" s="2" t="inlineStr">
        <is>
          <t>ESOP 40MG C/28 CPR</t>
        </is>
      </c>
      <c r="E141" s="2" t="inlineStr">
        <is>
          <t>ESOP 40MG CX 28 COMP REV</t>
        </is>
      </c>
      <c r="F141" s="2" t="inlineStr">
        <is>
          <t>MULTILAB MARCA</t>
        </is>
      </c>
      <c r="G141" s="4" t="n">
        <v>1</v>
      </c>
      <c r="H141" s="4" t="n">
        <v>1</v>
      </c>
      <c r="I141" s="4" t="n">
        <v>1</v>
      </c>
      <c r="J141" s="5" t="n">
        <v>43.2</v>
      </c>
      <c r="K141" s="5">
        <f>I141*J141</f>
        <v/>
      </c>
      <c r="L141" s="5">
        <f>J141/G141</f>
        <v/>
      </c>
      <c r="M141" s="5" t="n">
        <v>41.75</v>
      </c>
      <c r="N141" s="5" t="n">
        <v>41.75</v>
      </c>
      <c r="O141" s="6">
        <f>L141/M141-1</f>
        <v/>
      </c>
      <c r="P141" s="4" t="n">
        <v>303</v>
      </c>
      <c r="Q141" s="2" t="inlineStr"/>
    </row>
    <row r="142">
      <c r="A142" s="2" t="n">
        <v>232</v>
      </c>
      <c r="B142" s="2" t="n">
        <v>613791</v>
      </c>
      <c r="C142" s="3" t="inlineStr">
        <is>
          <t>7896544900073</t>
        </is>
      </c>
      <c r="D142" s="2" t="inlineStr">
        <is>
          <t>ESPARADRAPO BRANCO 1,2X4,5 M6</t>
        </is>
      </c>
      <c r="E142" s="2" t="inlineStr">
        <is>
          <t>ESPARAD IMP MISSNER 1,2CMX4,5M</t>
        </is>
      </c>
      <c r="F142" s="2" t="inlineStr">
        <is>
          <t>MISSNER</t>
        </is>
      </c>
      <c r="G142" s="4" t="n">
        <v>1</v>
      </c>
      <c r="H142" s="4" t="n">
        <v>2</v>
      </c>
      <c r="I142" s="4" t="n">
        <v>2</v>
      </c>
      <c r="J142" s="5" t="n">
        <v>2.83</v>
      </c>
      <c r="K142" s="5">
        <f>I142*J142</f>
        <v/>
      </c>
      <c r="L142" s="5">
        <f>J142/G142</f>
        <v/>
      </c>
      <c r="M142" s="5" t="n">
        <v>2.83</v>
      </c>
      <c r="N142" s="5" t="n">
        <v>2.83</v>
      </c>
      <c r="O142" s="6">
        <f>L142/M142-1</f>
        <v/>
      </c>
      <c r="P142" s="4" t="n">
        <v>7547</v>
      </c>
      <c r="Q142" s="2" t="inlineStr"/>
    </row>
    <row r="143">
      <c r="A143" s="2" t="n">
        <v>229</v>
      </c>
      <c r="B143" s="2" t="n">
        <v>540961</v>
      </c>
      <c r="C143" s="3" t="inlineStr">
        <is>
          <t>7896544910102</t>
        </is>
      </c>
      <c r="D143" s="2" t="inlineStr">
        <is>
          <t>ESPARADRAPO BRANCO 10X4,5</t>
        </is>
      </c>
      <c r="E143" s="2" t="inlineStr">
        <is>
          <t>ESPARADRAPO BRANCO 10 X 4,5</t>
        </is>
      </c>
      <c r="F143" s="2" t="inlineStr">
        <is>
          <t>MISSNER</t>
        </is>
      </c>
      <c r="G143" s="4" t="n">
        <v>1</v>
      </c>
      <c r="H143" s="4" t="n">
        <v>13</v>
      </c>
      <c r="I143" s="4" t="n">
        <v>13</v>
      </c>
      <c r="J143" s="5" t="n">
        <v>12.33</v>
      </c>
      <c r="K143" s="5">
        <f>I143*J143</f>
        <v/>
      </c>
      <c r="L143" s="5">
        <f>J143/G143</f>
        <v/>
      </c>
      <c r="M143" s="5" t="n">
        <v>12.32</v>
      </c>
      <c r="N143" s="5" t="n">
        <v>12.32</v>
      </c>
      <c r="O143" s="6">
        <f>L143/M143-1</f>
        <v/>
      </c>
      <c r="P143" s="4" t="n">
        <v>3240</v>
      </c>
      <c r="Q143" s="2" t="inlineStr"/>
    </row>
    <row r="144">
      <c r="A144" s="2" t="n">
        <v>231</v>
      </c>
      <c r="B144" s="2" t="n">
        <v>541301</v>
      </c>
      <c r="C144" s="3" t="inlineStr">
        <is>
          <t>7896544925014</t>
        </is>
      </c>
      <c r="D144" s="2" t="inlineStr">
        <is>
          <t>ESPARADRAPO BRANCO 2,5X0,90 M12*</t>
        </is>
      </c>
      <c r="E144" s="2" t="inlineStr">
        <is>
          <t>ESPARADRAPO IMP BRANCO 2,5CM X 0,90MTS UND QTD. 14.00 UN</t>
        </is>
      </c>
      <c r="F144" s="2" t="inlineStr">
        <is>
          <t>MISSNER</t>
        </is>
      </c>
      <c r="G144" s="4" t="n">
        <v>1</v>
      </c>
      <c r="H144" s="4" t="n">
        <v>17</v>
      </c>
      <c r="I144" s="4" t="n">
        <v>17</v>
      </c>
      <c r="J144" s="5" t="n">
        <v>2.15</v>
      </c>
      <c r="K144" s="5">
        <f>I144*J144</f>
        <v/>
      </c>
      <c r="L144" s="5">
        <f>J144/G144</f>
        <v/>
      </c>
      <c r="M144" s="5" t="n">
        <v>2.15</v>
      </c>
      <c r="N144" s="5" t="n">
        <v>2.15</v>
      </c>
      <c r="O144" s="6">
        <f>L144/M144-1</f>
        <v/>
      </c>
      <c r="P144" s="4" t="n">
        <v>9647</v>
      </c>
      <c r="Q144" s="2" t="inlineStr"/>
    </row>
    <row r="145">
      <c r="A145" s="2" t="n">
        <v>230</v>
      </c>
      <c r="B145" s="2" t="n">
        <v>541421</v>
      </c>
      <c r="C145" s="3" t="inlineStr">
        <is>
          <t>7896544925458</t>
        </is>
      </c>
      <c r="D145" s="2" t="inlineStr">
        <is>
          <t>ESPARADRAPO BRANCO 2,5X4,5 M6*</t>
        </is>
      </c>
      <c r="E145" s="2" t="inlineStr">
        <is>
          <t>ESPARADRAPO IMP BRANCO 2,5CM X 4,5MTS UND QTD. 10.00 UN</t>
        </is>
      </c>
      <c r="F145" s="2" t="inlineStr">
        <is>
          <t>MISSNER</t>
        </is>
      </c>
      <c r="G145" s="4" t="n">
        <v>1</v>
      </c>
      <c r="H145" s="4" t="n">
        <v>41</v>
      </c>
      <c r="I145" s="4" t="n">
        <v>41</v>
      </c>
      <c r="J145" s="5" t="n">
        <v>3.71</v>
      </c>
      <c r="K145" s="5">
        <f>I145*J145</f>
        <v/>
      </c>
      <c r="L145" s="5">
        <f>J145/G145</f>
        <v/>
      </c>
      <c r="M145" s="5" t="n">
        <v>3.71</v>
      </c>
      <c r="N145" s="5" t="n">
        <v>3.71</v>
      </c>
      <c r="O145" s="6">
        <f>L145/M145-1</f>
        <v/>
      </c>
      <c r="P145" s="4" t="n">
        <v>12073</v>
      </c>
      <c r="Q145" s="2" t="inlineStr"/>
    </row>
    <row r="146">
      <c r="A146" s="2" t="n">
        <v>1049</v>
      </c>
      <c r="B146" s="2" t="n">
        <v>552501</v>
      </c>
      <c r="C146" s="3" t="inlineStr">
        <is>
          <t>7896544910058</t>
        </is>
      </c>
      <c r="D146" s="2" t="inlineStr">
        <is>
          <t>ESPARADRAPO BRANCO 5X4,5 M6*</t>
        </is>
      </c>
      <c r="E146" s="2" t="inlineStr">
        <is>
          <t>ESPARADRAPO IMPERM. BRANCO 5CMX4,5M</t>
        </is>
      </c>
      <c r="F146" s="2" t="inlineStr">
        <is>
          <t>MISSNER</t>
        </is>
      </c>
      <c r="G146" s="4" t="n">
        <v>1</v>
      </c>
      <c r="H146" s="4" t="n">
        <v>14</v>
      </c>
      <c r="I146" s="4" t="n">
        <v>14</v>
      </c>
      <c r="J146" s="5" t="n">
        <v>5.98</v>
      </c>
      <c r="K146" s="5">
        <f>I146*J146</f>
        <v/>
      </c>
      <c r="L146" s="5">
        <f>J146/G146</f>
        <v/>
      </c>
      <c r="M146" s="5" t="n">
        <v>5.98</v>
      </c>
      <c r="N146" s="5" t="n">
        <v>5.97</v>
      </c>
      <c r="O146" s="6">
        <f>L146/M146-1</f>
        <v/>
      </c>
      <c r="P146" s="4" t="n">
        <v>5072</v>
      </c>
      <c r="Q146" s="2" t="inlineStr"/>
    </row>
    <row r="147">
      <c r="A147" s="2" t="n">
        <v>8601</v>
      </c>
      <c r="B147" s="2" t="n">
        <v>631171</v>
      </c>
      <c r="C147" s="3" t="inlineStr">
        <is>
          <t>7898687733990</t>
        </is>
      </c>
      <c r="D147" s="2" t="inlineStr">
        <is>
          <t>ETODOLACO 500MG C/14 CPR</t>
        </is>
      </c>
      <c r="E147" s="2" t="inlineStr">
        <is>
          <t>ETODOLACO 500MG CX 14 COMP REV</t>
        </is>
      </c>
      <c r="F147" s="2" t="inlineStr">
        <is>
          <t>ALTHAIA</t>
        </is>
      </c>
      <c r="G147" s="4" t="n">
        <v>1</v>
      </c>
      <c r="H147" s="4" t="n">
        <v>13</v>
      </c>
      <c r="I147" s="4" t="n">
        <v>13</v>
      </c>
      <c r="J147" s="5" t="n">
        <v>19.83</v>
      </c>
      <c r="K147" s="5">
        <f>I147*J147</f>
        <v/>
      </c>
      <c r="L147" s="5">
        <f>J147/G147</f>
        <v/>
      </c>
      <c r="M147" s="5" t="n">
        <v>16.3492</v>
      </c>
      <c r="N147" s="5" t="n">
        <v>16.3492</v>
      </c>
      <c r="O147" s="6">
        <f>L147/M147-1</f>
        <v/>
      </c>
      <c r="P147" s="4" t="n">
        <v>1911</v>
      </c>
      <c r="Q147" s="2" t="inlineStr"/>
    </row>
    <row r="148">
      <c r="A148" s="2" t="n">
        <v>9066</v>
      </c>
      <c r="B148" s="2" t="n">
        <v>607431</v>
      </c>
      <c r="C148" s="3" t="inlineStr">
        <is>
          <t>7897732607897</t>
        </is>
      </c>
      <c r="D148" s="2" t="inlineStr">
        <is>
          <t>EXTRATO DE PROPOLIS VERDE 20ML GTS</t>
        </is>
      </c>
      <c r="E148" s="2" t="inlineStr">
        <is>
          <t>EXTRATO DE PROPOLIS VERDE 30ML</t>
        </is>
      </c>
      <c r="F148" s="2" t="inlineStr">
        <is>
          <t>SOBRAL</t>
        </is>
      </c>
      <c r="G148" s="4" t="n">
        <v>1</v>
      </c>
      <c r="H148" s="4" t="n">
        <v>6</v>
      </c>
      <c r="I148" s="4" t="n">
        <v>6</v>
      </c>
      <c r="J148" s="5" t="n">
        <v>9.76</v>
      </c>
      <c r="K148" s="5">
        <f>I148*J148</f>
        <v/>
      </c>
      <c r="L148" s="5">
        <f>J148/G148</f>
        <v/>
      </c>
      <c r="M148" s="5" t="n">
        <v>9.51</v>
      </c>
      <c r="N148" s="5" t="n">
        <v>9.51</v>
      </c>
      <c r="O148" s="6">
        <f>L148/M148-1</f>
        <v/>
      </c>
      <c r="P148" s="4" t="n">
        <v>1054</v>
      </c>
      <c r="Q148" s="2" t="inlineStr"/>
    </row>
    <row r="149">
      <c r="A149" s="2" t="n">
        <v>9616</v>
      </c>
      <c r="B149" s="2" t="n">
        <v>660351</v>
      </c>
      <c r="C149" s="3" t="inlineStr">
        <is>
          <t>7896472521845</t>
        </is>
      </c>
      <c r="D149" s="2" t="inlineStr">
        <is>
          <t>EZETIMIBA 10MG C/30 CPR</t>
        </is>
      </c>
      <c r="E149" s="2" t="inlineStr">
        <is>
          <t>EZETIMIBA 10MG 30 CPR</t>
        </is>
      </c>
      <c r="F149" s="2" t="inlineStr">
        <is>
          <t>NOVA QUIMICA GENERICO</t>
        </is>
      </c>
      <c r="G149" s="4" t="n">
        <v>1</v>
      </c>
      <c r="H149" s="4" t="n">
        <v>6</v>
      </c>
      <c r="I149" s="4" t="n">
        <v>6</v>
      </c>
      <c r="J149" s="5" t="n">
        <v>16.73</v>
      </c>
      <c r="K149" s="5">
        <f>I149*J149</f>
        <v/>
      </c>
      <c r="L149" s="5">
        <f>J149/G149</f>
        <v/>
      </c>
      <c r="M149" s="5" t="n">
        <v>15.99</v>
      </c>
      <c r="N149" s="5" t="n">
        <v>15.99</v>
      </c>
      <c r="O149" s="6">
        <f>L149/M149-1</f>
        <v/>
      </c>
      <c r="P149" s="4" t="n">
        <v>4</v>
      </c>
      <c r="Q149" s="2" t="inlineStr">
        <is>
          <t>estoque parcial (4)</t>
        </is>
      </c>
    </row>
    <row r="150">
      <c r="A150" s="2" t="n">
        <v>3308</v>
      </c>
      <c r="B150" s="2" t="n">
        <v>243061</v>
      </c>
      <c r="C150" s="3" t="inlineStr">
        <is>
          <t>7898569762674</t>
        </is>
      </c>
      <c r="D150" s="2" t="inlineStr">
        <is>
          <t>EZETIMIBA 10MG C/30 CPR</t>
        </is>
      </c>
      <c r="E150" s="2" t="inlineStr">
        <is>
          <t>EZETIMIBA 10MG CX 30 COMP REV</t>
        </is>
      </c>
      <c r="F150" s="2" t="inlineStr">
        <is>
          <t>ALTHAIA</t>
        </is>
      </c>
      <c r="G150" s="4" t="n">
        <v>1</v>
      </c>
      <c r="H150" s="4" t="n">
        <v>14</v>
      </c>
      <c r="I150" s="4" t="n">
        <v>14</v>
      </c>
      <c r="J150" s="5" t="n">
        <v>16.45</v>
      </c>
      <c r="K150" s="5">
        <f>I150*J150</f>
        <v/>
      </c>
      <c r="L150" s="5">
        <f>J150/G150</f>
        <v/>
      </c>
      <c r="M150" s="5" t="n">
        <v>15.58</v>
      </c>
      <c r="N150" s="5" t="n">
        <v>13.1</v>
      </c>
      <c r="O150" s="6">
        <f>L150/M150-1</f>
        <v/>
      </c>
      <c r="P150" s="4" t="n">
        <v>1155</v>
      </c>
      <c r="Q150" s="2" t="inlineStr"/>
    </row>
    <row r="151">
      <c r="A151" s="2" t="n">
        <v>1172</v>
      </c>
      <c r="B151" s="2" t="n">
        <v>21941</v>
      </c>
      <c r="C151" s="3" t="inlineStr">
        <is>
          <t>7898166040328</t>
        </is>
      </c>
      <c r="D151" s="2" t="inlineStr">
        <is>
          <t>AGUA PARA INJECAO 10ML M5</t>
        </is>
      </c>
      <c r="E151" s="2" t="inlineStr">
        <is>
          <t>FARMACE -AGUA PARA INJECAO 1 ML/ML SOL INJ CX 200 AMP PLAS TRANS X 10 ML</t>
        </is>
      </c>
      <c r="F151" s="2" t="inlineStr">
        <is>
          <t>FARMACE</t>
        </is>
      </c>
      <c r="G151" s="4" t="n">
        <v>1</v>
      </c>
      <c r="H151" s="4" t="n">
        <v>1</v>
      </c>
      <c r="I151" s="4" t="n">
        <v>1</v>
      </c>
      <c r="J151" s="5" t="n">
        <v>0.32</v>
      </c>
      <c r="K151" s="5">
        <f>I151*J151</f>
        <v/>
      </c>
      <c r="L151" s="5">
        <f>J151/G151</f>
        <v/>
      </c>
      <c r="M151" s="5" t="n">
        <v>0.45</v>
      </c>
      <c r="N151" s="5" t="n">
        <v>0.45</v>
      </c>
      <c r="O151" s="6">
        <f>L151/M151-1</f>
        <v/>
      </c>
      <c r="P151" s="4" t="n">
        <v>56315</v>
      </c>
      <c r="Q151" s="2" t="inlineStr"/>
    </row>
    <row r="152">
      <c r="A152" s="2" t="n">
        <v>4011</v>
      </c>
      <c r="B152" s="2" t="n">
        <v>613831</v>
      </c>
      <c r="C152" s="3" t="inlineStr">
        <is>
          <t>7896902234093</t>
        </is>
      </c>
      <c r="D152" s="2" t="inlineStr">
        <is>
          <t>FARMAIODINE 10% 100ML</t>
        </is>
      </c>
      <c r="E152" s="2" t="inlineStr">
        <is>
          <t>FARMAIODINE PVPI 10% 100ML</t>
        </is>
      </c>
      <c r="F152" s="2" t="inlineStr">
        <is>
          <t>FARMAX</t>
        </is>
      </c>
      <c r="G152" s="4" t="n">
        <v>1</v>
      </c>
      <c r="H152" s="4" t="n">
        <v>2</v>
      </c>
      <c r="I152" s="4" t="n">
        <v>2</v>
      </c>
      <c r="J152" s="5" t="n">
        <v>7.42</v>
      </c>
      <c r="K152" s="5">
        <f>I152*J152</f>
        <v/>
      </c>
      <c r="L152" s="5">
        <f>J152/G152</f>
        <v/>
      </c>
      <c r="M152" s="5" t="n">
        <v>7.09</v>
      </c>
      <c r="N152" s="5" t="n">
        <v>7.09</v>
      </c>
      <c r="O152" s="6">
        <f>L152/M152-1</f>
        <v/>
      </c>
      <c r="P152" s="4" t="n">
        <v>1360</v>
      </c>
      <c r="Q152" s="2" t="inlineStr"/>
    </row>
    <row r="153">
      <c r="A153" s="2" t="n">
        <v>7313</v>
      </c>
      <c r="B153" s="2" t="n">
        <v>591221</v>
      </c>
      <c r="C153" s="3" t="inlineStr">
        <is>
          <t>7898216362172</t>
        </is>
      </c>
      <c r="D153" s="2" t="inlineStr">
        <is>
          <t>FARMOXICAM 20MG C/10 CPS</t>
        </is>
      </c>
      <c r="E153" s="2" t="inlineStr">
        <is>
          <t>FARMOXICAM 20MG CX 10 CAP</t>
        </is>
      </c>
      <c r="F153" s="2" t="inlineStr">
        <is>
          <t>PHARLAB</t>
        </is>
      </c>
      <c r="G153" s="4" t="n">
        <v>1</v>
      </c>
      <c r="H153" s="4" t="n">
        <v>4</v>
      </c>
      <c r="I153" s="4" t="n">
        <v>4</v>
      </c>
      <c r="J153" s="5" t="n">
        <v>4.4</v>
      </c>
      <c r="K153" s="5">
        <f>I153*J153</f>
        <v/>
      </c>
      <c r="L153" s="5">
        <f>J153/G153</f>
        <v/>
      </c>
      <c r="M153" s="5" t="n">
        <v>3.52</v>
      </c>
      <c r="N153" s="5" t="n">
        <v>3.52</v>
      </c>
      <c r="O153" s="6">
        <f>L153/M153-1</f>
        <v/>
      </c>
      <c r="P153" s="4" t="n">
        <v>622</v>
      </c>
      <c r="Q153" s="2" t="inlineStr"/>
    </row>
    <row r="154">
      <c r="A154" s="2" t="n">
        <v>3141</v>
      </c>
      <c r="B154" s="2" t="n">
        <v>626071</v>
      </c>
      <c r="C154" s="3" t="inlineStr">
        <is>
          <t>17896023756846</t>
        </is>
      </c>
      <c r="D154" s="2" t="inlineStr">
        <is>
          <t>FIGATIL C/48 FLAC 10ML</t>
        </is>
      </c>
      <c r="E154" s="2" t="inlineStr">
        <is>
          <t>FIGATIL 10ML FLACONETE</t>
        </is>
      </c>
      <c r="F154" s="2" t="inlineStr">
        <is>
          <t>CATARINENSE</t>
        </is>
      </c>
      <c r="G154" s="4" t="n">
        <v>48</v>
      </c>
      <c r="H154" s="4" t="n">
        <v>1</v>
      </c>
      <c r="I154" s="4" t="n">
        <v>1</v>
      </c>
      <c r="J154" s="5" t="n">
        <v>108.31</v>
      </c>
      <c r="K154" s="5">
        <f>I154*J154</f>
        <v/>
      </c>
      <c r="L154" s="5">
        <f>J154/G154</f>
        <v/>
      </c>
      <c r="M154" s="5" t="n">
        <v>2.4223</v>
      </c>
      <c r="N154" s="5" t="n">
        <v>1.1388</v>
      </c>
      <c r="O154" s="6">
        <f>L154/M154-1</f>
        <v/>
      </c>
      <c r="P154" s="4" t="n">
        <v>48</v>
      </c>
      <c r="Q154" s="2" t="inlineStr">
        <is>
          <t>1 emb. Dimec = 48 un do Radar (pedido = 1 emb.)</t>
        </is>
      </c>
    </row>
    <row r="155">
      <c r="A155" s="2" t="n">
        <v>1045</v>
      </c>
      <c r="B155" s="2" t="n">
        <v>532361</v>
      </c>
      <c r="C155" s="3" t="inlineStr">
        <is>
          <t>7896544900011</t>
        </is>
      </c>
      <c r="D155" s="2" t="inlineStr">
        <is>
          <t>FITA MICROPOROSA BRANCO 1,2X4,5 M6</t>
        </is>
      </c>
      <c r="E155" s="2" t="inlineStr">
        <is>
          <t>FITA CIRUGICA MICRO 1,2X4,5 MISSNER</t>
        </is>
      </c>
      <c r="F155" s="2" t="inlineStr">
        <is>
          <t>MISSNER</t>
        </is>
      </c>
      <c r="G155" s="4" t="n">
        <v>1</v>
      </c>
      <c r="H155" s="4" t="n">
        <v>41</v>
      </c>
      <c r="I155" s="4" t="n">
        <v>41</v>
      </c>
      <c r="J155" s="5" t="n">
        <v>2.23</v>
      </c>
      <c r="K155" s="5">
        <f>I155*J155</f>
        <v/>
      </c>
      <c r="L155" s="5">
        <f>J155/G155</f>
        <v/>
      </c>
      <c r="M155" s="5" t="n">
        <v>2.23</v>
      </c>
      <c r="N155" s="5" t="n">
        <v>2.23</v>
      </c>
      <c r="O155" s="6">
        <f>L155/M155-1</f>
        <v/>
      </c>
      <c r="P155" s="4" t="n">
        <v>2663</v>
      </c>
      <c r="Q155" s="2" t="inlineStr"/>
    </row>
    <row r="156">
      <c r="A156" s="2" t="n">
        <v>1047</v>
      </c>
      <c r="B156" s="2" t="n">
        <v>532401</v>
      </c>
      <c r="C156" s="3" t="inlineStr">
        <is>
          <t>7896544900097</t>
        </is>
      </c>
      <c r="D156" s="2" t="inlineStr">
        <is>
          <t>FITA MICROPOROSA BRANCO 2,5X4,5 M6*</t>
        </is>
      </c>
      <c r="E156" s="2" t="inlineStr">
        <is>
          <t>FITA CIRURGICA MICROPOROSA MISSNER 2,5CM X 4,5M</t>
        </is>
      </c>
      <c r="F156" s="2" t="inlineStr">
        <is>
          <t>MISSNER</t>
        </is>
      </c>
      <c r="G156" s="4" t="n">
        <v>1</v>
      </c>
      <c r="H156" s="4" t="n">
        <v>95</v>
      </c>
      <c r="I156" s="4" t="n">
        <v>95</v>
      </c>
      <c r="J156" s="5" t="n">
        <v>3.14</v>
      </c>
      <c r="K156" s="5">
        <f>I156*J156</f>
        <v/>
      </c>
      <c r="L156" s="5">
        <f>J156/G156</f>
        <v/>
      </c>
      <c r="M156" s="5" t="n">
        <v>3.14</v>
      </c>
      <c r="N156" s="5" t="n">
        <v>3.14</v>
      </c>
      <c r="O156" s="6">
        <f>L156/M156-1</f>
        <v/>
      </c>
      <c r="P156" s="4" t="n">
        <v>8361</v>
      </c>
      <c r="Q156" s="2" t="inlineStr"/>
    </row>
    <row r="157">
      <c r="A157" s="2" t="n">
        <v>7377</v>
      </c>
      <c r="B157" s="2" t="n">
        <v>606871</v>
      </c>
      <c r="C157" s="3" t="inlineStr">
        <is>
          <t>7899838831992</t>
        </is>
      </c>
      <c r="D157" s="2" t="inlineStr">
        <is>
          <t>FITA DE KINESIO 5CMX5M BEGE</t>
        </is>
      </c>
      <c r="E157" s="2" t="inlineStr">
        <is>
          <t>FITA DE KINESIO 5CM X 5M BEGE</t>
        </is>
      </c>
      <c r="F157" s="2" t="inlineStr">
        <is>
          <t>MULTILASER</t>
        </is>
      </c>
      <c r="G157" s="4" t="n">
        <v>1</v>
      </c>
      <c r="H157" s="4" t="n">
        <v>1</v>
      </c>
      <c r="I157" s="4" t="n">
        <v>1</v>
      </c>
      <c r="J157" s="5" t="n">
        <v>20.48</v>
      </c>
      <c r="K157" s="5">
        <f>I157*J157</f>
        <v/>
      </c>
      <c r="L157" s="5">
        <f>J157/G157</f>
        <v/>
      </c>
      <c r="M157" s="5" t="n">
        <v>20.48</v>
      </c>
      <c r="N157" s="5" t="n">
        <v>20.48</v>
      </c>
      <c r="O157" s="6">
        <f>L157/M157-1</f>
        <v/>
      </c>
      <c r="P157" s="4" t="n">
        <v>842</v>
      </c>
      <c r="Q157" s="2" t="inlineStr"/>
    </row>
    <row r="158">
      <c r="A158" s="2" t="n">
        <v>7308</v>
      </c>
      <c r="B158" s="2" t="n">
        <v>616141</v>
      </c>
      <c r="C158" s="3" t="inlineStr">
        <is>
          <t>7899838832012</t>
        </is>
      </c>
      <c r="D158" s="2" t="inlineStr">
        <is>
          <t>FITA DE KINESIO 5CMX5M VERMELHA</t>
        </is>
      </c>
      <c r="E158" s="2" t="inlineStr">
        <is>
          <t>FITA DE KINESIO 5CM X 5M VERMELHA</t>
        </is>
      </c>
      <c r="F158" s="2" t="inlineStr">
        <is>
          <t>MULTILASER</t>
        </is>
      </c>
      <c r="G158" s="4" t="n">
        <v>1</v>
      </c>
      <c r="H158" s="4" t="n">
        <v>1</v>
      </c>
      <c r="I158" s="4" t="n">
        <v>1</v>
      </c>
      <c r="J158" s="5" t="n">
        <v>19.89</v>
      </c>
      <c r="K158" s="5">
        <f>I158*J158</f>
        <v/>
      </c>
      <c r="L158" s="5">
        <f>J158/G158</f>
        <v/>
      </c>
      <c r="M158" s="5" t="n">
        <v>18.69</v>
      </c>
      <c r="N158" s="5" t="n">
        <v>18.69</v>
      </c>
      <c r="O158" s="6">
        <f>L158/M158-1</f>
        <v/>
      </c>
      <c r="P158" s="4" t="n">
        <v>699</v>
      </c>
      <c r="Q158" s="2" t="inlineStr"/>
    </row>
    <row r="159">
      <c r="A159" s="2" t="n">
        <v>7428</v>
      </c>
      <c r="B159" s="2" t="n">
        <v>591031</v>
      </c>
      <c r="C159" s="3" t="inlineStr">
        <is>
          <t>7899838832005</t>
        </is>
      </c>
      <c r="D159" s="2" t="inlineStr">
        <is>
          <t>FITA DE KINESIO 5CMX5M AZUL</t>
        </is>
      </c>
      <c r="E159" s="2" t="inlineStr">
        <is>
          <t>FITA KINESIO ROLO 5CMX5M AZUL HC042</t>
        </is>
      </c>
      <c r="F159" s="2" t="inlineStr">
        <is>
          <t>MULTILASER</t>
        </is>
      </c>
      <c r="G159" s="4" t="n">
        <v>1</v>
      </c>
      <c r="H159" s="4" t="n">
        <v>2</v>
      </c>
      <c r="I159" s="4" t="n">
        <v>2</v>
      </c>
      <c r="J159" s="5" t="n">
        <v>20.43</v>
      </c>
      <c r="K159" s="5">
        <f>I159*J159</f>
        <v/>
      </c>
      <c r="L159" s="5">
        <f>J159/G159</f>
        <v/>
      </c>
      <c r="M159" s="5" t="n">
        <v>20.43</v>
      </c>
      <c r="N159" s="5" t="n">
        <v>19.65</v>
      </c>
      <c r="O159" s="6">
        <f>L159/M159-1</f>
        <v/>
      </c>
      <c r="P159" s="4" t="n">
        <v>798</v>
      </c>
      <c r="Q159" s="2" t="inlineStr"/>
    </row>
    <row r="160">
      <c r="A160" s="2" t="n">
        <v>7307</v>
      </c>
      <c r="B160" s="2" t="n">
        <v>594901</v>
      </c>
      <c r="C160" s="3" t="inlineStr">
        <is>
          <t>7899838831985</t>
        </is>
      </c>
      <c r="D160" s="2" t="inlineStr">
        <is>
          <t>FITA DE KINESIO 5CMX5M PRETA</t>
        </is>
      </c>
      <c r="E160" s="2" t="inlineStr">
        <is>
          <t>FITA KINESIO ROLO 5CMX5M PRETA HC040</t>
        </is>
      </c>
      <c r="F160" s="2" t="inlineStr">
        <is>
          <t>MULTILASER</t>
        </is>
      </c>
      <c r="G160" s="4" t="n">
        <v>1</v>
      </c>
      <c r="H160" s="4" t="n">
        <v>1</v>
      </c>
      <c r="I160" s="4" t="n">
        <v>1</v>
      </c>
      <c r="J160" s="5" t="n">
        <v>20.48</v>
      </c>
      <c r="K160" s="5">
        <f>I160*J160</f>
        <v/>
      </c>
      <c r="L160" s="5">
        <f>J160/G160</f>
        <v/>
      </c>
      <c r="M160" s="5" t="n">
        <v>23.3</v>
      </c>
      <c r="N160" s="5" t="n">
        <v>23.3</v>
      </c>
      <c r="O160" s="6">
        <f>L160/M160-1</f>
        <v/>
      </c>
      <c r="P160" s="4" t="n">
        <v>866</v>
      </c>
      <c r="Q160" s="2" t="inlineStr"/>
    </row>
    <row r="161">
      <c r="A161" s="2" t="n">
        <v>1046</v>
      </c>
      <c r="B161" s="2" t="n">
        <v>547461</v>
      </c>
      <c r="C161" s="3" t="inlineStr">
        <is>
          <t>7896544900103</t>
        </is>
      </c>
      <c r="D161" s="2" t="inlineStr">
        <is>
          <t>FITA MICROPOROSA BRANCO 2,5X0,90 M12</t>
        </is>
      </c>
      <c r="E161" s="2" t="inlineStr">
        <is>
          <t>FITA MICROPORO BRANCO 2,5CM X 0,90MTS</t>
        </is>
      </c>
      <c r="F161" s="2" t="inlineStr">
        <is>
          <t>MISSNER</t>
        </is>
      </c>
      <c r="G161" s="4" t="n">
        <v>1</v>
      </c>
      <c r="H161" s="4" t="n">
        <v>28</v>
      </c>
      <c r="I161" s="4" t="n">
        <v>28</v>
      </c>
      <c r="J161" s="5" t="n">
        <v>1.86</v>
      </c>
      <c r="K161" s="5">
        <f>I161*J161</f>
        <v/>
      </c>
      <c r="L161" s="5">
        <f>J161/G161</f>
        <v/>
      </c>
      <c r="M161" s="5" t="n">
        <v>1.86</v>
      </c>
      <c r="N161" s="5" t="n">
        <v>1.86</v>
      </c>
      <c r="O161" s="6">
        <f>L161/M161-1</f>
        <v/>
      </c>
      <c r="P161" s="4" t="n">
        <v>4243</v>
      </c>
      <c r="Q161" s="2" t="inlineStr"/>
    </row>
    <row r="162">
      <c r="A162" s="2" t="n">
        <v>1048</v>
      </c>
      <c r="B162" s="2" t="n">
        <v>541021</v>
      </c>
      <c r="C162" s="3" t="inlineStr">
        <is>
          <t>7896544900158</t>
        </is>
      </c>
      <c r="D162" s="2" t="inlineStr">
        <is>
          <t>FITA MICROPOROSA BRANCO 10X4,5</t>
        </is>
      </c>
      <c r="E162" s="2" t="inlineStr">
        <is>
          <t>FITA MICROPOROSA BRANCO 10 X 4,5</t>
        </is>
      </c>
      <c r="F162" s="2" t="inlineStr">
        <is>
          <t>MISSNER</t>
        </is>
      </c>
      <c r="G162" s="4" t="n">
        <v>1</v>
      </c>
      <c r="H162" s="4" t="n">
        <v>4</v>
      </c>
      <c r="I162" s="4" t="n">
        <v>4</v>
      </c>
      <c r="J162" s="5" t="n">
        <v>8.1</v>
      </c>
      <c r="K162" s="5">
        <f>I162*J162</f>
        <v/>
      </c>
      <c r="L162" s="5">
        <f>J162/G162</f>
        <v/>
      </c>
      <c r="M162" s="5" t="n">
        <v>8.1</v>
      </c>
      <c r="N162" s="5" t="n">
        <v>8.1</v>
      </c>
      <c r="O162" s="6">
        <f>L162/M162-1</f>
        <v/>
      </c>
      <c r="P162" s="4" t="n">
        <v>1862</v>
      </c>
      <c r="Q162" s="2" t="inlineStr"/>
    </row>
    <row r="163">
      <c r="A163" s="2" t="n">
        <v>942</v>
      </c>
      <c r="B163" s="2" t="n">
        <v>541381</v>
      </c>
      <c r="C163" s="3" t="inlineStr">
        <is>
          <t>7896544900165</t>
        </is>
      </c>
      <c r="D163" s="2" t="inlineStr">
        <is>
          <t>FITA MICROPOROSA BRANCO 5X4,5 M6*</t>
        </is>
      </c>
      <c r="E163" s="2" t="inlineStr">
        <is>
          <t>FITA MICROPOROSA BRANCO 5,0CM X 4,5MTS UND QTD. 4.00 UN</t>
        </is>
      </c>
      <c r="F163" s="2" t="inlineStr">
        <is>
          <t>MISSNER</t>
        </is>
      </c>
      <c r="G163" s="4" t="n">
        <v>1</v>
      </c>
      <c r="H163" s="4" t="n">
        <v>33</v>
      </c>
      <c r="I163" s="4" t="n">
        <v>33</v>
      </c>
      <c r="J163" s="5" t="n">
        <v>5.02</v>
      </c>
      <c r="K163" s="5">
        <f>I163*J163</f>
        <v/>
      </c>
      <c r="L163" s="5">
        <f>J163/G163</f>
        <v/>
      </c>
      <c r="M163" s="5" t="n">
        <v>5.02</v>
      </c>
      <c r="N163" s="5" t="n">
        <v>5.02</v>
      </c>
      <c r="O163" s="6">
        <f>L163/M163-1</f>
        <v/>
      </c>
      <c r="P163" s="4" t="n">
        <v>3929</v>
      </c>
      <c r="Q163" s="2" t="inlineStr"/>
    </row>
    <row r="164">
      <c r="A164" s="2" t="n">
        <v>4781</v>
      </c>
      <c r="B164" s="2" t="n">
        <v>606861</v>
      </c>
      <c r="C164" s="3" t="inlineStr">
        <is>
          <t>7894164005239</t>
        </is>
      </c>
      <c r="D164" s="2" t="inlineStr">
        <is>
          <t>FLEX ENEMA 130ML APLICADOR BICO RETO</t>
        </is>
      </c>
      <c r="E164" s="2" t="inlineStr">
        <is>
          <t>FLEXENEMA 130ML (ARL)</t>
        </is>
      </c>
      <c r="F164" s="2" t="inlineStr">
        <is>
          <t>AIRELA</t>
        </is>
      </c>
      <c r="G164" s="4" t="n">
        <v>1</v>
      </c>
      <c r="H164" s="4" t="n">
        <v>3</v>
      </c>
      <c r="I164" s="4" t="n">
        <v>3</v>
      </c>
      <c r="J164" s="5" t="n">
        <v>14.17</v>
      </c>
      <c r="K164" s="5">
        <f>I164*J164</f>
        <v/>
      </c>
      <c r="L164" s="5">
        <f>J164/G164</f>
        <v/>
      </c>
      <c r="M164" s="5" t="n">
        <v>13.49</v>
      </c>
      <c r="N164" s="5" t="n">
        <v>13.49</v>
      </c>
      <c r="O164" s="6">
        <f>L164/M164-1</f>
        <v/>
      </c>
      <c r="P164" s="4" t="n">
        <v>186</v>
      </c>
      <c r="Q164" s="2" t="inlineStr"/>
    </row>
    <row r="165">
      <c r="A165" s="2" t="n">
        <v>2233</v>
      </c>
      <c r="B165" s="2" t="n">
        <v>550941</v>
      </c>
      <c r="C165" s="3" t="inlineStr">
        <is>
          <t>7894488000101</t>
        </is>
      </c>
      <c r="D165" s="2" t="inlineStr">
        <is>
          <t>HASTES SPARTEX C/75 UND</t>
        </is>
      </c>
      <c r="E165" s="2" t="inlineStr">
        <is>
          <t>FLOCONETES SEGUROS E ABSORVENTES 75UN</t>
        </is>
      </c>
      <c r="F165" s="2" t="inlineStr">
        <is>
          <t>SPARTEX</t>
        </is>
      </c>
      <c r="G165" s="4" t="n">
        <v>1</v>
      </c>
      <c r="H165" s="4" t="n">
        <v>2</v>
      </c>
      <c r="I165" s="4" t="n">
        <v>2</v>
      </c>
      <c r="J165" s="5" t="n">
        <v>1.35</v>
      </c>
      <c r="K165" s="5">
        <f>I165*J165</f>
        <v/>
      </c>
      <c r="L165" s="5">
        <f>J165/G165</f>
        <v/>
      </c>
      <c r="M165" s="5" t="n">
        <v>1.35</v>
      </c>
      <c r="N165" s="5" t="n">
        <v>1.35</v>
      </c>
      <c r="O165" s="6">
        <f>L165/M165-1</f>
        <v/>
      </c>
      <c r="P165" s="4" t="n">
        <v>1166</v>
      </c>
      <c r="Q165" s="2" t="inlineStr"/>
    </row>
    <row r="166">
      <c r="A166" s="2" t="n">
        <v>7829</v>
      </c>
      <c r="B166" s="2" t="n">
        <v>660241</v>
      </c>
      <c r="C166" s="3" t="inlineStr">
        <is>
          <t>7896862993665</t>
        </is>
      </c>
      <c r="D166" s="2" t="inlineStr">
        <is>
          <t>GASTROGEL C/20 CPR MASTIGAVEIS MENTA</t>
        </is>
      </c>
      <c r="E166" s="2" t="inlineStr">
        <is>
          <t>GASTROGEL TABS MENTA (CARTELA)</t>
        </is>
      </c>
      <c r="F166" s="2" t="inlineStr">
        <is>
          <t>MEDQUIMICA</t>
        </is>
      </c>
      <c r="G166" s="4" t="n">
        <v>1</v>
      </c>
      <c r="H166" s="4" t="n">
        <v>4</v>
      </c>
      <c r="I166" s="4" t="n">
        <v>4</v>
      </c>
      <c r="J166" s="5" t="n">
        <v>8.529999999999999</v>
      </c>
      <c r="K166" s="5">
        <f>I166*J166</f>
        <v/>
      </c>
      <c r="L166" s="5">
        <f>J166/G166</f>
        <v/>
      </c>
      <c r="M166" s="5" t="n">
        <v>7.99</v>
      </c>
      <c r="N166" s="5" t="n">
        <v>7.99</v>
      </c>
      <c r="O166" s="6">
        <f>L166/M166-1</f>
        <v/>
      </c>
      <c r="P166" s="4" t="n">
        <v>312</v>
      </c>
      <c r="Q166" s="2" t="inlineStr"/>
    </row>
    <row r="167">
      <c r="A167" s="2" t="n">
        <v>1982</v>
      </c>
      <c r="B167" s="2" t="n">
        <v>592591</v>
      </c>
      <c r="C167" s="3" t="inlineStr">
        <is>
          <t>7898556850049</t>
        </is>
      </c>
      <c r="D167" s="2" t="inlineStr">
        <is>
          <t>GEL RILEX 50G MENTA</t>
        </is>
      </c>
      <c r="E167" s="2" t="inlineStr">
        <is>
          <t>GEL INTIMO LUBRIF MENTA 50G RILEX</t>
        </is>
      </c>
      <c r="F167" s="2" t="inlineStr">
        <is>
          <t>RILEX</t>
        </is>
      </c>
      <c r="G167" s="4" t="n">
        <v>1</v>
      </c>
      <c r="H167" s="4" t="n">
        <v>2</v>
      </c>
      <c r="I167" s="4" t="n">
        <v>2</v>
      </c>
      <c r="J167" s="5" t="n">
        <v>7.05</v>
      </c>
      <c r="K167" s="5">
        <f>I167*J167</f>
        <v/>
      </c>
      <c r="L167" s="5">
        <f>J167/G167</f>
        <v/>
      </c>
      <c r="M167" s="5" t="n">
        <v>6.25</v>
      </c>
      <c r="N167" s="5" t="n">
        <v>6.25</v>
      </c>
      <c r="O167" s="6">
        <f>L167/M167-1</f>
        <v/>
      </c>
      <c r="P167" s="4" t="n">
        <v>836</v>
      </c>
      <c r="Q167" s="2" t="inlineStr"/>
    </row>
    <row r="168">
      <c r="A168" s="2" t="n">
        <v>5498</v>
      </c>
      <c r="B168" s="2" t="n">
        <v>557181</v>
      </c>
      <c r="C168" s="3" t="inlineStr">
        <is>
          <t>7898556850506</t>
        </is>
      </c>
      <c r="D168" s="2" t="inlineStr">
        <is>
          <t>GEL RILEX TOY 100G MORANGO</t>
        </is>
      </c>
      <c r="E168" s="2" t="inlineStr">
        <is>
          <t>GEL INTIMO LUBRIF. MORANGO 100G TOY RILE</t>
        </is>
      </c>
      <c r="F168" s="2" t="inlineStr">
        <is>
          <t>RILEX</t>
        </is>
      </c>
      <c r="G168" s="4" t="n">
        <v>1</v>
      </c>
      <c r="H168" s="4" t="n">
        <v>2</v>
      </c>
      <c r="I168" s="4" t="n">
        <v>2</v>
      </c>
      <c r="J168" s="5" t="n">
        <v>15.36</v>
      </c>
      <c r="K168" s="5">
        <f>I168*J168</f>
        <v/>
      </c>
      <c r="L168" s="5">
        <f>J168/G168</f>
        <v/>
      </c>
      <c r="M168" s="5" t="n">
        <v>13.54</v>
      </c>
      <c r="N168" s="5" t="n">
        <v>13.54</v>
      </c>
      <c r="O168" s="6">
        <f>L168/M168-1</f>
        <v/>
      </c>
      <c r="P168" s="4" t="n">
        <v>427</v>
      </c>
      <c r="Q168" s="2" t="inlineStr"/>
    </row>
    <row r="169">
      <c r="A169" s="2" t="n">
        <v>9931</v>
      </c>
      <c r="B169" s="2" t="n">
        <v>630481</v>
      </c>
      <c r="C169" s="3" t="inlineStr">
        <is>
          <t>7898556851084</t>
        </is>
      </c>
      <c r="D169" s="2" t="inlineStr">
        <is>
          <t>GEL RILEX TOYZAO 200G TRADICIONAL</t>
        </is>
      </c>
      <c r="E169" s="2" t="inlineStr">
        <is>
          <t>GEL INTIMO LUBRIF.TRADICIONAL 200G RILEX</t>
        </is>
      </c>
      <c r="F169" s="2" t="inlineStr">
        <is>
          <t>RILEX</t>
        </is>
      </c>
      <c r="G169" s="4" t="n">
        <v>1</v>
      </c>
      <c r="H169" s="4" t="n">
        <v>1</v>
      </c>
      <c r="I169" s="4" t="n">
        <v>1</v>
      </c>
      <c r="J169" s="5" t="n">
        <v>23.26</v>
      </c>
      <c r="K169" s="5">
        <f>I169*J169</f>
        <v/>
      </c>
      <c r="L169" s="5">
        <f>J169/G169</f>
        <v/>
      </c>
      <c r="M169" s="5" t="n">
        <v>24.89</v>
      </c>
      <c r="N169" s="5" t="n">
        <v>24.89</v>
      </c>
      <c r="O169" s="6">
        <f>L169/M169-1</f>
        <v/>
      </c>
      <c r="P169" s="4" t="n">
        <v>111</v>
      </c>
      <c r="Q169" s="2" t="inlineStr"/>
    </row>
    <row r="170">
      <c r="A170" s="2" t="n">
        <v>1983</v>
      </c>
      <c r="B170" s="2" t="n">
        <v>584681</v>
      </c>
      <c r="C170" s="3" t="inlineStr">
        <is>
          <t>7898556850025</t>
        </is>
      </c>
      <c r="D170" s="2" t="inlineStr">
        <is>
          <t>GEL RILEX 50G MORANGO</t>
        </is>
      </c>
      <c r="E170" s="2" t="inlineStr">
        <is>
          <t>GEL LUBRIFICANTE RILEX MORANGO 50G</t>
        </is>
      </c>
      <c r="F170" s="2" t="inlineStr">
        <is>
          <t>RILEX</t>
        </is>
      </c>
      <c r="G170" s="4" t="n">
        <v>1</v>
      </c>
      <c r="H170" s="4" t="n">
        <v>2</v>
      </c>
      <c r="I170" s="4" t="n">
        <v>2</v>
      </c>
      <c r="J170" s="5" t="n">
        <v>7.07</v>
      </c>
      <c r="K170" s="5">
        <f>I170*J170</f>
        <v/>
      </c>
      <c r="L170" s="5">
        <f>J170/G170</f>
        <v/>
      </c>
      <c r="M170" s="5" t="n">
        <v>6.25</v>
      </c>
      <c r="N170" s="5" t="n">
        <v>6.25</v>
      </c>
      <c r="O170" s="6">
        <f>L170/M170-1</f>
        <v/>
      </c>
      <c r="P170" s="4" t="n">
        <v>1375</v>
      </c>
      <c r="Q170" s="2" t="inlineStr"/>
    </row>
    <row r="171">
      <c r="A171" s="2" t="n">
        <v>1951</v>
      </c>
      <c r="B171" s="2" t="n">
        <v>584661</v>
      </c>
      <c r="C171" s="3" t="inlineStr">
        <is>
          <t>7898903991951</t>
        </is>
      </c>
      <c r="D171" s="2" t="inlineStr">
        <is>
          <t>GEL RILEX 50G TRADICIONAL</t>
        </is>
      </c>
      <c r="E171" s="2" t="inlineStr">
        <is>
          <t>GEL LUBRIFICANTE RILEX TRADIOCIONAL 50G</t>
        </is>
      </c>
      <c r="F171" s="2" t="inlineStr">
        <is>
          <t>RILEX</t>
        </is>
      </c>
      <c r="G171" s="4" t="n">
        <v>1</v>
      </c>
      <c r="H171" s="4" t="n">
        <v>1</v>
      </c>
      <c r="I171" s="4" t="n">
        <v>1</v>
      </c>
      <c r="J171" s="5" t="n">
        <v>6.64</v>
      </c>
      <c r="K171" s="5">
        <f>I171*J171</f>
        <v/>
      </c>
      <c r="L171" s="5">
        <f>J171/G171</f>
        <v/>
      </c>
      <c r="M171" s="5" t="n">
        <v>6.57</v>
      </c>
      <c r="N171" s="5" t="n">
        <v>6.57</v>
      </c>
      <c r="O171" s="6">
        <f>L171/M171-1</f>
        <v/>
      </c>
      <c r="P171" s="4" t="n">
        <v>1052</v>
      </c>
      <c r="Q171" s="2" t="inlineStr"/>
    </row>
    <row r="172">
      <c r="A172" s="2" t="n">
        <v>10354</v>
      </c>
      <c r="B172" s="2" t="n">
        <v>691301</v>
      </c>
      <c r="C172" s="3" t="inlineStr">
        <is>
          <t>7898741951353</t>
        </is>
      </c>
      <c r="D172" s="2" t="inlineStr">
        <is>
          <t>GEL MASSAGEM BLUE ICE 240G</t>
        </is>
      </c>
      <c r="E172" s="2" t="inlineStr">
        <is>
          <t>GEL MASSAGEADOR BLUE ICE 240G</t>
        </is>
      </c>
      <c r="F172" s="2" t="inlineStr">
        <is>
          <t>APINIL</t>
        </is>
      </c>
      <c r="G172" s="4" t="n">
        <v>1</v>
      </c>
      <c r="H172" s="4" t="n">
        <v>1</v>
      </c>
      <c r="I172" s="4" t="n">
        <v>1</v>
      </c>
      <c r="J172" s="5" t="n">
        <v>6.15</v>
      </c>
      <c r="K172" s="5">
        <f>I172*J172</f>
        <v/>
      </c>
      <c r="L172" s="5">
        <f>J172/G172</f>
        <v/>
      </c>
      <c r="M172" s="5" t="n">
        <v>6.15</v>
      </c>
      <c r="N172" s="5" t="n">
        <v>6.15</v>
      </c>
      <c r="O172" s="6">
        <f>L172/M172-1</f>
        <v/>
      </c>
      <c r="P172" s="4" t="n">
        <v>60</v>
      </c>
      <c r="Q172" s="2" t="inlineStr"/>
    </row>
    <row r="173">
      <c r="A173" s="2" t="n">
        <v>7193</v>
      </c>
      <c r="B173" s="2" t="n">
        <v>691801</v>
      </c>
      <c r="C173" s="3" t="inlineStr">
        <is>
          <t>7898936049612</t>
        </is>
      </c>
      <c r="D173" s="2" t="inlineStr">
        <is>
          <t>GEL MASSAGEM 17 ERVAS 250G POTE</t>
        </is>
      </c>
      <c r="E173" s="2" t="inlineStr">
        <is>
          <t>GEL MASSAGEM 17 ERVAS 250G POTE</t>
        </is>
      </c>
      <c r="F173" s="2" t="inlineStr">
        <is>
          <t>APINIL</t>
        </is>
      </c>
      <c r="G173" s="4" t="n">
        <v>1</v>
      </c>
      <c r="H173" s="4" t="n">
        <v>1</v>
      </c>
      <c r="I173" s="4" t="n">
        <v>1</v>
      </c>
      <c r="J173" s="5" t="n">
        <v>4.19</v>
      </c>
      <c r="K173" s="5">
        <f>I173*J173</f>
        <v/>
      </c>
      <c r="L173" s="5">
        <f>J173/G173</f>
        <v/>
      </c>
      <c r="M173" s="5" t="n">
        <v>4.19</v>
      </c>
      <c r="N173" s="5" t="n">
        <v>4.19</v>
      </c>
      <c r="O173" s="6">
        <f>L173/M173-1</f>
        <v/>
      </c>
      <c r="P173" s="4" t="n">
        <v>1147</v>
      </c>
      <c r="Q173" s="2" t="inlineStr"/>
    </row>
    <row r="174">
      <c r="A174" s="2" t="n">
        <v>9398</v>
      </c>
      <c r="B174" s="2" t="n">
        <v>691601</v>
      </c>
      <c r="C174" s="3" t="inlineStr">
        <is>
          <t>7898936049704</t>
        </is>
      </c>
      <c r="D174" s="2" t="inlineStr">
        <is>
          <t>GEL MASSAGEM ARNICA E COPAIBA 250G POTE</t>
        </is>
      </c>
      <c r="E174" s="2" t="inlineStr">
        <is>
          <t>GEL MASSAGEM ARNICA E COPAIBA 250G POTE</t>
        </is>
      </c>
      <c r="F174" s="2" t="inlineStr">
        <is>
          <t>APINIL</t>
        </is>
      </c>
      <c r="G174" s="4" t="n">
        <v>1</v>
      </c>
      <c r="H174" s="4" t="n">
        <v>10</v>
      </c>
      <c r="I174" s="4" t="n">
        <v>10</v>
      </c>
      <c r="J174" s="5" t="n">
        <v>3.67</v>
      </c>
      <c r="K174" s="5">
        <f>I174*J174</f>
        <v/>
      </c>
      <c r="L174" s="5">
        <f>J174/G174</f>
        <v/>
      </c>
      <c r="M174" s="5" t="n">
        <v>3.67</v>
      </c>
      <c r="N174" s="5" t="n">
        <v>3.67</v>
      </c>
      <c r="O174" s="6">
        <f>L174/M174-1</f>
        <v/>
      </c>
      <c r="P174" s="4" t="n">
        <v>676</v>
      </c>
      <c r="Q174" s="2" t="inlineStr"/>
    </row>
    <row r="175">
      <c r="A175" s="2" t="n">
        <v>8354</v>
      </c>
      <c r="B175" s="2" t="n">
        <v>627931</v>
      </c>
      <c r="C175" s="3" t="inlineStr">
        <is>
          <t>7898741950288</t>
        </is>
      </c>
      <c r="D175" s="2" t="inlineStr">
        <is>
          <t>GEL MASSAGEM COPAIBA 190G FRASCO</t>
        </is>
      </c>
      <c r="E175" s="2" t="inlineStr">
        <is>
          <t>GEL MASSAGEM COPAIBA 190G FRASCO</t>
        </is>
      </c>
      <c r="F175" s="2" t="inlineStr">
        <is>
          <t>APINIL</t>
        </is>
      </c>
      <c r="G175" s="4" t="n">
        <v>1</v>
      </c>
      <c r="H175" s="4" t="n">
        <v>2</v>
      </c>
      <c r="I175" s="4" t="n">
        <v>2</v>
      </c>
      <c r="J175" s="5" t="n">
        <v>4.36</v>
      </c>
      <c r="K175" s="5">
        <f>I175*J175</f>
        <v/>
      </c>
      <c r="L175" s="5">
        <f>J175/G175</f>
        <v/>
      </c>
      <c r="M175" s="5" t="n">
        <v>4.36</v>
      </c>
      <c r="N175" s="5" t="n">
        <v>4.36</v>
      </c>
      <c r="O175" s="6">
        <f>L175/M175-1</f>
        <v/>
      </c>
      <c r="P175" s="4" t="n">
        <v>335</v>
      </c>
      <c r="Q175" s="2" t="inlineStr"/>
    </row>
    <row r="176">
      <c r="A176" s="2" t="n">
        <v>7190</v>
      </c>
      <c r="B176" s="2" t="n">
        <v>627901</v>
      </c>
      <c r="C176" s="3" t="inlineStr">
        <is>
          <t>7898936049506</t>
        </is>
      </c>
      <c r="D176" s="2" t="inlineStr">
        <is>
          <t>GEL MASSAGEM EXTRA FORTE ANDIROBA 200G</t>
        </is>
      </c>
      <c r="E176" s="2" t="inlineStr">
        <is>
          <t>GEL MASSAGEM EXTRA FORTE ANDIROBA 200G</t>
        </is>
      </c>
      <c r="F176" s="2" t="inlineStr">
        <is>
          <t>APINIL</t>
        </is>
      </c>
      <c r="G176" s="4" t="n">
        <v>1</v>
      </c>
      <c r="H176" s="4" t="n">
        <v>2</v>
      </c>
      <c r="I176" s="4" t="n">
        <v>2</v>
      </c>
      <c r="J176" s="5" t="n">
        <v>4.39</v>
      </c>
      <c r="K176" s="5">
        <f>I176*J176</f>
        <v/>
      </c>
      <c r="L176" s="5">
        <f>J176/G176</f>
        <v/>
      </c>
      <c r="M176" s="5" t="n">
        <v>4.41</v>
      </c>
      <c r="N176" s="5" t="n">
        <v>4.41</v>
      </c>
      <c r="O176" s="6">
        <f>L176/M176-1</f>
        <v/>
      </c>
      <c r="P176" s="4" t="n">
        <v>592</v>
      </c>
      <c r="Q176" s="2" t="inlineStr"/>
    </row>
    <row r="177">
      <c r="A177" s="2" t="n">
        <v>7192</v>
      </c>
      <c r="B177" s="2" t="n">
        <v>627921</v>
      </c>
      <c r="C177" s="3" t="inlineStr">
        <is>
          <t>7898936049278</t>
        </is>
      </c>
      <c r="D177" s="2" t="inlineStr">
        <is>
          <t>GEL MASSAGEM TUBARAO BRANCO 250G POTE</t>
        </is>
      </c>
      <c r="E177" s="2" t="inlineStr">
        <is>
          <t>GEL MASSAGEM TUBARAO BRANCO 250G POTE</t>
        </is>
      </c>
      <c r="F177" s="2" t="inlineStr">
        <is>
          <t>APINIL</t>
        </is>
      </c>
      <c r="G177" s="4" t="n">
        <v>1</v>
      </c>
      <c r="H177" s="4" t="n">
        <v>5</v>
      </c>
      <c r="I177" s="4" t="n">
        <v>5</v>
      </c>
      <c r="J177" s="5" t="n">
        <v>3.7</v>
      </c>
      <c r="K177" s="5">
        <f>I177*J177</f>
        <v/>
      </c>
      <c r="L177" s="5">
        <f>J177/G177</f>
        <v/>
      </c>
      <c r="M177" s="5" t="n">
        <v>3.7</v>
      </c>
      <c r="N177" s="5" t="n">
        <v>3.7</v>
      </c>
      <c r="O177" s="6">
        <f>L177/M177-1</f>
        <v/>
      </c>
      <c r="P177" s="4" t="n">
        <v>951</v>
      </c>
      <c r="Q177" s="2" t="inlineStr"/>
    </row>
    <row r="178">
      <c r="A178" s="2" t="n">
        <v>7509</v>
      </c>
      <c r="B178" s="2" t="n">
        <v>610041</v>
      </c>
      <c r="C178" s="3" t="inlineStr">
        <is>
          <t>7898719040195</t>
        </is>
      </c>
      <c r="D178" s="2" t="inlineStr">
        <is>
          <t>GELOFLAN BALSAMO 120ML AEROSOL</t>
        </is>
      </c>
      <c r="E178" s="2" t="inlineStr">
        <is>
          <t>GELOFLAN BALSAMO AEROSSOL 120ML</t>
        </is>
      </c>
      <c r="F178" s="2" t="inlineStr">
        <is>
          <t>AVVIO PHARMA</t>
        </is>
      </c>
      <c r="G178" s="4" t="n">
        <v>1</v>
      </c>
      <c r="H178" s="4" t="n">
        <v>3</v>
      </c>
      <c r="I178" s="4" t="n">
        <v>3</v>
      </c>
      <c r="J178" s="5" t="n">
        <v>12.1</v>
      </c>
      <c r="K178" s="5">
        <f>I178*J178</f>
        <v/>
      </c>
      <c r="L178" s="5">
        <f>J178/G178</f>
        <v/>
      </c>
      <c r="M178" s="5" t="n">
        <v>12.59</v>
      </c>
      <c r="N178" s="5" t="n">
        <v>12.1</v>
      </c>
      <c r="O178" s="6">
        <f>L178/M178-1</f>
        <v/>
      </c>
      <c r="P178" s="4" t="n">
        <v>471</v>
      </c>
      <c r="Q178" s="2" t="inlineStr"/>
    </row>
    <row r="179">
      <c r="A179" s="2" t="n">
        <v>8419</v>
      </c>
      <c r="B179" s="2" t="n">
        <v>324</v>
      </c>
      <c r="C179" s="3" t="inlineStr">
        <is>
          <t>7896920305225</t>
        </is>
      </c>
      <c r="D179" s="2" t="inlineStr">
        <is>
          <t>GEROFOR TESTO C/60 CPS</t>
        </is>
      </c>
      <c r="E179" s="2" t="inlineStr">
        <is>
          <t>GEROFOR TESTO C/60 CAPS</t>
        </is>
      </c>
      <c r="F179" s="2" t="inlineStr">
        <is>
          <t>ECOFITUS</t>
        </is>
      </c>
      <c r="G179" s="4" t="n">
        <v>1</v>
      </c>
      <c r="H179" s="4" t="n">
        <v>1</v>
      </c>
      <c r="I179" s="4" t="n">
        <v>1</v>
      </c>
      <c r="J179" s="5" t="n">
        <v>42.612902</v>
      </c>
      <c r="K179" s="5">
        <f>I179*J179</f>
        <v/>
      </c>
      <c r="L179" s="5">
        <f>J179/G179</f>
        <v/>
      </c>
      <c r="M179" s="5" t="n">
        <v>37.48</v>
      </c>
      <c r="N179" s="5" t="n">
        <v>37.48</v>
      </c>
      <c r="O179" s="6">
        <f>L179/M179-1</f>
        <v/>
      </c>
      <c r="P179" s="4" t="n">
        <v>564</v>
      </c>
      <c r="Q179" s="2" t="inlineStr"/>
    </row>
    <row r="180">
      <c r="A180" s="2" t="n">
        <v>3877</v>
      </c>
      <c r="B180" s="2" t="n">
        <v>599261</v>
      </c>
      <c r="C180" s="3" t="inlineStr">
        <is>
          <t>7899620911840</t>
        </is>
      </c>
      <c r="D180" s="2" t="inlineStr">
        <is>
          <t>GLICENIX LAC C/06 SUPOSITORIOS</t>
        </is>
      </c>
      <c r="E180" s="2" t="inlineStr">
        <is>
          <t>GLICENIX (N.S.) 0,91G CX 6 GLICEROL LACTENTE</t>
        </is>
      </c>
      <c r="F180" s="2" t="inlineStr">
        <is>
          <t>GLOBO PHARMA</t>
        </is>
      </c>
      <c r="G180" s="4" t="n">
        <v>1</v>
      </c>
      <c r="H180" s="4" t="n">
        <v>4</v>
      </c>
      <c r="I180" s="4" t="n">
        <v>4</v>
      </c>
      <c r="J180" s="5" t="n">
        <v>5.94</v>
      </c>
      <c r="K180" s="5">
        <f>I180*J180</f>
        <v/>
      </c>
      <c r="L180" s="5">
        <f>J180/G180</f>
        <v/>
      </c>
      <c r="M180" s="5" t="n">
        <v>5.79</v>
      </c>
      <c r="N180" s="5" t="n">
        <v>5.79</v>
      </c>
      <c r="O180" s="6">
        <f>L180/M180-1</f>
        <v/>
      </c>
      <c r="P180" s="4" t="n">
        <v>113</v>
      </c>
      <c r="Q180" s="2" t="inlineStr"/>
    </row>
    <row r="181">
      <c r="A181" s="2" t="n">
        <v>3448</v>
      </c>
      <c r="B181" s="2" t="n">
        <v>601411</v>
      </c>
      <c r="C181" s="3" t="inlineStr">
        <is>
          <t>7899620911833</t>
        </is>
      </c>
      <c r="D181" s="2" t="inlineStr">
        <is>
          <t>GLICENIX PED C/06 SUPOSITORIOS</t>
        </is>
      </c>
      <c r="E181" s="2" t="inlineStr">
        <is>
          <t>GLICENIX (N.S.) 1,37G CX 6 GLICEROL PED</t>
        </is>
      </c>
      <c r="F181" s="2" t="inlineStr">
        <is>
          <t>GLOBO PHARMA</t>
        </is>
      </c>
      <c r="G181" s="4" t="n">
        <v>1</v>
      </c>
      <c r="H181" s="4" t="n">
        <v>5</v>
      </c>
      <c r="I181" s="4" t="n">
        <v>5</v>
      </c>
      <c r="J181" s="5" t="n">
        <v>6.05</v>
      </c>
      <c r="K181" s="5">
        <f>I181*J181</f>
        <v/>
      </c>
      <c r="L181" s="5">
        <f>J181/G181</f>
        <v/>
      </c>
      <c r="M181" s="5" t="n">
        <v>5.68</v>
      </c>
      <c r="N181" s="5" t="n">
        <v>5.68</v>
      </c>
      <c r="O181" s="6">
        <f>L181/M181-1</f>
        <v/>
      </c>
      <c r="P181" s="4" t="n">
        <v>765</v>
      </c>
      <c r="Q181" s="2" t="inlineStr"/>
    </row>
    <row r="182">
      <c r="A182" s="2" t="n">
        <v>5424</v>
      </c>
      <c r="B182" s="2" t="n">
        <v>584761</v>
      </c>
      <c r="C182" s="3" t="inlineStr">
        <is>
          <t>7896902217614</t>
        </is>
      </c>
      <c r="D182" s="2" t="inlineStr">
        <is>
          <t>GLICERINA PURA 100ML</t>
        </is>
      </c>
      <c r="E182" s="2" t="inlineStr">
        <is>
          <t>GLICERINA PURA 100ML</t>
        </is>
      </c>
      <c r="F182" s="2" t="inlineStr">
        <is>
          <t>FARMAX</t>
        </is>
      </c>
      <c r="G182" s="4" t="n">
        <v>1</v>
      </c>
      <c r="H182" s="4" t="n">
        <v>6</v>
      </c>
      <c r="I182" s="4" t="n">
        <v>6</v>
      </c>
      <c r="J182" s="5" t="n">
        <v>6.76</v>
      </c>
      <c r="K182" s="5">
        <f>I182*J182</f>
        <v/>
      </c>
      <c r="L182" s="5">
        <f>J182/G182</f>
        <v/>
      </c>
      <c r="M182" s="5" t="n">
        <v>6.04</v>
      </c>
      <c r="N182" s="5" t="n">
        <v>5.85</v>
      </c>
      <c r="O182" s="6">
        <f>L182/M182-1</f>
        <v/>
      </c>
      <c r="P182" s="4" t="n">
        <v>269</v>
      </c>
      <c r="Q182" s="2" t="inlineStr"/>
    </row>
    <row r="183">
      <c r="A183" s="2" t="n">
        <v>1541</v>
      </c>
      <c r="B183" s="2" t="n">
        <v>531401</v>
      </c>
      <c r="C183" s="3" t="inlineStr">
        <is>
          <t>7898216360604</t>
        </is>
      </c>
      <c r="D183" s="2" t="inlineStr">
        <is>
          <t>GLICLAZIDA 30MG C/30 CPR</t>
        </is>
      </c>
      <c r="E183" s="2" t="inlineStr">
        <is>
          <t>GLICLAZIDA 30MG CX 30 COMP LIB PROL</t>
        </is>
      </c>
      <c r="F183" s="2" t="inlineStr">
        <is>
          <t>PHARLAB</t>
        </is>
      </c>
      <c r="G183" s="4" t="n">
        <v>1</v>
      </c>
      <c r="H183" s="4" t="n">
        <v>7</v>
      </c>
      <c r="I183" s="4" t="n">
        <v>7</v>
      </c>
      <c r="J183" s="5" t="n">
        <v>9.67</v>
      </c>
      <c r="K183" s="5">
        <f>I183*J183</f>
        <v/>
      </c>
      <c r="L183" s="5">
        <f>J183/G183</f>
        <v/>
      </c>
      <c r="M183" s="5" t="n">
        <v>8.300000000000001</v>
      </c>
      <c r="N183" s="5" t="n">
        <v>8.300000000000001</v>
      </c>
      <c r="O183" s="6">
        <f>L183/M183-1</f>
        <v/>
      </c>
      <c r="P183" s="4" t="n">
        <v>1958</v>
      </c>
      <c r="Q183" s="2" t="inlineStr"/>
    </row>
    <row r="184">
      <c r="A184" s="2" t="n">
        <v>1253</v>
      </c>
      <c r="B184" s="2" t="n">
        <v>532961</v>
      </c>
      <c r="C184" s="3" t="inlineStr">
        <is>
          <t>7898100242962</t>
        </is>
      </c>
      <c r="D184" s="2" t="inlineStr">
        <is>
          <t>GRIPALCE (20X10) C/200 CPS</t>
        </is>
      </c>
      <c r="E184" s="2" t="inlineStr">
        <is>
          <t>GRIPALCE 400MG+4MG+4MG CARTELA C/10 CP</t>
        </is>
      </c>
      <c r="F184" s="2" t="inlineStr">
        <is>
          <t>BRASTERAPICA</t>
        </is>
      </c>
      <c r="G184" s="4" t="n">
        <v>20</v>
      </c>
      <c r="H184" s="4" t="n">
        <v>18</v>
      </c>
      <c r="I184" s="4" t="n">
        <v>1</v>
      </c>
      <c r="J184" s="5" t="n">
        <v>44.97</v>
      </c>
      <c r="K184" s="5">
        <f>I184*J184</f>
        <v/>
      </c>
      <c r="L184" s="5">
        <f>J184/G184</f>
        <v/>
      </c>
      <c r="M184" s="5" t="n">
        <v>1.9845</v>
      </c>
      <c r="N184" s="5" t="n">
        <v>1.85</v>
      </c>
      <c r="O184" s="6">
        <f>L184/M184-1</f>
        <v/>
      </c>
      <c r="P184" s="4" t="n">
        <v>1714</v>
      </c>
      <c r="Q184" s="2" t="inlineStr">
        <is>
          <t>1 emb. Dimec = 20 un do Radar (pedido = 1 emb.)</t>
        </is>
      </c>
    </row>
    <row r="185">
      <c r="A185" s="2" t="n">
        <v>6660</v>
      </c>
      <c r="B185" s="2" t="n">
        <v>330261</v>
      </c>
      <c r="C185" s="3" t="inlineStr">
        <is>
          <t>7898100244454</t>
        </is>
      </c>
      <c r="D185" s="2" t="inlineStr">
        <is>
          <t>GRIPALCE (20X5) C/100 CPS</t>
        </is>
      </c>
      <c r="E185" s="2" t="inlineStr">
        <is>
          <t>GRIPALCE CX 20BL X 5 COMP</t>
        </is>
      </c>
      <c r="F185" s="2" t="inlineStr">
        <is>
          <t>BRASTERAPICA</t>
        </is>
      </c>
      <c r="G185" s="4" t="n">
        <v>20</v>
      </c>
      <c r="H185" s="4" t="n">
        <v>107</v>
      </c>
      <c r="I185" s="4" t="n">
        <v>6</v>
      </c>
      <c r="J185" s="5" t="n">
        <v>26.99</v>
      </c>
      <c r="K185" s="5">
        <f>I185*J185</f>
        <v/>
      </c>
      <c r="L185" s="5">
        <f>J185/G185</f>
        <v/>
      </c>
      <c r="M185" s="5" t="n">
        <v>1.0425</v>
      </c>
      <c r="N185" s="5" t="n">
        <v>1.0425</v>
      </c>
      <c r="O185" s="6">
        <f>L185/M185-1</f>
        <v/>
      </c>
      <c r="P185" s="4" t="n">
        <v>100</v>
      </c>
      <c r="Q185" s="2" t="inlineStr">
        <is>
          <t>1 emb. Dimec = 20 un do Radar (pedido = 6 emb.)</t>
        </is>
      </c>
    </row>
    <row r="186">
      <c r="A186" s="2" t="n">
        <v>1067</v>
      </c>
      <c r="B186" s="2" t="n">
        <v>648351</v>
      </c>
      <c r="C186" s="3" t="inlineStr">
        <is>
          <t>7898108640623</t>
        </is>
      </c>
      <c r="D186" s="2" t="inlineStr">
        <is>
          <t>HASTES SANCARE C/75 UND*</t>
        </is>
      </c>
      <c r="E186" s="2" t="inlineStr">
        <is>
          <t>HASTES FLEX SANCARE 75UN</t>
        </is>
      </c>
      <c r="F186" s="2" t="inlineStr">
        <is>
          <t>SANFARMA</t>
        </is>
      </c>
      <c r="G186" s="4" t="n">
        <v>1</v>
      </c>
      <c r="H186" s="4" t="n">
        <v>1</v>
      </c>
      <c r="I186" s="4" t="n">
        <v>1</v>
      </c>
      <c r="J186" s="5" t="n">
        <v>1.78</v>
      </c>
      <c r="K186" s="5">
        <f>I186*J186</f>
        <v/>
      </c>
      <c r="L186" s="5">
        <f>J186/G186</f>
        <v/>
      </c>
      <c r="M186" s="5" t="n">
        <v>1.8442</v>
      </c>
      <c r="N186" s="5" t="n">
        <v>1.8442</v>
      </c>
      <c r="O186" s="6">
        <f>L186/M186-1</f>
        <v/>
      </c>
      <c r="P186" s="4" t="n">
        <v>929</v>
      </c>
      <c r="Q186" s="2" t="inlineStr"/>
    </row>
    <row r="187">
      <c r="A187" s="2" t="n">
        <v>5565</v>
      </c>
      <c r="B187" s="2" t="n">
        <v>531481</v>
      </c>
      <c r="C187" s="3" t="inlineStr">
        <is>
          <t>7894164005420</t>
        </is>
      </c>
      <c r="D187" s="2" t="inlineStr">
        <is>
          <t>HIDRALI 45 500ML SUS LARANJA</t>
        </is>
      </c>
      <c r="E187" s="2" t="inlineStr">
        <is>
          <t>HIDRALI 500ML LARANJA AIRELA</t>
        </is>
      </c>
      <c r="F187" s="2" t="inlineStr">
        <is>
          <t>AIRELA</t>
        </is>
      </c>
      <c r="G187" s="4" t="n">
        <v>1</v>
      </c>
      <c r="H187" s="4" t="n">
        <v>7</v>
      </c>
      <c r="I187" s="4" t="n">
        <v>7</v>
      </c>
      <c r="J187" s="5" t="n">
        <v>8.359999999999999</v>
      </c>
      <c r="K187" s="5">
        <f>I187*J187</f>
        <v/>
      </c>
      <c r="L187" s="5">
        <f>J187/G187</f>
        <v/>
      </c>
      <c r="M187" s="5" t="n">
        <v>8.300000000000001</v>
      </c>
      <c r="N187" s="5" t="n">
        <v>7.97</v>
      </c>
      <c r="O187" s="6">
        <f>L187/M187-1</f>
        <v/>
      </c>
      <c r="P187" s="4" t="n">
        <v>18</v>
      </c>
      <c r="Q187" s="2" t="inlineStr"/>
    </row>
    <row r="188">
      <c r="A188" s="2" t="n">
        <v>5688</v>
      </c>
      <c r="B188" s="2" t="n">
        <v>531501</v>
      </c>
      <c r="C188" s="3" t="inlineStr">
        <is>
          <t>7894164005406</t>
        </is>
      </c>
      <c r="D188" s="2" t="inlineStr">
        <is>
          <t>HIDRALI 45 500ML SUS UVA</t>
        </is>
      </c>
      <c r="E188" s="2" t="inlineStr">
        <is>
          <t>HIDRALI 500ML UVA ROXA AIRELA</t>
        </is>
      </c>
      <c r="F188" s="2" t="inlineStr">
        <is>
          <t>AIRELA</t>
        </is>
      </c>
      <c r="G188" s="4" t="n">
        <v>1</v>
      </c>
      <c r="H188" s="4" t="n">
        <v>2</v>
      </c>
      <c r="I188" s="4" t="n">
        <v>2</v>
      </c>
      <c r="J188" s="5" t="n">
        <v>8.359999999999999</v>
      </c>
      <c r="K188" s="5">
        <f>I188*J188</f>
        <v/>
      </c>
      <c r="L188" s="5">
        <f>J188/G188</f>
        <v/>
      </c>
      <c r="M188" s="5" t="n">
        <v>8.300000000000001</v>
      </c>
      <c r="N188" s="5" t="n">
        <v>7.97</v>
      </c>
      <c r="O188" s="6">
        <f>L188/M188-1</f>
        <v/>
      </c>
      <c r="P188" s="4" t="n">
        <v>10</v>
      </c>
      <c r="Q188" s="2" t="inlineStr"/>
    </row>
    <row r="189">
      <c r="A189" s="2" t="n">
        <v>7783</v>
      </c>
      <c r="B189" s="2" t="n">
        <v>604151</v>
      </c>
      <c r="C189" s="3" t="inlineStr">
        <is>
          <t>7894164009473</t>
        </is>
      </c>
      <c r="D189" s="2" t="inlineStr">
        <is>
          <t>HIDRALI 45 PO C/04 ENVE GUARANA</t>
        </is>
      </c>
      <c r="E189" s="2" t="inlineStr">
        <is>
          <t>HIDRALI PO 28,29G  ENVELOPE CX COM 4 (GUARANÁ)</t>
        </is>
      </c>
      <c r="F189" s="2" t="inlineStr">
        <is>
          <t>AIRELA</t>
        </is>
      </c>
      <c r="G189" s="4" t="n">
        <v>1</v>
      </c>
      <c r="H189" s="4" t="n">
        <v>9</v>
      </c>
      <c r="I189" s="4" t="n">
        <v>9</v>
      </c>
      <c r="J189" s="5" t="n">
        <v>8.94</v>
      </c>
      <c r="K189" s="5">
        <f>I189*J189</f>
        <v/>
      </c>
      <c r="L189" s="5">
        <f>J189/G189</f>
        <v/>
      </c>
      <c r="M189" s="5" t="n">
        <v>8.94</v>
      </c>
      <c r="N189" s="5" t="n">
        <v>8.890000000000001</v>
      </c>
      <c r="O189" s="6">
        <f>L189/M189-1</f>
        <v/>
      </c>
      <c r="P189" s="4" t="n">
        <v>55</v>
      </c>
      <c r="Q189" s="2" t="inlineStr"/>
    </row>
    <row r="190">
      <c r="A190" s="2" t="n">
        <v>7708</v>
      </c>
      <c r="B190" s="2" t="n">
        <v>602561</v>
      </c>
      <c r="C190" s="3" t="inlineStr">
        <is>
          <t>7894164009466</t>
        </is>
      </c>
      <c r="D190" s="2" t="inlineStr">
        <is>
          <t>HIDRALI 45 PO C/04 ENVE LARANJA</t>
        </is>
      </c>
      <c r="E190" s="2" t="inlineStr">
        <is>
          <t>HIDRALI PO 28,29G 4ENV LARANJA SOL</t>
        </is>
      </c>
      <c r="F190" s="2" t="inlineStr">
        <is>
          <t>AIRELA</t>
        </is>
      </c>
      <c r="G190" s="4" t="n">
        <v>1</v>
      </c>
      <c r="H190" s="4" t="n">
        <v>8</v>
      </c>
      <c r="I190" s="4" t="n">
        <v>8</v>
      </c>
      <c r="J190" s="5" t="n">
        <v>8.94</v>
      </c>
      <c r="K190" s="5">
        <f>I190*J190</f>
        <v/>
      </c>
      <c r="L190" s="5">
        <f>J190/G190</f>
        <v/>
      </c>
      <c r="M190" s="5" t="n">
        <v>8.6</v>
      </c>
      <c r="N190" s="5" t="n">
        <v>8.6</v>
      </c>
      <c r="O190" s="6">
        <f>L190/M190-1</f>
        <v/>
      </c>
      <c r="P190" s="4" t="n">
        <v>1</v>
      </c>
      <c r="Q190" s="2" t="inlineStr">
        <is>
          <t>estoque parcial (1)</t>
        </is>
      </c>
    </row>
    <row r="191">
      <c r="A191" s="2" t="n">
        <v>7693</v>
      </c>
      <c r="B191" s="2" t="n">
        <v>604091</v>
      </c>
      <c r="C191" s="3" t="inlineStr">
        <is>
          <t>7894164009510</t>
        </is>
      </c>
      <c r="D191" s="2" t="inlineStr">
        <is>
          <t>HIDRALI 45 PO C/04 ENVE NATUTAL</t>
        </is>
      </c>
      <c r="E191" s="2" t="inlineStr">
        <is>
          <t>HIDRALI PO NATURAL  UND</t>
        </is>
      </c>
      <c r="F191" s="2" t="inlineStr">
        <is>
          <t>AIRELA</t>
        </is>
      </c>
      <c r="G191" s="4" t="n">
        <v>1</v>
      </c>
      <c r="H191" s="4" t="n">
        <v>2</v>
      </c>
      <c r="I191" s="4" t="n">
        <v>2</v>
      </c>
      <c r="J191" s="5" t="n">
        <v>8.94</v>
      </c>
      <c r="K191" s="5">
        <f>I191*J191</f>
        <v/>
      </c>
      <c r="L191" s="5">
        <f>J191/G191</f>
        <v/>
      </c>
      <c r="M191" s="5" t="n">
        <v>8.890000000000001</v>
      </c>
      <c r="N191" s="5" t="n">
        <v>8.890000000000001</v>
      </c>
      <c r="O191" s="6">
        <f>L191/M191-1</f>
        <v/>
      </c>
      <c r="P191" s="4" t="n">
        <v>45</v>
      </c>
      <c r="Q191" s="2" t="inlineStr"/>
    </row>
    <row r="192">
      <c r="A192" s="2" t="n">
        <v>313</v>
      </c>
      <c r="B192" s="2" t="n">
        <v>558881</v>
      </c>
      <c r="C192" s="3" t="inlineStr">
        <is>
          <t>7898133137358</t>
        </is>
      </c>
      <c r="D192" s="2" t="inlineStr">
        <is>
          <t>HIDRAPLEX PO C/04 ENVE UVA</t>
        </is>
      </c>
      <c r="E192" s="2" t="inlineStr">
        <is>
          <t>HIDRAPLEX PO 27,9G ENVELOPE  FRACIONADO  UVA EN</t>
        </is>
      </c>
      <c r="F192" s="2" t="inlineStr">
        <is>
          <t>NATULAB</t>
        </is>
      </c>
      <c r="G192" s="4" t="n">
        <v>1</v>
      </c>
      <c r="H192" s="4" t="n">
        <v>2</v>
      </c>
      <c r="I192" s="4" t="n">
        <v>2</v>
      </c>
      <c r="J192" s="5" t="n">
        <v>11.41</v>
      </c>
      <c r="K192" s="5">
        <f>I192*J192</f>
        <v/>
      </c>
      <c r="L192" s="5">
        <f>J192/G192</f>
        <v/>
      </c>
      <c r="M192" s="5" t="n">
        <v>2.475</v>
      </c>
      <c r="N192" s="5" t="n">
        <v>2.475</v>
      </c>
      <c r="O192" s="6">
        <f>L192/M192-1</f>
        <v/>
      </c>
      <c r="P192" s="4" t="n">
        <v>173</v>
      </c>
      <c r="Q192" s="2" t="inlineStr">
        <is>
          <t>conferir embalagem (preço muito fora da referência)</t>
        </is>
      </c>
    </row>
    <row r="193">
      <c r="A193" s="2" t="n">
        <v>6293</v>
      </c>
      <c r="B193" s="2" t="n">
        <v>531541</v>
      </c>
      <c r="C193" s="3" t="inlineStr">
        <is>
          <t>7894164006755</t>
        </is>
      </c>
      <c r="D193" s="2" t="inlineStr">
        <is>
          <t>HIDROXIDO DE ALUMINIO 60MG 100ML SUS</t>
        </is>
      </c>
      <c r="E193" s="2" t="inlineStr">
        <is>
          <t>HIDROXIDO ALUMINIO SAB HORTELA 100ML</t>
        </is>
      </c>
      <c r="F193" s="2" t="inlineStr">
        <is>
          <t>AIRELA</t>
        </is>
      </c>
      <c r="G193" s="4" t="n">
        <v>1</v>
      </c>
      <c r="H193" s="4" t="n">
        <v>53</v>
      </c>
      <c r="I193" s="4" t="n">
        <v>53</v>
      </c>
      <c r="J193" s="5" t="n">
        <v>6.08</v>
      </c>
      <c r="K193" s="5">
        <f>I193*J193</f>
        <v/>
      </c>
      <c r="L193" s="5">
        <f>J193/G193</f>
        <v/>
      </c>
      <c r="M193" s="5" t="n">
        <v>5.28</v>
      </c>
      <c r="N193" s="5" t="n">
        <v>4.65</v>
      </c>
      <c r="O193" s="6">
        <f>L193/M193-1</f>
        <v/>
      </c>
      <c r="P193" s="4" t="n">
        <v>28</v>
      </c>
      <c r="Q193" s="2" t="inlineStr">
        <is>
          <t>estoque parcial (28)</t>
        </is>
      </c>
    </row>
    <row r="194">
      <c r="A194" s="2" t="n">
        <v>6167</v>
      </c>
      <c r="B194" s="2" t="n">
        <v>531561</v>
      </c>
      <c r="C194" s="3" t="inlineStr">
        <is>
          <t>7894164006762</t>
        </is>
      </c>
      <c r="D194" s="2" t="inlineStr">
        <is>
          <t>HIDROXIDO DE ALUMINIO 60MG 150ML SUS</t>
        </is>
      </c>
      <c r="E194" s="2" t="inlineStr">
        <is>
          <t>HIDROXIDO ALUMINIO SAB HORTELA 150ML</t>
        </is>
      </c>
      <c r="F194" s="2" t="inlineStr">
        <is>
          <t>AIRELA</t>
        </is>
      </c>
      <c r="G194" s="4" t="n">
        <v>1</v>
      </c>
      <c r="H194" s="4" t="n">
        <v>4</v>
      </c>
      <c r="I194" s="4" t="n">
        <v>4</v>
      </c>
      <c r="J194" s="5" t="n">
        <v>7.25</v>
      </c>
      <c r="K194" s="5">
        <f>I194*J194</f>
        <v/>
      </c>
      <c r="L194" s="5">
        <f>J194/G194</f>
        <v/>
      </c>
      <c r="M194" s="5" t="n">
        <v>7.25</v>
      </c>
      <c r="N194" s="5" t="n">
        <v>7.25</v>
      </c>
      <c r="O194" s="6">
        <f>L194/M194-1</f>
        <v/>
      </c>
      <c r="P194" s="4" t="n">
        <v>195</v>
      </c>
      <c r="Q194" s="2" t="inlineStr"/>
    </row>
    <row r="195">
      <c r="A195" s="2" t="n">
        <v>578</v>
      </c>
      <c r="B195" s="2" t="n">
        <v>359601</v>
      </c>
      <c r="C195" s="3" t="inlineStr">
        <is>
          <t>7898122911587</t>
        </is>
      </c>
      <c r="D195" s="2" t="inlineStr">
        <is>
          <t>HYPLEX B C/100 AMP 2ML INJETAVEL</t>
        </is>
      </c>
      <c r="E195" s="2" t="inlineStr">
        <is>
          <t>HYPLEX B SOL INJ IM CX 100 AMP VD AMB X 2 ML</t>
        </is>
      </c>
      <c r="F195" s="2" t="inlineStr">
        <is>
          <t>HYPOFARMA</t>
        </is>
      </c>
      <c r="G195" s="4" t="n">
        <v>1</v>
      </c>
      <c r="H195" s="4" t="n">
        <v>1</v>
      </c>
      <c r="I195" s="4" t="n">
        <v>1</v>
      </c>
      <c r="J195" s="5" t="n">
        <v>126.14</v>
      </c>
      <c r="K195" s="5">
        <f>I195*J195</f>
        <v/>
      </c>
      <c r="L195" s="5">
        <f>J195/G195</f>
        <v/>
      </c>
      <c r="M195" s="5" t="n">
        <v>1.4052</v>
      </c>
      <c r="N195" s="5" t="n">
        <v>1.4052</v>
      </c>
      <c r="O195" s="6">
        <f>L195/M195-1</f>
        <v/>
      </c>
      <c r="P195" s="4" t="n">
        <v>662</v>
      </c>
      <c r="Q195" s="2" t="inlineStr">
        <is>
          <t>conferir embalagem (preço muito fora da referência)</t>
        </is>
      </c>
    </row>
    <row r="196">
      <c r="A196" s="2" t="n">
        <v>379</v>
      </c>
      <c r="B196" s="2" t="n">
        <v>627841</v>
      </c>
      <c r="C196" s="3" t="inlineStr">
        <is>
          <t>7897344301527</t>
        </is>
      </c>
      <c r="D196" s="2" t="inlineStr">
        <is>
          <t>ICE GEL 250G POTE</t>
        </is>
      </c>
      <c r="E196" s="2" t="inlineStr">
        <is>
          <t>ICE GEL 250G POTE</t>
        </is>
      </c>
      <c r="F196" s="2" t="inlineStr">
        <is>
          <t>PRONATUS</t>
        </is>
      </c>
      <c r="G196" s="4" t="n">
        <v>1</v>
      </c>
      <c r="H196" s="4" t="n">
        <v>5</v>
      </c>
      <c r="I196" s="4" t="n">
        <v>5</v>
      </c>
      <c r="J196" s="5" t="n">
        <v>8.1</v>
      </c>
      <c r="K196" s="5">
        <f>I196*J196</f>
        <v/>
      </c>
      <c r="L196" s="5">
        <f>J196/G196</f>
        <v/>
      </c>
      <c r="M196" s="5" t="n">
        <v>8.1</v>
      </c>
      <c r="N196" s="5" t="n">
        <v>8.1</v>
      </c>
      <c r="O196" s="6">
        <f>L196/M196-1</f>
        <v/>
      </c>
      <c r="P196" s="4" t="n">
        <v>363</v>
      </c>
      <c r="Q196" s="2" t="inlineStr"/>
    </row>
    <row r="197">
      <c r="A197" s="2" t="n">
        <v>3581</v>
      </c>
      <c r="B197" s="2" t="n">
        <v>153041</v>
      </c>
      <c r="C197" s="3" t="inlineStr">
        <is>
          <t>7898060132297</t>
        </is>
      </c>
      <c r="D197" s="2" t="inlineStr">
        <is>
          <t>INTESTIN 2MG C/12 CPR</t>
        </is>
      </c>
      <c r="E197" s="2" t="inlineStr">
        <is>
          <t>INTESTIN 2MG CX 12 COMP</t>
        </is>
      </c>
      <c r="F197" s="2" t="inlineStr">
        <is>
          <t>GLOBO PHARMA</t>
        </is>
      </c>
      <c r="G197" s="4" t="n">
        <v>1</v>
      </c>
      <c r="H197" s="4" t="n">
        <v>2</v>
      </c>
      <c r="I197" s="4" t="n">
        <v>2</v>
      </c>
      <c r="J197" s="5" t="n">
        <v>2.08</v>
      </c>
      <c r="K197" s="5">
        <f>I197*J197</f>
        <v/>
      </c>
      <c r="L197" s="5">
        <f>J197/G197</f>
        <v/>
      </c>
      <c r="M197" s="5" t="n">
        <v>2.02</v>
      </c>
      <c r="N197" s="5" t="n">
        <v>2.02</v>
      </c>
      <c r="O197" s="6">
        <f>L197/M197-1</f>
        <v/>
      </c>
      <c r="P197" s="4" t="n">
        <v>1028</v>
      </c>
      <c r="Q197" s="2" t="inlineStr"/>
    </row>
    <row r="198">
      <c r="A198" s="2" t="n">
        <v>8401</v>
      </c>
      <c r="B198" s="2" t="n">
        <v>630321</v>
      </c>
      <c r="C198" s="3" t="inlineStr">
        <is>
          <t>7898687735918</t>
        </is>
      </c>
      <c r="D198" s="2" t="inlineStr">
        <is>
          <t>IROSE 20MG 100ML SUS</t>
        </is>
      </c>
      <c r="E198" s="2" t="inlineStr">
        <is>
          <t>IROSE  NITAZOXANIDA 20MG/ML PO SUS OR FR 100ML+SER DOS</t>
        </is>
      </c>
      <c r="F198" s="2" t="inlineStr">
        <is>
          <t>ALTHAIA</t>
        </is>
      </c>
      <c r="G198" s="4" t="n">
        <v>1</v>
      </c>
      <c r="H198" s="4" t="n">
        <v>11</v>
      </c>
      <c r="I198" s="4" t="n">
        <v>11</v>
      </c>
      <c r="J198" s="5" t="n">
        <v>15.46</v>
      </c>
      <c r="K198" s="5">
        <f>I198*J198</f>
        <v/>
      </c>
      <c r="L198" s="5">
        <f>J198/G198</f>
        <v/>
      </c>
      <c r="M198" s="5" t="n">
        <v>14.56</v>
      </c>
      <c r="N198" s="5" t="n">
        <v>14.56</v>
      </c>
      <c r="O198" s="6">
        <f>L198/M198-1</f>
        <v/>
      </c>
      <c r="P198" s="4" t="n">
        <v>500</v>
      </c>
      <c r="Q198" s="2" t="inlineStr"/>
    </row>
    <row r="199">
      <c r="A199" s="2" t="n">
        <v>8406</v>
      </c>
      <c r="B199" s="2" t="n">
        <v>630311</v>
      </c>
      <c r="C199" s="3" t="inlineStr">
        <is>
          <t>7898687735901</t>
        </is>
      </c>
      <c r="D199" s="2" t="inlineStr">
        <is>
          <t>IROSE 20MG 45ML SUS</t>
        </is>
      </c>
      <c r="E199" s="2" t="inlineStr">
        <is>
          <t>IROSE  NITAZOXANIDA 20MG/ML PO SUS OR FR 45ML+SER DOS</t>
        </is>
      </c>
      <c r="F199" s="2" t="inlineStr">
        <is>
          <t>ALTHAIA</t>
        </is>
      </c>
      <c r="G199" s="4" t="n">
        <v>1</v>
      </c>
      <c r="H199" s="4" t="n">
        <v>7</v>
      </c>
      <c r="I199" s="4" t="n">
        <v>7</v>
      </c>
      <c r="J199" s="5" t="n">
        <v>7.85</v>
      </c>
      <c r="K199" s="5">
        <f>I199*J199</f>
        <v/>
      </c>
      <c r="L199" s="5">
        <f>J199/G199</f>
        <v/>
      </c>
      <c r="M199" s="5" t="n">
        <v>7.32</v>
      </c>
      <c r="N199" s="5" t="n">
        <v>7.32</v>
      </c>
      <c r="O199" s="6">
        <f>L199/M199-1</f>
        <v/>
      </c>
      <c r="P199" s="4" t="n">
        <v>2024</v>
      </c>
      <c r="Q199" s="2" t="inlineStr"/>
    </row>
    <row r="200">
      <c r="A200" s="2" t="n">
        <v>6646</v>
      </c>
      <c r="B200" s="2" t="n">
        <v>305921</v>
      </c>
      <c r="C200" s="3" t="inlineStr">
        <is>
          <t>7895296043069</t>
        </is>
      </c>
      <c r="D200" s="2" t="inlineStr">
        <is>
          <t>*ISOTRETINOINA (C2) 20MG C/30 CPS</t>
        </is>
      </c>
      <c r="E200" s="2" t="inlineStr">
        <is>
          <t>ISOTRETINOINA 20MG CX 30 CAP</t>
        </is>
      </c>
      <c r="F200" s="2" t="inlineStr">
        <is>
          <t>NOVA QUIMICA GENERICO</t>
        </is>
      </c>
      <c r="G200" s="4" t="n">
        <v>1</v>
      </c>
      <c r="H200" s="4" t="n">
        <v>1</v>
      </c>
      <c r="I200" s="4" t="n">
        <v>1</v>
      </c>
      <c r="J200" s="5" t="n">
        <v>36.93</v>
      </c>
      <c r="K200" s="5">
        <f>I200*J200</f>
        <v/>
      </c>
      <c r="L200" s="5">
        <f>J200/G200</f>
        <v/>
      </c>
      <c r="M200" s="5" t="n">
        <v>31.09</v>
      </c>
      <c r="N200" s="5" t="n">
        <v>31.09</v>
      </c>
      <c r="O200" s="6">
        <f>L200/M200-1</f>
        <v/>
      </c>
      <c r="P200" s="4" t="n">
        <v>210</v>
      </c>
      <c r="Q200" s="2" t="inlineStr"/>
    </row>
    <row r="201">
      <c r="A201" s="2" t="n">
        <v>3745</v>
      </c>
      <c r="B201" s="2" t="n">
        <v>553601</v>
      </c>
      <c r="C201" s="3" t="inlineStr">
        <is>
          <t>7896523207834</t>
        </is>
      </c>
      <c r="D201" s="2" t="inlineStr">
        <is>
          <t>KMED 25G GEL</t>
        </is>
      </c>
      <c r="E201" s="2" t="inlineStr">
        <is>
          <t>K-MED GEL BG 25 G</t>
        </is>
      </c>
      <c r="F201" s="2" t="inlineStr">
        <is>
          <t>CIMED</t>
        </is>
      </c>
      <c r="G201" s="4" t="n">
        <v>1</v>
      </c>
      <c r="H201" s="4" t="n">
        <v>13</v>
      </c>
      <c r="I201" s="4" t="n">
        <v>13</v>
      </c>
      <c r="J201" s="5" t="n">
        <v>5.67</v>
      </c>
      <c r="K201" s="5">
        <f>I201*J201</f>
        <v/>
      </c>
      <c r="L201" s="5">
        <f>J201/G201</f>
        <v/>
      </c>
      <c r="M201" s="5" t="n">
        <v>6.59</v>
      </c>
      <c r="N201" s="5" t="n">
        <v>2.99</v>
      </c>
      <c r="O201" s="6">
        <f>L201/M201-1</f>
        <v/>
      </c>
      <c r="P201" s="4" t="n">
        <v>464</v>
      </c>
      <c r="Q201" s="2" t="inlineStr"/>
    </row>
    <row r="202">
      <c r="A202" s="2" t="n">
        <v>4377</v>
      </c>
      <c r="B202" s="2" t="n">
        <v>14103</v>
      </c>
      <c r="C202" s="3" t="inlineStr">
        <is>
          <t>7899620913202</t>
        </is>
      </c>
      <c r="D202" s="2" t="inlineStr">
        <is>
          <t>KALOSTOP 10ML CALOS E VERRUGAS</t>
        </is>
      </c>
      <c r="E202" s="2" t="inlineStr">
        <is>
          <t>KALOSTOP (N.S.) 0,20+0,15ML/ML SOL FR 10ML</t>
        </is>
      </c>
      <c r="F202" s="2" t="inlineStr">
        <is>
          <t>GLOBO PHARMA</t>
        </is>
      </c>
      <c r="G202" s="4" t="n">
        <v>1</v>
      </c>
      <c r="H202" s="4" t="n">
        <v>1</v>
      </c>
      <c r="I202" s="4" t="n">
        <v>1</v>
      </c>
      <c r="J202" s="5" t="n">
        <v>8.73</v>
      </c>
      <c r="K202" s="5">
        <f>I202*J202</f>
        <v/>
      </c>
      <c r="L202" s="5">
        <f>J202/G202</f>
        <v/>
      </c>
      <c r="M202" s="5" t="n">
        <v>8.41</v>
      </c>
      <c r="N202" s="5" t="n">
        <v>8.359999999999999</v>
      </c>
      <c r="O202" s="6">
        <f>L202/M202-1</f>
        <v/>
      </c>
      <c r="P202" s="4" t="n">
        <v>304</v>
      </c>
      <c r="Q202" s="2" t="inlineStr"/>
    </row>
    <row r="203">
      <c r="A203" s="2" t="n">
        <v>8512</v>
      </c>
      <c r="B203" s="2" t="n">
        <v>3583</v>
      </c>
      <c r="C203" s="3" t="inlineStr">
        <is>
          <t>7898953484311</t>
        </is>
      </c>
      <c r="D203" s="2" t="inlineStr">
        <is>
          <t>KIT PARA COLETA DE URINA C/01 TUBO</t>
        </is>
      </c>
      <c r="E203" s="2" t="inlineStr">
        <is>
          <t>KIT PARA COLETA DE URINA C/1 TUBO</t>
        </is>
      </c>
      <c r="F203" s="2" t="inlineStr">
        <is>
          <t>3B</t>
        </is>
      </c>
      <c r="G203" s="4" t="n">
        <v>1</v>
      </c>
      <c r="H203" s="4" t="n">
        <v>8</v>
      </c>
      <c r="I203" s="4" t="n">
        <v>8</v>
      </c>
      <c r="J203" s="5" t="n">
        <v>1.03</v>
      </c>
      <c r="K203" s="5">
        <f>I203*J203</f>
        <v/>
      </c>
      <c r="L203" s="5">
        <f>J203/G203</f>
        <v/>
      </c>
      <c r="M203" s="5" t="n">
        <v>0.89</v>
      </c>
      <c r="N203" s="5" t="n">
        <v>0.89</v>
      </c>
      <c r="O203" s="6">
        <f>L203/M203-1</f>
        <v/>
      </c>
      <c r="P203" s="4" t="n">
        <v>9299</v>
      </c>
      <c r="Q203" s="2" t="inlineStr"/>
    </row>
    <row r="204">
      <c r="A204" s="2" t="n">
        <v>42</v>
      </c>
      <c r="B204" s="2" t="n">
        <v>152141</v>
      </c>
      <c r="C204" s="3" t="inlineStr">
        <is>
          <t>7898216361403</t>
        </is>
      </c>
      <c r="D204" s="2" t="inlineStr">
        <is>
          <t>LABCAINA 50MG 25G POMADA</t>
        </is>
      </c>
      <c r="E204" s="2" t="inlineStr">
        <is>
          <t>LABCAINA 50MG POM DERM BG 25G</t>
        </is>
      </c>
      <c r="F204" s="2" t="inlineStr">
        <is>
          <t>PHARLAB</t>
        </is>
      </c>
      <c r="G204" s="4" t="n">
        <v>1</v>
      </c>
      <c r="H204" s="4" t="n">
        <v>3</v>
      </c>
      <c r="I204" s="4" t="n">
        <v>3</v>
      </c>
      <c r="J204" s="5" t="n">
        <v>8.82</v>
      </c>
      <c r="K204" s="5">
        <f>I204*J204</f>
        <v/>
      </c>
      <c r="L204" s="5">
        <f>J204/G204</f>
        <v/>
      </c>
      <c r="M204" s="5" t="n">
        <v>7.21</v>
      </c>
      <c r="N204" s="5" t="n">
        <v>7.21</v>
      </c>
      <c r="O204" s="6">
        <f>L204/M204-1</f>
        <v/>
      </c>
      <c r="P204" s="4" t="n">
        <v>185</v>
      </c>
      <c r="Q204" s="2" t="inlineStr"/>
    </row>
    <row r="205">
      <c r="A205" s="2" t="n">
        <v>8602</v>
      </c>
      <c r="B205" s="2" t="n">
        <v>3203</v>
      </c>
      <c r="C205" s="3" t="inlineStr">
        <is>
          <t>7898953484304</t>
        </is>
      </c>
      <c r="D205" s="2" t="inlineStr">
        <is>
          <t>LAVADOR NASAL FRASCO 300ML C/02 BICOS</t>
        </is>
      </c>
      <c r="E205" s="2" t="inlineStr">
        <is>
          <t>LAVADOR NASAL COM FRASCO 300ML C/2 BICOS</t>
        </is>
      </c>
      <c r="F205" s="2" t="inlineStr">
        <is>
          <t>3B</t>
        </is>
      </c>
      <c r="G205" s="4" t="n">
        <v>1</v>
      </c>
      <c r="H205" s="4" t="n">
        <v>2</v>
      </c>
      <c r="I205" s="4" t="n">
        <v>2</v>
      </c>
      <c r="J205" s="5" t="n">
        <v>11.49</v>
      </c>
      <c r="K205" s="5">
        <f>I205*J205</f>
        <v/>
      </c>
      <c r="L205" s="5">
        <f>J205/G205</f>
        <v/>
      </c>
      <c r="M205" s="5" t="n">
        <v>11.49</v>
      </c>
      <c r="N205" s="5" t="n">
        <v>11.49</v>
      </c>
      <c r="O205" s="6">
        <f>L205/M205-1</f>
        <v/>
      </c>
      <c r="P205" s="4" t="n">
        <v>397</v>
      </c>
      <c r="Q205" s="2" t="inlineStr"/>
    </row>
    <row r="206">
      <c r="A206" s="2" t="n">
        <v>2228</v>
      </c>
      <c r="B206" s="2" t="n">
        <v>546081</v>
      </c>
      <c r="C206" s="3" t="inlineStr">
        <is>
          <t>7897947612358</t>
        </is>
      </c>
      <c r="D206" s="2" t="inlineStr">
        <is>
          <t>LAVITAN MEMORIA C/60 CPR</t>
        </is>
      </c>
      <c r="E206" s="2" t="inlineStr">
        <is>
          <t>LAVITAN MEMORIA 60CP</t>
        </is>
      </c>
      <c r="F206" s="2" t="inlineStr">
        <is>
          <t>CIMED</t>
        </is>
      </c>
      <c r="G206" s="4" t="n">
        <v>1</v>
      </c>
      <c r="H206" s="4" t="n">
        <v>7</v>
      </c>
      <c r="I206" s="4" t="n">
        <v>7</v>
      </c>
      <c r="J206" s="5" t="n">
        <v>14.85</v>
      </c>
      <c r="K206" s="5">
        <f>I206*J206</f>
        <v/>
      </c>
      <c r="L206" s="5">
        <f>J206/G206</f>
        <v/>
      </c>
      <c r="M206" s="5" t="n">
        <v>21.27</v>
      </c>
      <c r="N206" s="5" t="n">
        <v>21.27</v>
      </c>
      <c r="O206" s="6">
        <f>L206/M206-1</f>
        <v/>
      </c>
      <c r="P206" s="4" t="n">
        <v>121</v>
      </c>
      <c r="Q206" s="2" t="inlineStr"/>
    </row>
    <row r="207">
      <c r="A207" s="2" t="n">
        <v>6961</v>
      </c>
      <c r="B207" s="2" t="n">
        <v>546481</v>
      </c>
      <c r="C207" s="3" t="inlineStr">
        <is>
          <t>7897947600928</t>
        </is>
      </c>
      <c r="D207" s="2" t="inlineStr">
        <is>
          <t>LAVITAN SENIOR 50+ C/60 CPR</t>
        </is>
      </c>
      <c r="E207" s="2" t="inlineStr">
        <is>
          <t>LAVITAN VIT 50+ 60CP</t>
        </is>
      </c>
      <c r="F207" s="2" t="inlineStr">
        <is>
          <t>CIMED</t>
        </is>
      </c>
      <c r="G207" s="4" t="n">
        <v>1</v>
      </c>
      <c r="H207" s="4" t="n">
        <v>11</v>
      </c>
      <c r="I207" s="4" t="n">
        <v>11</v>
      </c>
      <c r="J207" s="5" t="n">
        <v>14.85</v>
      </c>
      <c r="K207" s="5">
        <f>I207*J207</f>
        <v/>
      </c>
      <c r="L207" s="5">
        <f>J207/G207</f>
        <v/>
      </c>
      <c r="M207" s="5" t="n">
        <v>14.85</v>
      </c>
      <c r="N207" s="5" t="n">
        <v>14.85</v>
      </c>
      <c r="O207" s="6">
        <f>L207/M207-1</f>
        <v/>
      </c>
      <c r="P207" s="4" t="n">
        <v>305</v>
      </c>
      <c r="Q207" s="2" t="inlineStr"/>
    </row>
    <row r="208">
      <c r="A208" s="2" t="n">
        <v>660</v>
      </c>
      <c r="B208" s="2" t="n">
        <v>550901</v>
      </c>
      <c r="C208" s="3" t="inlineStr">
        <is>
          <t>7897947606517</t>
        </is>
      </c>
      <c r="D208" s="2" t="inlineStr">
        <is>
          <t>LAVITAN AZ C/60 DRG</t>
        </is>
      </c>
      <c r="E208" s="2" t="inlineStr">
        <is>
          <t>LAVITAN VIT AZ ORIGINAL COMP REV FR C/60</t>
        </is>
      </c>
      <c r="F208" s="2" t="inlineStr">
        <is>
          <t>CIMED</t>
        </is>
      </c>
      <c r="G208" s="4" t="n">
        <v>1</v>
      </c>
      <c r="H208" s="4" t="n">
        <v>19</v>
      </c>
      <c r="I208" s="4" t="n">
        <v>19</v>
      </c>
      <c r="J208" s="5" t="n">
        <v>14.85</v>
      </c>
      <c r="K208" s="5">
        <f>I208*J208</f>
        <v/>
      </c>
      <c r="L208" s="5">
        <f>J208/G208</f>
        <v/>
      </c>
      <c r="M208" s="5" t="n">
        <v>9.99</v>
      </c>
      <c r="N208" s="5" t="n">
        <v>9.99</v>
      </c>
      <c r="O208" s="6">
        <f>L208/M208-1</f>
        <v/>
      </c>
      <c r="P208" s="4" t="n">
        <v>833</v>
      </c>
      <c r="Q208" s="2" t="inlineStr"/>
    </row>
    <row r="209">
      <c r="A209" s="2" t="n">
        <v>2944</v>
      </c>
      <c r="B209" s="2" t="n">
        <v>556981</v>
      </c>
      <c r="C209" s="3" t="inlineStr">
        <is>
          <t>7897947607996</t>
        </is>
      </c>
      <c r="D209" s="2" t="inlineStr">
        <is>
          <t>LAVITAN CABELOS E UNHAS C/30 CPS</t>
        </is>
      </c>
      <c r="E209" s="2" t="inlineStr">
        <is>
          <t>LAVITAN VIT CABELOS E UNHAS 30CP</t>
        </is>
      </c>
      <c r="F209" s="2" t="inlineStr">
        <is>
          <t>CIMED</t>
        </is>
      </c>
      <c r="G209" s="4" t="n">
        <v>1</v>
      </c>
      <c r="H209" s="4" t="n">
        <v>8</v>
      </c>
      <c r="I209" s="4" t="n">
        <v>8</v>
      </c>
      <c r="J209" s="5" t="n">
        <v>12.62</v>
      </c>
      <c r="K209" s="5">
        <f>I209*J209</f>
        <v/>
      </c>
      <c r="L209" s="5">
        <f>J209/G209</f>
        <v/>
      </c>
      <c r="M209" s="5" t="n">
        <v>8.99</v>
      </c>
      <c r="N209" s="5" t="n">
        <v>6.99</v>
      </c>
      <c r="O209" s="6">
        <f>L209/M209-1</f>
        <v/>
      </c>
      <c r="P209" s="4" t="n">
        <v>752</v>
      </c>
      <c r="Q209" s="2" t="inlineStr"/>
    </row>
    <row r="210">
      <c r="A210" s="2" t="n">
        <v>716</v>
      </c>
      <c r="B210" s="2" t="n">
        <v>553661</v>
      </c>
      <c r="C210" s="3" t="inlineStr">
        <is>
          <t>7897947614673</t>
        </is>
      </c>
      <c r="D210" s="2" t="inlineStr">
        <is>
          <t>LAVITAN KIDS 240ML SUS TUTTI FRUTTI</t>
        </is>
      </c>
      <c r="E210" s="2" t="inlineStr">
        <is>
          <t>LAVITAN VIT INF SOL OR FR 240ML TUT FRUT</t>
        </is>
      </c>
      <c r="F210" s="2" t="inlineStr">
        <is>
          <t>CIMED</t>
        </is>
      </c>
      <c r="G210" s="4" t="n">
        <v>1</v>
      </c>
      <c r="H210" s="4" t="n">
        <v>2</v>
      </c>
      <c r="I210" s="4" t="n">
        <v>2</v>
      </c>
      <c r="J210" s="5" t="n">
        <v>13.85</v>
      </c>
      <c r="K210" s="5">
        <f>I210*J210</f>
        <v/>
      </c>
      <c r="L210" s="5">
        <f>J210/G210</f>
        <v/>
      </c>
      <c r="M210" s="5" t="n">
        <v>10.99</v>
      </c>
      <c r="N210" s="5" t="n">
        <v>8.99</v>
      </c>
      <c r="O210" s="6">
        <f>L210/M210-1</f>
        <v/>
      </c>
      <c r="P210" s="4" t="n">
        <v>453</v>
      </c>
      <c r="Q210" s="2" t="inlineStr"/>
    </row>
    <row r="211">
      <c r="A211" s="2" t="n">
        <v>8628</v>
      </c>
      <c r="B211" s="2" t="n">
        <v>627791</v>
      </c>
      <c r="C211" s="3" t="inlineStr">
        <is>
          <t>7897947617605</t>
        </is>
      </c>
      <c r="D211" s="2" t="inlineStr">
        <is>
          <t>LAVITAN ZMA PERFORMANCE C/30 CPR</t>
        </is>
      </c>
      <c r="E211" s="2" t="inlineStr">
        <is>
          <t>LAVITAN ZMA PERFORMANCE COMP 2 BL X 15</t>
        </is>
      </c>
      <c r="F211" s="2" t="inlineStr">
        <is>
          <t>CIMED</t>
        </is>
      </c>
      <c r="G211" s="4" t="n">
        <v>1</v>
      </c>
      <c r="H211" s="4" t="n">
        <v>10</v>
      </c>
      <c r="I211" s="4" t="n">
        <v>10</v>
      </c>
      <c r="J211" s="5" t="n">
        <v>13.5</v>
      </c>
      <c r="K211" s="5">
        <f>I211*J211</f>
        <v/>
      </c>
      <c r="L211" s="5">
        <f>J211/G211</f>
        <v/>
      </c>
      <c r="M211" s="5" t="n">
        <v>18.36</v>
      </c>
      <c r="N211" s="5" t="n">
        <v>16.39</v>
      </c>
      <c r="O211" s="6">
        <f>L211/M211-1</f>
        <v/>
      </c>
      <c r="P211" s="4" t="n">
        <v>15</v>
      </c>
      <c r="Q211" s="2" t="inlineStr"/>
    </row>
    <row r="212">
      <c r="A212" s="2" t="n">
        <v>7046</v>
      </c>
      <c r="B212" s="2" t="n">
        <v>560241</v>
      </c>
      <c r="C212" s="3" t="inlineStr">
        <is>
          <t>7894164008209</t>
        </is>
      </c>
      <c r="D212" s="2" t="inlineStr">
        <is>
          <t>LEFLORA C/06 CPS</t>
        </is>
      </c>
      <c r="E212" s="2" t="inlineStr">
        <is>
          <t>LEFLORA 6 CAP</t>
        </is>
      </c>
      <c r="F212" s="2" t="inlineStr">
        <is>
          <t>AIRELA</t>
        </is>
      </c>
      <c r="G212" s="4" t="n">
        <v>1</v>
      </c>
      <c r="H212" s="4" t="n">
        <v>1</v>
      </c>
      <c r="I212" s="4" t="n">
        <v>1</v>
      </c>
      <c r="J212" s="5" t="n">
        <v>10.52</v>
      </c>
      <c r="K212" s="5">
        <f>I212*J212</f>
        <v/>
      </c>
      <c r="L212" s="5">
        <f>J212/G212</f>
        <v/>
      </c>
      <c r="M212" s="5" t="n">
        <v>10.42</v>
      </c>
      <c r="N212" s="5" t="n">
        <v>10.03</v>
      </c>
      <c r="O212" s="6">
        <f>L212/M212-1</f>
        <v/>
      </c>
      <c r="P212" s="4" t="n">
        <v>407</v>
      </c>
      <c r="Q212" s="2" t="inlineStr"/>
    </row>
    <row r="213">
      <c r="A213" s="2" t="n">
        <v>8859</v>
      </c>
      <c r="B213" s="2" t="n">
        <v>4083</v>
      </c>
      <c r="C213" s="3" t="inlineStr">
        <is>
          <t>7898575780754</t>
        </is>
      </c>
      <c r="D213" s="2" t="inlineStr">
        <is>
          <t>LEITE DE MAGNESIA 100ML HORTELA.........</t>
        </is>
      </c>
      <c r="E213" s="2" t="inlineStr">
        <is>
          <t>LEITE DE MAGNESIA 100ML HORTELA</t>
        </is>
      </c>
      <c r="F213" s="2" t="inlineStr">
        <is>
          <t>NTS</t>
        </is>
      </c>
      <c r="G213" s="4" t="n">
        <v>1</v>
      </c>
      <c r="H213" s="4" t="n">
        <v>6</v>
      </c>
      <c r="I213" s="4" t="n">
        <v>6</v>
      </c>
      <c r="J213" s="5" t="n">
        <v>1.99</v>
      </c>
      <c r="K213" s="5">
        <f>I213*J213</f>
        <v/>
      </c>
      <c r="L213" s="5">
        <f>J213/G213</f>
        <v/>
      </c>
      <c r="M213" s="5" t="n">
        <v>3.54</v>
      </c>
      <c r="N213" s="5" t="n">
        <v>3.54</v>
      </c>
      <c r="O213" s="6">
        <f>L213/M213-1</f>
        <v/>
      </c>
      <c r="P213" s="4" t="n">
        <v>5</v>
      </c>
      <c r="Q213" s="2" t="inlineStr">
        <is>
          <t>estoque parcial (5)</t>
        </is>
      </c>
    </row>
    <row r="214">
      <c r="A214" s="2" t="n">
        <v>7076</v>
      </c>
      <c r="B214" s="2" t="n">
        <v>556441</v>
      </c>
      <c r="C214" s="3" t="inlineStr">
        <is>
          <t>7897732607323</t>
        </is>
      </c>
      <c r="D214" s="2" t="inlineStr">
        <is>
          <t>LEITE DE MAGNESIA 100ML TRADICIONAL.</t>
        </is>
      </c>
      <c r="E214" s="2" t="inlineStr">
        <is>
          <t>LEITE DE MAGNESIA 100ML TRADICIONAL</t>
        </is>
      </c>
      <c r="F214" s="2" t="inlineStr">
        <is>
          <t>SOBRAL</t>
        </is>
      </c>
      <c r="G214" s="4" t="n">
        <v>1</v>
      </c>
      <c r="H214" s="4" t="n">
        <v>5</v>
      </c>
      <c r="I214" s="4" t="n">
        <v>5</v>
      </c>
      <c r="J214" s="5" t="n">
        <v>4.65</v>
      </c>
      <c r="K214" s="5">
        <f>I214*J214</f>
        <v/>
      </c>
      <c r="L214" s="5">
        <f>J214/G214</f>
        <v/>
      </c>
      <c r="M214" s="5" t="n">
        <v>4.12</v>
      </c>
      <c r="N214" s="5" t="n">
        <v>4.12</v>
      </c>
      <c r="O214" s="6">
        <f>L214/M214-1</f>
        <v/>
      </c>
      <c r="P214" s="4" t="n">
        <v>809</v>
      </c>
      <c r="Q214" s="2" t="inlineStr"/>
    </row>
    <row r="215">
      <c r="A215" s="2" t="n">
        <v>7615</v>
      </c>
      <c r="B215" s="2" t="n">
        <v>646631</v>
      </c>
      <c r="C215" s="3" t="inlineStr">
        <is>
          <t>7898031310211</t>
        </is>
      </c>
      <c r="D215" s="2" t="inlineStr">
        <is>
          <t>LEITE DE MAGNESIA 120ML TRADICIONAL</t>
        </is>
      </c>
      <c r="E215" s="2" t="inlineStr">
        <is>
          <t>LEITE DE MAGNESIA 120ML TRADICIONAL</t>
        </is>
      </c>
      <c r="F215" s="2" t="inlineStr">
        <is>
          <t>UNIPHAR</t>
        </is>
      </c>
      <c r="G215" s="4" t="n">
        <v>1</v>
      </c>
      <c r="H215" s="4" t="n">
        <v>2</v>
      </c>
      <c r="I215" s="4" t="n">
        <v>2</v>
      </c>
      <c r="J215" s="5" t="n">
        <v>5</v>
      </c>
      <c r="K215" s="5">
        <f>I215*J215</f>
        <v/>
      </c>
      <c r="L215" s="5">
        <f>J215/G215</f>
        <v/>
      </c>
      <c r="M215" s="5" t="n">
        <v>5.01</v>
      </c>
      <c r="N215" s="5" t="n">
        <v>5.01</v>
      </c>
      <c r="O215" s="6">
        <f>L215/M215-1</f>
        <v/>
      </c>
      <c r="P215" s="4" t="n">
        <v>872</v>
      </c>
      <c r="Q215" s="2" t="inlineStr"/>
    </row>
    <row r="216">
      <c r="A216" s="2" t="n">
        <v>8917</v>
      </c>
      <c r="B216" s="2" t="n">
        <v>651461</v>
      </c>
      <c r="C216" s="3" t="inlineStr">
        <is>
          <t>7898179711314</t>
        </is>
      </c>
      <c r="D216" s="2" t="inlineStr">
        <is>
          <t>LEITE DE MAGNESIA 100ML TRADICIONAL</t>
        </is>
      </c>
      <c r="E216" s="2" t="inlineStr">
        <is>
          <t>LEITE DE MAGNESIA GASTRIMEC 100ML TRADIC</t>
        </is>
      </c>
      <c r="F216" s="2" t="inlineStr">
        <is>
          <t>IMEC NUTIVIT</t>
        </is>
      </c>
      <c r="G216" s="4" t="n">
        <v>1</v>
      </c>
      <c r="H216" s="4" t="n">
        <v>11</v>
      </c>
      <c r="I216" s="4" t="n">
        <v>11</v>
      </c>
      <c r="J216" s="5" t="n">
        <v>4.58</v>
      </c>
      <c r="K216" s="5">
        <f>I216*J216</f>
        <v/>
      </c>
      <c r="L216" s="5">
        <f>J216/G216</f>
        <v/>
      </c>
      <c r="M216" s="5" t="n">
        <v>4.5</v>
      </c>
      <c r="N216" s="5" t="n">
        <v>4.5</v>
      </c>
      <c r="O216" s="6">
        <f>L216/M216-1</f>
        <v/>
      </c>
      <c r="P216" s="4" t="n">
        <v>923</v>
      </c>
      <c r="Q216" s="2" t="inlineStr"/>
    </row>
    <row r="217">
      <c r="A217" s="2" t="n">
        <v>2610</v>
      </c>
      <c r="B217" s="2" t="n">
        <v>55801</v>
      </c>
      <c r="C217" s="3" t="inlineStr">
        <is>
          <t>7898060133904</t>
        </is>
      </c>
      <c r="D217" s="2" t="inlineStr">
        <is>
          <t>LERGIDRIN 120ML XPE</t>
        </is>
      </c>
      <c r="E217" s="2" t="inlineStr">
        <is>
          <t>LERGIDRIN 0,4+0,05MG/ML XPE FR X 120ML+CM</t>
        </is>
      </c>
      <c r="F217" s="2" t="inlineStr">
        <is>
          <t>GLOBO PHARMA</t>
        </is>
      </c>
      <c r="G217" s="4" t="n">
        <v>1</v>
      </c>
      <c r="H217" s="4" t="n">
        <v>4</v>
      </c>
      <c r="I217" s="4" t="n">
        <v>4</v>
      </c>
      <c r="J217" s="5" t="n">
        <v>4.5</v>
      </c>
      <c r="K217" s="5">
        <f>I217*J217</f>
        <v/>
      </c>
      <c r="L217" s="5">
        <f>J217/G217</f>
        <v/>
      </c>
      <c r="M217" s="5" t="n">
        <v>4.31</v>
      </c>
      <c r="N217" s="5" t="n">
        <v>4.31</v>
      </c>
      <c r="O217" s="6">
        <f>L217/M217-1</f>
        <v/>
      </c>
      <c r="P217" s="4" t="n">
        <v>1304</v>
      </c>
      <c r="Q217" s="2" t="inlineStr"/>
    </row>
    <row r="218">
      <c r="A218" s="2" t="n">
        <v>385</v>
      </c>
      <c r="B218" s="2" t="n">
        <v>151761</v>
      </c>
      <c r="C218" s="3" t="inlineStr">
        <is>
          <t>7893454100555</t>
        </is>
      </c>
      <c r="D218" s="2" t="inlineStr">
        <is>
          <t>LIDIAL 50MG 25G POMADA</t>
        </is>
      </c>
      <c r="E218" s="2" t="inlineStr">
        <is>
          <t>LIDIAL 50MG/G POM BG 25G</t>
        </is>
      </c>
      <c r="F218" s="2" t="inlineStr">
        <is>
          <t>DELTA</t>
        </is>
      </c>
      <c r="G218" s="4" t="n">
        <v>1</v>
      </c>
      <c r="H218" s="4" t="n">
        <v>3</v>
      </c>
      <c r="I218" s="4" t="n">
        <v>3</v>
      </c>
      <c r="J218" s="5" t="n">
        <v>6.95</v>
      </c>
      <c r="K218" s="5">
        <f>I218*J218</f>
        <v/>
      </c>
      <c r="L218" s="5">
        <f>J218/G218</f>
        <v/>
      </c>
      <c r="M218" s="5" t="n">
        <v>6.73</v>
      </c>
      <c r="N218" s="5" t="n">
        <v>6.73</v>
      </c>
      <c r="O218" s="6">
        <f>L218/M218-1</f>
        <v/>
      </c>
      <c r="P218" s="4" t="n">
        <v>583</v>
      </c>
      <c r="Q218" s="2" t="inlineStr"/>
    </row>
    <row r="219">
      <c r="A219" s="2" t="n">
        <v>7932</v>
      </c>
      <c r="B219" s="2" t="n">
        <v>616271</v>
      </c>
      <c r="C219" s="3" t="inlineStr">
        <is>
          <t>7894164010301</t>
        </is>
      </c>
      <c r="D219" s="2" t="inlineStr">
        <is>
          <t>LORATADINA 1MG 100ML XPE</t>
        </is>
      </c>
      <c r="E219" s="2" t="inlineStr">
        <is>
          <t>LORATADINA 1MG/ML 100ML XPE UN</t>
        </is>
      </c>
      <c r="F219" s="2" t="inlineStr">
        <is>
          <t>AIRELA</t>
        </is>
      </c>
      <c r="G219" s="4" t="n">
        <v>1</v>
      </c>
      <c r="H219" s="4" t="n">
        <v>4</v>
      </c>
      <c r="I219" s="4" t="n">
        <v>4</v>
      </c>
      <c r="J219" s="5" t="n">
        <v>5.93</v>
      </c>
      <c r="K219" s="5">
        <f>I219*J219</f>
        <v/>
      </c>
      <c r="L219" s="5">
        <f>J219/G219</f>
        <v/>
      </c>
      <c r="M219" s="5" t="n">
        <v>5.65</v>
      </c>
      <c r="N219" s="5" t="n">
        <v>5.65</v>
      </c>
      <c r="O219" s="6">
        <f>L219/M219-1</f>
        <v/>
      </c>
      <c r="P219" s="4" t="n">
        <v>385</v>
      </c>
      <c r="Q219" s="2" t="inlineStr"/>
    </row>
    <row r="220">
      <c r="A220" s="2" t="n">
        <v>931</v>
      </c>
      <c r="B220" s="2" t="n">
        <v>324761</v>
      </c>
      <c r="C220" s="3" t="inlineStr">
        <is>
          <t>7896523202822</t>
        </is>
      </c>
      <c r="D220" s="2" t="inlineStr">
        <is>
          <t>LORATAMED 10MG C/12 CPR</t>
        </is>
      </c>
      <c r="E220" s="2" t="inlineStr">
        <is>
          <t>LORATAMED 10MG CX 12 COMP</t>
        </is>
      </c>
      <c r="F220" s="2" t="inlineStr">
        <is>
          <t>CIMED</t>
        </is>
      </c>
      <c r="G220" s="4" t="n">
        <v>1</v>
      </c>
      <c r="H220" s="4" t="n">
        <v>42</v>
      </c>
      <c r="I220" s="4" t="n">
        <v>42</v>
      </c>
      <c r="J220" s="5" t="n">
        <v>1.76</v>
      </c>
      <c r="K220" s="5">
        <f>I220*J220</f>
        <v/>
      </c>
      <c r="L220" s="5">
        <f>J220/G220</f>
        <v/>
      </c>
      <c r="M220" s="5" t="n">
        <v>1.69</v>
      </c>
      <c r="N220" s="5" t="n">
        <v>1.49</v>
      </c>
      <c r="O220" s="6">
        <f>L220/M220-1</f>
        <v/>
      </c>
      <c r="P220" s="4" t="n">
        <v>4108</v>
      </c>
      <c r="Q220" s="2" t="inlineStr"/>
    </row>
    <row r="221">
      <c r="A221" s="2" t="n">
        <v>7927</v>
      </c>
      <c r="B221" s="2" t="n">
        <v>668941</v>
      </c>
      <c r="C221" s="3" t="inlineStr">
        <is>
          <t>7896004785769</t>
        </is>
      </c>
      <c r="D221" s="2" t="inlineStr">
        <is>
          <t>LOZEPREL 40MG C/28 CPS</t>
        </is>
      </c>
      <c r="E221" s="2" t="inlineStr">
        <is>
          <t>LOZEPREL 40MG CX 28 CAP</t>
        </is>
      </c>
      <c r="F221" s="2" t="inlineStr">
        <is>
          <t>MULTILAB MARCA</t>
        </is>
      </c>
      <c r="G221" s="4" t="n">
        <v>1</v>
      </c>
      <c r="H221" s="4" t="n">
        <v>9</v>
      </c>
      <c r="I221" s="4" t="n">
        <v>9</v>
      </c>
      <c r="J221" s="5" t="n">
        <v>9.07</v>
      </c>
      <c r="K221" s="5">
        <f>I221*J221</f>
        <v/>
      </c>
      <c r="L221" s="5">
        <f>J221/G221</f>
        <v/>
      </c>
      <c r="M221" s="5" t="n">
        <v>9.9</v>
      </c>
      <c r="N221" s="5" t="n">
        <v>9.9</v>
      </c>
      <c r="O221" s="6">
        <f>L221/M221-1</f>
        <v/>
      </c>
      <c r="P221" s="4" t="n">
        <v>96</v>
      </c>
      <c r="Q221" s="2" t="inlineStr"/>
    </row>
    <row r="222">
      <c r="A222" s="2" t="n">
        <v>5499</v>
      </c>
      <c r="B222" s="2" t="n">
        <v>558921</v>
      </c>
      <c r="C222" s="3" t="inlineStr">
        <is>
          <t>7898556850513</t>
        </is>
      </c>
      <c r="D222" s="2" t="inlineStr">
        <is>
          <t>GEL RILEX TOY 100G MENTA</t>
        </is>
      </c>
      <c r="E222" s="2" t="inlineStr">
        <is>
          <t>LUBRIFICANTE GEL RILEX MENTA 100G</t>
        </is>
      </c>
      <c r="F222" s="2" t="inlineStr">
        <is>
          <t>RILEX</t>
        </is>
      </c>
      <c r="G222" s="4" t="n">
        <v>1</v>
      </c>
      <c r="H222" s="4" t="n">
        <v>1</v>
      </c>
      <c r="I222" s="4" t="n">
        <v>1</v>
      </c>
      <c r="J222" s="5" t="n">
        <v>15.34</v>
      </c>
      <c r="K222" s="5">
        <f>I222*J222</f>
        <v/>
      </c>
      <c r="L222" s="5">
        <f>J222/G222</f>
        <v/>
      </c>
      <c r="M222" s="5" t="n">
        <v>15.27</v>
      </c>
      <c r="N222" s="5" t="n">
        <v>15.27</v>
      </c>
      <c r="O222" s="6">
        <f>L222/M222-1</f>
        <v/>
      </c>
      <c r="P222" s="4" t="n">
        <v>226</v>
      </c>
      <c r="Q222" s="2" t="inlineStr"/>
    </row>
    <row r="223">
      <c r="A223" s="2" t="n">
        <v>5469</v>
      </c>
      <c r="B223" s="2" t="n">
        <v>557121</v>
      </c>
      <c r="C223" s="3" t="inlineStr">
        <is>
          <t>7896523200026</t>
        </is>
      </c>
      <c r="D223" s="2" t="inlineStr">
        <is>
          <t>LUBRIFIK 50G GEL</t>
        </is>
      </c>
      <c r="E223" s="2" t="inlineStr">
        <is>
          <t>LUBRIFIK LUBRIFICANTE INTIMO GEL BG 50G</t>
        </is>
      </c>
      <c r="F223" s="2" t="inlineStr">
        <is>
          <t>CIMED</t>
        </is>
      </c>
      <c r="G223" s="4" t="n">
        <v>1</v>
      </c>
      <c r="H223" s="4" t="n">
        <v>17</v>
      </c>
      <c r="I223" s="4" t="n">
        <v>17</v>
      </c>
      <c r="J223" s="5" t="n">
        <v>4.32</v>
      </c>
      <c r="K223" s="5">
        <f>I223*J223</f>
        <v/>
      </c>
      <c r="L223" s="5">
        <f>J223/G223</f>
        <v/>
      </c>
      <c r="M223" s="5" t="n">
        <v>4.32</v>
      </c>
      <c r="N223" s="5" t="n">
        <v>4.32</v>
      </c>
      <c r="O223" s="6">
        <f>L223/M223-1</f>
        <v/>
      </c>
      <c r="P223" s="4" t="n">
        <v>760</v>
      </c>
      <c r="Q223" s="2" t="inlineStr"/>
    </row>
    <row r="224">
      <c r="A224" s="2" t="n">
        <v>9434</v>
      </c>
      <c r="B224" s="2" t="n">
        <v>4143</v>
      </c>
      <c r="C224" s="3" t="inlineStr">
        <is>
          <t>7898947170176</t>
        </is>
      </c>
      <c r="D224" s="2" t="inlineStr">
        <is>
          <t>LUVA CIRURGICA 7,0 ESTERIL COM PO</t>
        </is>
      </c>
      <c r="E224" s="2" t="inlineStr">
        <is>
          <t>LUVA CIRURGICA 7,0 ESTERIL COM PO</t>
        </is>
      </c>
      <c r="F224" s="2" t="inlineStr">
        <is>
          <t>MEDIX</t>
        </is>
      </c>
      <c r="G224" s="4" t="n">
        <v>1</v>
      </c>
      <c r="H224" s="4" t="n">
        <v>2</v>
      </c>
      <c r="I224" s="4" t="n">
        <v>2</v>
      </c>
      <c r="J224" s="5" t="n">
        <v>1.76</v>
      </c>
      <c r="K224" s="5">
        <f>I224*J224</f>
        <v/>
      </c>
      <c r="L224" s="5">
        <f>J224/G224</f>
        <v/>
      </c>
      <c r="M224" s="5" t="n">
        <v>1.76</v>
      </c>
      <c r="N224" s="5" t="n">
        <v>1.76</v>
      </c>
      <c r="O224" s="6">
        <f>L224/M224-1</f>
        <v/>
      </c>
      <c r="P224" s="4" t="n">
        <v>601</v>
      </c>
      <c r="Q224" s="2" t="inlineStr"/>
    </row>
    <row r="225">
      <c r="A225" s="2" t="n">
        <v>9437</v>
      </c>
      <c r="B225" s="2" t="n">
        <v>4153</v>
      </c>
      <c r="C225" s="3" t="inlineStr">
        <is>
          <t>7898947170190</t>
        </is>
      </c>
      <c r="D225" s="2" t="inlineStr">
        <is>
          <t>LUVA CIRURGICA 8,0 ESTERIL COM PO</t>
        </is>
      </c>
      <c r="E225" s="2" t="inlineStr">
        <is>
          <t>LUVA CIRURGICA 8,0 ESTERIL COM PO</t>
        </is>
      </c>
      <c r="F225" s="2" t="inlineStr">
        <is>
          <t>MEDIX</t>
        </is>
      </c>
      <c r="G225" s="4" t="n">
        <v>1</v>
      </c>
      <c r="H225" s="4" t="n">
        <v>2</v>
      </c>
      <c r="I225" s="4" t="n">
        <v>2</v>
      </c>
      <c r="J225" s="5" t="n">
        <v>1.74</v>
      </c>
      <c r="K225" s="5">
        <f>I225*J225</f>
        <v/>
      </c>
      <c r="L225" s="5">
        <f>J225/G225</f>
        <v/>
      </c>
      <c r="M225" s="5" t="n">
        <v>1.74</v>
      </c>
      <c r="N225" s="5" t="n">
        <v>1.74</v>
      </c>
      <c r="O225" s="6">
        <f>L225/M225-1</f>
        <v/>
      </c>
      <c r="P225" s="4" t="n">
        <v>399</v>
      </c>
      <c r="Q225" s="2" t="inlineStr"/>
    </row>
    <row r="226">
      <c r="A226" s="2" t="n">
        <v>9414</v>
      </c>
      <c r="B226" s="2" t="n">
        <v>675981</v>
      </c>
      <c r="C226" s="3" t="inlineStr">
        <is>
          <t>7898947170619</t>
        </is>
      </c>
      <c r="D226" s="2" t="inlineStr">
        <is>
          <t>LUVA DE PROCEDIMENTO PP C/100 UND COM PO</t>
        </is>
      </c>
      <c r="E226" s="2" t="inlineStr">
        <is>
          <t>LUVA LATEX MEDIX PROFI C/PO TAM PP C/100 UN</t>
        </is>
      </c>
      <c r="F226" s="2" t="inlineStr">
        <is>
          <t>MEDIX</t>
        </is>
      </c>
      <c r="G226" s="4" t="n">
        <v>1</v>
      </c>
      <c r="H226" s="4" t="n">
        <v>2</v>
      </c>
      <c r="I226" s="4" t="n">
        <v>2</v>
      </c>
      <c r="J226" s="5" t="n">
        <v>26.33</v>
      </c>
      <c r="K226" s="5">
        <f>I226*J226</f>
        <v/>
      </c>
      <c r="L226" s="5">
        <f>J226/G226</f>
        <v/>
      </c>
      <c r="M226" s="5" t="n">
        <v>19.9</v>
      </c>
      <c r="N226" s="5" t="n">
        <v>19.9</v>
      </c>
      <c r="O226" s="6">
        <f>L226/M226-1</f>
        <v/>
      </c>
      <c r="P226" s="4" t="n">
        <v>120</v>
      </c>
      <c r="Q226" s="2" t="inlineStr"/>
    </row>
    <row r="227">
      <c r="A227" s="2" t="n">
        <v>5310</v>
      </c>
      <c r="B227" s="2" t="n">
        <v>612321</v>
      </c>
      <c r="C227" s="3" t="inlineStr">
        <is>
          <t>7894164005734</t>
        </is>
      </c>
      <c r="D227" s="2" t="inlineStr">
        <is>
          <t>LEITE DE MAGNESIA MAGMILK 100ML HORTELA</t>
        </is>
      </c>
      <c r="E227" s="2" t="inlineStr">
        <is>
          <t>MAGMILK HORTELA 80MG/ML 100ML (HIDROXIDO</t>
        </is>
      </c>
      <c r="F227" s="2" t="inlineStr">
        <is>
          <t>AIRELA</t>
        </is>
      </c>
      <c r="G227" s="4" t="n">
        <v>1</v>
      </c>
      <c r="H227" s="4" t="n">
        <v>3</v>
      </c>
      <c r="I227" s="4" t="n">
        <v>3</v>
      </c>
      <c r="J227" s="5" t="n">
        <v>4.85</v>
      </c>
      <c r="K227" s="5">
        <f>I227*J227</f>
        <v/>
      </c>
      <c r="L227" s="5">
        <f>J227/G227</f>
        <v/>
      </c>
      <c r="M227" s="5" t="n">
        <v>4.14</v>
      </c>
      <c r="N227" s="5" t="n">
        <v>4.14</v>
      </c>
      <c r="O227" s="6">
        <f>L227/M227-1</f>
        <v/>
      </c>
      <c r="P227" s="4" t="n">
        <v>145</v>
      </c>
      <c r="Q227" s="2" t="inlineStr"/>
    </row>
    <row r="228">
      <c r="A228" s="2" t="n">
        <v>5409</v>
      </c>
      <c r="B228" s="2" t="n">
        <v>542681</v>
      </c>
      <c r="C228" s="3" t="inlineStr">
        <is>
          <t>7894164005727</t>
        </is>
      </c>
      <c r="D228" s="2" t="inlineStr">
        <is>
          <t>LEITE DE MAGNESIA MAGMILK 100ML TRADICIO</t>
        </is>
      </c>
      <c r="E228" s="2" t="inlineStr">
        <is>
          <t>MAGMILK TRADICIONAL 80MG/ML 100ML(ARL)</t>
        </is>
      </c>
      <c r="F228" s="2" t="inlineStr">
        <is>
          <t>AIRELA</t>
        </is>
      </c>
      <c r="G228" s="4" t="n">
        <v>1</v>
      </c>
      <c r="H228" s="4" t="n">
        <v>11</v>
      </c>
      <c r="I228" s="4" t="n">
        <v>11</v>
      </c>
      <c r="J228" s="5" t="n">
        <v>4.71</v>
      </c>
      <c r="K228" s="5">
        <f>I228*J228</f>
        <v/>
      </c>
      <c r="L228" s="5">
        <f>J228/G228</f>
        <v/>
      </c>
      <c r="M228" s="5" t="n">
        <v>4.71</v>
      </c>
      <c r="N228" s="5" t="n">
        <v>4.71</v>
      </c>
      <c r="O228" s="6">
        <f>L228/M228-1</f>
        <v/>
      </c>
      <c r="P228" s="4" t="n">
        <v>1160</v>
      </c>
      <c r="Q228" s="2" t="inlineStr"/>
    </row>
    <row r="229">
      <c r="A229" s="2" t="n">
        <v>7719</v>
      </c>
      <c r="B229" s="2" t="n">
        <v>591291</v>
      </c>
      <c r="C229" s="3" t="inlineStr">
        <is>
          <t>7898048699651</t>
        </is>
      </c>
      <c r="D229" s="2" t="inlineStr">
        <is>
          <t>MAGNESIO DIMALATO 620MG C/60 CPS</t>
        </is>
      </c>
      <c r="E229" s="2" t="inlineStr">
        <is>
          <t>MAGNESIO DIMALATO 60CP</t>
        </is>
      </c>
      <c r="F229" s="2" t="inlineStr">
        <is>
          <t>LAPON</t>
        </is>
      </c>
      <c r="G229" s="4" t="n">
        <v>1</v>
      </c>
      <c r="H229" s="4" t="n">
        <v>8</v>
      </c>
      <c r="I229" s="4" t="n">
        <v>8</v>
      </c>
      <c r="J229" s="5" t="n">
        <v>15.98</v>
      </c>
      <c r="K229" s="5">
        <f>I229*J229</f>
        <v/>
      </c>
      <c r="L229" s="5">
        <f>J229/G229</f>
        <v/>
      </c>
      <c r="M229" s="5" t="n">
        <v>15.98</v>
      </c>
      <c r="N229" s="5" t="n">
        <v>13.84</v>
      </c>
      <c r="O229" s="6">
        <f>L229/M229-1</f>
        <v/>
      </c>
      <c r="P229" s="4" t="n">
        <v>929</v>
      </c>
      <c r="Q229" s="2" t="inlineStr"/>
    </row>
    <row r="230">
      <c r="A230" s="2" t="n">
        <v>409</v>
      </c>
      <c r="B230" s="2" t="n">
        <v>56761</v>
      </c>
      <c r="C230" s="3" t="inlineStr">
        <is>
          <t>7898060132075</t>
        </is>
      </c>
      <c r="D230" s="2" t="inlineStr">
        <is>
          <t>DEXCLORFENIRAMINA+BETAMETASONA 120ML XPE</t>
        </is>
      </c>
      <c r="E230" s="2" t="inlineStr">
        <is>
          <t>MAL DEXCLORFENIRAMINA+BETAMETASONA 0,4+0,05MG XPE FR 120ML+CM</t>
        </is>
      </c>
      <c r="F230" s="2" t="inlineStr">
        <is>
          <t>GLOBO PHARMA</t>
        </is>
      </c>
      <c r="G230" s="4" t="n">
        <v>1</v>
      </c>
      <c r="H230" s="4" t="n">
        <v>20</v>
      </c>
      <c r="I230" s="4" t="n">
        <v>20</v>
      </c>
      <c r="J230" s="5" t="n">
        <v>4.68</v>
      </c>
      <c r="K230" s="5">
        <f>I230*J230</f>
        <v/>
      </c>
      <c r="L230" s="5">
        <f>J230/G230</f>
        <v/>
      </c>
      <c r="M230" s="5" t="n">
        <v>5.1</v>
      </c>
      <c r="N230" s="5" t="n">
        <v>5.1</v>
      </c>
      <c r="O230" s="6">
        <f>L230/M230-1</f>
        <v/>
      </c>
      <c r="P230" s="4" t="n">
        <v>2349</v>
      </c>
      <c r="Q230" s="2" t="inlineStr"/>
    </row>
    <row r="231">
      <c r="A231" s="2" t="n">
        <v>4401</v>
      </c>
      <c r="B231" s="2" t="n">
        <v>512501</v>
      </c>
      <c r="C231" s="3" t="inlineStr">
        <is>
          <t>7896523210773</t>
        </is>
      </c>
      <c r="D231" s="2" t="inlineStr">
        <is>
          <t>ENALAPRIL 20MG C/30 CPR</t>
        </is>
      </c>
      <c r="E231" s="2" t="inlineStr">
        <is>
          <t>MALEATO DE ENALAPRIL 20MG CX 30 COMP</t>
        </is>
      </c>
      <c r="F231" s="2" t="inlineStr">
        <is>
          <t>CIMED</t>
        </is>
      </c>
      <c r="G231" s="4" t="n">
        <v>1</v>
      </c>
      <c r="H231" s="4" t="n">
        <v>26</v>
      </c>
      <c r="I231" s="4" t="n">
        <v>26</v>
      </c>
      <c r="J231" s="5" t="n">
        <v>2.86</v>
      </c>
      <c r="K231" s="5">
        <f>I231*J231</f>
        <v/>
      </c>
      <c r="L231" s="5">
        <f>J231/G231</f>
        <v/>
      </c>
      <c r="M231" s="5" t="n">
        <v>2.35</v>
      </c>
      <c r="N231" s="5" t="n">
        <v>2.23</v>
      </c>
      <c r="O231" s="6">
        <f>L231/M231-1</f>
        <v/>
      </c>
      <c r="P231" s="4" t="n">
        <v>44</v>
      </c>
      <c r="Q231" s="2" t="inlineStr"/>
    </row>
    <row r="232">
      <c r="A232" s="2" t="n">
        <v>3307</v>
      </c>
      <c r="B232" s="2" t="n">
        <v>336001</v>
      </c>
      <c r="C232" s="3" t="inlineStr">
        <is>
          <t>7898945030212</t>
        </is>
      </c>
      <c r="D232" s="2" t="inlineStr">
        <is>
          <t>TRIMEBUTINA 200MG C/30 CPS</t>
        </is>
      </c>
      <c r="E232" s="2" t="inlineStr">
        <is>
          <t>MALEATO DE TRIMEBUTINA 200MG CX 30 COMP</t>
        </is>
      </c>
      <c r="F232" s="2" t="inlineStr">
        <is>
          <t>ALTHAIA</t>
        </is>
      </c>
      <c r="G232" s="4" t="n">
        <v>1</v>
      </c>
      <c r="H232" s="4" t="n">
        <v>1</v>
      </c>
      <c r="I232" s="4" t="n">
        <v>1</v>
      </c>
      <c r="J232" s="5" t="n">
        <v>35.44</v>
      </c>
      <c r="K232" s="5">
        <f>I232*J232</f>
        <v/>
      </c>
      <c r="L232" s="5">
        <f>J232/G232</f>
        <v/>
      </c>
      <c r="M232" s="5" t="n">
        <v>33.8</v>
      </c>
      <c r="N232" s="5" t="n">
        <v>31.95</v>
      </c>
      <c r="O232" s="6">
        <f>L232/M232-1</f>
        <v/>
      </c>
      <c r="P232" s="4" t="n">
        <v>93</v>
      </c>
      <c r="Q232" s="2" t="inlineStr"/>
    </row>
    <row r="233">
      <c r="A233" s="2" t="n">
        <v>4558</v>
      </c>
      <c r="B233" s="2" t="n">
        <v>346381</v>
      </c>
      <c r="C233" s="3" t="inlineStr">
        <is>
          <t>7895296445085</t>
        </is>
      </c>
      <c r="D233" s="2" t="inlineStr">
        <is>
          <t>MEFLAGIN 400MG C/20 CPR</t>
        </is>
      </c>
      <c r="E233" s="2" t="inlineStr">
        <is>
          <t>MEFLAGIN 400MG 2BL X 10 COMP REV</t>
        </is>
      </c>
      <c r="F233" s="2" t="inlineStr">
        <is>
          <t>MULTILAB MARCA</t>
        </is>
      </c>
      <c r="G233" s="4" t="n">
        <v>1</v>
      </c>
      <c r="H233" s="4" t="n">
        <v>1</v>
      </c>
      <c r="I233" s="4" t="n">
        <v>1</v>
      </c>
      <c r="J233" s="5" t="n">
        <v>7.35</v>
      </c>
      <c r="K233" s="5">
        <f>I233*J233</f>
        <v/>
      </c>
      <c r="L233" s="5">
        <f>J233/G233</f>
        <v/>
      </c>
      <c r="M233" s="5" t="n">
        <v>7.08</v>
      </c>
      <c r="N233" s="5" t="n">
        <v>7.08</v>
      </c>
      <c r="O233" s="6">
        <f>L233/M233-1</f>
        <v/>
      </c>
      <c r="P233" s="4" t="n">
        <v>3593</v>
      </c>
      <c r="Q233" s="2" t="inlineStr"/>
    </row>
    <row r="234">
      <c r="A234" s="2" t="n">
        <v>819</v>
      </c>
      <c r="B234" s="2" t="n">
        <v>602931</v>
      </c>
      <c r="C234" s="3" t="inlineStr">
        <is>
          <t>7896148500136</t>
        </is>
      </c>
      <c r="D234" s="2" t="inlineStr">
        <is>
          <t>MEL E PROPOLIS SPRAY 35ML</t>
        </is>
      </c>
      <c r="E234" s="2" t="inlineStr">
        <is>
          <t>MEL CP EXTRATO PROPOLIS 35ML (FIT)</t>
        </is>
      </c>
      <c r="F234" s="2" t="inlineStr">
        <is>
          <t>FITOBEL</t>
        </is>
      </c>
      <c r="G234" s="4" t="n">
        <v>1</v>
      </c>
      <c r="H234" s="4" t="n">
        <v>3</v>
      </c>
      <c r="I234" s="4" t="n">
        <v>3</v>
      </c>
      <c r="J234" s="5" t="n">
        <v>12.76</v>
      </c>
      <c r="K234" s="5">
        <f>I234*J234</f>
        <v/>
      </c>
      <c r="L234" s="5">
        <f>J234/G234</f>
        <v/>
      </c>
      <c r="M234" s="5" t="n">
        <v>11.47</v>
      </c>
      <c r="N234" s="5" t="n">
        <v>11.47</v>
      </c>
      <c r="O234" s="6">
        <f>L234/M234-1</f>
        <v/>
      </c>
      <c r="P234" s="4" t="n">
        <v>15</v>
      </c>
      <c r="Q234" s="2" t="inlineStr"/>
    </row>
    <row r="235">
      <c r="A235" s="2" t="n">
        <v>8926</v>
      </c>
      <c r="B235" s="2" t="n">
        <v>665751</v>
      </c>
      <c r="C235" s="3" t="inlineStr">
        <is>
          <t>7896148500600</t>
        </is>
      </c>
      <c r="D235" s="2" t="inlineStr">
        <is>
          <t>MEL DE ABELHA 200G BISNAGA</t>
        </is>
      </c>
      <c r="E235" s="2" t="inlineStr">
        <is>
          <t>MEL DE ABELHA 200G BISNAGA FITOBEL</t>
        </is>
      </c>
      <c r="F235" s="2" t="inlineStr">
        <is>
          <t>FITOBEL</t>
        </is>
      </c>
      <c r="G235" s="4" t="n">
        <v>1</v>
      </c>
      <c r="H235" s="4" t="n">
        <v>2</v>
      </c>
      <c r="I235" s="4" t="n">
        <v>2</v>
      </c>
      <c r="J235" s="5" t="n">
        <v>10.61</v>
      </c>
      <c r="K235" s="5">
        <f>I235*J235</f>
        <v/>
      </c>
      <c r="L235" s="5">
        <f>J235/G235</f>
        <v/>
      </c>
      <c r="M235" s="5" t="n">
        <v>10.54</v>
      </c>
      <c r="N235" s="5" t="n">
        <v>9.43</v>
      </c>
      <c r="O235" s="6">
        <f>L235/M235-1</f>
        <v/>
      </c>
      <c r="P235" s="4" t="n">
        <v>417</v>
      </c>
      <c r="Q235" s="2" t="inlineStr"/>
    </row>
    <row r="236">
      <c r="A236" s="2" t="n">
        <v>1775</v>
      </c>
      <c r="B236" s="2" t="n">
        <v>569961</v>
      </c>
      <c r="C236" s="3" t="inlineStr">
        <is>
          <t>7896148500709</t>
        </is>
      </c>
      <c r="D236" s="2" t="inlineStr">
        <is>
          <t>MEL DE ABELHA 70G</t>
        </is>
      </c>
      <c r="E236" s="2" t="inlineStr">
        <is>
          <t>MEL DE ABELHA 70G</t>
        </is>
      </c>
      <c r="F236" s="2" t="inlineStr">
        <is>
          <t>FITOBEL</t>
        </is>
      </c>
      <c r="G236" s="4" t="n">
        <v>1</v>
      </c>
      <c r="H236" s="4" t="n">
        <v>1</v>
      </c>
      <c r="I236" s="4" t="n">
        <v>1</v>
      </c>
      <c r="J236" s="5" t="n">
        <v>7.52</v>
      </c>
      <c r="K236" s="5">
        <f>I236*J236</f>
        <v/>
      </c>
      <c r="L236" s="5">
        <f>J236/G236</f>
        <v/>
      </c>
      <c r="M236" s="5" t="n">
        <v>6.75</v>
      </c>
      <c r="N236" s="5" t="n">
        <v>6.75</v>
      </c>
      <c r="O236" s="6">
        <f>L236/M236-1</f>
        <v/>
      </c>
      <c r="P236" s="4" t="n">
        <v>177</v>
      </c>
      <c r="Q236" s="2" t="inlineStr"/>
    </row>
    <row r="237">
      <c r="A237" s="2" t="n">
        <v>3388</v>
      </c>
      <c r="B237" s="2" t="n">
        <v>673191</v>
      </c>
      <c r="C237" s="3" t="inlineStr">
        <is>
          <t>7896023752513</t>
        </is>
      </c>
      <c r="D237" s="2" t="inlineStr">
        <is>
          <t>MELAGRIAO SPRAY 30ML MENTA</t>
        </is>
      </c>
      <c r="E237" s="2" t="inlineStr">
        <is>
          <t>MELAGRIAO SPRAY - MENTA - 30ML-DEMAIS PROD</t>
        </is>
      </c>
      <c r="F237" s="2" t="inlineStr">
        <is>
          <t>CATARINENSE</t>
        </is>
      </c>
      <c r="G237" s="4" t="n">
        <v>1</v>
      </c>
      <c r="H237" s="4" t="n">
        <v>3</v>
      </c>
      <c r="I237" s="4" t="n">
        <v>3</v>
      </c>
      <c r="J237" s="5" t="n">
        <v>14.78</v>
      </c>
      <c r="K237" s="5">
        <f>I237*J237</f>
        <v/>
      </c>
      <c r="L237" s="5">
        <f>J237/G237</f>
        <v/>
      </c>
      <c r="M237" s="5" t="n">
        <v>16.5517</v>
      </c>
      <c r="N237" s="5" t="n">
        <v>13.14</v>
      </c>
      <c r="O237" s="6">
        <f>L237/M237-1</f>
        <v/>
      </c>
      <c r="P237" s="4" t="n">
        <v>223</v>
      </c>
      <c r="Q237" s="2" t="inlineStr"/>
    </row>
    <row r="238">
      <c r="A238" s="2" t="n">
        <v>4729</v>
      </c>
      <c r="B238" s="2" t="n">
        <v>3223</v>
      </c>
      <c r="C238" s="3" t="inlineStr">
        <is>
          <t>7896023708626</t>
        </is>
      </c>
      <c r="D238" s="2" t="inlineStr">
        <is>
          <t>MELAGRIAO SPRAY 30ML EXTRA FORTE</t>
        </is>
      </c>
      <c r="E238" s="2" t="inlineStr">
        <is>
          <t>MELAGRIAO SPRAY 30ML EXTRA FORTE</t>
        </is>
      </c>
      <c r="F238" s="2" t="inlineStr">
        <is>
          <t>CATARINENSE</t>
        </is>
      </c>
      <c r="G238" s="4" t="n">
        <v>1</v>
      </c>
      <c r="H238" s="4" t="n">
        <v>2</v>
      </c>
      <c r="I238" s="4" t="n">
        <v>2</v>
      </c>
      <c r="J238" s="5" t="n">
        <v>13.22</v>
      </c>
      <c r="K238" s="5">
        <f>I238*J238</f>
        <v/>
      </c>
      <c r="L238" s="5">
        <f>J238/G238</f>
        <v/>
      </c>
      <c r="M238" s="5" t="n">
        <v>21.72</v>
      </c>
      <c r="N238" s="5" t="n">
        <v>18.02</v>
      </c>
      <c r="O238" s="6">
        <f>L238/M238-1</f>
        <v/>
      </c>
      <c r="P238" s="4" t="n">
        <v>322</v>
      </c>
      <c r="Q238" s="2" t="inlineStr"/>
    </row>
    <row r="239">
      <c r="A239" s="2" t="n">
        <v>625</v>
      </c>
      <c r="B239" s="2" t="n">
        <v>548221</v>
      </c>
      <c r="C239" s="3" t="inlineStr">
        <is>
          <t>7896023719899</t>
        </is>
      </c>
      <c r="D239" s="2" t="inlineStr">
        <is>
          <t>MELAGRIAO 150ML XPE</t>
        </is>
      </c>
      <c r="E239" s="2" t="inlineStr">
        <is>
          <t>MELAGRIÃO EXPECTORANTE CATARINENSE 150ML</t>
        </is>
      </c>
      <c r="F239" s="2" t="inlineStr">
        <is>
          <t>CATARINENSE</t>
        </is>
      </c>
      <c r="G239" s="4" t="n">
        <v>1</v>
      </c>
      <c r="H239" s="4" t="n">
        <v>3</v>
      </c>
      <c r="I239" s="4" t="n">
        <v>3</v>
      </c>
      <c r="J239" s="5" t="n">
        <v>15.82</v>
      </c>
      <c r="K239" s="5">
        <f>I239*J239</f>
        <v/>
      </c>
      <c r="L239" s="5">
        <f>J239/G239</f>
        <v/>
      </c>
      <c r="M239" s="5" t="n">
        <v>35.31</v>
      </c>
      <c r="N239" s="5" t="n">
        <v>14.77</v>
      </c>
      <c r="O239" s="6">
        <f>L239/M239-1</f>
        <v/>
      </c>
      <c r="P239" s="4" t="n">
        <v>899</v>
      </c>
      <c r="Q239" s="2" t="inlineStr">
        <is>
          <t>conferir embalagem (preço muito fora da referência)</t>
        </is>
      </c>
    </row>
    <row r="240">
      <c r="A240" s="2" t="n">
        <v>6951</v>
      </c>
      <c r="B240" s="2" t="n">
        <v>3573</v>
      </c>
      <c r="C240" s="3" t="inlineStr">
        <is>
          <t>7894164008551</t>
        </is>
      </c>
      <c r="D240" s="2" t="inlineStr">
        <is>
          <t>MELATONINA 210MCG 20ML GTS</t>
        </is>
      </c>
      <c r="E240" s="2" t="inlineStr">
        <is>
          <t>MELATONINA 210MCG 20ML GTS</t>
        </is>
      </c>
      <c r="F240" s="2" t="inlineStr">
        <is>
          <t>AIRELA</t>
        </is>
      </c>
      <c r="G240" s="4" t="n">
        <v>1</v>
      </c>
      <c r="H240" s="4" t="n">
        <v>6</v>
      </c>
      <c r="I240" s="4" t="n">
        <v>6</v>
      </c>
      <c r="J240" s="5" t="n">
        <v>10.65</v>
      </c>
      <c r="K240" s="5">
        <f>I240*J240</f>
        <v/>
      </c>
      <c r="L240" s="5">
        <f>J240/G240</f>
        <v/>
      </c>
      <c r="M240" s="5" t="n">
        <v>10.65</v>
      </c>
      <c r="N240" s="5" t="n">
        <v>8.57</v>
      </c>
      <c r="O240" s="6">
        <f>L240/M240-1</f>
        <v/>
      </c>
      <c r="P240" s="4" t="n">
        <v>311</v>
      </c>
      <c r="Q240" s="2" t="inlineStr"/>
    </row>
    <row r="241">
      <c r="A241" s="2" t="n">
        <v>8820</v>
      </c>
      <c r="B241" s="2" t="n">
        <v>639011</v>
      </c>
      <c r="C241" s="3" t="inlineStr">
        <is>
          <t>7894164011483</t>
        </is>
      </c>
      <c r="D241" s="2" t="inlineStr">
        <is>
          <t>METIOCURE 10MG 45ML SPRAY</t>
        </is>
      </c>
      <c r="E241" s="2" t="inlineStr">
        <is>
          <t>METIOCURE 10MG 45ML SPRAY</t>
        </is>
      </c>
      <c r="F241" s="2" t="inlineStr">
        <is>
          <t>AIRELA</t>
        </is>
      </c>
      <c r="G241" s="4" t="n">
        <v>1</v>
      </c>
      <c r="H241" s="4" t="n">
        <v>1</v>
      </c>
      <c r="I241" s="4" t="n">
        <v>1</v>
      </c>
      <c r="J241" s="5" t="n">
        <v>8.26</v>
      </c>
      <c r="K241" s="5">
        <f>I241*J241</f>
        <v/>
      </c>
      <c r="L241" s="5">
        <f>J241/G241</f>
        <v/>
      </c>
      <c r="M241" s="5" t="n">
        <v>8.26</v>
      </c>
      <c r="N241" s="5" t="n">
        <v>7.88</v>
      </c>
      <c r="O241" s="6">
        <f>L241/M241-1</f>
        <v/>
      </c>
      <c r="P241" s="4" t="n">
        <v>118</v>
      </c>
      <c r="Q241" s="2" t="inlineStr"/>
    </row>
    <row r="242">
      <c r="A242" s="2" t="n">
        <v>201</v>
      </c>
      <c r="B242" s="2" t="n">
        <v>605891</v>
      </c>
      <c r="C242" s="3" t="inlineStr">
        <is>
          <t>7897917004589</t>
        </is>
      </c>
      <c r="D242" s="2" t="inlineStr">
        <is>
          <t>MICOSBEL 50MG 30G POMADA</t>
        </is>
      </c>
      <c r="E242" s="2" t="inlineStr">
        <is>
          <t>MICOSBEL 50MG 30G POMADA</t>
        </is>
      </c>
      <c r="F242" s="2" t="inlineStr">
        <is>
          <t>BELFAR</t>
        </is>
      </c>
      <c r="G242" s="4" t="n">
        <v>1</v>
      </c>
      <c r="H242" s="4" t="n">
        <v>3</v>
      </c>
      <c r="I242" s="4" t="n">
        <v>3</v>
      </c>
      <c r="J242" s="5" t="n">
        <v>10.3</v>
      </c>
      <c r="K242" s="5">
        <f>I242*J242</f>
        <v/>
      </c>
      <c r="L242" s="5">
        <f>J242/G242</f>
        <v/>
      </c>
      <c r="M242" s="5" t="n">
        <v>10.3</v>
      </c>
      <c r="N242" s="5" t="n">
        <v>10.3</v>
      </c>
      <c r="O242" s="6">
        <f>L242/M242-1</f>
        <v/>
      </c>
      <c r="P242" s="4" t="n">
        <v>1179</v>
      </c>
      <c r="Q242" s="2" t="inlineStr"/>
    </row>
    <row r="243">
      <c r="A243" s="2" t="n">
        <v>5739</v>
      </c>
      <c r="B243" s="2" t="n">
        <v>621241</v>
      </c>
      <c r="C243" s="3" t="inlineStr">
        <is>
          <t>7896920304334</t>
        </is>
      </c>
      <c r="D243" s="2" t="inlineStr">
        <is>
          <t>MILMUNE PED 120ML SUS LARANJA CARAMELO</t>
        </is>
      </c>
      <c r="E243" s="2" t="inlineStr">
        <is>
          <t>MILMUNE CONCENTRADO 120ML</t>
        </is>
      </c>
      <c r="F243" s="2" t="inlineStr">
        <is>
          <t>ECOFITUS</t>
        </is>
      </c>
      <c r="G243" s="4" t="n">
        <v>1</v>
      </c>
      <c r="H243" s="4" t="n">
        <v>4</v>
      </c>
      <c r="I243" s="4" t="n">
        <v>4</v>
      </c>
      <c r="J243" s="5" t="n">
        <v>26.484262</v>
      </c>
      <c r="K243" s="5">
        <f>I243*J243</f>
        <v/>
      </c>
      <c r="L243" s="5">
        <f>J243/G243</f>
        <v/>
      </c>
      <c r="M243" s="5" t="n">
        <v>21.33</v>
      </c>
      <c r="N243" s="5" t="n">
        <v>21.33</v>
      </c>
      <c r="O243" s="6">
        <f>L243/M243-1</f>
        <v/>
      </c>
      <c r="P243" s="4" t="n">
        <v>4677</v>
      </c>
      <c r="Q243" s="2" t="inlineStr"/>
    </row>
    <row r="244">
      <c r="A244" s="2" t="n">
        <v>5738</v>
      </c>
      <c r="B244" s="2" t="n">
        <v>557961</v>
      </c>
      <c r="C244" s="3" t="inlineStr">
        <is>
          <t>7896920304037</t>
        </is>
      </c>
      <c r="D244" s="2" t="inlineStr">
        <is>
          <t>MILMUNE CONCENTRADO C/30 CPR</t>
        </is>
      </c>
      <c r="E244" s="2" t="inlineStr">
        <is>
          <t>MILMUNE CONCENTRADO 30CP</t>
        </is>
      </c>
      <c r="F244" s="2" t="inlineStr">
        <is>
          <t>ECOFITUS</t>
        </is>
      </c>
      <c r="G244" s="4" t="n">
        <v>1</v>
      </c>
      <c r="H244" s="4" t="n">
        <v>6</v>
      </c>
      <c r="I244" s="4" t="n">
        <v>6</v>
      </c>
      <c r="J244" s="5" t="n">
        <v>42.609678</v>
      </c>
      <c r="K244" s="5">
        <f>I244*J244</f>
        <v/>
      </c>
      <c r="L244" s="5">
        <f>J244/G244</f>
        <v/>
      </c>
      <c r="M244" s="5" t="n">
        <v>37.65</v>
      </c>
      <c r="N244" s="5" t="n">
        <v>34.22</v>
      </c>
      <c r="O244" s="6">
        <f>L244/M244-1</f>
        <v/>
      </c>
      <c r="P244" s="4" t="n">
        <v>8695</v>
      </c>
      <c r="Q244" s="2" t="inlineStr"/>
    </row>
    <row r="245">
      <c r="A245" s="2" t="n">
        <v>1584</v>
      </c>
      <c r="B245" s="2" t="n">
        <v>531621</v>
      </c>
      <c r="C245" s="3" t="inlineStr">
        <is>
          <t>7896472501694</t>
        </is>
      </c>
      <c r="D245" s="2" t="inlineStr">
        <is>
          <t>MULTISORO INF 0,9% 30ML SOLUCAO NASAL</t>
        </is>
      </c>
      <c r="E245" s="2" t="inlineStr">
        <is>
          <t>MULTISORO INFANTIL 30ML</t>
        </is>
      </c>
      <c r="F245" s="2" t="inlineStr">
        <is>
          <t>MULTILAB MARCA</t>
        </is>
      </c>
      <c r="G245" s="4" t="n">
        <v>1</v>
      </c>
      <c r="H245" s="4" t="n">
        <v>3</v>
      </c>
      <c r="I245" s="4" t="n">
        <v>3</v>
      </c>
      <c r="J245" s="5" t="n">
        <v>2.9</v>
      </c>
      <c r="K245" s="5">
        <f>I245*J245</f>
        <v/>
      </c>
      <c r="L245" s="5">
        <f>J245/G245</f>
        <v/>
      </c>
      <c r="M245" s="5" t="n">
        <v>2.53</v>
      </c>
      <c r="N245" s="5" t="n">
        <v>2.53</v>
      </c>
      <c r="O245" s="6">
        <f>L245/M245-1</f>
        <v/>
      </c>
      <c r="P245" s="4" t="n">
        <v>102</v>
      </c>
      <c r="Q245" s="2" t="inlineStr"/>
    </row>
    <row r="246">
      <c r="A246" s="2" t="n">
        <v>222</v>
      </c>
      <c r="B246" s="2" t="n">
        <v>651901</v>
      </c>
      <c r="C246" s="3" t="inlineStr">
        <is>
          <t>7898108640050</t>
        </is>
      </c>
      <c r="D246" s="2" t="inlineStr">
        <is>
          <t>COMPRESSA GAZE 11 FIOS C/05 UND*</t>
        </is>
      </c>
      <c r="E246" s="2" t="inlineStr">
        <is>
          <t>N COMPRESSA GAZES 11FIOS ESTER 5UND   SANF %DN:0.00</t>
        </is>
      </c>
      <c r="F246" s="2" t="inlineStr">
        <is>
          <t>SANFARMA</t>
        </is>
      </c>
      <c r="G246" s="4" t="n">
        <v>1</v>
      </c>
      <c r="H246" s="4" t="n">
        <v>1</v>
      </c>
      <c r="I246" s="4" t="n">
        <v>1</v>
      </c>
      <c r="J246" s="5" t="n">
        <v>1.03</v>
      </c>
      <c r="K246" s="5">
        <f>I246*J246</f>
        <v/>
      </c>
      <c r="L246" s="5">
        <f>J246/G246</f>
        <v/>
      </c>
      <c r="M246" s="5" t="n">
        <v>0.92</v>
      </c>
      <c r="N246" s="5" t="n">
        <v>0.92</v>
      </c>
      <c r="O246" s="6">
        <f>L246/M246-1</f>
        <v/>
      </c>
      <c r="P246" s="4" t="n">
        <v>13809</v>
      </c>
      <c r="Q246" s="2" t="inlineStr"/>
    </row>
    <row r="247">
      <c r="A247" s="2" t="n">
        <v>4046</v>
      </c>
      <c r="B247" s="2" t="n">
        <v>556401</v>
      </c>
      <c r="C247" s="3" t="inlineStr">
        <is>
          <t>7896677704890</t>
        </is>
      </c>
      <c r="D247" s="2" t="inlineStr">
        <is>
          <t>NERVOCALM 250MG C/20 CPR</t>
        </is>
      </c>
      <c r="E247" s="2" t="inlineStr">
        <is>
          <t>NERVOCALM 250MG CX 20 COMP</t>
        </is>
      </c>
      <c r="F247" s="2" t="inlineStr">
        <is>
          <t>WP LAB</t>
        </is>
      </c>
      <c r="G247" s="4" t="n">
        <v>1</v>
      </c>
      <c r="H247" s="4" t="n">
        <v>5</v>
      </c>
      <c r="I247" s="4" t="n">
        <v>5</v>
      </c>
      <c r="J247" s="5" t="n">
        <v>30.46</v>
      </c>
      <c r="K247" s="5">
        <f>I247*J247</f>
        <v/>
      </c>
      <c r="L247" s="5">
        <f>J247/G247</f>
        <v/>
      </c>
      <c r="M247" s="5" t="n">
        <v>31.33</v>
      </c>
      <c r="N247" s="5" t="n">
        <v>22.32</v>
      </c>
      <c r="O247" s="6">
        <f>L247/M247-1</f>
        <v/>
      </c>
      <c r="P247" s="4" t="n">
        <v>177</v>
      </c>
      <c r="Q247" s="2" t="inlineStr"/>
    </row>
    <row r="248">
      <c r="A248" s="2" t="n">
        <v>3819</v>
      </c>
      <c r="B248" s="2" t="n">
        <v>485261</v>
      </c>
      <c r="C248" s="3" t="inlineStr">
        <is>
          <t>7899620915039</t>
        </is>
      </c>
      <c r="D248" s="2" t="inlineStr">
        <is>
          <t>NIMESULIDA 100MG C/12 CPR</t>
        </is>
      </c>
      <c r="E248" s="2" t="inlineStr">
        <is>
          <t>NIMESULIDA 100MG CX 12 COMP</t>
        </is>
      </c>
      <c r="F248" s="2" t="inlineStr">
        <is>
          <t>GLOBO PHARMA</t>
        </is>
      </c>
      <c r="G248" s="4" t="n">
        <v>1</v>
      </c>
      <c r="H248" s="4" t="n">
        <v>11</v>
      </c>
      <c r="I248" s="4" t="n">
        <v>11</v>
      </c>
      <c r="J248" s="5" t="n">
        <v>1.37</v>
      </c>
      <c r="K248" s="5">
        <f>I248*J248</f>
        <v/>
      </c>
      <c r="L248" s="5">
        <f>J248/G248</f>
        <v/>
      </c>
      <c r="M248" s="5" t="n">
        <v>1.1</v>
      </c>
      <c r="N248" s="5" t="n">
        <v>1.1</v>
      </c>
      <c r="O248" s="6">
        <f>L248/M248-1</f>
        <v/>
      </c>
      <c r="P248" s="4" t="n">
        <v>2405</v>
      </c>
      <c r="Q248" s="2" t="inlineStr"/>
    </row>
    <row r="249">
      <c r="A249" s="2" t="n">
        <v>8166</v>
      </c>
      <c r="B249" s="2" t="n">
        <v>613381</v>
      </c>
      <c r="C249" s="3" t="inlineStr">
        <is>
          <t>7898687730487</t>
        </is>
      </c>
      <c r="D249" s="2" t="inlineStr">
        <is>
          <t>NITAZOXANIDA 20MG 100ML SUS</t>
        </is>
      </c>
      <c r="E249" s="2" t="inlineStr">
        <is>
          <t>NITAZOXANIDA 20MG/ML PO SUS OR FR 100ML+SER DOS</t>
        </is>
      </c>
      <c r="F249" s="2" t="inlineStr">
        <is>
          <t>ALTHAIA</t>
        </is>
      </c>
      <c r="G249" s="4" t="n">
        <v>1</v>
      </c>
      <c r="H249" s="4" t="n">
        <v>7</v>
      </c>
      <c r="I249" s="4" t="n">
        <v>7</v>
      </c>
      <c r="J249" s="5" t="n">
        <v>15.42</v>
      </c>
      <c r="K249" s="5">
        <f>I249*J249</f>
        <v/>
      </c>
      <c r="L249" s="5">
        <f>J249/G249</f>
        <v/>
      </c>
      <c r="M249" s="5" t="n">
        <v>12.23</v>
      </c>
      <c r="N249" s="5" t="n">
        <v>12.23</v>
      </c>
      <c r="O249" s="6">
        <f>L249/M249-1</f>
        <v/>
      </c>
      <c r="P249" s="4" t="n">
        <v>804</v>
      </c>
      <c r="Q249" s="2" t="inlineStr"/>
    </row>
    <row r="250">
      <c r="A250" s="2" t="n">
        <v>8165</v>
      </c>
      <c r="B250" s="2" t="n">
        <v>610201</v>
      </c>
      <c r="C250" s="3" t="inlineStr">
        <is>
          <t>7898687730470</t>
        </is>
      </c>
      <c r="D250" s="2" t="inlineStr">
        <is>
          <t>NITAZOXANIDA 20MG 45ML SUS</t>
        </is>
      </c>
      <c r="E250" s="2" t="inlineStr">
        <is>
          <t>NITAZOXANIDA 20MG/ML PO SUS OR FR 45ML+SER DOS</t>
        </is>
      </c>
      <c r="F250" s="2" t="inlineStr">
        <is>
          <t>ALTHAIA</t>
        </is>
      </c>
      <c r="G250" s="4" t="n">
        <v>1</v>
      </c>
      <c r="H250" s="4" t="n">
        <v>11</v>
      </c>
      <c r="I250" s="4" t="n">
        <v>11</v>
      </c>
      <c r="J250" s="5" t="n">
        <v>7.82</v>
      </c>
      <c r="K250" s="5">
        <f>I250*J250</f>
        <v/>
      </c>
      <c r="L250" s="5">
        <f>J250/G250</f>
        <v/>
      </c>
      <c r="M250" s="5" t="n">
        <v>6.62</v>
      </c>
      <c r="N250" s="5" t="n">
        <v>6.62</v>
      </c>
      <c r="O250" s="6">
        <f>L250/M250-1</f>
        <v/>
      </c>
      <c r="P250" s="4" t="n">
        <v>1593</v>
      </c>
      <c r="Q250" s="2" t="inlineStr"/>
    </row>
    <row r="251">
      <c r="A251" s="2" t="n">
        <v>3309</v>
      </c>
      <c r="B251" s="2" t="n">
        <v>363861</v>
      </c>
      <c r="C251" s="3" t="inlineStr">
        <is>
          <t>7898569764517</t>
        </is>
      </c>
      <c r="D251" s="2" t="inlineStr">
        <is>
          <t>NITAZOXANIDA 500MG C/06 CPR</t>
        </is>
      </c>
      <c r="E251" s="2" t="inlineStr">
        <is>
          <t>NITAZOXANIDA 500MG CX 6 COMP REV</t>
        </is>
      </c>
      <c r="F251" s="2" t="inlineStr">
        <is>
          <t>ALTHAIA</t>
        </is>
      </c>
      <c r="G251" s="4" t="n">
        <v>1</v>
      </c>
      <c r="H251" s="4" t="n">
        <v>5</v>
      </c>
      <c r="I251" s="4" t="n">
        <v>5</v>
      </c>
      <c r="J251" s="5" t="n">
        <v>14.89</v>
      </c>
      <c r="K251" s="5">
        <f>I251*J251</f>
        <v/>
      </c>
      <c r="L251" s="5">
        <f>J251/G251</f>
        <v/>
      </c>
      <c r="M251" s="5" t="n">
        <v>12.98</v>
      </c>
      <c r="N251" s="5" t="n">
        <v>12.98</v>
      </c>
      <c r="O251" s="6">
        <f>L251/M251-1</f>
        <v/>
      </c>
      <c r="P251" s="4" t="n">
        <v>1930</v>
      </c>
      <c r="Q251" s="2" t="inlineStr"/>
    </row>
    <row r="252">
      <c r="A252" s="2" t="n">
        <v>2629</v>
      </c>
      <c r="B252" s="2" t="n">
        <v>3503</v>
      </c>
      <c r="C252" s="3" t="inlineStr">
        <is>
          <t>7897344300933</t>
        </is>
      </c>
      <c r="D252" s="2" t="inlineStr">
        <is>
          <t>OLEO DE ANDIROBA 30ML</t>
        </is>
      </c>
      <c r="E252" s="2" t="inlineStr">
        <is>
          <t>OLEO DE ANDIROBA 30ML</t>
        </is>
      </c>
      <c r="F252" s="2" t="inlineStr">
        <is>
          <t>PRONATUS</t>
        </is>
      </c>
      <c r="G252" s="4" t="n">
        <v>1</v>
      </c>
      <c r="H252" s="4" t="n">
        <v>2</v>
      </c>
      <c r="I252" s="4" t="n">
        <v>2</v>
      </c>
      <c r="J252" s="5" t="n">
        <v>7.59</v>
      </c>
      <c r="K252" s="5">
        <f>I252*J252</f>
        <v/>
      </c>
      <c r="L252" s="5">
        <f>J252/G252</f>
        <v/>
      </c>
      <c r="M252" s="5" t="n">
        <v>7.59</v>
      </c>
      <c r="N252" s="5" t="n">
        <v>7.59</v>
      </c>
      <c r="O252" s="6">
        <f>L252/M252-1</f>
        <v/>
      </c>
      <c r="P252" s="4" t="n">
        <v>121</v>
      </c>
      <c r="Q252" s="2" t="inlineStr"/>
    </row>
    <row r="253">
      <c r="A253" s="2" t="n">
        <v>3</v>
      </c>
      <c r="B253" s="2" t="n">
        <v>565841</v>
      </c>
      <c r="C253" s="3" t="inlineStr">
        <is>
          <t>7898031313335</t>
        </is>
      </c>
      <c r="D253" s="2" t="inlineStr">
        <is>
          <t>OLEO DE COPAIBA 30ML</t>
        </is>
      </c>
      <c r="E253" s="2" t="inlineStr">
        <is>
          <t>OLEO DE COPAIBA 30ML</t>
        </is>
      </c>
      <c r="F253" s="2" t="inlineStr">
        <is>
          <t>UNIPHAR</t>
        </is>
      </c>
      <c r="G253" s="4" t="n">
        <v>1</v>
      </c>
      <c r="H253" s="4" t="n">
        <v>3</v>
      </c>
      <c r="I253" s="4" t="n">
        <v>3</v>
      </c>
      <c r="J253" s="5" t="n">
        <v>7.16</v>
      </c>
      <c r="K253" s="5">
        <f>I253*J253</f>
        <v/>
      </c>
      <c r="L253" s="5">
        <f>J253/G253</f>
        <v/>
      </c>
      <c r="M253" s="5" t="n">
        <v>7.16</v>
      </c>
      <c r="N253" s="5" t="n">
        <v>7.16</v>
      </c>
      <c r="O253" s="6">
        <f>L253/M253-1</f>
        <v/>
      </c>
      <c r="P253" s="4" t="n">
        <v>1096</v>
      </c>
      <c r="Q253" s="2" t="inlineStr"/>
    </row>
    <row r="254">
      <c r="A254" s="2" t="n">
        <v>9599</v>
      </c>
      <c r="B254" s="2" t="n">
        <v>4983</v>
      </c>
      <c r="C254" s="3" t="inlineStr">
        <is>
          <t>7896544927704</t>
        </is>
      </c>
      <c r="D254" s="2" t="inlineStr">
        <is>
          <t>OLEO DE GIRASSOL 100ML DERMAPROTECT</t>
        </is>
      </c>
      <c r="E254" s="2" t="inlineStr">
        <is>
          <t>OLEO DE GIRASSOL DERMA PROTECT 100ML</t>
        </is>
      </c>
      <c r="F254" s="2" t="inlineStr">
        <is>
          <t>MISSNER</t>
        </is>
      </c>
      <c r="G254" s="4" t="n">
        <v>1</v>
      </c>
      <c r="H254" s="4" t="n">
        <v>12</v>
      </c>
      <c r="I254" s="4" t="n">
        <v>12</v>
      </c>
      <c r="J254" s="5" t="n">
        <v>3.6</v>
      </c>
      <c r="K254" s="5">
        <f>I254*J254</f>
        <v/>
      </c>
      <c r="L254" s="5">
        <f>J254/G254</f>
        <v/>
      </c>
      <c r="M254" s="5" t="n">
        <v>3.61</v>
      </c>
      <c r="N254" s="5" t="n">
        <v>3.61</v>
      </c>
      <c r="O254" s="6">
        <f>L254/M254-1</f>
        <v/>
      </c>
      <c r="P254" s="4" t="n">
        <v>1106</v>
      </c>
      <c r="Q254" s="2" t="inlineStr"/>
    </row>
    <row r="255">
      <c r="A255" s="2" t="n">
        <v>9598</v>
      </c>
      <c r="B255" s="2" t="n">
        <v>5053</v>
      </c>
      <c r="C255" s="3" t="inlineStr">
        <is>
          <t>7896544927698</t>
        </is>
      </c>
      <c r="D255" s="2" t="inlineStr">
        <is>
          <t>OLEO DE GIRASSOL 200ML DERMAPROTECT</t>
        </is>
      </c>
      <c r="E255" s="2" t="inlineStr">
        <is>
          <t>OLEO DE GIRASSOL DERMA PROTECT 200ML</t>
        </is>
      </c>
      <c r="F255" s="2" t="inlineStr">
        <is>
          <t>MISSNER</t>
        </is>
      </c>
      <c r="G255" s="4" t="n">
        <v>1</v>
      </c>
      <c r="H255" s="4" t="n">
        <v>7</v>
      </c>
      <c r="I255" s="4" t="n">
        <v>7</v>
      </c>
      <c r="J255" s="5" t="n">
        <v>5.79</v>
      </c>
      <c r="K255" s="5">
        <f>I255*J255</f>
        <v/>
      </c>
      <c r="L255" s="5">
        <f>J255/G255</f>
        <v/>
      </c>
      <c r="M255" s="5" t="n">
        <v>5.45</v>
      </c>
      <c r="N255" s="5" t="n">
        <v>5.45</v>
      </c>
      <c r="O255" s="6">
        <f>L255/M255-1</f>
        <v/>
      </c>
      <c r="P255" s="4" t="n">
        <v>540</v>
      </c>
      <c r="Q255" s="2" t="inlineStr"/>
    </row>
    <row r="256">
      <c r="A256" s="2" t="n">
        <v>7508</v>
      </c>
      <c r="B256" s="2" t="n">
        <v>605901</v>
      </c>
      <c r="C256" s="3" t="inlineStr">
        <is>
          <t>7898719040157</t>
        </is>
      </c>
      <c r="D256" s="2" t="inlineStr">
        <is>
          <t>OLEO DE GIRASSOL 100ML DERSIN</t>
        </is>
      </c>
      <c r="E256" s="2" t="inlineStr">
        <is>
          <t>OLEO DE GIRASSOL DERSIN 100ML</t>
        </is>
      </c>
      <c r="F256" s="2" t="inlineStr">
        <is>
          <t>AVVIO PHARMA</t>
        </is>
      </c>
      <c r="G256" s="4" t="n">
        <v>1</v>
      </c>
      <c r="H256" s="4" t="n">
        <v>22</v>
      </c>
      <c r="I256" s="4" t="n">
        <v>22</v>
      </c>
      <c r="J256" s="5" t="n">
        <v>5.3</v>
      </c>
      <c r="K256" s="5">
        <f>I256*J256</f>
        <v/>
      </c>
      <c r="L256" s="5">
        <f>J256/G256</f>
        <v/>
      </c>
      <c r="M256" s="5" t="n">
        <v>5.22</v>
      </c>
      <c r="N256" s="5" t="n">
        <v>5.22</v>
      </c>
      <c r="O256" s="6">
        <f>L256/M256-1</f>
        <v/>
      </c>
      <c r="P256" s="4" t="n">
        <v>476</v>
      </c>
      <c r="Q256" s="2" t="inlineStr"/>
    </row>
    <row r="257">
      <c r="A257" s="2" t="n">
        <v>7541</v>
      </c>
      <c r="B257" s="2" t="n">
        <v>613861</v>
      </c>
      <c r="C257" s="3" t="inlineStr">
        <is>
          <t>7898719040164</t>
        </is>
      </c>
      <c r="D257" s="2" t="inlineStr">
        <is>
          <t>OLEO DE GIRASSOL 200ML DERSIN</t>
        </is>
      </c>
      <c r="E257" s="2" t="inlineStr">
        <is>
          <t>OLEO DE GIRASSOL DERSIN 200ML</t>
        </is>
      </c>
      <c r="F257" s="2" t="inlineStr">
        <is>
          <t>AVVIO PHARMA</t>
        </is>
      </c>
      <c r="G257" s="4" t="n">
        <v>1</v>
      </c>
      <c r="H257" s="4" t="n">
        <v>4</v>
      </c>
      <c r="I257" s="4" t="n">
        <v>4</v>
      </c>
      <c r="J257" s="5" t="n">
        <v>8.67</v>
      </c>
      <c r="K257" s="5">
        <f>I257*J257</f>
        <v/>
      </c>
      <c r="L257" s="5">
        <f>J257/G257</f>
        <v/>
      </c>
      <c r="M257" s="5" t="n">
        <v>8.67</v>
      </c>
      <c r="N257" s="5" t="n">
        <v>8.67</v>
      </c>
      <c r="O257" s="6">
        <f>L257/M257-1</f>
        <v/>
      </c>
      <c r="P257" s="4" t="n">
        <v>547</v>
      </c>
      <c r="Q257" s="2" t="inlineStr"/>
    </row>
    <row r="258">
      <c r="A258" s="2" t="n">
        <v>2959</v>
      </c>
      <c r="B258" s="2" t="n">
        <v>37703</v>
      </c>
      <c r="C258" s="3" t="inlineStr">
        <is>
          <t>7898582292639</t>
        </is>
      </c>
      <c r="D258" s="2" t="inlineStr">
        <is>
          <t>OLEO DE GIRASSOL 100ML DERSOL</t>
        </is>
      </c>
      <c r="E258" s="2" t="inlineStr">
        <is>
          <t>OLEO DE GIRASSOL DERSOL 100ML</t>
        </is>
      </c>
      <c r="F258" s="2" t="inlineStr">
        <is>
          <t>BELLA PHYTUS</t>
        </is>
      </c>
      <c r="G258" s="4" t="n">
        <v>1</v>
      </c>
      <c r="H258" s="4" t="n">
        <v>9</v>
      </c>
      <c r="I258" s="4" t="n">
        <v>9</v>
      </c>
      <c r="J258" s="5" t="n">
        <v>6.89</v>
      </c>
      <c r="K258" s="5">
        <f>I258*J258</f>
        <v/>
      </c>
      <c r="L258" s="5">
        <f>J258/G258</f>
        <v/>
      </c>
      <c r="M258" s="5" t="n">
        <v>5.66</v>
      </c>
      <c r="N258" s="5" t="n">
        <v>5.66</v>
      </c>
      <c r="O258" s="6">
        <f>L258/M258-1</f>
        <v/>
      </c>
      <c r="P258" s="4" t="n">
        <v>1848</v>
      </c>
      <c r="Q258" s="2" t="inlineStr"/>
    </row>
    <row r="259">
      <c r="A259" s="2" t="n">
        <v>5994</v>
      </c>
      <c r="B259" s="2" t="n">
        <v>375941</v>
      </c>
      <c r="C259" s="3" t="inlineStr">
        <is>
          <t>7898569763015</t>
        </is>
      </c>
      <c r="D259" s="2" t="inlineStr">
        <is>
          <t>OLMESARTANA 20MG C/30 CPR</t>
        </is>
      </c>
      <c r="E259" s="2" t="inlineStr">
        <is>
          <t>OLMESARTANA MEDOXOMILA 20MG CX 30 COMP REV</t>
        </is>
      </c>
      <c r="F259" s="2" t="inlineStr">
        <is>
          <t>ALTHAIA</t>
        </is>
      </c>
      <c r="G259" s="4" t="n">
        <v>1</v>
      </c>
      <c r="H259" s="4" t="n">
        <v>3</v>
      </c>
      <c r="I259" s="4" t="n">
        <v>3</v>
      </c>
      <c r="J259" s="5" t="n">
        <v>14.45</v>
      </c>
      <c r="K259" s="5">
        <f>I259*J259</f>
        <v/>
      </c>
      <c r="L259" s="5">
        <f>J259/G259</f>
        <v/>
      </c>
      <c r="M259" s="5" t="n">
        <v>11.77</v>
      </c>
      <c r="N259" s="5" t="n">
        <v>9.99</v>
      </c>
      <c r="O259" s="6">
        <f>L259/M259-1</f>
        <v/>
      </c>
      <c r="P259" s="4" t="n">
        <v>585</v>
      </c>
      <c r="Q259" s="2" t="inlineStr"/>
    </row>
    <row r="260">
      <c r="A260" s="2" t="n">
        <v>6036</v>
      </c>
      <c r="B260" s="2" t="n">
        <v>376061</v>
      </c>
      <c r="C260" s="3" t="inlineStr">
        <is>
          <t>7898569763077</t>
        </is>
      </c>
      <c r="D260" s="2" t="inlineStr">
        <is>
          <t>OLMESARTANA 40MG C/30 CPR</t>
        </is>
      </c>
      <c r="E260" s="2" t="inlineStr">
        <is>
          <t>OLMESARTANA MEDOXOMILA 40MG CX 30 COMP REV</t>
        </is>
      </c>
      <c r="F260" s="2" t="inlineStr">
        <is>
          <t>ALTHAIA</t>
        </is>
      </c>
      <c r="G260" s="4" t="n">
        <v>1</v>
      </c>
      <c r="H260" s="4" t="n">
        <v>13</v>
      </c>
      <c r="I260" s="4" t="n">
        <v>13</v>
      </c>
      <c r="J260" s="5" t="n">
        <v>21.08</v>
      </c>
      <c r="K260" s="5">
        <f>I260*J260</f>
        <v/>
      </c>
      <c r="L260" s="5">
        <f>J260/G260</f>
        <v/>
      </c>
      <c r="M260" s="5" t="n">
        <v>17.13</v>
      </c>
      <c r="N260" s="5" t="n">
        <v>14.57</v>
      </c>
      <c r="O260" s="6">
        <f>L260/M260-1</f>
        <v/>
      </c>
      <c r="P260" s="4" t="n">
        <v>671</v>
      </c>
      <c r="Q260" s="2" t="inlineStr"/>
    </row>
    <row r="261">
      <c r="A261" s="2" t="n">
        <v>3381</v>
      </c>
      <c r="B261" s="2" t="n">
        <v>627711</v>
      </c>
      <c r="C261" s="3" t="inlineStr">
        <is>
          <t>7896023799983</t>
        </is>
      </c>
      <c r="D261" s="2" t="inlineStr">
        <is>
          <t>OMEGA 3 1000MG C/60 CPS</t>
        </is>
      </c>
      <c r="E261" s="2" t="inlineStr">
        <is>
          <t>OMEGA 3 1000MG 60CAP</t>
        </is>
      </c>
      <c r="F261" s="2" t="inlineStr">
        <is>
          <t>CATARINENSE</t>
        </is>
      </c>
      <c r="G261" s="4" t="n">
        <v>1</v>
      </c>
      <c r="H261" s="4" t="n">
        <v>13</v>
      </c>
      <c r="I261" s="4" t="n">
        <v>13</v>
      </c>
      <c r="J261" s="5" t="n">
        <v>37.44</v>
      </c>
      <c r="K261" s="5">
        <f>I261*J261</f>
        <v/>
      </c>
      <c r="L261" s="5">
        <f>J261/G261</f>
        <v/>
      </c>
      <c r="M261" s="5" t="n">
        <v>32.02</v>
      </c>
      <c r="N261" s="5" t="n">
        <v>27.45</v>
      </c>
      <c r="O261" s="6">
        <f>L261/M261-1</f>
        <v/>
      </c>
      <c r="P261" s="4" t="n">
        <v>340</v>
      </c>
      <c r="Q261" s="2" t="inlineStr"/>
    </row>
    <row r="262">
      <c r="A262" s="2" t="n">
        <v>5186</v>
      </c>
      <c r="B262" s="2" t="n">
        <v>653701</v>
      </c>
      <c r="C262" s="3" t="inlineStr">
        <is>
          <t>7898639690999</t>
        </is>
      </c>
      <c r="D262" s="2" t="inlineStr">
        <is>
          <t>OXIMETRO DE PULSO GTECH LED</t>
        </is>
      </c>
      <c r="E262" s="2" t="inlineStr">
        <is>
          <t>OXIMETRO DE DEDO LED OXILED1</t>
        </is>
      </c>
      <c r="F262" s="2" t="inlineStr">
        <is>
          <t>GTECH</t>
        </is>
      </c>
      <c r="G262" s="4" t="n">
        <v>1</v>
      </c>
      <c r="H262" s="4" t="n">
        <v>1</v>
      </c>
      <c r="I262" s="4" t="n">
        <v>1</v>
      </c>
      <c r="J262" s="5" t="n">
        <v>78.61</v>
      </c>
      <c r="K262" s="5">
        <f>I262*J262</f>
        <v/>
      </c>
      <c r="L262" s="5">
        <f>J262/G262</f>
        <v/>
      </c>
      <c r="M262" s="5" t="n">
        <v>72.55</v>
      </c>
      <c r="N262" s="5" t="n">
        <v>71.25</v>
      </c>
      <c r="O262" s="6">
        <f>L262/M262-1</f>
        <v/>
      </c>
      <c r="P262" s="4" t="n">
        <v>25</v>
      </c>
      <c r="Q262" s="2" t="inlineStr"/>
    </row>
    <row r="263">
      <c r="A263" s="2" t="n">
        <v>153</v>
      </c>
      <c r="B263" s="2" t="n">
        <v>531661</v>
      </c>
      <c r="C263" s="3" t="inlineStr">
        <is>
          <t>7898031310709</t>
        </is>
      </c>
      <c r="D263" s="2" t="inlineStr">
        <is>
          <t>PASTA DAGUA SIMPLES 100G POTE</t>
        </is>
      </c>
      <c r="E263" s="2" t="inlineStr">
        <is>
          <t>PASTA D AGUA 100G</t>
        </is>
      </c>
      <c r="F263" s="2" t="inlineStr">
        <is>
          <t>UNIPHAR</t>
        </is>
      </c>
      <c r="G263" s="4" t="n">
        <v>1</v>
      </c>
      <c r="H263" s="4" t="n">
        <v>12</v>
      </c>
      <c r="I263" s="4" t="n">
        <v>12</v>
      </c>
      <c r="J263" s="5" t="n">
        <v>6.28</v>
      </c>
      <c r="K263" s="5">
        <f>I263*J263</f>
        <v/>
      </c>
      <c r="L263" s="5">
        <f>J263/G263</f>
        <v/>
      </c>
      <c r="M263" s="5" t="n">
        <v>6.28</v>
      </c>
      <c r="N263" s="5" t="n">
        <v>6.13</v>
      </c>
      <c r="O263" s="6">
        <f>L263/M263-1</f>
        <v/>
      </c>
      <c r="P263" s="4" t="n">
        <v>3928</v>
      </c>
      <c r="Q263" s="2" t="inlineStr"/>
    </row>
    <row r="264">
      <c r="A264" s="2" t="n">
        <v>7284</v>
      </c>
      <c r="B264" s="2" t="n">
        <v>4063</v>
      </c>
      <c r="C264" s="3" t="inlineStr">
        <is>
          <t>7898031311102</t>
        </is>
      </c>
      <c r="D264" s="2" t="inlineStr">
        <is>
          <t>PASTA DAGUA SIMPLES 90G BISNAGA</t>
        </is>
      </c>
      <c r="E264" s="2" t="inlineStr">
        <is>
          <t>PASTA DAGUA SIMPLES 90G BISNAGA</t>
        </is>
      </c>
      <c r="F264" s="2" t="inlineStr">
        <is>
          <t>UNIPHAR</t>
        </is>
      </c>
      <c r="G264" s="4" t="n">
        <v>1</v>
      </c>
      <c r="H264" s="4" t="n">
        <v>3</v>
      </c>
      <c r="I264" s="4" t="n">
        <v>3</v>
      </c>
      <c r="J264" s="5" t="n">
        <v>7.74</v>
      </c>
      <c r="K264" s="5">
        <f>I264*J264</f>
        <v/>
      </c>
      <c r="L264" s="5">
        <f>J264/G264</f>
        <v/>
      </c>
      <c r="M264" s="5" t="n">
        <v>7.74</v>
      </c>
      <c r="N264" s="5" t="n">
        <v>7.57</v>
      </c>
      <c r="O264" s="6">
        <f>L264/M264-1</f>
        <v/>
      </c>
      <c r="P264" s="4" t="n">
        <v>318</v>
      </c>
      <c r="Q264" s="2" t="inlineStr"/>
    </row>
    <row r="265">
      <c r="A265" s="2" t="n">
        <v>6841</v>
      </c>
      <c r="B265" s="2" t="n">
        <v>662241</v>
      </c>
      <c r="C265" s="3" t="inlineStr">
        <is>
          <t>7898719041048</t>
        </is>
      </c>
      <c r="D265" s="2" t="inlineStr">
        <is>
          <t>PEDRA HUME 35ML SPRAY</t>
        </is>
      </c>
      <c r="E265" s="2" t="inlineStr">
        <is>
          <t>PEDRA HUME 35ML SPRAY</t>
        </is>
      </c>
      <c r="F265" s="2" t="inlineStr">
        <is>
          <t>AVVIO PHARMA</t>
        </is>
      </c>
      <c r="G265" s="4" t="n">
        <v>1</v>
      </c>
      <c r="H265" s="4" t="n">
        <v>2</v>
      </c>
      <c r="I265" s="4" t="n">
        <v>2</v>
      </c>
      <c r="J265" s="5" t="n">
        <v>6.59</v>
      </c>
      <c r="K265" s="5">
        <f>I265*J265</f>
        <v/>
      </c>
      <c r="L265" s="5">
        <f>J265/G265</f>
        <v/>
      </c>
      <c r="M265" s="5" t="n">
        <v>6.59</v>
      </c>
      <c r="N265" s="5" t="n">
        <v>6.59</v>
      </c>
      <c r="O265" s="6">
        <f>L265/M265-1</f>
        <v/>
      </c>
      <c r="P265" s="4" t="n">
        <v>93</v>
      </c>
      <c r="Q265" s="2" t="inlineStr"/>
    </row>
    <row r="266">
      <c r="A266" s="2" t="n">
        <v>5382</v>
      </c>
      <c r="B266" s="2" t="n">
        <v>644681</v>
      </c>
      <c r="C266" s="3" t="inlineStr">
        <is>
          <t>7898031310891</t>
        </is>
      </c>
      <c r="D266" s="2" t="inlineStr">
        <is>
          <t>PEDRA HUME 30ML SPRAY</t>
        </is>
      </c>
      <c r="E266" s="2" t="inlineStr">
        <is>
          <t>PEDRA HUME SOLUCAO SPRAY 30ML</t>
        </is>
      </c>
      <c r="F266" s="2" t="inlineStr">
        <is>
          <t>UNIPHAR</t>
        </is>
      </c>
      <c r="G266" s="4" t="n">
        <v>1</v>
      </c>
      <c r="H266" s="4" t="n">
        <v>4</v>
      </c>
      <c r="I266" s="4" t="n">
        <v>4</v>
      </c>
      <c r="J266" s="5" t="n">
        <v>5.45</v>
      </c>
      <c r="K266" s="5">
        <f>I266*J266</f>
        <v/>
      </c>
      <c r="L266" s="5">
        <f>J266/G266</f>
        <v/>
      </c>
      <c r="M266" s="5" t="n">
        <v>5.45</v>
      </c>
      <c r="N266" s="5" t="n">
        <v>5.45</v>
      </c>
      <c r="O266" s="6">
        <f>L266/M266-1</f>
        <v/>
      </c>
      <c r="P266" s="4" t="n">
        <v>3768</v>
      </c>
      <c r="Q266" s="2" t="inlineStr"/>
    </row>
    <row r="267">
      <c r="A267" s="2" t="n">
        <v>8454</v>
      </c>
      <c r="B267" s="2" t="n">
        <v>639911</v>
      </c>
      <c r="C267" s="3" t="inlineStr">
        <is>
          <t>7898953484410</t>
        </is>
      </c>
      <c r="D267" s="2" t="inlineStr">
        <is>
          <t>PENTE FINO TIRA PIOLHO COM LUPA ROSA..</t>
        </is>
      </c>
      <c r="E267" s="2" t="inlineStr">
        <is>
          <t>PENTE FINO TIRA PIOLHO 1 UN ROSA</t>
        </is>
      </c>
      <c r="F267" s="2" t="inlineStr">
        <is>
          <t>3B</t>
        </is>
      </c>
      <c r="G267" s="4" t="n">
        <v>1</v>
      </c>
      <c r="H267" s="4" t="n">
        <v>5</v>
      </c>
      <c r="I267" s="4" t="n">
        <v>5</v>
      </c>
      <c r="J267" s="5" t="n">
        <v>11.84</v>
      </c>
      <c r="K267" s="5">
        <f>I267*J267</f>
        <v/>
      </c>
      <c r="L267" s="5">
        <f>J267/G267</f>
        <v/>
      </c>
      <c r="M267" s="5" t="n">
        <v>11.84</v>
      </c>
      <c r="N267" s="5" t="n">
        <v>11.84</v>
      </c>
      <c r="O267" s="6">
        <f>L267/M267-1</f>
        <v/>
      </c>
      <c r="P267" s="4" t="n">
        <v>144</v>
      </c>
      <c r="Q267" s="2" t="inlineStr"/>
    </row>
    <row r="268">
      <c r="A268" s="2" t="n">
        <v>6735</v>
      </c>
      <c r="B268" s="2" t="n">
        <v>3563</v>
      </c>
      <c r="C268" s="3" t="inlineStr">
        <is>
          <t>7898719040539</t>
        </is>
      </c>
      <c r="D268" s="2" t="inlineStr">
        <is>
          <t>PERIOASSEPT 250ML MENTA COM ALCOOL</t>
        </is>
      </c>
      <c r="E268" s="2" t="inlineStr">
        <is>
          <t>PERIOASSEPT 250ML MENTA COM ALCOOL</t>
        </is>
      </c>
      <c r="F268" s="2" t="inlineStr">
        <is>
          <t>AVVIO PHARMA</t>
        </is>
      </c>
      <c r="G268" s="4" t="n">
        <v>1</v>
      </c>
      <c r="H268" s="4" t="n">
        <v>1</v>
      </c>
      <c r="I268" s="4" t="n">
        <v>1</v>
      </c>
      <c r="J268" s="5" t="n">
        <v>12.95</v>
      </c>
      <c r="K268" s="5">
        <f>I268*J268</f>
        <v/>
      </c>
      <c r="L268" s="5">
        <f>J268/G268</f>
        <v/>
      </c>
      <c r="M268" s="5" t="n">
        <v>11.99</v>
      </c>
      <c r="N268" s="5" t="n">
        <v>11.99</v>
      </c>
      <c r="O268" s="6">
        <f>L268/M268-1</f>
        <v/>
      </c>
      <c r="P268" s="4" t="n">
        <v>163</v>
      </c>
      <c r="Q268" s="2" t="inlineStr"/>
    </row>
    <row r="269">
      <c r="A269" s="2" t="n">
        <v>3806</v>
      </c>
      <c r="B269" s="2" t="n">
        <v>547801</v>
      </c>
      <c r="C269" s="3" t="inlineStr">
        <is>
          <t>7899620913059</t>
        </is>
      </c>
      <c r="D269" s="2" t="inlineStr">
        <is>
          <t>PERIODENT 250ML MENTA COM ALCOOL</t>
        </is>
      </c>
      <c r="E269" s="2" t="inlineStr">
        <is>
          <t>PERIODENT SOLUCAO BUCAL 250 ML</t>
        </is>
      </c>
      <c r="F269" s="2" t="inlineStr">
        <is>
          <t>GLOBO PHARMA</t>
        </is>
      </c>
      <c r="G269" s="4" t="n">
        <v>1</v>
      </c>
      <c r="H269" s="4" t="n">
        <v>2</v>
      </c>
      <c r="I269" s="4" t="n">
        <v>2</v>
      </c>
      <c r="J269" s="5" t="n">
        <v>10.79</v>
      </c>
      <c r="K269" s="5">
        <f>I269*J269</f>
        <v/>
      </c>
      <c r="L269" s="5">
        <f>J269/G269</f>
        <v/>
      </c>
      <c r="M269" s="5" t="n">
        <v>10.79</v>
      </c>
      <c r="N269" s="5" t="n">
        <v>10.79</v>
      </c>
      <c r="O269" s="6">
        <f>L269/M269-1</f>
        <v/>
      </c>
      <c r="P269" s="4" t="n">
        <v>302</v>
      </c>
      <c r="Q269" s="2" t="inlineStr"/>
    </row>
    <row r="270">
      <c r="A270" s="2" t="n">
        <v>115</v>
      </c>
      <c r="B270" s="2" t="n">
        <v>487921</v>
      </c>
      <c r="C270" s="3" t="inlineStr">
        <is>
          <t>7898100244485</t>
        </is>
      </c>
      <c r="D270" s="2" t="inlineStr">
        <is>
          <t>PETIVIT BC 240ML SUS MORANGO</t>
        </is>
      </c>
      <c r="E270" s="2" t="inlineStr">
        <is>
          <t>PETIVIT BC XPE FR 240ML</t>
        </is>
      </c>
      <c r="F270" s="2" t="inlineStr">
        <is>
          <t>BRASTERAPICA</t>
        </is>
      </c>
      <c r="G270" s="4" t="n">
        <v>1</v>
      </c>
      <c r="H270" s="4" t="n">
        <v>33</v>
      </c>
      <c r="I270" s="4" t="n">
        <v>33</v>
      </c>
      <c r="J270" s="5" t="n">
        <v>8.800000000000001</v>
      </c>
      <c r="K270" s="5">
        <f>I270*J270</f>
        <v/>
      </c>
      <c r="L270" s="5">
        <f>J270/G270</f>
        <v/>
      </c>
      <c r="M270" s="5" t="n">
        <v>6.99</v>
      </c>
      <c r="N270" s="5" t="n">
        <v>6.99</v>
      </c>
      <c r="O270" s="6">
        <f>L270/M270-1</f>
        <v/>
      </c>
      <c r="P270" s="4" t="n">
        <v>2543</v>
      </c>
      <c r="Q270" s="2" t="inlineStr"/>
    </row>
    <row r="271">
      <c r="A271" s="2" t="n">
        <v>119</v>
      </c>
      <c r="B271" s="2" t="n">
        <v>274781</v>
      </c>
      <c r="C271" s="3" t="inlineStr">
        <is>
          <t>7898100243112</t>
        </is>
      </c>
      <c r="D271" s="2" t="inlineStr">
        <is>
          <t>PHITOSS 7MG 100ML XPE FRAMBOESA</t>
        </is>
      </c>
      <c r="E271" s="2" t="inlineStr">
        <is>
          <t>PHITOSS 7MG/ML XPE FR 100ML PET</t>
        </is>
      </c>
      <c r="F271" s="2" t="inlineStr">
        <is>
          <t>BRASTERAPICA</t>
        </is>
      </c>
      <c r="G271" s="4" t="n">
        <v>1</v>
      </c>
      <c r="H271" s="4" t="n">
        <v>22</v>
      </c>
      <c r="I271" s="4" t="n">
        <v>22</v>
      </c>
      <c r="J271" s="5" t="n">
        <v>6.61</v>
      </c>
      <c r="K271" s="5">
        <f>I271*J271</f>
        <v/>
      </c>
      <c r="L271" s="5">
        <f>J271/G271</f>
        <v/>
      </c>
      <c r="M271" s="5" t="n">
        <v>5.49</v>
      </c>
      <c r="N271" s="5" t="n">
        <v>5.49</v>
      </c>
      <c r="O271" s="6">
        <f>L271/M271-1</f>
        <v/>
      </c>
      <c r="P271" s="4" t="n">
        <v>2607</v>
      </c>
      <c r="Q271" s="2" t="inlineStr"/>
    </row>
    <row r="272">
      <c r="A272" s="2" t="n">
        <v>7371</v>
      </c>
      <c r="B272" s="2" t="n">
        <v>565861</v>
      </c>
      <c r="C272" s="3" t="inlineStr">
        <is>
          <t>7898100244669</t>
        </is>
      </c>
      <c r="D272" s="2" t="inlineStr">
        <is>
          <t>PHITOSS KIDS 7MG 100ML XPE FRAMBOESA</t>
        </is>
      </c>
      <c r="E272" s="2" t="inlineStr">
        <is>
          <t>PHITOSS KIDS 7MG/ML XPE 100ML</t>
        </is>
      </c>
      <c r="F272" s="2" t="inlineStr">
        <is>
          <t>BRASTERAPICA</t>
        </is>
      </c>
      <c r="G272" s="4" t="n">
        <v>1</v>
      </c>
      <c r="H272" s="4" t="n">
        <v>1</v>
      </c>
      <c r="I272" s="4" t="n">
        <v>1</v>
      </c>
      <c r="J272" s="5" t="n">
        <v>6.96</v>
      </c>
      <c r="K272" s="5">
        <f>I272*J272</f>
        <v/>
      </c>
      <c r="L272" s="5">
        <f>J272/G272</f>
        <v/>
      </c>
      <c r="M272" s="5" t="n">
        <v>5.66</v>
      </c>
      <c r="N272" s="5" t="n">
        <v>5.66</v>
      </c>
      <c r="O272" s="6">
        <f>L272/M272-1</f>
        <v/>
      </c>
      <c r="P272" s="4" t="n">
        <v>2882</v>
      </c>
      <c r="Q272" s="2" t="inlineStr"/>
    </row>
    <row r="273">
      <c r="A273" s="2" t="n">
        <v>5539</v>
      </c>
      <c r="B273" s="2" t="n">
        <v>404881</v>
      </c>
      <c r="C273" s="3" t="inlineStr">
        <is>
          <t>7898216362189</t>
        </is>
      </c>
      <c r="D273" s="2" t="inlineStr">
        <is>
          <t>PIROXICAM 20MG C/10 CPS</t>
        </is>
      </c>
      <c r="E273" s="2" t="inlineStr">
        <is>
          <t>PIROXICAM 20MG CX 10 CAP</t>
        </is>
      </c>
      <c r="F273" s="2" t="inlineStr">
        <is>
          <t>PHARLAB</t>
        </is>
      </c>
      <c r="G273" s="4" t="n">
        <v>1</v>
      </c>
      <c r="H273" s="4" t="n">
        <v>6</v>
      </c>
      <c r="I273" s="4" t="n">
        <v>6</v>
      </c>
      <c r="J273" s="5" t="n">
        <v>4.38</v>
      </c>
      <c r="K273" s="5">
        <f>I273*J273</f>
        <v/>
      </c>
      <c r="L273" s="5">
        <f>J273/G273</f>
        <v/>
      </c>
      <c r="M273" s="5" t="n">
        <v>4.15</v>
      </c>
      <c r="N273" s="5" t="n">
        <v>4.15</v>
      </c>
      <c r="O273" s="6">
        <f>L273/M273-1</f>
        <v/>
      </c>
      <c r="P273" s="4" t="n">
        <v>1165</v>
      </c>
      <c r="Q273" s="2" t="inlineStr"/>
    </row>
    <row r="274">
      <c r="A274" s="2" t="n">
        <v>9657</v>
      </c>
      <c r="B274" s="2" t="n">
        <v>5703</v>
      </c>
      <c r="C274" s="3" t="inlineStr">
        <is>
          <t>609963917563</t>
        </is>
      </c>
      <c r="D274" s="2" t="inlineStr">
        <is>
          <t>POLIVITAMINICO AZ C/60 CPS*</t>
        </is>
      </c>
      <c r="E274" s="2" t="inlineStr">
        <is>
          <t>POLIVITAMINICO AZ C/60 CPS</t>
        </is>
      </c>
      <c r="F274" s="2" t="inlineStr">
        <is>
          <t>QUALYNUTRI</t>
        </is>
      </c>
      <c r="G274" s="4" t="n">
        <v>1</v>
      </c>
      <c r="H274" s="4" t="n">
        <v>1</v>
      </c>
      <c r="I274" s="4" t="n">
        <v>1</v>
      </c>
      <c r="J274" s="5" t="n">
        <v>12.62</v>
      </c>
      <c r="K274" s="5">
        <f>I274*J274</f>
        <v/>
      </c>
      <c r="L274" s="5">
        <f>J274/G274</f>
        <v/>
      </c>
      <c r="M274" s="5" t="n"/>
      <c r="N274" s="5" t="n"/>
      <c r="O274" s="6" t="n"/>
      <c r="P274" s="4" t="n">
        <v>22</v>
      </c>
      <c r="Q274" s="2" t="inlineStr"/>
    </row>
    <row r="275">
      <c r="A275" s="2" t="n">
        <v>1212</v>
      </c>
      <c r="B275" s="2" t="n">
        <v>588931</v>
      </c>
      <c r="C275" s="3" t="inlineStr">
        <is>
          <t>7897146600583</t>
        </is>
      </c>
      <c r="D275" s="2" t="inlineStr">
        <is>
          <t>PRANFIGALDO C/60 FLAC 10ML ABACAXI</t>
        </is>
      </c>
      <c r="E275" s="2" t="inlineStr">
        <is>
          <t>PRANFIGALDO 10ML ABACAXI UN (FLACONETE)</t>
        </is>
      </c>
      <c r="F275" s="2" t="inlineStr">
        <is>
          <t>HENFER</t>
        </is>
      </c>
      <c r="G275" s="4" t="n">
        <v>60</v>
      </c>
      <c r="H275" s="4" t="n">
        <v>2</v>
      </c>
      <c r="I275" s="4" t="n">
        <v>1</v>
      </c>
      <c r="J275" s="5" t="n">
        <v>24.29</v>
      </c>
      <c r="K275" s="5">
        <f>I275*J275</f>
        <v/>
      </c>
      <c r="L275" s="5">
        <f>J275/G275</f>
        <v/>
      </c>
      <c r="M275" s="5" t="n">
        <v>0.4048</v>
      </c>
      <c r="N275" s="5" t="n">
        <v>0.4048</v>
      </c>
      <c r="O275" s="6">
        <f>L275/M275-1</f>
        <v/>
      </c>
      <c r="P275" s="4" t="n">
        <v>1655</v>
      </c>
      <c r="Q275" s="2" t="inlineStr">
        <is>
          <t>1 emb. Dimec = 60 un do Radar (pedido = 1 emb.)</t>
        </is>
      </c>
    </row>
    <row r="276">
      <c r="A276" s="2" t="n">
        <v>794</v>
      </c>
      <c r="B276" s="2" t="n">
        <v>543501</v>
      </c>
      <c r="C276" s="3" t="inlineStr">
        <is>
          <t>7897146600040</t>
        </is>
      </c>
      <c r="D276" s="2" t="inlineStr">
        <is>
          <t>PRANFIGALDO C/60 FLAC 10ML BOLDO</t>
        </is>
      </c>
      <c r="E276" s="2" t="inlineStr">
        <is>
          <t>PRANFIGALDO BOLDO 10ML(FLACONETES)</t>
        </is>
      </c>
      <c r="F276" s="2" t="inlineStr">
        <is>
          <t>HENFER</t>
        </is>
      </c>
      <c r="G276" s="4" t="n">
        <v>60</v>
      </c>
      <c r="H276" s="4" t="n">
        <v>4</v>
      </c>
      <c r="I276" s="4" t="n">
        <v>1</v>
      </c>
      <c r="J276" s="5" t="n">
        <v>33.75</v>
      </c>
      <c r="K276" s="5">
        <f>I276*J276</f>
        <v/>
      </c>
      <c r="L276" s="5">
        <f>J276/G276</f>
        <v/>
      </c>
      <c r="M276" s="5" t="n">
        <v>0.5625</v>
      </c>
      <c r="N276" s="5" t="n">
        <v>0.5367</v>
      </c>
      <c r="O276" s="6">
        <f>L276/M276-1</f>
        <v/>
      </c>
      <c r="P276" s="4" t="n">
        <v>1936</v>
      </c>
      <c r="Q276" s="2" t="inlineStr">
        <is>
          <t>1 emb. Dimec = 60 un do Radar (pedido = 1 emb.)</t>
        </is>
      </c>
    </row>
    <row r="277">
      <c r="A277" s="2" t="n">
        <v>5042</v>
      </c>
      <c r="B277" s="2" t="n">
        <v>407941</v>
      </c>
      <c r="C277" s="3" t="inlineStr">
        <is>
          <t>7898569765439</t>
        </is>
      </c>
      <c r="D277" s="2" t="inlineStr">
        <is>
          <t>PREDNISOLONA 20MG C/10 CPR</t>
        </is>
      </c>
      <c r="E277" s="2" t="inlineStr">
        <is>
          <t>PREDNISOLONA 20MG CX 10 COMP</t>
        </is>
      </c>
      <c r="F277" s="2" t="inlineStr">
        <is>
          <t>ALTHAIA</t>
        </is>
      </c>
      <c r="G277" s="4" t="n">
        <v>1</v>
      </c>
      <c r="H277" s="4" t="n">
        <v>1</v>
      </c>
      <c r="I277" s="4" t="n">
        <v>1</v>
      </c>
      <c r="J277" s="5" t="n">
        <v>8.93</v>
      </c>
      <c r="K277" s="5">
        <f>I277*J277</f>
        <v/>
      </c>
      <c r="L277" s="5">
        <f>J277/G277</f>
        <v/>
      </c>
      <c r="M277" s="5" t="n">
        <v>6.82</v>
      </c>
      <c r="N277" s="5" t="n">
        <v>6.82</v>
      </c>
      <c r="O277" s="6">
        <f>L277/M277-1</f>
        <v/>
      </c>
      <c r="P277" s="4" t="n">
        <v>61</v>
      </c>
      <c r="Q277" s="2" t="inlineStr"/>
    </row>
    <row r="278">
      <c r="A278" s="2" t="n">
        <v>5051</v>
      </c>
      <c r="B278" s="2" t="n">
        <v>408041</v>
      </c>
      <c r="C278" s="3" t="inlineStr">
        <is>
          <t>7898569765514</t>
        </is>
      </c>
      <c r="D278" s="2" t="inlineStr">
        <is>
          <t>PREDNISOLONA 40MG C/07 CPR</t>
        </is>
      </c>
      <c r="E278" s="2" t="inlineStr">
        <is>
          <t>PREDNISOLONA 40MG CX 7 COMP</t>
        </is>
      </c>
      <c r="F278" s="2" t="inlineStr">
        <is>
          <t>ALTHAIA</t>
        </is>
      </c>
      <c r="G278" s="4" t="n">
        <v>1</v>
      </c>
      <c r="H278" s="4" t="n">
        <v>6</v>
      </c>
      <c r="I278" s="4" t="n">
        <v>6</v>
      </c>
      <c r="J278" s="5" t="n">
        <v>10.67</v>
      </c>
      <c r="K278" s="5">
        <f>I278*J278</f>
        <v/>
      </c>
      <c r="L278" s="5">
        <f>J278/G278</f>
        <v/>
      </c>
      <c r="M278" s="5" t="n">
        <v>9.75</v>
      </c>
      <c r="N278" s="5" t="n">
        <v>9.75</v>
      </c>
      <c r="O278" s="6">
        <f>L278/M278-1</f>
        <v/>
      </c>
      <c r="P278" s="4" t="n">
        <v>751</v>
      </c>
      <c r="Q278" s="2" t="inlineStr"/>
    </row>
    <row r="279">
      <c r="A279" s="2" t="n">
        <v>7290</v>
      </c>
      <c r="B279" s="2" t="n">
        <v>483381</v>
      </c>
      <c r="C279" s="3" t="inlineStr">
        <is>
          <t>7899620912144</t>
        </is>
      </c>
      <c r="D279" s="2" t="inlineStr">
        <is>
          <t>PREDNISONA 20MG C/20 CPR</t>
        </is>
      </c>
      <c r="E279" s="2" t="inlineStr">
        <is>
          <t>PREDNISONA 20MG CX 20 COMP</t>
        </is>
      </c>
      <c r="F279" s="2" t="inlineStr">
        <is>
          <t>GLOBO PHARMA</t>
        </is>
      </c>
      <c r="G279" s="4" t="n">
        <v>1</v>
      </c>
      <c r="H279" s="4" t="n">
        <v>1</v>
      </c>
      <c r="I279" s="4" t="n">
        <v>1</v>
      </c>
      <c r="J279" s="5" t="n">
        <v>7.02</v>
      </c>
      <c r="K279" s="5">
        <f>I279*J279</f>
        <v/>
      </c>
      <c r="L279" s="5">
        <f>J279/G279</f>
        <v/>
      </c>
      <c r="M279" s="5" t="n">
        <v>6.97</v>
      </c>
      <c r="N279" s="5" t="n">
        <v>6.69</v>
      </c>
      <c r="O279" s="6">
        <f>L279/M279-1</f>
        <v/>
      </c>
      <c r="P279" s="4" t="n">
        <v>444</v>
      </c>
      <c r="Q279" s="2" t="inlineStr"/>
    </row>
    <row r="280">
      <c r="A280" s="2" t="n">
        <v>2440</v>
      </c>
      <c r="B280" s="2" t="n">
        <v>409221</v>
      </c>
      <c r="C280" s="3" t="inlineStr">
        <is>
          <t>7895296286022</t>
        </is>
      </c>
      <c r="D280" s="2" t="inlineStr">
        <is>
          <t>PREDNISONA 5MG C/20 CPR</t>
        </is>
      </c>
      <c r="E280" s="2" t="inlineStr">
        <is>
          <t>PREDNISONA 5MG CX 20 COMP</t>
        </is>
      </c>
      <c r="F280" s="2" t="inlineStr">
        <is>
          <t>NOVA QUIMICA GENERICO</t>
        </is>
      </c>
      <c r="G280" s="4" t="n">
        <v>1</v>
      </c>
      <c r="H280" s="4" t="n">
        <v>2</v>
      </c>
      <c r="I280" s="4" t="n">
        <v>2</v>
      </c>
      <c r="J280" s="5" t="n">
        <v>4.52</v>
      </c>
      <c r="K280" s="5">
        <f>I280*J280</f>
        <v/>
      </c>
      <c r="L280" s="5">
        <f>J280/G280</f>
        <v/>
      </c>
      <c r="M280" s="5" t="n">
        <v>4.28</v>
      </c>
      <c r="N280" s="5" t="n">
        <v>4.28</v>
      </c>
      <c r="O280" s="6">
        <f>L280/M280-1</f>
        <v/>
      </c>
      <c r="P280" s="4" t="n">
        <v>941</v>
      </c>
      <c r="Q280" s="2" t="inlineStr"/>
    </row>
    <row r="281">
      <c r="A281" s="2" t="n">
        <v>4713</v>
      </c>
      <c r="B281" s="2" t="n">
        <v>550201</v>
      </c>
      <c r="C281" s="3" t="inlineStr">
        <is>
          <t>7898556850254</t>
        </is>
      </c>
      <c r="D281" s="2" t="inlineStr">
        <is>
          <t>PRESERVATIVO RILEX HOT C/3</t>
        </is>
      </c>
      <c r="E281" s="2" t="inlineStr">
        <is>
          <t>PRES RILEX HOT 3UN</t>
        </is>
      </c>
      <c r="F281" s="2" t="inlineStr">
        <is>
          <t>RILEX</t>
        </is>
      </c>
      <c r="G281" s="4" t="n">
        <v>1</v>
      </c>
      <c r="H281" s="4" t="n">
        <v>2</v>
      </c>
      <c r="I281" s="4" t="n">
        <v>2</v>
      </c>
      <c r="J281" s="5" t="n">
        <v>5.3</v>
      </c>
      <c r="K281" s="5">
        <f>I281*J281</f>
        <v/>
      </c>
      <c r="L281" s="5">
        <f>J281/G281</f>
        <v/>
      </c>
      <c r="M281" s="5" t="n">
        <v>5.07</v>
      </c>
      <c r="N281" s="5" t="n">
        <v>4.85</v>
      </c>
      <c r="O281" s="6">
        <f>L281/M281-1</f>
        <v/>
      </c>
      <c r="P281" s="4" t="n">
        <v>116</v>
      </c>
      <c r="Q281" s="2" t="inlineStr"/>
    </row>
    <row r="282">
      <c r="A282" s="2" t="n">
        <v>4711</v>
      </c>
      <c r="B282" s="2" t="n">
        <v>550161</v>
      </c>
      <c r="C282" s="3" t="inlineStr">
        <is>
          <t>7898556850209</t>
        </is>
      </c>
      <c r="D282" s="2" t="inlineStr">
        <is>
          <t>PRESERVATIVO RILEX TEXTURIZADO C/3</t>
        </is>
      </c>
      <c r="E282" s="2" t="inlineStr">
        <is>
          <t>PRES RILEX TEXTURIZADO 3UN</t>
        </is>
      </c>
      <c r="F282" s="2" t="inlineStr">
        <is>
          <t>RILEX</t>
        </is>
      </c>
      <c r="G282" s="4" t="n">
        <v>1</v>
      </c>
      <c r="H282" s="4" t="n">
        <v>1</v>
      </c>
      <c r="I282" s="4" t="n">
        <v>1</v>
      </c>
      <c r="J282" s="5" t="n">
        <v>4.73</v>
      </c>
      <c r="K282" s="5">
        <f>I282*J282</f>
        <v/>
      </c>
      <c r="L282" s="5">
        <f>J282/G282</f>
        <v/>
      </c>
      <c r="M282" s="5" t="n">
        <v>4.56</v>
      </c>
      <c r="N282" s="5" t="n">
        <v>4.55</v>
      </c>
      <c r="O282" s="6">
        <f>L282/M282-1</f>
        <v/>
      </c>
      <c r="P282" s="4" t="n">
        <v>264</v>
      </c>
      <c r="Q282" s="2" t="inlineStr"/>
    </row>
    <row r="283">
      <c r="A283" s="2" t="n">
        <v>5736</v>
      </c>
      <c r="B283" s="2" t="n">
        <v>584461</v>
      </c>
      <c r="C283" s="3" t="inlineStr">
        <is>
          <t>7898556850452</t>
        </is>
      </c>
      <c r="D283" s="2" t="inlineStr">
        <is>
          <t>PRESERVATIVO RILEX LEITE CONDENSADO C/3</t>
        </is>
      </c>
      <c r="E283" s="2" t="inlineStr">
        <is>
          <t>PRESERVATIVO RILEX LEITE CONDENSADO 3UN</t>
        </is>
      </c>
      <c r="F283" s="2" t="inlineStr">
        <is>
          <t>RILEX</t>
        </is>
      </c>
      <c r="G283" s="4" t="n">
        <v>1</v>
      </c>
      <c r="H283" s="4" t="n">
        <v>4</v>
      </c>
      <c r="I283" s="4" t="n">
        <v>4</v>
      </c>
      <c r="J283" s="5" t="n">
        <v>2.33</v>
      </c>
      <c r="K283" s="5">
        <f>I283*J283</f>
        <v/>
      </c>
      <c r="L283" s="5">
        <f>J283/G283</f>
        <v/>
      </c>
      <c r="M283" s="5" t="n">
        <v>2.22</v>
      </c>
      <c r="N283" s="5" t="n">
        <v>2.22</v>
      </c>
      <c r="O283" s="6">
        <f>L283/M283-1</f>
        <v/>
      </c>
      <c r="P283" s="4" t="n">
        <v>146</v>
      </c>
      <c r="Q283" s="2" t="inlineStr"/>
    </row>
    <row r="284">
      <c r="A284" s="2" t="n">
        <v>879</v>
      </c>
      <c r="B284" s="2" t="n">
        <v>532801</v>
      </c>
      <c r="C284" s="3" t="inlineStr">
        <is>
          <t>7898903991487</t>
        </is>
      </c>
      <c r="D284" s="2" t="inlineStr">
        <is>
          <t>PRESERVATIVO RILEX LUBRIFICADO C/3</t>
        </is>
      </c>
      <c r="E284" s="2" t="inlineStr">
        <is>
          <t>PRESERVATIVO RILEX LUBRIFICADO C/3</t>
        </is>
      </c>
      <c r="F284" s="2" t="inlineStr">
        <is>
          <t>RILEX</t>
        </is>
      </c>
      <c r="G284" s="4" t="n">
        <v>1</v>
      </c>
      <c r="H284" s="4" t="n">
        <v>3</v>
      </c>
      <c r="I284" s="4" t="n">
        <v>3</v>
      </c>
      <c r="J284" s="5" t="n">
        <v>2.17</v>
      </c>
      <c r="K284" s="5">
        <f>I284*J284</f>
        <v/>
      </c>
      <c r="L284" s="5">
        <f>J284/G284</f>
        <v/>
      </c>
      <c r="M284" s="5" t="n">
        <v>2.11</v>
      </c>
      <c r="N284" s="5" t="n">
        <v>2.09</v>
      </c>
      <c r="O284" s="6">
        <f>L284/M284-1</f>
        <v/>
      </c>
      <c r="P284" s="4" t="n">
        <v>330</v>
      </c>
      <c r="Q284" s="2" t="inlineStr"/>
    </row>
    <row r="285">
      <c r="A285" s="2" t="n">
        <v>882</v>
      </c>
      <c r="B285" s="2" t="n">
        <v>532821</v>
      </c>
      <c r="C285" s="3" t="inlineStr">
        <is>
          <t>7898903991517</t>
        </is>
      </c>
      <c r="D285" s="2" t="inlineStr">
        <is>
          <t>PRESERVATIVO RILEX MORANGO C/3</t>
        </is>
      </c>
      <c r="E285" s="2" t="inlineStr">
        <is>
          <t>PRESERVATIVO RILEX MORANGO C/3</t>
        </is>
      </c>
      <c r="F285" s="2" t="inlineStr">
        <is>
          <t>RILEX</t>
        </is>
      </c>
      <c r="G285" s="4" t="n">
        <v>1</v>
      </c>
      <c r="H285" s="4" t="n">
        <v>1</v>
      </c>
      <c r="I285" s="4" t="n">
        <v>1</v>
      </c>
      <c r="J285" s="5" t="n">
        <v>2.21</v>
      </c>
      <c r="K285" s="5">
        <f>I285*J285</f>
        <v/>
      </c>
      <c r="L285" s="5">
        <f>J285/G285</f>
        <v/>
      </c>
      <c r="M285" s="5" t="n">
        <v>2.14</v>
      </c>
      <c r="N285" s="5" t="n">
        <v>2.13</v>
      </c>
      <c r="O285" s="6">
        <f>L285/M285-1</f>
        <v/>
      </c>
      <c r="P285" s="4" t="n">
        <v>329</v>
      </c>
      <c r="Q285" s="2" t="inlineStr"/>
    </row>
    <row r="286">
      <c r="A286" s="2" t="n">
        <v>877</v>
      </c>
      <c r="B286" s="2" t="n">
        <v>532781</v>
      </c>
      <c r="C286" s="3" t="inlineStr">
        <is>
          <t>7898556850193</t>
        </is>
      </c>
      <c r="D286" s="2" t="inlineStr">
        <is>
          <t>PRESERVATIVO RILEX SENSITIVE C/3</t>
        </is>
      </c>
      <c r="E286" s="2" t="inlineStr">
        <is>
          <t>PRESERVATIVO RILEX SENSITIVE C/3</t>
        </is>
      </c>
      <c r="F286" s="2" t="inlineStr">
        <is>
          <t>RILEX</t>
        </is>
      </c>
      <c r="G286" s="4" t="n">
        <v>1</v>
      </c>
      <c r="H286" s="4" t="n">
        <v>5</v>
      </c>
      <c r="I286" s="4" t="n">
        <v>5</v>
      </c>
      <c r="J286" s="5" t="n">
        <v>4.55</v>
      </c>
      <c r="K286" s="5">
        <f>I286*J286</f>
        <v/>
      </c>
      <c r="L286" s="5">
        <f>J286/G286</f>
        <v/>
      </c>
      <c r="M286" s="5" t="n">
        <v>4.38</v>
      </c>
      <c r="N286" s="5" t="n">
        <v>4.37</v>
      </c>
      <c r="O286" s="6">
        <f>L286/M286-1</f>
        <v/>
      </c>
      <c r="P286" s="4" t="n">
        <v>935</v>
      </c>
      <c r="Q286" s="2" t="inlineStr"/>
    </row>
    <row r="287">
      <c r="A287" s="2" t="n">
        <v>2461</v>
      </c>
      <c r="B287" s="2" t="n">
        <v>414621</v>
      </c>
      <c r="C287" s="3" t="inlineStr">
        <is>
          <t>7895296210324</t>
        </is>
      </c>
      <c r="D287" s="2" t="inlineStr">
        <is>
          <t>CLOBETASOL 0,5MG 30G CREME</t>
        </is>
      </c>
      <c r="E287" s="2" t="inlineStr">
        <is>
          <t>PROPIONATO DE CLOBETASOL 0,5MG/G CREME DERM BG 30G</t>
        </is>
      </c>
      <c r="F287" s="2" t="inlineStr">
        <is>
          <t>NOVA QUIMICA GENERICO</t>
        </is>
      </c>
      <c r="G287" s="4" t="n">
        <v>1</v>
      </c>
      <c r="H287" s="4" t="n">
        <v>7</v>
      </c>
      <c r="I287" s="4" t="n">
        <v>7</v>
      </c>
      <c r="J287" s="5" t="n">
        <v>6.92</v>
      </c>
      <c r="K287" s="5">
        <f>I287*J287</f>
        <v/>
      </c>
      <c r="L287" s="5">
        <f>J287/G287</f>
        <v/>
      </c>
      <c r="M287" s="5" t="n">
        <v>6.19</v>
      </c>
      <c r="N287" s="5" t="n">
        <v>6.19</v>
      </c>
      <c r="O287" s="6">
        <f>L287/M287-1</f>
        <v/>
      </c>
      <c r="P287" s="4" t="n">
        <v>1264</v>
      </c>
      <c r="Q287" s="2" t="inlineStr"/>
    </row>
    <row r="288">
      <c r="A288" s="2" t="n">
        <v>1567</v>
      </c>
      <c r="B288" s="2" t="n">
        <v>201921</v>
      </c>
      <c r="C288" s="3" t="inlineStr">
        <is>
          <t>7896472500253</t>
        </is>
      </c>
      <c r="D288" s="2" t="inlineStr">
        <is>
          <t>DELTALAB 0,2MG 100ML LOCAO</t>
        </is>
      </c>
      <c r="E288" s="2" t="inlineStr">
        <is>
          <t>PV - DELTALAB 0,2MG LOCAO FR 100ML</t>
        </is>
      </c>
      <c r="F288" s="2" t="inlineStr">
        <is>
          <t>MULTILAB MARCA</t>
        </is>
      </c>
      <c r="G288" s="4" t="n">
        <v>1</v>
      </c>
      <c r="H288" s="4" t="n">
        <v>1</v>
      </c>
      <c r="I288" s="4" t="n">
        <v>1</v>
      </c>
      <c r="J288" s="5" t="n">
        <v>6.88</v>
      </c>
      <c r="K288" s="5">
        <f>I288*J288</f>
        <v/>
      </c>
      <c r="L288" s="5">
        <f>J288/G288</f>
        <v/>
      </c>
      <c r="M288" s="5" t="n">
        <v>5.6</v>
      </c>
      <c r="N288" s="5" t="n">
        <v>5.6</v>
      </c>
      <c r="O288" s="6">
        <f>L288/M288-1</f>
        <v/>
      </c>
      <c r="P288" s="4" t="n">
        <v>76</v>
      </c>
      <c r="Q288" s="2" t="inlineStr"/>
    </row>
    <row r="289">
      <c r="A289" s="2" t="n">
        <v>4578</v>
      </c>
      <c r="B289" s="2" t="n">
        <v>68841</v>
      </c>
      <c r="C289" s="3" t="inlineStr">
        <is>
          <t>7896004765709</t>
        </is>
      </c>
      <c r="D289" s="2" t="inlineStr">
        <is>
          <t>INALIDE 64MCG SPRAY NASAL</t>
        </is>
      </c>
      <c r="E289" s="2" t="inlineStr">
        <is>
          <t>PV - INALIDE 64MPV - CG SUS SPR NAS FR 120 ACION</t>
        </is>
      </c>
      <c r="F289" s="2" t="inlineStr">
        <is>
          <t>MULTILAB MARCA</t>
        </is>
      </c>
      <c r="G289" s="4" t="n">
        <v>1</v>
      </c>
      <c r="H289" s="4" t="n">
        <v>2</v>
      </c>
      <c r="I289" s="4" t="n">
        <v>2</v>
      </c>
      <c r="J289" s="5" t="n">
        <v>20.33</v>
      </c>
      <c r="K289" s="5">
        <f>I289*J289</f>
        <v/>
      </c>
      <c r="L289" s="5">
        <f>J289/G289</f>
        <v/>
      </c>
      <c r="M289" s="5" t="n">
        <v>23.98</v>
      </c>
      <c r="N289" s="5" t="n">
        <v>23.98</v>
      </c>
      <c r="O289" s="6">
        <f>L289/M289-1</f>
        <v/>
      </c>
      <c r="P289" s="4" t="n">
        <v>400</v>
      </c>
      <c r="Q289" s="2" t="inlineStr"/>
    </row>
    <row r="290">
      <c r="A290" s="2" t="n">
        <v>10727</v>
      </c>
      <c r="B290" s="2" t="n">
        <v>660341</v>
      </c>
      <c r="C290" s="3" t="inlineStr">
        <is>
          <t>7891058005658</t>
        </is>
      </c>
      <c r="D290" s="2" t="inlineStr">
        <is>
          <t>PREDNISONA 5MG C/20 CPR</t>
        </is>
      </c>
      <c r="E290" s="2" t="inlineStr">
        <is>
          <t>PV - PREDNISONA 5MG CX 20 COMP</t>
        </is>
      </c>
      <c r="F290" s="2" t="inlineStr">
        <is>
          <t>MEDLEY</t>
        </is>
      </c>
      <c r="G290" s="4" t="n">
        <v>1</v>
      </c>
      <c r="H290" s="4" t="n">
        <v>13</v>
      </c>
      <c r="I290" s="4" t="n">
        <v>13</v>
      </c>
      <c r="J290" s="5" t="n">
        <v>4.14</v>
      </c>
      <c r="K290" s="5">
        <f>I290*J290</f>
        <v/>
      </c>
      <c r="L290" s="5">
        <f>J290/G290</f>
        <v/>
      </c>
      <c r="M290" s="5" t="n">
        <v>3.468</v>
      </c>
      <c r="N290" s="5" t="n">
        <v>2.967</v>
      </c>
      <c r="O290" s="6">
        <f>L290/M290-1</f>
        <v/>
      </c>
      <c r="P290" s="4" t="n">
        <v>11</v>
      </c>
      <c r="Q290" s="2" t="inlineStr">
        <is>
          <t>estoque parcial (11)</t>
        </is>
      </c>
    </row>
    <row r="291">
      <c r="A291" s="2" t="n">
        <v>8774</v>
      </c>
      <c r="B291" s="2" t="n">
        <v>1353</v>
      </c>
      <c r="C291" s="3" t="inlineStr">
        <is>
          <t>7898714761477</t>
        </is>
      </c>
      <c r="D291" s="2" t="inlineStr">
        <is>
          <t>VITAMINA K2+D3 C/30 CPS</t>
        </is>
      </c>
      <c r="E291" s="2" t="inlineStr">
        <is>
          <t>PV K2+D3 CAPS REV X 30</t>
        </is>
      </c>
      <c r="F291" s="2" t="inlineStr">
        <is>
          <t>KTG NUTRICIONAL</t>
        </is>
      </c>
      <c r="G291" s="4" t="n">
        <v>1</v>
      </c>
      <c r="H291" s="4" t="n">
        <v>1</v>
      </c>
      <c r="I291" s="4" t="n">
        <v>1</v>
      </c>
      <c r="J291" s="5" t="n">
        <v>20.61</v>
      </c>
      <c r="K291" s="5">
        <f>I291*J291</f>
        <v/>
      </c>
      <c r="L291" s="5">
        <f>J291/G291</f>
        <v/>
      </c>
      <c r="M291" s="5" t="n">
        <v>41.8867</v>
      </c>
      <c r="N291" s="5" t="n">
        <v>41.8867</v>
      </c>
      <c r="O291" s="6">
        <f>L291/M291-1</f>
        <v/>
      </c>
      <c r="P291" s="4" t="n">
        <v>44</v>
      </c>
      <c r="Q291" s="2" t="inlineStr">
        <is>
          <t>conferir embalagem (preço muito fora da referência)</t>
        </is>
      </c>
    </row>
    <row r="292">
      <c r="A292" s="2" t="n">
        <v>7803</v>
      </c>
      <c r="B292" s="2" t="n">
        <v>622411</v>
      </c>
      <c r="C292" s="3" t="inlineStr">
        <is>
          <t>7898582291854</t>
        </is>
      </c>
      <c r="D292" s="2" t="inlineStr">
        <is>
          <t>QUEIMADOL 30G POMADA.</t>
        </is>
      </c>
      <c r="E292" s="2" t="inlineStr">
        <is>
          <t>QUEIMADOL POMADA 30G</t>
        </is>
      </c>
      <c r="F292" s="2" t="inlineStr">
        <is>
          <t>BELLA PHYTUS</t>
        </is>
      </c>
      <c r="G292" s="4" t="n">
        <v>1</v>
      </c>
      <c r="H292" s="4" t="n">
        <v>3</v>
      </c>
      <c r="I292" s="4" t="n">
        <v>3</v>
      </c>
      <c r="J292" s="5" t="n">
        <v>12.34</v>
      </c>
      <c r="K292" s="5">
        <f>I292*J292</f>
        <v/>
      </c>
      <c r="L292" s="5">
        <f>J292/G292</f>
        <v/>
      </c>
      <c r="M292" s="5" t="n">
        <v>11.52</v>
      </c>
      <c r="N292" s="5" t="n">
        <v>11.52</v>
      </c>
      <c r="O292" s="6">
        <f>L292/M292-1</f>
        <v/>
      </c>
      <c r="P292" s="4" t="n">
        <v>266</v>
      </c>
      <c r="Q292" s="2" t="inlineStr"/>
    </row>
    <row r="293">
      <c r="A293" s="2" t="n">
        <v>9721</v>
      </c>
      <c r="B293" s="2" t="n">
        <v>5603</v>
      </c>
      <c r="C293" s="3" t="inlineStr">
        <is>
          <t>7898767761684</t>
        </is>
      </c>
      <c r="D293" s="2" t="inlineStr">
        <is>
          <t>REHIDRAX PO C/04 ENVE AGUA DE COCO</t>
        </is>
      </c>
      <c r="E293" s="2" t="inlineStr">
        <is>
          <t>REHIDRAX PO C/04 ENVE AGUA DE COCO</t>
        </is>
      </c>
      <c r="F293" s="2" t="inlineStr">
        <is>
          <t>QUALYNUTRI</t>
        </is>
      </c>
      <c r="G293" s="4" t="n">
        <v>1</v>
      </c>
      <c r="H293" s="4" t="n">
        <v>1</v>
      </c>
      <c r="I293" s="4" t="n">
        <v>1</v>
      </c>
      <c r="J293" s="5" t="n">
        <v>8.76</v>
      </c>
      <c r="K293" s="5">
        <f>I293*J293</f>
        <v/>
      </c>
      <c r="L293" s="5">
        <f>J293/G293</f>
        <v/>
      </c>
      <c r="M293" s="5" t="n">
        <v>8.07</v>
      </c>
      <c r="N293" s="5" t="n">
        <v>8.07</v>
      </c>
      <c r="O293" s="6">
        <f>L293/M293-1</f>
        <v/>
      </c>
      <c r="P293" s="4" t="n">
        <v>4</v>
      </c>
      <c r="Q293" s="2" t="inlineStr"/>
    </row>
    <row r="294">
      <c r="A294" s="2" t="n">
        <v>9719</v>
      </c>
      <c r="B294" s="2" t="n">
        <v>5903</v>
      </c>
      <c r="C294" s="3" t="inlineStr">
        <is>
          <t>7898767761707</t>
        </is>
      </c>
      <c r="D294" s="2" t="inlineStr">
        <is>
          <t>REHIDRAX PO C/04 ENVE LARANJA</t>
        </is>
      </c>
      <c r="E294" s="2" t="inlineStr">
        <is>
          <t>REHIDRAX PO C/04 ENVE LARANJA</t>
        </is>
      </c>
      <c r="F294" s="2" t="inlineStr">
        <is>
          <t>QUALYNUTRI</t>
        </is>
      </c>
      <c r="G294" s="4" t="n">
        <v>1</v>
      </c>
      <c r="H294" s="4" t="n">
        <v>1</v>
      </c>
      <c r="I294" s="4" t="n">
        <v>1</v>
      </c>
      <c r="J294" s="5" t="n">
        <v>8.76</v>
      </c>
      <c r="K294" s="5">
        <f>I294*J294</f>
        <v/>
      </c>
      <c r="L294" s="5">
        <f>J294/G294</f>
        <v/>
      </c>
      <c r="M294" s="5" t="n">
        <v>8.07</v>
      </c>
      <c r="N294" s="5" t="n">
        <v>8.07</v>
      </c>
      <c r="O294" s="6">
        <f>L294/M294-1</f>
        <v/>
      </c>
      <c r="P294" s="4" t="n">
        <v>192</v>
      </c>
      <c r="Q294" s="2" t="inlineStr"/>
    </row>
    <row r="295">
      <c r="A295" s="2" t="n">
        <v>4212</v>
      </c>
      <c r="B295" s="2" t="n">
        <v>2193</v>
      </c>
      <c r="C295" s="3" t="inlineStr">
        <is>
          <t>7896902212497</t>
        </is>
      </c>
      <c r="D295" s="2" t="inlineStr">
        <is>
          <t>REPELENTE MOSKITOFF BABY 100ML LOCAO</t>
        </is>
      </c>
      <c r="E295" s="2" t="inlineStr">
        <is>
          <t>REPELENTE BABY FARMAX MOSKITOFF 100ML</t>
        </is>
      </c>
      <c r="F295" s="2" t="inlineStr">
        <is>
          <t>FARMAX</t>
        </is>
      </c>
      <c r="G295" s="4" t="n">
        <v>1</v>
      </c>
      <c r="H295" s="4" t="n">
        <v>1</v>
      </c>
      <c r="I295" s="4" t="n">
        <v>1</v>
      </c>
      <c r="J295" s="5" t="n">
        <v>16.97</v>
      </c>
      <c r="K295" s="5">
        <f>I295*J295</f>
        <v/>
      </c>
      <c r="L295" s="5">
        <f>J295/G295</f>
        <v/>
      </c>
      <c r="M295" s="5" t="n">
        <v>20.39</v>
      </c>
      <c r="N295" s="5" t="n">
        <v>20.39</v>
      </c>
      <c r="O295" s="6">
        <f>L295/M295-1</f>
        <v/>
      </c>
      <c r="P295" s="4" t="n">
        <v>77</v>
      </c>
      <c r="Q295" s="2" t="inlineStr"/>
    </row>
    <row r="296">
      <c r="A296" s="2" t="n">
        <v>1702</v>
      </c>
      <c r="B296" s="2" t="n">
        <v>4701</v>
      </c>
      <c r="C296" s="3" t="inlineStr">
        <is>
          <t>7896004703954</t>
        </is>
      </c>
      <c r="D296" s="2" t="inlineStr">
        <is>
          <t>REPOPIL C/21 CPR**</t>
        </is>
      </c>
      <c r="E296" s="2" t="inlineStr">
        <is>
          <t>REPOPIL 35 2+0,035MG CX 21 COMP REV</t>
        </is>
      </c>
      <c r="F296" s="2" t="inlineStr">
        <is>
          <t>MULTILAB MARCA</t>
        </is>
      </c>
      <c r="G296" s="4" t="n">
        <v>1</v>
      </c>
      <c r="H296" s="4" t="n">
        <v>8</v>
      </c>
      <c r="I296" s="4" t="n">
        <v>8</v>
      </c>
      <c r="J296" s="5" t="n">
        <v>9.41</v>
      </c>
      <c r="K296" s="5">
        <f>I296*J296</f>
        <v/>
      </c>
      <c r="L296" s="5">
        <f>J296/G296</f>
        <v/>
      </c>
      <c r="M296" s="5" t="n">
        <v>8.869999999999999</v>
      </c>
      <c r="N296" s="5" t="n">
        <v>8.869999999999999</v>
      </c>
      <c r="O296" s="6">
        <f>L296/M296-1</f>
        <v/>
      </c>
      <c r="P296" s="4" t="n">
        <v>907</v>
      </c>
      <c r="Q296" s="2" t="inlineStr"/>
    </row>
    <row r="297">
      <c r="A297" s="2" t="n">
        <v>4865</v>
      </c>
      <c r="B297" s="2" t="n">
        <v>419001</v>
      </c>
      <c r="C297" s="3" t="inlineStr">
        <is>
          <t>7898569763916</t>
        </is>
      </c>
      <c r="D297" s="2" t="inlineStr">
        <is>
          <t>RISEDRONATO SODICO 150MG C/01 CPR.</t>
        </is>
      </c>
      <c r="E297" s="2" t="inlineStr">
        <is>
          <t>RISEDRONATO SODICO 150MG CX 1 COMP REV</t>
        </is>
      </c>
      <c r="F297" s="2" t="inlineStr">
        <is>
          <t>ALTHAIA</t>
        </is>
      </c>
      <c r="G297" s="4" t="n">
        <v>1</v>
      </c>
      <c r="H297" s="4" t="n">
        <v>1</v>
      </c>
      <c r="I297" s="4" t="n">
        <v>1</v>
      </c>
      <c r="J297" s="5" t="n">
        <v>9.99</v>
      </c>
      <c r="K297" s="5">
        <f>I297*J297</f>
        <v/>
      </c>
      <c r="L297" s="5">
        <f>J297/G297</f>
        <v/>
      </c>
      <c r="M297" s="5" t="n">
        <v>18.43</v>
      </c>
      <c r="N297" s="5" t="n">
        <v>13.5</v>
      </c>
      <c r="O297" s="6">
        <f>L297/M297-1</f>
        <v/>
      </c>
      <c r="P297" s="4" t="n">
        <v>1</v>
      </c>
      <c r="Q297" s="2" t="inlineStr"/>
    </row>
    <row r="298">
      <c r="A298" s="2" t="n">
        <v>4863</v>
      </c>
      <c r="B298" s="2" t="n">
        <v>428101</v>
      </c>
      <c r="C298" s="3" t="inlineStr">
        <is>
          <t>7898569760458</t>
        </is>
      </c>
      <c r="D298" s="2" t="inlineStr">
        <is>
          <t>ROSUVASTATINA 10MG C/30 CPR..</t>
        </is>
      </c>
      <c r="E298" s="2" t="inlineStr">
        <is>
          <t>ROSUVASTATINA CALCICA 10MG CX 30 COMP REV</t>
        </is>
      </c>
      <c r="F298" s="2" t="inlineStr">
        <is>
          <t>ALTHAIA</t>
        </is>
      </c>
      <c r="G298" s="4" t="n">
        <v>1</v>
      </c>
      <c r="H298" s="4" t="n">
        <v>1</v>
      </c>
      <c r="I298" s="4" t="n">
        <v>1</v>
      </c>
      <c r="J298" s="5" t="n">
        <v>7.3</v>
      </c>
      <c r="K298" s="5">
        <f>I298*J298</f>
        <v/>
      </c>
      <c r="L298" s="5">
        <f>J298/G298</f>
        <v/>
      </c>
      <c r="M298" s="5" t="n">
        <v>3.89</v>
      </c>
      <c r="N298" s="5" t="n">
        <v>3.89</v>
      </c>
      <c r="O298" s="6">
        <f>L298/M298-1</f>
        <v/>
      </c>
      <c r="P298" s="4" t="n">
        <v>68</v>
      </c>
      <c r="Q298" s="2" t="inlineStr"/>
    </row>
    <row r="299">
      <c r="A299" s="2" t="n">
        <v>4862</v>
      </c>
      <c r="B299" s="2" t="n">
        <v>428181</v>
      </c>
      <c r="C299" s="3" t="inlineStr">
        <is>
          <t>7898569760496</t>
        </is>
      </c>
      <c r="D299" s="2" t="inlineStr">
        <is>
          <t>ROSUVASTATINA 20MG C/30 CPR..</t>
        </is>
      </c>
      <c r="E299" s="2" t="inlineStr">
        <is>
          <t>ROSUVASTATINA CALCICA 20MG CX 30 COMP REV</t>
        </is>
      </c>
      <c r="F299" s="2" t="inlineStr">
        <is>
          <t>ALTHAIA</t>
        </is>
      </c>
      <c r="G299" s="4" t="n">
        <v>1</v>
      </c>
      <c r="H299" s="4" t="n">
        <v>5</v>
      </c>
      <c r="I299" s="4" t="n">
        <v>5</v>
      </c>
      <c r="J299" s="5" t="n">
        <v>14.15</v>
      </c>
      <c r="K299" s="5">
        <f>I299*J299</f>
        <v/>
      </c>
      <c r="L299" s="5">
        <f>J299/G299</f>
        <v/>
      </c>
      <c r="M299" s="5" t="n">
        <v>6.83</v>
      </c>
      <c r="N299" s="5" t="n">
        <v>6.83</v>
      </c>
      <c r="O299" s="6">
        <f>L299/M299-1</f>
        <v/>
      </c>
      <c r="P299" s="4" t="n">
        <v>43</v>
      </c>
      <c r="Q299" s="2" t="inlineStr">
        <is>
          <t>conferir embalagem (preço muito fora da referência)</t>
        </is>
      </c>
    </row>
    <row r="300">
      <c r="A300" s="2" t="n">
        <v>8084</v>
      </c>
      <c r="B300" s="2" t="n">
        <v>667251</v>
      </c>
      <c r="C300" s="3" t="inlineStr">
        <is>
          <t>7898216366088</t>
        </is>
      </c>
      <c r="D300" s="2" t="inlineStr">
        <is>
          <t>ROSUVASTATINA 5MG C/30 CPR</t>
        </is>
      </c>
      <c r="E300" s="2" t="inlineStr">
        <is>
          <t>ROSUVASTATINA CALCICA 5MG CX 30 COMP REV</t>
        </is>
      </c>
      <c r="F300" s="2" t="inlineStr">
        <is>
          <t>PHARLAB</t>
        </is>
      </c>
      <c r="G300" s="4" t="n">
        <v>1</v>
      </c>
      <c r="H300" s="4" t="n">
        <v>2</v>
      </c>
      <c r="I300" s="4" t="n">
        <v>2</v>
      </c>
      <c r="J300" s="5" t="n">
        <v>6.13</v>
      </c>
      <c r="K300" s="5">
        <f>I300*J300</f>
        <v/>
      </c>
      <c r="L300" s="5">
        <f>J300/G300</f>
        <v/>
      </c>
      <c r="M300" s="5" t="n">
        <v>5.9</v>
      </c>
      <c r="N300" s="5" t="n">
        <v>5.9</v>
      </c>
      <c r="O300" s="6">
        <f>L300/M300-1</f>
        <v/>
      </c>
      <c r="P300" s="4" t="n">
        <v>106</v>
      </c>
      <c r="Q300" s="2" t="inlineStr"/>
    </row>
    <row r="301">
      <c r="A301" s="2" t="n">
        <v>528</v>
      </c>
      <c r="B301" s="2" t="n">
        <v>234</v>
      </c>
      <c r="C301" s="3" t="inlineStr">
        <is>
          <t>7898277711421</t>
        </is>
      </c>
      <c r="D301" s="2" t="inlineStr">
        <is>
          <t>SABONETE DE COCO 100G</t>
        </is>
      </c>
      <c r="E301" s="2" t="inlineStr">
        <is>
          <t>SAB DE COCO BARRA 100G</t>
        </is>
      </c>
      <c r="F301" s="2" t="inlineStr">
        <is>
          <t>ARTE NATIVA</t>
        </is>
      </c>
      <c r="G301" s="4" t="n">
        <v>1</v>
      </c>
      <c r="H301" s="4" t="n">
        <v>1</v>
      </c>
      <c r="I301" s="4" t="n">
        <v>1</v>
      </c>
      <c r="J301" s="5" t="n">
        <v>5.74</v>
      </c>
      <c r="K301" s="5">
        <f>I301*J301</f>
        <v/>
      </c>
      <c r="L301" s="5">
        <f>J301/G301</f>
        <v/>
      </c>
      <c r="M301" s="5" t="n"/>
      <c r="N301" s="5" t="n"/>
      <c r="O301" s="6" t="n"/>
      <c r="P301" s="4" t="n">
        <v>179</v>
      </c>
      <c r="Q301" s="2" t="inlineStr"/>
    </row>
    <row r="302">
      <c r="A302" s="2" t="n">
        <v>7213</v>
      </c>
      <c r="B302" s="2" t="n">
        <v>674361</v>
      </c>
      <c r="C302" s="3" t="inlineStr">
        <is>
          <t>7898936049049</t>
        </is>
      </c>
      <c r="D302" s="2" t="inlineStr">
        <is>
          <t>SAB INT APINIL 210ML 17 ERVAS</t>
        </is>
      </c>
      <c r="E302" s="2" t="inlineStr">
        <is>
          <t>SABONETE INTIMO 17 ERVAS 210ML</t>
        </is>
      </c>
      <c r="F302" s="2" t="inlineStr">
        <is>
          <t>APINIL</t>
        </is>
      </c>
      <c r="G302" s="4" t="n">
        <v>1</v>
      </c>
      <c r="H302" s="4" t="n">
        <v>7</v>
      </c>
      <c r="I302" s="4" t="n">
        <v>7</v>
      </c>
      <c r="J302" s="5" t="n">
        <v>3.33</v>
      </c>
      <c r="K302" s="5">
        <f>I302*J302</f>
        <v/>
      </c>
      <c r="L302" s="5">
        <f>J302/G302</f>
        <v/>
      </c>
      <c r="M302" s="5" t="n">
        <v>3.35</v>
      </c>
      <c r="N302" s="5" t="n">
        <v>3.35</v>
      </c>
      <c r="O302" s="6">
        <f>L302/M302-1</f>
        <v/>
      </c>
      <c r="P302" s="4" t="n">
        <v>508</v>
      </c>
      <c r="Q302" s="2" t="inlineStr"/>
    </row>
    <row r="303">
      <c r="A303" s="2" t="n">
        <v>7206</v>
      </c>
      <c r="B303" s="2" t="n">
        <v>1503</v>
      </c>
      <c r="C303" s="3" t="inlineStr">
        <is>
          <t>7898936049735</t>
        </is>
      </c>
      <c r="D303" s="2" t="inlineStr">
        <is>
          <t>SAB INT APINIL 210ML BARBATIMAO AROEIRA</t>
        </is>
      </c>
      <c r="E303" s="2" t="inlineStr">
        <is>
          <t>SABONETE INTIMO BARBATIMAO AROEIRA 210ML</t>
        </is>
      </c>
      <c r="F303" s="2" t="inlineStr">
        <is>
          <t>APINIL</t>
        </is>
      </c>
      <c r="G303" s="4" t="n">
        <v>1</v>
      </c>
      <c r="H303" s="4" t="n">
        <v>3</v>
      </c>
      <c r="I303" s="4" t="n">
        <v>3</v>
      </c>
      <c r="J303" s="5" t="n">
        <v>3.36</v>
      </c>
      <c r="K303" s="5">
        <f>I303*J303</f>
        <v/>
      </c>
      <c r="L303" s="5">
        <f>J303/G303</f>
        <v/>
      </c>
      <c r="M303" s="5" t="n">
        <v>3.38</v>
      </c>
      <c r="N303" s="5" t="n">
        <v>3.38</v>
      </c>
      <c r="O303" s="6">
        <f>L303/M303-1</f>
        <v/>
      </c>
      <c r="P303" s="4" t="n">
        <v>425</v>
      </c>
      <c r="Q303" s="2" t="inlineStr"/>
    </row>
    <row r="304">
      <c r="A304" s="2" t="n">
        <v>157</v>
      </c>
      <c r="B304" s="2" t="n">
        <v>531721</v>
      </c>
      <c r="C304" s="3" t="inlineStr">
        <is>
          <t>7898031311324</t>
        </is>
      </c>
      <c r="D304" s="2" t="inlineStr">
        <is>
          <t>SAL AMARGO 30G PO CAIXA</t>
        </is>
      </c>
      <c r="E304" s="2" t="inlineStr">
        <is>
          <t>SAL AMARGO 30G</t>
        </is>
      </c>
      <c r="F304" s="2" t="inlineStr">
        <is>
          <t>UNIPHAR</t>
        </is>
      </c>
      <c r="G304" s="4" t="n">
        <v>1</v>
      </c>
      <c r="H304" s="4" t="n">
        <v>5</v>
      </c>
      <c r="I304" s="4" t="n">
        <v>5</v>
      </c>
      <c r="J304" s="5" t="n">
        <v>2.36</v>
      </c>
      <c r="K304" s="5">
        <f>I304*J304</f>
        <v/>
      </c>
      <c r="L304" s="5">
        <f>J304/G304</f>
        <v/>
      </c>
      <c r="M304" s="5" t="n">
        <v>2.49</v>
      </c>
      <c r="N304" s="5" t="n">
        <v>2.23</v>
      </c>
      <c r="O304" s="6">
        <f>L304/M304-1</f>
        <v/>
      </c>
      <c r="P304" s="4" t="n">
        <v>3265</v>
      </c>
      <c r="Q304" s="2" t="inlineStr"/>
    </row>
    <row r="305">
      <c r="A305" s="2" t="n">
        <v>1502</v>
      </c>
      <c r="B305" s="2" t="n">
        <v>431481</v>
      </c>
      <c r="C305" s="3" t="inlineStr">
        <is>
          <t>7899620911857</t>
        </is>
      </c>
      <c r="D305" s="2" t="inlineStr">
        <is>
          <t>SECNIDAZOL 1000MG C/02 CPR</t>
        </is>
      </c>
      <c r="E305" s="2" t="inlineStr">
        <is>
          <t>SECNIDAZOL 1000MG CX 2 COMP</t>
        </is>
      </c>
      <c r="F305" s="2" t="inlineStr">
        <is>
          <t>GLOBO PHARMA</t>
        </is>
      </c>
      <c r="G305" s="4" t="n">
        <v>1</v>
      </c>
      <c r="H305" s="4" t="n">
        <v>54</v>
      </c>
      <c r="I305" s="4" t="n">
        <v>54</v>
      </c>
      <c r="J305" s="5" t="n">
        <v>2.67</v>
      </c>
      <c r="K305" s="5">
        <f>I305*J305</f>
        <v/>
      </c>
      <c r="L305" s="5">
        <f>J305/G305</f>
        <v/>
      </c>
      <c r="M305" s="5" t="n">
        <v>2.65</v>
      </c>
      <c r="N305" s="5" t="n">
        <v>2.16</v>
      </c>
      <c r="O305" s="6">
        <f>L305/M305-1</f>
        <v/>
      </c>
      <c r="P305" s="4" t="n">
        <v>3814</v>
      </c>
      <c r="Q305" s="2" t="inlineStr"/>
    </row>
    <row r="306">
      <c r="A306" s="2" t="n">
        <v>253</v>
      </c>
      <c r="B306" s="2" t="n">
        <v>432121</v>
      </c>
      <c r="C306" s="3" t="inlineStr">
        <is>
          <t>7898060138220</t>
        </is>
      </c>
      <c r="D306" s="2" t="inlineStr">
        <is>
          <t>SECNIMAX 1000MG C/02 CPR</t>
        </is>
      </c>
      <c r="E306" s="2" t="inlineStr">
        <is>
          <t>SECNIMAX 1000MG CX 2 COMP</t>
        </is>
      </c>
      <c r="F306" s="2" t="inlineStr">
        <is>
          <t>GLOBO PHARMA</t>
        </is>
      </c>
      <c r="G306" s="4" t="n">
        <v>1</v>
      </c>
      <c r="H306" s="4" t="n">
        <v>134</v>
      </c>
      <c r="I306" s="4" t="n">
        <v>134</v>
      </c>
      <c r="J306" s="5" t="n">
        <v>2.61</v>
      </c>
      <c r="K306" s="5">
        <f>I306*J306</f>
        <v/>
      </c>
      <c r="L306" s="5">
        <f>J306/G306</f>
        <v/>
      </c>
      <c r="M306" s="5" t="n">
        <v>2.49</v>
      </c>
      <c r="N306" s="5" t="n">
        <v>2.39</v>
      </c>
      <c r="O306" s="6">
        <f>L306/M306-1</f>
        <v/>
      </c>
      <c r="P306" s="4" t="n">
        <v>28553</v>
      </c>
      <c r="Q306" s="2" t="inlineStr"/>
    </row>
    <row r="307">
      <c r="A307" s="2" t="n">
        <v>8808</v>
      </c>
      <c r="B307" s="2" t="n">
        <v>671301</v>
      </c>
      <c r="C307" s="3" t="inlineStr">
        <is>
          <t>7898652375736</t>
        </is>
      </c>
      <c r="D307" s="2" t="inlineStr">
        <is>
          <t>SERINGA 20ML LL AG 0,7X25</t>
        </is>
      </c>
      <c r="E307" s="2" t="inlineStr">
        <is>
          <t>SERINGA 20ML LL AGULHA 0,7X25</t>
        </is>
      </c>
      <c r="F307" s="2" t="inlineStr">
        <is>
          <t>MEDIX</t>
        </is>
      </c>
      <c r="G307" s="4" t="n">
        <v>1</v>
      </c>
      <c r="H307" s="4" t="n">
        <v>24</v>
      </c>
      <c r="I307" s="4" t="n">
        <v>24</v>
      </c>
      <c r="J307" s="5" t="n">
        <v>0.89</v>
      </c>
      <c r="K307" s="5">
        <f>I307*J307</f>
        <v/>
      </c>
      <c r="L307" s="5">
        <f>J307/G307</f>
        <v/>
      </c>
      <c r="M307" s="5" t="n">
        <v>0.59</v>
      </c>
      <c r="N307" s="5" t="n">
        <v>0.59</v>
      </c>
      <c r="O307" s="6">
        <f>L307/M307-1</f>
        <v/>
      </c>
      <c r="P307" s="4" t="n">
        <v>11472</v>
      </c>
      <c r="Q307" s="2" t="inlineStr"/>
    </row>
    <row r="308">
      <c r="A308" s="2" t="n">
        <v>7222</v>
      </c>
      <c r="B308" s="2" t="n">
        <v>639041</v>
      </c>
      <c r="C308" s="3" t="inlineStr">
        <is>
          <t>7898259496001</t>
        </is>
      </c>
      <c r="D308" s="2" t="inlineStr">
        <is>
          <t>SERINGA 20ML LL AG 0,7X25</t>
        </is>
      </c>
      <c r="E308" s="2" t="inlineStr">
        <is>
          <t>SERINGA 20ML LL AGULHA 0,7X25</t>
        </is>
      </c>
      <c r="F308" s="2" t="inlineStr">
        <is>
          <t>SR SALDANHA</t>
        </is>
      </c>
      <c r="G308" s="4" t="n">
        <v>1</v>
      </c>
      <c r="H308" s="4" t="n">
        <v>76</v>
      </c>
      <c r="I308" s="4" t="n">
        <v>76</v>
      </c>
      <c r="J308" s="5" t="n">
        <v>0.57</v>
      </c>
      <c r="K308" s="5">
        <f>I308*J308</f>
        <v/>
      </c>
      <c r="L308" s="5">
        <f>J308/G308</f>
        <v/>
      </c>
      <c r="M308" s="5" t="n">
        <v>0.64</v>
      </c>
      <c r="N308" s="5" t="n">
        <v>0.64</v>
      </c>
      <c r="O308" s="6">
        <f>L308/M308-1</f>
        <v/>
      </c>
      <c r="P308" s="4" t="n">
        <v>4650</v>
      </c>
      <c r="Q308" s="2" t="inlineStr"/>
    </row>
    <row r="309">
      <c r="A309" s="2" t="n">
        <v>5157</v>
      </c>
      <c r="B309" s="2" t="n">
        <v>538261</v>
      </c>
      <c r="C309" s="3" t="inlineStr">
        <is>
          <t>7894164005611</t>
        </is>
      </c>
      <c r="D309" s="2" t="inlineStr">
        <is>
          <t>SILUSGEL 100ML SUS CEREJA.</t>
        </is>
      </c>
      <c r="E309" s="2" t="inlineStr">
        <is>
          <t>SILUSGEL SUS 100ML</t>
        </is>
      </c>
      <c r="F309" s="2" t="inlineStr">
        <is>
          <t>AIRELA</t>
        </is>
      </c>
      <c r="G309" s="4" t="n">
        <v>1</v>
      </c>
      <c r="H309" s="4" t="n">
        <v>4</v>
      </c>
      <c r="I309" s="4" t="n">
        <v>4</v>
      </c>
      <c r="J309" s="5" t="n">
        <v>7.98</v>
      </c>
      <c r="K309" s="5">
        <f>I309*J309</f>
        <v/>
      </c>
      <c r="L309" s="5">
        <f>J309/G309</f>
        <v/>
      </c>
      <c r="M309" s="5" t="n">
        <v>7.68</v>
      </c>
      <c r="N309" s="5" t="n">
        <v>7.63</v>
      </c>
      <c r="O309" s="6">
        <f>L309/M309-1</f>
        <v/>
      </c>
      <c r="P309" s="4" t="n">
        <v>467</v>
      </c>
      <c r="Q309" s="2" t="inlineStr"/>
    </row>
    <row r="310">
      <c r="A310" s="2" t="n">
        <v>3550</v>
      </c>
      <c r="B310" s="2" t="n">
        <v>619851</v>
      </c>
      <c r="C310" s="3" t="inlineStr">
        <is>
          <t>7899620912441</t>
        </is>
      </c>
      <c r="D310" s="2" t="inlineStr">
        <is>
          <t>SIMETICONA 40MG C/20 CPR.</t>
        </is>
      </c>
      <c r="E310" s="2" t="inlineStr">
        <is>
          <t>SIMETICONA (N.S.) 40MG CX 20 COMP</t>
        </is>
      </c>
      <c r="F310" s="2" t="inlineStr">
        <is>
          <t>GLOBO PHARMA</t>
        </is>
      </c>
      <c r="G310" s="4" t="n">
        <v>1</v>
      </c>
      <c r="H310" s="4" t="n">
        <v>16</v>
      </c>
      <c r="I310" s="4" t="n">
        <v>16</v>
      </c>
      <c r="J310" s="5" t="n">
        <v>2.97</v>
      </c>
      <c r="K310" s="5">
        <f>I310*J310</f>
        <v/>
      </c>
      <c r="L310" s="5">
        <f>J310/G310</f>
        <v/>
      </c>
      <c r="M310" s="5" t="n">
        <v>2.97</v>
      </c>
      <c r="N310" s="5" t="n">
        <v>2.97</v>
      </c>
      <c r="O310" s="6">
        <f>L310/M310-1</f>
        <v/>
      </c>
      <c r="P310" s="4" t="n">
        <v>5741</v>
      </c>
      <c r="Q310" s="2" t="inlineStr"/>
    </row>
    <row r="311">
      <c r="A311" s="2" t="n">
        <v>3671</v>
      </c>
      <c r="B311" s="2" t="n">
        <v>436201</v>
      </c>
      <c r="C311" s="3" t="inlineStr">
        <is>
          <t>7899620911079</t>
        </is>
      </c>
      <c r="D311" s="2" t="inlineStr">
        <is>
          <t>SINVASTATINA 40MG C/30 CPR</t>
        </is>
      </c>
      <c r="E311" s="2" t="inlineStr">
        <is>
          <t>SINVASTATINA 40MG CX 30 COMP REV</t>
        </is>
      </c>
      <c r="F311" s="2" t="inlineStr">
        <is>
          <t>GLOBO PHARMA</t>
        </is>
      </c>
      <c r="G311" s="4" t="n">
        <v>1</v>
      </c>
      <c r="H311" s="4" t="n">
        <v>3</v>
      </c>
      <c r="I311" s="4" t="n">
        <v>3</v>
      </c>
      <c r="J311" s="5" t="n">
        <v>6.13</v>
      </c>
      <c r="K311" s="5">
        <f>I311*J311</f>
        <v/>
      </c>
      <c r="L311" s="5">
        <f>J311/G311</f>
        <v/>
      </c>
      <c r="M311" s="5" t="n">
        <v>5.79</v>
      </c>
      <c r="N311" s="5" t="n">
        <v>5.79</v>
      </c>
      <c r="O311" s="6">
        <f>L311/M311-1</f>
        <v/>
      </c>
      <c r="P311" s="4" t="n">
        <v>1754</v>
      </c>
      <c r="Q311" s="2" t="inlineStr"/>
    </row>
    <row r="312">
      <c r="A312" s="2" t="n">
        <v>7576</v>
      </c>
      <c r="B312" s="2" t="n">
        <v>588661</v>
      </c>
      <c r="C312" s="3" t="inlineStr">
        <is>
          <t>7898031310594</t>
        </is>
      </c>
      <c r="D312" s="2" t="inlineStr">
        <is>
          <t>SOLUCAO FISIOLOGICA 0,9% 250ML</t>
        </is>
      </c>
      <c r="E312" s="2" t="inlineStr">
        <is>
          <t>SOLUCAO FISIOLOGICA 0,9% 250ML UN</t>
        </is>
      </c>
      <c r="F312" s="2" t="inlineStr">
        <is>
          <t>UNIPHAR</t>
        </is>
      </c>
      <c r="G312" s="4" t="n">
        <v>1</v>
      </c>
      <c r="H312" s="4" t="n">
        <v>4</v>
      </c>
      <c r="I312" s="4" t="n">
        <v>4</v>
      </c>
      <c r="J312" s="5" t="n">
        <v>3.585</v>
      </c>
      <c r="K312" s="5">
        <f>I312*J312</f>
        <v/>
      </c>
      <c r="L312" s="5">
        <f>J312/G312</f>
        <v/>
      </c>
      <c r="M312" s="5" t="n">
        <v>3.09</v>
      </c>
      <c r="N312" s="5" t="n">
        <v>3.09</v>
      </c>
      <c r="O312" s="6">
        <f>L312/M312-1</f>
        <v/>
      </c>
      <c r="P312" s="4" t="n">
        <v>25626</v>
      </c>
      <c r="Q312" s="2" t="inlineStr"/>
    </row>
    <row r="313">
      <c r="A313" s="2" t="n">
        <v>321</v>
      </c>
      <c r="B313" s="2" t="n">
        <v>558381</v>
      </c>
      <c r="C313" s="3" t="inlineStr">
        <is>
          <t>7896902212152</t>
        </is>
      </c>
      <c r="D313" s="2" t="inlineStr">
        <is>
          <t>SOLUCAO FISIOLOGICA 0,9% 100ML</t>
        </is>
      </c>
      <c r="E313" s="2" t="inlineStr">
        <is>
          <t>SOLUCAO SORIMAX 100 ML</t>
        </is>
      </c>
      <c r="F313" s="2" t="inlineStr">
        <is>
          <t>FARMAX</t>
        </is>
      </c>
      <c r="G313" s="4" t="n">
        <v>1</v>
      </c>
      <c r="H313" s="4" t="n">
        <v>50</v>
      </c>
      <c r="I313" s="4" t="n">
        <v>50</v>
      </c>
      <c r="J313" s="5" t="n">
        <v>2.72</v>
      </c>
      <c r="K313" s="5">
        <f>I313*J313</f>
        <v/>
      </c>
      <c r="L313" s="5">
        <f>J313/G313</f>
        <v/>
      </c>
      <c r="M313" s="5" t="n">
        <v>2.69</v>
      </c>
      <c r="N313" s="5" t="n">
        <v>2.69</v>
      </c>
      <c r="O313" s="6">
        <f>L313/M313-1</f>
        <v/>
      </c>
      <c r="P313" s="4" t="n">
        <v>43714</v>
      </c>
      <c r="Q313" s="2" t="inlineStr"/>
    </row>
    <row r="314">
      <c r="A314" s="2" t="n">
        <v>8240</v>
      </c>
      <c r="B314" s="2" t="n">
        <v>614021</v>
      </c>
      <c r="C314" s="3" t="inlineStr">
        <is>
          <t>7897732608146</t>
        </is>
      </c>
      <c r="D314" s="2" t="inlineStr">
        <is>
          <t>SORALYT 450ML SUS MORANGO</t>
        </is>
      </c>
      <c r="E314" s="2" t="inlineStr">
        <is>
          <t>SORALYT 450ML SABOR MORANGO</t>
        </is>
      </c>
      <c r="F314" s="2" t="inlineStr">
        <is>
          <t>SOBRAL</t>
        </is>
      </c>
      <c r="G314" s="4" t="n">
        <v>1</v>
      </c>
      <c r="H314" s="4" t="n">
        <v>7</v>
      </c>
      <c r="I314" s="4" t="n">
        <v>7</v>
      </c>
      <c r="J314" s="5" t="n">
        <v>6.67</v>
      </c>
      <c r="K314" s="5">
        <f>I314*J314</f>
        <v/>
      </c>
      <c r="L314" s="5">
        <f>J314/G314</f>
        <v/>
      </c>
      <c r="M314" s="5" t="n">
        <v>6.55</v>
      </c>
      <c r="N314" s="5" t="n">
        <v>6.55</v>
      </c>
      <c r="O314" s="6">
        <f>L314/M314-1</f>
        <v/>
      </c>
      <c r="P314" s="4" t="n">
        <v>357</v>
      </c>
      <c r="Q314" s="2" t="inlineStr"/>
    </row>
    <row r="315">
      <c r="A315" s="2" t="n">
        <v>809</v>
      </c>
      <c r="B315" s="2" t="n">
        <v>531861</v>
      </c>
      <c r="C315" s="3" t="inlineStr">
        <is>
          <t>7898031310389</t>
        </is>
      </c>
      <c r="D315" s="2" t="inlineStr">
        <is>
          <t>SOLUCAO FISIOLOGICA 0,9% 100ML</t>
        </is>
      </c>
      <c r="E315" s="2" t="inlineStr">
        <is>
          <t>SORO FISIOLOGICO 9% 100ML</t>
        </is>
      </c>
      <c r="F315" s="2" t="inlineStr">
        <is>
          <t>UNIPHAR</t>
        </is>
      </c>
      <c r="G315" s="4" t="n">
        <v>1</v>
      </c>
      <c r="H315" s="4" t="n">
        <v>103</v>
      </c>
      <c r="I315" s="4" t="n">
        <v>103</v>
      </c>
      <c r="J315" s="5" t="n">
        <v>2.28</v>
      </c>
      <c r="K315" s="5">
        <f>I315*J315</f>
        <v/>
      </c>
      <c r="L315" s="5">
        <f>J315/G315</f>
        <v/>
      </c>
      <c r="M315" s="5" t="n">
        <v>2.27</v>
      </c>
      <c r="N315" s="5" t="n">
        <v>2.0228</v>
      </c>
      <c r="O315" s="6">
        <f>L315/M315-1</f>
        <v/>
      </c>
      <c r="P315" s="4" t="n">
        <v>53772</v>
      </c>
      <c r="Q315" s="2" t="inlineStr"/>
    </row>
    <row r="316">
      <c r="A316" s="2" t="n">
        <v>10045</v>
      </c>
      <c r="B316" s="2" t="n">
        <v>616441</v>
      </c>
      <c r="C316" s="3" t="inlineStr">
        <is>
          <t>7896523201542</t>
        </is>
      </c>
      <c r="D316" s="2" t="inlineStr">
        <is>
          <t>SUCCINATO DE METOPROLOL 100MG C/30CP....</t>
        </is>
      </c>
      <c r="E316" s="2" t="inlineStr">
        <is>
          <t>SUCCINATO METOPROLOL 100MG CX 30 COMP REV</t>
        </is>
      </c>
      <c r="F316" s="2" t="inlineStr">
        <is>
          <t>CIMED</t>
        </is>
      </c>
      <c r="G316" s="4" t="n">
        <v>1</v>
      </c>
      <c r="H316" s="4" t="n">
        <v>1</v>
      </c>
      <c r="I316" s="4" t="n">
        <v>1</v>
      </c>
      <c r="J316" s="5" t="n">
        <v>0.01</v>
      </c>
      <c r="K316" s="5">
        <f>I316*J316</f>
        <v/>
      </c>
      <c r="L316" s="5">
        <f>J316/G316</f>
        <v/>
      </c>
      <c r="M316" s="5" t="n">
        <v>18.99</v>
      </c>
      <c r="N316" s="5" t="n">
        <v>17.03</v>
      </c>
      <c r="O316" s="6">
        <f>L316/M316-1</f>
        <v/>
      </c>
      <c r="P316" s="4" t="n">
        <v>146</v>
      </c>
      <c r="Q316" s="2" t="inlineStr">
        <is>
          <t>conferir embalagem (preço muito fora da referência)</t>
        </is>
      </c>
    </row>
    <row r="317">
      <c r="A317" s="2" t="n">
        <v>8698</v>
      </c>
      <c r="B317" s="2" t="n">
        <v>691001</v>
      </c>
      <c r="C317" s="3" t="inlineStr">
        <is>
          <t>7898575780792</t>
        </is>
      </c>
      <c r="D317" s="2" t="inlineStr">
        <is>
          <t>SULFATO FERROSO 125MG 120ML SUS..</t>
        </is>
      </c>
      <c r="E317" s="2" t="inlineStr">
        <is>
          <t>SULFATO FERROSO 125MG 120ML SUS..</t>
        </is>
      </c>
      <c r="F317" s="2" t="inlineStr">
        <is>
          <t>NTS</t>
        </is>
      </c>
      <c r="G317" s="4" t="n">
        <v>1</v>
      </c>
      <c r="H317" s="4" t="n">
        <v>9</v>
      </c>
      <c r="I317" s="4" t="n">
        <v>9</v>
      </c>
      <c r="J317" s="5" t="n">
        <v>4.04</v>
      </c>
      <c r="K317" s="5">
        <f>I317*J317</f>
        <v/>
      </c>
      <c r="L317" s="5">
        <f>J317/G317</f>
        <v/>
      </c>
      <c r="M317" s="5" t="n">
        <v>4.04</v>
      </c>
      <c r="N317" s="5" t="n">
        <v>4.04</v>
      </c>
      <c r="O317" s="6">
        <f>L317/M317-1</f>
        <v/>
      </c>
      <c r="P317" s="4" t="n">
        <v>46</v>
      </c>
      <c r="Q317" s="2" t="inlineStr"/>
    </row>
    <row r="318">
      <c r="A318" s="2" t="n">
        <v>8743</v>
      </c>
      <c r="B318" s="2" t="n">
        <v>3593</v>
      </c>
      <c r="C318" s="3" t="inlineStr">
        <is>
          <t>7898575780808</t>
        </is>
      </c>
      <c r="D318" s="2" t="inlineStr">
        <is>
          <t>SULFATO FERROSO 125MG 30ML GTS</t>
        </is>
      </c>
      <c r="E318" s="2" t="inlineStr">
        <is>
          <t>SULFATO FERROSO 125MG 30ML GTS</t>
        </is>
      </c>
      <c r="F318" s="2" t="inlineStr">
        <is>
          <t>NTS</t>
        </is>
      </c>
      <c r="G318" s="4" t="n">
        <v>1</v>
      </c>
      <c r="H318" s="4" t="n">
        <v>3</v>
      </c>
      <c r="I318" s="4" t="n">
        <v>3</v>
      </c>
      <c r="J318" s="5" t="n">
        <v>2.69</v>
      </c>
      <c r="K318" s="5">
        <f>I318*J318</f>
        <v/>
      </c>
      <c r="L318" s="5">
        <f>J318/G318</f>
        <v/>
      </c>
      <c r="M318" s="5" t="n">
        <v>2.69</v>
      </c>
      <c r="N318" s="5" t="n">
        <v>2.69</v>
      </c>
      <c r="O318" s="6">
        <f>L318/M318-1</f>
        <v/>
      </c>
      <c r="P318" s="4" t="n">
        <v>9</v>
      </c>
      <c r="Q318" s="2" t="inlineStr"/>
    </row>
    <row r="319">
      <c r="A319" s="2" t="n">
        <v>1422</v>
      </c>
      <c r="B319" s="2" t="n">
        <v>548381</v>
      </c>
      <c r="C319" s="3" t="inlineStr">
        <is>
          <t>7897146600255</t>
        </is>
      </c>
      <c r="D319" s="2" t="inlineStr">
        <is>
          <t>SULFATO FERROSO 200MG C/50 CPR</t>
        </is>
      </c>
      <c r="E319" s="2" t="inlineStr">
        <is>
          <t>SULFATO FERROSO 200MG C/50 CPR</t>
        </is>
      </c>
      <c r="F319" s="2" t="inlineStr">
        <is>
          <t>HENFER</t>
        </is>
      </c>
      <c r="G319" s="4" t="n">
        <v>1</v>
      </c>
      <c r="H319" s="4" t="n">
        <v>7</v>
      </c>
      <c r="I319" s="4" t="n">
        <v>7</v>
      </c>
      <c r="J319" s="5" t="n">
        <v>4.37</v>
      </c>
      <c r="K319" s="5">
        <f>I319*J319</f>
        <v/>
      </c>
      <c r="L319" s="5">
        <f>J319/G319</f>
        <v/>
      </c>
      <c r="M319" s="5" t="n">
        <v>4.37</v>
      </c>
      <c r="N319" s="5" t="n">
        <v>4.37</v>
      </c>
      <c r="O319" s="6">
        <f>L319/M319-1</f>
        <v/>
      </c>
      <c r="P319" s="4" t="n">
        <v>2600</v>
      </c>
      <c r="Q319" s="2" t="inlineStr"/>
    </row>
    <row r="320">
      <c r="A320" s="2" t="n">
        <v>4795</v>
      </c>
      <c r="B320" s="2" t="n">
        <v>612291</v>
      </c>
      <c r="C320" s="3" t="inlineStr">
        <is>
          <t>7894164005802</t>
        </is>
      </c>
      <c r="D320" s="2" t="inlineStr">
        <is>
          <t>SULFERMAX 125MG 30ML GTS.</t>
        </is>
      </c>
      <c r="E320" s="2" t="inlineStr">
        <is>
          <t>SULFERMAX GTS 30ML (SULFATO FERROSO)</t>
        </is>
      </c>
      <c r="F320" s="2" t="inlineStr">
        <is>
          <t>AIRELA</t>
        </is>
      </c>
      <c r="G320" s="4" t="n">
        <v>1</v>
      </c>
      <c r="H320" s="4" t="n">
        <v>3</v>
      </c>
      <c r="I320" s="4" t="n">
        <v>3</v>
      </c>
      <c r="J320" s="5" t="n">
        <v>3.29</v>
      </c>
      <c r="K320" s="5">
        <f>I320*J320</f>
        <v/>
      </c>
      <c r="L320" s="5">
        <f>J320/G320</f>
        <v/>
      </c>
      <c r="M320" s="5" t="n">
        <v>3.17</v>
      </c>
      <c r="N320" s="5" t="n">
        <v>3.08</v>
      </c>
      <c r="O320" s="6">
        <f>L320/M320-1</f>
        <v/>
      </c>
      <c r="P320" s="4" t="n">
        <v>257</v>
      </c>
      <c r="Q320" s="2" t="inlineStr"/>
    </row>
    <row r="321">
      <c r="A321" s="2" t="n">
        <v>3901</v>
      </c>
      <c r="B321" s="2" t="n">
        <v>457261</v>
      </c>
      <c r="C321" s="3" t="inlineStr">
        <is>
          <t>7895296240031</t>
        </is>
      </c>
      <c r="D321" s="2" t="inlineStr">
        <is>
          <t>TADALAFILA 5MG C/30 CPR.</t>
        </is>
      </c>
      <c r="E321" s="2" t="inlineStr">
        <is>
          <t>TADALAFILA 5MG CX 2BL X 15 COMP REV</t>
        </is>
      </c>
      <c r="F321" s="2" t="inlineStr">
        <is>
          <t>NOVA QUIMICA GENERICO</t>
        </is>
      </c>
      <c r="G321" s="4" t="n">
        <v>1</v>
      </c>
      <c r="H321" s="4" t="n">
        <v>2</v>
      </c>
      <c r="I321" s="4" t="n">
        <v>2</v>
      </c>
      <c r="J321" s="5" t="n">
        <v>3.74</v>
      </c>
      <c r="K321" s="5">
        <f>I321*J321</f>
        <v/>
      </c>
      <c r="L321" s="5">
        <f>J321/G321</f>
        <v/>
      </c>
      <c r="M321" s="5" t="n">
        <v>3.74</v>
      </c>
      <c r="N321" s="5" t="n">
        <v>3.74</v>
      </c>
      <c r="O321" s="6">
        <f>L321/M321-1</f>
        <v/>
      </c>
      <c r="P321" s="4" t="n">
        <v>3669</v>
      </c>
      <c r="Q321" s="2" t="inlineStr"/>
    </row>
    <row r="322">
      <c r="A322" s="2" t="n">
        <v>1442</v>
      </c>
      <c r="B322" s="2" t="n">
        <v>201</v>
      </c>
      <c r="C322" s="3" t="inlineStr">
        <is>
          <t>7893454100678</t>
        </is>
      </c>
      <c r="D322" s="2" t="inlineStr">
        <is>
          <t>TANDENE C/15 CPR</t>
        </is>
      </c>
      <c r="E322" s="2" t="inlineStr">
        <is>
          <t>TANDENE 125+50+300+30MG CX 15 COMP</t>
        </is>
      </c>
      <c r="F322" s="2" t="inlineStr">
        <is>
          <t>DELTA</t>
        </is>
      </c>
      <c r="G322" s="4" t="n">
        <v>1</v>
      </c>
      <c r="H322" s="4" t="n">
        <v>26</v>
      </c>
      <c r="I322" s="4" t="n">
        <v>26</v>
      </c>
      <c r="J322" s="5" t="n">
        <v>4.26</v>
      </c>
      <c r="K322" s="5">
        <f>I322*J322</f>
        <v/>
      </c>
      <c r="L322" s="5">
        <f>J322/G322</f>
        <v/>
      </c>
      <c r="M322" s="5" t="n">
        <v>3.91</v>
      </c>
      <c r="N322" s="5" t="n">
        <v>3.77</v>
      </c>
      <c r="O322" s="6">
        <f>L322/M322-1</f>
        <v/>
      </c>
      <c r="P322" s="4" t="n">
        <v>7591</v>
      </c>
      <c r="Q322" s="2" t="inlineStr"/>
    </row>
    <row r="323">
      <c r="A323" s="2" t="n">
        <v>383</v>
      </c>
      <c r="B323" s="2" t="n">
        <v>82461</v>
      </c>
      <c r="C323" s="3" t="inlineStr">
        <is>
          <t>7893454100685</t>
        </is>
      </c>
      <c r="D323" s="2" t="inlineStr">
        <is>
          <t>TANDENE C/30 CPR</t>
        </is>
      </c>
      <c r="E323" s="2" t="inlineStr">
        <is>
          <t>TANDENE 125+50+300+30MG CX 30 COMP</t>
        </is>
      </c>
      <c r="F323" s="2" t="inlineStr">
        <is>
          <t>DELTA</t>
        </is>
      </c>
      <c r="G323" s="4" t="n">
        <v>1</v>
      </c>
      <c r="H323" s="4" t="n">
        <v>6</v>
      </c>
      <c r="I323" s="4" t="n">
        <v>6</v>
      </c>
      <c r="J323" s="5" t="n">
        <v>8.68</v>
      </c>
      <c r="K323" s="5">
        <f>I323*J323</f>
        <v/>
      </c>
      <c r="L323" s="5">
        <f>J323/G323</f>
        <v/>
      </c>
      <c r="M323" s="5" t="n">
        <v>7.95</v>
      </c>
      <c r="N323" s="5" t="n">
        <v>7.95</v>
      </c>
      <c r="O323" s="6">
        <f>L323/M323-1</f>
        <v/>
      </c>
      <c r="P323" s="4" t="n">
        <v>1698</v>
      </c>
      <c r="Q323" s="2" t="inlineStr"/>
    </row>
    <row r="324">
      <c r="A324" s="2" t="n">
        <v>6983</v>
      </c>
      <c r="B324" s="2" t="n">
        <v>460261</v>
      </c>
      <c r="C324" s="3" t="inlineStr">
        <is>
          <t>7898569762858</t>
        </is>
      </c>
      <c r="D324" s="2" t="inlineStr">
        <is>
          <t>TELMISARTANA 80MG C/30 CPR</t>
        </is>
      </c>
      <c r="E324" s="2" t="inlineStr">
        <is>
          <t>TELMISARTANA 80MG CX 30 COMP</t>
        </is>
      </c>
      <c r="F324" s="2" t="inlineStr">
        <is>
          <t>ALTHAIA</t>
        </is>
      </c>
      <c r="G324" s="4" t="n">
        <v>1</v>
      </c>
      <c r="H324" s="4" t="n">
        <v>1</v>
      </c>
      <c r="I324" s="4" t="n">
        <v>1</v>
      </c>
      <c r="J324" s="5" t="n">
        <v>49.73</v>
      </c>
      <c r="K324" s="5">
        <f>I324*J324</f>
        <v/>
      </c>
      <c r="L324" s="5">
        <f>J324/G324</f>
        <v/>
      </c>
      <c r="M324" s="5" t="n">
        <v>41.255</v>
      </c>
      <c r="N324" s="5" t="n">
        <v>41.255</v>
      </c>
      <c r="O324" s="6">
        <f>L324/M324-1</f>
        <v/>
      </c>
      <c r="P324" s="4" t="n">
        <v>130</v>
      </c>
      <c r="Q324" s="2" t="inlineStr"/>
    </row>
    <row r="325">
      <c r="A325" s="2" t="n">
        <v>4759</v>
      </c>
      <c r="B325" s="2" t="n">
        <v>601291</v>
      </c>
      <c r="C325" s="3" t="inlineStr">
        <is>
          <t>7898301056955</t>
        </is>
      </c>
      <c r="D325" s="2" t="inlineStr">
        <is>
          <t>TERMOMETRO DIGITAL TH150 AZUL</t>
        </is>
      </c>
      <c r="E325" s="2" t="inlineStr">
        <is>
          <t>TERMOMETRO CLIN. DIG. AZUL G-TECH</t>
        </is>
      </c>
      <c r="F325" s="2" t="inlineStr">
        <is>
          <t>GTECH</t>
        </is>
      </c>
      <c r="G325" s="4" t="n">
        <v>1</v>
      </c>
      <c r="H325" s="4" t="n">
        <v>1</v>
      </c>
      <c r="I325" s="4" t="n">
        <v>1</v>
      </c>
      <c r="J325" s="5" t="n">
        <v>13.33</v>
      </c>
      <c r="K325" s="5">
        <f>I325*J325</f>
        <v/>
      </c>
      <c r="L325" s="5">
        <f>J325/G325</f>
        <v/>
      </c>
      <c r="M325" s="5" t="n">
        <v>12.56</v>
      </c>
      <c r="N325" s="5" t="n">
        <v>12.56</v>
      </c>
      <c r="O325" s="6">
        <f>L325/M325-1</f>
        <v/>
      </c>
      <c r="P325" s="4" t="n">
        <v>275</v>
      </c>
      <c r="Q325" s="2" t="inlineStr"/>
    </row>
    <row r="326">
      <c r="A326" s="2" t="n">
        <v>4760</v>
      </c>
      <c r="B326" s="2" t="n">
        <v>578801</v>
      </c>
      <c r="C326" s="3" t="inlineStr">
        <is>
          <t>7898301056986</t>
        </is>
      </c>
      <c r="D326" s="2" t="inlineStr">
        <is>
          <t>TERMOMETRO DIGITAL TH150 LARANJA</t>
        </is>
      </c>
      <c r="E326" s="2" t="inlineStr">
        <is>
          <t>TERMOMETRO DIGITAL CLINICO TH150 LARANJA</t>
        </is>
      </c>
      <c r="F326" s="2" t="inlineStr">
        <is>
          <t>GTECH</t>
        </is>
      </c>
      <c r="G326" s="4" t="n">
        <v>1</v>
      </c>
      <c r="H326" s="4" t="n">
        <v>1</v>
      </c>
      <c r="I326" s="4" t="n">
        <v>1</v>
      </c>
      <c r="J326" s="5" t="n">
        <v>11.88</v>
      </c>
      <c r="K326" s="5">
        <f>I326*J326</f>
        <v/>
      </c>
      <c r="L326" s="5">
        <f>J326/G326</f>
        <v/>
      </c>
      <c r="M326" s="5" t="n">
        <v>12.59</v>
      </c>
      <c r="N326" s="5" t="n">
        <v>12.59</v>
      </c>
      <c r="O326" s="6">
        <f>L326/M326-1</f>
        <v/>
      </c>
      <c r="P326" s="4" t="n">
        <v>1</v>
      </c>
      <c r="Q326" s="2" t="inlineStr"/>
    </row>
    <row r="327">
      <c r="A327" s="2" t="n">
        <v>4761</v>
      </c>
      <c r="B327" s="2" t="n">
        <v>543341</v>
      </c>
      <c r="C327" s="3" t="inlineStr">
        <is>
          <t>7898301056979</t>
        </is>
      </c>
      <c r="D327" s="2" t="inlineStr">
        <is>
          <t>TERMOMETRO DIGITAL TH150 ROSA</t>
        </is>
      </c>
      <c r="E327" s="2" t="inlineStr">
        <is>
          <t>TERMOMETRO DIGITAL G-TECH ROSA UNIDADE</t>
        </is>
      </c>
      <c r="F327" s="2" t="inlineStr">
        <is>
          <t>GTECH</t>
        </is>
      </c>
      <c r="G327" s="4" t="n">
        <v>1</v>
      </c>
      <c r="H327" s="4" t="n">
        <v>1</v>
      </c>
      <c r="I327" s="4" t="n">
        <v>1</v>
      </c>
      <c r="J327" s="5" t="n">
        <v>13.33</v>
      </c>
      <c r="K327" s="5">
        <f>I327*J327</f>
        <v/>
      </c>
      <c r="L327" s="5">
        <f>J327/G327</f>
        <v/>
      </c>
      <c r="M327" s="5" t="n">
        <v>12.59</v>
      </c>
      <c r="N327" s="5" t="n">
        <v>12.59</v>
      </c>
      <c r="O327" s="6">
        <f>L327/M327-1</f>
        <v/>
      </c>
      <c r="P327" s="4" t="n">
        <v>254</v>
      </c>
      <c r="Q327" s="2" t="inlineStr"/>
    </row>
    <row r="328">
      <c r="A328" s="2" t="n">
        <v>4762</v>
      </c>
      <c r="B328" s="2" t="n">
        <v>543361</v>
      </c>
      <c r="C328" s="3" t="inlineStr">
        <is>
          <t>7898301056962</t>
        </is>
      </c>
      <c r="D328" s="2" t="inlineStr">
        <is>
          <t>TERMOMETRO DIGITAL TH150 VERDE</t>
        </is>
      </c>
      <c r="E328" s="2" t="inlineStr">
        <is>
          <t>TERMÔMETRO DIGITAL G-TECH COM PONTA RIGIDA THGTH150V - VERDE</t>
        </is>
      </c>
      <c r="F328" s="2" t="inlineStr">
        <is>
          <t>GTECH</t>
        </is>
      </c>
      <c r="G328" s="4" t="n">
        <v>1</v>
      </c>
      <c r="H328" s="4" t="n">
        <v>1</v>
      </c>
      <c r="I328" s="4" t="n">
        <v>1</v>
      </c>
      <c r="J328" s="5" t="n">
        <v>13.33</v>
      </c>
      <c r="K328" s="5">
        <f>I328*J328</f>
        <v/>
      </c>
      <c r="L328" s="5">
        <f>J328/G328</f>
        <v/>
      </c>
      <c r="M328" s="5" t="n">
        <v>12.59</v>
      </c>
      <c r="N328" s="5" t="n">
        <v>12.59</v>
      </c>
      <c r="O328" s="6">
        <f>L328/M328-1</f>
        <v/>
      </c>
      <c r="P328" s="4" t="n">
        <v>276</v>
      </c>
      <c r="Q328" s="2" t="inlineStr"/>
    </row>
    <row r="329">
      <c r="A329" s="2" t="n">
        <v>271</v>
      </c>
      <c r="B329" s="2" t="n">
        <v>532641</v>
      </c>
      <c r="C329" s="3" t="inlineStr">
        <is>
          <t>7898126050022</t>
        </is>
      </c>
      <c r="D329" s="2" t="inlineStr">
        <is>
          <t>TESTE CONFIRME</t>
        </is>
      </c>
      <c r="E329" s="2" t="inlineStr">
        <is>
          <t>TESTE CONFIRME C/01 UND</t>
        </is>
      </c>
      <c r="F329" s="2" t="inlineStr">
        <is>
          <t>ANALITIC</t>
        </is>
      </c>
      <c r="G329" s="4" t="n">
        <v>1</v>
      </c>
      <c r="H329" s="4" t="n">
        <v>4</v>
      </c>
      <c r="I329" s="4" t="n">
        <v>4</v>
      </c>
      <c r="J329" s="5" t="n">
        <v>1.69</v>
      </c>
      <c r="K329" s="5">
        <f>I329*J329</f>
        <v/>
      </c>
      <c r="L329" s="5">
        <f>J329/G329</f>
        <v/>
      </c>
      <c r="M329" s="5" t="n">
        <v>1.69</v>
      </c>
      <c r="N329" s="5" t="n">
        <v>1.69</v>
      </c>
      <c r="O329" s="6">
        <f>L329/M329-1</f>
        <v/>
      </c>
      <c r="P329" s="4" t="n">
        <v>4967</v>
      </c>
      <c r="Q329" s="2" t="inlineStr"/>
    </row>
    <row r="330">
      <c r="A330" s="2" t="n">
        <v>228</v>
      </c>
      <c r="B330" s="2" t="n">
        <v>591661</v>
      </c>
      <c r="C330" s="3" t="inlineStr">
        <is>
          <t>7898108640609</t>
        </is>
      </c>
      <c r="D330" s="2" t="inlineStr">
        <is>
          <t>TESTE CONFIRA*</t>
        </is>
      </c>
      <c r="E330" s="2" t="inlineStr">
        <is>
          <t>TESTE DE GRAVIDEZ CONFIRA</t>
        </is>
      </c>
      <c r="F330" s="2" t="inlineStr">
        <is>
          <t>SANFARMA</t>
        </is>
      </c>
      <c r="G330" s="4" t="n">
        <v>1</v>
      </c>
      <c r="H330" s="4" t="n">
        <v>22</v>
      </c>
      <c r="I330" s="4" t="n">
        <v>22</v>
      </c>
      <c r="J330" s="5" t="n">
        <v>1.28</v>
      </c>
      <c r="K330" s="5">
        <f>I330*J330</f>
        <v/>
      </c>
      <c r="L330" s="5">
        <f>J330/G330</f>
        <v/>
      </c>
      <c r="M330" s="5" t="n">
        <v>1.15</v>
      </c>
      <c r="N330" s="5" t="n">
        <v>1.15</v>
      </c>
      <c r="O330" s="6">
        <f>L330/M330-1</f>
        <v/>
      </c>
      <c r="P330" s="4" t="n">
        <v>16546</v>
      </c>
      <c r="Q330" s="2" t="inlineStr"/>
    </row>
    <row r="331">
      <c r="A331" s="2" t="n">
        <v>3232</v>
      </c>
      <c r="B331" s="2" t="n">
        <v>588881</v>
      </c>
      <c r="C331" s="3" t="inlineStr">
        <is>
          <t>7898108640616</t>
        </is>
      </c>
      <c r="D331" s="2" t="inlineStr">
        <is>
          <t>TESTE CONFIRA PRATIC CANETA*</t>
        </is>
      </c>
      <c r="E331" s="2" t="inlineStr">
        <is>
          <t>TESTE DE GRAVIDEZ CONFIRA PRATIC CANETA</t>
        </is>
      </c>
      <c r="F331" s="2" t="inlineStr">
        <is>
          <t>SANFARMA</t>
        </is>
      </c>
      <c r="G331" s="4" t="n">
        <v>1</v>
      </c>
      <c r="H331" s="4" t="n">
        <v>8</v>
      </c>
      <c r="I331" s="4" t="n">
        <v>8</v>
      </c>
      <c r="J331" s="5" t="n">
        <v>5.57</v>
      </c>
      <c r="K331" s="5">
        <f>I331*J331</f>
        <v/>
      </c>
      <c r="L331" s="5">
        <f>J331/G331</f>
        <v/>
      </c>
      <c r="M331" s="5" t="n">
        <v>4.91</v>
      </c>
      <c r="N331" s="5" t="n">
        <v>4.91</v>
      </c>
      <c r="O331" s="6">
        <f>L331/M331-1</f>
        <v/>
      </c>
      <c r="P331" s="4" t="n">
        <v>787</v>
      </c>
      <c r="Q331" s="2" t="inlineStr"/>
    </row>
    <row r="332">
      <c r="A332" s="2" t="n">
        <v>5792</v>
      </c>
      <c r="B332" s="2" t="n">
        <v>532741</v>
      </c>
      <c r="C332" s="3" t="inlineStr">
        <is>
          <t>7898126050091</t>
        </is>
      </c>
      <c r="D332" s="2" t="inlineStr">
        <is>
          <t>TESTE VERIFIK</t>
        </is>
      </c>
      <c r="E332" s="2" t="inlineStr">
        <is>
          <t>TESTE DE GRAVIDEZ VERIFIK C/01 UND</t>
        </is>
      </c>
      <c r="F332" s="2" t="inlineStr">
        <is>
          <t>ANALITIC</t>
        </is>
      </c>
      <c r="G332" s="4" t="n">
        <v>1</v>
      </c>
      <c r="H332" s="4" t="n">
        <v>38</v>
      </c>
      <c r="I332" s="4" t="n">
        <v>38</v>
      </c>
      <c r="J332" s="5" t="n">
        <v>1.35</v>
      </c>
      <c r="K332" s="5">
        <f>I332*J332</f>
        <v/>
      </c>
      <c r="L332" s="5">
        <f>J332/G332</f>
        <v/>
      </c>
      <c r="M332" s="5" t="n">
        <v>1.17</v>
      </c>
      <c r="N332" s="5" t="n">
        <v>1.17</v>
      </c>
      <c r="O332" s="6">
        <f>L332/M332-1</f>
        <v/>
      </c>
      <c r="P332" s="4" t="n">
        <v>11362</v>
      </c>
      <c r="Q332" s="2" t="inlineStr"/>
    </row>
    <row r="333">
      <c r="A333" s="2" t="n">
        <v>7368</v>
      </c>
      <c r="B333" s="2" t="n">
        <v>640411</v>
      </c>
      <c r="C333" s="3" t="inlineStr">
        <is>
          <t>7898126050220</t>
        </is>
      </c>
      <c r="D333" s="2" t="inlineStr">
        <is>
          <t>TESTE COMFIRME SEMANAS EM TIRAS.</t>
        </is>
      </c>
      <c r="E333" s="2" t="inlineStr">
        <is>
          <t>TESTE GRAVIDEZ CONFIRME SEMANAS TIRA C/1</t>
        </is>
      </c>
      <c r="F333" s="2" t="inlineStr">
        <is>
          <t>ANALITIC</t>
        </is>
      </c>
      <c r="G333" s="4" t="n">
        <v>1</v>
      </c>
      <c r="H333" s="4" t="n">
        <v>2</v>
      </c>
      <c r="I333" s="4" t="n">
        <v>2</v>
      </c>
      <c r="J333" s="5" t="n">
        <v>7.71</v>
      </c>
      <c r="K333" s="5">
        <f>I333*J333</f>
        <v/>
      </c>
      <c r="L333" s="5">
        <f>J333/G333</f>
        <v/>
      </c>
      <c r="M333" s="5" t="n">
        <v>10.85</v>
      </c>
      <c r="N333" s="5" t="n">
        <v>10.85</v>
      </c>
      <c r="O333" s="6">
        <f>L333/M333-1</f>
        <v/>
      </c>
      <c r="P333" s="4" t="n">
        <v>235</v>
      </c>
      <c r="Q333" s="2" t="inlineStr"/>
    </row>
    <row r="334">
      <c r="A334" s="2" t="n">
        <v>1534</v>
      </c>
      <c r="B334" s="2" t="n">
        <v>180141</v>
      </c>
      <c r="C334" s="3" t="inlineStr">
        <is>
          <t>7896862970031</t>
        </is>
      </c>
      <c r="D334" s="2" t="inlineStr">
        <is>
          <t>TETRAMED 500MG (25X4) C/100 CPS**</t>
        </is>
      </c>
      <c r="E334" s="2" t="inlineStr">
        <is>
          <t>TETRAMED 500MG CART C/ 4CP</t>
        </is>
      </c>
      <c r="F334" s="2" t="inlineStr">
        <is>
          <t>MEDQUIMICA</t>
        </is>
      </c>
      <c r="G334" s="4" t="n">
        <v>25</v>
      </c>
      <c r="H334" s="4" t="n">
        <v>1</v>
      </c>
      <c r="I334" s="4" t="n">
        <v>1</v>
      </c>
      <c r="J334" s="5" t="n">
        <v>41.62</v>
      </c>
      <c r="K334" s="5">
        <f>I334*J334</f>
        <v/>
      </c>
      <c r="L334" s="5">
        <f>J334/G334</f>
        <v/>
      </c>
      <c r="M334" s="5" t="n">
        <v>1.4796</v>
      </c>
      <c r="N334" s="5" t="n">
        <v>1.4796</v>
      </c>
      <c r="O334" s="6">
        <f>L334/M334-1</f>
        <v/>
      </c>
      <c r="P334" s="4" t="n">
        <v>621</v>
      </c>
      <c r="Q334" s="2" t="inlineStr">
        <is>
          <t>1 emb. Dimec = 25 un do Radar (pedido = 1 emb.)</t>
        </is>
      </c>
    </row>
    <row r="335">
      <c r="A335" s="2" t="n">
        <v>2886</v>
      </c>
      <c r="B335" s="2" t="n">
        <v>568541</v>
      </c>
      <c r="C335" s="3" t="inlineStr">
        <is>
          <t>7896862970208</t>
        </is>
      </c>
      <c r="D335" s="2" t="inlineStr">
        <is>
          <t>TETRAMED 500MG (10X10) C/100 CPS**</t>
        </is>
      </c>
      <c r="E335" s="2" t="inlineStr">
        <is>
          <t>TETRAMED 500MG CX100 CAP (10X10)</t>
        </is>
      </c>
      <c r="F335" s="2" t="inlineStr">
        <is>
          <t>MEDQUIMICA</t>
        </is>
      </c>
      <c r="G335" s="4" t="n">
        <v>10</v>
      </c>
      <c r="H335" s="4" t="n">
        <v>1</v>
      </c>
      <c r="I335" s="4" t="n">
        <v>1</v>
      </c>
      <c r="J335" s="5" t="n">
        <v>43.72</v>
      </c>
      <c r="K335" s="5">
        <f>I335*J335</f>
        <v/>
      </c>
      <c r="L335" s="5">
        <f>J335/G335</f>
        <v/>
      </c>
      <c r="M335" s="5" t="n">
        <v>3.69</v>
      </c>
      <c r="N335" s="5" t="n">
        <v>3.69</v>
      </c>
      <c r="O335" s="6">
        <f>L335/M335-1</f>
        <v/>
      </c>
      <c r="P335" s="4" t="n">
        <v>985</v>
      </c>
      <c r="Q335" s="2" t="inlineStr">
        <is>
          <t>1 emb. Dimec = 10 un do Radar (pedido = 1 emb.)</t>
        </is>
      </c>
    </row>
    <row r="336">
      <c r="A336" s="2" t="n">
        <v>386</v>
      </c>
      <c r="B336" s="2" t="n">
        <v>461941</v>
      </c>
      <c r="C336" s="3" t="inlineStr">
        <is>
          <t>7893454100715</t>
        </is>
      </c>
      <c r="D336" s="2" t="inlineStr">
        <is>
          <t>TIADOL 50MG 20G POMADA</t>
        </is>
      </c>
      <c r="E336" s="2" t="inlineStr">
        <is>
          <t>TIADOL 50MG/G POM DERM BG 20G</t>
        </is>
      </c>
      <c r="F336" s="2" t="inlineStr">
        <is>
          <t>DELTA</t>
        </is>
      </c>
      <c r="G336" s="4" t="n">
        <v>1</v>
      </c>
      <c r="H336" s="4" t="n">
        <v>3</v>
      </c>
      <c r="I336" s="4" t="n">
        <v>3</v>
      </c>
      <c r="J336" s="5" t="n">
        <v>13.89</v>
      </c>
      <c r="K336" s="5">
        <f>I336*J336</f>
        <v/>
      </c>
      <c r="L336" s="5">
        <f>J336/G336</f>
        <v/>
      </c>
      <c r="M336" s="5" t="n">
        <v>13.36</v>
      </c>
      <c r="N336" s="5" t="n">
        <v>13.36</v>
      </c>
      <c r="O336" s="6">
        <f>L336/M336-1</f>
        <v/>
      </c>
      <c r="P336" s="4" t="n">
        <v>1947</v>
      </c>
      <c r="Q336" s="2" t="inlineStr"/>
    </row>
    <row r="337">
      <c r="A337" s="2" t="n">
        <v>2435</v>
      </c>
      <c r="B337" s="2" t="n">
        <v>462441</v>
      </c>
      <c r="C337" s="3" t="inlineStr">
        <is>
          <t>7895296132039</t>
        </is>
      </c>
      <c r="D337" s="2" t="inlineStr">
        <is>
          <t>TIBOLONA 2,5MG C/30 CPR</t>
        </is>
      </c>
      <c r="E337" s="2" t="inlineStr">
        <is>
          <t>TIBOLONA 2,5MG  CX 30 COMP</t>
        </is>
      </c>
      <c r="F337" s="2" t="inlineStr">
        <is>
          <t>NOVA QUIMICA GENERICO</t>
        </is>
      </c>
      <c r="G337" s="4" t="n">
        <v>1</v>
      </c>
      <c r="H337" s="4" t="n">
        <v>3</v>
      </c>
      <c r="I337" s="4" t="n">
        <v>3</v>
      </c>
      <c r="J337" s="5" t="n">
        <v>25.17</v>
      </c>
      <c r="K337" s="5">
        <f>I337*J337</f>
        <v/>
      </c>
      <c r="L337" s="5">
        <f>J337/G337</f>
        <v/>
      </c>
      <c r="M337" s="5" t="n">
        <v>25.2</v>
      </c>
      <c r="N337" s="5" t="n">
        <v>24.21</v>
      </c>
      <c r="O337" s="6">
        <f>L337/M337-1</f>
        <v/>
      </c>
      <c r="P337" s="4" t="n">
        <v>499</v>
      </c>
      <c r="Q337" s="2" t="inlineStr"/>
    </row>
    <row r="338">
      <c r="A338" s="2" t="n">
        <v>177</v>
      </c>
      <c r="B338" s="2" t="n">
        <v>540941</v>
      </c>
      <c r="C338" s="3" t="inlineStr">
        <is>
          <t>7898031310952</t>
        </is>
      </c>
      <c r="D338" s="2" t="inlineStr">
        <is>
          <t>TINTURA DE ARNICA 30ML</t>
        </is>
      </c>
      <c r="E338" s="2" t="inlineStr">
        <is>
          <t>TINTURA DE ARNICA 30ML</t>
        </is>
      </c>
      <c r="F338" s="2" t="inlineStr">
        <is>
          <t>UNIPHAR</t>
        </is>
      </c>
      <c r="G338" s="4" t="n">
        <v>1</v>
      </c>
      <c r="H338" s="4" t="n">
        <v>19</v>
      </c>
      <c r="I338" s="4" t="n">
        <v>19</v>
      </c>
      <c r="J338" s="5" t="n">
        <v>4.31</v>
      </c>
      <c r="K338" s="5">
        <f>I338*J338</f>
        <v/>
      </c>
      <c r="L338" s="5">
        <f>J338/G338</f>
        <v/>
      </c>
      <c r="M338" s="5" t="n">
        <v>4.31</v>
      </c>
      <c r="N338" s="5" t="n">
        <v>4.31</v>
      </c>
      <c r="O338" s="6">
        <f>L338/M338-1</f>
        <v/>
      </c>
      <c r="P338" s="4" t="n">
        <v>4047</v>
      </c>
      <c r="Q338" s="2" t="inlineStr"/>
    </row>
    <row r="339">
      <c r="A339" s="2" t="n">
        <v>4503</v>
      </c>
      <c r="B339" s="2" t="n">
        <v>3153</v>
      </c>
      <c r="C339" s="3" t="inlineStr">
        <is>
          <t>7898301056757</t>
        </is>
      </c>
      <c r="D339" s="2" t="inlineStr">
        <is>
          <t>TIRA DE GLICOSE FREE 1 C/25 UND</t>
        </is>
      </c>
      <c r="E339" s="2" t="inlineStr">
        <is>
          <t>TIRA DE TESTE DE GLICOSE C/25 UND FREE 1</t>
        </is>
      </c>
      <c r="F339" s="2" t="inlineStr">
        <is>
          <t>GTECH</t>
        </is>
      </c>
      <c r="G339" s="4" t="n">
        <v>1</v>
      </c>
      <c r="H339" s="4" t="n">
        <v>5</v>
      </c>
      <c r="I339" s="4" t="n">
        <v>5</v>
      </c>
      <c r="J339" s="5" t="n">
        <v>51.3</v>
      </c>
      <c r="K339" s="5">
        <f>I339*J339</f>
        <v/>
      </c>
      <c r="L339" s="5">
        <f>J339/G339</f>
        <v/>
      </c>
      <c r="M339" s="5" t="n">
        <v>46.42</v>
      </c>
      <c r="N339" s="5" t="n">
        <v>43.95</v>
      </c>
      <c r="O339" s="6">
        <f>L339/M339-1</f>
        <v/>
      </c>
      <c r="P339" s="4" t="n">
        <v>203</v>
      </c>
      <c r="Q339" s="2" t="inlineStr"/>
    </row>
    <row r="340">
      <c r="A340" s="2" t="n">
        <v>4504</v>
      </c>
      <c r="B340" s="2" t="n">
        <v>3163</v>
      </c>
      <c r="C340" s="3" t="inlineStr">
        <is>
          <t>7898301056740</t>
        </is>
      </c>
      <c r="D340" s="2" t="inlineStr">
        <is>
          <t>TIRA DE GLICOSE FREE 1 C/50 UND</t>
        </is>
      </c>
      <c r="E340" s="2" t="inlineStr">
        <is>
          <t>TIRA DE TESTE DE GLICOSE C/50 UND FREE 1</t>
        </is>
      </c>
      <c r="F340" s="2" t="inlineStr">
        <is>
          <t>GTECH</t>
        </is>
      </c>
      <c r="G340" s="4" t="n">
        <v>1</v>
      </c>
      <c r="H340" s="4" t="n">
        <v>23</v>
      </c>
      <c r="I340" s="4" t="n">
        <v>23</v>
      </c>
      <c r="J340" s="5" t="n">
        <v>67.45999999999999</v>
      </c>
      <c r="K340" s="5">
        <f>I340*J340</f>
        <v/>
      </c>
      <c r="L340" s="5">
        <f>J340/G340</f>
        <v/>
      </c>
      <c r="M340" s="5" t="n">
        <v>51.625</v>
      </c>
      <c r="N340" s="5" t="n">
        <v>48.88</v>
      </c>
      <c r="O340" s="6">
        <f>L340/M340-1</f>
        <v/>
      </c>
      <c r="P340" s="4" t="n">
        <v>795</v>
      </c>
      <c r="Q340" s="2" t="inlineStr"/>
    </row>
    <row r="341">
      <c r="A341" s="2" t="n">
        <v>1121</v>
      </c>
      <c r="B341" s="2" t="n">
        <v>18001</v>
      </c>
      <c r="C341" s="3" t="inlineStr">
        <is>
          <t>7896004739083</t>
        </is>
      </c>
      <c r="D341" s="2" t="inlineStr">
        <is>
          <t>TREXACONT 250MG C/12 CPR**</t>
        </is>
      </c>
      <c r="E341" s="2" t="inlineStr">
        <is>
          <t>TREXACONT 250MG 1BL X 12 COMP</t>
        </is>
      </c>
      <c r="F341" s="2" t="inlineStr">
        <is>
          <t>MULTILAB MARCA</t>
        </is>
      </c>
      <c r="G341" s="4" t="n">
        <v>1</v>
      </c>
      <c r="H341" s="4" t="n">
        <v>1</v>
      </c>
      <c r="I341" s="4" t="n">
        <v>1</v>
      </c>
      <c r="J341" s="5" t="n">
        <v>35.81</v>
      </c>
      <c r="K341" s="5">
        <f>I341*J341</f>
        <v/>
      </c>
      <c r="L341" s="5">
        <f>J341/G341</f>
        <v/>
      </c>
      <c r="M341" s="5" t="n">
        <v>40.53</v>
      </c>
      <c r="N341" s="5" t="n">
        <v>40.53</v>
      </c>
      <c r="O341" s="6">
        <f>L341/M341-1</f>
        <v/>
      </c>
      <c r="P341" s="4" t="n">
        <v>622</v>
      </c>
      <c r="Q341" s="2" t="inlineStr"/>
    </row>
    <row r="342">
      <c r="A342" s="2" t="n">
        <v>10612</v>
      </c>
      <c r="B342" s="2" t="n">
        <v>39303</v>
      </c>
      <c r="C342" s="3" t="inlineStr">
        <is>
          <t>7896004821993</t>
        </is>
      </c>
      <c r="D342" s="2" t="inlineStr">
        <is>
          <t>TRIMETAZIDINA 35MG C/30 CPR LIB PROLONGA</t>
        </is>
      </c>
      <c r="E342" s="2" t="inlineStr">
        <is>
          <t>TRIMETAZIDINA 35MG 30CPR</t>
        </is>
      </c>
      <c r="F342" s="2" t="inlineStr">
        <is>
          <t>GERMED</t>
        </is>
      </c>
      <c r="G342" s="4" t="n">
        <v>1</v>
      </c>
      <c r="H342" s="4" t="n">
        <v>8</v>
      </c>
      <c r="I342" s="4" t="n">
        <v>8</v>
      </c>
      <c r="J342" s="5" t="n">
        <v>22.59</v>
      </c>
      <c r="K342" s="5">
        <f>I342*J342</f>
        <v/>
      </c>
      <c r="L342" s="5">
        <f>J342/G342</f>
        <v/>
      </c>
      <c r="M342" s="5" t="n">
        <v>16.385</v>
      </c>
      <c r="N342" s="5" t="n">
        <v>16.385</v>
      </c>
      <c r="O342" s="6">
        <f>L342/M342-1</f>
        <v/>
      </c>
      <c r="P342" s="4" t="n">
        <v>14</v>
      </c>
      <c r="Q342" s="2" t="inlineStr"/>
    </row>
    <row r="343">
      <c r="A343" s="2" t="n">
        <v>395</v>
      </c>
      <c r="B343" s="2" t="n">
        <v>563961</v>
      </c>
      <c r="C343" s="3" t="inlineStr">
        <is>
          <t>7898100241590</t>
        </is>
      </c>
      <c r="D343" s="2" t="inlineStr">
        <is>
          <t>TYFLEN 500MG (20X10) C/200 CPR</t>
        </is>
      </c>
      <c r="E343" s="2" t="inlineStr">
        <is>
          <t>TYFLEN 500MG CARTELA COM 10CP</t>
        </is>
      </c>
      <c r="F343" s="2" t="inlineStr">
        <is>
          <t>BRASTERAPICA</t>
        </is>
      </c>
      <c r="G343" s="4" t="n">
        <v>20</v>
      </c>
      <c r="H343" s="4" t="n">
        <v>1</v>
      </c>
      <c r="I343" s="4" t="n">
        <v>1</v>
      </c>
      <c r="J343" s="5" t="n">
        <v>29.55</v>
      </c>
      <c r="K343" s="5">
        <f>I343*J343</f>
        <v/>
      </c>
      <c r="L343" s="5">
        <f>J343/G343</f>
        <v/>
      </c>
      <c r="M343" s="5" t="n">
        <v>1.8355</v>
      </c>
      <c r="N343" s="5" t="n">
        <v>1.8355</v>
      </c>
      <c r="O343" s="6">
        <f>L343/M343-1</f>
        <v/>
      </c>
      <c r="P343" s="4" t="n">
        <v>125</v>
      </c>
      <c r="Q343" s="2" t="inlineStr">
        <is>
          <t>1 emb. Dimec = 20 un do Radar (pedido = 1 emb.)</t>
        </is>
      </c>
    </row>
    <row r="344">
      <c r="A344" s="2" t="n">
        <v>3126</v>
      </c>
      <c r="B344" s="2" t="n">
        <v>565801</v>
      </c>
      <c r="C344" s="3" t="inlineStr">
        <is>
          <t>7898031310600</t>
        </is>
      </c>
      <c r="D344" s="2" t="inlineStr">
        <is>
          <t>ALCOOL GEL 70% 450G UNISSEPT</t>
        </is>
      </c>
      <c r="E344" s="2" t="inlineStr">
        <is>
          <t>UNISSEPT ALCOOL GEL ANTISSEPTICO 450G</t>
        </is>
      </c>
      <c r="F344" s="2" t="inlineStr">
        <is>
          <t>UNIPHAR</t>
        </is>
      </c>
      <c r="G344" s="4" t="n">
        <v>1</v>
      </c>
      <c r="H344" s="4" t="n">
        <v>13</v>
      </c>
      <c r="I344" s="4" t="n">
        <v>13</v>
      </c>
      <c r="J344" s="5" t="n">
        <v>13.08</v>
      </c>
      <c r="K344" s="5">
        <f>I344*J344</f>
        <v/>
      </c>
      <c r="L344" s="5">
        <f>J344/G344</f>
        <v/>
      </c>
      <c r="M344" s="5" t="n">
        <v>13.08</v>
      </c>
      <c r="N344" s="5" t="n">
        <v>12.51</v>
      </c>
      <c r="O344" s="6">
        <f>L344/M344-1</f>
        <v/>
      </c>
      <c r="P344" s="4" t="n">
        <v>248</v>
      </c>
      <c r="Q344" s="2" t="inlineStr"/>
    </row>
    <row r="345">
      <c r="A345" s="2" t="n">
        <v>3156</v>
      </c>
      <c r="B345" s="2" t="n">
        <v>662781</v>
      </c>
      <c r="C345" s="3" t="inlineStr">
        <is>
          <t>7896472521784</t>
        </is>
      </c>
      <c r="D345" s="2" t="inlineStr">
        <is>
          <t>VALSARTANA 320MG C/30 CPR</t>
        </is>
      </c>
      <c r="E345" s="2" t="inlineStr">
        <is>
          <t>VALSARTANA 320MG 30 COM-NQ</t>
        </is>
      </c>
      <c r="F345" s="2" t="inlineStr">
        <is>
          <t>NOVA QUIMICA GENERICO</t>
        </is>
      </c>
      <c r="G345" s="4" t="n">
        <v>1</v>
      </c>
      <c r="H345" s="4" t="n">
        <v>5</v>
      </c>
      <c r="I345" s="4" t="n">
        <v>5</v>
      </c>
      <c r="J345" s="5" t="n">
        <v>25.39</v>
      </c>
      <c r="K345" s="5">
        <f>I345*J345</f>
        <v/>
      </c>
      <c r="L345" s="5">
        <f>J345/G345</f>
        <v/>
      </c>
      <c r="M345" s="5" t="n">
        <v>25.39</v>
      </c>
      <c r="N345" s="5" t="n">
        <v>25.39</v>
      </c>
      <c r="O345" s="6">
        <f>L345/M345-1</f>
        <v/>
      </c>
      <c r="P345" s="4" t="n">
        <v>1278</v>
      </c>
      <c r="Q345" s="2" t="inlineStr"/>
    </row>
    <row r="346">
      <c r="A346" s="2" t="n">
        <v>1014</v>
      </c>
      <c r="B346" s="2" t="n">
        <v>675881</v>
      </c>
      <c r="C346" s="3" t="inlineStr">
        <is>
          <t>7898031310990</t>
        </is>
      </c>
      <c r="D346" s="2" t="inlineStr">
        <is>
          <t>VASELINA LIQUIDA 100ML</t>
        </is>
      </c>
      <c r="E346" s="2" t="inlineStr">
        <is>
          <t>VASELINA LIQUIDA 100ML</t>
        </is>
      </c>
      <c r="F346" s="2" t="inlineStr">
        <is>
          <t>UNIPHAR</t>
        </is>
      </c>
      <c r="G346" s="4" t="n">
        <v>1</v>
      </c>
      <c r="H346" s="4" t="n">
        <v>5</v>
      </c>
      <c r="I346" s="4" t="n">
        <v>5</v>
      </c>
      <c r="J346" s="5" t="n">
        <v>5.68</v>
      </c>
      <c r="K346" s="5">
        <f>I346*J346</f>
        <v/>
      </c>
      <c r="L346" s="5">
        <f>J346/G346</f>
        <v/>
      </c>
      <c r="M346" s="5" t="n">
        <v>5.29</v>
      </c>
      <c r="N346" s="5" t="n">
        <v>5.29</v>
      </c>
      <c r="O346" s="6">
        <f>L346/M346-1</f>
        <v/>
      </c>
      <c r="P346" s="4" t="n">
        <v>822</v>
      </c>
      <c r="Q346" s="2" t="inlineStr"/>
    </row>
    <row r="347">
      <c r="A347" s="2" t="n">
        <v>7145</v>
      </c>
      <c r="B347" s="2" t="n">
        <v>619911</v>
      </c>
      <c r="C347" s="3" t="inlineStr">
        <is>
          <t>7896902214828</t>
        </is>
      </c>
      <c r="D347" s="2" t="inlineStr">
        <is>
          <t>VASELINA LIQUIDA 100ML VASEMAX</t>
        </is>
      </c>
      <c r="E347" s="2" t="inlineStr">
        <is>
          <t>VASELINA LIQUIDA 100ML (VASEMAX)</t>
        </is>
      </c>
      <c r="F347" s="2" t="inlineStr">
        <is>
          <t>FARMAX</t>
        </is>
      </c>
      <c r="G347" s="4" t="n">
        <v>1</v>
      </c>
      <c r="H347" s="4" t="n">
        <v>1</v>
      </c>
      <c r="I347" s="4" t="n">
        <v>1</v>
      </c>
      <c r="J347" s="5" t="n">
        <v>5.57</v>
      </c>
      <c r="K347" s="5">
        <f>I347*J347</f>
        <v/>
      </c>
      <c r="L347" s="5">
        <f>J347/G347</f>
        <v/>
      </c>
      <c r="M347" s="5" t="n">
        <v>4.36</v>
      </c>
      <c r="N347" s="5" t="n">
        <v>4.36</v>
      </c>
      <c r="O347" s="6">
        <f>L347/M347-1</f>
        <v/>
      </c>
      <c r="P347" s="4" t="n">
        <v>131</v>
      </c>
      <c r="Q347" s="2" t="inlineStr"/>
    </row>
    <row r="348">
      <c r="A348" s="2" t="n">
        <v>163</v>
      </c>
      <c r="B348" s="2" t="n">
        <v>2973</v>
      </c>
      <c r="C348" s="3" t="inlineStr">
        <is>
          <t>7898031313533</t>
        </is>
      </c>
      <c r="D348" s="2" t="inlineStr">
        <is>
          <t>VASELINA SOLIDA 20G BISNAGA</t>
        </is>
      </c>
      <c r="E348" s="2" t="inlineStr">
        <is>
          <t>VASELINA SOLIDA 20G BISNAGA</t>
        </is>
      </c>
      <c r="F348" s="2" t="inlineStr">
        <is>
          <t>UNIPHAR</t>
        </is>
      </c>
      <c r="G348" s="4" t="n">
        <v>1</v>
      </c>
      <c r="H348" s="4" t="n">
        <v>12</v>
      </c>
      <c r="I348" s="4" t="n">
        <v>12</v>
      </c>
      <c r="J348" s="5" t="n">
        <v>5.26</v>
      </c>
      <c r="K348" s="5">
        <f>I348*J348</f>
        <v/>
      </c>
      <c r="L348" s="5">
        <f>J348/G348</f>
        <v/>
      </c>
      <c r="M348" s="5" t="n">
        <v>5.26</v>
      </c>
      <c r="N348" s="5" t="n">
        <v>5.06</v>
      </c>
      <c r="O348" s="6">
        <f>L348/M348-1</f>
        <v/>
      </c>
      <c r="P348" s="4" t="n">
        <v>977</v>
      </c>
      <c r="Q348" s="2" t="inlineStr"/>
    </row>
    <row r="349">
      <c r="A349" s="2" t="n">
        <v>851</v>
      </c>
      <c r="B349" s="2" t="n">
        <v>604001</v>
      </c>
      <c r="C349" s="3" t="inlineStr">
        <is>
          <t>7898031310495</t>
        </is>
      </c>
      <c r="D349" s="2" t="inlineStr">
        <is>
          <t>VASELINA SOLIDA 25G POTE</t>
        </is>
      </c>
      <c r="E349" s="2" t="inlineStr">
        <is>
          <t>VASELINA SOLIDA 25G POTE (UNIPHAR)</t>
        </is>
      </c>
      <c r="F349" s="2" t="inlineStr">
        <is>
          <t>UNIPHAR</t>
        </is>
      </c>
      <c r="G349" s="4" t="n">
        <v>1</v>
      </c>
      <c r="H349" s="4" t="n">
        <v>10</v>
      </c>
      <c r="I349" s="4" t="n">
        <v>10</v>
      </c>
      <c r="J349" s="5" t="n">
        <v>4.78</v>
      </c>
      <c r="K349" s="5">
        <f>I349*J349</f>
        <v/>
      </c>
      <c r="L349" s="5">
        <f>J349/G349</f>
        <v/>
      </c>
      <c r="M349" s="5" t="n">
        <v>4.48</v>
      </c>
      <c r="N349" s="5" t="n">
        <v>4.35</v>
      </c>
      <c r="O349" s="6">
        <f>L349/M349-1</f>
        <v/>
      </c>
      <c r="P349" s="4" t="n">
        <v>2434</v>
      </c>
      <c r="Q349" s="2" t="inlineStr"/>
    </row>
    <row r="350">
      <c r="A350" s="2" t="n">
        <v>7292</v>
      </c>
      <c r="B350" s="2" t="n">
        <v>591211</v>
      </c>
      <c r="C350" s="3" t="inlineStr">
        <is>
          <t>7898241250031</t>
        </is>
      </c>
      <c r="D350" s="2" t="inlineStr">
        <is>
          <t>VELA SEBO DE HOLANDA C/08 UND</t>
        </is>
      </c>
      <c r="E350" s="2" t="inlineStr">
        <is>
          <t>VELA SEBO DE HOLANDA</t>
        </is>
      </c>
      <c r="F350" s="2" t="inlineStr">
        <is>
          <t>SAO RAFAEL</t>
        </is>
      </c>
      <c r="G350" s="4" t="n">
        <v>8</v>
      </c>
      <c r="H350" s="4" t="n">
        <v>3</v>
      </c>
      <c r="I350" s="4" t="n">
        <v>1</v>
      </c>
      <c r="J350" s="5" t="n">
        <v>3.99</v>
      </c>
      <c r="K350" s="5">
        <f>I350*J350</f>
        <v/>
      </c>
      <c r="L350" s="5">
        <f>J350/G350</f>
        <v/>
      </c>
      <c r="M350" s="5" t="n">
        <v>0.4988</v>
      </c>
      <c r="N350" s="5" t="n">
        <v>0.4988</v>
      </c>
      <c r="O350" s="6">
        <f>L350/M350-1</f>
        <v/>
      </c>
      <c r="P350" s="4" t="n">
        <v>1365</v>
      </c>
      <c r="Q350" s="2" t="inlineStr">
        <is>
          <t>1 emb. Dimec = 8 un do Radar (pedido = 1 emb.)</t>
        </is>
      </c>
    </row>
    <row r="351">
      <c r="A351" s="2" t="n">
        <v>391</v>
      </c>
      <c r="B351" s="2" t="n">
        <v>461961</v>
      </c>
      <c r="C351" s="3" t="inlineStr">
        <is>
          <t>7893454100708</t>
        </is>
      </c>
      <c r="D351" s="2" t="inlineStr">
        <is>
          <t>TIADOL 50MG 65G SABONETE</t>
        </is>
      </c>
      <c r="E351" s="2" t="inlineStr">
        <is>
          <t>VENCIDO - TIADOL 50MG/G SAB SACO 65G</t>
        </is>
      </c>
      <c r="F351" s="2" t="inlineStr">
        <is>
          <t>DELTA</t>
        </is>
      </c>
      <c r="G351" s="4" t="n">
        <v>1</v>
      </c>
      <c r="H351" s="4" t="n">
        <v>1</v>
      </c>
      <c r="I351" s="4" t="n">
        <v>1</v>
      </c>
      <c r="J351" s="5" t="n">
        <v>18.94</v>
      </c>
      <c r="K351" s="5">
        <f>I351*J351</f>
        <v/>
      </c>
      <c r="L351" s="5">
        <f>J351/G351</f>
        <v/>
      </c>
      <c r="M351" s="5" t="n">
        <v>19.23</v>
      </c>
      <c r="N351" s="5" t="n">
        <v>19.23</v>
      </c>
      <c r="O351" s="6">
        <f>L351/M351-1</f>
        <v/>
      </c>
      <c r="P351" s="4" t="n">
        <v>686</v>
      </c>
      <c r="Q351" s="2" t="inlineStr"/>
    </row>
    <row r="352">
      <c r="A352" s="2" t="n">
        <v>5014</v>
      </c>
      <c r="B352" s="2" t="n">
        <v>193221</v>
      </c>
      <c r="C352" s="3" t="inlineStr">
        <is>
          <t>7898569765149</t>
        </is>
      </c>
      <c r="D352" s="2" t="inlineStr">
        <is>
          <t>VITAMINA D3 10.000 UI C/30 CPS</t>
        </is>
      </c>
      <c r="E352" s="2" t="inlineStr">
        <is>
          <t>VITAMINA D3 10000UI CX 30 CAP</t>
        </is>
      </c>
      <c r="F352" s="2" t="inlineStr">
        <is>
          <t>ALTHAIA</t>
        </is>
      </c>
      <c r="G352" s="4" t="n">
        <v>1</v>
      </c>
      <c r="H352" s="4" t="n">
        <v>2</v>
      </c>
      <c r="I352" s="4" t="n">
        <v>2</v>
      </c>
      <c r="J352" s="5" t="n">
        <v>27.09</v>
      </c>
      <c r="K352" s="5">
        <f>I352*J352</f>
        <v/>
      </c>
      <c r="L352" s="5">
        <f>J352/G352</f>
        <v/>
      </c>
      <c r="M352" s="5" t="n">
        <v>21.98</v>
      </c>
      <c r="N352" s="5" t="n">
        <v>21.98</v>
      </c>
      <c r="O352" s="6">
        <f>L352/M352-1</f>
        <v/>
      </c>
      <c r="P352" s="4" t="n">
        <v>56</v>
      </c>
      <c r="Q352" s="2" t="inlineStr"/>
    </row>
    <row r="353">
      <c r="A353" s="2" t="n">
        <v>10625</v>
      </c>
      <c r="B353" s="2" t="n">
        <v>193181</v>
      </c>
      <c r="C353" s="3" t="inlineStr">
        <is>
          <t>7898569765125</t>
        </is>
      </c>
      <c r="D353" s="2" t="inlineStr">
        <is>
          <t>VITAMINA D3 10.000 UI C/08 CPS</t>
        </is>
      </c>
      <c r="E353" s="2" t="inlineStr">
        <is>
          <t>VITAMINA D3 10000UI CX 8 CAP</t>
        </is>
      </c>
      <c r="F353" s="2" t="inlineStr">
        <is>
          <t>ALTHAIA</t>
        </is>
      </c>
      <c r="G353" s="4" t="n">
        <v>1</v>
      </c>
      <c r="H353" s="4" t="n">
        <v>1</v>
      </c>
      <c r="I353" s="4" t="n">
        <v>1</v>
      </c>
      <c r="J353" s="5" t="n">
        <v>17.54</v>
      </c>
      <c r="K353" s="5">
        <f>I353*J353</f>
        <v/>
      </c>
      <c r="L353" s="5">
        <f>J353/G353</f>
        <v/>
      </c>
      <c r="M353" s="5" t="n">
        <v>12.69</v>
      </c>
      <c r="N353" s="5" t="n">
        <v>12.69</v>
      </c>
      <c r="O353" s="6">
        <f>L353/M353-1</f>
        <v/>
      </c>
      <c r="P353" s="4" t="n">
        <v>58</v>
      </c>
      <c r="Q353" s="2" t="inlineStr"/>
    </row>
    <row r="354">
      <c r="A354" s="2" t="n">
        <v>8544</v>
      </c>
      <c r="B354" s="2" t="n">
        <v>653211</v>
      </c>
      <c r="C354" s="3" t="inlineStr">
        <is>
          <t>7898687734096</t>
        </is>
      </c>
      <c r="D354" s="2" t="inlineStr">
        <is>
          <t>VITAMINA D3 15.000 UI C/10 CPS</t>
        </is>
      </c>
      <c r="E354" s="2" t="inlineStr">
        <is>
          <t>VITAMINA D3 15000UI CX 10 CAP</t>
        </is>
      </c>
      <c r="F354" s="2" t="inlineStr">
        <is>
          <t>ALTHAIA</t>
        </is>
      </c>
      <c r="G354" s="4" t="n">
        <v>1</v>
      </c>
      <c r="H354" s="4" t="n">
        <v>2</v>
      </c>
      <c r="I354" s="4" t="n">
        <v>2</v>
      </c>
      <c r="J354" s="5" t="n">
        <v>23.22</v>
      </c>
      <c r="K354" s="5">
        <f>I354*J354</f>
        <v/>
      </c>
      <c r="L354" s="5">
        <f>J354/G354</f>
        <v/>
      </c>
      <c r="M354" s="5" t="n">
        <v>19.58</v>
      </c>
      <c r="N354" s="5" t="n">
        <v>19.58</v>
      </c>
      <c r="O354" s="6">
        <f>L354/M354-1</f>
        <v/>
      </c>
      <c r="P354" s="4" t="n">
        <v>117</v>
      </c>
      <c r="Q354" s="2" t="inlineStr"/>
    </row>
    <row r="355">
      <c r="A355" s="2" t="n">
        <v>8543</v>
      </c>
      <c r="B355" s="2" t="n">
        <v>3063</v>
      </c>
      <c r="C355" s="3" t="inlineStr">
        <is>
          <t>7898687734089</t>
        </is>
      </c>
      <c r="D355" s="2" t="inlineStr">
        <is>
          <t>VITAMINA D3 15.000 UI C/04 CPS</t>
        </is>
      </c>
      <c r="E355" s="2" t="inlineStr">
        <is>
          <t>VITAMINA D3 15000UI CX 4 CAP</t>
        </is>
      </c>
      <c r="F355" s="2" t="inlineStr">
        <is>
          <t>ALTHAIA</t>
        </is>
      </c>
      <c r="G355" s="4" t="n">
        <v>1</v>
      </c>
      <c r="H355" s="4" t="n">
        <v>4</v>
      </c>
      <c r="I355" s="4" t="n">
        <v>4</v>
      </c>
      <c r="J355" s="5" t="n">
        <v>13.39</v>
      </c>
      <c r="K355" s="5">
        <f>I355*J355</f>
        <v/>
      </c>
      <c r="L355" s="5">
        <f>J355/G355</f>
        <v/>
      </c>
      <c r="M355" s="5" t="n">
        <v>14.54</v>
      </c>
      <c r="N355" s="5" t="n">
        <v>10.73</v>
      </c>
      <c r="O355" s="6">
        <f>L355/M355-1</f>
        <v/>
      </c>
      <c r="P355" s="4" t="n">
        <v>547</v>
      </c>
      <c r="Q355" s="2" t="inlineStr"/>
    </row>
    <row r="356">
      <c r="A356" s="2" t="n">
        <v>5016</v>
      </c>
      <c r="B356" s="2" t="n">
        <v>193241</v>
      </c>
      <c r="C356" s="3" t="inlineStr">
        <is>
          <t>7898569765170</t>
        </is>
      </c>
      <c r="D356" s="2" t="inlineStr">
        <is>
          <t>VITAMINA D3 50.000 UI C/04 CPS..</t>
        </is>
      </c>
      <c r="E356" s="2" t="inlineStr">
        <is>
          <t>VITAMINA D3 50000UI CX 4 CAP</t>
        </is>
      </c>
      <c r="F356" s="2" t="inlineStr">
        <is>
          <t>ALTHAIA</t>
        </is>
      </c>
      <c r="G356" s="4" t="n">
        <v>1</v>
      </c>
      <c r="H356" s="4" t="n">
        <v>2</v>
      </c>
      <c r="I356" s="4" t="n">
        <v>2</v>
      </c>
      <c r="J356" s="5" t="n">
        <v>16.57</v>
      </c>
      <c r="K356" s="5">
        <f>I356*J356</f>
        <v/>
      </c>
      <c r="L356" s="5">
        <f>J356/G356</f>
        <v/>
      </c>
      <c r="M356" s="5" t="n">
        <v>13.95</v>
      </c>
      <c r="N356" s="5" t="n">
        <v>13.95</v>
      </c>
      <c r="O356" s="6">
        <f>L356/M356-1</f>
        <v/>
      </c>
      <c r="P356" s="4" t="n">
        <v>116</v>
      </c>
      <c r="Q356" s="2" t="inlineStr"/>
    </row>
    <row r="357">
      <c r="A357" s="2" t="n">
        <v>5012</v>
      </c>
      <c r="B357" s="2" t="n">
        <v>193001</v>
      </c>
      <c r="C357" s="3" t="inlineStr">
        <is>
          <t>7898569765019</t>
        </is>
      </c>
      <c r="D357" s="2" t="inlineStr">
        <is>
          <t>VITAMINA D3 5.000 UI C/30 CPS..</t>
        </is>
      </c>
      <c r="E357" s="2" t="inlineStr">
        <is>
          <t>VITAMINA D3 5000UI CX 30 CAP</t>
        </is>
      </c>
      <c r="F357" s="2" t="inlineStr">
        <is>
          <t>ALTHAIA</t>
        </is>
      </c>
      <c r="G357" s="4" t="n">
        <v>1</v>
      </c>
      <c r="H357" s="4" t="n">
        <v>1</v>
      </c>
      <c r="I357" s="4" t="n">
        <v>1</v>
      </c>
      <c r="J357" s="5" t="n">
        <v>16.03</v>
      </c>
      <c r="K357" s="5">
        <f>I357*J357</f>
        <v/>
      </c>
      <c r="L357" s="5">
        <f>J357/G357</f>
        <v/>
      </c>
      <c r="M357" s="5" t="n">
        <v>13.68</v>
      </c>
      <c r="N357" s="5" t="n">
        <v>13.68</v>
      </c>
      <c r="O357" s="6">
        <f>L357/M357-1</f>
        <v/>
      </c>
      <c r="P357" s="4" t="n">
        <v>112</v>
      </c>
      <c r="Q357" s="2" t="inlineStr"/>
    </row>
    <row r="358">
      <c r="A358" s="2" t="n">
        <v>4798</v>
      </c>
      <c r="B358" s="2" t="n">
        <v>532061</v>
      </c>
      <c r="C358" s="3" t="inlineStr">
        <is>
          <t>7894164006014</t>
        </is>
      </c>
      <c r="D358" s="2" t="inlineStr">
        <is>
          <t>VITAXON C TRIPLA ACAO 1G C/10 CPR EFERV</t>
        </is>
      </c>
      <c r="E358" s="2" t="inlineStr">
        <is>
          <t>VITAXON C TRIPLA ACAO EFERVECE CX C/ 10 CP</t>
        </is>
      </c>
      <c r="F358" s="2" t="inlineStr">
        <is>
          <t>AIRELA</t>
        </is>
      </c>
      <c r="G358" s="4" t="n">
        <v>1</v>
      </c>
      <c r="H358" s="4" t="n">
        <v>62</v>
      </c>
      <c r="I358" s="4" t="n">
        <v>62</v>
      </c>
      <c r="J358" s="5" t="n">
        <v>5.39</v>
      </c>
      <c r="K358" s="5">
        <f>I358*J358</f>
        <v/>
      </c>
      <c r="L358" s="5">
        <f>J358/G358</f>
        <v/>
      </c>
      <c r="M358" s="5" t="n">
        <v>4.58</v>
      </c>
      <c r="N358" s="5" t="n">
        <v>4.58</v>
      </c>
      <c r="O358" s="6">
        <f>L358/M358-1</f>
        <v/>
      </c>
      <c r="P358" s="4" t="n">
        <v>24704</v>
      </c>
      <c r="Q358" s="2" t="inlineStr"/>
    </row>
    <row r="359">
      <c r="A359" s="2" t="n">
        <v>5175</v>
      </c>
      <c r="B359" s="2" t="n">
        <v>4053</v>
      </c>
      <c r="C359" s="3" t="inlineStr">
        <is>
          <t>7894164007127</t>
        </is>
      </c>
      <c r="D359" s="2" t="inlineStr">
        <is>
          <t>VITAXON C TRIPLA ACAO IMUNO C/30 CPR.</t>
        </is>
      </c>
      <c r="E359" s="2" t="inlineStr">
        <is>
          <t>VITAXON C TRIPLA ACAO IMUNO C/30 CPR.</t>
        </is>
      </c>
      <c r="F359" s="2" t="inlineStr">
        <is>
          <t>AIRELA</t>
        </is>
      </c>
      <c r="G359" s="4" t="n">
        <v>1</v>
      </c>
      <c r="H359" s="4" t="n">
        <v>1</v>
      </c>
      <c r="I359" s="4" t="n">
        <v>1</v>
      </c>
      <c r="J359" s="5" t="n">
        <v>14.84</v>
      </c>
      <c r="K359" s="5">
        <f>I359*J359</f>
        <v/>
      </c>
      <c r="L359" s="5">
        <f>J359/G359</f>
        <v/>
      </c>
      <c r="M359" s="5" t="n">
        <v>14.84</v>
      </c>
      <c r="N359" s="5" t="n">
        <v>14.84</v>
      </c>
      <c r="O359" s="6">
        <f>L359/M359-1</f>
        <v/>
      </c>
      <c r="P359" s="4" t="n">
        <v>8</v>
      </c>
      <c r="Q359" s="2" t="inlineStr"/>
    </row>
    <row r="360">
      <c r="A360" s="2" t="n">
        <v>5905</v>
      </c>
      <c r="B360" s="2" t="n">
        <v>604081</v>
      </c>
      <c r="C360" s="3" t="inlineStr">
        <is>
          <t>7894164007134</t>
        </is>
      </c>
      <c r="D360" s="2" t="inlineStr">
        <is>
          <t>VITAXON C ZINCO C/30 CPR LIB PROLONGADA</t>
        </is>
      </c>
      <c r="E360" s="2" t="inlineStr">
        <is>
          <t>VITAXON C+ZINCO ACAO PROLONGADA 30CP</t>
        </is>
      </c>
      <c r="F360" s="2" t="inlineStr">
        <is>
          <t>AIRELA</t>
        </is>
      </c>
      <c r="G360" s="4" t="n">
        <v>1</v>
      </c>
      <c r="H360" s="4" t="n">
        <v>1</v>
      </c>
      <c r="I360" s="4" t="n">
        <v>1</v>
      </c>
      <c r="J360" s="5" t="n">
        <v>11.73</v>
      </c>
      <c r="K360" s="5">
        <f>I360*J360</f>
        <v/>
      </c>
      <c r="L360" s="5">
        <f>J360/G360</f>
        <v/>
      </c>
      <c r="M360" s="5" t="n">
        <v>10.79</v>
      </c>
      <c r="N360" s="5" t="n">
        <v>10.79</v>
      </c>
      <c r="O360" s="6">
        <f>L360/M360-1</f>
        <v/>
      </c>
      <c r="P360" s="4" t="n">
        <v>89</v>
      </c>
      <c r="Q360" s="2" t="inlineStr"/>
    </row>
    <row r="361">
      <c r="A361" s="2" t="n">
        <v>6402</v>
      </c>
      <c r="B361" s="2" t="n">
        <v>121961</v>
      </c>
      <c r="C361" s="3" t="inlineStr">
        <is>
          <t>7896004774947</t>
        </is>
      </c>
      <c r="D361" s="2" t="inlineStr">
        <is>
          <t>VOLIG 8MG C/10 CPR**</t>
        </is>
      </c>
      <c r="E361" s="2" t="inlineStr">
        <is>
          <t>VOLIG 8MG CX 10 COMP</t>
        </is>
      </c>
      <c r="F361" s="2" t="inlineStr">
        <is>
          <t>MULTILAB MARCA</t>
        </is>
      </c>
      <c r="G361" s="4" t="n">
        <v>1</v>
      </c>
      <c r="H361" s="4" t="n">
        <v>8</v>
      </c>
      <c r="I361" s="4" t="n">
        <v>8</v>
      </c>
      <c r="J361" s="5" t="n">
        <v>7.31</v>
      </c>
      <c r="K361" s="5">
        <f>I361*J361</f>
        <v/>
      </c>
      <c r="L361" s="5">
        <f>J361/G361</f>
        <v/>
      </c>
      <c r="M361" s="5" t="n">
        <v>7.29</v>
      </c>
      <c r="N361" s="5" t="n">
        <v>7.29</v>
      </c>
      <c r="O361" s="6">
        <f>L361/M361-1</f>
        <v/>
      </c>
      <c r="P361" s="4" t="n">
        <v>1106</v>
      </c>
      <c r="Q361" s="2" t="inlineStr"/>
    </row>
    <row r="362">
      <c r="E362" s="7" t="inlineStr">
        <is>
          <t>TOTAL</t>
        </is>
      </c>
      <c r="K362" s="8">
        <f>SUM(K2:K361)</f>
        <v/>
      </c>
    </row>
    <row r="364">
      <c r="A364" s="9" t="inlineStr">
        <is>
          <t>Pedido Dimec (catálogo 'preço 2%') × Radar Pareto 08/09/2026 — casado por TODOS os EANs (base Necessidade 08/09: EAN princ. + adic. 1-5), com equivalência DUN-14/EAN-13. SEM LIMIAR DE PREÇOS: todos os itens casados entram; 'Últ. compra' e 'Menor hist.' (3/6/12m) são referência. 'Un/Emb' = unidades do Radar por embalagem Dimec (detectado pelo nome e preço); 'Qtd pedido' já convertida para embalagens Dimec (arredondada para cima).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2026-09-08T19:24:10Z</dcterms:created>
  <dcterms:modified xsi:type="dcterms:W3CDTF">2026-09-08T19:24:10Z</dcterms:modified>
</cp:coreProperties>
</file>