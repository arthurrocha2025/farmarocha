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12041</v>
      </c>
      <c r="B2" s="3" t="inlineStr"/>
      <c r="C2" s="2" t="inlineStr">
        <is>
          <t>ACICLOVIR 400MG CX 25 COMP</t>
        </is>
      </c>
      <c r="D2" s="2" t="inlineStr">
        <is>
          <t>RANBAXY</t>
        </is>
      </c>
      <c r="E2" s="2" t="inlineStr">
        <is>
          <t>GENERICO</t>
        </is>
      </c>
      <c r="F2" s="2" t="inlineStr">
        <is>
          <t>B</t>
        </is>
      </c>
      <c r="G2" s="4" t="n">
        <v>3</v>
      </c>
      <c r="H2" s="4" t="n">
        <v>3</v>
      </c>
      <c r="I2" s="5" t="n">
        <v>38.4833</v>
      </c>
      <c r="J2" s="2" t="inlineStr">
        <is>
          <t>22/08/2026</t>
        </is>
      </c>
    </row>
    <row r="3">
      <c r="A3" s="2" t="n">
        <v>11061</v>
      </c>
      <c r="B3" s="3" t="inlineStr">
        <is>
          <t>7897076921826</t>
        </is>
      </c>
      <c r="C3" s="2" t="inlineStr">
        <is>
          <t>ACICLOVIR 400MG CX 30 COMP</t>
        </is>
      </c>
      <c r="D3" s="2" t="inlineStr">
        <is>
          <t>RANBAXY</t>
        </is>
      </c>
      <c r="E3" s="2" t="inlineStr">
        <is>
          <t>GENERICO</t>
        </is>
      </c>
      <c r="F3" s="2" t="inlineStr">
        <is>
          <t>C</t>
        </is>
      </c>
      <c r="G3" s="4" t="n">
        <v>1</v>
      </c>
      <c r="H3" s="4" t="n">
        <v>1</v>
      </c>
      <c r="I3" s="5" t="n">
        <v>33.87</v>
      </c>
      <c r="J3" s="2" t="inlineStr">
        <is>
          <t>22/08/2026</t>
        </is>
      </c>
    </row>
    <row r="4">
      <c r="A4" s="2" t="n">
        <v>663631</v>
      </c>
      <c r="B4" s="3" t="inlineStr">
        <is>
          <t>7897076923745</t>
        </is>
      </c>
      <c r="C4" s="2" t="inlineStr">
        <is>
          <t>AMOXIC+CLAV POT-GEN 500+125 12CPR REV(AC</t>
        </is>
      </c>
      <c r="D4" s="2" t="inlineStr">
        <is>
          <t>RANBAXY</t>
        </is>
      </c>
      <c r="E4" s="2" t="inlineStr">
        <is>
          <t>GENERICO - ATB</t>
        </is>
      </c>
      <c r="F4" s="2" t="inlineStr">
        <is>
          <t>C</t>
        </is>
      </c>
      <c r="G4" s="4" t="n">
        <v>6</v>
      </c>
      <c r="H4" s="4" t="n">
        <v>6</v>
      </c>
      <c r="I4" s="5" t="n">
        <v>27.97</v>
      </c>
      <c r="J4" s="2" t="inlineStr">
        <is>
          <t>22/08/2026</t>
        </is>
      </c>
    </row>
    <row r="5">
      <c r="A5" s="2" t="n">
        <v>674191</v>
      </c>
      <c r="B5" s="3" t="inlineStr">
        <is>
          <t>7897076923776</t>
        </is>
      </c>
      <c r="C5" s="2" t="inlineStr">
        <is>
          <t>AMOXIC+CLAV POT-GEN 500+125MG 21CPR(AC)</t>
        </is>
      </c>
      <c r="D5" s="2" t="inlineStr">
        <is>
          <t>RANBAXY FARMACEUTICA</t>
        </is>
      </c>
      <c r="E5" s="2" t="inlineStr">
        <is>
          <t>GENERICO - ATB</t>
        </is>
      </c>
      <c r="F5" s="2" t="inlineStr">
        <is>
          <t>C</t>
        </is>
      </c>
      <c r="G5" s="4" t="n">
        <v>6</v>
      </c>
      <c r="H5" s="4" t="n">
        <v>6</v>
      </c>
      <c r="I5" s="5" t="n">
        <v>30.885</v>
      </c>
      <c r="J5" s="2" t="inlineStr">
        <is>
          <t>22/08/2026</t>
        </is>
      </c>
    </row>
    <row r="6">
      <c r="A6" s="2" t="n">
        <v>33981</v>
      </c>
      <c r="B6" s="3" t="inlineStr">
        <is>
          <t>7897076922540</t>
        </is>
      </c>
      <c r="C6" s="2" t="inlineStr">
        <is>
          <t>AMOXICILINA+CLAVULANATO DE POTASSIO 875,0+125,0MG CX 14 COMP REV</t>
        </is>
      </c>
      <c r="D6" s="2" t="inlineStr">
        <is>
          <t>RANBAXY</t>
        </is>
      </c>
      <c r="E6" s="2" t="inlineStr">
        <is>
          <t>GENERICO - ATB</t>
        </is>
      </c>
      <c r="F6" s="2" t="inlineStr">
        <is>
          <t>A</t>
        </is>
      </c>
      <c r="G6" s="4" t="n">
        <v>58</v>
      </c>
      <c r="H6" s="4" t="n">
        <v>58</v>
      </c>
      <c r="I6" s="5" t="n">
        <v>27.5133</v>
      </c>
      <c r="J6" s="2" t="inlineStr">
        <is>
          <t>26/02/2026</t>
        </is>
      </c>
    </row>
    <row r="7">
      <c r="A7" s="2" t="n">
        <v>44921</v>
      </c>
      <c r="B7" s="3" t="inlineStr">
        <is>
          <t>7897076918819</t>
        </is>
      </c>
      <c r="C7" s="2" t="inlineStr">
        <is>
          <t>AXETIL CEFUROXIMA 250MG CX 10 COMP</t>
        </is>
      </c>
      <c r="D7" s="2" t="inlineStr">
        <is>
          <t>RANBAXY</t>
        </is>
      </c>
      <c r="E7" s="2" t="inlineStr">
        <is>
          <t>GENERICO - ATB</t>
        </is>
      </c>
      <c r="F7" s="2" t="inlineStr">
        <is>
          <t>C</t>
        </is>
      </c>
      <c r="G7" s="4" t="n">
        <v>1</v>
      </c>
      <c r="H7" s="4" t="n">
        <v>1</v>
      </c>
      <c r="I7" s="5" t="n">
        <v>32.2242</v>
      </c>
      <c r="J7" s="2" t="inlineStr">
        <is>
          <t>24/03/2026</t>
        </is>
      </c>
    </row>
    <row r="8">
      <c r="A8" s="2" t="n">
        <v>45241</v>
      </c>
      <c r="B8" s="3" t="inlineStr">
        <is>
          <t>7897076911131</t>
        </is>
      </c>
      <c r="C8" s="2" t="inlineStr">
        <is>
          <t>AXETILCEFUROXIMA 250MG/5ML FR 50ML</t>
        </is>
      </c>
      <c r="D8" s="2" t="inlineStr">
        <is>
          <t>RANBAXY</t>
        </is>
      </c>
      <c r="E8" s="2" t="inlineStr">
        <is>
          <t>GENERICO - ATB</t>
        </is>
      </c>
      <c r="F8" s="2" t="inlineStr">
        <is>
          <t>C</t>
        </is>
      </c>
      <c r="G8" s="4" t="n">
        <v>1</v>
      </c>
      <c r="H8" s="4" t="n">
        <v>1</v>
      </c>
      <c r="I8" s="5" t="n">
        <v>73.22</v>
      </c>
      <c r="J8" s="2" t="inlineStr">
        <is>
          <t>06/01/2026</t>
        </is>
      </c>
    </row>
    <row r="9">
      <c r="A9" s="2" t="n">
        <v>60121</v>
      </c>
      <c r="B9" s="3" t="inlineStr">
        <is>
          <t>7897076912336</t>
        </is>
      </c>
      <c r="C9" s="2" t="inlineStr">
        <is>
          <t>BISSULFATO DE CLOPIDOGREL 75MG ESTOJO 28 COMP</t>
        </is>
      </c>
      <c r="D9" s="2" t="inlineStr">
        <is>
          <t>RANBAXY</t>
        </is>
      </c>
      <c r="E9" s="2" t="inlineStr">
        <is>
          <t>GENERICO</t>
        </is>
      </c>
      <c r="F9" s="2" t="inlineStr">
        <is>
          <t>C</t>
        </is>
      </c>
      <c r="G9" s="4" t="n">
        <v>3</v>
      </c>
      <c r="H9" s="4" t="n">
        <v>3</v>
      </c>
      <c r="I9" s="5" t="n">
        <v>12.2911</v>
      </c>
      <c r="J9" s="2" t="inlineStr">
        <is>
          <t>02/09/2025</t>
        </is>
      </c>
    </row>
    <row r="10">
      <c r="A10" s="2" t="n">
        <v>71581</v>
      </c>
      <c r="B10" s="3" t="inlineStr">
        <is>
          <t>7897076922137</t>
        </is>
      </c>
      <c r="C10" s="2" t="inlineStr">
        <is>
          <t>CABERGOLINA 0,5MG ESTOJO 2 COMP</t>
        </is>
      </c>
      <c r="D10" s="2" t="inlineStr">
        <is>
          <t>RANBAXY</t>
        </is>
      </c>
      <c r="E10" s="2" t="inlineStr">
        <is>
          <t>GENERICO</t>
        </is>
      </c>
      <c r="F10" s="2" t="inlineStr">
        <is>
          <t>C</t>
        </is>
      </c>
      <c r="G10" s="4" t="n">
        <v>1</v>
      </c>
      <c r="H10" s="4" t="n">
        <v>1</v>
      </c>
      <c r="I10" s="5" t="n">
        <v>23.015</v>
      </c>
      <c r="J10" s="2" t="inlineStr">
        <is>
          <t>22/08/2025</t>
        </is>
      </c>
    </row>
    <row r="11">
      <c r="A11" s="2" t="n">
        <v>99721</v>
      </c>
      <c r="B11" s="3" t="inlineStr"/>
      <c r="C11" s="2" t="inlineStr">
        <is>
          <t>CINARIZINA 75MG CX 30 COMP</t>
        </is>
      </c>
      <c r="D11" s="2" t="inlineStr">
        <is>
          <t>RANBAXY</t>
        </is>
      </c>
      <c r="E11" s="2" t="inlineStr">
        <is>
          <t>GENERICO</t>
        </is>
      </c>
      <c r="F11" s="2" t="inlineStr">
        <is>
          <t>C</t>
        </is>
      </c>
      <c r="G11" s="4" t="n">
        <v>1</v>
      </c>
      <c r="H11" s="4" t="n">
        <v>1</v>
      </c>
      <c r="I11" s="5" t="n">
        <v>12.8588</v>
      </c>
      <c r="J11" s="2" t="inlineStr">
        <is>
          <t>24/03/2026</t>
        </is>
      </c>
    </row>
    <row r="12">
      <c r="A12" s="2" t="n">
        <v>146981</v>
      </c>
      <c r="B12" s="3" t="inlineStr"/>
      <c r="C12" s="2" t="inlineStr">
        <is>
          <t>CLORIDRATO DE FEXOFENADINA 180MG CX 10 COMP</t>
        </is>
      </c>
      <c r="D12" s="2" t="inlineStr">
        <is>
          <t>RANBAXY</t>
        </is>
      </c>
      <c r="E12" s="2" t="inlineStr">
        <is>
          <t>GENERICO</t>
        </is>
      </c>
      <c r="F12" s="2" t="inlineStr">
        <is>
          <t>B</t>
        </is>
      </c>
      <c r="G12" s="4" t="n">
        <v>5</v>
      </c>
      <c r="H12" s="4" t="n">
        <v>5</v>
      </c>
      <c r="I12" s="5" t="n">
        <v>10.476</v>
      </c>
      <c r="J12" s="2" t="inlineStr">
        <is>
          <t>22/08/2026</t>
        </is>
      </c>
    </row>
    <row r="13">
      <c r="A13" s="2" t="n">
        <v>184401</v>
      </c>
      <c r="B13" s="3" t="inlineStr">
        <is>
          <t>7897076913050</t>
        </is>
      </c>
      <c r="C13" s="2" t="inlineStr">
        <is>
          <t>CLORIDRATO DE VALACICLOVIR 500MG CX 10 COMP</t>
        </is>
      </c>
      <c r="D13" s="2" t="inlineStr">
        <is>
          <t>RANBAXY</t>
        </is>
      </c>
      <c r="E13" s="2" t="inlineStr">
        <is>
          <t>GENERICO</t>
        </is>
      </c>
      <c r="F13" s="2" t="inlineStr">
        <is>
          <t>A</t>
        </is>
      </c>
      <c r="G13" s="4" t="n">
        <v>1</v>
      </c>
      <c r="H13" s="4" t="n">
        <v>1</v>
      </c>
      <c r="I13" s="5" t="n">
        <v>61.6167</v>
      </c>
      <c r="J13" s="2" t="inlineStr">
        <is>
          <t>22/08/2026</t>
        </is>
      </c>
    </row>
    <row r="14">
      <c r="A14" s="2" t="n">
        <v>214001</v>
      </c>
      <c r="B14" s="3" t="inlineStr">
        <is>
          <t>7897076921499</t>
        </is>
      </c>
      <c r="C14" s="2" t="inlineStr">
        <is>
          <t>DICLORIDRATO DE LEVOCETIRIZINA 5MG CX 10 COMP REV</t>
        </is>
      </c>
      <c r="D14" s="2" t="inlineStr">
        <is>
          <t>RANBAXY</t>
        </is>
      </c>
      <c r="E14" s="2" t="inlineStr">
        <is>
          <t>GENERICO</t>
        </is>
      </c>
      <c r="F14" s="2" t="inlineStr">
        <is>
          <t>A</t>
        </is>
      </c>
      <c r="G14" s="4" t="n">
        <v>9</v>
      </c>
      <c r="H14" s="4" t="n">
        <v>9</v>
      </c>
      <c r="I14" s="5" t="n">
        <v>9.288</v>
      </c>
      <c r="J14" s="2" t="inlineStr">
        <is>
          <t>22/08/2026</t>
        </is>
      </c>
    </row>
    <row r="15">
      <c r="A15" s="2" t="n">
        <v>229061</v>
      </c>
      <c r="B15" s="3" t="inlineStr">
        <is>
          <t>7897076912183</t>
        </is>
      </c>
      <c r="C15" s="2" t="inlineStr">
        <is>
          <t>DOMPERIDONA 10MG CX 30 COMP</t>
        </is>
      </c>
      <c r="D15" s="2" t="inlineStr">
        <is>
          <t>RANBAXY</t>
        </is>
      </c>
      <c r="E15" s="2" t="inlineStr">
        <is>
          <t>GENERICO</t>
        </is>
      </c>
      <c r="F15" s="2" t="inlineStr">
        <is>
          <t>A</t>
        </is>
      </c>
      <c r="G15" s="4" t="n">
        <v>6</v>
      </c>
      <c r="H15" s="4" t="n">
        <v>6</v>
      </c>
      <c r="I15" s="5" t="n">
        <v>2.7489</v>
      </c>
      <c r="J15" s="2" t="inlineStr">
        <is>
          <t>26/02/2026</t>
        </is>
      </c>
    </row>
    <row r="16">
      <c r="A16" s="2" t="n">
        <v>234521</v>
      </c>
      <c r="B16" s="3" t="inlineStr">
        <is>
          <t>7897076914057</t>
        </is>
      </c>
      <c r="C16" s="2" t="inlineStr">
        <is>
          <t>ESOMEPRAZOL MAGNESIO 20MG CX 28 COMP</t>
        </is>
      </c>
      <c r="D16" s="2" t="inlineStr">
        <is>
          <t>RANBAXY</t>
        </is>
      </c>
      <c r="E16" s="2" t="inlineStr">
        <is>
          <t>GENERICO</t>
        </is>
      </c>
      <c r="F16" s="2" t="inlineStr">
        <is>
          <t>A</t>
        </is>
      </c>
      <c r="G16" s="4" t="n">
        <v>6</v>
      </c>
      <c r="H16" s="4" t="n">
        <v>6</v>
      </c>
      <c r="I16" s="5" t="n">
        <v>16.8671</v>
      </c>
      <c r="J16" s="2" t="inlineStr">
        <is>
          <t>22/08/2026</t>
        </is>
      </c>
    </row>
    <row r="17">
      <c r="A17" s="2" t="n">
        <v>265821</v>
      </c>
      <c r="B17" s="3" t="inlineStr">
        <is>
          <t>7897076922380</t>
        </is>
      </c>
      <c r="C17" s="2" t="inlineStr">
        <is>
          <t>GLICLAZIDA 30MG CX 30 COMP LIB PROL</t>
        </is>
      </c>
      <c r="D17" s="2" t="inlineStr">
        <is>
          <t>RANBAXY</t>
        </is>
      </c>
      <c r="E17" s="2" t="inlineStr">
        <is>
          <t>GENERICO</t>
        </is>
      </c>
      <c r="F17" s="2" t="inlineStr">
        <is>
          <t>C</t>
        </is>
      </c>
      <c r="G17" s="4" t="n">
        <v>8</v>
      </c>
      <c r="H17" s="4" t="n">
        <v>8</v>
      </c>
      <c r="I17" s="5" t="n">
        <v>5.5925</v>
      </c>
      <c r="J17" s="2" t="inlineStr">
        <is>
          <t>20/08/2026</t>
        </is>
      </c>
    </row>
    <row r="18">
      <c r="A18" s="2" t="n">
        <v>264801</v>
      </c>
      <c r="B18" s="3" t="inlineStr">
        <is>
          <t>7897076922397</t>
        </is>
      </c>
      <c r="C18" s="2" t="inlineStr">
        <is>
          <t>GLICLAZIDA 30MG CX 60 COMP LIB PROL</t>
        </is>
      </c>
      <c r="D18" s="2" t="inlineStr">
        <is>
          <t>RANBAXY</t>
        </is>
      </c>
      <c r="E18" s="2" t="inlineStr">
        <is>
          <t>GENERICO</t>
        </is>
      </c>
      <c r="F18" s="2" t="inlineStr">
        <is>
          <t>C</t>
        </is>
      </c>
      <c r="G18" s="4" t="n">
        <v>4</v>
      </c>
      <c r="H18" s="4" t="n">
        <v>4</v>
      </c>
      <c r="I18" s="5" t="n">
        <v>12.292</v>
      </c>
      <c r="J18" s="2" t="inlineStr">
        <is>
          <t>22/08/2026</t>
        </is>
      </c>
    </row>
    <row r="19">
      <c r="A19" s="2" t="n">
        <v>264821</v>
      </c>
      <c r="B19" s="3" t="inlineStr"/>
      <c r="C19" s="2" t="inlineStr">
        <is>
          <t>GLICLAZIDA 60MG ESTOJO 30 COMP</t>
        </is>
      </c>
      <c r="D19" s="2" t="inlineStr">
        <is>
          <t>RANBAXY</t>
        </is>
      </c>
      <c r="E19" s="2" t="inlineStr">
        <is>
          <t>GENERICO</t>
        </is>
      </c>
      <c r="F19" s="2" t="inlineStr">
        <is>
          <t>A</t>
        </is>
      </c>
      <c r="G19" s="4" t="n">
        <v>1</v>
      </c>
      <c r="H19" s="4" t="n">
        <v>1</v>
      </c>
      <c r="I19" s="5" t="n">
        <v>16.8203</v>
      </c>
      <c r="J19" s="2" t="inlineStr">
        <is>
          <t>22/08/2026</t>
        </is>
      </c>
    </row>
    <row r="20">
      <c r="A20" s="2" t="n">
        <v>518581</v>
      </c>
      <c r="B20" s="3" t="inlineStr">
        <is>
          <t>7897076923004</t>
        </is>
      </c>
      <c r="C20" s="2" t="inlineStr">
        <is>
          <t>HEMIFUMARATO DE BISOPROLOL 10MG CX 30 COMP REV</t>
        </is>
      </c>
      <c r="D20" s="2" t="inlineStr">
        <is>
          <t>RANBAXY</t>
        </is>
      </c>
      <c r="E20" s="2" t="inlineStr">
        <is>
          <t>GENERICO</t>
        </is>
      </c>
      <c r="F20" s="2" t="inlineStr">
        <is>
          <t>C</t>
        </is>
      </c>
      <c r="G20" s="4" t="n">
        <v>1</v>
      </c>
      <c r="H20" s="4" t="n">
        <v>1</v>
      </c>
      <c r="I20" s="5" t="n">
        <v>16.41</v>
      </c>
      <c r="J20" s="2" t="inlineStr">
        <is>
          <t>24/03/2026</t>
        </is>
      </c>
    </row>
    <row r="21">
      <c r="A21" s="2" t="n">
        <v>518541</v>
      </c>
      <c r="B21" s="3" t="inlineStr">
        <is>
          <t>7897076922984</t>
        </is>
      </c>
      <c r="C21" s="2" t="inlineStr">
        <is>
          <t>HEMIFUMARATO DE BISOPROLOL 2,5MG CX 30 COMP REV</t>
        </is>
      </c>
      <c r="D21" s="2" t="inlineStr">
        <is>
          <t>RANBAXY</t>
        </is>
      </c>
      <c r="E21" s="2" t="inlineStr">
        <is>
          <t>GENERICO</t>
        </is>
      </c>
      <c r="F21" s="2" t="inlineStr">
        <is>
          <t>C</t>
        </is>
      </c>
      <c r="G21" s="4" t="n">
        <v>3</v>
      </c>
      <c r="H21" s="4" t="n">
        <v>3</v>
      </c>
      <c r="I21" s="5" t="n">
        <v>10.99</v>
      </c>
      <c r="J21" s="2" t="inlineStr">
        <is>
          <t>24/03/2026</t>
        </is>
      </c>
    </row>
    <row r="22">
      <c r="A22" s="2" t="n">
        <v>7203</v>
      </c>
      <c r="B22" s="3" t="inlineStr">
        <is>
          <t>7897076923493</t>
        </is>
      </c>
      <c r="C22" s="2" t="inlineStr">
        <is>
          <t>LOSARTANA POTASSICA+HIDROCLOROTIAZIDA 50+12,5MG 30CPR</t>
        </is>
      </c>
      <c r="D22" s="2" t="inlineStr">
        <is>
          <t>RANBAXY</t>
        </is>
      </c>
      <c r="E22" s="2" t="inlineStr">
        <is>
          <t>GENERICO</t>
        </is>
      </c>
      <c r="F22" s="2" t="inlineStr">
        <is>
          <t>B</t>
        </is>
      </c>
      <c r="G22" s="4" t="n">
        <v>2</v>
      </c>
      <c r="H22" s="4" t="n">
        <v>2</v>
      </c>
      <c r="I22" s="5" t="n">
        <v>6.1012</v>
      </c>
      <c r="J22" s="2" t="inlineStr">
        <is>
          <t>24/03/2026</t>
        </is>
      </c>
    </row>
    <row r="23">
      <c r="C23" s="6" t="inlineStr">
        <is>
          <t>TOTAL</t>
        </is>
      </c>
      <c r="G23" s="7">
        <f>SUM(G2:G22)</f>
        <v/>
      </c>
      <c r="H23" s="7">
        <f>SUM(H2:H22)</f>
        <v/>
      </c>
    </row>
    <row r="25">
      <c r="A25" s="8" t="inlineStr">
        <is>
          <t>Pedido direto OL RANBAXY GENÉRICOS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