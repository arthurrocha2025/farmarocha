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527641</v>
      </c>
      <c r="B2" s="2" t="inlineStr">
        <is>
          <t>24767</t>
        </is>
      </c>
      <c r="C2" s="3" t="inlineStr">
        <is>
          <t>7896004729770</t>
        </is>
      </c>
      <c r="D2" s="2" t="inlineStr">
        <is>
          <t>BENZIFLEX 10MG CX 15 COMP REV</t>
        </is>
      </c>
      <c r="E2" s="4" t="n">
        <v>1</v>
      </c>
      <c r="F2" s="4" t="n">
        <v>1</v>
      </c>
      <c r="G2" s="4" t="n">
        <v>1</v>
      </c>
      <c r="H2" s="5" t="n">
        <v>6.68</v>
      </c>
      <c r="I2" s="5">
        <f>G2*H2</f>
        <v/>
      </c>
      <c r="J2" s="5">
        <f>H2/E2</f>
        <v/>
      </c>
      <c r="K2" s="5" t="n">
        <v>6.32</v>
      </c>
      <c r="L2" s="5" t="n">
        <v>6.32</v>
      </c>
      <c r="M2" s="5" t="n">
        <v>6.32</v>
      </c>
      <c r="N2" s="6">
        <f>J2/M2-1</f>
        <v/>
      </c>
      <c r="O2" s="6">
        <f>J2/K2-1</f>
        <v/>
      </c>
      <c r="P2" s="2" t="inlineStr">
        <is>
          <t>REAJUSTE +5.7% vs média (≤6%)</t>
        </is>
      </c>
      <c r="Q2" s="2" t="inlineStr"/>
    </row>
    <row r="3">
      <c r="A3" s="2" t="n">
        <v>211061</v>
      </c>
      <c r="B3" s="2" t="inlineStr">
        <is>
          <t>52787</t>
        </is>
      </c>
      <c r="C3" s="3" t="inlineStr">
        <is>
          <t>7896004726045</t>
        </is>
      </c>
      <c r="D3" s="2" t="inlineStr">
        <is>
          <t>BIOFLADEX FR 60G</t>
        </is>
      </c>
      <c r="E3" s="4" t="n">
        <v>1</v>
      </c>
      <c r="F3" s="4" t="n">
        <v>1</v>
      </c>
      <c r="G3" s="4" t="n">
        <v>1</v>
      </c>
      <c r="H3" s="5" t="n">
        <v>16.29</v>
      </c>
      <c r="I3" s="5">
        <f>G3*H3</f>
        <v/>
      </c>
      <c r="J3" s="5">
        <f>H3/E3</f>
        <v/>
      </c>
      <c r="K3" s="5" t="n">
        <v>15.66</v>
      </c>
      <c r="L3" s="5" t="n">
        <v>15.66</v>
      </c>
      <c r="M3" s="5" t="n">
        <v>15.66</v>
      </c>
      <c r="N3" s="6">
        <f>J3/M3-1</f>
        <v/>
      </c>
      <c r="O3" s="6">
        <f>J3/K3-1</f>
        <v/>
      </c>
      <c r="P3" s="2" t="inlineStr">
        <is>
          <t>REAJUSTE +4.0% vs média (≤6%)</t>
        </is>
      </c>
      <c r="Q3" s="2" t="inlineStr"/>
    </row>
    <row r="4">
      <c r="A4" s="2" t="n">
        <v>4923</v>
      </c>
      <c r="B4" s="2" t="inlineStr">
        <is>
          <t>183130</t>
        </is>
      </c>
      <c r="C4" s="3" t="inlineStr">
        <is>
          <t>7896472521821</t>
        </is>
      </c>
      <c r="D4" s="2" t="inlineStr">
        <is>
          <t>CLORIDRATO DE FEXOFENADINA 6MG/ML 60ML-NQ</t>
        </is>
      </c>
      <c r="E4" s="4" t="n">
        <v>1</v>
      </c>
      <c r="F4" s="4" t="n">
        <v>2</v>
      </c>
      <c r="G4" s="4" t="n">
        <v>2</v>
      </c>
      <c r="H4" s="5" t="n">
        <v>10.19</v>
      </c>
      <c r="I4" s="5">
        <f>G4*H4</f>
        <v/>
      </c>
      <c r="J4" s="5">
        <f>H4/E4</f>
        <v/>
      </c>
      <c r="K4" s="5" t="n">
        <v>13.28</v>
      </c>
      <c r="L4" s="5" t="n">
        <v>13.28</v>
      </c>
      <c r="M4" s="5" t="n">
        <v>13.28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inlineStr"/>
    </row>
    <row r="5">
      <c r="A5" s="2" t="n">
        <v>182141</v>
      </c>
      <c r="B5" s="2" t="inlineStr">
        <is>
          <t>193976</t>
        </is>
      </c>
      <c r="C5" s="3" t="inlineStr">
        <is>
          <t>7895296014014</t>
        </is>
      </c>
      <c r="D5" s="2" t="inlineStr">
        <is>
          <t>CLORIDRATO DE TRAMADOL 50MG CX 10 CAP</t>
        </is>
      </c>
      <c r="E5" s="4" t="n">
        <v>1</v>
      </c>
      <c r="F5" s="4" t="n">
        <v>6</v>
      </c>
      <c r="G5" s="4" t="n">
        <v>6</v>
      </c>
      <c r="H5" s="5" t="n">
        <v>4.75</v>
      </c>
      <c r="I5" s="5">
        <f>G5*H5</f>
        <v/>
      </c>
      <c r="J5" s="5">
        <f>H5/E5</f>
        <v/>
      </c>
      <c r="K5" s="5" t="n">
        <v>4.7842</v>
      </c>
      <c r="L5" s="5" t="n">
        <v>4.7842</v>
      </c>
      <c r="M5" s="5" t="n">
        <v>4.7842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inlineStr"/>
    </row>
    <row r="6">
      <c r="A6" s="2" t="n">
        <v>3433</v>
      </c>
      <c r="B6" s="2" t="inlineStr">
        <is>
          <t>187984</t>
        </is>
      </c>
      <c r="C6" s="3" t="inlineStr">
        <is>
          <t>7898108640692</t>
        </is>
      </c>
      <c r="D6" s="2" t="inlineStr">
        <is>
          <t>CURATIVO REDONDO CICATRISAN C/20 UND</t>
        </is>
      </c>
      <c r="E6" s="4" t="n">
        <v>1</v>
      </c>
      <c r="F6" s="4" t="n">
        <v>2</v>
      </c>
      <c r="G6" s="4" t="n">
        <v>2</v>
      </c>
      <c r="H6" s="5" t="n">
        <v>5.95</v>
      </c>
      <c r="I6" s="5">
        <f>G6*H6</f>
        <v/>
      </c>
      <c r="J6" s="5">
        <f>H6/E6</f>
        <v/>
      </c>
      <c r="K6" s="5" t="n">
        <v>5.815</v>
      </c>
      <c r="L6" s="5" t="n">
        <v>5.815</v>
      </c>
      <c r="M6" s="5" t="n">
        <v>5.815</v>
      </c>
      <c r="N6" s="6">
        <f>J6/M6-1</f>
        <v/>
      </c>
      <c r="O6" s="6">
        <f>J6/K6-1</f>
        <v/>
      </c>
      <c r="P6" s="2" t="inlineStr">
        <is>
          <t>REAJUSTE +2.3% vs últ. (≤4%)</t>
        </is>
      </c>
      <c r="Q6" s="2" t="inlineStr"/>
    </row>
    <row r="7">
      <c r="A7" s="2" t="n">
        <v>201421</v>
      </c>
      <c r="B7" s="2" t="inlineStr">
        <is>
          <t>194123</t>
        </is>
      </c>
      <c r="C7" s="3" t="inlineStr">
        <is>
          <t>7895296277051</t>
        </is>
      </c>
      <c r="D7" s="2" t="inlineStr">
        <is>
          <t>DEFLAZACORTE 6MG CX 20 COMP</t>
        </is>
      </c>
      <c r="E7" s="4" t="n">
        <v>1</v>
      </c>
      <c r="F7" s="4" t="n">
        <v>1</v>
      </c>
      <c r="G7" s="4" t="n">
        <v>1</v>
      </c>
      <c r="H7" s="5" t="n">
        <v>36.45</v>
      </c>
      <c r="I7" s="5">
        <f>G7*H7</f>
        <v/>
      </c>
      <c r="J7" s="5">
        <f>H7/E7</f>
        <v/>
      </c>
      <c r="K7" s="5" t="n">
        <v>34.39</v>
      </c>
      <c r="L7" s="5" t="n">
        <v>34.39</v>
      </c>
      <c r="M7" s="5" t="n">
        <v>34.39</v>
      </c>
      <c r="N7" s="6">
        <f>J7/M7-1</f>
        <v/>
      </c>
      <c r="O7" s="6">
        <f>J7/K7-1</f>
        <v/>
      </c>
      <c r="P7" s="2" t="inlineStr">
        <is>
          <t>REAJUSTE +6.0% vs média (≤6%)</t>
        </is>
      </c>
      <c r="Q7" s="2" t="inlineStr"/>
    </row>
    <row r="8">
      <c r="A8" s="2" t="n">
        <v>238761</v>
      </c>
      <c r="B8" s="2" t="inlineStr">
        <is>
          <t>194379</t>
        </is>
      </c>
      <c r="C8" s="3" t="inlineStr">
        <is>
          <t>7895296100038</t>
        </is>
      </c>
      <c r="D8" s="2" t="inlineStr">
        <is>
          <t>DROSPIRENONA+ETINILESTRADIOL 3+0,03MG CX 21 COMP REV</t>
        </is>
      </c>
      <c r="E8" s="4" t="n">
        <v>1</v>
      </c>
      <c r="F8" s="4" t="n">
        <v>11</v>
      </c>
      <c r="G8" s="4" t="n">
        <v>11</v>
      </c>
      <c r="H8" s="5" t="n">
        <v>10.39</v>
      </c>
      <c r="I8" s="5">
        <f>G8*H8</f>
        <v/>
      </c>
      <c r="J8" s="5">
        <f>H8/E8</f>
        <v/>
      </c>
      <c r="K8" s="5" t="n">
        <v>10.44</v>
      </c>
      <c r="L8" s="5" t="n">
        <v>8.948700000000001</v>
      </c>
      <c r="M8" s="5" t="n">
        <v>9.9429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inlineStr"/>
    </row>
    <row r="9">
      <c r="A9" s="2" t="n">
        <v>660351</v>
      </c>
      <c r="B9" s="2" t="inlineStr">
        <is>
          <t>194328</t>
        </is>
      </c>
      <c r="C9" s="3" t="inlineStr">
        <is>
          <t>7896472521845</t>
        </is>
      </c>
      <c r="D9" s="2" t="inlineStr">
        <is>
          <t>EZETIMIBA 10MG 30 CPR</t>
        </is>
      </c>
      <c r="E9" s="4" t="n">
        <v>1</v>
      </c>
      <c r="F9" s="4" t="n">
        <v>6</v>
      </c>
      <c r="G9" s="4" t="n">
        <v>6</v>
      </c>
      <c r="H9" s="5" t="n">
        <v>16.49</v>
      </c>
      <c r="I9" s="5">
        <f>G9*H9</f>
        <v/>
      </c>
      <c r="J9" s="5">
        <f>H9/E9</f>
        <v/>
      </c>
      <c r="K9" s="5" t="n">
        <v>15.99</v>
      </c>
      <c r="L9" s="5" t="n">
        <v>15.99</v>
      </c>
      <c r="M9" s="5" t="n">
        <v>15.99</v>
      </c>
      <c r="N9" s="6">
        <f>J9/M9-1</f>
        <v/>
      </c>
      <c r="O9" s="6">
        <f>J9/K9-1</f>
        <v/>
      </c>
      <c r="P9" s="2" t="inlineStr">
        <is>
          <t>REAJUSTE +3.1% vs últ. (≤4%)</t>
        </is>
      </c>
      <c r="Q9" s="2" t="inlineStr"/>
    </row>
    <row r="10">
      <c r="A10" s="2" t="n">
        <v>630321</v>
      </c>
      <c r="B10" s="2" t="inlineStr">
        <is>
          <t>179620</t>
        </is>
      </c>
      <c r="C10" s="3" t="inlineStr">
        <is>
          <t>7898687735918</t>
        </is>
      </c>
      <c r="D10" s="2" t="inlineStr">
        <is>
          <t>IROSE  NITAZOXANIDA 20MG/ML PO SUS OR FR 100ML+SER DOS</t>
        </is>
      </c>
      <c r="E10" s="4" t="n">
        <v>1</v>
      </c>
      <c r="F10" s="4" t="n">
        <v>11</v>
      </c>
      <c r="G10" s="4" t="n">
        <v>11</v>
      </c>
      <c r="H10" s="5" t="n">
        <v>15.11</v>
      </c>
      <c r="I10" s="5">
        <f>G10*H10</f>
        <v/>
      </c>
      <c r="J10" s="5">
        <f>H10/E10</f>
        <v/>
      </c>
      <c r="K10" s="5" t="n">
        <v>14.56</v>
      </c>
      <c r="L10" s="5" t="n">
        <v>14.56</v>
      </c>
      <c r="M10" s="5" t="n">
        <v>14.56</v>
      </c>
      <c r="N10" s="6">
        <f>J10/M10-1</f>
        <v/>
      </c>
      <c r="O10" s="6">
        <f>J10/K10-1</f>
        <v/>
      </c>
      <c r="P10" s="2" t="inlineStr">
        <is>
          <t>REAJUSTE +3.8% vs últ. (≤4%)</t>
        </is>
      </c>
      <c r="Q10" s="2" t="inlineStr"/>
    </row>
    <row r="11">
      <c r="A11" s="2" t="n">
        <v>336001</v>
      </c>
      <c r="B11" s="2" t="inlineStr">
        <is>
          <t>132721</t>
        </is>
      </c>
      <c r="C11" s="3" t="inlineStr">
        <is>
          <t>7898945030212</t>
        </is>
      </c>
      <c r="D11" s="2" t="inlineStr">
        <is>
          <t>MALEATO DE TRIMEBUTINA 200MG CX 30 COMP</t>
        </is>
      </c>
      <c r="E11" s="4" t="n">
        <v>1</v>
      </c>
      <c r="F11" s="4" t="n">
        <v>1</v>
      </c>
      <c r="G11" s="4" t="n">
        <v>1</v>
      </c>
      <c r="H11" s="5" t="n">
        <v>34.66</v>
      </c>
      <c r="I11" s="5">
        <f>G11*H11</f>
        <v/>
      </c>
      <c r="J11" s="5">
        <f>H11/E11</f>
        <v/>
      </c>
      <c r="K11" s="5" t="n">
        <v>33.8</v>
      </c>
      <c r="L11" s="5" t="n">
        <v>31.95</v>
      </c>
      <c r="M11" s="5" t="n">
        <v>33.18333333333333</v>
      </c>
      <c r="N11" s="6">
        <f>J11/M11-1</f>
        <v/>
      </c>
      <c r="O11" s="6">
        <f>J11/K11-1</f>
        <v/>
      </c>
      <c r="P11" s="2" t="inlineStr">
        <is>
          <t>REAJUSTE +2.5% vs últ. (≤4%)</t>
        </is>
      </c>
      <c r="Q11" s="2" t="inlineStr"/>
    </row>
    <row r="12">
      <c r="A12" s="2" t="n">
        <v>652061</v>
      </c>
      <c r="B12" s="2" t="inlineStr">
        <is>
          <t>184640</t>
        </is>
      </c>
      <c r="C12" s="3" t="inlineStr">
        <is>
          <t>7891317029951</t>
        </is>
      </c>
      <c r="D12" s="2" t="inlineStr">
        <is>
          <t>MAQ SENIOR PREMIUM 30CPR-DEMAIS PROD</t>
        </is>
      </c>
      <c r="E12" s="4" t="n">
        <v>1</v>
      </c>
      <c r="F12" s="4" t="n">
        <v>1</v>
      </c>
      <c r="G12" s="4" t="n">
        <v>1</v>
      </c>
      <c r="H12" s="5" t="n">
        <v>39.15</v>
      </c>
      <c r="I12" s="5">
        <f>G12*H12</f>
        <v/>
      </c>
      <c r="J12" s="5">
        <f>H12/E12</f>
        <v/>
      </c>
      <c r="K12" s="5" t="n">
        <v>40.97</v>
      </c>
      <c r="L12" s="5" t="n">
        <v>40.97</v>
      </c>
      <c r="M12" s="5" t="n">
        <v>40.97</v>
      </c>
      <c r="N12" s="6">
        <f>J12/M12-1</f>
        <v/>
      </c>
      <c r="O12" s="6">
        <f>J12/K12-1</f>
        <v/>
      </c>
      <c r="P12" s="2" t="inlineStr">
        <is>
          <t>OK (≤ últ. compra)</t>
        </is>
      </c>
      <c r="Q12" s="2" t="inlineStr"/>
    </row>
    <row r="13">
      <c r="A13" s="2" t="n">
        <v>388861</v>
      </c>
      <c r="B13" s="2" t="inlineStr">
        <is>
          <t>193720</t>
        </is>
      </c>
      <c r="C13" s="3" t="inlineStr">
        <is>
          <t>7895296199025</t>
        </is>
      </c>
      <c r="D13" s="2" t="inlineStr">
        <is>
          <t>PANTOPRAZOL 20MG CX 4BL X 7 COMP REV</t>
        </is>
      </c>
      <c r="E13" s="4" t="n">
        <v>1</v>
      </c>
      <c r="F13" s="4" t="n">
        <v>1</v>
      </c>
      <c r="G13" s="4" t="n">
        <v>1</v>
      </c>
      <c r="H13" s="5" t="n">
        <v>4.69</v>
      </c>
      <c r="I13" s="5">
        <f>G13*H13</f>
        <v/>
      </c>
      <c r="J13" s="5">
        <f>H13/E13</f>
        <v/>
      </c>
      <c r="K13" s="5" t="n">
        <v>6.5</v>
      </c>
      <c r="L13" s="5" t="n">
        <v>6.38</v>
      </c>
      <c r="M13" s="5" t="n">
        <v>6.419999999999999</v>
      </c>
      <c r="N13" s="6">
        <f>J13/M13-1</f>
        <v/>
      </c>
      <c r="O13" s="6">
        <f>J13/K13-1</f>
        <v/>
      </c>
      <c r="P13" s="2" t="inlineStr">
        <is>
          <t>OK (≤ últ. compra)</t>
        </is>
      </c>
      <c r="Q13" s="2" t="inlineStr"/>
    </row>
    <row r="14">
      <c r="A14" s="2" t="n">
        <v>407821</v>
      </c>
      <c r="B14" s="2" t="inlineStr">
        <is>
          <t>190837</t>
        </is>
      </c>
      <c r="C14" s="3" t="inlineStr">
        <is>
          <t>7898569765347</t>
        </is>
      </c>
      <c r="D14" s="2" t="inlineStr">
        <is>
          <t>PREDNISOLONA 5MG CX 10 COMP</t>
        </is>
      </c>
      <c r="E14" s="4" t="n">
        <v>1</v>
      </c>
      <c r="F14" s="4" t="n">
        <v>3</v>
      </c>
      <c r="G14" s="4" t="n">
        <v>3</v>
      </c>
      <c r="H14" s="5" t="n">
        <v>4.22</v>
      </c>
      <c r="I14" s="5">
        <f>G14*H14</f>
        <v/>
      </c>
      <c r="J14" s="5">
        <f>H14/E14</f>
        <v/>
      </c>
      <c r="K14" s="5" t="n">
        <v>4.32</v>
      </c>
      <c r="L14" s="5" t="n">
        <v>4.32</v>
      </c>
      <c r="M14" s="5" t="n">
        <v>4.32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inlineStr"/>
    </row>
    <row r="15">
      <c r="A15" s="2" t="n">
        <v>409221</v>
      </c>
      <c r="B15" s="2" t="inlineStr">
        <is>
          <t>193518</t>
        </is>
      </c>
      <c r="C15" s="3" t="inlineStr">
        <is>
          <t>7895296286022</t>
        </is>
      </c>
      <c r="D15" s="2" t="inlineStr">
        <is>
          <t>PREDNISONA 5MG CX 20 COMP</t>
        </is>
      </c>
      <c r="E15" s="4" t="n">
        <v>1</v>
      </c>
      <c r="F15" s="4" t="n">
        <v>2</v>
      </c>
      <c r="G15" s="4" t="n">
        <v>2</v>
      </c>
      <c r="H15" s="5" t="n">
        <v>4.49</v>
      </c>
      <c r="I15" s="5">
        <f>G15*H15</f>
        <v/>
      </c>
      <c r="J15" s="5">
        <f>H15/E15</f>
        <v/>
      </c>
      <c r="K15" s="5" t="n">
        <v>4.28</v>
      </c>
      <c r="L15" s="5" t="n">
        <v>4.28</v>
      </c>
      <c r="M15" s="5" t="n">
        <v>4.28</v>
      </c>
      <c r="N15" s="6">
        <f>J15/M15-1</f>
        <v/>
      </c>
      <c r="O15" s="6">
        <f>J15/K15-1</f>
        <v/>
      </c>
      <c r="P15" s="2" t="inlineStr">
        <is>
          <t>REAJUSTE +4.9% vs média (≤6%)</t>
        </is>
      </c>
      <c r="Q15" s="2" t="inlineStr"/>
    </row>
    <row r="16">
      <c r="A16" s="2" t="n">
        <v>457261</v>
      </c>
      <c r="B16" s="2" t="inlineStr">
        <is>
          <t>193143</t>
        </is>
      </c>
      <c r="C16" s="3" t="inlineStr">
        <is>
          <t>7895296240031</t>
        </is>
      </c>
      <c r="D16" s="2" t="inlineStr">
        <is>
          <t>TADALAFILA 5MG CX 2BL X 15 COMP REV</t>
        </is>
      </c>
      <c r="E16" s="4" t="n">
        <v>1</v>
      </c>
      <c r="F16" s="4" t="n">
        <v>2</v>
      </c>
      <c r="G16" s="4" t="n">
        <v>2</v>
      </c>
      <c r="H16" s="5" t="n">
        <v>3.69</v>
      </c>
      <c r="I16" s="5">
        <f>G16*H16</f>
        <v/>
      </c>
      <c r="J16" s="5">
        <f>H16/E16</f>
        <v/>
      </c>
      <c r="K16" s="5" t="n">
        <v>3.74</v>
      </c>
      <c r="L16" s="5" t="n">
        <v>3.74</v>
      </c>
      <c r="M16" s="5" t="n">
        <v>3.74</v>
      </c>
      <c r="N16" s="6">
        <f>J16/M16-1</f>
        <v/>
      </c>
      <c r="O16" s="6">
        <f>J16/K16-1</f>
        <v/>
      </c>
      <c r="P16" s="2" t="inlineStr">
        <is>
          <t>OK (≤ últ. compra)</t>
        </is>
      </c>
      <c r="Q16" s="2" t="inlineStr"/>
    </row>
    <row r="17">
      <c r="A17" s="2" t="n">
        <v>462441</v>
      </c>
      <c r="B17" s="2" t="inlineStr">
        <is>
          <t>193135</t>
        </is>
      </c>
      <c r="C17" s="3" t="inlineStr">
        <is>
          <t>7895296132039</t>
        </is>
      </c>
      <c r="D17" s="2" t="inlineStr">
        <is>
          <t>TIBOLONA 2,5MG  CX 30 COMP</t>
        </is>
      </c>
      <c r="E17" s="4" t="n">
        <v>1</v>
      </c>
      <c r="F17" s="4" t="n">
        <v>3</v>
      </c>
      <c r="G17" s="4" t="n">
        <v>3</v>
      </c>
      <c r="H17" s="5" t="n">
        <v>24.85</v>
      </c>
      <c r="I17" s="5">
        <f>G17*H17</f>
        <v/>
      </c>
      <c r="J17" s="5">
        <f>H17/E17</f>
        <v/>
      </c>
      <c r="K17" s="5" t="n">
        <v>25.2</v>
      </c>
      <c r="L17" s="5" t="n">
        <v>24.21</v>
      </c>
      <c r="M17" s="5" t="n">
        <v>24.54</v>
      </c>
      <c r="N17" s="6">
        <f>J17/M17-1</f>
        <v/>
      </c>
      <c r="O17" s="6">
        <f>J17/K17-1</f>
        <v/>
      </c>
      <c r="P17" s="2" t="inlineStr">
        <is>
          <t>OK (≤ últ. compra)</t>
        </is>
      </c>
      <c r="Q17" s="2" t="inlineStr"/>
    </row>
    <row r="18">
      <c r="A18" s="2" t="n">
        <v>648221</v>
      </c>
      <c r="B18" s="2" t="inlineStr">
        <is>
          <t>204820</t>
        </is>
      </c>
      <c r="C18" s="3" t="inlineStr">
        <is>
          <t>6939184632407</t>
        </is>
      </c>
      <c r="D18" s="2" t="inlineStr">
        <is>
          <t>TIRA DE TESTE DE GLICOSE C/50 UND</t>
        </is>
      </c>
      <c r="E18" s="4" t="n">
        <v>1</v>
      </c>
      <c r="F18" s="4" t="n">
        <v>2</v>
      </c>
      <c r="G18" s="4" t="n">
        <v>2</v>
      </c>
      <c r="H18" s="5" t="n">
        <v>29.9</v>
      </c>
      <c r="I18" s="5">
        <f>G18*H18</f>
        <v/>
      </c>
      <c r="J18" s="5">
        <f>H18/E18</f>
        <v/>
      </c>
      <c r="K18" s="5" t="n">
        <v>44.53</v>
      </c>
      <c r="L18" s="5" t="n">
        <v>44.53</v>
      </c>
      <c r="M18" s="5" t="n">
        <v>44.53</v>
      </c>
      <c r="N18" s="6">
        <f>J18/M18-1</f>
        <v/>
      </c>
      <c r="O18" s="6">
        <f>J18/K18-1</f>
        <v/>
      </c>
      <c r="P18" s="2" t="inlineStr">
        <is>
          <t>OK (≤ últ. compra)</t>
        </is>
      </c>
      <c r="Q18" s="2" t="inlineStr"/>
    </row>
    <row r="19">
      <c r="A19" s="2" t="n">
        <v>662781</v>
      </c>
      <c r="B19" s="2" t="inlineStr">
        <is>
          <t>192929</t>
        </is>
      </c>
      <c r="C19" s="3" t="inlineStr">
        <is>
          <t>7896472521784</t>
        </is>
      </c>
      <c r="D19" s="2" t="inlineStr">
        <is>
          <t>VALSARTANA 320MG 30 COM-NQ</t>
        </is>
      </c>
      <c r="E19" s="4" t="n">
        <v>1</v>
      </c>
      <c r="F19" s="4" t="n">
        <v>5</v>
      </c>
      <c r="G19" s="4" t="n">
        <v>5</v>
      </c>
      <c r="H19" s="5" t="n">
        <v>25.05</v>
      </c>
      <c r="I19" s="5">
        <f>G19*H19</f>
        <v/>
      </c>
      <c r="J19" s="5">
        <f>H19/E19</f>
        <v/>
      </c>
      <c r="K19" s="5" t="n">
        <v>25.39</v>
      </c>
      <c r="L19" s="5" t="n">
        <v>25.39</v>
      </c>
      <c r="M19" s="5" t="n">
        <v>25.39</v>
      </c>
      <c r="N19" s="6">
        <f>J19/M19-1</f>
        <v/>
      </c>
      <c r="O19" s="6">
        <f>J19/K19-1</f>
        <v/>
      </c>
      <c r="P19" s="2" t="inlineStr">
        <is>
          <t>OK (≤ últ. compra)</t>
        </is>
      </c>
      <c r="Q19" s="2" t="inlineStr"/>
    </row>
    <row r="20">
      <c r="D20" s="7" t="inlineStr">
        <is>
          <t>TOTAL</t>
        </is>
      </c>
      <c r="I20" s="8">
        <f>SUM(I2:I19)</f>
        <v/>
      </c>
    </row>
    <row r="22">
      <c r="A22" s="9" t="inlineStr">
        <is>
          <t>Pedido FINAL PLUSFARMA — cotação 08/09/2026 (fechada 09/09). Somente itens aprovados: teto de reajuste de 4% sobre a última compra OU 6% sobre a média histórica (3/6/12m).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2026-09-09T17:18:10Z</dcterms:created>
  <dcterms:modified xsi:type="dcterms:W3CDTF">2026-09-09T17:18:10Z</dcterms:modified>
</cp:coreProperties>
</file>