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  <col width="11" customWidth="1" min="18" max="18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  <c r="R1" s="1" t="inlineStr">
        <is>
          <t>Categoria</t>
        </is>
      </c>
    </row>
    <row r="2">
      <c r="A2" s="2" t="n">
        <v>274461</v>
      </c>
      <c r="B2" s="2" t="inlineStr">
        <is>
          <t>100013</t>
        </is>
      </c>
      <c r="C2" s="3" t="inlineStr">
        <is>
          <t>7898040320973</t>
        </is>
      </c>
      <c r="D2" s="2" t="inlineStr">
        <is>
          <t>ABRILAR 7MG XPE FR 100ML+CM</t>
        </is>
      </c>
      <c r="E2" s="4" t="n">
        <v>1</v>
      </c>
      <c r="F2" s="4" t="n">
        <v>5</v>
      </c>
      <c r="G2" s="4" t="n">
        <v>5</v>
      </c>
      <c r="H2" s="5" t="n">
        <v>41.46</v>
      </c>
      <c r="I2" s="5">
        <f>G2*H2</f>
        <v/>
      </c>
      <c r="J2" s="5">
        <f>H2/E2</f>
        <v/>
      </c>
      <c r="K2" s="5" t="n">
        <v>42.64</v>
      </c>
      <c r="L2" s="5" t="n">
        <v>33.1775</v>
      </c>
      <c r="M2" s="5" t="n">
        <v>36.61166666666667</v>
      </c>
      <c r="N2" s="6">
        <f>J2/M2-1</f>
        <v/>
      </c>
      <c r="O2" s="6">
        <f>J2/K2-1</f>
        <v/>
      </c>
      <c r="P2" s="2" t="inlineStr">
        <is>
          <t>OK (≤ últ. compra)</t>
        </is>
      </c>
      <c r="Q2" s="2" t="n"/>
      <c r="R2" s="2" t="inlineStr">
        <is>
          <t>RX</t>
        </is>
      </c>
    </row>
    <row r="3">
      <c r="A3" s="2" t="n">
        <v>642771</v>
      </c>
      <c r="B3" s="2" t="inlineStr">
        <is>
          <t>722011</t>
        </is>
      </c>
      <c r="C3" s="3" t="inlineStr">
        <is>
          <t>7892828001016</t>
        </is>
      </c>
      <c r="D3" s="2" t="inlineStr">
        <is>
          <t>ADEFORTE ORAL 01 AMP</t>
        </is>
      </c>
      <c r="E3" s="4" t="n">
        <v>1</v>
      </c>
      <c r="F3" s="4" t="n">
        <v>8</v>
      </c>
      <c r="G3" s="4" t="n">
        <v>8</v>
      </c>
      <c r="H3" s="5" t="n">
        <v>21.42</v>
      </c>
      <c r="I3" s="5">
        <f>G3*H3</f>
        <v/>
      </c>
      <c r="J3" s="5">
        <f>H3/E3</f>
        <v/>
      </c>
      <c r="K3" s="5" t="n">
        <v>24.86</v>
      </c>
      <c r="L3" s="5" t="n">
        <v>17.3474</v>
      </c>
      <c r="M3" s="5" t="n">
        <v>21.62523333333333</v>
      </c>
      <c r="N3" s="6">
        <f>J3/M3-1</f>
        <v/>
      </c>
      <c r="O3" s="6">
        <f>J3/K3-1</f>
        <v/>
      </c>
      <c r="P3" s="2" t="inlineStr">
        <is>
          <t>OK (≤ últ. compra)</t>
        </is>
      </c>
      <c r="Q3" s="2" t="n"/>
      <c r="R3" s="2" t="inlineStr">
        <is>
          <t>OTC</t>
        </is>
      </c>
    </row>
    <row r="4">
      <c r="A4" s="2" t="n">
        <v>124481</v>
      </c>
      <c r="B4" s="2" t="inlineStr">
        <is>
          <t>104954</t>
        </is>
      </c>
      <c r="C4" s="3" t="inlineStr">
        <is>
          <t>7896094207851</t>
        </is>
      </c>
      <c r="D4" s="2" t="inlineStr">
        <is>
          <t>ANCORON 200MG CX 30 COMP REV</t>
        </is>
      </c>
      <c r="E4" s="4" t="n">
        <v>1</v>
      </c>
      <c r="F4" s="4" t="n">
        <v>1</v>
      </c>
      <c r="G4" s="4" t="n">
        <v>1</v>
      </c>
      <c r="H4" s="5" t="n">
        <v>48.36</v>
      </c>
      <c r="I4" s="5">
        <f>G4*H4</f>
        <v/>
      </c>
      <c r="J4" s="5">
        <f>H4/E4</f>
        <v/>
      </c>
      <c r="K4" s="5" t="n">
        <v>50.26</v>
      </c>
      <c r="L4" s="5" t="n">
        <v>42.28</v>
      </c>
      <c r="M4" s="5" t="n">
        <v>46.33333333333334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n"/>
      <c r="R4" s="2" t="inlineStr">
        <is>
          <t>RX</t>
        </is>
      </c>
    </row>
    <row r="5">
      <c r="A5" s="2" t="n">
        <v>241121</v>
      </c>
      <c r="B5" s="2" t="inlineStr">
        <is>
          <t>100280</t>
        </is>
      </c>
      <c r="C5" s="3" t="inlineStr">
        <is>
          <t>7897337704984</t>
        </is>
      </c>
      <c r="D5" s="2" t="inlineStr">
        <is>
          <t>ARCOXIA 90MG CX 7 COMP</t>
        </is>
      </c>
      <c r="E5" s="4" t="n">
        <v>1</v>
      </c>
      <c r="F5" s="4" t="n">
        <v>1</v>
      </c>
      <c r="G5" s="4" t="n">
        <v>1</v>
      </c>
      <c r="H5" s="5" t="n">
        <v>61.85</v>
      </c>
      <c r="I5" s="5">
        <f>G5*H5</f>
        <v/>
      </c>
      <c r="J5" s="5">
        <f>H5/E5</f>
        <v/>
      </c>
      <c r="K5" s="5" t="n">
        <v>62.92</v>
      </c>
      <c r="L5" s="5" t="n">
        <v>56.51</v>
      </c>
      <c r="M5" s="5" t="n">
        <v>60.21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n"/>
      <c r="R5" s="2" t="inlineStr">
        <is>
          <t>RX</t>
        </is>
      </c>
    </row>
    <row r="6">
      <c r="A6" s="2" t="n">
        <v>15761</v>
      </c>
      <c r="B6" s="2" t="inlineStr">
        <is>
          <t>105085</t>
        </is>
      </c>
      <c r="C6" s="3" t="inlineStr">
        <is>
          <t>5702191025637</t>
        </is>
      </c>
      <c r="D6" s="2" t="inlineStr">
        <is>
          <t>AZELAN 150 MG/G GEL CT BG AL X 30 G</t>
        </is>
      </c>
      <c r="E6" s="4" t="n">
        <v>1</v>
      </c>
      <c r="F6" s="4" t="n">
        <v>3</v>
      </c>
      <c r="G6" s="4" t="n">
        <v>3</v>
      </c>
      <c r="H6" s="5" t="n">
        <v>69.38</v>
      </c>
      <c r="I6" s="5">
        <f>G6*H6</f>
        <v/>
      </c>
      <c r="J6" s="5">
        <f>H6/E6</f>
        <v/>
      </c>
      <c r="K6" s="5" t="n">
        <v>67.23999999999999</v>
      </c>
      <c r="L6" s="5" t="n">
        <v>63.655</v>
      </c>
      <c r="M6" s="5" t="n">
        <v>64.84999999999999</v>
      </c>
      <c r="N6" s="6">
        <f>J6/M6-1</f>
        <v/>
      </c>
      <c r="O6" s="6">
        <f>J6/K6-1</f>
        <v/>
      </c>
      <c r="P6" s="2" t="inlineStr">
        <is>
          <t>REAJUSTE +3.2% vs últ. (≤4%)</t>
        </is>
      </c>
      <c r="Q6" s="2" t="n"/>
      <c r="R6" s="2" t="inlineStr">
        <is>
          <t>OTC</t>
        </is>
      </c>
    </row>
    <row r="7">
      <c r="A7" s="2" t="n">
        <v>49061</v>
      </c>
      <c r="B7" s="2" t="inlineStr">
        <is>
          <t>115156</t>
        </is>
      </c>
      <c r="C7" s="3" t="inlineStr">
        <is>
          <t>7891317496241</t>
        </is>
      </c>
      <c r="D7" s="2" t="inlineStr">
        <is>
          <t>BENZETACIL 300.000U/ML SUS INJ 1FA X 4ML</t>
        </is>
      </c>
      <c r="E7" s="4" t="n">
        <v>1</v>
      </c>
      <c r="F7" s="4" t="n">
        <v>3</v>
      </c>
      <c r="G7" s="4" t="n">
        <v>3</v>
      </c>
      <c r="H7" s="5" t="n">
        <v>15.25</v>
      </c>
      <c r="I7" s="5">
        <f>G7*H7</f>
        <v/>
      </c>
      <c r="J7" s="5">
        <f>H7/E7</f>
        <v/>
      </c>
      <c r="K7" s="5" t="n">
        <v>15.69</v>
      </c>
      <c r="L7" s="5" t="n">
        <v>14.3625</v>
      </c>
      <c r="M7" s="5" t="n">
        <v>15.08466666666667</v>
      </c>
      <c r="N7" s="6">
        <f>J7/M7-1</f>
        <v/>
      </c>
      <c r="O7" s="6">
        <f>J7/K7-1</f>
        <v/>
      </c>
      <c r="P7" s="2" t="inlineStr">
        <is>
          <t>OK (≤ últ. compra)</t>
        </is>
      </c>
      <c r="Q7" s="2" t="n"/>
      <c r="R7" s="2" t="inlineStr">
        <is>
          <t>RX</t>
        </is>
      </c>
    </row>
    <row r="8">
      <c r="A8" s="2" t="n">
        <v>82401</v>
      </c>
      <c r="B8" s="2" t="inlineStr">
        <is>
          <t>100480</t>
        </is>
      </c>
      <c r="C8" s="3" t="inlineStr">
        <is>
          <t>7896026171182</t>
        </is>
      </c>
      <c r="D8" s="2" t="inlineStr">
        <is>
          <t>BESEROL 300+125+50+30MG CX 12 COMP</t>
        </is>
      </c>
      <c r="E8" s="4" t="n">
        <v>1</v>
      </c>
      <c r="F8" s="4" t="n">
        <v>4</v>
      </c>
      <c r="G8" s="4" t="n">
        <v>4</v>
      </c>
      <c r="H8" s="5" t="n">
        <v>18.86</v>
      </c>
      <c r="I8" s="5">
        <f>G8*H8</f>
        <v/>
      </c>
      <c r="J8" s="5">
        <f>H8/E8</f>
        <v/>
      </c>
      <c r="K8" s="5" t="n">
        <v>18.3167</v>
      </c>
      <c r="L8" s="5" t="n">
        <v>11.71</v>
      </c>
      <c r="M8" s="5" t="n">
        <v>12.97953333333333</v>
      </c>
      <c r="N8" s="6">
        <f>J8/M8-1</f>
        <v/>
      </c>
      <c r="O8" s="6">
        <f>J8/K8-1</f>
        <v/>
      </c>
      <c r="P8" s="2" t="inlineStr">
        <is>
          <t>REAJUSTE +3.0% vs últ. (≤4%)</t>
        </is>
      </c>
      <c r="Q8" s="2" t="n"/>
      <c r="R8" s="2" t="inlineStr">
        <is>
          <t>RX</t>
        </is>
      </c>
    </row>
    <row r="9">
      <c r="A9" s="2" t="n">
        <v>48321</v>
      </c>
      <c r="B9" s="2" t="inlineStr">
        <is>
          <t>404362</t>
        </is>
      </c>
      <c r="C9" s="3" t="inlineStr">
        <is>
          <t>7898100268290</t>
        </is>
      </c>
      <c r="D9" s="2" t="inlineStr">
        <is>
          <t>BIOVICERIN  END/ML SUS OR 2 FLAC X 5ML</t>
        </is>
      </c>
      <c r="E9" s="4" t="n">
        <v>1</v>
      </c>
      <c r="F9" s="4" t="n">
        <v>9</v>
      </c>
      <c r="G9" s="4" t="n">
        <v>9</v>
      </c>
      <c r="H9" s="5" t="n">
        <v>10.8</v>
      </c>
      <c r="I9" s="5">
        <f>G9*H9</f>
        <v/>
      </c>
      <c r="J9" s="5">
        <f>H9/E9</f>
        <v/>
      </c>
      <c r="K9" s="5" t="n">
        <v>11.36</v>
      </c>
      <c r="L9" s="5" t="n">
        <v>8.533300000000001</v>
      </c>
      <c r="M9" s="5" t="n">
        <v>8.757766666666667</v>
      </c>
      <c r="N9" s="6">
        <f>J9/M9-1</f>
        <v/>
      </c>
      <c r="O9" s="6">
        <f>J9/K9-1</f>
        <v/>
      </c>
      <c r="P9" s="2" t="inlineStr">
        <is>
          <t>OK (≤ últ. compra)</t>
        </is>
      </c>
      <c r="Q9" s="2" t="n"/>
      <c r="R9" s="2" t="inlineStr">
        <is>
          <t>OTC</t>
        </is>
      </c>
    </row>
    <row r="10">
      <c r="A10" s="2" t="n">
        <v>584301</v>
      </c>
      <c r="B10" s="2" t="inlineStr">
        <is>
          <t>719603</t>
        </is>
      </c>
      <c r="C10" s="3" t="inlineStr">
        <is>
          <t>4987188568729</t>
        </is>
      </c>
      <c r="D10" s="2" t="inlineStr">
        <is>
          <t>BYE BYE FEVER PARA CRIANCAS C/2UN(HSM)</t>
        </is>
      </c>
      <c r="E10" s="4" t="n">
        <v>1</v>
      </c>
      <c r="F10" s="4" t="n">
        <v>8</v>
      </c>
      <c r="G10" s="4" t="n">
        <v>8</v>
      </c>
      <c r="H10" s="5" t="n">
        <v>11.41</v>
      </c>
      <c r="I10" s="5">
        <f>G10*H10</f>
        <v/>
      </c>
      <c r="J10" s="5">
        <f>H10/E10</f>
        <v/>
      </c>
      <c r="K10" s="5" t="n">
        <v>11.07</v>
      </c>
      <c r="L10" s="5" t="n">
        <v>8.99</v>
      </c>
      <c r="M10" s="5" t="n">
        <v>10.37666666666667</v>
      </c>
      <c r="N10" s="6">
        <f>J10/M10-1</f>
        <v/>
      </c>
      <c r="O10" s="6">
        <f>J10/K10-1</f>
        <v/>
      </c>
      <c r="P10" s="2" t="inlineStr">
        <is>
          <t>REAJUSTE +3.1% vs últ. (≤4%)</t>
        </is>
      </c>
      <c r="Q10" s="2" t="n"/>
      <c r="R10" s="2" t="inlineStr">
        <is>
          <t>OTC</t>
        </is>
      </c>
    </row>
    <row r="11">
      <c r="A11" s="2" t="n">
        <v>600551</v>
      </c>
      <c r="B11" s="2" t="inlineStr">
        <is>
          <t>720223</t>
        </is>
      </c>
      <c r="C11" s="3" t="inlineStr">
        <is>
          <t>7898040329761</t>
        </is>
      </c>
      <c r="D11" s="2" t="inlineStr">
        <is>
          <t>CALCITRAN B12 SUSP FR 150ML</t>
        </is>
      </c>
      <c r="E11" s="4" t="n">
        <v>1</v>
      </c>
      <c r="F11" s="4" t="n">
        <v>1</v>
      </c>
      <c r="G11" s="4" t="n">
        <v>1</v>
      </c>
      <c r="H11" s="5" t="n">
        <v>32.31</v>
      </c>
      <c r="I11" s="5">
        <f>G11*H11</f>
        <v/>
      </c>
      <c r="J11" s="5">
        <f>H11/E11</f>
        <v/>
      </c>
      <c r="K11" s="5" t="n">
        <v>34.35</v>
      </c>
      <c r="L11" s="5" t="n">
        <v>31.035</v>
      </c>
      <c r="M11" s="5" t="n">
        <v>32.35386666666667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n"/>
      <c r="R11" s="2" t="inlineStr">
        <is>
          <t>OTC</t>
        </is>
      </c>
    </row>
    <row r="12">
      <c r="A12" s="2" t="n">
        <v>539701</v>
      </c>
      <c r="B12" s="2" t="inlineStr">
        <is>
          <t>705541</t>
        </is>
      </c>
      <c r="C12" s="3" t="inlineStr">
        <is>
          <t>7898414850891</t>
        </is>
      </c>
      <c r="D12" s="2" t="inlineStr">
        <is>
          <t>CALCITRAN D3 CX 30 COMP</t>
        </is>
      </c>
      <c r="E12" s="4" t="n">
        <v>1</v>
      </c>
      <c r="F12" s="4" t="n">
        <v>4</v>
      </c>
      <c r="G12" s="4" t="n">
        <v>4</v>
      </c>
      <c r="H12" s="5" t="n">
        <v>36.55</v>
      </c>
      <c r="I12" s="5">
        <f>G12*H12</f>
        <v/>
      </c>
      <c r="J12" s="5">
        <f>H12/E12</f>
        <v/>
      </c>
      <c r="K12" s="5" t="n">
        <v>36.48</v>
      </c>
      <c r="L12" s="5" t="n">
        <v>30.8</v>
      </c>
      <c r="M12" s="5" t="n">
        <v>34.51666666666667</v>
      </c>
      <c r="N12" s="6">
        <f>J12/M12-1</f>
        <v/>
      </c>
      <c r="O12" s="6">
        <f>J12/K12-1</f>
        <v/>
      </c>
      <c r="P12" s="2" t="inlineStr">
        <is>
          <t>REAJUSTE +0.2% vs últ. (≤4%)</t>
        </is>
      </c>
      <c r="Q12" s="2" t="n"/>
      <c r="R12" s="2" t="inlineStr">
        <is>
          <t>OTC</t>
        </is>
      </c>
    </row>
    <row r="13">
      <c r="A13" s="2" t="n">
        <v>594131</v>
      </c>
      <c r="B13" s="2" t="inlineStr">
        <is>
          <t>708955</t>
        </is>
      </c>
      <c r="C13" s="3" t="inlineStr">
        <is>
          <t>7898040329464</t>
        </is>
      </c>
      <c r="D13" s="2" t="inlineStr">
        <is>
          <t>CALCITRAN MDK CX 30 COMP</t>
        </is>
      </c>
      <c r="E13" s="4" t="n">
        <v>1</v>
      </c>
      <c r="F13" s="4" t="n">
        <v>9</v>
      </c>
      <c r="G13" s="4" t="n">
        <v>9</v>
      </c>
      <c r="H13" s="5" t="n">
        <v>53.87</v>
      </c>
      <c r="I13" s="5">
        <f>G13*H13</f>
        <v/>
      </c>
      <c r="J13" s="5">
        <f>H13/E13</f>
        <v/>
      </c>
      <c r="K13" s="5" t="n">
        <v>53.72</v>
      </c>
      <c r="L13" s="5" t="n">
        <v>42.77</v>
      </c>
      <c r="M13" s="5" t="n">
        <v>49.83333333333334</v>
      </c>
      <c r="N13" s="6">
        <f>J13/M13-1</f>
        <v/>
      </c>
      <c r="O13" s="6">
        <f>J13/K13-1</f>
        <v/>
      </c>
      <c r="P13" s="2" t="inlineStr">
        <is>
          <t>REAJUSTE +0.3% vs últ. (≤4%)</t>
        </is>
      </c>
      <c r="Q13" s="2" t="n"/>
      <c r="R13" s="2" t="inlineStr">
        <is>
          <t>OTC</t>
        </is>
      </c>
    </row>
    <row r="14">
      <c r="A14" s="2" t="n">
        <v>653981</v>
      </c>
      <c r="B14" s="2" t="inlineStr">
        <is>
          <t>722182</t>
        </is>
      </c>
      <c r="C14" s="3" t="inlineStr">
        <is>
          <t>7500435231510</t>
        </is>
      </c>
      <c r="D14" s="2" t="inlineStr">
        <is>
          <t>CEBION EFV 1G C/10 COMP-DEMAIS PROD</t>
        </is>
      </c>
      <c r="E14" s="4" t="n">
        <v>1</v>
      </c>
      <c r="F14" s="4" t="n">
        <v>1</v>
      </c>
      <c r="G14" s="4" t="n">
        <v>1</v>
      </c>
      <c r="H14" s="5" t="n">
        <v>12.8</v>
      </c>
      <c r="I14" s="5">
        <f>G14*H14</f>
        <v/>
      </c>
      <c r="J14" s="5">
        <f>H14/E14</f>
        <v/>
      </c>
      <c r="K14" s="5" t="n">
        <v>14.32</v>
      </c>
      <c r="L14" s="5" t="n">
        <v>10.775</v>
      </c>
      <c r="M14" s="5" t="n">
        <v>13.13833333333333</v>
      </c>
      <c r="N14" s="6">
        <f>J14/M14-1</f>
        <v/>
      </c>
      <c r="O14" s="6">
        <f>J14/K14-1</f>
        <v/>
      </c>
      <c r="P14" s="2" t="inlineStr">
        <is>
          <t>OK (≤ últ. compra)</t>
        </is>
      </c>
      <c r="Q14" s="2" t="n"/>
      <c r="R14" s="2" t="inlineStr">
        <is>
          <t>OTC</t>
        </is>
      </c>
    </row>
    <row r="15">
      <c r="A15" s="2" t="n">
        <v>114941</v>
      </c>
      <c r="B15" s="2" t="inlineStr">
        <is>
          <t>400349</t>
        </is>
      </c>
      <c r="C15" s="3" t="inlineStr">
        <is>
          <t>7899824400928</t>
        </is>
      </c>
      <c r="D15" s="2" t="inlineStr">
        <is>
          <t>COLPIST MT 62,5+1,25MG/G+25000UI/G CREM BG 40G+10APLIC</t>
        </is>
      </c>
      <c r="E15" s="4" t="n">
        <v>1</v>
      </c>
      <c r="F15" s="4" t="n">
        <v>2</v>
      </c>
      <c r="G15" s="4" t="n">
        <v>2</v>
      </c>
      <c r="H15" s="5" t="n">
        <v>37.06</v>
      </c>
      <c r="I15" s="5">
        <f>G15*H15</f>
        <v/>
      </c>
      <c r="J15" s="5">
        <f>H15/E15</f>
        <v/>
      </c>
      <c r="K15" s="5" t="n">
        <v>45.99</v>
      </c>
      <c r="L15" s="5" t="n">
        <v>35.9767</v>
      </c>
      <c r="M15" s="5" t="n">
        <v>35.9767</v>
      </c>
      <c r="N15" s="6">
        <f>J15/M15-1</f>
        <v/>
      </c>
      <c r="O15" s="6">
        <f>J15/K15-1</f>
        <v/>
      </c>
      <c r="P15" s="2" t="inlineStr">
        <is>
          <t>OK (≤ últ. compra)</t>
        </is>
      </c>
      <c r="Q15" s="2" t="n"/>
      <c r="R15" s="2" t="inlineStr">
        <is>
          <t>RX</t>
        </is>
      </c>
    </row>
    <row r="16">
      <c r="A16" s="2" t="n">
        <v>198541</v>
      </c>
      <c r="B16" s="2" t="inlineStr">
        <is>
          <t>100974</t>
        </is>
      </c>
      <c r="C16" s="3" t="inlineStr">
        <is>
          <t>7897316801390</t>
        </is>
      </c>
      <c r="D16" s="2" t="inlineStr">
        <is>
          <t>CROMOLERG 2% SOL OCUL FR 5ML</t>
        </is>
      </c>
      <c r="E16" s="4" t="n">
        <v>1</v>
      </c>
      <c r="F16" s="4" t="n">
        <v>1</v>
      </c>
      <c r="G16" s="4" t="n">
        <v>1</v>
      </c>
      <c r="H16" s="5" t="n">
        <v>12.11</v>
      </c>
      <c r="I16" s="5">
        <f>G16*H16</f>
        <v/>
      </c>
      <c r="J16" s="5">
        <f>H16/E16</f>
        <v/>
      </c>
      <c r="K16" s="5" t="n">
        <v>11.5633</v>
      </c>
      <c r="L16" s="5" t="n">
        <v>11.5633</v>
      </c>
      <c r="M16" s="5" t="n">
        <v>11.5633</v>
      </c>
      <c r="N16" s="6">
        <f>J16/M16-1</f>
        <v/>
      </c>
      <c r="O16" s="6">
        <f>J16/K16-1</f>
        <v/>
      </c>
      <c r="P16" s="2" t="inlineStr">
        <is>
          <t>REAJUSTE +4.7% vs média (≤6%)</t>
        </is>
      </c>
      <c r="Q16" s="2" t="n"/>
      <c r="R16" s="2" t="inlineStr">
        <is>
          <t>RX</t>
        </is>
      </c>
    </row>
    <row r="17">
      <c r="A17" s="2" t="n">
        <v>18903</v>
      </c>
      <c r="B17" s="2" t="inlineStr">
        <is>
          <t>405690</t>
        </is>
      </c>
      <c r="C17" s="3" t="inlineStr">
        <is>
          <t>7896658049620</t>
        </is>
      </c>
      <c r="D17" s="2" t="inlineStr">
        <is>
          <t>DECONTOSSE 40MG/ML XPE 100ML+CP</t>
        </is>
      </c>
      <c r="E17" s="4" t="n">
        <v>1</v>
      </c>
      <c r="F17" s="4" t="n">
        <v>4</v>
      </c>
      <c r="G17" s="4" t="n">
        <v>4</v>
      </c>
      <c r="H17" s="5" t="n">
        <v>22.42</v>
      </c>
      <c r="I17" s="5">
        <f>G17*H17</f>
        <v/>
      </c>
      <c r="J17" s="5">
        <f>H17/E17</f>
        <v/>
      </c>
      <c r="K17" s="5" t="n">
        <v>23.3</v>
      </c>
      <c r="L17" s="5" t="n">
        <v>17.7</v>
      </c>
      <c r="M17" s="5" t="n">
        <v>19.56666666666667</v>
      </c>
      <c r="N17" s="6">
        <f>J17/M17-1</f>
        <v/>
      </c>
      <c r="O17" s="6">
        <f>J17/K17-1</f>
        <v/>
      </c>
      <c r="P17" s="2" t="inlineStr">
        <is>
          <t>OK (≤ últ. compra)</t>
        </is>
      </c>
      <c r="Q17" s="2" t="n"/>
      <c r="R17" s="2" t="inlineStr">
        <is>
          <t>OTC</t>
        </is>
      </c>
    </row>
    <row r="18">
      <c r="A18" s="2" t="n">
        <v>578141</v>
      </c>
      <c r="B18" s="2" t="inlineStr">
        <is>
          <t>101090</t>
        </is>
      </c>
      <c r="C18" s="3" t="inlineStr">
        <is>
          <t>7899824400942</t>
        </is>
      </c>
      <c r="D18" s="2" t="inlineStr">
        <is>
          <t>DEXADOR 5000MCG/ML SOL INJ 3AMP X 2ML+3AMP X 1ML</t>
        </is>
      </c>
      <c r="E18" s="4" t="n">
        <v>1</v>
      </c>
      <c r="F18" s="4" t="n">
        <v>1</v>
      </c>
      <c r="G18" s="4" t="n">
        <v>1</v>
      </c>
      <c r="H18" s="5" t="n">
        <v>36.97</v>
      </c>
      <c r="I18" s="5">
        <f>G18*H18</f>
        <v/>
      </c>
      <c r="J18" s="5">
        <f>H18/E18</f>
        <v/>
      </c>
      <c r="K18" s="5" t="n">
        <v>37.6</v>
      </c>
      <c r="L18" s="5" t="n">
        <v>33.77</v>
      </c>
      <c r="M18" s="5" t="n">
        <v>36.32333333333333</v>
      </c>
      <c r="N18" s="6">
        <f>J18/M18-1</f>
        <v/>
      </c>
      <c r="O18" s="6">
        <f>J18/K18-1</f>
        <v/>
      </c>
      <c r="P18" s="2" t="inlineStr">
        <is>
          <t>OK (≤ últ. compra)</t>
        </is>
      </c>
      <c r="Q18" s="2" t="n"/>
      <c r="R18" s="2" t="inlineStr">
        <is>
          <t>RX</t>
        </is>
      </c>
    </row>
    <row r="19">
      <c r="A19" s="2" t="n">
        <v>207901</v>
      </c>
      <c r="B19" s="2" t="inlineStr">
        <is>
          <t>107776</t>
        </is>
      </c>
      <c r="C19" s="3" t="inlineStr">
        <is>
          <t>7896641808982</t>
        </is>
      </c>
      <c r="D19" s="2" t="inlineStr">
        <is>
          <t>DEXILANT 30MG CX 30 CAP LIB RETARD</t>
        </is>
      </c>
      <c r="E19" s="4" t="n">
        <v>1</v>
      </c>
      <c r="F19" s="4" t="n">
        <v>1</v>
      </c>
      <c r="G19" s="4" t="n">
        <v>1</v>
      </c>
      <c r="H19" s="5" t="n">
        <v>99.62</v>
      </c>
      <c r="I19" s="5">
        <f>G19*H19</f>
        <v/>
      </c>
      <c r="J19" s="5">
        <f>H19/E19</f>
        <v/>
      </c>
      <c r="K19" s="5" t="n">
        <v>102.465</v>
      </c>
      <c r="L19" s="5" t="n">
        <v>89.11499999999999</v>
      </c>
      <c r="M19" s="5" t="n">
        <v>95.43833333333333</v>
      </c>
      <c r="N19" s="6">
        <f>J19/M19-1</f>
        <v/>
      </c>
      <c r="O19" s="6">
        <f>J19/K19-1</f>
        <v/>
      </c>
      <c r="P19" s="2" t="inlineStr">
        <is>
          <t>OK (≤ últ. compra)</t>
        </is>
      </c>
      <c r="Q19" s="2" t="n"/>
      <c r="R19" s="2" t="inlineStr">
        <is>
          <t>RX</t>
        </is>
      </c>
    </row>
    <row r="20">
      <c r="A20" s="2" t="n">
        <v>124261</v>
      </c>
      <c r="B20" s="2" t="inlineStr">
        <is>
          <t>111702</t>
        </is>
      </c>
      <c r="C20" s="3" t="inlineStr">
        <is>
          <t>7891317010065</t>
        </is>
      </c>
      <c r="D20" s="2" t="inlineStr">
        <is>
          <t>DIUPRESS 25+5MG CX 30 COMP</t>
        </is>
      </c>
      <c r="E20" s="4" t="n">
        <v>1</v>
      </c>
      <c r="F20" s="4" t="n">
        <v>1</v>
      </c>
      <c r="G20" s="4" t="n">
        <v>1</v>
      </c>
      <c r="H20" s="5" t="n">
        <v>33.3</v>
      </c>
      <c r="I20" s="5">
        <f>G20*H20</f>
        <v/>
      </c>
      <c r="J20" s="5">
        <f>H20/E20</f>
        <v/>
      </c>
      <c r="K20" s="5" t="n">
        <v>32.61</v>
      </c>
      <c r="L20" s="5" t="n">
        <v>31.18</v>
      </c>
      <c r="M20" s="5" t="n">
        <v>32.13333333333333</v>
      </c>
      <c r="N20" s="6">
        <f>J20/M20-1</f>
        <v/>
      </c>
      <c r="O20" s="6">
        <f>J20/K20-1</f>
        <v/>
      </c>
      <c r="P20" s="2" t="inlineStr">
        <is>
          <t>REAJUSTE +2.1% vs últ. (≤4%)</t>
        </is>
      </c>
      <c r="Q20" s="2" t="n"/>
      <c r="R20" s="2" t="inlineStr">
        <is>
          <t>RX</t>
        </is>
      </c>
    </row>
    <row r="21">
      <c r="A21" s="2" t="n">
        <v>337761</v>
      </c>
      <c r="B21" s="2" t="inlineStr">
        <is>
          <t>115113</t>
        </is>
      </c>
      <c r="C21" s="3" t="inlineStr">
        <is>
          <t>7896226108919</t>
        </is>
      </c>
      <c r="D21" s="2" t="inlineStr">
        <is>
          <t>DOZEMAST 1000 MCG COM SUBL CT BL AL AL X 20</t>
        </is>
      </c>
      <c r="E21" s="4" t="n">
        <v>1</v>
      </c>
      <c r="F21" s="4" t="n">
        <v>1</v>
      </c>
      <c r="G21" s="4" t="n">
        <v>1</v>
      </c>
      <c r="H21" s="5" t="n">
        <v>46.99</v>
      </c>
      <c r="I21" s="5">
        <f>G21*H21</f>
        <v/>
      </c>
      <c r="J21" s="5">
        <f>H21/E21</f>
        <v/>
      </c>
      <c r="K21" s="5" t="n">
        <v>45.4767</v>
      </c>
      <c r="L21" s="5" t="n">
        <v>45.4767</v>
      </c>
      <c r="M21" s="5" t="n">
        <v>45.4767</v>
      </c>
      <c r="N21" s="6">
        <f>J21/M21-1</f>
        <v/>
      </c>
      <c r="O21" s="6">
        <f>J21/K21-1</f>
        <v/>
      </c>
      <c r="P21" s="2" t="inlineStr">
        <is>
          <t>REAJUSTE +3.3% vs últ. (≤4%)</t>
        </is>
      </c>
      <c r="Q21" s="2" t="n"/>
      <c r="R21" s="2" t="inlineStr">
        <is>
          <t>RX</t>
        </is>
      </c>
    </row>
    <row r="22">
      <c r="A22" s="2" t="n">
        <v>666711</v>
      </c>
      <c r="B22" s="2" t="inlineStr">
        <is>
          <t>115504</t>
        </is>
      </c>
      <c r="C22" s="3" t="inlineStr">
        <is>
          <t>7891317042202</t>
        </is>
      </c>
      <c r="D22" s="2" t="inlineStr">
        <is>
          <t>DOZI 1000MCG C/30 COMP SUB-OUTROS</t>
        </is>
      </c>
      <c r="E22" s="4" t="n">
        <v>1</v>
      </c>
      <c r="F22" s="4" t="n">
        <v>1</v>
      </c>
      <c r="G22" s="4" t="n">
        <v>1</v>
      </c>
      <c r="H22" s="5" t="n">
        <v>22.84</v>
      </c>
      <c r="I22" s="5">
        <f>G22*H22</f>
        <v/>
      </c>
      <c r="J22" s="5">
        <f>H22/E22</f>
        <v/>
      </c>
      <c r="K22" s="5" t="n">
        <v>44.048</v>
      </c>
      <c r="L22" s="5" t="n">
        <v>44.048</v>
      </c>
      <c r="M22" s="5" t="n">
        <v>44.048</v>
      </c>
      <c r="N22" s="6">
        <f>J22/M22-1</f>
        <v/>
      </c>
      <c r="O22" s="6">
        <f>J22/K22-1</f>
        <v/>
      </c>
      <c r="P22" s="2" t="inlineStr">
        <is>
          <t>OK (≤ últ. compra)</t>
        </is>
      </c>
      <c r="Q22" s="2" t="n"/>
      <c r="R22" s="2" t="inlineStr">
        <is>
          <t>RX</t>
        </is>
      </c>
    </row>
    <row r="23">
      <c r="A23" s="2" t="n">
        <v>655311</v>
      </c>
      <c r="B23" s="2" t="inlineStr">
        <is>
          <t>115213</t>
        </is>
      </c>
      <c r="C23" s="3" t="inlineStr">
        <is>
          <t>7891317027179</t>
        </is>
      </c>
      <c r="D23" s="2" t="inlineStr">
        <is>
          <t>DUALGI 200MG+500MG 12CPR</t>
        </is>
      </c>
      <c r="E23" s="4" t="n">
        <v>1</v>
      </c>
      <c r="F23" s="4" t="n">
        <v>3</v>
      </c>
      <c r="G23" s="4" t="n">
        <v>3</v>
      </c>
      <c r="H23" s="5" t="n">
        <v>26.5</v>
      </c>
      <c r="I23" s="5">
        <f>G23*H23</f>
        <v/>
      </c>
      <c r="J23" s="5">
        <f>H23/E23</f>
        <v/>
      </c>
      <c r="K23" s="5" t="n">
        <v>26.68</v>
      </c>
      <c r="L23" s="5" t="n">
        <v>23.93</v>
      </c>
      <c r="M23" s="5" t="n">
        <v>25.61</v>
      </c>
      <c r="N23" s="6">
        <f>J23/M23-1</f>
        <v/>
      </c>
      <c r="O23" s="6">
        <f>J23/K23-1</f>
        <v/>
      </c>
      <c r="P23" s="2" t="inlineStr">
        <is>
          <t>OK (≤ últ. compra)</t>
        </is>
      </c>
      <c r="Q23" s="2" t="n"/>
      <c r="R23" s="2" t="inlineStr">
        <is>
          <t>RX</t>
        </is>
      </c>
    </row>
    <row r="24">
      <c r="A24" s="2" t="n">
        <v>599151</v>
      </c>
      <c r="B24" s="2" t="inlineStr">
        <is>
          <t>714750</t>
        </is>
      </c>
      <c r="C24" s="3" t="inlineStr">
        <is>
          <t>7898040327910</t>
        </is>
      </c>
      <c r="D24" s="2" t="inlineStr">
        <is>
          <t>ENZILAC 4500UI CX 30  COMP</t>
        </is>
      </c>
      <c r="E24" s="4" t="n">
        <v>1</v>
      </c>
      <c r="F24" s="4" t="n">
        <v>1</v>
      </c>
      <c r="G24" s="4" t="n">
        <v>1</v>
      </c>
      <c r="H24" s="5" t="n">
        <v>22.24</v>
      </c>
      <c r="I24" s="5">
        <f>G24*H24</f>
        <v/>
      </c>
      <c r="J24" s="5">
        <f>H24/E24</f>
        <v/>
      </c>
      <c r="K24" s="5" t="n">
        <v>23.42</v>
      </c>
      <c r="L24" s="5" t="n">
        <v>23.42</v>
      </c>
      <c r="M24" s="5" t="n">
        <v>23.42</v>
      </c>
      <c r="N24" s="6">
        <f>J24/M24-1</f>
        <v/>
      </c>
      <c r="O24" s="6">
        <f>J24/K24-1</f>
        <v/>
      </c>
      <c r="P24" s="2" t="inlineStr">
        <is>
          <t>OK (≤ últ. compra)</t>
        </is>
      </c>
      <c r="Q24" s="2" t="n"/>
      <c r="R24" s="2" t="inlineStr">
        <is>
          <t>OTC</t>
        </is>
      </c>
    </row>
    <row r="25">
      <c r="A25" s="2" t="n">
        <v>490681</v>
      </c>
      <c r="B25" s="2" t="inlineStr">
        <is>
          <t>112400</t>
        </is>
      </c>
      <c r="C25" s="3" t="inlineStr">
        <is>
          <t>7896004777221</t>
        </is>
      </c>
      <c r="D25" s="2" t="inlineStr">
        <is>
          <t>FACOBA 5+1MG/ML SOL OFT FR 5ML-L</t>
        </is>
      </c>
      <c r="E25" s="4" t="n">
        <v>1</v>
      </c>
      <c r="F25" s="4" t="n">
        <v>1</v>
      </c>
      <c r="G25" s="4" t="n">
        <v>1</v>
      </c>
      <c r="H25" s="5" t="n">
        <v>35.78</v>
      </c>
      <c r="I25" s="5">
        <f>G25*H25</f>
        <v/>
      </c>
      <c r="J25" s="5">
        <f>H25/E25</f>
        <v/>
      </c>
      <c r="K25" s="5" t="n">
        <v>43.99</v>
      </c>
      <c r="L25" s="5" t="n">
        <v>32.78</v>
      </c>
      <c r="M25" s="5" t="n">
        <v>34.20333333333333</v>
      </c>
      <c r="N25" s="6">
        <f>J25/M25-1</f>
        <v/>
      </c>
      <c r="O25" s="6">
        <f>J25/K25-1</f>
        <v/>
      </c>
      <c r="P25" s="2" t="inlineStr">
        <is>
          <t>OK (≤ últ. compra)</t>
        </is>
      </c>
      <c r="Q25" s="2" t="n"/>
      <c r="R25" s="2" t="inlineStr">
        <is>
          <t>RX</t>
        </is>
      </c>
    </row>
    <row r="26">
      <c r="A26" s="2" t="n">
        <v>641971</v>
      </c>
      <c r="B26" s="2" t="inlineStr">
        <is>
          <t>718733</t>
        </is>
      </c>
      <c r="C26" s="3" t="inlineStr">
        <is>
          <t>7500435185035</t>
        </is>
      </c>
      <c r="D26" s="2" t="inlineStr">
        <is>
          <t>FEMIBION 3 C/28 COMP-DEMAIS PROD</t>
        </is>
      </c>
      <c r="E26" s="4" t="n">
        <v>1</v>
      </c>
      <c r="F26" s="4" t="n">
        <v>5</v>
      </c>
      <c r="G26" s="4" t="n">
        <v>5</v>
      </c>
      <c r="H26" s="5" t="n">
        <v>113.37</v>
      </c>
      <c r="I26" s="5">
        <f>G26*H26</f>
        <v/>
      </c>
      <c r="J26" s="5">
        <f>H26/E26</f>
        <v/>
      </c>
      <c r="K26" s="5" t="n">
        <v>127.5667</v>
      </c>
      <c r="L26" s="5" t="n">
        <v>101.32</v>
      </c>
      <c r="M26" s="5" t="n">
        <v>118.8178</v>
      </c>
      <c r="N26" s="6">
        <f>J26/M26-1</f>
        <v/>
      </c>
      <c r="O26" s="6">
        <f>J26/K26-1</f>
        <v/>
      </c>
      <c r="P26" s="2" t="inlineStr">
        <is>
          <t>OK (≤ últ. compra)</t>
        </is>
      </c>
      <c r="Q26" s="2" t="n"/>
      <c r="R26" s="2" t="inlineStr">
        <is>
          <t>OTC</t>
        </is>
      </c>
    </row>
    <row r="27">
      <c r="A27" s="2" t="n">
        <v>365461</v>
      </c>
      <c r="B27" s="2" t="inlineStr">
        <is>
          <t>105638</t>
        </is>
      </c>
      <c r="C27" s="3" t="inlineStr">
        <is>
          <t>7891317489595</t>
        </is>
      </c>
      <c r="D27" s="2" t="inlineStr">
        <is>
          <t>GINNA 0,02G CREM VAG BG 40G+7APLIC</t>
        </is>
      </c>
      <c r="E27" s="4" t="n">
        <v>1</v>
      </c>
      <c r="F27" s="4" t="n">
        <v>1</v>
      </c>
      <c r="G27" s="4" t="n">
        <v>1</v>
      </c>
      <c r="H27" s="5" t="n">
        <v>37.2</v>
      </c>
      <c r="I27" s="5">
        <f>G27*H27</f>
        <v/>
      </c>
      <c r="J27" s="5">
        <f>H27/E27</f>
        <v/>
      </c>
      <c r="K27" s="5" t="n">
        <v>37.45</v>
      </c>
      <c r="L27" s="5" t="n">
        <v>33.595</v>
      </c>
      <c r="M27" s="5" t="n">
        <v>35.695</v>
      </c>
      <c r="N27" s="6">
        <f>J27/M27-1</f>
        <v/>
      </c>
      <c r="O27" s="6">
        <f>J27/K27-1</f>
        <v/>
      </c>
      <c r="P27" s="2" t="inlineStr">
        <is>
          <t>OK (≤ últ. compra)</t>
        </is>
      </c>
      <c r="Q27" s="2" t="n"/>
      <c r="R27" s="2" t="inlineStr">
        <is>
          <t>RX</t>
        </is>
      </c>
    </row>
    <row r="28">
      <c r="A28" s="2" t="n">
        <v>626321</v>
      </c>
      <c r="B28" s="2" t="inlineStr">
        <is>
          <t>708785</t>
        </is>
      </c>
      <c r="C28" s="3" t="inlineStr">
        <is>
          <t>7898040325008</t>
        </is>
      </c>
      <c r="D28" s="2" t="inlineStr">
        <is>
          <t>HIDRAFEMME GEL 24G C/ 8 APLIC</t>
        </is>
      </c>
      <c r="E28" s="4" t="n">
        <v>1</v>
      </c>
      <c r="F28" s="4" t="n">
        <v>2</v>
      </c>
      <c r="G28" s="4" t="n">
        <v>2</v>
      </c>
      <c r="H28" s="5" t="n">
        <v>68.38</v>
      </c>
      <c r="I28" s="5">
        <f>G28*H28</f>
        <v/>
      </c>
      <c r="J28" s="5">
        <f>H28/E28</f>
        <v/>
      </c>
      <c r="K28" s="5" t="n">
        <v>69.84</v>
      </c>
      <c r="L28" s="5" t="n">
        <v>57.646</v>
      </c>
      <c r="M28" s="5" t="n">
        <v>65.77533333333334</v>
      </c>
      <c r="N28" s="6">
        <f>J28/M28-1</f>
        <v/>
      </c>
      <c r="O28" s="6">
        <f>J28/K28-1</f>
        <v/>
      </c>
      <c r="P28" s="2" t="inlineStr">
        <is>
          <t>OK (≤ últ. compra)</t>
        </is>
      </c>
      <c r="Q28" s="2" t="n"/>
      <c r="R28" s="2" t="inlineStr">
        <is>
          <t>OTC</t>
        </is>
      </c>
    </row>
    <row r="29">
      <c r="A29" s="2" t="n">
        <v>639851</v>
      </c>
      <c r="B29" s="2" t="inlineStr">
        <is>
          <t>405167</t>
        </is>
      </c>
      <c r="C29" s="3" t="inlineStr">
        <is>
          <t>7899095200586</t>
        </is>
      </c>
      <c r="D29" s="2" t="inlineStr">
        <is>
          <t>HILUROPT 1,5MG/ML SOL OFT FR GOT X 10ML</t>
        </is>
      </c>
      <c r="E29" s="4" t="n">
        <v>1</v>
      </c>
      <c r="F29" s="4" t="n">
        <v>9</v>
      </c>
      <c r="G29" s="4" t="n">
        <v>9</v>
      </c>
      <c r="H29" s="5" t="n">
        <v>37.19</v>
      </c>
      <c r="I29" s="5">
        <f>G29*H29</f>
        <v/>
      </c>
      <c r="J29" s="5">
        <f>H29/E29</f>
        <v/>
      </c>
      <c r="K29" s="5" t="n">
        <v>39.465</v>
      </c>
      <c r="L29" s="5" t="n">
        <v>33.63</v>
      </c>
      <c r="M29" s="5" t="n">
        <v>35.83166666666667</v>
      </c>
      <c r="N29" s="6">
        <f>J29/M29-1</f>
        <v/>
      </c>
      <c r="O29" s="6">
        <f>J29/K29-1</f>
        <v/>
      </c>
      <c r="P29" s="2" t="inlineStr">
        <is>
          <t>OK (≤ últ. compra)</t>
        </is>
      </c>
      <c r="Q29" s="2" t="n"/>
      <c r="R29" s="2" t="inlineStr">
        <is>
          <t>OTC</t>
        </is>
      </c>
    </row>
    <row r="30">
      <c r="A30" s="2" t="n">
        <v>594891</v>
      </c>
      <c r="B30" s="2" t="inlineStr">
        <is>
          <t>718482</t>
        </is>
      </c>
      <c r="C30" s="3" t="inlineStr">
        <is>
          <t>7898639690708</t>
        </is>
      </c>
      <c r="D30" s="2" t="inlineStr">
        <is>
          <t>INALADOR NEBULIZADOR ULTRANEB DESK2</t>
        </is>
      </c>
      <c r="E30" s="4" t="n">
        <v>1</v>
      </c>
      <c r="F30" s="4" t="n">
        <v>3</v>
      </c>
      <c r="G30" s="4" t="n">
        <v>3</v>
      </c>
      <c r="H30" s="5" t="n">
        <v>130.59</v>
      </c>
      <c r="I30" s="5">
        <f>G30*H30</f>
        <v/>
      </c>
      <c r="J30" s="5">
        <f>H30/E30</f>
        <v/>
      </c>
      <c r="K30" s="5" t="n">
        <v>130.26</v>
      </c>
      <c r="L30" s="5" t="n">
        <v>130.26</v>
      </c>
      <c r="M30" s="5" t="n">
        <v>130.26</v>
      </c>
      <c r="N30" s="6">
        <f>J30/M30-1</f>
        <v/>
      </c>
      <c r="O30" s="6">
        <f>J30/K30-1</f>
        <v/>
      </c>
      <c r="P30" s="2" t="inlineStr">
        <is>
          <t>REAJUSTE +0.3% vs últ. (≤4%)</t>
        </is>
      </c>
      <c r="Q30" s="2" t="n"/>
      <c r="R30" s="2" t="inlineStr">
        <is>
          <t>OTC</t>
        </is>
      </c>
    </row>
    <row r="31">
      <c r="A31" s="2" t="n">
        <v>400881</v>
      </c>
      <c r="B31" s="2" t="inlineStr">
        <is>
          <t>101918</t>
        </is>
      </c>
      <c r="C31" s="3" t="inlineStr">
        <is>
          <t>7896641804380</t>
        </is>
      </c>
      <c r="D31" s="2" t="inlineStr">
        <is>
          <t>KALOBA 825MG/ML SOL ORAL FR 20ML</t>
        </is>
      </c>
      <c r="E31" s="4" t="n">
        <v>1</v>
      </c>
      <c r="F31" s="4" t="n">
        <v>7</v>
      </c>
      <c r="G31" s="4" t="n">
        <v>7</v>
      </c>
      <c r="H31" s="5" t="n">
        <v>79.59</v>
      </c>
      <c r="I31" s="5">
        <f>G31*H31</f>
        <v/>
      </c>
      <c r="J31" s="5">
        <f>H31/E31</f>
        <v/>
      </c>
      <c r="K31" s="5" t="n">
        <v>77.37</v>
      </c>
      <c r="L31" s="5" t="n">
        <v>71.405</v>
      </c>
      <c r="M31" s="5" t="n">
        <v>74.71666666666667</v>
      </c>
      <c r="N31" s="6">
        <f>J31/M31-1</f>
        <v/>
      </c>
      <c r="O31" s="6">
        <f>J31/K31-1</f>
        <v/>
      </c>
      <c r="P31" s="2" t="inlineStr">
        <is>
          <t>REAJUSTE +2.9% vs últ. (≤4%)</t>
        </is>
      </c>
      <c r="Q31" s="2" t="n"/>
      <c r="R31" s="2" t="inlineStr">
        <is>
          <t>RX</t>
        </is>
      </c>
    </row>
    <row r="32">
      <c r="A32" s="2" t="n">
        <v>128941</v>
      </c>
      <c r="B32" s="2" t="inlineStr">
        <is>
          <t>101962</t>
        </is>
      </c>
      <c r="C32" s="3" t="inlineStr">
        <is>
          <t>7896637028417</t>
        </is>
      </c>
      <c r="D32" s="2" t="inlineStr">
        <is>
          <t>LABIRIN 8MG CX 30 COMP</t>
        </is>
      </c>
      <c r="E32" s="4" t="n">
        <v>1</v>
      </c>
      <c r="F32" s="4" t="n">
        <v>1</v>
      </c>
      <c r="G32" s="4" t="n">
        <v>1</v>
      </c>
      <c r="H32" s="5" t="n">
        <v>29.19</v>
      </c>
      <c r="I32" s="5">
        <f>G32*H32</f>
        <v/>
      </c>
      <c r="J32" s="5">
        <f>H32/E32</f>
        <v/>
      </c>
      <c r="K32" s="5" t="n">
        <v>29.194</v>
      </c>
      <c r="L32" s="5" t="n">
        <v>29.194</v>
      </c>
      <c r="M32" s="5" t="n">
        <v>29.194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n"/>
      <c r="R32" s="2" t="inlineStr">
        <is>
          <t>RX</t>
        </is>
      </c>
    </row>
    <row r="33">
      <c r="A33" s="2" t="n">
        <v>662291</v>
      </c>
      <c r="B33" s="2" t="inlineStr">
        <is>
          <t>114781</t>
        </is>
      </c>
      <c r="C33" s="3" t="inlineStr">
        <is>
          <t>7896637034852</t>
        </is>
      </c>
      <c r="D33" s="2" t="inlineStr">
        <is>
          <t>LABIRIN XR 48MG 30CPR</t>
        </is>
      </c>
      <c r="E33" s="4" t="n">
        <v>1</v>
      </c>
      <c r="F33" s="4" t="n">
        <v>1</v>
      </c>
      <c r="G33" s="4" t="n">
        <v>1</v>
      </c>
      <c r="H33" s="5" t="n">
        <v>64.01000000000001</v>
      </c>
      <c r="I33" s="5">
        <f>G33*H33</f>
        <v/>
      </c>
      <c r="J33" s="5">
        <f>H33/E33</f>
        <v/>
      </c>
      <c r="K33" s="5" t="n">
        <v>61.68</v>
      </c>
      <c r="L33" s="5" t="n">
        <v>61.67</v>
      </c>
      <c r="M33" s="5" t="n">
        <v>61.66999999999999</v>
      </c>
      <c r="N33" s="6">
        <f>J33/M33-1</f>
        <v/>
      </c>
      <c r="O33" s="6">
        <f>J33/K33-1</f>
        <v/>
      </c>
      <c r="P33" s="2" t="inlineStr">
        <is>
          <t>REAJUSTE +3.8% vs últ. (≤4%)</t>
        </is>
      </c>
      <c r="Q33" s="2" t="n"/>
      <c r="R33" s="2" t="inlineStr">
        <is>
          <t>RX</t>
        </is>
      </c>
    </row>
    <row r="34">
      <c r="A34" s="2" t="n">
        <v>651991</v>
      </c>
      <c r="B34" s="2" t="inlineStr">
        <is>
          <t>400761</t>
        </is>
      </c>
      <c r="C34" s="3" t="inlineStr">
        <is>
          <t>7895858015664</t>
        </is>
      </c>
      <c r="D34" s="2" t="inlineStr">
        <is>
          <t>LEITE DE MAGNESIA PHILLIPS HORT 120ML</t>
        </is>
      </c>
      <c r="E34" s="4" t="n">
        <v>1</v>
      </c>
      <c r="F34" s="4" t="n">
        <v>1</v>
      </c>
      <c r="G34" s="4" t="n">
        <v>1</v>
      </c>
      <c r="H34" s="5" t="n">
        <v>18.12</v>
      </c>
      <c r="I34" s="5">
        <f>G34*H34</f>
        <v/>
      </c>
      <c r="J34" s="5">
        <f>H34/E34</f>
        <v/>
      </c>
      <c r="K34" s="5" t="n">
        <v>18.31</v>
      </c>
      <c r="L34" s="5" t="n">
        <v>9.81</v>
      </c>
      <c r="M34" s="5" t="n">
        <v>9.81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n"/>
      <c r="R34" s="2" t="inlineStr">
        <is>
          <t>OTC</t>
        </is>
      </c>
    </row>
    <row r="35">
      <c r="A35" s="2" t="n">
        <v>320321</v>
      </c>
      <c r="B35" s="2" t="inlineStr">
        <is>
          <t>102028</t>
        </is>
      </c>
      <c r="C35" s="3" t="inlineStr">
        <is>
          <t>7896658008801</t>
        </is>
      </c>
      <c r="D35" s="2" t="inlineStr">
        <is>
          <t>LEVOID 88MCG CX 30 COMP</t>
        </is>
      </c>
      <c r="E35" s="4" t="n">
        <v>1</v>
      </c>
      <c r="F35" s="4" t="n">
        <v>4</v>
      </c>
      <c r="G35" s="4" t="n">
        <v>4</v>
      </c>
      <c r="H35" s="5" t="n">
        <v>19.56</v>
      </c>
      <c r="I35" s="5">
        <f>G35*H35</f>
        <v/>
      </c>
      <c r="J35" s="5">
        <f>H35/E35</f>
        <v/>
      </c>
      <c r="K35" s="5" t="n">
        <v>20.33</v>
      </c>
      <c r="L35" s="5" t="n">
        <v>18.71</v>
      </c>
      <c r="M35" s="5" t="n">
        <v>19.25</v>
      </c>
      <c r="N35" s="6">
        <f>J35/M35-1</f>
        <v/>
      </c>
      <c r="O35" s="6">
        <f>J35/K35-1</f>
        <v/>
      </c>
      <c r="P35" s="2" t="inlineStr">
        <is>
          <t>OK (≤ últ. compra)</t>
        </is>
      </c>
      <c r="Q35" s="2" t="n"/>
      <c r="R35" s="2" t="inlineStr">
        <is>
          <t>RX</t>
        </is>
      </c>
    </row>
    <row r="36">
      <c r="A36" s="2" t="n">
        <v>553481</v>
      </c>
      <c r="B36" s="2" t="inlineStr">
        <is>
          <t>400797</t>
        </is>
      </c>
      <c r="C36" s="3" t="inlineStr">
        <is>
          <t>7895858017422</t>
        </is>
      </c>
      <c r="D36" s="2" t="inlineStr">
        <is>
          <t>MAGNESIA BISURADA 63,7+521+67+3,3MG(CARTELA)</t>
        </is>
      </c>
      <c r="E36" s="4" t="n">
        <v>4</v>
      </c>
      <c r="F36" s="4" t="n">
        <v>6</v>
      </c>
      <c r="G36" s="4" t="n">
        <v>2</v>
      </c>
      <c r="H36" s="5" t="n">
        <v>39.52</v>
      </c>
      <c r="I36" s="5">
        <f>G36*H36</f>
        <v/>
      </c>
      <c r="J36" s="5">
        <f>H36/E36</f>
        <v/>
      </c>
      <c r="K36" s="5" t="n">
        <v>10.2681</v>
      </c>
      <c r="L36" s="5" t="n">
        <v>8.754799999999999</v>
      </c>
      <c r="M36" s="5" t="n">
        <v>9.193199999999999</v>
      </c>
      <c r="N36" s="6">
        <f>J36/M36-1</f>
        <v/>
      </c>
      <c r="O36" s="6">
        <f>J36/K36-1</f>
        <v/>
      </c>
      <c r="P36" s="2" t="inlineStr">
        <is>
          <t>OK (≤ últ. compra)</t>
        </is>
      </c>
      <c r="Q36" s="2" t="inlineStr">
        <is>
          <t>1 emb = 4 un</t>
        </is>
      </c>
      <c r="R36" s="2" t="inlineStr">
        <is>
          <t>OTC</t>
        </is>
      </c>
    </row>
    <row r="37">
      <c r="A37" s="2" t="n">
        <v>79381</v>
      </c>
      <c r="B37" s="2" t="inlineStr">
        <is>
          <t>400796</t>
        </is>
      </c>
      <c r="C37" s="3" t="inlineStr">
        <is>
          <t>7895858017309</t>
        </is>
      </c>
      <c r="D37" s="2" t="inlineStr">
        <is>
          <t>MAGNESIA BISURADA 63,70+521,0+67,0+3,30MG CX 200 PAST</t>
        </is>
      </c>
      <c r="E37" s="4" t="n">
        <v>20</v>
      </c>
      <c r="F37" s="4" t="n">
        <v>1</v>
      </c>
      <c r="G37" s="4" t="n">
        <v>1</v>
      </c>
      <c r="H37" s="5" t="n">
        <v>197.64</v>
      </c>
      <c r="I37" s="5">
        <f>G37*H37</f>
        <v/>
      </c>
      <c r="J37" s="5">
        <f>H37/E37</f>
        <v/>
      </c>
      <c r="K37" s="5" t="n">
        <v>9.779299999999999</v>
      </c>
      <c r="L37" s="5" t="n">
        <v>8.995799999999999</v>
      </c>
      <c r="M37" s="5" t="n">
        <v>9.518133333333333</v>
      </c>
      <c r="N37" s="6">
        <f>J37/M37-1</f>
        <v/>
      </c>
      <c r="O37" s="6">
        <f>J37/K37-1</f>
        <v/>
      </c>
      <c r="P37" s="2" t="inlineStr">
        <is>
          <t>REAJUSTE +1.1% vs últ. (≤4%)</t>
        </is>
      </c>
      <c r="Q37" s="2" t="inlineStr">
        <is>
          <t>1 emb = 20 un</t>
        </is>
      </c>
      <c r="R37" s="2" t="inlineStr">
        <is>
          <t>OTC</t>
        </is>
      </c>
    </row>
    <row r="38">
      <c r="A38" s="2" t="n">
        <v>664741</v>
      </c>
      <c r="B38" s="2" t="inlineStr">
        <is>
          <t>722403</t>
        </is>
      </c>
      <c r="C38" s="3" t="inlineStr">
        <is>
          <t>7891000359426</t>
        </is>
      </c>
      <c r="D38" s="2" t="inlineStr">
        <is>
          <t>MATERNA DHA 30CAP</t>
        </is>
      </c>
      <c r="E38" s="4" t="n">
        <v>1</v>
      </c>
      <c r="F38" s="4" t="n">
        <v>1</v>
      </c>
      <c r="G38" s="4" t="n">
        <v>1</v>
      </c>
      <c r="H38" s="5" t="n">
        <v>65.67</v>
      </c>
      <c r="I38" s="5">
        <f>G38*H38</f>
        <v/>
      </c>
      <c r="J38" s="5">
        <f>H38/E38</f>
        <v/>
      </c>
      <c r="K38" s="5" t="n">
        <v>62.74</v>
      </c>
      <c r="L38" s="5" t="n">
        <v>62.74</v>
      </c>
      <c r="M38" s="5" t="n">
        <v>62.74</v>
      </c>
      <c r="N38" s="6">
        <f>J38/M38-1</f>
        <v/>
      </c>
      <c r="O38" s="6">
        <f>J38/K38-1</f>
        <v/>
      </c>
      <c r="P38" s="2" t="inlineStr">
        <is>
          <t>REAJUSTE +4.7% vs média (≤6%)</t>
        </is>
      </c>
      <c r="Q38" s="2" t="n"/>
      <c r="R38" s="2" t="inlineStr">
        <is>
          <t>OTC</t>
        </is>
      </c>
    </row>
    <row r="39">
      <c r="A39" s="2" t="n">
        <v>667521</v>
      </c>
      <c r="B39" s="2" t="inlineStr">
        <is>
          <t>722606</t>
        </is>
      </c>
      <c r="C39" s="3" t="inlineStr">
        <is>
          <t>7891000361887</t>
        </is>
      </c>
      <c r="D39" s="2" t="inlineStr">
        <is>
          <t>MATERNA SUPL MV DHA 30 CAPS-DEMAIS PROD</t>
        </is>
      </c>
      <c r="E39" s="4" t="n">
        <v>1</v>
      </c>
      <c r="F39" s="4" t="n">
        <v>1</v>
      </c>
      <c r="G39" s="4" t="n">
        <v>1</v>
      </c>
      <c r="H39" s="5" t="n">
        <v>109.48</v>
      </c>
      <c r="I39" s="5">
        <f>G39*H39</f>
        <v/>
      </c>
      <c r="J39" s="5">
        <f>H39/E39</f>
        <v/>
      </c>
      <c r="K39" s="5" t="n">
        <v>104.56</v>
      </c>
      <c r="L39" s="5" t="n">
        <v>104.56</v>
      </c>
      <c r="M39" s="5" t="n">
        <v>104.56</v>
      </c>
      <c r="N39" s="6">
        <f>J39/M39-1</f>
        <v/>
      </c>
      <c r="O39" s="6">
        <f>J39/K39-1</f>
        <v/>
      </c>
      <c r="P39" s="2" t="inlineStr">
        <is>
          <t>REAJUSTE +4.7% vs média (≤6%)</t>
        </is>
      </c>
      <c r="Q39" s="2" t="n"/>
      <c r="R39" s="2" t="inlineStr">
        <is>
          <t>OTC</t>
        </is>
      </c>
    </row>
    <row r="40">
      <c r="A40" s="2" t="n">
        <v>673191</v>
      </c>
      <c r="B40" s="2" t="inlineStr">
        <is>
          <t>705710</t>
        </is>
      </c>
      <c r="C40" s="3" t="inlineStr">
        <is>
          <t>7896023752513</t>
        </is>
      </c>
      <c r="D40" s="2" t="inlineStr">
        <is>
          <t>MELAGRIAO SPRAY - MENTA - 30ML-DEMAIS PROD</t>
        </is>
      </c>
      <c r="E40" s="4" t="n">
        <v>1</v>
      </c>
      <c r="F40" s="4" t="n">
        <v>3</v>
      </c>
      <c r="G40" s="4" t="n">
        <v>3</v>
      </c>
      <c r="H40" s="5" t="n">
        <v>14.28</v>
      </c>
      <c r="I40" s="5">
        <f>G40*H40</f>
        <v/>
      </c>
      <c r="J40" s="5">
        <f>H40/E40</f>
        <v/>
      </c>
      <c r="K40" s="5" t="n">
        <v>16.5517</v>
      </c>
      <c r="L40" s="5" t="n">
        <v>13.14</v>
      </c>
      <c r="M40" s="5" t="n">
        <v>13.97666666666667</v>
      </c>
      <c r="N40" s="6">
        <f>J40/M40-1</f>
        <v/>
      </c>
      <c r="O40" s="6">
        <f>J40/K40-1</f>
        <v/>
      </c>
      <c r="P40" s="2" t="inlineStr">
        <is>
          <t>OK (≤ últ. compra)</t>
        </is>
      </c>
      <c r="Q40" s="2" t="n"/>
      <c r="R40" s="2" t="inlineStr">
        <is>
          <t>OTC</t>
        </is>
      </c>
    </row>
    <row r="41">
      <c r="A41" s="2" t="n">
        <v>663861</v>
      </c>
      <c r="B41" s="2" t="inlineStr">
        <is>
          <t>114887</t>
        </is>
      </c>
      <c r="C41" s="3" t="inlineStr">
        <is>
          <t>7891106916233</t>
        </is>
      </c>
      <c r="D41" s="2" t="inlineStr">
        <is>
          <t>MESIGYNA 50+5MG/ML C/1 SER PR+AG-REFERENCIA</t>
        </is>
      </c>
      <c r="E41" s="4" t="n">
        <v>1</v>
      </c>
      <c r="F41" s="4" t="n">
        <v>6</v>
      </c>
      <c r="G41" s="4" t="n">
        <v>6</v>
      </c>
      <c r="H41" s="5" t="n">
        <v>34.92</v>
      </c>
      <c r="I41" s="5">
        <f>G41*H41</f>
        <v/>
      </c>
      <c r="J41" s="5">
        <f>H41/E41</f>
        <v/>
      </c>
      <c r="K41" s="5" t="n">
        <v>35.54</v>
      </c>
      <c r="L41" s="5" t="n">
        <v>29.545</v>
      </c>
      <c r="M41" s="5" t="n">
        <v>32.65833333333334</v>
      </c>
      <c r="N41" s="6">
        <f>J41/M41-1</f>
        <v/>
      </c>
      <c r="O41" s="6">
        <f>J41/K41-1</f>
        <v/>
      </c>
      <c r="P41" s="2" t="inlineStr">
        <is>
          <t>OK (≤ últ. compra)</t>
        </is>
      </c>
      <c r="Q41" s="2" t="n"/>
      <c r="R41" s="2" t="inlineStr">
        <is>
          <t>RX</t>
        </is>
      </c>
    </row>
    <row r="42">
      <c r="A42" s="2" t="n">
        <v>622791</v>
      </c>
      <c r="B42" s="2" t="inlineStr">
        <is>
          <t>405240</t>
        </is>
      </c>
      <c r="C42" s="3" t="inlineStr">
        <is>
          <t>7891317022174</t>
        </is>
      </c>
      <c r="D42" s="2" t="inlineStr">
        <is>
          <t>MINILAX PEDIATRICO 714,0+7,70MG/G SOL RET 7 BG X 6,5G</t>
        </is>
      </c>
      <c r="E42" s="4" t="n">
        <v>1</v>
      </c>
      <c r="F42" s="4" t="n">
        <v>1</v>
      </c>
      <c r="G42" s="4" t="n">
        <v>1</v>
      </c>
      <c r="H42" s="5" t="n">
        <v>44.2</v>
      </c>
      <c r="I42" s="5">
        <f>G42*H42</f>
        <v/>
      </c>
      <c r="J42" s="5">
        <f>H42/E42</f>
        <v/>
      </c>
      <c r="K42" s="5" t="n">
        <v>44.4967</v>
      </c>
      <c r="L42" s="5" t="n">
        <v>38.8975</v>
      </c>
      <c r="M42" s="5" t="n">
        <v>41.33973333333333</v>
      </c>
      <c r="N42" s="6">
        <f>J42/M42-1</f>
        <v/>
      </c>
      <c r="O42" s="6">
        <f>J42/K42-1</f>
        <v/>
      </c>
      <c r="P42" s="2" t="inlineStr">
        <is>
          <t>OK (≤ últ. compra)</t>
        </is>
      </c>
      <c r="Q42" s="2" t="n"/>
      <c r="R42" s="2" t="inlineStr">
        <is>
          <t>OTC</t>
        </is>
      </c>
    </row>
    <row r="43">
      <c r="A43" s="2" t="n">
        <v>328301</v>
      </c>
      <c r="B43" s="2" t="inlineStr">
        <is>
          <t>102380</t>
        </is>
      </c>
      <c r="C43" s="3" t="inlineStr">
        <is>
          <t>7896094201637</t>
        </is>
      </c>
      <c r="D43" s="2" t="inlineStr">
        <is>
          <t>MUVINLAX CX 20 SACH X 14G</t>
        </is>
      </c>
      <c r="E43" s="4" t="n">
        <v>1</v>
      </c>
      <c r="F43" s="4" t="n">
        <v>5</v>
      </c>
      <c r="G43" s="4" t="n">
        <v>5</v>
      </c>
      <c r="H43" s="5" t="n">
        <v>53.32</v>
      </c>
      <c r="I43" s="5">
        <f>G43*H43</f>
        <v/>
      </c>
      <c r="J43" s="5">
        <f>H43/E43</f>
        <v/>
      </c>
      <c r="K43" s="5" t="n">
        <v>55.41</v>
      </c>
      <c r="L43" s="5" t="n">
        <v>43.93</v>
      </c>
      <c r="M43" s="5" t="n">
        <v>50.21666666666667</v>
      </c>
      <c r="N43" s="6">
        <f>J43/M43-1</f>
        <v/>
      </c>
      <c r="O43" s="6">
        <f>J43/K43-1</f>
        <v/>
      </c>
      <c r="P43" s="2" t="inlineStr">
        <is>
          <t>OK (≤ últ. compra)</t>
        </is>
      </c>
      <c r="Q43" s="2" t="n"/>
      <c r="R43" s="2" t="inlineStr">
        <is>
          <t>OTC</t>
        </is>
      </c>
    </row>
    <row r="44">
      <c r="A44" s="2" t="n">
        <v>582301</v>
      </c>
      <c r="B44" s="2" t="inlineStr">
        <is>
          <t>102407</t>
        </is>
      </c>
      <c r="C44" s="3" t="inlineStr">
        <is>
          <t>7897337716550</t>
        </is>
      </c>
      <c r="D44" s="2" t="inlineStr">
        <is>
          <t>NASONEX 0,5MG/G SUS NAS FR SPR 60 ATOMIZ</t>
        </is>
      </c>
      <c r="E44" s="4" t="n">
        <v>1</v>
      </c>
      <c r="F44" s="4" t="n">
        <v>3</v>
      </c>
      <c r="G44" s="4" t="n">
        <v>3</v>
      </c>
      <c r="H44" s="5" t="n">
        <v>36.49</v>
      </c>
      <c r="I44" s="5">
        <f>G44*H44</f>
        <v/>
      </c>
      <c r="J44" s="5">
        <f>H44/E44</f>
        <v/>
      </c>
      <c r="K44" s="5" t="n">
        <v>37.12</v>
      </c>
      <c r="L44" s="5" t="n">
        <v>33.325</v>
      </c>
      <c r="M44" s="5" t="n">
        <v>35.51666666666667</v>
      </c>
      <c r="N44" s="6">
        <f>J44/M44-1</f>
        <v/>
      </c>
      <c r="O44" s="6">
        <f>J44/K44-1</f>
        <v/>
      </c>
      <c r="P44" s="2" t="inlineStr">
        <is>
          <t>OK (≤ últ. compra)</t>
        </is>
      </c>
      <c r="Q44" s="2" t="n"/>
      <c r="R44" s="2" t="inlineStr">
        <is>
          <t>RX</t>
        </is>
      </c>
    </row>
    <row r="45">
      <c r="A45" s="2" t="n">
        <v>606961</v>
      </c>
      <c r="B45" s="2" t="inlineStr">
        <is>
          <t>719845</t>
        </is>
      </c>
      <c r="C45" s="3" t="inlineStr">
        <is>
          <t>7894916516679</t>
        </is>
      </c>
      <c r="D45" s="2" t="inlineStr">
        <is>
          <t>NEUTROFER FOLATO D 30CPR REV</t>
        </is>
      </c>
      <c r="E45" s="4" t="n">
        <v>1</v>
      </c>
      <c r="F45" s="4" t="n">
        <v>1</v>
      </c>
      <c r="G45" s="4" t="n">
        <v>1</v>
      </c>
      <c r="H45" s="5" t="n">
        <v>80.87</v>
      </c>
      <c r="I45" s="5">
        <f>G45*H45</f>
        <v/>
      </c>
      <c r="J45" s="5">
        <f>H45/E45</f>
        <v/>
      </c>
      <c r="K45" s="5" t="n">
        <v>87.68000000000001</v>
      </c>
      <c r="L45" s="5" t="n">
        <v>71.28</v>
      </c>
      <c r="M45" s="5" t="n">
        <v>79.29000000000001</v>
      </c>
      <c r="N45" s="6">
        <f>J45/M45-1</f>
        <v/>
      </c>
      <c r="O45" s="6">
        <f>J45/K45-1</f>
        <v/>
      </c>
      <c r="P45" s="2" t="inlineStr">
        <is>
          <t>OK (≤ últ. compra)</t>
        </is>
      </c>
      <c r="Q45" s="2" t="n"/>
      <c r="R45" s="2" t="inlineStr">
        <is>
          <t>OTC</t>
        </is>
      </c>
    </row>
    <row r="46">
      <c r="A46" s="2" t="n">
        <v>16441</v>
      </c>
      <c r="B46" s="2" t="inlineStr">
        <is>
          <t>102447</t>
        </is>
      </c>
      <c r="C46" s="3" t="inlineStr">
        <is>
          <t>7894916500425</t>
        </is>
      </c>
      <c r="D46" s="2" t="inlineStr">
        <is>
          <t>NEUTROFER FOLICO 150MG FR 30 COMP</t>
        </is>
      </c>
      <c r="E46" s="4" t="n">
        <v>1</v>
      </c>
      <c r="F46" s="4" t="n">
        <v>1</v>
      </c>
      <c r="G46" s="4" t="n">
        <v>1</v>
      </c>
      <c r="H46" s="5" t="n">
        <v>35.81</v>
      </c>
      <c r="I46" s="5">
        <f>G46*H46</f>
        <v/>
      </c>
      <c r="J46" s="5">
        <f>H46/E46</f>
        <v/>
      </c>
      <c r="K46" s="5" t="n">
        <v>34.74</v>
      </c>
      <c r="L46" s="5" t="n">
        <v>34.355</v>
      </c>
      <c r="M46" s="5" t="n">
        <v>34.61166666666667</v>
      </c>
      <c r="N46" s="6">
        <f>J46/M46-1</f>
        <v/>
      </c>
      <c r="O46" s="6">
        <f>J46/K46-1</f>
        <v/>
      </c>
      <c r="P46" s="2" t="inlineStr">
        <is>
          <t>REAJUSTE +3.1% vs últ. (≤4%)</t>
        </is>
      </c>
      <c r="Q46" s="2" t="n"/>
      <c r="R46" s="2" t="inlineStr">
        <is>
          <t>RX</t>
        </is>
      </c>
    </row>
    <row r="47">
      <c r="A47" s="2" t="n">
        <v>588811</v>
      </c>
      <c r="B47" s="2" t="inlineStr">
        <is>
          <t>102508</t>
        </is>
      </c>
      <c r="C47" s="3" t="inlineStr">
        <is>
          <t>7898581710547</t>
        </is>
      </c>
      <c r="D47" s="2" t="inlineStr">
        <is>
          <t>NORIPURUM 100MG CX 30 COMP MAST</t>
        </is>
      </c>
      <c r="E47" s="4" t="n">
        <v>1</v>
      </c>
      <c r="F47" s="4" t="n">
        <v>6</v>
      </c>
      <c r="G47" s="4" t="n">
        <v>6</v>
      </c>
      <c r="H47" s="5" t="n">
        <v>56.73</v>
      </c>
      <c r="I47" s="5">
        <f>G47*H47</f>
        <v/>
      </c>
      <c r="J47" s="5">
        <f>H47/E47</f>
        <v/>
      </c>
      <c r="K47" s="5" t="n">
        <v>54.97</v>
      </c>
      <c r="L47" s="5" t="n">
        <v>54.97</v>
      </c>
      <c r="M47" s="5" t="n">
        <v>54.97</v>
      </c>
      <c r="N47" s="6">
        <f>J47/M47-1</f>
        <v/>
      </c>
      <c r="O47" s="6">
        <f>J47/K47-1</f>
        <v/>
      </c>
      <c r="P47" s="2" t="inlineStr">
        <is>
          <t>REAJUSTE +3.2% vs últ. (≤4%)</t>
        </is>
      </c>
      <c r="Q47" s="2" t="n"/>
      <c r="R47" s="2" t="inlineStr">
        <is>
          <t>RX</t>
        </is>
      </c>
    </row>
    <row r="48">
      <c r="A48" s="2" t="n">
        <v>468981</v>
      </c>
      <c r="B48" s="2" t="inlineStr">
        <is>
          <t>102574</t>
        </is>
      </c>
      <c r="C48" s="3" t="inlineStr">
        <is>
          <t>7895858015824</t>
        </is>
      </c>
      <c r="D48" s="2" t="inlineStr">
        <is>
          <t>OMCILON A 1,0MG/G PAS BG 10G</t>
        </is>
      </c>
      <c r="E48" s="4" t="n">
        <v>1</v>
      </c>
      <c r="F48" s="4" t="n">
        <v>8</v>
      </c>
      <c r="G48" s="4" t="n">
        <v>8</v>
      </c>
      <c r="H48" s="5" t="n">
        <v>19.49</v>
      </c>
      <c r="I48" s="5">
        <f>G48*H48</f>
        <v/>
      </c>
      <c r="J48" s="5">
        <f>H48/E48</f>
        <v/>
      </c>
      <c r="K48" s="5" t="n">
        <v>18.945</v>
      </c>
      <c r="L48" s="5" t="n">
        <v>16.8473</v>
      </c>
      <c r="M48" s="5" t="n">
        <v>18.11743333333333</v>
      </c>
      <c r="N48" s="6">
        <f>J48/M48-1</f>
        <v/>
      </c>
      <c r="O48" s="6">
        <f>J48/K48-1</f>
        <v/>
      </c>
      <c r="P48" s="2" t="inlineStr">
        <is>
          <t>REAJUSTE +2.9% vs últ. (≤4%)</t>
        </is>
      </c>
      <c r="Q48" s="2" t="n"/>
      <c r="R48" s="2" t="inlineStr">
        <is>
          <t>RX</t>
        </is>
      </c>
    </row>
    <row r="49">
      <c r="A49" s="2" t="n">
        <v>627711</v>
      </c>
      <c r="B49" s="2" t="inlineStr">
        <is>
          <t>722004</t>
        </is>
      </c>
      <c r="C49" s="3" t="inlineStr">
        <is>
          <t>7896023799983</t>
        </is>
      </c>
      <c r="D49" s="2" t="inlineStr">
        <is>
          <t>OMEGA 3 1000MG 60CAP</t>
        </is>
      </c>
      <c r="E49" s="4" t="n">
        <v>1</v>
      </c>
      <c r="F49" s="4" t="n">
        <v>13</v>
      </c>
      <c r="G49" s="4" t="n">
        <v>13</v>
      </c>
      <c r="H49" s="5" t="n">
        <v>27.19</v>
      </c>
      <c r="I49" s="5">
        <f>G49*H49</f>
        <v/>
      </c>
      <c r="J49" s="5">
        <f>H49/E49</f>
        <v/>
      </c>
      <c r="K49" s="5" t="n">
        <v>32.02</v>
      </c>
      <c r="L49" s="5" t="n">
        <v>27.45</v>
      </c>
      <c r="M49" s="5" t="n">
        <v>27.93666666666667</v>
      </c>
      <c r="N49" s="6">
        <f>J49/M49-1</f>
        <v/>
      </c>
      <c r="O49" s="6">
        <f>J49/K49-1</f>
        <v/>
      </c>
      <c r="P49" s="2" t="inlineStr">
        <is>
          <t>OK (≤ últ. compra)</t>
        </is>
      </c>
      <c r="Q49" s="2" t="n"/>
      <c r="R49" s="2" t="inlineStr">
        <is>
          <t>OTC</t>
        </is>
      </c>
    </row>
    <row r="50">
      <c r="A50" s="2" t="n">
        <v>553021</v>
      </c>
      <c r="B50" s="2" t="inlineStr">
        <is>
          <t>401053</t>
        </is>
      </c>
      <c r="C50" s="3" t="inlineStr">
        <is>
          <t>7896676434323</t>
        </is>
      </c>
      <c r="D50" s="2" t="inlineStr">
        <is>
          <t>PHOSFOENEMA 160+60MG/ML ENEMA FR 130ML</t>
        </is>
      </c>
      <c r="E50" s="4" t="n">
        <v>1</v>
      </c>
      <c r="F50" s="4" t="n">
        <v>8</v>
      </c>
      <c r="G50" s="4" t="n">
        <v>8</v>
      </c>
      <c r="H50" s="5" t="n">
        <v>16.71</v>
      </c>
      <c r="I50" s="5">
        <f>G50*H50</f>
        <v/>
      </c>
      <c r="J50" s="5">
        <f>H50/E50</f>
        <v/>
      </c>
      <c r="K50" s="5" t="n">
        <v>16.8267</v>
      </c>
      <c r="L50" s="5" t="n">
        <v>14.228</v>
      </c>
      <c r="M50" s="5" t="n">
        <v>15.30376666666667</v>
      </c>
      <c r="N50" s="6">
        <f>J50/M50-1</f>
        <v/>
      </c>
      <c r="O50" s="6">
        <f>J50/K50-1</f>
        <v/>
      </c>
      <c r="P50" s="2" t="inlineStr">
        <is>
          <t>OK (≤ últ. compra)</t>
        </is>
      </c>
      <c r="Q50" s="2" t="n"/>
      <c r="R50" s="2" t="inlineStr">
        <is>
          <t>OTC</t>
        </is>
      </c>
    </row>
    <row r="51">
      <c r="A51" s="2" t="n">
        <v>159781</v>
      </c>
      <c r="B51" s="2" t="inlineStr">
        <is>
          <t>102766</t>
        </is>
      </c>
      <c r="C51" s="3" t="inlineStr">
        <is>
          <t>7891058059149</t>
        </is>
      </c>
      <c r="D51" s="2" t="inlineStr">
        <is>
          <t>PLASIL 10MG CX 20 COMP</t>
        </is>
      </c>
      <c r="E51" s="4" t="n">
        <v>1</v>
      </c>
      <c r="F51" s="4" t="n">
        <v>8</v>
      </c>
      <c r="G51" s="4" t="n">
        <v>8</v>
      </c>
      <c r="H51" s="5" t="n">
        <v>10.98</v>
      </c>
      <c r="I51" s="5">
        <f>G51*H51</f>
        <v/>
      </c>
      <c r="J51" s="5">
        <f>H51/E51</f>
        <v/>
      </c>
      <c r="K51" s="5" t="n">
        <v>11.352</v>
      </c>
      <c r="L51" s="5" t="n">
        <v>9.918900000000001</v>
      </c>
      <c r="M51" s="5" t="n">
        <v>10.54173333333333</v>
      </c>
      <c r="N51" s="6">
        <f>J51/M51-1</f>
        <v/>
      </c>
      <c r="O51" s="6">
        <f>J51/K51-1</f>
        <v/>
      </c>
      <c r="P51" s="2" t="inlineStr">
        <is>
          <t>OK (≤ últ. compra)</t>
        </is>
      </c>
      <c r="Q51" s="2" t="n"/>
      <c r="R51" s="2" t="inlineStr">
        <is>
          <t>RX</t>
        </is>
      </c>
    </row>
    <row r="52">
      <c r="A52" s="2" t="n">
        <v>115101</v>
      </c>
      <c r="B52" s="2" t="inlineStr">
        <is>
          <t>400847</t>
        </is>
      </c>
      <c r="C52" s="3" t="inlineStr">
        <is>
          <t>78905108</t>
        </is>
      </c>
      <c r="D52" s="2" t="inlineStr">
        <is>
          <t>POMADA MINANCORA 20%+0,5%+5% POM DERM BG 30G</t>
        </is>
      </c>
      <c r="E52" s="4" t="n">
        <v>1</v>
      </c>
      <c r="F52" s="4" t="n">
        <v>1</v>
      </c>
      <c r="G52" s="4" t="n">
        <v>1</v>
      </c>
      <c r="H52" s="5" t="n">
        <v>16.12</v>
      </c>
      <c r="I52" s="5">
        <f>G52*H52</f>
        <v/>
      </c>
      <c r="J52" s="5">
        <f>H52/E52</f>
        <v/>
      </c>
      <c r="K52" s="5" t="n">
        <v>16.1667</v>
      </c>
      <c r="L52" s="5" t="n">
        <v>14.245</v>
      </c>
      <c r="M52" s="5" t="n">
        <v>15.455</v>
      </c>
      <c r="N52" s="6">
        <f>J52/M52-1</f>
        <v/>
      </c>
      <c r="O52" s="6">
        <f>J52/K52-1</f>
        <v/>
      </c>
      <c r="P52" s="2" t="inlineStr">
        <is>
          <t>OK (≤ últ. compra)</t>
        </is>
      </c>
      <c r="Q52" s="2" t="n"/>
      <c r="R52" s="2" t="inlineStr">
        <is>
          <t>OTC</t>
        </is>
      </c>
    </row>
    <row r="53">
      <c r="A53" s="2" t="n">
        <v>255821</v>
      </c>
      <c r="B53" s="2" t="inlineStr">
        <is>
          <t>111689</t>
        </is>
      </c>
      <c r="C53" s="3" t="inlineStr">
        <is>
          <t>7891317004163</t>
        </is>
      </c>
      <c r="D53" s="2" t="inlineStr">
        <is>
          <t>PRENI 11MG/ML SOL OR FR GOT 20ML</t>
        </is>
      </c>
      <c r="E53" s="4" t="n">
        <v>1</v>
      </c>
      <c r="F53" s="4" t="n">
        <v>1</v>
      </c>
      <c r="G53" s="4" t="n">
        <v>1</v>
      </c>
      <c r="H53" s="5" t="n">
        <v>30.57</v>
      </c>
      <c r="I53" s="5">
        <f>G53*H53</f>
        <v/>
      </c>
      <c r="J53" s="5">
        <f>H53/E53</f>
        <v/>
      </c>
      <c r="K53" s="5" t="n">
        <v>30.25</v>
      </c>
      <c r="L53" s="5" t="n">
        <v>27.63</v>
      </c>
      <c r="M53" s="5" t="n">
        <v>29.37666666666667</v>
      </c>
      <c r="N53" s="6">
        <f>J53/M53-1</f>
        <v/>
      </c>
      <c r="O53" s="6">
        <f>J53/K53-1</f>
        <v/>
      </c>
      <c r="P53" s="2" t="inlineStr">
        <is>
          <t>REAJUSTE +1.1% vs últ. (≤4%)</t>
        </is>
      </c>
      <c r="Q53" s="2" t="n"/>
      <c r="R53" s="2" t="inlineStr">
        <is>
          <t>RX</t>
        </is>
      </c>
    </row>
    <row r="54">
      <c r="A54" s="2" t="n">
        <v>256001</v>
      </c>
      <c r="B54" s="2" t="inlineStr">
        <is>
          <t>111531</t>
        </is>
      </c>
      <c r="C54" s="3" t="inlineStr">
        <is>
          <t>7891317004217</t>
        </is>
      </c>
      <c r="D54" s="2" t="inlineStr">
        <is>
          <t>PRENI 3MG/ML SOL OR FR 60ML+SER DOS</t>
        </is>
      </c>
      <c r="E54" s="4" t="n">
        <v>1</v>
      </c>
      <c r="F54" s="4" t="n">
        <v>1</v>
      </c>
      <c r="G54" s="4" t="n">
        <v>1</v>
      </c>
      <c r="H54" s="5" t="n">
        <v>20.92</v>
      </c>
      <c r="I54" s="5">
        <f>G54*H54</f>
        <v/>
      </c>
      <c r="J54" s="5">
        <f>H54/E54</f>
        <v/>
      </c>
      <c r="K54" s="5" t="n">
        <v>21.51</v>
      </c>
      <c r="L54" s="5" t="n">
        <v>18.91</v>
      </c>
      <c r="M54" s="5" t="n">
        <v>20.10333333333334</v>
      </c>
      <c r="N54" s="6">
        <f>J54/M54-1</f>
        <v/>
      </c>
      <c r="O54" s="6">
        <f>J54/K54-1</f>
        <v/>
      </c>
      <c r="P54" s="2" t="inlineStr">
        <is>
          <t>OK (≤ últ. compra)</t>
        </is>
      </c>
      <c r="Q54" s="2" t="n"/>
      <c r="R54" s="2" t="inlineStr">
        <is>
          <t>RX</t>
        </is>
      </c>
    </row>
    <row r="55">
      <c r="A55" s="2" t="n">
        <v>205761</v>
      </c>
      <c r="B55" s="2" t="inlineStr">
        <is>
          <t>102878</t>
        </is>
      </c>
      <c r="C55" s="3" t="inlineStr">
        <is>
          <t>7891317177652</t>
        </is>
      </c>
      <c r="D55" s="2" t="inlineStr">
        <is>
          <t>PRIMERA 0,150+0,020MG CAIXA C/ 3 CARTELAS</t>
        </is>
      </c>
      <c r="E55" s="4" t="n">
        <v>1</v>
      </c>
      <c r="F55" s="4" t="n">
        <v>2</v>
      </c>
      <c r="G55" s="4" t="n">
        <v>2</v>
      </c>
      <c r="H55" s="5" t="n">
        <v>69</v>
      </c>
      <c r="I55" s="5">
        <f>G55*H55</f>
        <v/>
      </c>
      <c r="J55" s="5">
        <f>H55/E55</f>
        <v/>
      </c>
      <c r="K55" s="5" t="n">
        <v>69.47</v>
      </c>
      <c r="L55" s="5" t="n">
        <v>20.79</v>
      </c>
      <c r="M55" s="5" t="n">
        <v>37.67443333333333</v>
      </c>
      <c r="N55" s="6">
        <f>J55/M55-1</f>
        <v/>
      </c>
      <c r="O55" s="6">
        <f>J55/K55-1</f>
        <v/>
      </c>
      <c r="P55" s="2" t="inlineStr">
        <is>
          <t>OK (≤ últ. compra)</t>
        </is>
      </c>
      <c r="Q55" s="2" t="n"/>
      <c r="R55" s="2" t="inlineStr">
        <is>
          <t>RX</t>
        </is>
      </c>
    </row>
    <row r="56">
      <c r="A56" s="2" t="n">
        <v>405861</v>
      </c>
      <c r="B56" s="2" t="inlineStr">
        <is>
          <t>401084</t>
        </is>
      </c>
      <c r="C56" s="3" t="inlineStr">
        <is>
          <t>7896641801792</t>
        </is>
      </c>
      <c r="D56" s="2" t="inlineStr">
        <is>
          <t>PROCTYL POM BG 30G</t>
        </is>
      </c>
      <c r="E56" s="4" t="n">
        <v>1</v>
      </c>
      <c r="F56" s="4" t="n">
        <v>3</v>
      </c>
      <c r="G56" s="4" t="n">
        <v>3</v>
      </c>
      <c r="H56" s="5" t="n">
        <v>81.73</v>
      </c>
      <c r="I56" s="5">
        <f>G56*H56</f>
        <v/>
      </c>
      <c r="J56" s="5">
        <f>H56/E56</f>
        <v/>
      </c>
      <c r="K56" s="5" t="n">
        <v>84.06999999999999</v>
      </c>
      <c r="L56" s="5" t="n">
        <v>65.70999999999999</v>
      </c>
      <c r="M56" s="5" t="n">
        <v>73.27499999999999</v>
      </c>
      <c r="N56" s="6">
        <f>J56/M56-1</f>
        <v/>
      </c>
      <c r="O56" s="6">
        <f>J56/K56-1</f>
        <v/>
      </c>
      <c r="P56" s="2" t="inlineStr">
        <is>
          <t>OK (≤ últ. compra)</t>
        </is>
      </c>
      <c r="Q56" s="2" t="n"/>
      <c r="R56" s="2" t="inlineStr">
        <is>
          <t>OTC</t>
        </is>
      </c>
    </row>
    <row r="57">
      <c r="A57" s="2" t="n">
        <v>96361</v>
      </c>
      <c r="B57" s="2" t="inlineStr">
        <is>
          <t>102905</t>
        </is>
      </c>
      <c r="C57" s="3" t="inlineStr">
        <is>
          <t>7896070601871</t>
        </is>
      </c>
      <c r="D57" s="2" t="inlineStr">
        <is>
          <t>PROFENID 50MG SOL INJ CX 6 AMP X 2ML</t>
        </is>
      </c>
      <c r="E57" s="4" t="n">
        <v>6</v>
      </c>
      <c r="F57" s="4" t="n">
        <v>1</v>
      </c>
      <c r="G57" s="4" t="n">
        <v>1</v>
      </c>
      <c r="H57" s="5" t="n">
        <v>31.29</v>
      </c>
      <c r="I57" s="5">
        <f>G57*H57</f>
        <v/>
      </c>
      <c r="J57" s="5">
        <f>H57/E57</f>
        <v/>
      </c>
      <c r="K57" s="5" t="n">
        <v>5.3083</v>
      </c>
      <c r="L57" s="5" t="n">
        <v>5.0654</v>
      </c>
      <c r="M57" s="5" t="n">
        <v>5.227333333333333</v>
      </c>
      <c r="N57" s="6">
        <f>J57/M57-1</f>
        <v/>
      </c>
      <c r="O57" s="6">
        <f>J57/K57-1</f>
        <v/>
      </c>
      <c r="P57" s="2" t="inlineStr">
        <is>
          <t>OK (≤ últ. compra)</t>
        </is>
      </c>
      <c r="Q57" s="2" t="inlineStr">
        <is>
          <t>1 emb = 6 un</t>
        </is>
      </c>
      <c r="R57" s="2" t="inlineStr">
        <is>
          <t>RX</t>
        </is>
      </c>
    </row>
    <row r="58">
      <c r="A58" s="2" t="n">
        <v>69341</v>
      </c>
      <c r="B58" s="2" t="inlineStr">
        <is>
          <t>102952</t>
        </is>
      </c>
      <c r="C58" s="3" t="inlineStr">
        <is>
          <t>7896206401610</t>
        </is>
      </c>
      <c r="D58" s="2" t="inlineStr">
        <is>
          <t>PULMICORT 0,25MG SUS EMBALAGEM FRACIONADA (5 FC)</t>
        </is>
      </c>
      <c r="E58" s="4" t="n">
        <v>4</v>
      </c>
      <c r="F58" s="4" t="n">
        <v>1</v>
      </c>
      <c r="G58" s="4" t="n">
        <v>1</v>
      </c>
      <c r="H58" s="5" t="n">
        <v>169.33</v>
      </c>
      <c r="I58" s="5">
        <f>G58*H58</f>
        <v/>
      </c>
      <c r="J58" s="5">
        <f>H58/E58</f>
        <v/>
      </c>
      <c r="K58" s="5" t="n">
        <v>43.5222</v>
      </c>
      <c r="L58" s="5" t="n">
        <v>39.2025</v>
      </c>
      <c r="M58" s="5" t="n">
        <v>42.0823</v>
      </c>
      <c r="N58" s="6">
        <f>J58/M58-1</f>
        <v/>
      </c>
      <c r="O58" s="6">
        <f>J58/K58-1</f>
        <v/>
      </c>
      <c r="P58" s="2" t="inlineStr">
        <is>
          <t>OK (≤ últ. compra)</t>
        </is>
      </c>
      <c r="Q58" s="2" t="inlineStr">
        <is>
          <t>1 emb = 4 un</t>
        </is>
      </c>
      <c r="R58" s="2" t="inlineStr">
        <is>
          <t>RX</t>
        </is>
      </c>
    </row>
    <row r="59">
      <c r="A59" s="2" t="n">
        <v>69321</v>
      </c>
      <c r="B59" s="2" t="inlineStr">
        <is>
          <t>102953</t>
        </is>
      </c>
      <c r="C59" s="3" t="inlineStr">
        <is>
          <t>7896206402013</t>
        </is>
      </c>
      <c r="D59" s="2" t="inlineStr">
        <is>
          <t>PULMICORT 0,25MG SUS NEB CX 5 FR X 2ML</t>
        </is>
      </c>
      <c r="E59" s="4" t="n">
        <v>1</v>
      </c>
      <c r="F59" s="4" t="n">
        <v>8</v>
      </c>
      <c r="G59" s="4" t="n">
        <v>8</v>
      </c>
      <c r="H59" s="5" t="n">
        <v>42.24</v>
      </c>
      <c r="I59" s="5">
        <f>G59*H59</f>
        <v/>
      </c>
      <c r="J59" s="5">
        <f>H59/E59</f>
        <v/>
      </c>
      <c r="K59" s="5" t="n">
        <v>41.0625</v>
      </c>
      <c r="L59" s="5" t="n">
        <v>39.12</v>
      </c>
      <c r="M59" s="5" t="n">
        <v>40.415</v>
      </c>
      <c r="N59" s="6">
        <f>J59/M59-1</f>
        <v/>
      </c>
      <c r="O59" s="6">
        <f>J59/K59-1</f>
        <v/>
      </c>
      <c r="P59" s="2" t="inlineStr">
        <is>
          <t>REAJUSTE +2.9% vs últ. (≤4%)</t>
        </is>
      </c>
      <c r="Q59" s="2" t="n"/>
      <c r="R59" s="2" t="inlineStr">
        <is>
          <t>RX</t>
        </is>
      </c>
    </row>
    <row r="60">
      <c r="A60" s="2" t="n">
        <v>500621</v>
      </c>
      <c r="B60" s="2" t="inlineStr">
        <is>
          <t>106526</t>
        </is>
      </c>
      <c r="C60" s="3" t="inlineStr">
        <is>
          <t>7891058003579</t>
        </is>
      </c>
      <c r="D60" s="2" t="inlineStr">
        <is>
          <t>PURAN T4 62,5MCG CX 30 COMP</t>
        </is>
      </c>
      <c r="E60" s="4" t="n">
        <v>1</v>
      </c>
      <c r="F60" s="4" t="n">
        <v>2</v>
      </c>
      <c r="G60" s="4" t="n">
        <v>2</v>
      </c>
      <c r="H60" s="5" t="n">
        <v>14.12</v>
      </c>
      <c r="I60" s="5">
        <f>G60*H60</f>
        <v/>
      </c>
      <c r="J60" s="5">
        <f>H60/E60</f>
        <v/>
      </c>
      <c r="K60" s="5" t="n">
        <v>13.74</v>
      </c>
      <c r="L60" s="5" t="n">
        <v>12.655</v>
      </c>
      <c r="M60" s="5" t="n">
        <v>13.301</v>
      </c>
      <c r="N60" s="6">
        <f>J60/M60-1</f>
        <v/>
      </c>
      <c r="O60" s="6">
        <f>J60/K60-1</f>
        <v/>
      </c>
      <c r="P60" s="2" t="inlineStr">
        <is>
          <t>REAJUSTE +2.8% vs últ. (≤4%)</t>
        </is>
      </c>
      <c r="Q60" s="2" t="n"/>
      <c r="R60" s="2" t="inlineStr">
        <is>
          <t>RX</t>
        </is>
      </c>
    </row>
    <row r="61">
      <c r="A61" s="2" t="n">
        <v>320961</v>
      </c>
      <c r="B61" s="2" t="inlineStr">
        <is>
          <t>102976</t>
        </is>
      </c>
      <c r="C61" s="3" t="inlineStr">
        <is>
          <t>7897595903365</t>
        </is>
      </c>
      <c r="D61" s="2" t="inlineStr">
        <is>
          <t>PURAN T4 88MCG CX 30 COMP</t>
        </is>
      </c>
      <c r="E61" s="4" t="n">
        <v>1</v>
      </c>
      <c r="F61" s="4" t="n">
        <v>6</v>
      </c>
      <c r="G61" s="4" t="n">
        <v>6</v>
      </c>
      <c r="H61" s="5" t="n">
        <v>19.51</v>
      </c>
      <c r="I61" s="5">
        <f>G61*H61</f>
        <v/>
      </c>
      <c r="J61" s="5">
        <f>H61/E61</f>
        <v/>
      </c>
      <c r="K61" s="5" t="n">
        <v>19.51</v>
      </c>
      <c r="L61" s="5" t="n">
        <v>16.105</v>
      </c>
      <c r="M61" s="5" t="n">
        <v>18.375</v>
      </c>
      <c r="N61" s="6">
        <f>J61/M61-1</f>
        <v/>
      </c>
      <c r="O61" s="6">
        <f>J61/K61-1</f>
        <v/>
      </c>
      <c r="P61" s="2" t="inlineStr">
        <is>
          <t>OK (≤ últ. compra)</t>
        </is>
      </c>
      <c r="Q61" s="2" t="n"/>
      <c r="R61" s="2" t="inlineStr">
        <is>
          <t>RX</t>
        </is>
      </c>
    </row>
    <row r="62">
      <c r="A62" s="2" t="n">
        <v>290261</v>
      </c>
      <c r="B62" s="2" t="inlineStr">
        <is>
          <t>112190</t>
        </is>
      </c>
      <c r="C62" s="3" t="inlineStr">
        <is>
          <t>7894916510417</t>
        </is>
      </c>
      <c r="D62" s="2" t="inlineStr">
        <is>
          <t>PV - OLMY HCT 20+12,5MG CX 10 COMP REV</t>
        </is>
      </c>
      <c r="E62" s="4" t="n">
        <v>1</v>
      </c>
      <c r="F62" s="4" t="n">
        <v>1</v>
      </c>
      <c r="G62" s="4" t="n">
        <v>1</v>
      </c>
      <c r="H62" s="5" t="n">
        <v>49.1</v>
      </c>
      <c r="I62" s="5">
        <f>G62*H62</f>
        <v/>
      </c>
      <c r="J62" s="5">
        <f>H62/E62</f>
        <v/>
      </c>
      <c r="K62" s="5" t="n">
        <v>49.1</v>
      </c>
      <c r="L62" s="5" t="n">
        <v>49.1</v>
      </c>
      <c r="M62" s="5" t="n">
        <v>49.1</v>
      </c>
      <c r="N62" s="6">
        <f>J62/M62-1</f>
        <v/>
      </c>
      <c r="O62" s="6">
        <f>J62/K62-1</f>
        <v/>
      </c>
      <c r="P62" s="2" t="inlineStr">
        <is>
          <t>OK (≤ últ. compra)</t>
        </is>
      </c>
      <c r="Q62" s="2" t="n"/>
      <c r="R62" s="2" t="inlineStr">
        <is>
          <t>RX</t>
        </is>
      </c>
    </row>
    <row r="63">
      <c r="A63" s="2" t="n">
        <v>654181</v>
      </c>
      <c r="B63" s="2" t="inlineStr">
        <is>
          <t>405686</t>
        </is>
      </c>
      <c r="C63" s="3" t="inlineStr">
        <is>
          <t>7896112409625</t>
        </is>
      </c>
      <c r="D63" s="2" t="inlineStr">
        <is>
          <t>PVV - FLY GOTAS 150MG LAR 15ML</t>
        </is>
      </c>
      <c r="E63" s="4" t="n">
        <v>1</v>
      </c>
      <c r="F63" s="4" t="n">
        <v>1</v>
      </c>
      <c r="G63" s="4" t="n">
        <v>1</v>
      </c>
      <c r="H63" s="5" t="n">
        <v>19.7</v>
      </c>
      <c r="I63" s="5">
        <f>G63*H63</f>
        <v/>
      </c>
      <c r="J63" s="5">
        <f>H63/E63</f>
        <v/>
      </c>
      <c r="K63" s="5" t="n">
        <v>28.935</v>
      </c>
      <c r="L63" s="5" t="n">
        <v>28.935</v>
      </c>
      <c r="M63" s="5" t="n">
        <v>28.935</v>
      </c>
      <c r="N63" s="6">
        <f>J63/M63-1</f>
        <v/>
      </c>
      <c r="O63" s="6">
        <f>J63/K63-1</f>
        <v/>
      </c>
      <c r="P63" s="2" t="inlineStr">
        <is>
          <t>OK (≤ últ. compra)</t>
        </is>
      </c>
      <c r="Q63" s="2" t="n"/>
      <c r="R63" s="2" t="inlineStr">
        <is>
          <t>OTC</t>
        </is>
      </c>
    </row>
    <row r="64">
      <c r="A64" s="2" t="n">
        <v>622891</v>
      </c>
      <c r="B64" s="2" t="inlineStr">
        <is>
          <t>705784</t>
        </is>
      </c>
      <c r="C64" s="3" t="inlineStr">
        <is>
          <t>7891106908535</t>
        </is>
      </c>
      <c r="D64" s="2" t="inlineStr">
        <is>
          <t>REDOXITOS LARANJA 25 UNIDADES-DEMAIS PROD</t>
        </is>
      </c>
      <c r="E64" s="4" t="n">
        <v>1</v>
      </c>
      <c r="F64" s="4" t="n">
        <v>2</v>
      </c>
      <c r="G64" s="4" t="n">
        <v>2</v>
      </c>
      <c r="H64" s="5" t="n">
        <v>16.34</v>
      </c>
      <c r="I64" s="5">
        <f>G64*H64</f>
        <v/>
      </c>
      <c r="J64" s="5">
        <f>H64/E64</f>
        <v/>
      </c>
      <c r="K64" s="5" t="n">
        <v>16.18</v>
      </c>
      <c r="L64" s="5" t="n">
        <v>14.7067</v>
      </c>
      <c r="M64" s="5" t="n">
        <v>15.63223333333333</v>
      </c>
      <c r="N64" s="6">
        <f>J64/M64-1</f>
        <v/>
      </c>
      <c r="O64" s="6">
        <f>J64/K64-1</f>
        <v/>
      </c>
      <c r="P64" s="2" t="inlineStr">
        <is>
          <t>REAJUSTE +1.0% vs últ. (≤4%)</t>
        </is>
      </c>
      <c r="Q64" s="2" t="n"/>
      <c r="R64" s="2" t="inlineStr">
        <is>
          <t>OTC</t>
        </is>
      </c>
    </row>
    <row r="65">
      <c r="A65" s="2" t="n">
        <v>664401</v>
      </c>
      <c r="B65" s="2" t="inlineStr">
        <is>
          <t>112751</t>
        </is>
      </c>
      <c r="C65" s="3" t="inlineStr">
        <is>
          <t>7899420508370</t>
        </is>
      </c>
      <c r="D65" s="2" t="inlineStr">
        <is>
          <t>RENOVI B PLUS 5+100+100+4,3MG SOL INJ 3 DOSES AMP</t>
        </is>
      </c>
      <c r="E65" s="4" t="n">
        <v>1</v>
      </c>
      <c r="F65" s="4" t="n">
        <v>1</v>
      </c>
      <c r="G65" s="4" t="n">
        <v>1</v>
      </c>
      <c r="H65" s="5" t="n">
        <v>39.72</v>
      </c>
      <c r="I65" s="5">
        <f>G65*H65</f>
        <v/>
      </c>
      <c r="J65" s="5">
        <f>H65/E65</f>
        <v/>
      </c>
      <c r="K65" s="5" t="n">
        <v>37.9567</v>
      </c>
      <c r="L65" s="5" t="n">
        <v>37.9567</v>
      </c>
      <c r="M65" s="5" t="n">
        <v>37.9567</v>
      </c>
      <c r="N65" s="6">
        <f>J65/M65-1</f>
        <v/>
      </c>
      <c r="O65" s="6">
        <f>J65/K65-1</f>
        <v/>
      </c>
      <c r="P65" s="2" t="inlineStr">
        <is>
          <t>REAJUSTE +4.6% vs média (≤6%)</t>
        </is>
      </c>
      <c r="Q65" s="2" t="n"/>
      <c r="R65" s="2" t="inlineStr">
        <is>
          <t>RX</t>
        </is>
      </c>
    </row>
    <row r="66">
      <c r="A66" s="2" t="n">
        <v>553</v>
      </c>
      <c r="B66" s="2" t="inlineStr">
        <is>
          <t>703976</t>
        </is>
      </c>
      <c r="C66" s="3" t="inlineStr">
        <is>
          <t>310119033227</t>
        </is>
      </c>
      <c r="D66" s="2" t="inlineStr">
        <is>
          <t>RENU PLUS SOL MULTI-USO S/ FRICCAO FR 120ML (+12% IPI)</t>
        </is>
      </c>
      <c r="E66" s="4" t="n">
        <v>1</v>
      </c>
      <c r="F66" s="4" t="n">
        <v>1</v>
      </c>
      <c r="G66" s="4" t="n">
        <v>1</v>
      </c>
      <c r="H66" s="5" t="n">
        <v>34.72</v>
      </c>
      <c r="I66" s="5">
        <f>G66*H66</f>
        <v/>
      </c>
      <c r="J66" s="5">
        <f>H66/E66</f>
        <v/>
      </c>
      <c r="K66" s="5" t="n">
        <v>37.74</v>
      </c>
      <c r="L66" s="5" t="n">
        <v>31.97</v>
      </c>
      <c r="M66" s="5" t="n">
        <v>35.81666666666667</v>
      </c>
      <c r="N66" s="6">
        <f>J66/M66-1</f>
        <v/>
      </c>
      <c r="O66" s="6">
        <f>J66/K66-1</f>
        <v/>
      </c>
      <c r="P66" s="2" t="inlineStr">
        <is>
          <t>OK (≤ últ. compra)</t>
        </is>
      </c>
      <c r="Q66" s="2" t="n"/>
      <c r="R66" s="2" t="inlineStr">
        <is>
          <t>OTC</t>
        </is>
      </c>
    </row>
    <row r="67">
      <c r="A67" s="2" t="n">
        <v>427821</v>
      </c>
      <c r="B67" s="2" t="inlineStr">
        <is>
          <t>103127</t>
        </is>
      </c>
      <c r="C67" s="3" t="inlineStr">
        <is>
          <t>8902220109506</t>
        </is>
      </c>
      <c r="D67" s="2" t="inlineStr">
        <is>
          <t>ROSUCOR 10MG CX 30 COMP REV</t>
        </is>
      </c>
      <c r="E67" s="4" t="n">
        <v>1</v>
      </c>
      <c r="F67" s="4" t="n">
        <v>1</v>
      </c>
      <c r="G67" s="4" t="n">
        <v>1</v>
      </c>
      <c r="H67" s="5" t="n">
        <v>32.79</v>
      </c>
      <c r="I67" s="5">
        <f>G67*H67</f>
        <v/>
      </c>
      <c r="J67" s="5">
        <f>H67/E67</f>
        <v/>
      </c>
      <c r="K67" s="5" t="n">
        <v>33.14</v>
      </c>
      <c r="L67" s="5" t="n">
        <v>28.21</v>
      </c>
      <c r="M67" s="5" t="n">
        <v>31.49666666666667</v>
      </c>
      <c r="N67" s="6">
        <f>J67/M67-1</f>
        <v/>
      </c>
      <c r="O67" s="6">
        <f>J67/K67-1</f>
        <v/>
      </c>
      <c r="P67" s="2" t="inlineStr">
        <is>
          <t>OK (≤ últ. compra)</t>
        </is>
      </c>
      <c r="Q67" s="2" t="n"/>
      <c r="R67" s="2" t="inlineStr">
        <is>
          <t>RX</t>
        </is>
      </c>
    </row>
    <row r="68">
      <c r="A68" s="2" t="n">
        <v>427841</v>
      </c>
      <c r="B68" s="2" t="inlineStr">
        <is>
          <t>103128</t>
        </is>
      </c>
      <c r="C68" s="3" t="inlineStr">
        <is>
          <t>8902220109520</t>
        </is>
      </c>
      <c r="D68" s="2" t="inlineStr">
        <is>
          <t>ROSUCOR 20MG CX 30 COMP REV</t>
        </is>
      </c>
      <c r="E68" s="4" t="n">
        <v>1</v>
      </c>
      <c r="F68" s="4" t="n">
        <v>1</v>
      </c>
      <c r="G68" s="4" t="n">
        <v>1</v>
      </c>
      <c r="H68" s="5" t="n">
        <v>56.07</v>
      </c>
      <c r="I68" s="5">
        <f>G68*H68</f>
        <v/>
      </c>
      <c r="J68" s="5">
        <f>H68/E68</f>
        <v/>
      </c>
      <c r="K68" s="5" t="n">
        <v>58.89</v>
      </c>
      <c r="L68" s="5" t="n">
        <v>46.56</v>
      </c>
      <c r="M68" s="5" t="n">
        <v>52.915</v>
      </c>
      <c r="N68" s="6">
        <f>J68/M68-1</f>
        <v/>
      </c>
      <c r="O68" s="6">
        <f>J68/K68-1</f>
        <v/>
      </c>
      <c r="P68" s="2" t="inlineStr">
        <is>
          <t>OK (≤ últ. compra)</t>
        </is>
      </c>
      <c r="Q68" s="2" t="n"/>
      <c r="R68" s="2" t="inlineStr">
        <is>
          <t>RX</t>
        </is>
      </c>
    </row>
    <row r="69">
      <c r="A69" s="2" t="n">
        <v>431301</v>
      </c>
      <c r="B69" s="2" t="inlineStr">
        <is>
          <t>401164</t>
        </is>
      </c>
      <c r="C69" s="3" t="inlineStr">
        <is>
          <t>7896227800089</t>
        </is>
      </c>
      <c r="D69" s="2" t="inlineStr">
        <is>
          <t>SALONPAS 0,15+0,07G/G GEL BG 20G</t>
        </is>
      </c>
      <c r="E69" s="4" t="n">
        <v>1</v>
      </c>
      <c r="F69" s="4" t="n">
        <v>2</v>
      </c>
      <c r="G69" s="4" t="n">
        <v>2</v>
      </c>
      <c r="H69" s="5" t="n">
        <v>15.16</v>
      </c>
      <c r="I69" s="5">
        <f>G69*H69</f>
        <v/>
      </c>
      <c r="J69" s="5">
        <f>H69/E69</f>
        <v/>
      </c>
      <c r="K69" s="5" t="n">
        <v>14.86</v>
      </c>
      <c r="L69" s="5" t="n">
        <v>14.325</v>
      </c>
      <c r="M69" s="5" t="n">
        <v>14.325</v>
      </c>
      <c r="N69" s="6">
        <f>J69/M69-1</f>
        <v/>
      </c>
      <c r="O69" s="6">
        <f>J69/K69-1</f>
        <v/>
      </c>
      <c r="P69" s="2" t="inlineStr">
        <is>
          <t>REAJUSTE +2.0% vs últ. (≤4%)</t>
        </is>
      </c>
      <c r="Q69" s="2" t="n"/>
      <c r="R69" s="2" t="inlineStr">
        <is>
          <t>OTC</t>
        </is>
      </c>
    </row>
    <row r="70">
      <c r="A70" s="2" t="n">
        <v>318421</v>
      </c>
      <c r="B70" s="2" t="inlineStr">
        <is>
          <t>403919</t>
        </is>
      </c>
      <c r="C70" s="3" t="inlineStr">
        <is>
          <t>7896227800812</t>
        </is>
      </c>
      <c r="D70" s="2" t="inlineStr">
        <is>
          <t>SALONPAS 144,0+131,0+28,4MG  CX 2 UNID. ADES TAM GDE</t>
        </is>
      </c>
      <c r="E70" s="4" t="n">
        <v>1</v>
      </c>
      <c r="F70" s="4" t="n">
        <v>36</v>
      </c>
      <c r="G70" s="4" t="n">
        <v>36</v>
      </c>
      <c r="H70" s="5" t="n">
        <v>7.23</v>
      </c>
      <c r="I70" s="5">
        <f>G70*H70</f>
        <v/>
      </c>
      <c r="J70" s="5">
        <f>H70/E70</f>
        <v/>
      </c>
      <c r="K70" s="5" t="n">
        <v>8.029500000000001</v>
      </c>
      <c r="L70" s="5" t="n">
        <v>6.1254</v>
      </c>
      <c r="M70" s="5" t="n">
        <v>7.3948</v>
      </c>
      <c r="N70" s="6">
        <f>J70/M70-1</f>
        <v/>
      </c>
      <c r="O70" s="6">
        <f>J70/K70-1</f>
        <v/>
      </c>
      <c r="P70" s="2" t="inlineStr">
        <is>
          <t>OK (≤ últ. compra)</t>
        </is>
      </c>
      <c r="Q70" s="2" t="n"/>
      <c r="R70" s="2" t="inlineStr">
        <is>
          <t>OTC</t>
        </is>
      </c>
    </row>
    <row r="71">
      <c r="A71" s="2" t="n">
        <v>318441</v>
      </c>
      <c r="B71" s="2" t="inlineStr">
        <is>
          <t>403920</t>
        </is>
      </c>
      <c r="C71" s="3" t="inlineStr">
        <is>
          <t>7896227800829</t>
        </is>
      </c>
      <c r="D71" s="2" t="inlineStr">
        <is>
          <t>SALONPAS 144,0+131,0+28,4MG CX 4 UNID. ADES TAM GDE</t>
        </is>
      </c>
      <c r="E71" s="4" t="n">
        <v>1</v>
      </c>
      <c r="F71" s="4" t="n">
        <v>61</v>
      </c>
      <c r="G71" s="4" t="n">
        <v>61</v>
      </c>
      <c r="H71" s="5" t="n">
        <v>13.02</v>
      </c>
      <c r="I71" s="5">
        <f>G71*H71</f>
        <v/>
      </c>
      <c r="J71" s="5">
        <f>H71/E71</f>
        <v/>
      </c>
      <c r="K71" s="5" t="n">
        <v>15.3803</v>
      </c>
      <c r="L71" s="5" t="n">
        <v>11.0372</v>
      </c>
      <c r="M71" s="5" t="n">
        <v>13.1579</v>
      </c>
      <c r="N71" s="6">
        <f>J71/M71-1</f>
        <v/>
      </c>
      <c r="O71" s="6">
        <f>J71/K71-1</f>
        <v/>
      </c>
      <c r="P71" s="2" t="inlineStr">
        <is>
          <t>OK (≤ últ. compra)</t>
        </is>
      </c>
      <c r="Q71" s="2" t="n"/>
      <c r="R71" s="2" t="inlineStr">
        <is>
          <t>OTC</t>
        </is>
      </c>
    </row>
    <row r="72">
      <c r="A72" s="2" t="n">
        <v>431321</v>
      </c>
      <c r="B72" s="2" t="inlineStr">
        <is>
          <t>401161</t>
        </is>
      </c>
      <c r="C72" s="3" t="inlineStr">
        <is>
          <t>7896227800041</t>
        </is>
      </c>
      <c r="D72" s="2" t="inlineStr">
        <is>
          <t>SALONPAS 30+38,5+38,5+19MG/ML LATA COM 80ML</t>
        </is>
      </c>
      <c r="E72" s="4" t="n">
        <v>1</v>
      </c>
      <c r="F72" s="4" t="n">
        <v>1</v>
      </c>
      <c r="G72" s="4" t="n">
        <v>1</v>
      </c>
      <c r="H72" s="5" t="n">
        <v>38.44</v>
      </c>
      <c r="I72" s="5">
        <f>G72*H72</f>
        <v/>
      </c>
      <c r="J72" s="5">
        <f>H72/E72</f>
        <v/>
      </c>
      <c r="K72" s="5" t="n">
        <v>37.6733</v>
      </c>
      <c r="L72" s="5" t="n">
        <v>32.5533</v>
      </c>
      <c r="M72" s="5" t="n">
        <v>35.4922</v>
      </c>
      <c r="N72" s="6">
        <f>J72/M72-1</f>
        <v/>
      </c>
      <c r="O72" s="6">
        <f>J72/K72-1</f>
        <v/>
      </c>
      <c r="P72" s="2" t="inlineStr">
        <is>
          <t>REAJUSTE +2.0% vs últ. (≤4%)</t>
        </is>
      </c>
      <c r="Q72" s="2" t="n"/>
      <c r="R72" s="2" t="inlineStr">
        <is>
          <t>OTC</t>
        </is>
      </c>
    </row>
    <row r="73">
      <c r="A73" s="2" t="n">
        <v>318381</v>
      </c>
      <c r="B73" s="2" t="inlineStr">
        <is>
          <t>403922</t>
        </is>
      </c>
      <c r="C73" s="3" t="inlineStr">
        <is>
          <t>7896227800805</t>
        </is>
      </c>
      <c r="D73" s="2" t="inlineStr">
        <is>
          <t>SALONPAS 36,0MG+33,0MG+7,1MG CX 10 UNID. ADES TAM PEQ</t>
        </is>
      </c>
      <c r="E73" s="4" t="n">
        <v>1</v>
      </c>
      <c r="F73" s="4" t="n">
        <v>32</v>
      </c>
      <c r="G73" s="4" t="n">
        <v>32</v>
      </c>
      <c r="H73" s="5" t="n">
        <v>8.17</v>
      </c>
      <c r="I73" s="5">
        <f>G73*H73</f>
        <v/>
      </c>
      <c r="J73" s="5">
        <f>H73/E73</f>
        <v/>
      </c>
      <c r="K73" s="5" t="n">
        <v>8.486000000000001</v>
      </c>
      <c r="L73" s="5" t="n">
        <v>6.9125</v>
      </c>
      <c r="M73" s="5" t="n">
        <v>7.961500000000001</v>
      </c>
      <c r="N73" s="6">
        <f>J73/M73-1</f>
        <v/>
      </c>
      <c r="O73" s="6">
        <f>J73/K73-1</f>
        <v/>
      </c>
      <c r="P73" s="2" t="inlineStr">
        <is>
          <t>OK (≤ últ. compra)</t>
        </is>
      </c>
      <c r="Q73" s="2" t="n"/>
      <c r="R73" s="2" t="inlineStr">
        <is>
          <t>OTC</t>
        </is>
      </c>
    </row>
    <row r="74">
      <c r="A74" s="2" t="n">
        <v>318461</v>
      </c>
      <c r="B74" s="2" t="inlineStr">
        <is>
          <t>403921</t>
        </is>
      </c>
      <c r="C74" s="3" t="inlineStr">
        <is>
          <t>7896227800799</t>
        </is>
      </c>
      <c r="D74" s="2" t="inlineStr">
        <is>
          <t>SALONPAS 36,0MG+33,0MG+7,1MG CX 4 UNID. ADES TAM PEQ</t>
        </is>
      </c>
      <c r="E74" s="4" t="n">
        <v>1</v>
      </c>
      <c r="F74" s="4" t="n">
        <v>30</v>
      </c>
      <c r="G74" s="4" t="n">
        <v>30</v>
      </c>
      <c r="H74" s="5" t="n">
        <v>3.63</v>
      </c>
      <c r="I74" s="5">
        <f>G74*H74</f>
        <v/>
      </c>
      <c r="J74" s="5">
        <f>H74/E74</f>
        <v/>
      </c>
      <c r="K74" s="5" t="n">
        <v>4.0246</v>
      </c>
      <c r="L74" s="5" t="n">
        <v>3.075</v>
      </c>
      <c r="M74" s="5" t="n">
        <v>3.708066666666667</v>
      </c>
      <c r="N74" s="6">
        <f>J74/M74-1</f>
        <v/>
      </c>
      <c r="O74" s="6">
        <f>J74/K74-1</f>
        <v/>
      </c>
      <c r="P74" s="2" t="inlineStr">
        <is>
          <t>OK (≤ últ. compra)</t>
        </is>
      </c>
      <c r="Q74" s="2" t="n"/>
      <c r="R74" s="2" t="inlineStr">
        <is>
          <t>OTC</t>
        </is>
      </c>
    </row>
    <row r="75">
      <c r="A75" s="2" t="n">
        <v>623011</v>
      </c>
      <c r="B75" s="2" t="inlineStr">
        <is>
          <t>401167</t>
        </is>
      </c>
      <c r="C75" s="3" t="inlineStr">
        <is>
          <t>4987188501115</t>
        </is>
      </c>
      <c r="D75" s="2" t="inlineStr">
        <is>
          <t>SALONPAS GEL-PATCH 12,5MG/G+10MG/G+3MG/G+10MG/G 3 ADES</t>
        </is>
      </c>
      <c r="E75" s="4" t="n">
        <v>1</v>
      </c>
      <c r="F75" s="4" t="n">
        <v>2</v>
      </c>
      <c r="G75" s="4" t="n">
        <v>2</v>
      </c>
      <c r="H75" s="5" t="n">
        <v>14.11</v>
      </c>
      <c r="I75" s="5">
        <f>G75*H75</f>
        <v/>
      </c>
      <c r="J75" s="5">
        <f>H75/E75</f>
        <v/>
      </c>
      <c r="K75" s="5" t="n">
        <v>15.66</v>
      </c>
      <c r="L75" s="5" t="n">
        <v>11.075</v>
      </c>
      <c r="M75" s="5" t="n">
        <v>12.55833333333333</v>
      </c>
      <c r="N75" s="6">
        <f>J75/M75-1</f>
        <v/>
      </c>
      <c r="O75" s="6">
        <f>J75/K75-1</f>
        <v/>
      </c>
      <c r="P75" s="2" t="inlineStr">
        <is>
          <t>OK (≤ últ. compra)</t>
        </is>
      </c>
      <c r="Q75" s="2" t="n"/>
      <c r="R75" s="2" t="inlineStr">
        <is>
          <t>OTC</t>
        </is>
      </c>
    </row>
    <row r="76">
      <c r="A76" s="2" t="n">
        <v>614861</v>
      </c>
      <c r="B76" s="2" t="inlineStr">
        <is>
          <t>113541</t>
        </is>
      </c>
      <c r="C76" s="3" t="inlineStr">
        <is>
          <t>7891317011277</t>
        </is>
      </c>
      <c r="D76" s="2" t="inlineStr">
        <is>
          <t>SONIC 50MG CX 60 COMP REV</t>
        </is>
      </c>
      <c r="E76" s="4" t="n">
        <v>1</v>
      </c>
      <c r="F76" s="4" t="n">
        <v>2</v>
      </c>
      <c r="G76" s="4" t="n">
        <v>2</v>
      </c>
      <c r="H76" s="5" t="n">
        <v>40.74</v>
      </c>
      <c r="I76" s="5">
        <f>G76*H76</f>
        <v/>
      </c>
      <c r="J76" s="5">
        <f>H76/E76</f>
        <v/>
      </c>
      <c r="K76" s="5" t="n">
        <v>41.02</v>
      </c>
      <c r="L76" s="5" t="n">
        <v>37.98</v>
      </c>
      <c r="M76" s="5" t="n">
        <v>38.99333333333333</v>
      </c>
      <c r="N76" s="6">
        <f>J76/M76-1</f>
        <v/>
      </c>
      <c r="O76" s="6">
        <f>J76/K76-1</f>
        <v/>
      </c>
      <c r="P76" s="2" t="inlineStr">
        <is>
          <t>OK (≤ últ. compra)</t>
        </is>
      </c>
      <c r="Q76" s="2" t="n"/>
      <c r="R76" s="2" t="inlineStr">
        <is>
          <t>RX</t>
        </is>
      </c>
    </row>
    <row r="77">
      <c r="A77" s="2" t="n">
        <v>297921</v>
      </c>
      <c r="B77" s="2" t="inlineStr">
        <is>
          <t>103317</t>
        </is>
      </c>
      <c r="C77" s="3" t="inlineStr">
        <is>
          <t>7898074617803</t>
        </is>
      </c>
      <c r="D77" s="2" t="inlineStr">
        <is>
          <t>SPIDUFEN 1155MG GRAN SOL CX 10 ENV 3G SB DAMASCO</t>
        </is>
      </c>
      <c r="E77" s="4" t="n">
        <v>1</v>
      </c>
      <c r="F77" s="4" t="n">
        <v>1</v>
      </c>
      <c r="G77" s="4" t="n">
        <v>1</v>
      </c>
      <c r="H77" s="5" t="n">
        <v>40.46</v>
      </c>
      <c r="I77" s="5">
        <f>G77*H77</f>
        <v/>
      </c>
      <c r="J77" s="5">
        <f>H77/E77</f>
        <v/>
      </c>
      <c r="K77" s="5" t="n">
        <v>42.05</v>
      </c>
      <c r="L77" s="5" t="n">
        <v>36.49</v>
      </c>
      <c r="M77" s="5" t="n">
        <v>40.19666666666667</v>
      </c>
      <c r="N77" s="6">
        <f>J77/M77-1</f>
        <v/>
      </c>
      <c r="O77" s="6">
        <f>J77/K77-1</f>
        <v/>
      </c>
      <c r="P77" s="2" t="inlineStr">
        <is>
          <t>OK (≤ últ. compra)</t>
        </is>
      </c>
      <c r="Q77" s="2" t="n"/>
      <c r="R77" s="2" t="inlineStr">
        <is>
          <t>RX</t>
        </is>
      </c>
    </row>
    <row r="78">
      <c r="A78" s="2" t="n">
        <v>526121</v>
      </c>
      <c r="B78" s="2" t="inlineStr">
        <is>
          <t>106052</t>
        </is>
      </c>
      <c r="C78" s="3" t="inlineStr">
        <is>
          <t>5060632508768</t>
        </is>
      </c>
      <c r="D78" s="2" t="inlineStr">
        <is>
          <t>STEZZA 2,5+1,5MG CX 24 COMP REV+CALEND+4 PLACEBO</t>
        </is>
      </c>
      <c r="E78" s="4" t="n">
        <v>1</v>
      </c>
      <c r="F78" s="4" t="n">
        <v>1</v>
      </c>
      <c r="G78" s="4" t="n">
        <v>1</v>
      </c>
      <c r="H78" s="5" t="n">
        <v>45</v>
      </c>
      <c r="I78" s="5">
        <f>G78*H78</f>
        <v/>
      </c>
      <c r="J78" s="5">
        <f>H78/E78</f>
        <v/>
      </c>
      <c r="K78" s="5" t="n">
        <v>48.21</v>
      </c>
      <c r="L78" s="5" t="n">
        <v>41.29</v>
      </c>
      <c r="M78" s="5" t="n">
        <v>43.40666666666667</v>
      </c>
      <c r="N78" s="6">
        <f>J78/M78-1</f>
        <v/>
      </c>
      <c r="O78" s="6">
        <f>J78/K78-1</f>
        <v/>
      </c>
      <c r="P78" s="2" t="inlineStr">
        <is>
          <t>OK (≤ últ. compra)</t>
        </is>
      </c>
      <c r="Q78" s="2" t="n"/>
      <c r="R78" s="2" t="inlineStr">
        <is>
          <t>RX</t>
        </is>
      </c>
    </row>
    <row r="79">
      <c r="A79" s="2" t="n">
        <v>445201</v>
      </c>
      <c r="B79" s="2" t="inlineStr">
        <is>
          <t>103377</t>
        </is>
      </c>
      <c r="C79" s="3" t="inlineStr">
        <is>
          <t>7896094201064</t>
        </is>
      </c>
      <c r="D79" s="2" t="inlineStr">
        <is>
          <t>SUMAX 25MG CX 4 COMP REV</t>
        </is>
      </c>
      <c r="E79" s="4" t="n">
        <v>1</v>
      </c>
      <c r="F79" s="4" t="n">
        <v>2</v>
      </c>
      <c r="G79" s="4" t="n">
        <v>2</v>
      </c>
      <c r="H79" s="5" t="n">
        <v>27.71</v>
      </c>
      <c r="I79" s="5">
        <f>G79*H79</f>
        <v/>
      </c>
      <c r="J79" s="5">
        <f>H79/E79</f>
        <v/>
      </c>
      <c r="K79" s="5" t="n">
        <v>28.8</v>
      </c>
      <c r="L79" s="5" t="n">
        <v>24.6367</v>
      </c>
      <c r="M79" s="5" t="n">
        <v>26.59223333333334</v>
      </c>
      <c r="N79" s="6">
        <f>J79/M79-1</f>
        <v/>
      </c>
      <c r="O79" s="6">
        <f>J79/K79-1</f>
        <v/>
      </c>
      <c r="P79" s="2" t="inlineStr">
        <is>
          <t>OK (≤ últ. compra)</t>
        </is>
      </c>
      <c r="Q79" s="2" t="n"/>
      <c r="R79" s="2" t="inlineStr">
        <is>
          <t>RX</t>
        </is>
      </c>
    </row>
    <row r="80">
      <c r="A80" s="2" t="n">
        <v>455861</v>
      </c>
      <c r="B80" s="2" t="inlineStr">
        <is>
          <t>105688</t>
        </is>
      </c>
      <c r="C80" s="3" t="inlineStr">
        <is>
          <t>7896094206038</t>
        </is>
      </c>
      <c r="D80" s="2" t="inlineStr">
        <is>
          <t>TARFIC 1,0MG POM BG 10G</t>
        </is>
      </c>
      <c r="E80" s="4" t="n">
        <v>1</v>
      </c>
      <c r="F80" s="4" t="n">
        <v>1</v>
      </c>
      <c r="G80" s="4" t="n">
        <v>1</v>
      </c>
      <c r="H80" s="5" t="n">
        <v>76.52</v>
      </c>
      <c r="I80" s="5">
        <f>G80*H80</f>
        <v/>
      </c>
      <c r="J80" s="5">
        <f>H80/E80</f>
        <v/>
      </c>
      <c r="K80" s="5" t="n">
        <v>72.27500000000001</v>
      </c>
      <c r="L80" s="5" t="n">
        <v>72.27500000000001</v>
      </c>
      <c r="M80" s="5" t="n">
        <v>72.27500000000001</v>
      </c>
      <c r="N80" s="6">
        <f>J80/M80-1</f>
        <v/>
      </c>
      <c r="O80" s="6">
        <f>J80/K80-1</f>
        <v/>
      </c>
      <c r="P80" s="2" t="inlineStr">
        <is>
          <t>REAJUSTE +5.9% vs média (≤6%)</t>
        </is>
      </c>
      <c r="Q80" s="2" t="n"/>
      <c r="R80" s="2" t="inlineStr">
        <is>
          <t>RX</t>
        </is>
      </c>
    </row>
    <row r="81">
      <c r="A81" s="2" t="n">
        <v>180421</v>
      </c>
      <c r="B81" s="2" t="inlineStr">
        <is>
          <t>103478</t>
        </is>
      </c>
      <c r="C81" s="3" t="inlineStr">
        <is>
          <t>7899824400911</t>
        </is>
      </c>
      <c r="D81" s="2" t="inlineStr">
        <is>
          <t>TERICIN AT 25+12,5MG CREM VAG BG 45G+10APLIC</t>
        </is>
      </c>
      <c r="E81" s="4" t="n">
        <v>1</v>
      </c>
      <c r="F81" s="4" t="n">
        <v>1</v>
      </c>
      <c r="G81" s="4" t="n">
        <v>1</v>
      </c>
      <c r="H81" s="5" t="n">
        <v>59.4</v>
      </c>
      <c r="I81" s="5">
        <f>G81*H81</f>
        <v/>
      </c>
      <c r="J81" s="5">
        <f>H81/E81</f>
        <v/>
      </c>
      <c r="K81" s="5" t="n">
        <v>73.98999999999999</v>
      </c>
      <c r="L81" s="5" t="n">
        <v>54.77</v>
      </c>
      <c r="M81" s="5" t="n">
        <v>58.53</v>
      </c>
      <c r="N81" s="6">
        <f>J81/M81-1</f>
        <v/>
      </c>
      <c r="O81" s="6">
        <f>J81/K81-1</f>
        <v/>
      </c>
      <c r="P81" s="2" t="inlineStr">
        <is>
          <t>OK (≤ últ. compra)</t>
        </is>
      </c>
      <c r="Q81" s="2" t="n"/>
      <c r="R81" s="2" t="inlineStr">
        <is>
          <t>RX</t>
        </is>
      </c>
    </row>
    <row r="82">
      <c r="A82" s="2" t="n">
        <v>558541</v>
      </c>
      <c r="B82" s="2" t="inlineStr">
        <is>
          <t>103554</t>
        </is>
      </c>
      <c r="C82" s="3" t="inlineStr">
        <is>
          <t>7891317015985</t>
        </is>
      </c>
      <c r="D82" s="2" t="inlineStr">
        <is>
          <t>TORANTE 15MG/ML XPE FR 100ML+COP</t>
        </is>
      </c>
      <c r="E82" s="4" t="n">
        <v>1</v>
      </c>
      <c r="F82" s="4" t="n">
        <v>1</v>
      </c>
      <c r="G82" s="4" t="n">
        <v>1</v>
      </c>
      <c r="H82" s="5" t="n">
        <v>50.18</v>
      </c>
      <c r="I82" s="5">
        <f>G82*H82</f>
        <v/>
      </c>
      <c r="J82" s="5">
        <f>H82/E82</f>
        <v/>
      </c>
      <c r="K82" s="5" t="n">
        <v>50.52</v>
      </c>
      <c r="L82" s="5" t="n">
        <v>44.8</v>
      </c>
      <c r="M82" s="5" t="n">
        <v>47.88776666666666</v>
      </c>
      <c r="N82" s="6">
        <f>J82/M82-1</f>
        <v/>
      </c>
      <c r="O82" s="6">
        <f>J82/K82-1</f>
        <v/>
      </c>
      <c r="P82" s="2" t="inlineStr">
        <is>
          <t>OK (≤ últ. compra)</t>
        </is>
      </c>
      <c r="Q82" s="2" t="n"/>
      <c r="R82" s="2" t="inlineStr">
        <is>
          <t>RX</t>
        </is>
      </c>
    </row>
    <row r="83">
      <c r="A83" s="2" t="n">
        <v>207441</v>
      </c>
      <c r="B83" s="2" t="inlineStr">
        <is>
          <t>103625</t>
        </is>
      </c>
      <c r="C83" s="3" t="inlineStr">
        <is>
          <t>7896226102504</t>
        </is>
      </c>
      <c r="D83" s="2" t="inlineStr">
        <is>
          <t>TRIVAGEL-N CREME VAG BG 60G+10APLIC</t>
        </is>
      </c>
      <c r="E83" s="4" t="n">
        <v>1</v>
      </c>
      <c r="F83" s="4" t="n">
        <v>2</v>
      </c>
      <c r="G83" s="4" t="n">
        <v>2</v>
      </c>
      <c r="H83" s="5" t="n">
        <v>72.44</v>
      </c>
      <c r="I83" s="5">
        <f>G83*H83</f>
        <v/>
      </c>
      <c r="J83" s="5">
        <f>H83/E83</f>
        <v/>
      </c>
      <c r="K83" s="5" t="n">
        <v>73.675</v>
      </c>
      <c r="L83" s="5" t="n">
        <v>63.0967</v>
      </c>
      <c r="M83" s="5" t="n">
        <v>69.32556666666666</v>
      </c>
      <c r="N83" s="6">
        <f>J83/M83-1</f>
        <v/>
      </c>
      <c r="O83" s="6">
        <f>J83/K83-1</f>
        <v/>
      </c>
      <c r="P83" s="2" t="inlineStr">
        <is>
          <t>OK (≤ últ. compra)</t>
        </is>
      </c>
      <c r="Q83" s="2" t="n"/>
      <c r="R83" s="2" t="inlineStr">
        <is>
          <t>RX</t>
        </is>
      </c>
    </row>
    <row r="84">
      <c r="A84" s="2" t="n">
        <v>395781</v>
      </c>
      <c r="B84" s="2" t="inlineStr">
        <is>
          <t>401935</t>
        </is>
      </c>
      <c r="C84" s="3" t="inlineStr">
        <is>
          <t>7891010986155</t>
        </is>
      </c>
      <c r="D84" s="2" t="inlineStr">
        <is>
          <t>TYLENOL 500MG CX 20 COMP REV</t>
        </is>
      </c>
      <c r="E84" s="4" t="n">
        <v>1</v>
      </c>
      <c r="F84" s="4" t="n">
        <v>4</v>
      </c>
      <c r="G84" s="4" t="n">
        <v>4</v>
      </c>
      <c r="H84" s="5" t="n">
        <v>28.85</v>
      </c>
      <c r="I84" s="5">
        <f>G84*H84</f>
        <v/>
      </c>
      <c r="J84" s="5">
        <f>H84/E84</f>
        <v/>
      </c>
      <c r="K84" s="5" t="n">
        <v>27.43</v>
      </c>
      <c r="L84" s="5" t="n">
        <v>27.43</v>
      </c>
      <c r="M84" s="5" t="n">
        <v>27.43</v>
      </c>
      <c r="N84" s="6">
        <f>J84/M84-1</f>
        <v/>
      </c>
      <c r="O84" s="6">
        <f>J84/K84-1</f>
        <v/>
      </c>
      <c r="P84" s="2" t="inlineStr">
        <is>
          <t>REAJUSTE +5.2% vs média (≤6%)</t>
        </is>
      </c>
      <c r="Q84" s="2" t="n"/>
      <c r="R84" s="2" t="inlineStr">
        <is>
          <t>OTC</t>
        </is>
      </c>
    </row>
    <row r="85">
      <c r="A85" s="2" t="n">
        <v>18121</v>
      </c>
      <c r="B85" s="2" t="inlineStr">
        <is>
          <t>106586</t>
        </is>
      </c>
      <c r="C85" s="3" t="inlineStr">
        <is>
          <t>7898074614857</t>
        </is>
      </c>
      <c r="D85" s="2" t="inlineStr">
        <is>
          <t>URSACOL 50MG BL 30 COMP</t>
        </is>
      </c>
      <c r="E85" s="4" t="n">
        <v>1</v>
      </c>
      <c r="F85" s="4" t="n">
        <v>2</v>
      </c>
      <c r="G85" s="4" t="n">
        <v>2</v>
      </c>
      <c r="H85" s="5" t="n">
        <v>47.8</v>
      </c>
      <c r="I85" s="5">
        <f>G85*H85</f>
        <v/>
      </c>
      <c r="J85" s="5">
        <f>H85/E85</f>
        <v/>
      </c>
      <c r="K85" s="5" t="n">
        <v>49.68</v>
      </c>
      <c r="L85" s="5" t="n">
        <v>49.67</v>
      </c>
      <c r="M85" s="5" t="n">
        <v>49.66999999999999</v>
      </c>
      <c r="N85" s="6">
        <f>J85/M85-1</f>
        <v/>
      </c>
      <c r="O85" s="6">
        <f>J85/K85-1</f>
        <v/>
      </c>
      <c r="P85" s="2" t="inlineStr">
        <is>
          <t>OK (≤ últ. compra)</t>
        </is>
      </c>
      <c r="Q85" s="2" t="n"/>
      <c r="R85" s="2" t="inlineStr">
        <is>
          <t>RX</t>
        </is>
      </c>
    </row>
    <row r="86">
      <c r="A86" s="2" t="n">
        <v>413281</v>
      </c>
      <c r="B86" s="2" t="inlineStr">
        <is>
          <t>105564</t>
        </is>
      </c>
      <c r="C86" s="3" t="inlineStr">
        <is>
          <t>7898948648131</t>
        </is>
      </c>
      <c r="D86" s="2" t="inlineStr">
        <is>
          <t>UTROGESTAN 100MG CX 30 CAP</t>
        </is>
      </c>
      <c r="E86" s="4" t="n">
        <v>1</v>
      </c>
      <c r="F86" s="4" t="n">
        <v>1</v>
      </c>
      <c r="G86" s="4" t="n">
        <v>1</v>
      </c>
      <c r="H86" s="5" t="n">
        <v>62.85</v>
      </c>
      <c r="I86" s="5">
        <f>G86*H86</f>
        <v/>
      </c>
      <c r="J86" s="5">
        <f>H86/E86</f>
        <v/>
      </c>
      <c r="K86" s="5" t="n">
        <v>64.64</v>
      </c>
      <c r="L86" s="5" t="n">
        <v>56.81</v>
      </c>
      <c r="M86" s="5" t="n">
        <v>60.25943333333333</v>
      </c>
      <c r="N86" s="6">
        <f>J86/M86-1</f>
        <v/>
      </c>
      <c r="O86" s="6">
        <f>J86/K86-1</f>
        <v/>
      </c>
      <c r="P86" s="2" t="inlineStr">
        <is>
          <t>OK (≤ últ. compra)</t>
        </is>
      </c>
      <c r="Q86" s="2" t="n"/>
      <c r="R86" s="2" t="inlineStr">
        <is>
          <t>RX</t>
        </is>
      </c>
    </row>
    <row r="87">
      <c r="A87" s="2" t="n">
        <v>413241</v>
      </c>
      <c r="B87" s="2" t="inlineStr">
        <is>
          <t>105563</t>
        </is>
      </c>
      <c r="C87" s="3" t="inlineStr">
        <is>
          <t>7898948648148</t>
        </is>
      </c>
      <c r="D87" s="2" t="inlineStr">
        <is>
          <t>UTROGESTAN 200MG CX 14 CAP</t>
        </is>
      </c>
      <c r="E87" s="4" t="n">
        <v>1</v>
      </c>
      <c r="F87" s="4" t="n">
        <v>3</v>
      </c>
      <c r="G87" s="4" t="n">
        <v>3</v>
      </c>
      <c r="H87" s="5" t="n">
        <v>58.69</v>
      </c>
      <c r="I87" s="5">
        <f>G87*H87</f>
        <v/>
      </c>
      <c r="J87" s="5">
        <f>H87/E87</f>
        <v/>
      </c>
      <c r="K87" s="5" t="n">
        <v>60.36</v>
      </c>
      <c r="L87" s="5" t="n">
        <v>53.0533</v>
      </c>
      <c r="M87" s="5" t="n">
        <v>56.27553333333334</v>
      </c>
      <c r="N87" s="6">
        <f>J87/M87-1</f>
        <v/>
      </c>
      <c r="O87" s="6">
        <f>J87/K87-1</f>
        <v/>
      </c>
      <c r="P87" s="2" t="inlineStr">
        <is>
          <t>OK (≤ últ. compra)</t>
        </is>
      </c>
      <c r="Q87" s="2" t="n"/>
      <c r="R87" s="2" t="inlineStr">
        <is>
          <t>RX</t>
        </is>
      </c>
    </row>
    <row r="88">
      <c r="A88" s="2" t="n">
        <v>543061</v>
      </c>
      <c r="B88" s="2" t="inlineStr">
        <is>
          <t>720732</t>
        </is>
      </c>
      <c r="C88" s="3" t="inlineStr">
        <is>
          <t>000001355406</t>
        </is>
      </c>
      <c r="D88" s="2" t="inlineStr">
        <is>
          <t>VALDA FRIENDS PASTILHA SACHE 25G</t>
        </is>
      </c>
      <c r="E88" s="4" t="n">
        <v>10</v>
      </c>
      <c r="F88" s="4" t="n">
        <v>1</v>
      </c>
      <c r="G88" s="4" t="n">
        <v>1</v>
      </c>
      <c r="H88" s="5" t="n">
        <v>42.91</v>
      </c>
      <c r="I88" s="5">
        <f>G88*H88</f>
        <v/>
      </c>
      <c r="J88" s="5">
        <f>H88/E88</f>
        <v/>
      </c>
      <c r="K88" s="5" t="n">
        <v>5.734</v>
      </c>
      <c r="L88" s="5" t="n">
        <v>5.734</v>
      </c>
      <c r="M88" s="5" t="n">
        <v>5.733999999999999</v>
      </c>
      <c r="N88" s="6">
        <f>J88/M88-1</f>
        <v/>
      </c>
      <c r="O88" s="6">
        <f>J88/K88-1</f>
        <v/>
      </c>
      <c r="P88" s="2" t="inlineStr">
        <is>
          <t>OK (≤ últ. compra)</t>
        </is>
      </c>
      <c r="Q88" s="2" t="inlineStr">
        <is>
          <t>1 emb = 10 un</t>
        </is>
      </c>
      <c r="R88" s="2" t="inlineStr">
        <is>
          <t>OTC</t>
        </is>
      </c>
    </row>
    <row r="89">
      <c r="A89" s="2" t="n">
        <v>596721</v>
      </c>
      <c r="B89" s="2" t="inlineStr">
        <is>
          <t>718311</t>
        </is>
      </c>
      <c r="C89" s="3" t="inlineStr">
        <is>
          <t>7898040329112</t>
        </is>
      </c>
      <c r="D89" s="2" t="inlineStr">
        <is>
          <t>VARICELL CREME BG 150G</t>
        </is>
      </c>
      <c r="E89" s="4" t="n">
        <v>1</v>
      </c>
      <c r="F89" s="4" t="n">
        <v>3</v>
      </c>
      <c r="G89" s="4" t="n">
        <v>3</v>
      </c>
      <c r="H89" s="5" t="n">
        <v>28.12</v>
      </c>
      <c r="I89" s="5">
        <f>G89*H89</f>
        <v/>
      </c>
      <c r="J89" s="5">
        <f>H89/E89</f>
        <v/>
      </c>
      <c r="K89" s="5" t="n">
        <v>28.28</v>
      </c>
      <c r="L89" s="5" t="n">
        <v>18.49</v>
      </c>
      <c r="M89" s="5" t="n">
        <v>24.35666666666667</v>
      </c>
      <c r="N89" s="6">
        <f>J89/M89-1</f>
        <v/>
      </c>
      <c r="O89" s="6">
        <f>J89/K89-1</f>
        <v/>
      </c>
      <c r="P89" s="2" t="inlineStr">
        <is>
          <t>OK (≤ últ. compra)</t>
        </is>
      </c>
      <c r="Q89" s="2" t="n"/>
      <c r="R89" s="2" t="inlineStr">
        <is>
          <t>OTC</t>
        </is>
      </c>
    </row>
    <row r="90">
      <c r="A90" s="2" t="n">
        <v>612541</v>
      </c>
      <c r="B90" s="2" t="inlineStr">
        <is>
          <t>112768</t>
        </is>
      </c>
      <c r="C90" s="3" t="inlineStr">
        <is>
          <t>7891317010379</t>
        </is>
      </c>
      <c r="D90" s="2" t="inlineStr">
        <is>
          <t>VENTUS 50MCG SUS SPR NAS FR 60 ACIONAMENTOS</t>
        </is>
      </c>
      <c r="E90" s="4" t="n">
        <v>1</v>
      </c>
      <c r="F90" s="4" t="n">
        <v>3</v>
      </c>
      <c r="G90" s="4" t="n">
        <v>3</v>
      </c>
      <c r="H90" s="5" t="n">
        <v>35</v>
      </c>
      <c r="I90" s="5">
        <f>G90*H90</f>
        <v/>
      </c>
      <c r="J90" s="5">
        <f>H90/E90</f>
        <v/>
      </c>
      <c r="K90" s="5" t="n">
        <v>35.24</v>
      </c>
      <c r="L90" s="5" t="n">
        <v>31.645</v>
      </c>
      <c r="M90" s="5" t="n">
        <v>34.03946666666666</v>
      </c>
      <c r="N90" s="6">
        <f>J90/M90-1</f>
        <v/>
      </c>
      <c r="O90" s="6">
        <f>J90/K90-1</f>
        <v/>
      </c>
      <c r="P90" s="2" t="inlineStr">
        <is>
          <t>OK (≤ últ. compra)</t>
        </is>
      </c>
      <c r="Q90" s="2" t="n"/>
      <c r="R90" s="2" t="inlineStr">
        <is>
          <t>RX</t>
        </is>
      </c>
    </row>
    <row r="91">
      <c r="A91" s="2" t="n">
        <v>660421</v>
      </c>
      <c r="B91" s="2" t="inlineStr">
        <is>
          <t>722237</t>
        </is>
      </c>
      <c r="C91" s="3" t="inlineStr">
        <is>
          <t>7500435245357</t>
        </is>
      </c>
      <c r="D91" s="2" t="inlineStr">
        <is>
          <t>VICK DROPS MENTOL C/20 PAST-DEMAIS PROD</t>
        </is>
      </c>
      <c r="E91" s="4" t="n">
        <v>1</v>
      </c>
      <c r="F91" s="4" t="n">
        <v>1</v>
      </c>
      <c r="G91" s="4" t="n">
        <v>1</v>
      </c>
      <c r="H91" s="5" t="n">
        <v>10.64</v>
      </c>
      <c r="I91" s="5">
        <f>G91*H91</f>
        <v/>
      </c>
      <c r="J91" s="5">
        <f>H91/E91</f>
        <v/>
      </c>
      <c r="K91" s="5" t="n">
        <v>47.15</v>
      </c>
      <c r="L91" s="5" t="n">
        <v>7.66</v>
      </c>
      <c r="M91" s="5" t="n">
        <v>7.66</v>
      </c>
      <c r="N91" s="6">
        <f>J91/M91-1</f>
        <v/>
      </c>
      <c r="O91" s="6">
        <f>J91/K91-1</f>
        <v/>
      </c>
      <c r="P91" s="2" t="inlineStr">
        <is>
          <t>OK (≤ últ. compra)</t>
        </is>
      </c>
      <c r="Q91" s="2" t="inlineStr">
        <is>
          <t>conferir emb.</t>
        </is>
      </c>
      <c r="R91" s="2" t="inlineStr">
        <is>
          <t>OTC</t>
        </is>
      </c>
    </row>
    <row r="92">
      <c r="A92" s="2" t="n">
        <v>622781</v>
      </c>
      <c r="B92" s="2" t="inlineStr">
        <is>
          <t>720873</t>
        </is>
      </c>
      <c r="C92" s="3" t="inlineStr">
        <is>
          <t>7896226100067</t>
        </is>
      </c>
      <c r="D92" s="2" t="inlineStr">
        <is>
          <t>VITERGAN MASTER-N CX 30 COMP REV</t>
        </is>
      </c>
      <c r="E92" s="4" t="n">
        <v>1</v>
      </c>
      <c r="F92" s="4" t="n">
        <v>1</v>
      </c>
      <c r="G92" s="4" t="n">
        <v>1</v>
      </c>
      <c r="H92" s="5" t="n">
        <v>84.89</v>
      </c>
      <c r="I92" s="5">
        <f>G92*H92</f>
        <v/>
      </c>
      <c r="J92" s="5">
        <f>H92/E92</f>
        <v/>
      </c>
      <c r="K92" s="5" t="n">
        <v>103.42</v>
      </c>
      <c r="L92" s="5" t="n">
        <v>97.12</v>
      </c>
      <c r="M92" s="5" t="n">
        <v>101.32</v>
      </c>
      <c r="N92" s="6">
        <f>J92/M92-1</f>
        <v/>
      </c>
      <c r="O92" s="6">
        <f>J92/K92-1</f>
        <v/>
      </c>
      <c r="P92" s="2" t="inlineStr">
        <is>
          <t>OK (≤ últ. compra)</t>
        </is>
      </c>
      <c r="Q92" s="2" t="n"/>
      <c r="R92" s="2" t="inlineStr">
        <is>
          <t>OTC</t>
        </is>
      </c>
    </row>
    <row r="93">
      <c r="A93" s="2" t="n">
        <v>386261</v>
      </c>
      <c r="B93" s="2" t="inlineStr">
        <is>
          <t>401408</t>
        </is>
      </c>
      <c r="C93" s="3" t="inlineStr">
        <is>
          <t>7896226102603</t>
        </is>
      </c>
      <c r="D93" s="2" t="inlineStr">
        <is>
          <t>VITERGAN ZINCO 15MG CX 30 COMP</t>
        </is>
      </c>
      <c r="E93" s="4" t="n">
        <v>1</v>
      </c>
      <c r="F93" s="4" t="n">
        <v>1</v>
      </c>
      <c r="G93" s="4" t="n">
        <v>1</v>
      </c>
      <c r="H93" s="5" t="n">
        <v>81.81999999999999</v>
      </c>
      <c r="I93" s="5">
        <f>G93*H93</f>
        <v/>
      </c>
      <c r="J93" s="5">
        <f>H93/E93</f>
        <v/>
      </c>
      <c r="K93" s="5" t="n">
        <v>81.81999999999999</v>
      </c>
      <c r="L93" s="5" t="n">
        <v>69.45999999999999</v>
      </c>
      <c r="M93" s="5" t="n">
        <v>77.69999999999999</v>
      </c>
      <c r="N93" s="6">
        <f>J93/M93-1</f>
        <v/>
      </c>
      <c r="O93" s="6">
        <f>J93/K93-1</f>
        <v/>
      </c>
      <c r="P93" s="2" t="inlineStr">
        <is>
          <t>OK (≤ últ. compra)</t>
        </is>
      </c>
      <c r="Q93" s="2" t="n"/>
      <c r="R93" s="2" t="inlineStr">
        <is>
          <t>OTC</t>
        </is>
      </c>
    </row>
    <row r="94">
      <c r="A94" s="2" t="n">
        <v>287141</v>
      </c>
      <c r="B94" s="2" t="inlineStr">
        <is>
          <t>103966</t>
        </is>
      </c>
      <c r="C94" s="3" t="inlineStr">
        <is>
          <t>7891317451417</t>
        </is>
      </c>
      <c r="D94" s="2" t="inlineStr">
        <is>
          <t>ZART H H 50+12,5MG CX 30 COMP REV</t>
        </is>
      </c>
      <c r="E94" s="4" t="n">
        <v>1</v>
      </c>
      <c r="F94" s="4" t="n">
        <v>2</v>
      </c>
      <c r="G94" s="4" t="n">
        <v>2</v>
      </c>
      <c r="H94" s="5" t="n">
        <v>41.33</v>
      </c>
      <c r="I94" s="5">
        <f>G94*H94</f>
        <v/>
      </c>
      <c r="J94" s="5">
        <f>H94/E94</f>
        <v/>
      </c>
      <c r="K94" s="5" t="n">
        <v>41.61</v>
      </c>
      <c r="L94" s="5" t="n">
        <v>36.88</v>
      </c>
      <c r="M94" s="5" t="n">
        <v>40.03333333333333</v>
      </c>
      <c r="N94" s="6">
        <f>J94/M94-1</f>
        <v/>
      </c>
      <c r="O94" s="6">
        <f>J94/K94-1</f>
        <v/>
      </c>
      <c r="P94" s="2" t="inlineStr">
        <is>
          <t>OK (≤ últ. compra)</t>
        </is>
      </c>
      <c r="Q94" s="2" t="n"/>
      <c r="R94" s="2" t="inlineStr">
        <is>
          <t>RX</t>
        </is>
      </c>
    </row>
    <row r="95">
      <c r="A95" s="2" t="n">
        <v>261481</v>
      </c>
      <c r="B95" s="2" t="inlineStr">
        <is>
          <t>104060</t>
        </is>
      </c>
      <c r="C95" s="3" t="inlineStr">
        <is>
          <t>7897316805442</t>
        </is>
      </c>
      <c r="D95" s="2" t="inlineStr">
        <is>
          <t>ZYPRED 3+10MG/ML SUS OFT FR GOT 6ML</t>
        </is>
      </c>
      <c r="E95" s="4" t="n">
        <v>1</v>
      </c>
      <c r="F95" s="4" t="n">
        <v>4</v>
      </c>
      <c r="G95" s="4" t="n">
        <v>4</v>
      </c>
      <c r="H95" s="5" t="n">
        <v>68.62</v>
      </c>
      <c r="I95" s="5">
        <f>G95*H95</f>
        <v/>
      </c>
      <c r="J95" s="5">
        <f>H95/E95</f>
        <v/>
      </c>
      <c r="K95" s="5" t="n">
        <v>67.565</v>
      </c>
      <c r="L95" s="5" t="n">
        <v>61.93</v>
      </c>
      <c r="M95" s="5" t="n">
        <v>65.68666666666667</v>
      </c>
      <c r="N95" s="6">
        <f>J95/M95-1</f>
        <v/>
      </c>
      <c r="O95" s="6">
        <f>J95/K95-1</f>
        <v/>
      </c>
      <c r="P95" s="2" t="inlineStr">
        <is>
          <t>REAJUSTE +1.6% vs últ. (≤4%)</t>
        </is>
      </c>
      <c r="Q95" s="2" t="n"/>
      <c r="R95" s="2" t="inlineStr">
        <is>
          <t>RX</t>
        </is>
      </c>
    </row>
    <row r="96">
      <c r="D96" s="7" t="inlineStr">
        <is>
          <t>TOTAL</t>
        </is>
      </c>
      <c r="I96" s="8">
        <f>SUM(I2:I95)</f>
        <v/>
      </c>
    </row>
    <row r="98">
      <c r="A98" s="9" t="inlineStr">
        <is>
          <t>Pedido ePan/Panpharma — SOMENTE MEDICAMENTOS (categorias RX, GENERICO e OTC da Panpharma). Mesmos itens aprovados do fechamento 09/09 (teto 4% últ. / 6% média).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2026-09-10T23:56:32Z</dcterms:created>
  <dcterms:modified xsi:type="dcterms:W3CDTF">2026-09-10T23:56:32Z</dcterms:modified>
</cp:coreProperties>
</file>