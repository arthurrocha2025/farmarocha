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di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i val="1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49" fontId="2" fillId="0" borderId="1" pivotButton="0" quotePrefix="0" xfId="0"/>
    <xf numFmtId="1" fontId="2" fillId="0" borderId="1" pivotButton="0" quotePrefix="0" xfId="0"/>
    <xf numFmtId="4" fontId="2" fillId="0" borderId="1" pivotButton="0" quotePrefix="0" xfId="0"/>
    <xf numFmtId="164" fontId="2" fillId="0" borderId="1" pivotButton="0" quotePrefix="0" xfId="0"/>
    <xf numFmtId="0" fontId="3" fillId="0" borderId="0" pivotButton="0" quotePrefix="0" xfId="0"/>
    <xf numFmtId="4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5" customWidth="1" min="3" max="3"/>
    <col width="46" customWidth="1" min="4" max="4"/>
    <col width="8" customWidth="1" min="5" max="5"/>
    <col width="8" customWidth="1" min="6" max="6"/>
    <col width="9" customWidth="1" min="7" max="7"/>
    <col width="11" customWidth="1" min="8" max="8"/>
    <col width="11" customWidth="1" min="9" max="9"/>
    <col width="1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7" customWidth="1" min="16" max="16"/>
    <col width="26" customWidth="1" min="17" max="17"/>
  </cols>
  <sheetData>
    <row r="1" ht="26" customHeight="1">
      <c r="A1" s="1" t="inlineStr">
        <is>
          <t>Cód. interno</t>
        </is>
      </c>
      <c r="B1" s="1" t="inlineStr">
        <is>
          <t>Cód. forn.</t>
        </is>
      </c>
      <c r="C1" s="1" t="inlineStr">
        <is>
          <t>EAN</t>
        </is>
      </c>
      <c r="D1" s="1" t="inlineStr">
        <is>
          <t>Produto</t>
        </is>
      </c>
      <c r="E1" s="1" t="inlineStr">
        <is>
          <t>Un/Emb</t>
        </is>
      </c>
      <c r="F1" s="1" t="inlineStr">
        <is>
          <t>Caixas</t>
        </is>
      </c>
      <c r="G1" s="1" t="inlineStr">
        <is>
          <t>Qtd pedido</t>
        </is>
      </c>
      <c r="H1" s="1" t="inlineStr">
        <is>
          <t>Preço (emb.)</t>
        </is>
      </c>
      <c r="I1" s="1" t="inlineStr">
        <is>
          <t>Total</t>
        </is>
      </c>
      <c r="J1" s="1" t="inlineStr">
        <is>
          <t>Preço un. eq.</t>
        </is>
      </c>
      <c r="K1" s="1" t="inlineStr">
        <is>
          <t>Últ. compra</t>
        </is>
      </c>
      <c r="L1" s="1" t="inlineStr">
        <is>
          <t>Menor hist.</t>
        </is>
      </c>
      <c r="M1" s="1" t="inlineStr">
        <is>
          <t>Média hist.</t>
        </is>
      </c>
      <c r="N1" s="1" t="inlineStr">
        <is>
          <t>% vs média hist.</t>
        </is>
      </c>
      <c r="O1" s="1" t="inlineStr">
        <is>
          <t>% vs últ. compra</t>
        </is>
      </c>
      <c r="P1" s="1" t="inlineStr">
        <is>
          <t>Status</t>
        </is>
      </c>
      <c r="Q1" s="1" t="inlineStr">
        <is>
          <t>OBS</t>
        </is>
      </c>
    </row>
    <row r="2">
      <c r="A2" s="2" t="n">
        <v>532101</v>
      </c>
      <c r="B2" s="2" t="inlineStr"/>
      <c r="C2" s="3" t="inlineStr"/>
      <c r="D2" s="2" t="inlineStr">
        <is>
          <t>ABERALGINA GTS 10ML (DIPIRONA)</t>
        </is>
      </c>
      <c r="E2" s="4" t="n">
        <v>1</v>
      </c>
      <c r="F2" s="4" t="n">
        <v>16</v>
      </c>
      <c r="G2" s="4" t="n">
        <v>16</v>
      </c>
      <c r="H2" s="5" t="n">
        <v>1.39</v>
      </c>
      <c r="I2" s="5">
        <f>G2*H2</f>
        <v/>
      </c>
      <c r="J2" s="5">
        <f>H2/E2</f>
        <v/>
      </c>
      <c r="K2" s="5" t="n">
        <v>1.46</v>
      </c>
      <c r="L2" s="5" t="n">
        <v>1.45</v>
      </c>
      <c r="M2" s="5" t="n">
        <v>1.45</v>
      </c>
      <c r="N2" s="6">
        <f>J2/M2-1</f>
        <v/>
      </c>
      <c r="O2" s="6">
        <f>J2/K2-1</f>
        <v/>
      </c>
      <c r="P2" s="2" t="inlineStr">
        <is>
          <t>OK (≤ últ. compra)</t>
        </is>
      </c>
      <c r="Q2" s="2" t="inlineStr"/>
    </row>
    <row r="3">
      <c r="A3" s="2" t="n">
        <v>563221</v>
      </c>
      <c r="B3" s="2" t="inlineStr"/>
      <c r="C3" s="3" t="inlineStr"/>
      <c r="D3" s="2" t="inlineStr">
        <is>
          <t>ABIDOR GTS 200MG/ML 15ML TUTTI-FRUTTI</t>
        </is>
      </c>
      <c r="E3" s="4" t="n">
        <v>1</v>
      </c>
      <c r="F3" s="4" t="n">
        <v>24</v>
      </c>
      <c r="G3" s="4" t="n">
        <v>24</v>
      </c>
      <c r="H3" s="5" t="n">
        <v>2.35</v>
      </c>
      <c r="I3" s="5">
        <f>G3*H3</f>
        <v/>
      </c>
      <c r="J3" s="5">
        <f>H3/E3</f>
        <v/>
      </c>
      <c r="K3" s="5" t="n">
        <v>2.33</v>
      </c>
      <c r="L3" s="5" t="n">
        <v>2.33</v>
      </c>
      <c r="M3" s="5" t="n">
        <v>2.33</v>
      </c>
      <c r="N3" s="6">
        <f>J3/M3-1</f>
        <v/>
      </c>
      <c r="O3" s="6">
        <f>J3/K3-1</f>
        <v/>
      </c>
      <c r="P3" s="2" t="inlineStr">
        <is>
          <t>REAJUSTE +0.9% vs últ. (≤4%)</t>
        </is>
      </c>
      <c r="Q3" s="2" t="inlineStr"/>
    </row>
    <row r="4">
      <c r="A4" s="2" t="n">
        <v>2081</v>
      </c>
      <c r="B4" s="2" t="inlineStr"/>
      <c r="C4" s="3" t="inlineStr">
        <is>
          <t>7899620912731</t>
        </is>
      </c>
      <c r="D4" s="2" t="inlineStr">
        <is>
          <t>ACEBROFILINA 10MG/ML XPE FR 120ML+COP MED</t>
        </is>
      </c>
      <c r="E4" s="4" t="n">
        <v>1</v>
      </c>
      <c r="F4" s="4" t="n">
        <v>2</v>
      </c>
      <c r="G4" s="4" t="n">
        <v>2</v>
      </c>
      <c r="H4" s="5" t="n">
        <v>6.7</v>
      </c>
      <c r="I4" s="5">
        <f>G4*H4</f>
        <v/>
      </c>
      <c r="J4" s="5">
        <f>H4/E4</f>
        <v/>
      </c>
      <c r="K4" s="5" t="n">
        <v>7.01</v>
      </c>
      <c r="L4" s="5" t="n">
        <v>7.01</v>
      </c>
      <c r="M4" s="5" t="n">
        <v>7.010000000000001</v>
      </c>
      <c r="N4" s="6">
        <f>J4/M4-1</f>
        <v/>
      </c>
      <c r="O4" s="6">
        <f>J4/K4-1</f>
        <v/>
      </c>
      <c r="P4" s="2" t="inlineStr">
        <is>
          <t>OK (≤ últ. compra)</t>
        </is>
      </c>
      <c r="Q4" s="2" t="inlineStr"/>
    </row>
    <row r="5">
      <c r="A5" s="2" t="n">
        <v>532121</v>
      </c>
      <c r="B5" s="2" t="inlineStr"/>
      <c r="C5" s="3" t="inlineStr">
        <is>
          <t>7898031310082</t>
        </is>
      </c>
      <c r="D5" s="2" t="inlineStr">
        <is>
          <t>AGUA BORICADA 3% 100ML</t>
        </is>
      </c>
      <c r="E5" s="4" t="n">
        <v>1</v>
      </c>
      <c r="F5" s="4" t="n">
        <v>1</v>
      </c>
      <c r="G5" s="4" t="n">
        <v>1</v>
      </c>
      <c r="H5" s="5" t="n">
        <v>2.39</v>
      </c>
      <c r="I5" s="5">
        <f>G5*H5</f>
        <v/>
      </c>
      <c r="J5" s="5">
        <f>H5/E5</f>
        <v/>
      </c>
      <c r="K5" s="5" t="n">
        <v>2.49</v>
      </c>
      <c r="L5" s="5" t="n">
        <v>2.49</v>
      </c>
      <c r="M5" s="5" t="n">
        <v>2.49</v>
      </c>
      <c r="N5" s="6">
        <f>J5/M5-1</f>
        <v/>
      </c>
      <c r="O5" s="6">
        <f>J5/K5-1</f>
        <v/>
      </c>
      <c r="P5" s="2" t="inlineStr">
        <is>
          <t>OK (≤ últ. compra)</t>
        </is>
      </c>
      <c r="Q5" s="2" t="inlineStr"/>
    </row>
    <row r="6">
      <c r="A6" s="2" t="n">
        <v>203301</v>
      </c>
      <c r="B6" s="2" t="inlineStr"/>
      <c r="C6" s="3" t="inlineStr"/>
      <c r="D6" s="2" t="inlineStr">
        <is>
          <t>ALERADINA 5MG CX 10 COMP REV</t>
        </is>
      </c>
      <c r="E6" s="4" t="n">
        <v>1</v>
      </c>
      <c r="F6" s="4" t="n">
        <v>15</v>
      </c>
      <c r="G6" s="4" t="n">
        <v>15</v>
      </c>
      <c r="H6" s="5" t="n">
        <v>4.92</v>
      </c>
      <c r="I6" s="5">
        <f>G6*H6</f>
        <v/>
      </c>
      <c r="J6" s="5">
        <f>H6/E6</f>
        <v/>
      </c>
      <c r="K6" s="5" t="n">
        <v>4.96</v>
      </c>
      <c r="L6" s="5" t="n">
        <v>4.96</v>
      </c>
      <c r="M6" s="5" t="n">
        <v>4.96</v>
      </c>
      <c r="N6" s="6">
        <f>J6/M6-1</f>
        <v/>
      </c>
      <c r="O6" s="6">
        <f>J6/K6-1</f>
        <v/>
      </c>
      <c r="P6" s="2" t="inlineStr">
        <is>
          <t>OK (≤ últ. compra)</t>
        </is>
      </c>
      <c r="Q6" s="2" t="inlineStr"/>
    </row>
    <row r="7">
      <c r="A7" s="2" t="n">
        <v>122461</v>
      </c>
      <c r="B7" s="2" t="inlineStr"/>
      <c r="C7" s="3" t="inlineStr">
        <is>
          <t>7898100243150</t>
        </is>
      </c>
      <c r="D7" s="2" t="inlineStr">
        <is>
          <t>AMBROL 30MG/5ML XPE FR 100ML ADU</t>
        </is>
      </c>
      <c r="E7" s="4" t="n">
        <v>1</v>
      </c>
      <c r="F7" s="4" t="n">
        <v>70</v>
      </c>
      <c r="G7" s="4" t="n">
        <v>70</v>
      </c>
      <c r="H7" s="5" t="n">
        <v>4.09</v>
      </c>
      <c r="I7" s="5">
        <f>G7*H7</f>
        <v/>
      </c>
      <c r="J7" s="5">
        <f>H7/E7</f>
        <v/>
      </c>
      <c r="K7" s="5" t="n">
        <v>4.68</v>
      </c>
      <c r="L7" s="5" t="n">
        <v>3.69</v>
      </c>
      <c r="M7" s="5" t="n">
        <v>4.02</v>
      </c>
      <c r="N7" s="6">
        <f>J7/M7-1</f>
        <v/>
      </c>
      <c r="O7" s="6">
        <f>J7/K7-1</f>
        <v/>
      </c>
      <c r="P7" s="2" t="inlineStr">
        <is>
          <t>OK (≤ últ. compra)</t>
        </is>
      </c>
      <c r="Q7" s="2" t="inlineStr"/>
    </row>
    <row r="8">
      <c r="A8" s="2" t="n">
        <v>339181</v>
      </c>
      <c r="B8" s="2" t="inlineStr"/>
      <c r="C8" s="3" t="inlineStr">
        <is>
          <t>7898216360581</t>
        </is>
      </c>
      <c r="D8" s="2" t="inlineStr">
        <is>
          <t>ARTRITEC 7,5MG CX 10 COMP</t>
        </is>
      </c>
      <c r="E8" s="4" t="n">
        <v>1</v>
      </c>
      <c r="F8" s="4" t="n">
        <v>2</v>
      </c>
      <c r="G8" s="4" t="n">
        <v>2</v>
      </c>
      <c r="H8" s="5" t="n">
        <v>3.2</v>
      </c>
      <c r="I8" s="5">
        <f>G8*H8</f>
        <v/>
      </c>
      <c r="J8" s="5">
        <f>H8/E8</f>
        <v/>
      </c>
      <c r="K8" s="5" t="n">
        <v>3.22</v>
      </c>
      <c r="L8" s="5" t="n">
        <v>3.22</v>
      </c>
      <c r="M8" s="5" t="n">
        <v>3.22</v>
      </c>
      <c r="N8" s="6">
        <f>J8/M8-1</f>
        <v/>
      </c>
      <c r="O8" s="6">
        <f>J8/K8-1</f>
        <v/>
      </c>
      <c r="P8" s="2" t="inlineStr">
        <is>
          <t>OK (≤ últ. compra)</t>
        </is>
      </c>
      <c r="Q8" s="2" t="inlineStr"/>
    </row>
    <row r="9">
      <c r="A9" s="2" t="n">
        <v>653621</v>
      </c>
      <c r="B9" s="2" t="inlineStr"/>
      <c r="C9" s="3" t="inlineStr">
        <is>
          <t>7898108642108</t>
        </is>
      </c>
      <c r="D9" s="2" t="inlineStr">
        <is>
          <t>ATADURA DE CREPE MICKEY 12CM</t>
        </is>
      </c>
      <c r="E9" s="4" t="n">
        <v>1</v>
      </c>
      <c r="F9" s="4" t="n">
        <v>2</v>
      </c>
      <c r="G9" s="4" t="n">
        <v>2</v>
      </c>
      <c r="H9" s="5" t="n">
        <v>2.32</v>
      </c>
      <c r="I9" s="5">
        <f>G9*H9</f>
        <v/>
      </c>
      <c r="J9" s="5">
        <f>H9/E9</f>
        <v/>
      </c>
      <c r="K9" s="5" t="n">
        <v>2.53</v>
      </c>
      <c r="L9" s="5" t="n">
        <v>2.51</v>
      </c>
      <c r="M9" s="5" t="n">
        <v>2.51</v>
      </c>
      <c r="N9" s="6">
        <f>J9/M9-1</f>
        <v/>
      </c>
      <c r="O9" s="6">
        <f>J9/K9-1</f>
        <v/>
      </c>
      <c r="P9" s="2" t="inlineStr">
        <is>
          <t>OK (≤ últ. compra)</t>
        </is>
      </c>
      <c r="Q9" s="2" t="inlineStr"/>
    </row>
    <row r="10">
      <c r="A10" s="2" t="n">
        <v>661601</v>
      </c>
      <c r="B10" s="2" t="inlineStr"/>
      <c r="C10" s="3" t="inlineStr">
        <is>
          <t>7898108641347</t>
        </is>
      </c>
      <c r="D10" s="2" t="inlineStr">
        <is>
          <t>ATADURA DE CREPE SANF 12CMX1,80M</t>
        </is>
      </c>
      <c r="E10" s="4" t="n">
        <v>1</v>
      </c>
      <c r="F10" s="4" t="n">
        <v>2</v>
      </c>
      <c r="G10" s="4" t="n">
        <v>2</v>
      </c>
      <c r="H10" s="5" t="n">
        <v>1.21</v>
      </c>
      <c r="I10" s="5">
        <f>G10*H10</f>
        <v/>
      </c>
      <c r="J10" s="5">
        <f>H10/E10</f>
        <v/>
      </c>
      <c r="K10" s="5" t="n">
        <v>2.23</v>
      </c>
      <c r="L10" s="5" t="n">
        <v>2.23</v>
      </c>
      <c r="M10" s="5" t="n">
        <v>2.23</v>
      </c>
      <c r="N10" s="6">
        <f>J10/M10-1</f>
        <v/>
      </c>
      <c r="O10" s="6">
        <f>J10/K10-1</f>
        <v/>
      </c>
      <c r="P10" s="2" t="inlineStr">
        <is>
          <t>OK (≤ últ. compra)</t>
        </is>
      </c>
      <c r="Q10" s="2" t="inlineStr"/>
    </row>
    <row r="11">
      <c r="A11" s="2" t="n">
        <v>47221</v>
      </c>
      <c r="B11" s="2" t="inlineStr"/>
      <c r="C11" s="3" t="inlineStr">
        <is>
          <t>7898216365708</t>
        </is>
      </c>
      <c r="D11" s="2" t="inlineStr">
        <is>
          <t>AZITROMICINA DI-HIDRATADA 500MG CX 5 COMP REV</t>
        </is>
      </c>
      <c r="E11" s="4" t="n">
        <v>1</v>
      </c>
      <c r="F11" s="4" t="n">
        <v>18</v>
      </c>
      <c r="G11" s="4" t="n">
        <v>18</v>
      </c>
      <c r="H11" s="5" t="n">
        <v>5.74</v>
      </c>
      <c r="I11" s="5">
        <f>G11*H11</f>
        <v/>
      </c>
      <c r="J11" s="5">
        <f>H11/E11</f>
        <v/>
      </c>
      <c r="K11" s="5" t="n">
        <v>5.78</v>
      </c>
      <c r="L11" s="5" t="n">
        <v>5.78</v>
      </c>
      <c r="M11" s="5" t="n">
        <v>5.78</v>
      </c>
      <c r="N11" s="6">
        <f>J11/M11-1</f>
        <v/>
      </c>
      <c r="O11" s="6">
        <f>J11/K11-1</f>
        <v/>
      </c>
      <c r="P11" s="2" t="inlineStr">
        <is>
          <t>OK (≤ últ. compra)</t>
        </is>
      </c>
      <c r="Q11" s="2" t="inlineStr"/>
    </row>
    <row r="12">
      <c r="A12" s="2" t="n">
        <v>48221</v>
      </c>
      <c r="B12" s="2" t="inlineStr"/>
      <c r="C12" s="3" t="inlineStr">
        <is>
          <t>7898216360123</t>
        </is>
      </c>
      <c r="D12" s="2" t="inlineStr">
        <is>
          <t>AZITROPHAR 500MG CX 3 COM REV</t>
        </is>
      </c>
      <c r="E12" s="4" t="n">
        <v>1</v>
      </c>
      <c r="F12" s="4" t="n">
        <v>3</v>
      </c>
      <c r="G12" s="4" t="n">
        <v>3</v>
      </c>
      <c r="H12" s="5" t="n">
        <v>3.74</v>
      </c>
      <c r="I12" s="5">
        <f>G12*H12</f>
        <v/>
      </c>
      <c r="J12" s="5">
        <f>H12/E12</f>
        <v/>
      </c>
      <c r="K12" s="5" t="n">
        <v>3.63</v>
      </c>
      <c r="L12" s="5" t="n">
        <v>3.63</v>
      </c>
      <c r="M12" s="5" t="n">
        <v>3.63</v>
      </c>
      <c r="N12" s="6">
        <f>J12/M12-1</f>
        <v/>
      </c>
      <c r="O12" s="6">
        <f>J12/K12-1</f>
        <v/>
      </c>
      <c r="P12" s="2" t="inlineStr">
        <is>
          <t>REAJUSTE +3.0% vs últ. (≤4%)</t>
        </is>
      </c>
      <c r="Q12" s="2" t="inlineStr"/>
    </row>
    <row r="13">
      <c r="A13" s="2" t="n">
        <v>47701</v>
      </c>
      <c r="B13" s="2" t="inlineStr"/>
      <c r="C13" s="3" t="inlineStr">
        <is>
          <t>7898216364510</t>
        </is>
      </c>
      <c r="D13" s="2" t="inlineStr">
        <is>
          <t>AZITROPHAR 600MG PO SUS OR FR 15ML + SER DOS 5ML</t>
        </is>
      </c>
      <c r="E13" s="4" t="n">
        <v>1</v>
      </c>
      <c r="F13" s="4" t="n">
        <v>6</v>
      </c>
      <c r="G13" s="4" t="n">
        <v>6</v>
      </c>
      <c r="H13" s="5" t="n">
        <v>13.84</v>
      </c>
      <c r="I13" s="5">
        <f>G13*H13</f>
        <v/>
      </c>
      <c r="J13" s="5">
        <f>H13/E13</f>
        <v/>
      </c>
      <c r="K13" s="5" t="n">
        <v>13.96</v>
      </c>
      <c r="L13" s="5" t="n">
        <v>13.96</v>
      </c>
      <c r="M13" s="5" t="n">
        <v>13.96</v>
      </c>
      <c r="N13" s="6">
        <f>J13/M13-1</f>
        <v/>
      </c>
      <c r="O13" s="6">
        <f>J13/K13-1</f>
        <v/>
      </c>
      <c r="P13" s="2" t="inlineStr">
        <is>
          <t>OK (≤ últ. compra)</t>
        </is>
      </c>
      <c r="Q13" s="2" t="inlineStr"/>
    </row>
    <row r="14">
      <c r="A14" s="2" t="n">
        <v>339861</v>
      </c>
      <c r="B14" s="2" t="inlineStr"/>
      <c r="C14" s="3" t="inlineStr">
        <is>
          <t>7896004726793</t>
        </is>
      </c>
      <c r="D14" s="2" t="inlineStr">
        <is>
          <t>BALSAMO BENGUE 0,10+0,50G AER FR 60G</t>
        </is>
      </c>
      <c r="E14" s="4" t="n">
        <v>1</v>
      </c>
      <c r="F14" s="4" t="n">
        <v>2</v>
      </c>
      <c r="G14" s="4" t="n">
        <v>2</v>
      </c>
      <c r="H14" s="5" t="n">
        <v>27.8</v>
      </c>
      <c r="I14" s="5">
        <f>G14*H14</f>
        <v/>
      </c>
      <c r="J14" s="5">
        <f>H14/E14</f>
        <v/>
      </c>
      <c r="K14" s="5" t="n">
        <v>28.88</v>
      </c>
      <c r="L14" s="5" t="n">
        <v>25.51</v>
      </c>
      <c r="M14" s="5" t="n">
        <v>26.7</v>
      </c>
      <c r="N14" s="6">
        <f>J14/M14-1</f>
        <v/>
      </c>
      <c r="O14" s="6">
        <f>J14/K14-1</f>
        <v/>
      </c>
      <c r="P14" s="2" t="inlineStr">
        <is>
          <t>OK (≤ últ. compra)</t>
        </is>
      </c>
      <c r="Q14" s="2" t="inlineStr"/>
    </row>
    <row r="15">
      <c r="A15" s="2" t="n">
        <v>339821</v>
      </c>
      <c r="B15" s="2" t="inlineStr"/>
      <c r="C15" s="3" t="inlineStr"/>
      <c r="D15" s="2" t="inlineStr">
        <is>
          <t>BALSAMO BENGUE GEL BG 20G</t>
        </is>
      </c>
      <c r="E15" s="4" t="n">
        <v>1</v>
      </c>
      <c r="F15" s="4" t="n">
        <v>3</v>
      </c>
      <c r="G15" s="4" t="n">
        <v>3</v>
      </c>
      <c r="H15" s="5" t="n">
        <v>15.98</v>
      </c>
      <c r="I15" s="5">
        <f>G15*H15</f>
        <v/>
      </c>
      <c r="J15" s="5">
        <f>H15/E15</f>
        <v/>
      </c>
      <c r="K15" s="5" t="n">
        <v>19.96</v>
      </c>
      <c r="L15" s="5" t="n">
        <v>13.96</v>
      </c>
      <c r="M15" s="5" t="n">
        <v>15.09556666666667</v>
      </c>
      <c r="N15" s="6">
        <f>J15/M15-1</f>
        <v/>
      </c>
      <c r="O15" s="6">
        <f>J15/K15-1</f>
        <v/>
      </c>
      <c r="P15" s="2" t="inlineStr">
        <is>
          <t>OK (≤ últ. compra)</t>
        </is>
      </c>
      <c r="Q15" s="2" t="inlineStr"/>
    </row>
    <row r="16">
      <c r="A16" s="2" t="n">
        <v>339841</v>
      </c>
      <c r="B16" s="2" t="inlineStr"/>
      <c r="C16" s="3" t="inlineStr"/>
      <c r="D16" s="2" t="inlineStr">
        <is>
          <t>BALSAMO BENGUE POM BG 20G</t>
        </is>
      </c>
      <c r="E16" s="4" t="n">
        <v>1</v>
      </c>
      <c r="F16" s="4" t="n">
        <v>2</v>
      </c>
      <c r="G16" s="4" t="n">
        <v>2</v>
      </c>
      <c r="H16" s="5" t="n">
        <v>16.83</v>
      </c>
      <c r="I16" s="5">
        <f>G16*H16</f>
        <v/>
      </c>
      <c r="J16" s="5">
        <f>H16/E16</f>
        <v/>
      </c>
      <c r="K16" s="5" t="n">
        <v>21.8425</v>
      </c>
      <c r="L16" s="5" t="n">
        <v>15.4369</v>
      </c>
      <c r="M16" s="5" t="n">
        <v>15.90686666666667</v>
      </c>
      <c r="N16" s="6">
        <f>J16/M16-1</f>
        <v/>
      </c>
      <c r="O16" s="6">
        <f>J16/K16-1</f>
        <v/>
      </c>
      <c r="P16" s="2" t="inlineStr">
        <is>
          <t>OK (≤ últ. compra)</t>
        </is>
      </c>
      <c r="Q16" s="2" t="inlineStr"/>
    </row>
    <row r="17">
      <c r="A17" s="2" t="n">
        <v>596481</v>
      </c>
      <c r="B17" s="2" t="inlineStr"/>
      <c r="C17" s="3" t="inlineStr">
        <is>
          <t>7894164005260</t>
        </is>
      </c>
      <c r="D17" s="2" t="inlineStr">
        <is>
          <t>CALOFIM 5ML SOL (AIRELA)</t>
        </is>
      </c>
      <c r="E17" s="4" t="n">
        <v>1</v>
      </c>
      <c r="F17" s="4" t="n">
        <v>8</v>
      </c>
      <c r="G17" s="4" t="n">
        <v>8</v>
      </c>
      <c r="H17" s="5" t="n">
        <v>8.5</v>
      </c>
      <c r="I17" s="5">
        <f>G17*H17</f>
        <v/>
      </c>
      <c r="J17" s="5">
        <f>H17/E17</f>
        <v/>
      </c>
      <c r="K17" s="5" t="n">
        <v>8.56</v>
      </c>
      <c r="L17" s="5" t="n">
        <v>8.48</v>
      </c>
      <c r="M17" s="5" t="n">
        <v>8.533333333333333</v>
      </c>
      <c r="N17" s="6">
        <f>J17/M17-1</f>
        <v/>
      </c>
      <c r="O17" s="6">
        <f>J17/K17-1</f>
        <v/>
      </c>
      <c r="P17" s="2" t="inlineStr">
        <is>
          <t>OK (≤ últ. compra)</t>
        </is>
      </c>
      <c r="Q17" s="2" t="inlineStr"/>
    </row>
    <row r="18">
      <c r="A18" s="2" t="n">
        <v>92221</v>
      </c>
      <c r="B18" s="2" t="inlineStr"/>
      <c r="C18" s="3" t="inlineStr">
        <is>
          <t>7899620911352</t>
        </is>
      </c>
      <c r="D18" s="2" t="inlineStr">
        <is>
          <t>CETOCONAZOL 200MG CX 10 COMP</t>
        </is>
      </c>
      <c r="E18" s="4" t="n">
        <v>1</v>
      </c>
      <c r="F18" s="4" t="n">
        <v>2</v>
      </c>
      <c r="G18" s="4" t="n">
        <v>2</v>
      </c>
      <c r="H18" s="5" t="n">
        <v>4.21</v>
      </c>
      <c r="I18" s="5">
        <f>G18*H18</f>
        <v/>
      </c>
      <c r="J18" s="5">
        <f>H18/E18</f>
        <v/>
      </c>
      <c r="K18" s="5" t="n">
        <v>4.1</v>
      </c>
      <c r="L18" s="5" t="n">
        <v>4.1</v>
      </c>
      <c r="M18" s="5" t="n">
        <v>4.1</v>
      </c>
      <c r="N18" s="6">
        <f>J18/M18-1</f>
        <v/>
      </c>
      <c r="O18" s="6">
        <f>J18/K18-1</f>
        <v/>
      </c>
      <c r="P18" s="2" t="inlineStr">
        <is>
          <t>REAJUSTE +2.7% vs últ. (≤4%)</t>
        </is>
      </c>
      <c r="Q18" s="2" t="inlineStr"/>
    </row>
    <row r="19">
      <c r="A19" s="2" t="n">
        <v>608881</v>
      </c>
      <c r="B19" s="2" t="inlineStr"/>
      <c r="C19" s="3" t="inlineStr">
        <is>
          <t>7898108640678</t>
        </is>
      </c>
      <c r="D19" s="2" t="inlineStr">
        <is>
          <t>CICATRISAN CURATIVO 10UN MICROPOROSO</t>
        </is>
      </c>
      <c r="E19" s="4" t="n">
        <v>1</v>
      </c>
      <c r="F19" s="4" t="n">
        <v>7</v>
      </c>
      <c r="G19" s="4" t="n">
        <v>7</v>
      </c>
      <c r="H19" s="5" t="n">
        <v>1.89</v>
      </c>
      <c r="I19" s="5">
        <f>G19*H19</f>
        <v/>
      </c>
      <c r="J19" s="5">
        <f>H19/E19</f>
        <v/>
      </c>
      <c r="K19" s="5" t="n">
        <v>1.96</v>
      </c>
      <c r="L19" s="5" t="n">
        <v>1.68</v>
      </c>
      <c r="M19" s="5" t="n">
        <v>1.773333333333333</v>
      </c>
      <c r="N19" s="6">
        <f>J19/M19-1</f>
        <v/>
      </c>
      <c r="O19" s="6">
        <f>J19/K19-1</f>
        <v/>
      </c>
      <c r="P19" s="2" t="inlineStr">
        <is>
          <t>OK (≤ últ. compra)</t>
        </is>
      </c>
      <c r="Q19" s="2" t="inlineStr"/>
    </row>
    <row r="20">
      <c r="A20" s="2" t="n">
        <v>108901</v>
      </c>
      <c r="B20" s="2" t="inlineStr"/>
      <c r="C20" s="3" t="inlineStr">
        <is>
          <t>7898216363445</t>
        </is>
      </c>
      <c r="D20" s="2" t="inlineStr">
        <is>
          <t>CLARITROMICINA 500MG CX 14 COMP REV</t>
        </is>
      </c>
      <c r="E20" s="4" t="n">
        <v>1</v>
      </c>
      <c r="F20" s="4" t="n">
        <v>7</v>
      </c>
      <c r="G20" s="4" t="n">
        <v>7</v>
      </c>
      <c r="H20" s="5" t="n">
        <v>43.78</v>
      </c>
      <c r="I20" s="5">
        <f>G20*H20</f>
        <v/>
      </c>
      <c r="J20" s="5">
        <f>H20/E20</f>
        <v/>
      </c>
      <c r="K20" s="5" t="n">
        <v>64.98999999999999</v>
      </c>
      <c r="L20" s="5" t="n">
        <v>43.94</v>
      </c>
      <c r="M20" s="5" t="n">
        <v>43.94</v>
      </c>
      <c r="N20" s="6">
        <f>J20/M20-1</f>
        <v/>
      </c>
      <c r="O20" s="6">
        <f>J20/K20-1</f>
        <v/>
      </c>
      <c r="P20" s="2" t="inlineStr">
        <is>
          <t>OK (≤ últ. compra)</t>
        </is>
      </c>
      <c r="Q20" s="2" t="inlineStr"/>
    </row>
    <row r="21">
      <c r="A21" s="2" t="n">
        <v>1103</v>
      </c>
      <c r="B21" s="2" t="inlineStr"/>
      <c r="C21" s="3" t="inlineStr">
        <is>
          <t>7898216361267</t>
        </is>
      </c>
      <c r="D21" s="2" t="inlineStr">
        <is>
          <t>CLARITROMICINA 500MG CX 7 COMP REV</t>
        </is>
      </c>
      <c r="E21" s="4" t="n">
        <v>1</v>
      </c>
      <c r="F21" s="4" t="n">
        <v>5</v>
      </c>
      <c r="G21" s="4" t="n">
        <v>5</v>
      </c>
      <c r="H21" s="5" t="n">
        <v>24.32</v>
      </c>
      <c r="I21" s="5">
        <f>G21*H21</f>
        <v/>
      </c>
      <c r="J21" s="5">
        <f>H21/E21</f>
        <v/>
      </c>
      <c r="K21" s="5" t="n">
        <v>31.9</v>
      </c>
      <c r="L21" s="5" t="n">
        <v>23.13</v>
      </c>
      <c r="M21" s="5" t="n">
        <v>23.13</v>
      </c>
      <c r="N21" s="6">
        <f>J21/M21-1</f>
        <v/>
      </c>
      <c r="O21" s="6">
        <f>J21/K21-1</f>
        <v/>
      </c>
      <c r="P21" s="2" t="inlineStr">
        <is>
          <t>OK (≤ últ. compra)</t>
        </is>
      </c>
      <c r="Q21" s="2" t="inlineStr"/>
    </row>
    <row r="22">
      <c r="A22" s="2" t="n">
        <v>129761</v>
      </c>
      <c r="B22" s="2" t="inlineStr"/>
      <c r="C22" s="3" t="inlineStr"/>
      <c r="D22" s="2" t="inlineStr">
        <is>
          <t>CLORIDRATO DE BROMEXINA 1,6MG XPE FR 120ML+CM</t>
        </is>
      </c>
      <c r="E22" s="4" t="n">
        <v>1</v>
      </c>
      <c r="F22" s="4" t="n">
        <v>4</v>
      </c>
      <c r="G22" s="4" t="n">
        <v>4</v>
      </c>
      <c r="H22" s="5" t="n">
        <v>6.44</v>
      </c>
      <c r="I22" s="5">
        <f>G22*H22</f>
        <v/>
      </c>
      <c r="J22" s="5">
        <f>H22/E22</f>
        <v/>
      </c>
      <c r="K22" s="5" t="n">
        <v>6.74</v>
      </c>
      <c r="L22" s="5" t="n">
        <v>6.74</v>
      </c>
      <c r="M22" s="5" t="n">
        <v>6.739999999999999</v>
      </c>
      <c r="N22" s="6">
        <f>J22/M22-1</f>
        <v/>
      </c>
      <c r="O22" s="6">
        <f>J22/K22-1</f>
        <v/>
      </c>
      <c r="P22" s="2" t="inlineStr">
        <is>
          <t>OK (≤ últ. compra)</t>
        </is>
      </c>
      <c r="Q22" s="2" t="inlineStr"/>
    </row>
    <row r="23">
      <c r="A23" s="2" t="n">
        <v>134601</v>
      </c>
      <c r="B23" s="2" t="inlineStr"/>
      <c r="C23" s="3" t="inlineStr">
        <is>
          <t>7898060139951</t>
        </is>
      </c>
      <c r="D23" s="2" t="inlineStr">
        <is>
          <t>CLORIDRATO DE CICLOBENZAPRINA 10MG CX 30 COMP REV</t>
        </is>
      </c>
      <c r="E23" s="4" t="n">
        <v>1</v>
      </c>
      <c r="F23" s="4" t="n">
        <v>4</v>
      </c>
      <c r="G23" s="4" t="n">
        <v>4</v>
      </c>
      <c r="H23" s="5" t="n">
        <v>5.28</v>
      </c>
      <c r="I23" s="5">
        <f>G23*H23</f>
        <v/>
      </c>
      <c r="J23" s="5">
        <f>H23/E23</f>
        <v/>
      </c>
      <c r="K23" s="5" t="n">
        <v>5.48</v>
      </c>
      <c r="L23" s="5" t="n">
        <v>5.48</v>
      </c>
      <c r="M23" s="5" t="n">
        <v>5.48</v>
      </c>
      <c r="N23" s="6">
        <f>J23/M23-1</f>
        <v/>
      </c>
      <c r="O23" s="6">
        <f>J23/K23-1</f>
        <v/>
      </c>
      <c r="P23" s="2" t="inlineStr">
        <is>
          <t>OK (≤ últ. compra)</t>
        </is>
      </c>
      <c r="Q23" s="2" t="inlineStr"/>
    </row>
    <row r="24">
      <c r="A24" s="2" t="n">
        <v>134661</v>
      </c>
      <c r="B24" s="2" t="inlineStr"/>
      <c r="C24" s="3" t="inlineStr">
        <is>
          <t>7898060139913</t>
        </is>
      </c>
      <c r="D24" s="2" t="inlineStr">
        <is>
          <t>CLORIDRATO DE CICLOBENZAPRINA 5MG CX 15 COMP REV</t>
        </is>
      </c>
      <c r="E24" s="4" t="n">
        <v>1</v>
      </c>
      <c r="F24" s="4" t="n">
        <v>1</v>
      </c>
      <c r="G24" s="4" t="n">
        <v>1</v>
      </c>
      <c r="H24" s="5" t="n">
        <v>2.44</v>
      </c>
      <c r="I24" s="5">
        <f>G24*H24</f>
        <v/>
      </c>
      <c r="J24" s="5">
        <f>H24/E24</f>
        <v/>
      </c>
      <c r="K24" s="5" t="n">
        <v>2.53</v>
      </c>
      <c r="L24" s="5" t="n">
        <v>2.53</v>
      </c>
      <c r="M24" s="5" t="n">
        <v>2.53</v>
      </c>
      <c r="N24" s="6">
        <f>J24/M24-1</f>
        <v/>
      </c>
      <c r="O24" s="6">
        <f>J24/K24-1</f>
        <v/>
      </c>
      <c r="P24" s="2" t="inlineStr">
        <is>
          <t>OK (≤ últ. compra)</t>
        </is>
      </c>
      <c r="Q24" s="2" t="inlineStr"/>
    </row>
    <row r="25">
      <c r="A25" s="2" t="n">
        <v>135981</v>
      </c>
      <c r="B25" s="2" t="inlineStr"/>
      <c r="C25" s="3" t="inlineStr">
        <is>
          <t>7898216360185</t>
        </is>
      </c>
      <c r="D25" s="2" t="inlineStr">
        <is>
          <t>CLORIDRATO DE CIPROFLOXACINO 500MG CX 14 COMP REV</t>
        </is>
      </c>
      <c r="E25" s="4" t="n">
        <v>1</v>
      </c>
      <c r="F25" s="4" t="n">
        <v>14</v>
      </c>
      <c r="G25" s="4" t="n">
        <v>14</v>
      </c>
      <c r="H25" s="5" t="n">
        <v>6.14</v>
      </c>
      <c r="I25" s="5">
        <f>G25*H25</f>
        <v/>
      </c>
      <c r="J25" s="5">
        <f>H25/E25</f>
        <v/>
      </c>
      <c r="K25" s="5" t="n">
        <v>6.19</v>
      </c>
      <c r="L25" s="5" t="n">
        <v>5.99</v>
      </c>
      <c r="M25" s="5" t="n">
        <v>6.116666666666667</v>
      </c>
      <c r="N25" s="6">
        <f>J25/M25-1</f>
        <v/>
      </c>
      <c r="O25" s="6">
        <f>J25/K25-1</f>
        <v/>
      </c>
      <c r="P25" s="2" t="inlineStr">
        <is>
          <t>OK (≤ últ. compra)</t>
        </is>
      </c>
      <c r="Q25" s="2" t="inlineStr"/>
    </row>
    <row r="26">
      <c r="A26" s="2" t="n">
        <v>152261</v>
      </c>
      <c r="B26" s="2" t="inlineStr"/>
      <c r="C26" s="3" t="inlineStr">
        <is>
          <t>7898216360864</t>
        </is>
      </c>
      <c r="D26" s="2" t="inlineStr">
        <is>
          <t>CLORIDRATO DE LIDOCAINA 20MG/G GELEIA BG 30G</t>
        </is>
      </c>
      <c r="E26" s="4" t="n">
        <v>1</v>
      </c>
      <c r="F26" s="4" t="n">
        <v>1</v>
      </c>
      <c r="G26" s="4" t="n">
        <v>1</v>
      </c>
      <c r="H26" s="5" t="n">
        <v>8.59</v>
      </c>
      <c r="I26" s="5">
        <f>G26*H26</f>
        <v/>
      </c>
      <c r="J26" s="5">
        <f>H26/E26</f>
        <v/>
      </c>
      <c r="K26" s="5" t="n">
        <v>8.93</v>
      </c>
      <c r="L26" s="5" t="n">
        <v>8.77</v>
      </c>
      <c r="M26" s="5" t="n">
        <v>8.876666666666667</v>
      </c>
      <c r="N26" s="6">
        <f>J26/M26-1</f>
        <v/>
      </c>
      <c r="O26" s="6">
        <f>J26/K26-1</f>
        <v/>
      </c>
      <c r="P26" s="2" t="inlineStr">
        <is>
          <t>OK (≤ últ. compra)</t>
        </is>
      </c>
      <c r="Q26" s="2" t="inlineStr"/>
    </row>
    <row r="27">
      <c r="A27" s="2" t="n">
        <v>644271</v>
      </c>
      <c r="B27" s="2" t="inlineStr"/>
      <c r="C27" s="3" t="inlineStr">
        <is>
          <t>7897917006453</t>
        </is>
      </c>
      <c r="D27" s="2" t="inlineStr">
        <is>
          <t>CLORIDRATO DE NAFAZOLINA 0,5MG/ML SOL NAS CT FR PLAS GOT X 30ML</t>
        </is>
      </c>
      <c r="E27" s="4" t="n">
        <v>1</v>
      </c>
      <c r="F27" s="4" t="n">
        <v>1</v>
      </c>
      <c r="G27" s="4" t="n">
        <v>1</v>
      </c>
      <c r="H27" s="5" t="n">
        <v>2.84</v>
      </c>
      <c r="I27" s="5">
        <f>G27*H27</f>
        <v/>
      </c>
      <c r="J27" s="5">
        <f>H27/E27</f>
        <v/>
      </c>
      <c r="K27" s="5" t="n">
        <v>2.72</v>
      </c>
      <c r="L27" s="5" t="n">
        <v>2.72</v>
      </c>
      <c r="M27" s="5" t="n">
        <v>2.72</v>
      </c>
      <c r="N27" s="6">
        <f>J27/M27-1</f>
        <v/>
      </c>
      <c r="O27" s="6">
        <f>J27/K27-1</f>
        <v/>
      </c>
      <c r="P27" s="2" t="inlineStr">
        <is>
          <t>REAJUSTE +4.4% vs média (≤6%)</t>
        </is>
      </c>
      <c r="Q27" s="2" t="inlineStr"/>
    </row>
    <row r="28">
      <c r="A28" s="2" t="n">
        <v>171281</v>
      </c>
      <c r="B28" s="2" t="inlineStr"/>
      <c r="C28" s="3" t="inlineStr">
        <is>
          <t>7898216362431</t>
        </is>
      </c>
      <c r="D28" s="2" t="inlineStr">
        <is>
          <t>CLORIDRATO DE PROPANOLOL 40MG CX 30 COMP</t>
        </is>
      </c>
      <c r="E28" s="4" t="n">
        <v>1</v>
      </c>
      <c r="F28" s="4" t="n">
        <v>4</v>
      </c>
      <c r="G28" s="4" t="n">
        <v>4</v>
      </c>
      <c r="H28" s="5" t="n">
        <v>2.13</v>
      </c>
      <c r="I28" s="5">
        <f>G28*H28</f>
        <v/>
      </c>
      <c r="J28" s="5">
        <f>H28/E28</f>
        <v/>
      </c>
      <c r="K28" s="5" t="n">
        <v>2.12</v>
      </c>
      <c r="L28" s="5" t="n">
        <v>2.12</v>
      </c>
      <c r="M28" s="5" t="n">
        <v>2.12</v>
      </c>
      <c r="N28" s="6">
        <f>J28/M28-1</f>
        <v/>
      </c>
      <c r="O28" s="6">
        <f>J28/K28-1</f>
        <v/>
      </c>
      <c r="P28" s="2" t="inlineStr">
        <is>
          <t>REAJUSTE +0.5% vs últ. (≤4%)</t>
        </is>
      </c>
      <c r="Q28" s="2" t="inlineStr"/>
    </row>
    <row r="29">
      <c r="A29" s="2" t="n">
        <v>92041</v>
      </c>
      <c r="B29" s="2" t="inlineStr"/>
      <c r="C29" s="3" t="inlineStr">
        <is>
          <t>7898100241279</t>
        </is>
      </c>
      <c r="D29" s="2" t="inlineStr">
        <is>
          <t>CONAZOL 20MG/G CREME BG 20G</t>
        </is>
      </c>
      <c r="E29" s="4" t="n">
        <v>1</v>
      </c>
      <c r="F29" s="4" t="n">
        <v>7</v>
      </c>
      <c r="G29" s="4" t="n">
        <v>7</v>
      </c>
      <c r="H29" s="5" t="n">
        <v>3.86</v>
      </c>
      <c r="I29" s="5">
        <f>G29*H29</f>
        <v/>
      </c>
      <c r="J29" s="5">
        <f>H29/E29</f>
        <v/>
      </c>
      <c r="K29" s="5" t="n">
        <v>3.69</v>
      </c>
      <c r="L29" s="5" t="n">
        <v>3.69</v>
      </c>
      <c r="M29" s="5" t="n">
        <v>3.69</v>
      </c>
      <c r="N29" s="6">
        <f>J29/M29-1</f>
        <v/>
      </c>
      <c r="O29" s="6">
        <f>J29/K29-1</f>
        <v/>
      </c>
      <c r="P29" s="2" t="inlineStr">
        <is>
          <t>REAJUSTE +4.6% vs média (≤6%)</t>
        </is>
      </c>
      <c r="Q29" s="2" t="inlineStr"/>
    </row>
    <row r="30">
      <c r="A30" s="2" t="n">
        <v>5003</v>
      </c>
      <c r="B30" s="2" t="inlineStr"/>
      <c r="C30" s="3" t="inlineStr">
        <is>
          <t>7898108641989</t>
        </is>
      </c>
      <c r="D30" s="2" t="inlineStr">
        <is>
          <t>CURATIVO MICKEY E MINNIE C/10 UND</t>
        </is>
      </c>
      <c r="E30" s="4" t="n">
        <v>1</v>
      </c>
      <c r="F30" s="4" t="n">
        <v>5</v>
      </c>
      <c r="G30" s="4" t="n">
        <v>5</v>
      </c>
      <c r="H30" s="5" t="n">
        <v>2.71</v>
      </c>
      <c r="I30" s="5">
        <f>G30*H30</f>
        <v/>
      </c>
      <c r="J30" s="5">
        <f>H30/E30</f>
        <v/>
      </c>
      <c r="K30" s="5" t="n">
        <v>2.94</v>
      </c>
      <c r="L30" s="5" t="n">
        <v>2.94</v>
      </c>
      <c r="M30" s="5" t="n">
        <v>2.94</v>
      </c>
      <c r="N30" s="6">
        <f>J30/M30-1</f>
        <v/>
      </c>
      <c r="O30" s="6">
        <f>J30/K30-1</f>
        <v/>
      </c>
      <c r="P30" s="2" t="inlineStr">
        <is>
          <t>OK (≤ últ. compra)</t>
        </is>
      </c>
      <c r="Q30" s="2" t="inlineStr"/>
    </row>
    <row r="31">
      <c r="A31" s="2" t="n">
        <v>203441</v>
      </c>
      <c r="B31" s="2" t="inlineStr"/>
      <c r="C31" s="3" t="inlineStr">
        <is>
          <t>7894916145459</t>
        </is>
      </c>
      <c r="D31" s="2" t="inlineStr">
        <is>
          <t>DESLORATADINA 5MG CX 10 COMP REV</t>
        </is>
      </c>
      <c r="E31" s="4" t="n">
        <v>1</v>
      </c>
      <c r="F31" s="4" t="n">
        <v>1</v>
      </c>
      <c r="G31" s="4" t="n">
        <v>1</v>
      </c>
      <c r="H31" s="5" t="n">
        <v>5.89</v>
      </c>
      <c r="I31" s="5">
        <f>G31*H31</f>
        <v/>
      </c>
      <c r="J31" s="5">
        <f>H31/E31</f>
        <v/>
      </c>
      <c r="K31" s="5" t="n">
        <v>6.79</v>
      </c>
      <c r="L31" s="5" t="n">
        <v>6.79</v>
      </c>
      <c r="M31" s="5" t="n">
        <v>6.79</v>
      </c>
      <c r="N31" s="6">
        <f>J31/M31-1</f>
        <v/>
      </c>
      <c r="O31" s="6">
        <f>J31/K31-1</f>
        <v/>
      </c>
      <c r="P31" s="2" t="inlineStr">
        <is>
          <t>OK (≤ últ. compra)</t>
        </is>
      </c>
      <c r="Q31" s="2" t="inlineStr"/>
    </row>
    <row r="32">
      <c r="A32" s="2" t="n">
        <v>214</v>
      </c>
      <c r="B32" s="2" t="inlineStr"/>
      <c r="C32" s="3" t="inlineStr">
        <is>
          <t>7898216367016</t>
        </is>
      </c>
      <c r="D32" s="2" t="inlineStr">
        <is>
          <t>DICLORIDRATO DE LEVOCETIRIZINA</t>
        </is>
      </c>
      <c r="E32" s="4" t="n">
        <v>1</v>
      </c>
      <c r="F32" s="4" t="n">
        <v>6</v>
      </c>
      <c r="G32" s="4" t="n">
        <v>6</v>
      </c>
      <c r="H32" s="5" t="n">
        <v>7.73</v>
      </c>
      <c r="I32" s="5">
        <f>G32*H32</f>
        <v/>
      </c>
      <c r="J32" s="5">
        <f>H32/E32</f>
        <v/>
      </c>
      <c r="K32" s="5" t="n">
        <v>8.48</v>
      </c>
      <c r="L32" s="5" t="n">
        <v>8.48</v>
      </c>
      <c r="M32" s="5" t="n">
        <v>8.48</v>
      </c>
      <c r="N32" s="6">
        <f>J32/M32-1</f>
        <v/>
      </c>
      <c r="O32" s="6">
        <f>J32/K32-1</f>
        <v/>
      </c>
      <c r="P32" s="2" t="inlineStr">
        <is>
          <t>OK (≤ últ. compra)</t>
        </is>
      </c>
      <c r="Q32" s="2" t="inlineStr"/>
    </row>
    <row r="33">
      <c r="A33" s="2" t="n">
        <v>229241</v>
      </c>
      <c r="B33" s="2" t="inlineStr"/>
      <c r="C33" s="3" t="inlineStr">
        <is>
          <t>7894916145114</t>
        </is>
      </c>
      <c r="D33" s="2" t="inlineStr">
        <is>
          <t>DOMPERIDONA 10MG CX 2BL X 15 COMP</t>
        </is>
      </c>
      <c r="E33" s="4" t="n">
        <v>1</v>
      </c>
      <c r="F33" s="4" t="n">
        <v>1</v>
      </c>
      <c r="G33" s="4" t="n">
        <v>1</v>
      </c>
      <c r="H33" s="5" t="n">
        <v>4.03</v>
      </c>
      <c r="I33" s="5">
        <f>G33*H33</f>
        <v/>
      </c>
      <c r="J33" s="5">
        <f>H33/E33</f>
        <v/>
      </c>
      <c r="K33" s="5" t="n">
        <v>4.19</v>
      </c>
      <c r="L33" s="5" t="n">
        <v>4.19</v>
      </c>
      <c r="M33" s="5" t="n">
        <v>4.19</v>
      </c>
      <c r="N33" s="6">
        <f>J33/M33-1</f>
        <v/>
      </c>
      <c r="O33" s="6">
        <f>J33/K33-1</f>
        <v/>
      </c>
      <c r="P33" s="2" t="inlineStr">
        <is>
          <t>OK (≤ últ. compra)</t>
        </is>
      </c>
      <c r="Q33" s="2" t="inlineStr"/>
    </row>
    <row r="34">
      <c r="A34" s="2" t="n">
        <v>648331</v>
      </c>
      <c r="B34" s="2" t="inlineStr"/>
      <c r="C34" s="3" t="inlineStr">
        <is>
          <t>7898108640944</t>
        </is>
      </c>
      <c r="D34" s="2" t="inlineStr">
        <is>
          <t>ESPARAD IMPERM SANFARMA 50MMX4,5M</t>
        </is>
      </c>
      <c r="E34" s="4" t="n">
        <v>1</v>
      </c>
      <c r="F34" s="4" t="n">
        <v>1</v>
      </c>
      <c r="G34" s="4" t="n">
        <v>1</v>
      </c>
      <c r="H34" s="5" t="n">
        <v>11.29</v>
      </c>
      <c r="I34" s="5">
        <f>G34*H34</f>
        <v/>
      </c>
      <c r="J34" s="5">
        <f>H34/E34</f>
        <v/>
      </c>
      <c r="K34" s="5" t="n">
        <v>11.4</v>
      </c>
      <c r="L34" s="5" t="n">
        <v>11.4</v>
      </c>
      <c r="M34" s="5" t="n">
        <v>11.4</v>
      </c>
      <c r="N34" s="6">
        <f>J34/M34-1</f>
        <v/>
      </c>
      <c r="O34" s="6">
        <f>J34/K34-1</f>
        <v/>
      </c>
      <c r="P34" s="2" t="inlineStr">
        <is>
          <t>OK (≤ últ. compra)</t>
        </is>
      </c>
      <c r="Q34" s="2" t="inlineStr"/>
    </row>
    <row r="35">
      <c r="A35" s="2" t="n">
        <v>645451</v>
      </c>
      <c r="B35" s="2" t="inlineStr"/>
      <c r="C35" s="3" t="inlineStr">
        <is>
          <t>7898108641262</t>
        </is>
      </c>
      <c r="D35" s="2" t="inlineStr">
        <is>
          <t>FITA MICROPOROSA SANFARMA 25MMX4,5M</t>
        </is>
      </c>
      <c r="E35" s="4" t="n">
        <v>1</v>
      </c>
      <c r="F35" s="4" t="n">
        <v>2</v>
      </c>
      <c r="G35" s="4" t="n">
        <v>2</v>
      </c>
      <c r="H35" s="5" t="n">
        <v>3.89</v>
      </c>
      <c r="I35" s="5">
        <f>G35*H35</f>
        <v/>
      </c>
      <c r="J35" s="5">
        <f>H35/E35</f>
        <v/>
      </c>
      <c r="K35" s="5" t="n">
        <v>4.09</v>
      </c>
      <c r="L35" s="5" t="n">
        <v>4.09</v>
      </c>
      <c r="M35" s="5" t="n">
        <v>4.09</v>
      </c>
      <c r="N35" s="6">
        <f>J35/M35-1</f>
        <v/>
      </c>
      <c r="O35" s="6">
        <f>J35/K35-1</f>
        <v/>
      </c>
      <c r="P35" s="2" t="inlineStr">
        <is>
          <t>OK (≤ últ. compra)</t>
        </is>
      </c>
      <c r="Q35" s="2" t="inlineStr"/>
    </row>
    <row r="36">
      <c r="A36" s="2" t="n">
        <v>610041</v>
      </c>
      <c r="B36" s="2" t="inlineStr"/>
      <c r="C36" s="3" t="inlineStr">
        <is>
          <t>7898719040195</t>
        </is>
      </c>
      <c r="D36" s="2" t="inlineStr">
        <is>
          <t>GELOFLAN BALSAMO AEROSSOL 120ML</t>
        </is>
      </c>
      <c r="E36" s="4" t="n">
        <v>1</v>
      </c>
      <c r="F36" s="4" t="n">
        <v>3</v>
      </c>
      <c r="G36" s="4" t="n">
        <v>3</v>
      </c>
      <c r="H36" s="5" t="n">
        <v>11.99</v>
      </c>
      <c r="I36" s="5">
        <f>G36*H36</f>
        <v/>
      </c>
      <c r="J36" s="5">
        <f>H36/E36</f>
        <v/>
      </c>
      <c r="K36" s="5" t="n">
        <v>12.59</v>
      </c>
      <c r="L36" s="5" t="n">
        <v>12.1</v>
      </c>
      <c r="M36" s="5" t="n">
        <v>12.42666666666667</v>
      </c>
      <c r="N36" s="6">
        <f>J36/M36-1</f>
        <v/>
      </c>
      <c r="O36" s="6">
        <f>J36/K36-1</f>
        <v/>
      </c>
      <c r="P36" s="2" t="inlineStr">
        <is>
          <t>OK (≤ últ. compra)</t>
        </is>
      </c>
      <c r="Q36" s="2" t="inlineStr"/>
    </row>
    <row r="37">
      <c r="A37" s="2" t="n">
        <v>657281</v>
      </c>
      <c r="B37" s="2" t="inlineStr"/>
      <c r="C37" s="3" t="inlineStr"/>
      <c r="D37" s="2" t="inlineStr">
        <is>
          <t>GLIBENCLAMIDA 5MG CX 30 COMP</t>
        </is>
      </c>
      <c r="E37" s="4" t="n">
        <v>1</v>
      </c>
      <c r="F37" s="4" t="n">
        <v>8</v>
      </c>
      <c r="G37" s="4" t="n">
        <v>8</v>
      </c>
      <c r="H37" s="5" t="n">
        <v>1.47</v>
      </c>
      <c r="I37" s="5">
        <f>G37*H37</f>
        <v/>
      </c>
      <c r="J37" s="5">
        <f>H37/E37</f>
        <v/>
      </c>
      <c r="K37" s="5" t="n">
        <v>1.47</v>
      </c>
      <c r="L37" s="5" t="n">
        <v>1.47</v>
      </c>
      <c r="M37" s="5" t="n">
        <v>1.47</v>
      </c>
      <c r="N37" s="6">
        <f>J37/M37-1</f>
        <v/>
      </c>
      <c r="O37" s="6">
        <f>J37/K37-1</f>
        <v/>
      </c>
      <c r="P37" s="2" t="inlineStr">
        <is>
          <t>OK (≤ últ. compra)</t>
        </is>
      </c>
      <c r="Q37" s="2" t="inlineStr"/>
    </row>
    <row r="38">
      <c r="A38" s="2" t="n">
        <v>601411</v>
      </c>
      <c r="B38" s="2" t="inlineStr"/>
      <c r="C38" s="3" t="inlineStr">
        <is>
          <t>7899620911833</t>
        </is>
      </c>
      <c r="D38" s="2" t="inlineStr">
        <is>
          <t>GLICENIX (N.S.) 1,37G CX 6 GLICEROL PED</t>
        </is>
      </c>
      <c r="E38" s="4" t="n">
        <v>1</v>
      </c>
      <c r="F38" s="4" t="n">
        <v>5</v>
      </c>
      <c r="G38" s="4" t="n">
        <v>5</v>
      </c>
      <c r="H38" s="5" t="n">
        <v>5.53</v>
      </c>
      <c r="I38" s="5">
        <f>G38*H38</f>
        <v/>
      </c>
      <c r="J38" s="5">
        <f>H38/E38</f>
        <v/>
      </c>
      <c r="K38" s="5" t="n">
        <v>5.68</v>
      </c>
      <c r="L38" s="5" t="n">
        <v>5.68</v>
      </c>
      <c r="M38" s="5" t="n">
        <v>5.68</v>
      </c>
      <c r="N38" s="6">
        <f>J38/M38-1</f>
        <v/>
      </c>
      <c r="O38" s="6">
        <f>J38/K38-1</f>
        <v/>
      </c>
      <c r="P38" s="2" t="inlineStr">
        <is>
          <t>OK (≤ últ. compra)</t>
        </is>
      </c>
      <c r="Q38" s="2" t="inlineStr"/>
    </row>
    <row r="39">
      <c r="A39" s="2" t="n">
        <v>570021</v>
      </c>
      <c r="B39" s="2" t="inlineStr"/>
      <c r="C39" s="3" t="inlineStr"/>
      <c r="D39" s="2" t="inlineStr">
        <is>
          <t>GUACOFLUS XAROPE 100ML</t>
        </is>
      </c>
      <c r="E39" s="4" t="n">
        <v>1</v>
      </c>
      <c r="F39" s="4" t="n">
        <v>3</v>
      </c>
      <c r="G39" s="4" t="n">
        <v>3</v>
      </c>
      <c r="H39" s="5" t="n">
        <v>5.41</v>
      </c>
      <c r="I39" s="5">
        <f>G39*H39</f>
        <v/>
      </c>
      <c r="J39" s="5">
        <f>H39/E39</f>
        <v/>
      </c>
      <c r="K39" s="5" t="n">
        <v>5.66</v>
      </c>
      <c r="L39" s="5" t="n">
        <v>5.66</v>
      </c>
      <c r="M39" s="5" t="n">
        <v>5.66</v>
      </c>
      <c r="N39" s="6">
        <f>J39/M39-1</f>
        <v/>
      </c>
      <c r="O39" s="6">
        <f>J39/K39-1</f>
        <v/>
      </c>
      <c r="P39" s="2" t="inlineStr">
        <is>
          <t>OK (≤ últ. compra)</t>
        </is>
      </c>
      <c r="Q39" s="2" t="inlineStr"/>
    </row>
    <row r="40">
      <c r="A40" s="2" t="n">
        <v>531481</v>
      </c>
      <c r="B40" s="2" t="inlineStr"/>
      <c r="C40" s="3" t="inlineStr">
        <is>
          <t>7894164005420</t>
        </is>
      </c>
      <c r="D40" s="2" t="inlineStr">
        <is>
          <t>HIDRALI 500ML LARANJA AIRELA</t>
        </is>
      </c>
      <c r="E40" s="4" t="n">
        <v>1</v>
      </c>
      <c r="F40" s="4" t="n">
        <v>7</v>
      </c>
      <c r="G40" s="4" t="n">
        <v>7</v>
      </c>
      <c r="H40" s="5" t="n">
        <v>7.99</v>
      </c>
      <c r="I40" s="5">
        <f>G40*H40</f>
        <v/>
      </c>
      <c r="J40" s="5">
        <f>H40/E40</f>
        <v/>
      </c>
      <c r="K40" s="5" t="n">
        <v>8.300000000000001</v>
      </c>
      <c r="L40" s="5" t="n">
        <v>7.97</v>
      </c>
      <c r="M40" s="5" t="n">
        <v>8.19</v>
      </c>
      <c r="N40" s="6">
        <f>J40/M40-1</f>
        <v/>
      </c>
      <c r="O40" s="6">
        <f>J40/K40-1</f>
        <v/>
      </c>
      <c r="P40" s="2" t="inlineStr">
        <is>
          <t>OK (≤ últ. compra)</t>
        </is>
      </c>
      <c r="Q40" s="2" t="inlineStr"/>
    </row>
    <row r="41">
      <c r="A41" s="2" t="n">
        <v>306601</v>
      </c>
      <c r="B41" s="2" t="inlineStr"/>
      <c r="C41" s="3" t="inlineStr">
        <is>
          <t>7894916141000</t>
        </is>
      </c>
      <c r="D41" s="2" t="inlineStr">
        <is>
          <t>ITRACONAZOL 100MG CX 15 CAP</t>
        </is>
      </c>
      <c r="E41" s="4" t="n">
        <v>1</v>
      </c>
      <c r="F41" s="4" t="n">
        <v>9</v>
      </c>
      <c r="G41" s="4" t="n">
        <v>9</v>
      </c>
      <c r="H41" s="5" t="n">
        <v>18.38</v>
      </c>
      <c r="I41" s="5">
        <f>G41*H41</f>
        <v/>
      </c>
      <c r="J41" s="5">
        <f>H41/E41</f>
        <v/>
      </c>
      <c r="K41" s="5" t="n">
        <v>17.49</v>
      </c>
      <c r="L41" s="5" t="n">
        <v>17.49</v>
      </c>
      <c r="M41" s="5" t="n">
        <v>17.49</v>
      </c>
      <c r="N41" s="6">
        <f>J41/M41-1</f>
        <v/>
      </c>
      <c r="O41" s="6">
        <f>J41/K41-1</f>
        <v/>
      </c>
      <c r="P41" s="2" t="inlineStr">
        <is>
          <t>REAJUSTE +5.1% vs média (≤6%)</t>
        </is>
      </c>
      <c r="Q41" s="2" t="inlineStr"/>
    </row>
    <row r="42">
      <c r="A42" s="2" t="n">
        <v>584741</v>
      </c>
      <c r="B42" s="2" t="inlineStr"/>
      <c r="C42" s="3" t="inlineStr"/>
      <c r="D42" s="2" t="inlineStr">
        <is>
          <t>LIMONADA PURGATIVA 175MG 200ML SUS</t>
        </is>
      </c>
      <c r="E42" s="4" t="n">
        <v>1</v>
      </c>
      <c r="F42" s="4" t="n">
        <v>1</v>
      </c>
      <c r="G42" s="4" t="n">
        <v>1</v>
      </c>
      <c r="H42" s="5" t="n">
        <v>8.5</v>
      </c>
      <c r="I42" s="5">
        <f>G42*H42</f>
        <v/>
      </c>
      <c r="J42" s="5">
        <f>H42/E42</f>
        <v/>
      </c>
      <c r="K42" s="5" t="n">
        <v>8.76</v>
      </c>
      <c r="L42" s="5" t="n">
        <v>8.06</v>
      </c>
      <c r="M42" s="5" t="n">
        <v>8.526666666666666</v>
      </c>
      <c r="N42" s="6">
        <f>J42/M42-1</f>
        <v/>
      </c>
      <c r="O42" s="6">
        <f>J42/K42-1</f>
        <v/>
      </c>
      <c r="P42" s="2" t="inlineStr">
        <is>
          <t>OK (≤ últ. compra)</t>
        </is>
      </c>
      <c r="Q42" s="2" t="inlineStr"/>
    </row>
    <row r="43">
      <c r="A43" s="2" t="n">
        <v>616271</v>
      </c>
      <c r="B43" s="2" t="inlineStr"/>
      <c r="C43" s="3" t="inlineStr">
        <is>
          <t>7894164010301</t>
        </is>
      </c>
      <c r="D43" s="2" t="inlineStr">
        <is>
          <t>LORATADINA 1MG/ML 100ML XPE UN</t>
        </is>
      </c>
      <c r="E43" s="4" t="n">
        <v>1</v>
      </c>
      <c r="F43" s="4" t="n">
        <v>4</v>
      </c>
      <c r="G43" s="4" t="n">
        <v>4</v>
      </c>
      <c r="H43" s="5" t="n">
        <v>5.66</v>
      </c>
      <c r="I43" s="5">
        <f>G43*H43</f>
        <v/>
      </c>
      <c r="J43" s="5">
        <f>H43/E43</f>
        <v/>
      </c>
      <c r="K43" s="5" t="n">
        <v>5.65</v>
      </c>
      <c r="L43" s="5" t="n">
        <v>5.65</v>
      </c>
      <c r="M43" s="5" t="n">
        <v>5.650000000000001</v>
      </c>
      <c r="N43" s="6">
        <f>J43/M43-1</f>
        <v/>
      </c>
      <c r="O43" s="6">
        <f>J43/K43-1</f>
        <v/>
      </c>
      <c r="P43" s="2" t="inlineStr">
        <is>
          <t>REAJUSTE +0.2% vs últ. (≤4%)</t>
        </is>
      </c>
      <c r="Q43" s="2" t="inlineStr"/>
    </row>
    <row r="44">
      <c r="A44" s="2" t="n">
        <v>612321</v>
      </c>
      <c r="B44" s="2" t="inlineStr"/>
      <c r="C44" s="3" t="inlineStr">
        <is>
          <t>7894164005734</t>
        </is>
      </c>
      <c r="D44" s="2" t="inlineStr">
        <is>
          <t>MAGMILK HORTELA 80MG/ML 100ML (HIDROXIDO</t>
        </is>
      </c>
      <c r="E44" s="4" t="n">
        <v>1</v>
      </c>
      <c r="F44" s="4" t="n">
        <v>3</v>
      </c>
      <c r="G44" s="4" t="n">
        <v>3</v>
      </c>
      <c r="H44" s="5" t="n">
        <v>3.99</v>
      </c>
      <c r="I44" s="5">
        <f>G44*H44</f>
        <v/>
      </c>
      <c r="J44" s="5">
        <f>H44/E44</f>
        <v/>
      </c>
      <c r="K44" s="5" t="n">
        <v>4.14</v>
      </c>
      <c r="L44" s="5" t="n">
        <v>4.14</v>
      </c>
      <c r="M44" s="5" t="n">
        <v>4.14</v>
      </c>
      <c r="N44" s="6">
        <f>J44/M44-1</f>
        <v/>
      </c>
      <c r="O44" s="6">
        <f>J44/K44-1</f>
        <v/>
      </c>
      <c r="P44" s="2" t="inlineStr">
        <is>
          <t>OK (≤ últ. compra)</t>
        </is>
      </c>
      <c r="Q44" s="2" t="inlineStr"/>
    </row>
    <row r="45">
      <c r="A45" s="2" t="n">
        <v>542681</v>
      </c>
      <c r="B45" s="2" t="inlineStr"/>
      <c r="C45" s="3" t="inlineStr">
        <is>
          <t>7894164005727</t>
        </is>
      </c>
      <c r="D45" s="2" t="inlineStr">
        <is>
          <t>MAGMILK TRADICIONAL 80MG/ML 100ML(ARL)</t>
        </is>
      </c>
      <c r="E45" s="4" t="n">
        <v>1</v>
      </c>
      <c r="F45" s="4" t="n">
        <v>11</v>
      </c>
      <c r="G45" s="4" t="n">
        <v>11</v>
      </c>
      <c r="H45" s="5" t="n">
        <v>3.99</v>
      </c>
      <c r="I45" s="5">
        <f>G45*H45</f>
        <v/>
      </c>
      <c r="J45" s="5">
        <f>H45/E45</f>
        <v/>
      </c>
      <c r="K45" s="5" t="n">
        <v>4.71</v>
      </c>
      <c r="L45" s="5" t="n">
        <v>4.71</v>
      </c>
      <c r="M45" s="5" t="n">
        <v>4.71</v>
      </c>
      <c r="N45" s="6">
        <f>J45/M45-1</f>
        <v/>
      </c>
      <c r="O45" s="6">
        <f>J45/K45-1</f>
        <v/>
      </c>
      <c r="P45" s="2" t="inlineStr">
        <is>
          <t>OK (≤ últ. compra)</t>
        </is>
      </c>
      <c r="Q45" s="2" t="inlineStr"/>
    </row>
    <row r="46">
      <c r="A46" s="2" t="n">
        <v>339301</v>
      </c>
      <c r="B46" s="2" t="inlineStr"/>
      <c r="C46" s="3" t="inlineStr"/>
      <c r="D46" s="2" t="inlineStr">
        <is>
          <t>MELOXICAM 15MG CX 10 COMP</t>
        </is>
      </c>
      <c r="E46" s="4" t="n">
        <v>1</v>
      </c>
      <c r="F46" s="4" t="n">
        <v>1</v>
      </c>
      <c r="G46" s="4" t="n">
        <v>1</v>
      </c>
      <c r="H46" s="5" t="n">
        <v>2.05</v>
      </c>
      <c r="I46" s="5">
        <f>G46*H46</f>
        <v/>
      </c>
      <c r="J46" s="5">
        <f>H46/E46</f>
        <v/>
      </c>
      <c r="K46" s="5" t="n">
        <v>2.18</v>
      </c>
      <c r="L46" s="5" t="n">
        <v>1.99</v>
      </c>
      <c r="M46" s="5" t="n">
        <v>2.053333333333333</v>
      </c>
      <c r="N46" s="6">
        <f>J46/M46-1</f>
        <v/>
      </c>
      <c r="O46" s="6">
        <f>J46/K46-1</f>
        <v/>
      </c>
      <c r="P46" s="2" t="inlineStr">
        <is>
          <t>OK (≤ últ. compra)</t>
        </is>
      </c>
      <c r="Q46" s="2" t="inlineStr"/>
    </row>
    <row r="47">
      <c r="A47" s="2" t="n">
        <v>461901</v>
      </c>
      <c r="B47" s="2" t="inlineStr"/>
      <c r="C47" s="3" t="inlineStr">
        <is>
          <t>7897917000741</t>
        </is>
      </c>
      <c r="D47" s="2" t="inlineStr">
        <is>
          <t>MICOSBEL 50MG/ML LOCAO FR 30ML</t>
        </is>
      </c>
      <c r="E47" s="4" t="n">
        <v>1</v>
      </c>
      <c r="F47" s="4" t="n">
        <v>1</v>
      </c>
      <c r="G47" s="4" t="n">
        <v>1</v>
      </c>
      <c r="H47" s="5" t="n">
        <v>8.85</v>
      </c>
      <c r="I47" s="5">
        <f>G47*H47</f>
        <v/>
      </c>
      <c r="J47" s="5">
        <f>H47/E47</f>
        <v/>
      </c>
      <c r="K47" s="5" t="n">
        <v>8.960000000000001</v>
      </c>
      <c r="L47" s="5" t="n">
        <v>8.960000000000001</v>
      </c>
      <c r="M47" s="5" t="n">
        <v>8.960000000000001</v>
      </c>
      <c r="N47" s="6">
        <f>J47/M47-1</f>
        <v/>
      </c>
      <c r="O47" s="6">
        <f>J47/K47-1</f>
        <v/>
      </c>
      <c r="P47" s="2" t="inlineStr">
        <is>
          <t>OK (≤ últ. compra)</t>
        </is>
      </c>
      <c r="Q47" s="2" t="inlineStr"/>
    </row>
    <row r="48">
      <c r="A48" s="2" t="n">
        <v>360361</v>
      </c>
      <c r="B48" s="2" t="inlineStr"/>
      <c r="C48" s="3" t="inlineStr"/>
      <c r="D48" s="2" t="inlineStr">
        <is>
          <t>NIFEDIPRESS 20MG CX 30 COMP RETARD</t>
        </is>
      </c>
      <c r="E48" s="4" t="n">
        <v>1</v>
      </c>
      <c r="F48" s="4" t="n">
        <v>9</v>
      </c>
      <c r="G48" s="4" t="n">
        <v>9</v>
      </c>
      <c r="H48" s="5" t="n">
        <v>6.18</v>
      </c>
      <c r="I48" s="5">
        <f>G48*H48</f>
        <v/>
      </c>
      <c r="J48" s="5">
        <f>H48/E48</f>
        <v/>
      </c>
      <c r="K48" s="5" t="n">
        <v>6.22</v>
      </c>
      <c r="L48" s="5" t="n">
        <v>6.22</v>
      </c>
      <c r="M48" s="5" t="n">
        <v>6.22</v>
      </c>
      <c r="N48" s="6">
        <f>J48/M48-1</f>
        <v/>
      </c>
      <c r="O48" s="6">
        <f>J48/K48-1</f>
        <v/>
      </c>
      <c r="P48" s="2" t="inlineStr">
        <is>
          <t>OK (≤ últ. compra)</t>
        </is>
      </c>
      <c r="Q48" s="2" t="inlineStr"/>
    </row>
    <row r="49">
      <c r="A49" s="2" t="n">
        <v>220241</v>
      </c>
      <c r="B49" s="2" t="inlineStr"/>
      <c r="C49" s="3" t="inlineStr"/>
      <c r="D49" s="2" t="inlineStr">
        <is>
          <t>PEPSOGEL SUSP FR 240ML</t>
        </is>
      </c>
      <c r="E49" s="4" t="n">
        <v>1</v>
      </c>
      <c r="F49" s="4" t="n">
        <v>15</v>
      </c>
      <c r="G49" s="4" t="n">
        <v>15</v>
      </c>
      <c r="H49" s="5" t="n">
        <v>11.69</v>
      </c>
      <c r="I49" s="5">
        <f>G49*H49</f>
        <v/>
      </c>
      <c r="J49" s="5">
        <f>H49/E49</f>
        <v/>
      </c>
      <c r="K49" s="5" t="n">
        <v>11.66</v>
      </c>
      <c r="L49" s="5" t="n">
        <v>11.38</v>
      </c>
      <c r="M49" s="5" t="n">
        <v>11.38</v>
      </c>
      <c r="N49" s="6">
        <f>J49/M49-1</f>
        <v/>
      </c>
      <c r="O49" s="6">
        <f>J49/K49-1</f>
        <v/>
      </c>
      <c r="P49" s="2" t="inlineStr">
        <is>
          <t>REAJUSTE +0.3% vs últ. (≤4%)</t>
        </is>
      </c>
      <c r="Q49" s="2" t="inlineStr"/>
    </row>
    <row r="50">
      <c r="A50" s="2" t="n">
        <v>404881</v>
      </c>
      <c r="B50" s="2" t="inlineStr"/>
      <c r="C50" s="3" t="inlineStr">
        <is>
          <t>7898216362189</t>
        </is>
      </c>
      <c r="D50" s="2" t="inlineStr">
        <is>
          <t>PIROXICAM 20MG CX 10 CAP</t>
        </is>
      </c>
      <c r="E50" s="4" t="n">
        <v>1</v>
      </c>
      <c r="F50" s="4" t="n">
        <v>6</v>
      </c>
      <c r="G50" s="4" t="n">
        <v>6</v>
      </c>
      <c r="H50" s="5" t="n">
        <v>4.22</v>
      </c>
      <c r="I50" s="5">
        <f>G50*H50</f>
        <v/>
      </c>
      <c r="J50" s="5">
        <f>H50/E50</f>
        <v/>
      </c>
      <c r="K50" s="5" t="n">
        <v>4.15</v>
      </c>
      <c r="L50" s="5" t="n">
        <v>4.15</v>
      </c>
      <c r="M50" s="5" t="n">
        <v>4.15</v>
      </c>
      <c r="N50" s="6">
        <f>J50/M50-1</f>
        <v/>
      </c>
      <c r="O50" s="6">
        <f>J50/K50-1</f>
        <v/>
      </c>
      <c r="P50" s="2" t="inlineStr">
        <is>
          <t>REAJUSTE +1.7% vs últ. (≤4%)</t>
        </is>
      </c>
      <c r="Q50" s="2" t="inlineStr"/>
    </row>
    <row r="51">
      <c r="A51" s="2" t="n">
        <v>408801</v>
      </c>
      <c r="B51" s="2" t="inlineStr"/>
      <c r="C51" s="3" t="inlineStr">
        <is>
          <t>7894916141123</t>
        </is>
      </c>
      <c r="D51" s="2" t="inlineStr">
        <is>
          <t>PREDNISONA 20MG CX 10 COMP</t>
        </is>
      </c>
      <c r="E51" s="4" t="n">
        <v>1</v>
      </c>
      <c r="F51" s="4" t="n">
        <v>1</v>
      </c>
      <c r="G51" s="4" t="n">
        <v>1</v>
      </c>
      <c r="H51" s="5" t="n">
        <v>1.36</v>
      </c>
      <c r="I51" s="5">
        <f>G51*H51</f>
        <v/>
      </c>
      <c r="J51" s="5">
        <f>H51/E51</f>
        <v/>
      </c>
      <c r="K51" s="5" t="n">
        <v>5.04</v>
      </c>
      <c r="L51" s="5" t="n">
        <v>5.04</v>
      </c>
      <c r="M51" s="5" t="n">
        <v>5.04</v>
      </c>
      <c r="N51" s="6">
        <f>J51/M51-1</f>
        <v/>
      </c>
      <c r="O51" s="6">
        <f>J51/K51-1</f>
        <v/>
      </c>
      <c r="P51" s="2" t="inlineStr">
        <is>
          <t>OK (≤ últ. compra)</t>
        </is>
      </c>
      <c r="Q51" s="2" t="inlineStr">
        <is>
          <t>conferir emb.</t>
        </is>
      </c>
    </row>
    <row r="52">
      <c r="A52" s="2" t="n">
        <v>483381</v>
      </c>
      <c r="B52" s="2" t="inlineStr"/>
      <c r="C52" s="3" t="inlineStr">
        <is>
          <t>7899620912144</t>
        </is>
      </c>
      <c r="D52" s="2" t="inlineStr">
        <is>
          <t>PREDNISONA 20MG CX 20 COMP</t>
        </is>
      </c>
      <c r="E52" s="4" t="n">
        <v>1</v>
      </c>
      <c r="F52" s="4" t="n">
        <v>1</v>
      </c>
      <c r="G52" s="4" t="n">
        <v>1</v>
      </c>
      <c r="H52" s="5" t="n">
        <v>6.71</v>
      </c>
      <c r="I52" s="5">
        <f>G52*H52</f>
        <v/>
      </c>
      <c r="J52" s="5">
        <f>H52/E52</f>
        <v/>
      </c>
      <c r="K52" s="5" t="n">
        <v>6.97</v>
      </c>
      <c r="L52" s="5" t="n">
        <v>6.69</v>
      </c>
      <c r="M52" s="5" t="n">
        <v>6.783333333333334</v>
      </c>
      <c r="N52" s="6">
        <f>J52/M52-1</f>
        <v/>
      </c>
      <c r="O52" s="6">
        <f>J52/K52-1</f>
        <v/>
      </c>
      <c r="P52" s="2" t="inlineStr">
        <is>
          <t>OK (≤ últ. compra)</t>
        </is>
      </c>
      <c r="Q52" s="2" t="inlineStr"/>
    </row>
    <row r="53">
      <c r="A53" s="2" t="n">
        <v>414621</v>
      </c>
      <c r="B53" s="2" t="inlineStr"/>
      <c r="C53" s="3" t="inlineStr">
        <is>
          <t>7895296210324</t>
        </is>
      </c>
      <c r="D53" s="2" t="inlineStr">
        <is>
          <t>PROPIONATO DE CLOBETASOL 0,5MG/G CREME DERM BG 30G</t>
        </is>
      </c>
      <c r="E53" s="4" t="n">
        <v>1</v>
      </c>
      <c r="F53" s="4" t="n">
        <v>7</v>
      </c>
      <c r="G53" s="4" t="n">
        <v>7</v>
      </c>
      <c r="H53" s="5" t="n">
        <v>6.41</v>
      </c>
      <c r="I53" s="5">
        <f>G53*H53</f>
        <v/>
      </c>
      <c r="J53" s="5">
        <f>H53/E53</f>
        <v/>
      </c>
      <c r="K53" s="5" t="n">
        <v>6.19</v>
      </c>
      <c r="L53" s="5" t="n">
        <v>6.19</v>
      </c>
      <c r="M53" s="5" t="n">
        <v>6.19</v>
      </c>
      <c r="N53" s="6">
        <f>J53/M53-1</f>
        <v/>
      </c>
      <c r="O53" s="6">
        <f>J53/K53-1</f>
        <v/>
      </c>
      <c r="P53" s="2" t="inlineStr">
        <is>
          <t>REAJUSTE +3.6% vs últ. (≤4%)</t>
        </is>
      </c>
      <c r="Q53" s="2" t="inlineStr"/>
    </row>
    <row r="54">
      <c r="A54" s="2" t="n">
        <v>667251</v>
      </c>
      <c r="B54" s="2" t="inlineStr"/>
      <c r="C54" s="3" t="inlineStr">
        <is>
          <t>7898216366088</t>
        </is>
      </c>
      <c r="D54" s="2" t="inlineStr">
        <is>
          <t>ROSUVASTATINA CALCICA 5MG CX 30 COMP REV</t>
        </is>
      </c>
      <c r="E54" s="4" t="n">
        <v>1</v>
      </c>
      <c r="F54" s="4" t="n">
        <v>2</v>
      </c>
      <c r="G54" s="4" t="n">
        <v>2</v>
      </c>
      <c r="H54" s="5" t="n">
        <v>5.86</v>
      </c>
      <c r="I54" s="5">
        <f>G54*H54</f>
        <v/>
      </c>
      <c r="J54" s="5">
        <f>H54/E54</f>
        <v/>
      </c>
      <c r="K54" s="5" t="n">
        <v>5.9</v>
      </c>
      <c r="L54" s="5" t="n">
        <v>5.9</v>
      </c>
      <c r="M54" s="5" t="n">
        <v>5.900000000000001</v>
      </c>
      <c r="N54" s="6">
        <f>J54/M54-1</f>
        <v/>
      </c>
      <c r="O54" s="6">
        <f>J54/K54-1</f>
        <v/>
      </c>
      <c r="P54" s="2" t="inlineStr">
        <is>
          <t>OK (≤ últ. compra)</t>
        </is>
      </c>
      <c r="Q54" s="2" t="inlineStr"/>
    </row>
    <row r="55">
      <c r="A55" s="2" t="n">
        <v>431481</v>
      </c>
      <c r="B55" s="2" t="inlineStr"/>
      <c r="C55" s="3" t="inlineStr">
        <is>
          <t>7899620911857</t>
        </is>
      </c>
      <c r="D55" s="2" t="inlineStr">
        <is>
          <t>SECNIDAZOL 1000MG CX 2 COMP</t>
        </is>
      </c>
      <c r="E55" s="4" t="n">
        <v>1</v>
      </c>
      <c r="F55" s="4" t="n">
        <v>54</v>
      </c>
      <c r="G55" s="4" t="n">
        <v>54</v>
      </c>
      <c r="H55" s="5" t="n">
        <v>2.55</v>
      </c>
      <c r="I55" s="5">
        <f>G55*H55</f>
        <v/>
      </c>
      <c r="J55" s="5">
        <f>H55/E55</f>
        <v/>
      </c>
      <c r="K55" s="5" t="n">
        <v>2.65</v>
      </c>
      <c r="L55" s="5" t="n">
        <v>2.16</v>
      </c>
      <c r="M55" s="5" t="n">
        <v>2.466666666666667</v>
      </c>
      <c r="N55" s="6">
        <f>J55/M55-1</f>
        <v/>
      </c>
      <c r="O55" s="6">
        <f>J55/K55-1</f>
        <v/>
      </c>
      <c r="P55" s="2" t="inlineStr">
        <is>
          <t>OK (≤ últ. compra)</t>
        </is>
      </c>
      <c r="Q55" s="2" t="inlineStr"/>
    </row>
    <row r="56">
      <c r="A56" s="2" t="n">
        <v>538261</v>
      </c>
      <c r="B56" s="2" t="inlineStr"/>
      <c r="C56" s="3" t="inlineStr">
        <is>
          <t>7894164005611</t>
        </is>
      </c>
      <c r="D56" s="2" t="inlineStr">
        <is>
          <t>SILUSGEL SUS 100ML</t>
        </is>
      </c>
      <c r="E56" s="4" t="n">
        <v>1</v>
      </c>
      <c r="F56" s="4" t="n">
        <v>4</v>
      </c>
      <c r="G56" s="4" t="n">
        <v>4</v>
      </c>
      <c r="H56" s="5" t="n">
        <v>7.62</v>
      </c>
      <c r="I56" s="5">
        <f>G56*H56</f>
        <v/>
      </c>
      <c r="J56" s="5">
        <f>H56/E56</f>
        <v/>
      </c>
      <c r="K56" s="5" t="n">
        <v>7.68</v>
      </c>
      <c r="L56" s="5" t="n">
        <v>7.63</v>
      </c>
      <c r="M56" s="5" t="n">
        <v>7.663333333333333</v>
      </c>
      <c r="N56" s="6">
        <f>J56/M56-1</f>
        <v/>
      </c>
      <c r="O56" s="6">
        <f>J56/K56-1</f>
        <v/>
      </c>
      <c r="P56" s="2" t="inlineStr">
        <is>
          <t>OK (≤ últ. compra)</t>
        </is>
      </c>
      <c r="Q56" s="2" t="inlineStr"/>
    </row>
    <row r="57">
      <c r="A57" s="2" t="n">
        <v>436201</v>
      </c>
      <c r="B57" s="2" t="inlineStr"/>
      <c r="C57" s="3" t="inlineStr">
        <is>
          <t>7899620911079</t>
        </is>
      </c>
      <c r="D57" s="2" t="inlineStr">
        <is>
          <t>SINVASTATINA 40MG CX 30 COMP REV</t>
        </is>
      </c>
      <c r="E57" s="4" t="n">
        <v>1</v>
      </c>
      <c r="F57" s="4" t="n">
        <v>3</v>
      </c>
      <c r="G57" s="4" t="n">
        <v>3</v>
      </c>
      <c r="H57" s="5" t="n">
        <v>5.53</v>
      </c>
      <c r="I57" s="5">
        <f>G57*H57</f>
        <v/>
      </c>
      <c r="J57" s="5">
        <f>H57/E57</f>
        <v/>
      </c>
      <c r="K57" s="5" t="n">
        <v>5.79</v>
      </c>
      <c r="L57" s="5" t="n">
        <v>5.79</v>
      </c>
      <c r="M57" s="5" t="n">
        <v>5.79</v>
      </c>
      <c r="N57" s="6">
        <f>J57/M57-1</f>
        <v/>
      </c>
      <c r="O57" s="6">
        <f>J57/K57-1</f>
        <v/>
      </c>
      <c r="P57" s="2" t="inlineStr">
        <is>
          <t>OK (≤ últ. compra)</t>
        </is>
      </c>
      <c r="Q57" s="2" t="inlineStr"/>
    </row>
    <row r="58">
      <c r="A58" s="2" t="n">
        <v>82461</v>
      </c>
      <c r="B58" s="2" t="inlineStr"/>
      <c r="C58" s="3" t="inlineStr">
        <is>
          <t>7893454100685</t>
        </is>
      </c>
      <c r="D58" s="2" t="inlineStr">
        <is>
          <t>TANDENE 125+50+300+30MG CX 30 COMP</t>
        </is>
      </c>
      <c r="E58" s="4" t="n">
        <v>1</v>
      </c>
      <c r="F58" s="4" t="n">
        <v>6</v>
      </c>
      <c r="G58" s="4" t="n">
        <v>6</v>
      </c>
      <c r="H58" s="5" t="n">
        <v>7.98</v>
      </c>
      <c r="I58" s="5">
        <f>G58*H58</f>
        <v/>
      </c>
      <c r="J58" s="5">
        <f>H58/E58</f>
        <v/>
      </c>
      <c r="K58" s="5" t="n">
        <v>7.95</v>
      </c>
      <c r="L58" s="5" t="n">
        <v>7.95</v>
      </c>
      <c r="M58" s="5" t="n">
        <v>7.95</v>
      </c>
      <c r="N58" s="6">
        <f>J58/M58-1</f>
        <v/>
      </c>
      <c r="O58" s="6">
        <f>J58/K58-1</f>
        <v/>
      </c>
      <c r="P58" s="2" t="inlineStr">
        <is>
          <t>REAJUSTE +0.4% vs últ. (≤4%)</t>
        </is>
      </c>
      <c r="Q58" s="2" t="inlineStr"/>
    </row>
    <row r="59">
      <c r="A59" s="2" t="n">
        <v>394941</v>
      </c>
      <c r="B59" s="2" t="inlineStr"/>
      <c r="C59" s="3" t="inlineStr"/>
      <c r="D59" s="2" t="inlineStr">
        <is>
          <t>TYFLEN (N.S.) 100MG/ML SUS FR 15ML BEBE</t>
        </is>
      </c>
      <c r="E59" s="4" t="n">
        <v>1</v>
      </c>
      <c r="F59" s="4" t="n">
        <v>4</v>
      </c>
      <c r="G59" s="4" t="n">
        <v>4</v>
      </c>
      <c r="H59" s="5" t="n">
        <v>4.39</v>
      </c>
      <c r="I59" s="5">
        <f>G59*H59</f>
        <v/>
      </c>
      <c r="J59" s="5">
        <f>H59/E59</f>
        <v/>
      </c>
      <c r="K59" s="5" t="n">
        <v>4.2</v>
      </c>
      <c r="L59" s="5" t="n">
        <v>4.2</v>
      </c>
      <c r="M59" s="5" t="n">
        <v>4.2</v>
      </c>
      <c r="N59" s="6">
        <f>J59/M59-1</f>
        <v/>
      </c>
      <c r="O59" s="6">
        <f>J59/K59-1</f>
        <v/>
      </c>
      <c r="P59" s="2" t="inlineStr">
        <is>
          <t>REAJUSTE +4.5% vs média (≤6%)</t>
        </is>
      </c>
      <c r="Q59" s="2" t="inlineStr"/>
    </row>
    <row r="60">
      <c r="D60" s="7" t="inlineStr">
        <is>
          <t>TOTAL</t>
        </is>
      </c>
      <c r="I60" s="8">
        <f>SUM(I2:I59)</f>
        <v/>
      </c>
    </row>
    <row r="62">
      <c r="A62" s="9" t="inlineStr">
        <is>
          <t>Pedido FINAL BRASFARMA — cotação 08/09/2026 (fechada 09/09). Somente itens aprovados: teto de reajuste de 4% sobre a última compra OU 6% sobre a média histórica (3/6/12m). 'Qtd pedido' na embalagem do fornecedor.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2026-09-09T15:37:05Z</dcterms:created>
  <dcterms:modified xsi:type="dcterms:W3CDTF">2026-09-09T15:37:05Z</dcterms:modified>
</cp:coreProperties>
</file>