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46" customWidth="1" min="4" max="4"/>
    <col width="8" customWidth="1" min="5" max="5"/>
    <col width="8" customWidth="1" min="6" max="6"/>
    <col width="9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26" customWidth="1" min="17" max="17"/>
  </cols>
  <sheetData>
    <row r="1" ht="26" customHeight="1">
      <c r="A1" s="1" t="inlineStr">
        <is>
          <t>Cód. interno</t>
        </is>
      </c>
      <c r="B1" s="1" t="inlineStr">
        <is>
          <t>Cód. forn.</t>
        </is>
      </c>
      <c r="C1" s="1" t="inlineStr">
        <is>
          <t>EAN</t>
        </is>
      </c>
      <c r="D1" s="1" t="inlineStr">
        <is>
          <t>Produto</t>
        </is>
      </c>
      <c r="E1" s="1" t="inlineStr">
        <is>
          <t>Un/Emb</t>
        </is>
      </c>
      <c r="F1" s="1" t="inlineStr">
        <is>
          <t>Caixas</t>
        </is>
      </c>
      <c r="G1" s="1" t="inlineStr">
        <is>
          <t>Qtd pedido</t>
        </is>
      </c>
      <c r="H1" s="1" t="inlineStr">
        <is>
          <t>Preço (emb.)</t>
        </is>
      </c>
      <c r="I1" s="1" t="inlineStr">
        <is>
          <t>Total</t>
        </is>
      </c>
      <c r="J1" s="1" t="inlineStr">
        <is>
          <t>Preço un. eq.</t>
        </is>
      </c>
      <c r="K1" s="1" t="inlineStr">
        <is>
          <t>Últ. compra</t>
        </is>
      </c>
      <c r="L1" s="1" t="inlineStr">
        <is>
          <t>Menor hist.</t>
        </is>
      </c>
      <c r="M1" s="1" t="inlineStr">
        <is>
          <t>Média hist.</t>
        </is>
      </c>
      <c r="N1" s="1" t="inlineStr">
        <is>
          <t>% vs média hist.</t>
        </is>
      </c>
      <c r="O1" s="1" t="inlineStr">
        <is>
          <t>% vs últ. compra</t>
        </is>
      </c>
      <c r="P1" s="1" t="inlineStr">
        <is>
          <t>Status</t>
        </is>
      </c>
      <c r="Q1" s="1" t="inlineStr">
        <is>
          <t>OBS</t>
        </is>
      </c>
    </row>
    <row r="2">
      <c r="A2" s="2" t="n">
        <v>597651</v>
      </c>
      <c r="B2" s="2" t="inlineStr"/>
      <c r="C2" s="3" t="inlineStr">
        <is>
          <t>7896311763269</t>
        </is>
      </c>
      <c r="D2" s="2" t="inlineStr">
        <is>
          <t>AMINO BCAA INTEGRALMEDICA 90 CAPS</t>
        </is>
      </c>
      <c r="E2" s="4" t="n">
        <v>1</v>
      </c>
      <c r="F2" s="4" t="n">
        <v>5</v>
      </c>
      <c r="G2" s="4" t="n">
        <v>5</v>
      </c>
      <c r="H2" s="5" t="n">
        <v>45</v>
      </c>
      <c r="I2" s="5">
        <f>G2*H2</f>
        <v/>
      </c>
      <c r="J2" s="5">
        <f>H2/E2</f>
        <v/>
      </c>
      <c r="K2" s="5" t="n">
        <v>45.25</v>
      </c>
      <c r="L2" s="5" t="n">
        <v>38.06</v>
      </c>
      <c r="M2" s="5" t="n">
        <v>42.85333333333333</v>
      </c>
      <c r="N2" s="6">
        <f>J2/M2-1</f>
        <v/>
      </c>
      <c r="O2" s="6">
        <f>J2/K2-1</f>
        <v/>
      </c>
      <c r="P2" s="2" t="inlineStr">
        <is>
          <t>OK (≤ últ. compra)</t>
        </is>
      </c>
      <c r="Q2" s="2" t="inlineStr"/>
    </row>
    <row r="3">
      <c r="A3" s="2" t="n">
        <v>9703</v>
      </c>
      <c r="B3" s="2" t="inlineStr"/>
      <c r="C3" s="3" t="inlineStr">
        <is>
          <t>7898920041592</t>
        </is>
      </c>
      <c r="D3" s="2" t="inlineStr">
        <is>
          <t>BCAA 2400MG MAX TITANIUM 100 CAPS</t>
        </is>
      </c>
      <c r="E3" s="4" t="n">
        <v>1</v>
      </c>
      <c r="F3" s="4" t="n">
        <v>1</v>
      </c>
      <c r="G3" s="4" t="n">
        <v>1</v>
      </c>
      <c r="H3" s="5" t="n">
        <v>48</v>
      </c>
      <c r="I3" s="5">
        <f>G3*H3</f>
        <v/>
      </c>
      <c r="J3" s="5">
        <f>H3/E3</f>
        <v/>
      </c>
      <c r="K3" s="5" t="n">
        <v>48.7</v>
      </c>
      <c r="L3" s="5" t="n">
        <v>42.64</v>
      </c>
      <c r="M3" s="5" t="n">
        <v>44.66</v>
      </c>
      <c r="N3" s="6">
        <f>J3/M3-1</f>
        <v/>
      </c>
      <c r="O3" s="6">
        <f>J3/K3-1</f>
        <v/>
      </c>
      <c r="P3" s="2" t="inlineStr">
        <is>
          <t>OK (≤ últ. compra)</t>
        </is>
      </c>
      <c r="Q3" s="2" t="inlineStr"/>
    </row>
    <row r="4">
      <c r="A4" s="2" t="n">
        <v>666601</v>
      </c>
      <c r="B4" s="2" t="inlineStr"/>
      <c r="C4" s="3" t="inlineStr">
        <is>
          <t>7898755180336</t>
        </is>
      </c>
      <c r="D4" s="2" t="inlineStr">
        <is>
          <t>BOLD BAR BANOFFEE D/12 UN 60G CX C/12</t>
        </is>
      </c>
      <c r="E4" s="4" t="n">
        <v>1</v>
      </c>
      <c r="F4" s="4" t="n">
        <v>1</v>
      </c>
      <c r="G4" s="4" t="n">
        <v>1</v>
      </c>
      <c r="H4" s="5" t="n">
        <v>11.35</v>
      </c>
      <c r="I4" s="5">
        <f>G4*H4</f>
        <v/>
      </c>
      <c r="J4" s="5">
        <f>H4/E4</f>
        <v/>
      </c>
      <c r="K4" s="5" t="n">
        <v>141.12</v>
      </c>
      <c r="L4" s="5" t="n">
        <v>141.12</v>
      </c>
      <c r="M4" s="5" t="n">
        <v>141.12</v>
      </c>
      <c r="N4" s="6">
        <f>J4/M4-1</f>
        <v/>
      </c>
      <c r="O4" s="6">
        <f>J4/K4-1</f>
        <v/>
      </c>
      <c r="P4" s="2" t="inlineStr">
        <is>
          <t>OK (≤ últ. compra)</t>
        </is>
      </c>
      <c r="Q4" s="2" t="inlineStr">
        <is>
          <t>conferir emb.</t>
        </is>
      </c>
    </row>
    <row r="5">
      <c r="A5" s="2" t="n">
        <v>609311</v>
      </c>
      <c r="B5" s="2" t="inlineStr"/>
      <c r="C5" s="3" t="inlineStr">
        <is>
          <t>609963966240</t>
        </is>
      </c>
      <c r="D5" s="2" t="inlineStr">
        <is>
          <t>BOLD BAR THIN COOKIES CREAM 40G</t>
        </is>
      </c>
      <c r="E5" s="4" t="n">
        <v>1</v>
      </c>
      <c r="F5" s="4" t="n">
        <v>1</v>
      </c>
      <c r="G5" s="4" t="n">
        <v>1</v>
      </c>
      <c r="H5" s="5" t="n">
        <v>7.65</v>
      </c>
      <c r="I5" s="5">
        <f>G5*H5</f>
        <v/>
      </c>
      <c r="J5" s="5">
        <f>H5/E5</f>
        <v/>
      </c>
      <c r="K5" s="5" t="n">
        <v>7.59</v>
      </c>
      <c r="L5" s="5" t="n">
        <v>7.59</v>
      </c>
      <c r="M5" s="5" t="n">
        <v>7.59</v>
      </c>
      <c r="N5" s="6">
        <f>J5/M5-1</f>
        <v/>
      </c>
      <c r="O5" s="6">
        <f>J5/K5-1</f>
        <v/>
      </c>
      <c r="P5" s="2" t="inlineStr">
        <is>
          <t>REAJUSTE +0.8% vs últ. (≤4%)</t>
        </is>
      </c>
      <c r="Q5" s="2" t="inlineStr"/>
    </row>
    <row r="6">
      <c r="A6" s="2" t="n">
        <v>609321</v>
      </c>
      <c r="B6" s="2" t="inlineStr"/>
      <c r="C6" s="3" t="inlineStr">
        <is>
          <t>609963966288</t>
        </is>
      </c>
      <c r="D6" s="2" t="inlineStr">
        <is>
          <t>BOLD BAR THIN TRUFA DE MORANGO 40G D/12</t>
        </is>
      </c>
      <c r="E6" s="4" t="n">
        <v>1</v>
      </c>
      <c r="F6" s="4" t="n">
        <v>1</v>
      </c>
      <c r="G6" s="4" t="n">
        <v>1</v>
      </c>
      <c r="H6" s="5" t="n">
        <v>7.65</v>
      </c>
      <c r="I6" s="5">
        <f>G6*H6</f>
        <v/>
      </c>
      <c r="J6" s="5">
        <f>H6/E6</f>
        <v/>
      </c>
      <c r="K6" s="5" t="n">
        <v>7.59</v>
      </c>
      <c r="L6" s="5" t="n">
        <v>7.59</v>
      </c>
      <c r="M6" s="5" t="n">
        <v>7.59</v>
      </c>
      <c r="N6" s="6">
        <f>J6/M6-1</f>
        <v/>
      </c>
      <c r="O6" s="6">
        <f>J6/K6-1</f>
        <v/>
      </c>
      <c r="P6" s="2" t="inlineStr">
        <is>
          <t>REAJUSTE +0.8% vs últ. (≤4%)</t>
        </is>
      </c>
      <c r="Q6" s="2" t="inlineStr"/>
    </row>
    <row r="7">
      <c r="A7" s="2" t="n">
        <v>602181</v>
      </c>
      <c r="B7" s="2" t="inlineStr"/>
      <c r="C7" s="3" t="inlineStr">
        <is>
          <t>7897104920784</t>
        </is>
      </c>
      <c r="D7" s="2" t="inlineStr">
        <is>
          <t>COLAGENO HIDRO VERISOL C/ ACIDO HIALURONICO BODYACTION LAR/ACEROLA 200G</t>
        </is>
      </c>
      <c r="E7" s="4" t="n">
        <v>1</v>
      </c>
      <c r="F7" s="4" t="n">
        <v>1</v>
      </c>
      <c r="G7" s="4" t="n">
        <v>1</v>
      </c>
      <c r="H7" s="5" t="n">
        <v>55</v>
      </c>
      <c r="I7" s="5">
        <f>G7*H7</f>
        <v/>
      </c>
      <c r="J7" s="5">
        <f>H7/E7</f>
        <v/>
      </c>
      <c r="K7" s="5" t="n">
        <v>54.9</v>
      </c>
      <c r="L7" s="5" t="n">
        <v>54.9</v>
      </c>
      <c r="M7" s="5" t="n">
        <v>54.9</v>
      </c>
      <c r="N7" s="6">
        <f>J7/M7-1</f>
        <v/>
      </c>
      <c r="O7" s="6">
        <f>J7/K7-1</f>
        <v/>
      </c>
      <c r="P7" s="2" t="inlineStr">
        <is>
          <t>REAJUSTE +0.2% vs últ. (≤4%)</t>
        </is>
      </c>
      <c r="Q7" s="2" t="inlineStr"/>
    </row>
    <row r="8">
      <c r="A8" s="2" t="n">
        <v>597681</v>
      </c>
      <c r="B8" s="2" t="inlineStr"/>
      <c r="C8" s="3" t="inlineStr">
        <is>
          <t>7897104907396</t>
        </is>
      </c>
      <c r="D8" s="2" t="inlineStr">
        <is>
          <t>COLAGENO VERISOL COM ACIDO HIALURONICO BODYACTION 90CAP</t>
        </is>
      </c>
      <c r="E8" s="4" t="n">
        <v>1</v>
      </c>
      <c r="F8" s="4" t="n">
        <v>1</v>
      </c>
      <c r="G8" s="4" t="n">
        <v>1</v>
      </c>
      <c r="H8" s="5" t="n">
        <v>55</v>
      </c>
      <c r="I8" s="5">
        <f>G8*H8</f>
        <v/>
      </c>
      <c r="J8" s="5">
        <f>H8/E8</f>
        <v/>
      </c>
      <c r="K8" s="5" t="n">
        <v>55.51</v>
      </c>
      <c r="L8" s="5" t="n">
        <v>55.51</v>
      </c>
      <c r="M8" s="5" t="n">
        <v>55.51</v>
      </c>
      <c r="N8" s="6">
        <f>J8/M8-1</f>
        <v/>
      </c>
      <c r="O8" s="6">
        <f>J8/K8-1</f>
        <v/>
      </c>
      <c r="P8" s="2" t="inlineStr">
        <is>
          <t>OK (≤ últ. compra)</t>
        </is>
      </c>
      <c r="Q8" s="2" t="inlineStr"/>
    </row>
    <row r="9">
      <c r="A9" s="2" t="n">
        <v>650841</v>
      </c>
      <c r="B9" s="2" t="inlineStr"/>
      <c r="C9" s="3" t="inlineStr">
        <is>
          <t>7898583668457</t>
        </is>
      </c>
      <c r="D9" s="2" t="inlineStr">
        <is>
          <t>CREATINA FTW 1KG</t>
        </is>
      </c>
      <c r="E9" s="4" t="n">
        <v>1</v>
      </c>
      <c r="F9" s="4" t="n">
        <v>1</v>
      </c>
      <c r="G9" s="4" t="n">
        <v>1</v>
      </c>
      <c r="H9" s="5" t="n">
        <v>142</v>
      </c>
      <c r="I9" s="5">
        <f>G9*H9</f>
        <v/>
      </c>
      <c r="J9" s="5">
        <f>H9/E9</f>
        <v/>
      </c>
      <c r="K9" s="5" t="n">
        <v>161.42</v>
      </c>
      <c r="L9" s="5" t="n">
        <v>161.42</v>
      </c>
      <c r="M9" s="5" t="n">
        <v>161.42</v>
      </c>
      <c r="N9" s="6">
        <f>J9/M9-1</f>
        <v/>
      </c>
      <c r="O9" s="6">
        <f>J9/K9-1</f>
        <v/>
      </c>
      <c r="P9" s="2" t="inlineStr">
        <is>
          <t>OK (≤ últ. compra)</t>
        </is>
      </c>
      <c r="Q9" s="2" t="inlineStr"/>
    </row>
    <row r="10">
      <c r="A10" s="2" t="n">
        <v>630451</v>
      </c>
      <c r="B10" s="2" t="inlineStr"/>
      <c r="C10" s="3" t="inlineStr">
        <is>
          <t>7896311708314</t>
        </is>
      </c>
      <c r="D10" s="2" t="inlineStr">
        <is>
          <t>CREATINA INTEGRALMEDICA HARDCORE RELOAD 300G</t>
        </is>
      </c>
      <c r="E10" s="4" t="n">
        <v>1</v>
      </c>
      <c r="F10" s="4" t="n">
        <v>30</v>
      </c>
      <c r="G10" s="4" t="n">
        <v>30</v>
      </c>
      <c r="H10" s="5" t="n">
        <v>46</v>
      </c>
      <c r="I10" s="5">
        <f>G10*H10</f>
        <v/>
      </c>
      <c r="J10" s="5">
        <f>H10/E10</f>
        <v/>
      </c>
      <c r="K10" s="5" t="n">
        <v>46.54</v>
      </c>
      <c r="L10" s="5" t="n">
        <v>36.1</v>
      </c>
      <c r="M10" s="5" t="n">
        <v>39.58000000000001</v>
      </c>
      <c r="N10" s="6">
        <f>J10/M10-1</f>
        <v/>
      </c>
      <c r="O10" s="6">
        <f>J10/K10-1</f>
        <v/>
      </c>
      <c r="P10" s="2" t="inlineStr">
        <is>
          <t>OK (≤ últ. compra)</t>
        </is>
      </c>
      <c r="Q10" s="2" t="inlineStr"/>
    </row>
    <row r="11">
      <c r="A11" s="2" t="n">
        <v>597701</v>
      </c>
      <c r="B11" s="2" t="inlineStr"/>
      <c r="C11" s="3" t="inlineStr">
        <is>
          <t>7896311763498</t>
        </is>
      </c>
      <c r="D11" s="2" t="inlineStr">
        <is>
          <t>CREATINA INTEGRALMEDICA PT 150G</t>
        </is>
      </c>
      <c r="E11" s="4" t="n">
        <v>1</v>
      </c>
      <c r="F11" s="4" t="n">
        <v>17</v>
      </c>
      <c r="G11" s="4" t="n">
        <v>17</v>
      </c>
      <c r="H11" s="5" t="n">
        <v>28</v>
      </c>
      <c r="I11" s="5">
        <f>G11*H11</f>
        <v/>
      </c>
      <c r="J11" s="5">
        <f>H11/E11</f>
        <v/>
      </c>
      <c r="K11" s="5" t="n">
        <v>28.42</v>
      </c>
      <c r="L11" s="5" t="n">
        <v>17.59</v>
      </c>
      <c r="M11" s="5" t="n">
        <v>21.2</v>
      </c>
      <c r="N11" s="6">
        <f>J11/M11-1</f>
        <v/>
      </c>
      <c r="O11" s="6">
        <f>J11/K11-1</f>
        <v/>
      </c>
      <c r="P11" s="2" t="inlineStr">
        <is>
          <t>OK (≤ últ. compra)</t>
        </is>
      </c>
      <c r="Q11" s="2" t="inlineStr"/>
    </row>
    <row r="12">
      <c r="A12" s="2" t="n">
        <v>672991</v>
      </c>
      <c r="B12" s="2" t="inlineStr"/>
      <c r="C12" s="3" t="inlineStr">
        <is>
          <t>7896311709083</t>
        </is>
      </c>
      <c r="D12" s="2" t="inlineStr">
        <is>
          <t>CREATINA WHITE 60 CAPS</t>
        </is>
      </c>
      <c r="E12" s="4" t="n">
        <v>1</v>
      </c>
      <c r="F12" s="4" t="n">
        <v>4</v>
      </c>
      <c r="G12" s="4" t="n">
        <v>4</v>
      </c>
      <c r="H12" s="5" t="n">
        <v>21</v>
      </c>
      <c r="I12" s="5">
        <f>G12*H12</f>
        <v/>
      </c>
      <c r="J12" s="5">
        <f>H12/E12</f>
        <v/>
      </c>
      <c r="K12" s="5" t="n">
        <v>21.78</v>
      </c>
      <c r="L12" s="5" t="n">
        <v>16.28</v>
      </c>
      <c r="M12" s="5" t="n">
        <v>18.16666666666667</v>
      </c>
      <c r="N12" s="6">
        <f>J12/M12-1</f>
        <v/>
      </c>
      <c r="O12" s="6">
        <f>J12/K12-1</f>
        <v/>
      </c>
      <c r="P12" s="2" t="inlineStr">
        <is>
          <t>OK (≤ últ. compra)</t>
        </is>
      </c>
      <c r="Q12" s="2" t="inlineStr"/>
    </row>
    <row r="13">
      <c r="A13" s="2" t="n">
        <v>597731</v>
      </c>
      <c r="B13" s="2" t="inlineStr"/>
      <c r="C13" s="3" t="inlineStr">
        <is>
          <t>7898708731394</t>
        </is>
      </c>
      <c r="D13" s="2" t="inlineStr">
        <is>
          <t>CREATINE TURBO BLACKSKULL 150G</t>
        </is>
      </c>
      <c r="E13" s="4" t="n">
        <v>1</v>
      </c>
      <c r="F13" s="4" t="n">
        <v>4</v>
      </c>
      <c r="G13" s="4" t="n">
        <v>4</v>
      </c>
      <c r="H13" s="5" t="n">
        <v>25</v>
      </c>
      <c r="I13" s="5">
        <f>G13*H13</f>
        <v/>
      </c>
      <c r="J13" s="5">
        <f>H13/E13</f>
        <v/>
      </c>
      <c r="K13" s="5" t="n">
        <v>36.15</v>
      </c>
      <c r="L13" s="5" t="n">
        <v>36.15</v>
      </c>
      <c r="M13" s="5" t="n">
        <v>36.15</v>
      </c>
      <c r="N13" s="6">
        <f>J13/M13-1</f>
        <v/>
      </c>
      <c r="O13" s="6">
        <f>J13/K13-1</f>
        <v/>
      </c>
      <c r="P13" s="2" t="inlineStr">
        <is>
          <t>OK (≤ últ. compra)</t>
        </is>
      </c>
      <c r="Q13" s="2" t="inlineStr"/>
    </row>
    <row r="14">
      <c r="A14" s="2" t="n">
        <v>635321</v>
      </c>
      <c r="B14" s="2" t="inlineStr"/>
      <c r="C14" s="3" t="inlineStr">
        <is>
          <t>7898957433544</t>
        </is>
      </c>
      <c r="D14" s="2" t="inlineStr">
        <is>
          <t>CREATINY MONOHYDRATE CANIBALINC 300G</t>
        </is>
      </c>
      <c r="E14" s="4" t="n">
        <v>1</v>
      </c>
      <c r="F14" s="4" t="n">
        <v>4</v>
      </c>
      <c r="G14" s="4" t="n">
        <v>4</v>
      </c>
      <c r="H14" s="5" t="n">
        <v>38</v>
      </c>
      <c r="I14" s="5">
        <f>G14*H14</f>
        <v/>
      </c>
      <c r="J14" s="5">
        <f>H14/E14</f>
        <v/>
      </c>
      <c r="K14" s="5" t="n">
        <v>38.84</v>
      </c>
      <c r="L14" s="5" t="n">
        <v>38.84</v>
      </c>
      <c r="M14" s="5" t="n">
        <v>38.84</v>
      </c>
      <c r="N14" s="6">
        <f>J14/M14-1</f>
        <v/>
      </c>
      <c r="O14" s="6">
        <f>J14/K14-1</f>
        <v/>
      </c>
      <c r="P14" s="2" t="inlineStr">
        <is>
          <t>OK (≤ últ. compra)</t>
        </is>
      </c>
      <c r="Q14" s="2" t="inlineStr"/>
    </row>
    <row r="15">
      <c r="A15" s="2" t="n">
        <v>657881</v>
      </c>
      <c r="B15" s="2" t="inlineStr"/>
      <c r="C15" s="3" t="inlineStr">
        <is>
          <t>7896311774845</t>
        </is>
      </c>
      <c r="D15" s="2" t="inlineStr">
        <is>
          <t>DARK BAR DARKNESS CREME DE COCO C/ CASTANHA D/08 90G CX C/8</t>
        </is>
      </c>
      <c r="E15" s="4" t="n">
        <v>1</v>
      </c>
      <c r="F15" s="4" t="n">
        <v>1</v>
      </c>
      <c r="G15" s="4" t="n">
        <v>1</v>
      </c>
      <c r="H15" s="5" t="n">
        <v>14</v>
      </c>
      <c r="I15" s="5">
        <f>G15*H15</f>
        <v/>
      </c>
      <c r="J15" s="5">
        <f>H15/E15</f>
        <v/>
      </c>
      <c r="K15" s="5" t="n">
        <v>95</v>
      </c>
      <c r="L15" s="5" t="n">
        <v>95</v>
      </c>
      <c r="M15" s="5" t="n">
        <v>95</v>
      </c>
      <c r="N15" s="6">
        <f>J15/M15-1</f>
        <v/>
      </c>
      <c r="O15" s="6">
        <f>J15/K15-1</f>
        <v/>
      </c>
      <c r="P15" s="2" t="inlineStr">
        <is>
          <t>OK (≤ últ. compra)</t>
        </is>
      </c>
      <c r="Q15" s="2" t="inlineStr">
        <is>
          <t>conferir emb.</t>
        </is>
      </c>
    </row>
    <row r="16">
      <c r="A16" s="2" t="n">
        <v>638251</v>
      </c>
      <c r="B16" s="2" t="inlineStr"/>
      <c r="C16" s="3" t="inlineStr">
        <is>
          <t>7899598008740</t>
        </is>
      </c>
      <c r="D16" s="2" t="inlineStr">
        <is>
          <t>DIABO VERDE FTW INSANO ENERGETICO 150G</t>
        </is>
      </c>
      <c r="E16" s="4" t="n">
        <v>1</v>
      </c>
      <c r="F16" s="4" t="n">
        <v>1</v>
      </c>
      <c r="G16" s="4" t="n">
        <v>1</v>
      </c>
      <c r="H16" s="5" t="n">
        <v>58</v>
      </c>
      <c r="I16" s="5">
        <f>G16*H16</f>
        <v/>
      </c>
      <c r="J16" s="5">
        <f>H16/E16</f>
        <v/>
      </c>
      <c r="K16" s="5" t="n">
        <v>56.91</v>
      </c>
      <c r="L16" s="5" t="n">
        <v>56.91</v>
      </c>
      <c r="M16" s="5" t="n">
        <v>56.91</v>
      </c>
      <c r="N16" s="6">
        <f>J16/M16-1</f>
        <v/>
      </c>
      <c r="O16" s="6">
        <f>J16/K16-1</f>
        <v/>
      </c>
      <c r="P16" s="2" t="inlineStr">
        <is>
          <t>REAJUSTE +1.9% vs últ. (≤4%)</t>
        </is>
      </c>
      <c r="Q16" s="2" t="inlineStr"/>
    </row>
    <row r="17">
      <c r="A17" s="2" t="n">
        <v>602171</v>
      </c>
      <c r="B17" s="2" t="inlineStr"/>
      <c r="C17" s="3" t="inlineStr">
        <is>
          <t>7898583666279</t>
        </is>
      </c>
      <c r="D17" s="2" t="inlineStr">
        <is>
          <t>DIABO VERDE FTW INSANO FRUTAS AMARELAS 150G</t>
        </is>
      </c>
      <c r="E17" s="4" t="n">
        <v>1</v>
      </c>
      <c r="F17" s="4" t="n">
        <v>1</v>
      </c>
      <c r="G17" s="4" t="n">
        <v>1</v>
      </c>
      <c r="H17" s="5" t="n">
        <v>58</v>
      </c>
      <c r="I17" s="5">
        <f>G17*H17</f>
        <v/>
      </c>
      <c r="J17" s="5">
        <f>H17/E17</f>
        <v/>
      </c>
      <c r="K17" s="5" t="n">
        <v>59.9</v>
      </c>
      <c r="L17" s="5" t="n">
        <v>56.91</v>
      </c>
      <c r="M17" s="5" t="n">
        <v>57.90666666666667</v>
      </c>
      <c r="N17" s="6">
        <f>J17/M17-1</f>
        <v/>
      </c>
      <c r="O17" s="6">
        <f>J17/K17-1</f>
        <v/>
      </c>
      <c r="P17" s="2" t="inlineStr">
        <is>
          <t>OK (≤ últ. compra)</t>
        </is>
      </c>
      <c r="Q17" s="2" t="inlineStr"/>
    </row>
    <row r="18">
      <c r="A18" s="2" t="n">
        <v>602161</v>
      </c>
      <c r="B18" s="2" t="inlineStr"/>
      <c r="C18" s="3" t="inlineStr">
        <is>
          <t>7899598008733</t>
        </is>
      </c>
      <c r="D18" s="2" t="inlineStr">
        <is>
          <t>DIABO VERDE FTW INSANO MACA VERDE 150G</t>
        </is>
      </c>
      <c r="E18" s="4" t="n">
        <v>1</v>
      </c>
      <c r="F18" s="4" t="n">
        <v>1</v>
      </c>
      <c r="G18" s="4" t="n">
        <v>1</v>
      </c>
      <c r="H18" s="5" t="n">
        <v>58</v>
      </c>
      <c r="I18" s="5">
        <f>G18*H18</f>
        <v/>
      </c>
      <c r="J18" s="5">
        <f>H18/E18</f>
        <v/>
      </c>
      <c r="K18" s="5" t="n">
        <v>59.9</v>
      </c>
      <c r="L18" s="5" t="n">
        <v>56.91</v>
      </c>
      <c r="M18" s="5" t="n">
        <v>57.90666666666667</v>
      </c>
      <c r="N18" s="6">
        <f>J18/M18-1</f>
        <v/>
      </c>
      <c r="O18" s="6">
        <f>J18/K18-1</f>
        <v/>
      </c>
      <c r="P18" s="2" t="inlineStr">
        <is>
          <t>OK (≤ últ. compra)</t>
        </is>
      </c>
      <c r="Q18" s="2" t="inlineStr"/>
    </row>
    <row r="19">
      <c r="A19" s="2" t="n">
        <v>638261</v>
      </c>
      <c r="B19" s="2" t="inlineStr"/>
      <c r="C19" s="3" t="inlineStr">
        <is>
          <t>7898583666538</t>
        </is>
      </c>
      <c r="D19" s="2" t="inlineStr">
        <is>
          <t>DIABO VERDE FTW PRE WORKOUT LIMAO 150</t>
        </is>
      </c>
      <c r="E19" s="4" t="n">
        <v>1</v>
      </c>
      <c r="F19" s="4" t="n">
        <v>1</v>
      </c>
      <c r="G19" s="4" t="n">
        <v>1</v>
      </c>
      <c r="H19" s="5" t="n">
        <v>58</v>
      </c>
      <c r="I19" s="5">
        <f>G19*H19</f>
        <v/>
      </c>
      <c r="J19" s="5">
        <f>H19/E19</f>
        <v/>
      </c>
      <c r="K19" s="5" t="n">
        <v>59.9</v>
      </c>
      <c r="L19" s="5" t="n">
        <v>58.79</v>
      </c>
      <c r="M19" s="5" t="n">
        <v>59.53</v>
      </c>
      <c r="N19" s="6">
        <f>J19/M19-1</f>
        <v/>
      </c>
      <c r="O19" s="6">
        <f>J19/K19-1</f>
        <v/>
      </c>
      <c r="P19" s="2" t="inlineStr">
        <is>
          <t>OK (≤ últ. compra)</t>
        </is>
      </c>
      <c r="Q19" s="2" t="inlineStr"/>
    </row>
    <row r="20">
      <c r="A20" s="2" t="n">
        <v>655871</v>
      </c>
      <c r="B20" s="2" t="inlineStr"/>
      <c r="C20" s="3" t="inlineStr">
        <is>
          <t>7899598025495</t>
        </is>
      </c>
      <c r="D20" s="2" t="inlineStr">
        <is>
          <t>DIABO VERDE PRE WORKOUT FTW FRUTAS VERMELHAS 150G</t>
        </is>
      </c>
      <c r="E20" s="4" t="n">
        <v>1</v>
      </c>
      <c r="F20" s="4" t="n">
        <v>1</v>
      </c>
      <c r="G20" s="4" t="n">
        <v>1</v>
      </c>
      <c r="H20" s="5" t="n">
        <v>58</v>
      </c>
      <c r="I20" s="5">
        <f>G20*H20</f>
        <v/>
      </c>
      <c r="J20" s="5">
        <f>H20/E20</f>
        <v/>
      </c>
      <c r="K20" s="5" t="n">
        <v>59.9</v>
      </c>
      <c r="L20" s="5" t="n">
        <v>56.91</v>
      </c>
      <c r="M20" s="5" t="n">
        <v>57.90666666666667</v>
      </c>
      <c r="N20" s="6">
        <f>J20/M20-1</f>
        <v/>
      </c>
      <c r="O20" s="6">
        <f>J20/K20-1</f>
        <v/>
      </c>
      <c r="P20" s="2" t="inlineStr">
        <is>
          <t>OK (≤ últ. compra)</t>
        </is>
      </c>
      <c r="Q20" s="2" t="inlineStr"/>
    </row>
    <row r="21">
      <c r="A21" s="2" t="n">
        <v>30103</v>
      </c>
      <c r="B21" s="2" t="inlineStr"/>
      <c r="C21" s="3" t="inlineStr">
        <is>
          <t>07897104909604</t>
        </is>
      </c>
      <c r="D21" s="2" t="inlineStr">
        <is>
          <t>ENERGEL BLACK BODYACTION ACAI/GUARAN 30G</t>
        </is>
      </c>
      <c r="E21" s="4" t="n">
        <v>1</v>
      </c>
      <c r="F21" s="4" t="n">
        <v>2</v>
      </c>
      <c r="G21" s="4" t="n">
        <v>2</v>
      </c>
      <c r="H21" s="5" t="n">
        <v>2.96</v>
      </c>
      <c r="I21" s="5">
        <f>G21*H21</f>
        <v/>
      </c>
      <c r="J21" s="5">
        <f>H21/E21</f>
        <v/>
      </c>
      <c r="K21" s="5" t="n">
        <v>2.93</v>
      </c>
      <c r="L21" s="5" t="n">
        <v>2.93</v>
      </c>
      <c r="M21" s="5" t="n">
        <v>2.93</v>
      </c>
      <c r="N21" s="6">
        <f>J21/M21-1</f>
        <v/>
      </c>
      <c r="O21" s="6">
        <f>J21/K21-1</f>
        <v/>
      </c>
      <c r="P21" s="2" t="inlineStr">
        <is>
          <t>REAJUSTE +1.0% vs últ. (≤4%)</t>
        </is>
      </c>
      <c r="Q21" s="2" t="inlineStr"/>
    </row>
    <row r="22">
      <c r="A22" s="2" t="n">
        <v>602151</v>
      </c>
      <c r="B22" s="2" t="inlineStr"/>
      <c r="C22" s="3" t="inlineStr">
        <is>
          <t>7897104910242</t>
        </is>
      </c>
      <c r="D22" s="2" t="inlineStr">
        <is>
          <t>ENERGEL BLACK BODYACTION FRUTAS VERMELHAS 30G D/10</t>
        </is>
      </c>
      <c r="E22" s="4" t="n">
        <v>1</v>
      </c>
      <c r="F22" s="4" t="n">
        <v>1</v>
      </c>
      <c r="G22" s="4" t="n">
        <v>1</v>
      </c>
      <c r="H22" s="5" t="n">
        <v>2.96</v>
      </c>
      <c r="I22" s="5">
        <f>G22*H22</f>
        <v/>
      </c>
      <c r="J22" s="5">
        <f>H22/E22</f>
        <v/>
      </c>
      <c r="K22" s="5" t="n">
        <v>23.3</v>
      </c>
      <c r="L22" s="5" t="n">
        <v>23.3</v>
      </c>
      <c r="M22" s="5" t="n">
        <v>23.3</v>
      </c>
      <c r="N22" s="6">
        <f>J22/M22-1</f>
        <v/>
      </c>
      <c r="O22" s="6">
        <f>J22/K22-1</f>
        <v/>
      </c>
      <c r="P22" s="2" t="inlineStr">
        <is>
          <t>OK (≤ últ. compra)</t>
        </is>
      </c>
      <c r="Q22" s="2" t="inlineStr">
        <is>
          <t>conferir emb.</t>
        </is>
      </c>
    </row>
    <row r="23">
      <c r="A23" s="2" t="n">
        <v>29403</v>
      </c>
      <c r="B23" s="2" t="inlineStr"/>
      <c r="C23" s="3" t="inlineStr">
        <is>
          <t>7897104928445</t>
        </is>
      </c>
      <c r="D23" s="2" t="inlineStr">
        <is>
          <t>ENERGEL BLACK BODYACTION LARAN/ACERO 30G</t>
        </is>
      </c>
      <c r="E23" s="4" t="n">
        <v>1</v>
      </c>
      <c r="F23" s="4" t="n">
        <v>1</v>
      </c>
      <c r="G23" s="4" t="n">
        <v>1</v>
      </c>
      <c r="H23" s="5" t="n">
        <v>2.96</v>
      </c>
      <c r="I23" s="5">
        <f>G23*H23</f>
        <v/>
      </c>
      <c r="J23" s="5">
        <f>H23/E23</f>
        <v/>
      </c>
      <c r="K23" s="5" t="n">
        <v>3.18</v>
      </c>
      <c r="L23" s="5" t="n">
        <v>3.18</v>
      </c>
      <c r="M23" s="5" t="n">
        <v>3.18</v>
      </c>
      <c r="N23" s="6">
        <f>J23/M23-1</f>
        <v/>
      </c>
      <c r="O23" s="6">
        <f>J23/K23-1</f>
        <v/>
      </c>
      <c r="P23" s="2" t="inlineStr">
        <is>
          <t>OK (≤ últ. compra)</t>
        </is>
      </c>
      <c r="Q23" s="2" t="inlineStr"/>
    </row>
    <row r="24">
      <c r="A24" s="2" t="n">
        <v>666581</v>
      </c>
      <c r="B24" s="2" t="inlineStr"/>
      <c r="C24" s="3" t="inlineStr">
        <is>
          <t>7897104926229</t>
        </is>
      </c>
      <c r="D24" s="2" t="inlineStr">
        <is>
          <t>ENERGEL BLACK BODYACTION UVA D/10 30G CX C/10</t>
        </is>
      </c>
      <c r="E24" s="4" t="n">
        <v>1</v>
      </c>
      <c r="F24" s="4" t="n">
        <v>1</v>
      </c>
      <c r="G24" s="4" t="n">
        <v>1</v>
      </c>
      <c r="H24" s="5" t="n">
        <v>2.96</v>
      </c>
      <c r="I24" s="5">
        <f>G24*H24</f>
        <v/>
      </c>
      <c r="J24" s="5">
        <f>H24/E24</f>
        <v/>
      </c>
      <c r="K24" s="5" t="n">
        <v>2.97</v>
      </c>
      <c r="L24" s="5" t="n">
        <v>2.97</v>
      </c>
      <c r="M24" s="5" t="n">
        <v>2.97</v>
      </c>
      <c r="N24" s="6">
        <f>J24/M24-1</f>
        <v/>
      </c>
      <c r="O24" s="6">
        <f>J24/K24-1</f>
        <v/>
      </c>
      <c r="P24" s="2" t="inlineStr">
        <is>
          <t>OK (≤ últ. compra)</t>
        </is>
      </c>
      <c r="Q24" s="2" t="inlineStr"/>
    </row>
    <row r="25">
      <c r="A25" s="2" t="n">
        <v>597751</v>
      </c>
      <c r="B25" s="2" t="inlineStr"/>
      <c r="C25" s="3" t="inlineStr">
        <is>
          <t>7897104905200</t>
        </is>
      </c>
      <c r="D25" s="2" t="inlineStr">
        <is>
          <t>HARDMASS 1800 BODYACTION CHOCOLATE PC 3K</t>
        </is>
      </c>
      <c r="E25" s="4" t="n">
        <v>1</v>
      </c>
      <c r="F25" s="4" t="n">
        <v>1</v>
      </c>
      <c r="G25" s="4" t="n">
        <v>1</v>
      </c>
      <c r="H25" s="5" t="n">
        <v>85</v>
      </c>
      <c r="I25" s="5">
        <f>G25*H25</f>
        <v/>
      </c>
      <c r="J25" s="5">
        <f>H25/E25</f>
        <v/>
      </c>
      <c r="K25" s="5" t="n">
        <v>82.42</v>
      </c>
      <c r="L25" s="5" t="n">
        <v>82.42</v>
      </c>
      <c r="M25" s="5" t="n">
        <v>82.42</v>
      </c>
      <c r="N25" s="6">
        <f>J25/M25-1</f>
        <v/>
      </c>
      <c r="O25" s="6">
        <f>J25/K25-1</f>
        <v/>
      </c>
      <c r="P25" s="2" t="inlineStr">
        <is>
          <t>REAJUSTE +3.1% vs últ. (≤4%)</t>
        </is>
      </c>
      <c r="Q25" s="2" t="inlineStr"/>
    </row>
    <row r="26">
      <c r="A26" s="2" t="n">
        <v>661421</v>
      </c>
      <c r="B26" s="2" t="inlineStr"/>
      <c r="C26" s="3" t="inlineStr">
        <is>
          <t>7897104905194</t>
        </is>
      </c>
      <c r="D26" s="2" t="inlineStr">
        <is>
          <t>HARDMASS 1800 BODYACTION MORANGO PC 3KG</t>
        </is>
      </c>
      <c r="E26" s="4" t="n">
        <v>1</v>
      </c>
      <c r="F26" s="4" t="n">
        <v>1</v>
      </c>
      <c r="G26" s="4" t="n">
        <v>1</v>
      </c>
      <c r="H26" s="5" t="n">
        <v>85</v>
      </c>
      <c r="I26" s="5">
        <f>G26*H26</f>
        <v/>
      </c>
      <c r="J26" s="5">
        <f>H26/E26</f>
        <v/>
      </c>
      <c r="K26" s="5" t="n">
        <v>82.42</v>
      </c>
      <c r="L26" s="5" t="n">
        <v>82.42</v>
      </c>
      <c r="M26" s="5" t="n">
        <v>82.42</v>
      </c>
      <c r="N26" s="6">
        <f>J26/M26-1</f>
        <v/>
      </c>
      <c r="O26" s="6">
        <f>J26/K26-1</f>
        <v/>
      </c>
      <c r="P26" s="2" t="inlineStr">
        <is>
          <t>REAJUSTE +3.1% vs últ. (≤4%)</t>
        </is>
      </c>
      <c r="Q26" s="2" t="inlineStr"/>
    </row>
    <row r="27">
      <c r="A27" s="2" t="n">
        <v>673371</v>
      </c>
      <c r="B27" s="2" t="inlineStr"/>
      <c r="C27" s="3" t="inlineStr">
        <is>
          <t>7898920041318</t>
        </is>
      </c>
      <c r="D27" s="2" t="inlineStr">
        <is>
          <t>MASS TITANIUM 17500 BAUNILHA 3KG</t>
        </is>
      </c>
      <c r="E27" s="4" t="n">
        <v>1</v>
      </c>
      <c r="F27" s="4" t="n">
        <v>1</v>
      </c>
      <c r="G27" s="4" t="n">
        <v>1</v>
      </c>
      <c r="H27" s="5" t="n">
        <v>93</v>
      </c>
      <c r="I27" s="5">
        <f>G27*H27</f>
        <v/>
      </c>
      <c r="J27" s="5">
        <f>H27/E27</f>
        <v/>
      </c>
      <c r="K27" s="5" t="n">
        <v>93.20999999999999</v>
      </c>
      <c r="L27" s="5" t="n">
        <v>86.75</v>
      </c>
      <c r="M27" s="5" t="n">
        <v>88.90333333333332</v>
      </c>
      <c r="N27" s="6">
        <f>J27/M27-1</f>
        <v/>
      </c>
      <c r="O27" s="6">
        <f>J27/K27-1</f>
        <v/>
      </c>
      <c r="P27" s="2" t="inlineStr">
        <is>
          <t>OK (≤ últ. compra)</t>
        </is>
      </c>
      <c r="Q27" s="2" t="inlineStr"/>
    </row>
    <row r="28">
      <c r="A28" s="2" t="n">
        <v>638291</v>
      </c>
      <c r="B28" s="2" t="inlineStr"/>
      <c r="C28" s="3" t="inlineStr">
        <is>
          <t>7897104926243</t>
        </is>
      </c>
      <c r="D28" s="2" t="inlineStr">
        <is>
          <t>NUCLEAR RUSH BODYACTION LARANJA 100G</t>
        </is>
      </c>
      <c r="E28" s="4" t="n">
        <v>1</v>
      </c>
      <c r="F28" s="4" t="n">
        <v>1</v>
      </c>
      <c r="G28" s="4" t="n">
        <v>1</v>
      </c>
      <c r="H28" s="5" t="n">
        <v>40</v>
      </c>
      <c r="I28" s="5">
        <f>G28*H28</f>
        <v/>
      </c>
      <c r="J28" s="5">
        <f>H28/E28</f>
        <v/>
      </c>
      <c r="K28" s="5" t="n">
        <v>38.16</v>
      </c>
      <c r="L28" s="5" t="n">
        <v>38.16</v>
      </c>
      <c r="M28" s="5" t="n">
        <v>38.16</v>
      </c>
      <c r="N28" s="6">
        <f>J28/M28-1</f>
        <v/>
      </c>
      <c r="O28" s="6">
        <f>J28/K28-1</f>
        <v/>
      </c>
      <c r="P28" s="2" t="inlineStr">
        <is>
          <t>REAJUSTE +4.8% vs média (≤6%)</t>
        </is>
      </c>
      <c r="Q28" s="2" t="inlineStr"/>
    </row>
    <row r="29">
      <c r="A29" s="2" t="n">
        <v>673321</v>
      </c>
      <c r="B29" s="2" t="inlineStr"/>
      <c r="C29" s="3" t="inlineStr">
        <is>
          <t>7897104925444</t>
        </is>
      </c>
      <c r="D29" s="2" t="inlineStr">
        <is>
          <t>NUCLEAR RUSH GEL BODYACTION FRUTAS V 25G</t>
        </is>
      </c>
      <c r="E29" s="4" t="n">
        <v>1</v>
      </c>
      <c r="F29" s="4" t="n">
        <v>22</v>
      </c>
      <c r="G29" s="4" t="n">
        <v>22</v>
      </c>
      <c r="H29" s="5" t="n">
        <v>2.99</v>
      </c>
      <c r="I29" s="5">
        <f>G29*H29</f>
        <v/>
      </c>
      <c r="J29" s="5">
        <f>H29/E29</f>
        <v/>
      </c>
      <c r="K29" s="5" t="n">
        <v>2.99</v>
      </c>
      <c r="L29" s="5" t="n">
        <v>2.75</v>
      </c>
      <c r="M29" s="5" t="n">
        <v>2.91</v>
      </c>
      <c r="N29" s="6">
        <f>J29/M29-1</f>
        <v/>
      </c>
      <c r="O29" s="6">
        <f>J29/K29-1</f>
        <v/>
      </c>
      <c r="P29" s="2" t="inlineStr">
        <is>
          <t>OK (≤ últ. compra)</t>
        </is>
      </c>
      <c r="Q29" s="2" t="inlineStr"/>
    </row>
    <row r="30">
      <c r="A30" s="2" t="n">
        <v>638311</v>
      </c>
      <c r="B30" s="2" t="inlineStr"/>
      <c r="C30" s="3" t="inlineStr">
        <is>
          <t>7893596226427</t>
        </is>
      </c>
      <c r="D30" s="2" t="inlineStr">
        <is>
          <t>PANIC PRE WORKOUT ADAPTOGEN UVA 150G</t>
        </is>
      </c>
      <c r="E30" s="4" t="n">
        <v>1</v>
      </c>
      <c r="F30" s="4" t="n">
        <v>1</v>
      </c>
      <c r="G30" s="4" t="n">
        <v>1</v>
      </c>
      <c r="H30" s="5" t="n">
        <v>60</v>
      </c>
      <c r="I30" s="5">
        <f>G30*H30</f>
        <v/>
      </c>
      <c r="J30" s="5">
        <f>H30/E30</f>
        <v/>
      </c>
      <c r="K30" s="5" t="n">
        <v>62.61</v>
      </c>
      <c r="L30" s="5" t="n">
        <v>62.61</v>
      </c>
      <c r="M30" s="5" t="n">
        <v>62.60999999999999</v>
      </c>
      <c r="N30" s="6">
        <f>J30/M30-1</f>
        <v/>
      </c>
      <c r="O30" s="6">
        <f>J30/K30-1</f>
        <v/>
      </c>
      <c r="P30" s="2" t="inlineStr">
        <is>
          <t>OK (≤ últ. compra)</t>
        </is>
      </c>
      <c r="Q30" s="2" t="inlineStr"/>
    </row>
    <row r="31">
      <c r="A31" s="2" t="n">
        <v>672961</v>
      </c>
      <c r="B31" s="2" t="inlineStr"/>
      <c r="C31" s="3" t="inlineStr">
        <is>
          <t>7896311778041</t>
        </is>
      </c>
      <c r="D31" s="2" t="inlineStr">
        <is>
          <t>PROTEIN CRISP INTEGRAL OVOMALTIN 45G</t>
        </is>
      </c>
      <c r="E31" s="4" t="n">
        <v>1</v>
      </c>
      <c r="F31" s="4" t="n">
        <v>6</v>
      </c>
      <c r="G31" s="4" t="n">
        <v>6</v>
      </c>
      <c r="H31" s="5" t="n">
        <v>8</v>
      </c>
      <c r="I31" s="5">
        <f>G31*H31</f>
        <v/>
      </c>
      <c r="J31" s="5">
        <f>H31/E31</f>
        <v/>
      </c>
      <c r="K31" s="5" t="n">
        <v>8.050000000000001</v>
      </c>
      <c r="L31" s="5" t="n">
        <v>6.23</v>
      </c>
      <c r="M31" s="5" t="n">
        <v>6.973333333333334</v>
      </c>
      <c r="N31" s="6">
        <f>J31/M31-1</f>
        <v/>
      </c>
      <c r="O31" s="6">
        <f>J31/K31-1</f>
        <v/>
      </c>
      <c r="P31" s="2" t="inlineStr">
        <is>
          <t>OK (≤ últ. compra)</t>
        </is>
      </c>
      <c r="Q31" s="2" t="inlineStr"/>
    </row>
    <row r="32">
      <c r="A32" s="2" t="n">
        <v>646181</v>
      </c>
      <c r="B32" s="2" t="inlineStr"/>
      <c r="C32" s="3" t="inlineStr">
        <is>
          <t>7899941203211</t>
        </is>
      </c>
      <c r="D32" s="2" t="inlineStr">
        <is>
          <t>PV - HORUS MAX TITANIUM MACA VERDE POTE 150G</t>
        </is>
      </c>
      <c r="E32" s="4" t="n">
        <v>1</v>
      </c>
      <c r="F32" s="4" t="n">
        <v>1</v>
      </c>
      <c r="G32" s="4" t="n">
        <v>1</v>
      </c>
      <c r="H32" s="5" t="n">
        <v>59</v>
      </c>
      <c r="I32" s="5">
        <f>G32*H32</f>
        <v/>
      </c>
      <c r="J32" s="5">
        <f>H32/E32</f>
        <v/>
      </c>
      <c r="K32" s="5" t="n">
        <v>63.61</v>
      </c>
      <c r="L32" s="5" t="n">
        <v>63.61</v>
      </c>
      <c r="M32" s="5" t="n">
        <v>63.60999999999999</v>
      </c>
      <c r="N32" s="6">
        <f>J32/M32-1</f>
        <v/>
      </c>
      <c r="O32" s="6">
        <f>J32/K32-1</f>
        <v/>
      </c>
      <c r="P32" s="2" t="inlineStr">
        <is>
          <t>OK (≤ últ. compra)</t>
        </is>
      </c>
      <c r="Q32" s="2" t="inlineStr"/>
    </row>
    <row r="33">
      <c r="A33" s="2" t="n">
        <v>635411</v>
      </c>
      <c r="B33" s="2" t="inlineStr"/>
      <c r="C33" s="3" t="inlineStr">
        <is>
          <t>7896311775439</t>
        </is>
      </c>
      <c r="D33" s="2" t="inlineStr">
        <is>
          <t>REFIL CREAMASS INTEGRALMEDICA CHOCOLATE 3KG</t>
        </is>
      </c>
      <c r="E33" s="4" t="n">
        <v>1</v>
      </c>
      <c r="F33" s="4" t="n">
        <v>1</v>
      </c>
      <c r="G33" s="4" t="n">
        <v>1</v>
      </c>
      <c r="H33" s="5" t="n">
        <v>106</v>
      </c>
      <c r="I33" s="5">
        <f>G33*H33</f>
        <v/>
      </c>
      <c r="J33" s="5">
        <f>H33/E33</f>
        <v/>
      </c>
      <c r="K33" s="5" t="n">
        <v>106.26</v>
      </c>
      <c r="L33" s="5" t="n">
        <v>79.20999999999999</v>
      </c>
      <c r="M33" s="5" t="n">
        <v>89.10666666666667</v>
      </c>
      <c r="N33" s="6">
        <f>J33/M33-1</f>
        <v/>
      </c>
      <c r="O33" s="6">
        <f>J33/K33-1</f>
        <v/>
      </c>
      <c r="P33" s="2" t="inlineStr">
        <is>
          <t>OK (≤ últ. compra)</t>
        </is>
      </c>
      <c r="Q33" s="2" t="inlineStr"/>
    </row>
    <row r="34">
      <c r="A34" s="2" t="n">
        <v>661501</v>
      </c>
      <c r="B34" s="2" t="inlineStr"/>
      <c r="C34" s="3" t="inlineStr">
        <is>
          <t>7898626448343</t>
        </is>
      </c>
      <c r="D34" s="2" t="inlineStr">
        <is>
          <t>REFIL ISOLATE PROTEIN MIX PROFIT BAUNILHA 900G</t>
        </is>
      </c>
      <c r="E34" s="4" t="n">
        <v>1</v>
      </c>
      <c r="F34" s="4" t="n">
        <v>1</v>
      </c>
      <c r="G34" s="4" t="n">
        <v>1</v>
      </c>
      <c r="H34" s="5" t="n">
        <v>71</v>
      </c>
      <c r="I34" s="5">
        <f>G34*H34</f>
        <v/>
      </c>
      <c r="J34" s="5">
        <f>H34/E34</f>
        <v/>
      </c>
      <c r="K34" s="5" t="n">
        <v>71.40000000000001</v>
      </c>
      <c r="L34" s="5" t="n">
        <v>71.40000000000001</v>
      </c>
      <c r="M34" s="5" t="n">
        <v>71.40000000000001</v>
      </c>
      <c r="N34" s="6">
        <f>J34/M34-1</f>
        <v/>
      </c>
      <c r="O34" s="6">
        <f>J34/K34-1</f>
        <v/>
      </c>
      <c r="P34" s="2" t="inlineStr">
        <is>
          <t>OK (≤ últ. compra)</t>
        </is>
      </c>
      <c r="Q34" s="2" t="inlineStr"/>
    </row>
    <row r="35">
      <c r="A35" s="2" t="n">
        <v>30003</v>
      </c>
      <c r="B35" s="2" t="inlineStr"/>
      <c r="C35" s="3" t="inlineStr">
        <is>
          <t>7896311778072</t>
        </is>
      </c>
      <c r="D35" s="2" t="inlineStr">
        <is>
          <t>REFIL NUTRIWHEY INTEGRAL MORANGO 1,2KG</t>
        </is>
      </c>
      <c r="E35" s="4" t="n">
        <v>1</v>
      </c>
      <c r="F35" s="4" t="n">
        <v>3</v>
      </c>
      <c r="G35" s="4" t="n">
        <v>3</v>
      </c>
      <c r="H35" s="5" t="n">
        <v>85</v>
      </c>
      <c r="I35" s="5">
        <f>G35*H35</f>
        <v/>
      </c>
      <c r="J35" s="5">
        <f>H35/E35</f>
        <v/>
      </c>
      <c r="K35" s="5" t="n">
        <v>85.67</v>
      </c>
      <c r="L35" s="5" t="n">
        <v>85.67</v>
      </c>
      <c r="M35" s="5" t="n">
        <v>85.67</v>
      </c>
      <c r="N35" s="6">
        <f>J35/M35-1</f>
        <v/>
      </c>
      <c r="O35" s="6">
        <f>J35/K35-1</f>
        <v/>
      </c>
      <c r="P35" s="2" t="inlineStr">
        <is>
          <t>OK (≤ últ. compra)</t>
        </is>
      </c>
      <c r="Q35" s="2" t="inlineStr"/>
    </row>
    <row r="36">
      <c r="A36" s="2" t="n">
        <v>29703</v>
      </c>
      <c r="B36" s="2" t="inlineStr"/>
      <c r="C36" s="3" t="inlineStr">
        <is>
          <t>7898626449623</t>
        </is>
      </c>
      <c r="D36" s="2" t="inlineStr">
        <is>
          <t>RF ISOLATE PROTEIN MIX PROFIT LEITE 900G</t>
        </is>
      </c>
      <c r="E36" s="4" t="n">
        <v>1</v>
      </c>
      <c r="F36" s="4" t="n">
        <v>2</v>
      </c>
      <c r="G36" s="4" t="n">
        <v>2</v>
      </c>
      <c r="H36" s="5" t="n">
        <v>71</v>
      </c>
      <c r="I36" s="5">
        <f>G36*H36</f>
        <v/>
      </c>
      <c r="J36" s="5">
        <f>H36/E36</f>
        <v/>
      </c>
      <c r="K36" s="5" t="n">
        <v>71.40000000000001</v>
      </c>
      <c r="L36" s="5" t="n">
        <v>71.40000000000001</v>
      </c>
      <c r="M36" s="5" t="n">
        <v>71.40000000000001</v>
      </c>
      <c r="N36" s="6">
        <f>J36/M36-1</f>
        <v/>
      </c>
      <c r="O36" s="6">
        <f>J36/K36-1</f>
        <v/>
      </c>
      <c r="P36" s="2" t="inlineStr">
        <is>
          <t>OK (≤ últ. compra)</t>
        </is>
      </c>
      <c r="Q36" s="2" t="inlineStr"/>
    </row>
    <row r="37">
      <c r="A37" s="2" t="n">
        <v>661461</v>
      </c>
      <c r="B37" s="2" t="inlineStr"/>
      <c r="C37" s="3" t="inlineStr">
        <is>
          <t>7898708731516</t>
        </is>
      </c>
      <c r="D37" s="2" t="inlineStr">
        <is>
          <t>THERMO FLAME CAVEIRAPRETA 120 TABLETES</t>
        </is>
      </c>
      <c r="E37" s="4" t="n">
        <v>1</v>
      </c>
      <c r="F37" s="4" t="n">
        <v>1</v>
      </c>
      <c r="G37" s="4" t="n">
        <v>1</v>
      </c>
      <c r="H37" s="5" t="n">
        <v>22</v>
      </c>
      <c r="I37" s="5">
        <f>G37*H37</f>
        <v/>
      </c>
      <c r="J37" s="5">
        <f>H37/E37</f>
        <v/>
      </c>
      <c r="K37" s="5" t="n">
        <v>39.65</v>
      </c>
      <c r="L37" s="5" t="n">
        <v>39.65</v>
      </c>
      <c r="M37" s="5" t="n">
        <v>39.65</v>
      </c>
      <c r="N37" s="6">
        <f>J37/M37-1</f>
        <v/>
      </c>
      <c r="O37" s="6">
        <f>J37/K37-1</f>
        <v/>
      </c>
      <c r="P37" s="2" t="inlineStr">
        <is>
          <t>OK (≤ últ. compra)</t>
        </is>
      </c>
      <c r="Q37" s="2" t="inlineStr"/>
    </row>
    <row r="38">
      <c r="D38" s="7" t="inlineStr">
        <is>
          <t>TOTAL</t>
        </is>
      </c>
      <c r="I38" s="8">
        <f>SUM(I2:I37)</f>
        <v/>
      </c>
    </row>
    <row r="40">
      <c r="A40" s="9" t="inlineStr">
        <is>
          <t>Pedido FINAL AT_SUPLEMENTOS — cotação 08/09/2026 (fechada 09/09). Somente itens aprovados: teto de reajuste de 4% sobre a última compra OU 6% sobre a média histórica (3/6/12m). 'Qtd pedido' na embalagem do fornecedor.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2026-09-09T15:37:05Z</dcterms:created>
  <dcterms:modified xsi:type="dcterms:W3CDTF">2026-09-09T15:37:05Z</dcterms:modified>
</cp:coreProperties>
</file>