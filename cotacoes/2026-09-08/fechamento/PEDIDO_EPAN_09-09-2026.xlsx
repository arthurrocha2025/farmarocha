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46" customWidth="1" min="4" max="4"/>
    <col width="8" customWidth="1" min="5" max="5"/>
    <col width="8" customWidth="1" min="6" max="6"/>
    <col width="9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26" customWidth="1" min="17" max="17"/>
  </cols>
  <sheetData>
    <row r="1" ht="26" customHeight="1">
      <c r="A1" s="1" t="inlineStr">
        <is>
          <t>Cód. interno</t>
        </is>
      </c>
      <c r="B1" s="1" t="inlineStr">
        <is>
          <t>Cód. forn.</t>
        </is>
      </c>
      <c r="C1" s="1" t="inlineStr">
        <is>
          <t>EAN</t>
        </is>
      </c>
      <c r="D1" s="1" t="inlineStr">
        <is>
          <t>Produto</t>
        </is>
      </c>
      <c r="E1" s="1" t="inlineStr">
        <is>
          <t>Un/Emb</t>
        </is>
      </c>
      <c r="F1" s="1" t="inlineStr">
        <is>
          <t>Caixas</t>
        </is>
      </c>
      <c r="G1" s="1" t="inlineStr">
        <is>
          <t>Qtd pedido</t>
        </is>
      </c>
      <c r="H1" s="1" t="inlineStr">
        <is>
          <t>Preço (emb.)</t>
        </is>
      </c>
      <c r="I1" s="1" t="inlineStr">
        <is>
          <t>Total</t>
        </is>
      </c>
      <c r="J1" s="1" t="inlineStr">
        <is>
          <t>Preço un. eq.</t>
        </is>
      </c>
      <c r="K1" s="1" t="inlineStr">
        <is>
          <t>Últ. compra</t>
        </is>
      </c>
      <c r="L1" s="1" t="inlineStr">
        <is>
          <t>Menor hist.</t>
        </is>
      </c>
      <c r="M1" s="1" t="inlineStr">
        <is>
          <t>Média hist.</t>
        </is>
      </c>
      <c r="N1" s="1" t="inlineStr">
        <is>
          <t>% vs média hist.</t>
        </is>
      </c>
      <c r="O1" s="1" t="inlineStr">
        <is>
          <t>% vs últ. compra</t>
        </is>
      </c>
      <c r="P1" s="1" t="inlineStr">
        <is>
          <t>Status</t>
        </is>
      </c>
      <c r="Q1" s="1" t="inlineStr">
        <is>
          <t>OBS</t>
        </is>
      </c>
    </row>
    <row r="2">
      <c r="A2" s="2" t="n">
        <v>662971</v>
      </c>
      <c r="B2" s="2" t="inlineStr">
        <is>
          <t>719407</t>
        </is>
      </c>
      <c r="C2" s="3" t="inlineStr">
        <is>
          <t>7891150080119</t>
        </is>
      </c>
      <c r="D2" s="2" t="inlineStr">
        <is>
          <t>- CR TRAT SEDA COLAGVITAM C 300G   UNIL %DN:13.00</t>
        </is>
      </c>
      <c r="E2" s="4" t="n">
        <v>1</v>
      </c>
      <c r="F2" s="4" t="n">
        <v>2</v>
      </c>
      <c r="G2" s="4" t="n">
        <v>2</v>
      </c>
      <c r="H2" s="5" t="n">
        <v>10.03</v>
      </c>
      <c r="I2" s="5">
        <f>G2*H2</f>
        <v/>
      </c>
      <c r="J2" s="5">
        <f>H2/E2</f>
        <v/>
      </c>
      <c r="K2" s="5" t="n">
        <v>10.5867</v>
      </c>
      <c r="L2" s="5" t="n">
        <v>10.5867</v>
      </c>
      <c r="M2" s="5" t="n">
        <v>10.5867</v>
      </c>
      <c r="N2" s="6">
        <f>J2/M2-1</f>
        <v/>
      </c>
      <c r="O2" s="6">
        <f>J2/K2-1</f>
        <v/>
      </c>
      <c r="P2" s="2" t="inlineStr">
        <is>
          <t>OK (≤ últ. compra)</t>
        </is>
      </c>
      <c r="Q2" s="2" t="inlineStr"/>
    </row>
    <row r="3">
      <c r="A3" s="2" t="n">
        <v>663021</v>
      </c>
      <c r="B3" s="2" t="inlineStr">
        <is>
          <t>720275</t>
        </is>
      </c>
      <c r="C3" s="3" t="inlineStr">
        <is>
          <t>7891150087385</t>
        </is>
      </c>
      <c r="D3" s="2" t="inlineStr">
        <is>
          <t>- DEO SUAVE AER AP FRUT VER 200ML   UNIL %DN:5.00</t>
        </is>
      </c>
      <c r="E3" s="4" t="n">
        <v>1</v>
      </c>
      <c r="F3" s="4" t="n">
        <v>1</v>
      </c>
      <c r="G3" s="4" t="n">
        <v>1</v>
      </c>
      <c r="H3" s="5" t="n">
        <v>6.92</v>
      </c>
      <c r="I3" s="5">
        <f>G3*H3</f>
        <v/>
      </c>
      <c r="J3" s="5">
        <f>H3/E3</f>
        <v/>
      </c>
      <c r="K3" s="5" t="n">
        <v>8.039999999999999</v>
      </c>
      <c r="L3" s="5" t="n">
        <v>8.039999999999999</v>
      </c>
      <c r="M3" s="5" t="n">
        <v>8.039999999999999</v>
      </c>
      <c r="N3" s="6">
        <f>J3/M3-1</f>
        <v/>
      </c>
      <c r="O3" s="6">
        <f>J3/K3-1</f>
        <v/>
      </c>
      <c r="P3" s="2" t="inlineStr">
        <is>
          <t>OK (≤ últ. compra)</t>
        </is>
      </c>
      <c r="Q3" s="2" t="inlineStr"/>
    </row>
    <row r="4">
      <c r="A4" s="2" t="n">
        <v>663121</v>
      </c>
      <c r="B4" s="2" t="inlineStr">
        <is>
          <t>722552</t>
        </is>
      </c>
      <c r="C4" s="3" t="inlineStr">
        <is>
          <t>7891150097377</t>
        </is>
      </c>
      <c r="D4" s="2" t="inlineStr">
        <is>
          <t>- KIT SHP+COND SEDA CERAMIDAS 300ML+190ML   UNIL %DN:10.00</t>
        </is>
      </c>
      <c r="E4" s="4" t="n">
        <v>1</v>
      </c>
      <c r="F4" s="4" t="n">
        <v>1</v>
      </c>
      <c r="G4" s="4" t="n">
        <v>1</v>
      </c>
      <c r="H4" s="5" t="n">
        <v>12.94</v>
      </c>
      <c r="I4" s="5">
        <f>G4*H4</f>
        <v/>
      </c>
      <c r="J4" s="5">
        <f>H4/E4</f>
        <v/>
      </c>
      <c r="K4" s="5" t="n">
        <v>13.22</v>
      </c>
      <c r="L4" s="5" t="n">
        <v>13.22</v>
      </c>
      <c r="M4" s="5" t="n">
        <v>13.22</v>
      </c>
      <c r="N4" s="6">
        <f>J4/M4-1</f>
        <v/>
      </c>
      <c r="O4" s="6">
        <f>J4/K4-1</f>
        <v/>
      </c>
      <c r="P4" s="2" t="inlineStr">
        <is>
          <t>OK (≤ últ. compra)</t>
        </is>
      </c>
      <c r="Q4" s="2" t="inlineStr"/>
    </row>
    <row r="5">
      <c r="A5" s="2" t="n">
        <v>653411</v>
      </c>
      <c r="B5" s="2" t="inlineStr">
        <is>
          <t>722932</t>
        </is>
      </c>
      <c r="C5" s="3" t="inlineStr">
        <is>
          <t>7896512927606</t>
        </is>
      </c>
      <c r="D5" s="2" t="inlineStr">
        <is>
          <t>- LENCO UMED BEBE LAVANDA 50UN   CASA %DN:10.00</t>
        </is>
      </c>
      <c r="E5" s="4" t="n">
        <v>1</v>
      </c>
      <c r="F5" s="4" t="n">
        <v>1</v>
      </c>
      <c r="G5" s="4" t="n">
        <v>1</v>
      </c>
      <c r="H5" s="5" t="n">
        <v>10.12</v>
      </c>
      <c r="I5" s="5">
        <f>G5*H5</f>
        <v/>
      </c>
      <c r="J5" s="5">
        <f>H5/E5</f>
        <v/>
      </c>
      <c r="K5" s="5" t="n">
        <v>10.44</v>
      </c>
      <c r="L5" s="5" t="n">
        <v>10.44</v>
      </c>
      <c r="M5" s="5" t="n">
        <v>10.44</v>
      </c>
      <c r="N5" s="6">
        <f>J5/M5-1</f>
        <v/>
      </c>
      <c r="O5" s="6">
        <f>J5/K5-1</f>
        <v/>
      </c>
      <c r="P5" s="2" t="inlineStr">
        <is>
          <t>OK (≤ últ. compra)</t>
        </is>
      </c>
      <c r="Q5" s="2" t="inlineStr"/>
    </row>
    <row r="6">
      <c r="A6" s="2" t="n">
        <v>274461</v>
      </c>
      <c r="B6" s="2" t="inlineStr">
        <is>
          <t>100013</t>
        </is>
      </c>
      <c r="C6" s="3" t="inlineStr">
        <is>
          <t>7898040320973</t>
        </is>
      </c>
      <c r="D6" s="2" t="inlineStr">
        <is>
          <t>ABRILAR 7MG XPE FR 100ML+CM</t>
        </is>
      </c>
      <c r="E6" s="4" t="n">
        <v>1</v>
      </c>
      <c r="F6" s="4" t="n">
        <v>5</v>
      </c>
      <c r="G6" s="4" t="n">
        <v>5</v>
      </c>
      <c r="H6" s="5" t="n">
        <v>41.46</v>
      </c>
      <c r="I6" s="5">
        <f>G6*H6</f>
        <v/>
      </c>
      <c r="J6" s="5">
        <f>H6/E6</f>
        <v/>
      </c>
      <c r="K6" s="5" t="n">
        <v>42.64</v>
      </c>
      <c r="L6" s="5" t="n">
        <v>33.1775</v>
      </c>
      <c r="M6" s="5" t="n">
        <v>36.61166666666667</v>
      </c>
      <c r="N6" s="6">
        <f>J6/M6-1</f>
        <v/>
      </c>
      <c r="O6" s="6">
        <f>J6/K6-1</f>
        <v/>
      </c>
      <c r="P6" s="2" t="inlineStr">
        <is>
          <t>OK (≤ últ. compra)</t>
        </is>
      </c>
      <c r="Q6" s="2" t="inlineStr"/>
    </row>
    <row r="7">
      <c r="A7" s="2" t="n">
        <v>595471</v>
      </c>
      <c r="B7" s="2" t="inlineStr">
        <is>
          <t>713812</t>
        </is>
      </c>
      <c r="C7" s="3" t="inlineStr">
        <is>
          <t>7896007542482</t>
        </is>
      </c>
      <c r="D7" s="2" t="inlineStr">
        <is>
          <t>ABS INT DAYS S/AB 40UN</t>
        </is>
      </c>
      <c r="E7" s="4" t="n">
        <v>1</v>
      </c>
      <c r="F7" s="4" t="n">
        <v>2</v>
      </c>
      <c r="G7" s="4" t="n">
        <v>2</v>
      </c>
      <c r="H7" s="5" t="n">
        <v>9.16</v>
      </c>
      <c r="I7" s="5">
        <f>G7*H7</f>
        <v/>
      </c>
      <c r="J7" s="5">
        <f>H7/E7</f>
        <v/>
      </c>
      <c r="K7" s="5" t="n">
        <v>11.3917</v>
      </c>
      <c r="L7" s="5" t="n">
        <v>11.3917</v>
      </c>
      <c r="M7" s="5" t="n">
        <v>11.3917</v>
      </c>
      <c r="N7" s="6">
        <f>J7/M7-1</f>
        <v/>
      </c>
      <c r="O7" s="6">
        <f>J7/K7-1</f>
        <v/>
      </c>
      <c r="P7" s="2" t="inlineStr">
        <is>
          <t>OK (≤ últ. compra)</t>
        </is>
      </c>
      <c r="Q7" s="2" t="inlineStr"/>
    </row>
    <row r="8">
      <c r="A8" s="2" t="n">
        <v>659431</v>
      </c>
      <c r="B8" s="2" t="inlineStr">
        <is>
          <t>714894</t>
        </is>
      </c>
      <c r="C8" s="3" t="inlineStr">
        <is>
          <t>7891010245603</t>
        </is>
      </c>
      <c r="D8" s="2" t="inlineStr">
        <is>
          <t>ABS INTERNO OB PROCOMFORT MED C/8</t>
        </is>
      </c>
      <c r="E8" s="4" t="n">
        <v>1</v>
      </c>
      <c r="F8" s="4" t="n">
        <v>6</v>
      </c>
      <c r="G8" s="4" t="n">
        <v>6</v>
      </c>
      <c r="H8" s="5" t="n">
        <v>9.109999999999999</v>
      </c>
      <c r="I8" s="5">
        <f>G8*H8</f>
        <v/>
      </c>
      <c r="J8" s="5">
        <f>H8/E8</f>
        <v/>
      </c>
      <c r="K8" s="5" t="n">
        <v>8.8025</v>
      </c>
      <c r="L8" s="5" t="n">
        <v>8.8025</v>
      </c>
      <c r="M8" s="5" t="n">
        <v>8.8025</v>
      </c>
      <c r="N8" s="6">
        <f>J8/M8-1</f>
        <v/>
      </c>
      <c r="O8" s="6">
        <f>J8/K8-1</f>
        <v/>
      </c>
      <c r="P8" s="2" t="inlineStr">
        <is>
          <t>REAJUSTE +3.5% vs últ. (≤4%)</t>
        </is>
      </c>
      <c r="Q8" s="2" t="inlineStr"/>
    </row>
    <row r="9">
      <c r="A9" s="2" t="n">
        <v>628601</v>
      </c>
      <c r="B9" s="2" t="inlineStr">
        <is>
          <t>716425</t>
        </is>
      </c>
      <c r="C9" s="3" t="inlineStr">
        <is>
          <t>7896007550890</t>
        </is>
      </c>
      <c r="D9" s="2" t="inlineStr">
        <is>
          <t>ABS INTIM GEL NOTUR C/ABAS SUAVE C/30</t>
        </is>
      </c>
      <c r="E9" s="4" t="n">
        <v>1</v>
      </c>
      <c r="F9" s="4" t="n">
        <v>3</v>
      </c>
      <c r="G9" s="4" t="n">
        <v>3</v>
      </c>
      <c r="H9" s="5" t="n">
        <v>22.25</v>
      </c>
      <c r="I9" s="5">
        <f>G9*H9</f>
        <v/>
      </c>
      <c r="J9" s="5">
        <f>H9/E9</f>
        <v/>
      </c>
      <c r="K9" s="5" t="n">
        <v>26.1</v>
      </c>
      <c r="L9" s="5" t="n">
        <v>17.6317</v>
      </c>
      <c r="M9" s="5" t="n">
        <v>19.25056666666667</v>
      </c>
      <c r="N9" s="6">
        <f>J9/M9-1</f>
        <v/>
      </c>
      <c r="O9" s="6">
        <f>J9/K9-1</f>
        <v/>
      </c>
      <c r="P9" s="2" t="inlineStr">
        <is>
          <t>OK (≤ últ. compra)</t>
        </is>
      </c>
      <c r="Q9" s="2" t="inlineStr"/>
    </row>
    <row r="10">
      <c r="A10" s="2" t="n">
        <v>556581</v>
      </c>
      <c r="B10" s="2" t="inlineStr">
        <is>
          <t>710692</t>
        </is>
      </c>
      <c r="C10" s="3" t="inlineStr">
        <is>
          <t>7891010886547</t>
        </is>
      </c>
      <c r="D10" s="2" t="inlineStr">
        <is>
          <t>ABS OB INTERNO MEDIO 10UN</t>
        </is>
      </c>
      <c r="E10" s="4" t="n">
        <v>1</v>
      </c>
      <c r="F10" s="4" t="n">
        <v>11</v>
      </c>
      <c r="G10" s="4" t="n">
        <v>11</v>
      </c>
      <c r="H10" s="5" t="n">
        <v>9.109999999999999</v>
      </c>
      <c r="I10" s="5">
        <f>G10*H10</f>
        <v/>
      </c>
      <c r="J10" s="5">
        <f>H10/E10</f>
        <v/>
      </c>
      <c r="K10" s="5" t="n">
        <v>10.83</v>
      </c>
      <c r="L10" s="5" t="n">
        <v>8.3733</v>
      </c>
      <c r="M10" s="5" t="n">
        <v>9.347099999999999</v>
      </c>
      <c r="N10" s="6">
        <f>J10/M10-1</f>
        <v/>
      </c>
      <c r="O10" s="6">
        <f>J10/K10-1</f>
        <v/>
      </c>
      <c r="P10" s="2" t="inlineStr">
        <is>
          <t>OK (≤ últ. compra)</t>
        </is>
      </c>
      <c r="Q10" s="2" t="inlineStr"/>
    </row>
    <row r="11">
      <c r="A11" s="2" t="n">
        <v>556621</v>
      </c>
      <c r="B11" s="2" t="inlineStr">
        <is>
          <t>700077</t>
        </is>
      </c>
      <c r="C11" s="3" t="inlineStr">
        <is>
          <t>7891010010577</t>
        </is>
      </c>
      <c r="D11" s="2" t="inlineStr">
        <is>
          <t>ABS OB INTERNO SUPER 10UN</t>
        </is>
      </c>
      <c r="E11" s="4" t="n">
        <v>1</v>
      </c>
      <c r="F11" s="4" t="n">
        <v>16</v>
      </c>
      <c r="G11" s="4" t="n">
        <v>16</v>
      </c>
      <c r="H11" s="5" t="n">
        <v>9.109999999999999</v>
      </c>
      <c r="I11" s="5">
        <f>G11*H11</f>
        <v/>
      </c>
      <c r="J11" s="5">
        <f>H11/E11</f>
        <v/>
      </c>
      <c r="K11" s="5" t="n">
        <v>9.199999999999999</v>
      </c>
      <c r="L11" s="5" t="n">
        <v>7.78</v>
      </c>
      <c r="M11" s="5" t="n">
        <v>8.726666666666667</v>
      </c>
      <c r="N11" s="6">
        <f>J11/M11-1</f>
        <v/>
      </c>
      <c r="O11" s="6">
        <f>J11/K11-1</f>
        <v/>
      </c>
      <c r="P11" s="2" t="inlineStr">
        <is>
          <t>OK (≤ últ. compra)</t>
        </is>
      </c>
      <c r="Q11" s="2" t="inlineStr"/>
    </row>
    <row r="12">
      <c r="A12" s="2" t="n">
        <v>25403</v>
      </c>
      <c r="B12" s="2" t="inlineStr">
        <is>
          <t>722371</t>
        </is>
      </c>
      <c r="C12" s="3" t="inlineStr">
        <is>
          <t>7897211100482</t>
        </is>
      </c>
      <c r="D12" s="2" t="inlineStr">
        <is>
          <t>ABS P/SEIOS AMAME DIA&amp;NOITE C/24-DEMAIS PROD</t>
        </is>
      </c>
      <c r="E12" s="4" t="n">
        <v>1</v>
      </c>
      <c r="F12" s="4" t="n">
        <v>4</v>
      </c>
      <c r="G12" s="4" t="n">
        <v>4</v>
      </c>
      <c r="H12" s="5" t="n">
        <v>18.8</v>
      </c>
      <c r="I12" s="5">
        <f>G12*H12</f>
        <v/>
      </c>
      <c r="J12" s="5">
        <f>H12/E12</f>
        <v/>
      </c>
      <c r="K12" s="5" t="n">
        <v>21.76</v>
      </c>
      <c r="L12" s="5" t="n">
        <v>17.955</v>
      </c>
      <c r="M12" s="5" t="n">
        <v>17.955</v>
      </c>
      <c r="N12" s="6">
        <f>J12/M12-1</f>
        <v/>
      </c>
      <c r="O12" s="6">
        <f>J12/K12-1</f>
        <v/>
      </c>
      <c r="P12" s="2" t="inlineStr">
        <is>
          <t>OK (≤ últ. compra)</t>
        </is>
      </c>
      <c r="Q12" s="2" t="inlineStr"/>
    </row>
    <row r="13">
      <c r="A13" s="2" t="n">
        <v>598971</v>
      </c>
      <c r="B13" s="2" t="inlineStr">
        <is>
          <t>722218</t>
        </is>
      </c>
      <c r="C13" s="3" t="inlineStr">
        <is>
          <t>7891010697518</t>
        </is>
      </c>
      <c r="D13" s="2" t="inlineStr">
        <is>
          <t>ABS S LIVRE AD SE C/AB 32UN</t>
        </is>
      </c>
      <c r="E13" s="4" t="n">
        <v>1</v>
      </c>
      <c r="F13" s="4" t="n">
        <v>4</v>
      </c>
      <c r="G13" s="4" t="n">
        <v>4</v>
      </c>
      <c r="H13" s="5" t="n">
        <v>26.83</v>
      </c>
      <c r="I13" s="5">
        <f>G13*H13</f>
        <v/>
      </c>
      <c r="J13" s="5">
        <f>H13/E13</f>
        <v/>
      </c>
      <c r="K13" s="5" t="n">
        <v>26.05</v>
      </c>
      <c r="L13" s="5" t="n">
        <v>26.05</v>
      </c>
      <c r="M13" s="5" t="n">
        <v>26.05</v>
      </c>
      <c r="N13" s="6">
        <f>J13/M13-1</f>
        <v/>
      </c>
      <c r="O13" s="6">
        <f>J13/K13-1</f>
        <v/>
      </c>
      <c r="P13" s="2" t="inlineStr">
        <is>
          <t>REAJUSTE +3.0% vs últ. (≤4%)</t>
        </is>
      </c>
      <c r="Q13" s="2" t="inlineStr"/>
    </row>
    <row r="14">
      <c r="A14" s="2" t="n">
        <v>595251</v>
      </c>
      <c r="B14" s="2" t="inlineStr">
        <is>
          <t>710673</t>
        </is>
      </c>
      <c r="C14" s="3" t="inlineStr">
        <is>
          <t>7891010518844</t>
        </is>
      </c>
      <c r="D14" s="2" t="inlineStr">
        <is>
          <t>ABS S LIVRE AD SU C/AB 32UN</t>
        </is>
      </c>
      <c r="E14" s="4" t="n">
        <v>1</v>
      </c>
      <c r="F14" s="4" t="n">
        <v>4</v>
      </c>
      <c r="G14" s="4" t="n">
        <v>4</v>
      </c>
      <c r="H14" s="5" t="n">
        <v>26.83</v>
      </c>
      <c r="I14" s="5">
        <f>G14*H14</f>
        <v/>
      </c>
      <c r="J14" s="5">
        <f>H14/E14</f>
        <v/>
      </c>
      <c r="K14" s="5" t="n">
        <v>26.05</v>
      </c>
      <c r="L14" s="5" t="n">
        <v>22.8483</v>
      </c>
      <c r="M14" s="5" t="n">
        <v>24.98276666666667</v>
      </c>
      <c r="N14" s="6">
        <f>J14/M14-1</f>
        <v/>
      </c>
      <c r="O14" s="6">
        <f>J14/K14-1</f>
        <v/>
      </c>
      <c r="P14" s="2" t="inlineStr">
        <is>
          <t>REAJUSTE +3.0% vs últ. (≤4%)</t>
        </is>
      </c>
      <c r="Q14" s="2" t="inlineStr"/>
    </row>
    <row r="15">
      <c r="A15" s="2" t="n">
        <v>634121</v>
      </c>
      <c r="B15" s="2" t="inlineStr">
        <is>
          <t>718807</t>
        </is>
      </c>
      <c r="C15" s="3" t="inlineStr">
        <is>
          <t>7891010254155</t>
        </is>
      </c>
      <c r="D15" s="2" t="inlineStr">
        <is>
          <t>ABS S LIVRE ESP ADPT C/ABA 32UN</t>
        </is>
      </c>
      <c r="E15" s="4" t="n">
        <v>1</v>
      </c>
      <c r="F15" s="4" t="n">
        <v>7</v>
      </c>
      <c r="G15" s="4" t="n">
        <v>7</v>
      </c>
      <c r="H15" s="5" t="n">
        <v>14.11</v>
      </c>
      <c r="I15" s="5">
        <f>G15*H15</f>
        <v/>
      </c>
      <c r="J15" s="5">
        <f>H15/E15</f>
        <v/>
      </c>
      <c r="K15" s="5" t="n">
        <v>13.745</v>
      </c>
      <c r="L15" s="5" t="n">
        <v>12.0283</v>
      </c>
      <c r="M15" s="5" t="n">
        <v>13.17163333333333</v>
      </c>
      <c r="N15" s="6">
        <f>J15/M15-1</f>
        <v/>
      </c>
      <c r="O15" s="6">
        <f>J15/K15-1</f>
        <v/>
      </c>
      <c r="P15" s="2" t="inlineStr">
        <is>
          <t>REAJUSTE +2.7% vs últ. (≤4%)</t>
        </is>
      </c>
      <c r="Q15" s="2" t="inlineStr"/>
    </row>
    <row r="16">
      <c r="A16" s="2" t="n">
        <v>540161</v>
      </c>
      <c r="B16" s="2" t="inlineStr">
        <is>
          <t>708969</t>
        </is>
      </c>
      <c r="C16" s="3" t="inlineStr">
        <is>
          <t>7891010694593</t>
        </is>
      </c>
      <c r="D16" s="2" t="inlineStr">
        <is>
          <t>ABS SEMPRE LIVRE ADAPT PLUS NOITE E DIA 8 UN</t>
        </is>
      </c>
      <c r="E16" s="4" t="n">
        <v>1</v>
      </c>
      <c r="F16" s="4" t="n">
        <v>4</v>
      </c>
      <c r="G16" s="4" t="n">
        <v>4</v>
      </c>
      <c r="H16" s="5" t="n">
        <v>8.41</v>
      </c>
      <c r="I16" s="5">
        <f>G16*H16</f>
        <v/>
      </c>
      <c r="J16" s="5">
        <f>H16/E16</f>
        <v/>
      </c>
      <c r="K16" s="5" t="n">
        <v>8.294600000000001</v>
      </c>
      <c r="L16" s="5" t="n">
        <v>7.3521</v>
      </c>
      <c r="M16" s="5" t="n">
        <v>7.980433333333334</v>
      </c>
      <c r="N16" s="6">
        <f>J16/M16-1</f>
        <v/>
      </c>
      <c r="O16" s="6">
        <f>J16/K16-1</f>
        <v/>
      </c>
      <c r="P16" s="2" t="inlineStr">
        <is>
          <t>REAJUSTE +1.4% vs últ. (≤4%)</t>
        </is>
      </c>
      <c r="Q16" s="2" t="inlineStr"/>
    </row>
    <row r="17">
      <c r="A17" s="2" t="n">
        <v>628331</v>
      </c>
      <c r="B17" s="2" t="inlineStr">
        <is>
          <t>700087</t>
        </is>
      </c>
      <c r="C17" s="3" t="inlineStr">
        <is>
          <t>7891010031633</t>
        </is>
      </c>
      <c r="D17" s="2" t="inlineStr">
        <is>
          <t>ABS SL ADAPT PLUS SUAVE ABAS C/8</t>
        </is>
      </c>
      <c r="E17" s="4" t="n">
        <v>1</v>
      </c>
      <c r="F17" s="4" t="n">
        <v>10</v>
      </c>
      <c r="G17" s="4" t="n">
        <v>10</v>
      </c>
      <c r="H17" s="5" t="n">
        <v>5.34</v>
      </c>
      <c r="I17" s="5">
        <f>G17*H17</f>
        <v/>
      </c>
      <c r="J17" s="5">
        <f>H17/E17</f>
        <v/>
      </c>
      <c r="K17" s="5" t="n">
        <v>5.2817</v>
      </c>
      <c r="L17" s="5" t="n">
        <v>4.6689</v>
      </c>
      <c r="M17" s="5" t="n">
        <v>5.077433333333333</v>
      </c>
      <c r="N17" s="6">
        <f>J17/M17-1</f>
        <v/>
      </c>
      <c r="O17" s="6">
        <f>J17/K17-1</f>
        <v/>
      </c>
      <c r="P17" s="2" t="inlineStr">
        <is>
          <t>REAJUSTE +1.1% vs últ. (≤4%)</t>
        </is>
      </c>
      <c r="Q17" s="2" t="inlineStr"/>
    </row>
    <row r="18">
      <c r="A18" s="2" t="n">
        <v>577761</v>
      </c>
      <c r="B18" s="2" t="inlineStr">
        <is>
          <t>713901</t>
        </is>
      </c>
      <c r="C18" s="3" t="inlineStr">
        <is>
          <t>7896007544042</t>
        </is>
      </c>
      <c r="D18" s="2" t="inlineStr">
        <is>
          <t>ABS. INT. TRIP. PR. SU.C/AB. 32UN</t>
        </is>
      </c>
      <c r="E18" s="4" t="n">
        <v>1</v>
      </c>
      <c r="F18" s="4" t="n">
        <v>5</v>
      </c>
      <c r="G18" s="4" t="n">
        <v>5</v>
      </c>
      <c r="H18" s="5" t="n">
        <v>14.6</v>
      </c>
      <c r="I18" s="5">
        <f>G18*H18</f>
        <v/>
      </c>
      <c r="J18" s="5">
        <f>H18/E18</f>
        <v/>
      </c>
      <c r="K18" s="5" t="n">
        <v>14.53</v>
      </c>
      <c r="L18" s="5" t="n">
        <v>9.779999999999999</v>
      </c>
      <c r="M18" s="5" t="n">
        <v>12.94666666666667</v>
      </c>
      <c r="N18" s="6">
        <f>J18/M18-1</f>
        <v/>
      </c>
      <c r="O18" s="6">
        <f>J18/K18-1</f>
        <v/>
      </c>
      <c r="P18" s="2" t="inlineStr">
        <is>
          <t>REAJUSTE +0.5% vs últ. (≤4%)</t>
        </is>
      </c>
      <c r="Q18" s="2" t="inlineStr"/>
    </row>
    <row r="19">
      <c r="A19" s="2" t="n">
        <v>579801</v>
      </c>
      <c r="B19" s="2" t="inlineStr">
        <is>
          <t>717460</t>
        </is>
      </c>
      <c r="C19" s="3" t="inlineStr">
        <is>
          <t>7896007550548</t>
        </is>
      </c>
      <c r="D19" s="2" t="inlineStr">
        <is>
          <t>ABS. INTIMUS DAYS S/AB.40X1 ANT.PE</t>
        </is>
      </c>
      <c r="E19" s="4" t="n">
        <v>1</v>
      </c>
      <c r="F19" s="4" t="n">
        <v>3</v>
      </c>
      <c r="G19" s="4" t="n">
        <v>3</v>
      </c>
      <c r="H19" s="5" t="n">
        <v>9.16</v>
      </c>
      <c r="I19" s="5">
        <f>G19*H19</f>
        <v/>
      </c>
      <c r="J19" s="5">
        <f>H19/E19</f>
        <v/>
      </c>
      <c r="K19" s="5" t="n">
        <v>10.14</v>
      </c>
      <c r="L19" s="5" t="n">
        <v>8.859999999999999</v>
      </c>
      <c r="M19" s="5" t="n">
        <v>9.713333333333333</v>
      </c>
      <c r="N19" s="6">
        <f>J19/M19-1</f>
        <v/>
      </c>
      <c r="O19" s="6">
        <f>J19/K19-1</f>
        <v/>
      </c>
      <c r="P19" s="2" t="inlineStr">
        <is>
          <t>OK (≤ últ. compra)</t>
        </is>
      </c>
      <c r="Q19" s="2" t="inlineStr"/>
    </row>
    <row r="20">
      <c r="A20" s="2" t="n">
        <v>577741</v>
      </c>
      <c r="B20" s="2" t="inlineStr">
        <is>
          <t>713483</t>
        </is>
      </c>
      <c r="C20" s="3" t="inlineStr">
        <is>
          <t>7891010579616</t>
        </is>
      </c>
      <c r="D20" s="2" t="inlineStr">
        <is>
          <t>ABS. S. LIVRE AD.SU.C/AB.16UN</t>
        </is>
      </c>
      <c r="E20" s="4" t="n">
        <v>1</v>
      </c>
      <c r="F20" s="4" t="n">
        <v>4</v>
      </c>
      <c r="G20" s="4" t="n">
        <v>4</v>
      </c>
      <c r="H20" s="5" t="n">
        <v>9.98</v>
      </c>
      <c r="I20" s="5">
        <f>G20*H20</f>
        <v/>
      </c>
      <c r="J20" s="5">
        <f>H20/E20</f>
        <v/>
      </c>
      <c r="K20" s="5" t="n">
        <v>9.8767</v>
      </c>
      <c r="L20" s="5" t="n">
        <v>8.7217</v>
      </c>
      <c r="M20" s="5" t="n">
        <v>9.4917</v>
      </c>
      <c r="N20" s="6">
        <f>J20/M20-1</f>
        <v/>
      </c>
      <c r="O20" s="6">
        <f>J20/K20-1</f>
        <v/>
      </c>
      <c r="P20" s="2" t="inlineStr">
        <is>
          <t>REAJUSTE +1.0% vs últ. (≤4%)</t>
        </is>
      </c>
      <c r="Q20" s="2" t="inlineStr"/>
    </row>
    <row r="21">
      <c r="A21" s="2" t="n">
        <v>656241</v>
      </c>
      <c r="B21" s="2" t="inlineStr">
        <is>
          <t>714892</t>
        </is>
      </c>
      <c r="C21" s="3" t="inlineStr">
        <is>
          <t>7891010245610</t>
        </is>
      </c>
      <c r="D21" s="2" t="inlineStr">
        <is>
          <t>ABSORVENTE INTERNO OB SUPER PRO CONFORT C/ 8UN</t>
        </is>
      </c>
      <c r="E21" s="4" t="n">
        <v>1</v>
      </c>
      <c r="F21" s="4" t="n">
        <v>10</v>
      </c>
      <c r="G21" s="4" t="n">
        <v>10</v>
      </c>
      <c r="H21" s="5" t="n">
        <v>9.109999999999999</v>
      </c>
      <c r="I21" s="5">
        <f>G21*H21</f>
        <v/>
      </c>
      <c r="J21" s="5">
        <f>H21/E21</f>
        <v/>
      </c>
      <c r="K21" s="5" t="n">
        <v>10.83</v>
      </c>
      <c r="L21" s="5" t="n">
        <v>8.42</v>
      </c>
      <c r="M21" s="5" t="n">
        <v>10.02666666666667</v>
      </c>
      <c r="N21" s="6">
        <f>J21/M21-1</f>
        <v/>
      </c>
      <c r="O21" s="6">
        <f>J21/K21-1</f>
        <v/>
      </c>
      <c r="P21" s="2" t="inlineStr">
        <is>
          <t>OK (≤ últ. compra)</t>
        </is>
      </c>
      <c r="Q21" s="2" t="inlineStr"/>
    </row>
    <row r="22">
      <c r="A22" s="2" t="n">
        <v>671841</v>
      </c>
      <c r="B22" s="2" t="inlineStr">
        <is>
          <t>716921</t>
        </is>
      </c>
      <c r="C22" s="3" t="inlineStr">
        <is>
          <t>7896007551019</t>
        </is>
      </c>
      <c r="D22" s="2" t="inlineStr">
        <is>
          <t>ABSORVENTE INTIMO INTIMUS TODA RENOVADA  COM ABAS 14UN</t>
        </is>
      </c>
      <c r="E22" s="4" t="n">
        <v>1</v>
      </c>
      <c r="F22" s="4" t="n">
        <v>1</v>
      </c>
      <c r="G22" s="4" t="n">
        <v>1</v>
      </c>
      <c r="H22" s="5" t="n">
        <v>7.59</v>
      </c>
      <c r="I22" s="5">
        <f>G22*H22</f>
        <v/>
      </c>
      <c r="J22" s="5">
        <f>H22/E22</f>
        <v/>
      </c>
      <c r="K22" s="5" t="n"/>
      <c r="L22" s="5" t="n"/>
      <c r="M22" s="5" t="n"/>
      <c r="N22" s="6" t="n"/>
      <c r="O22" s="6" t="n"/>
      <c r="P22" s="2" t="inlineStr">
        <is>
          <t>SEM HISTÓRICO</t>
        </is>
      </c>
      <c r="Q22" s="2" t="inlineStr"/>
    </row>
    <row r="23">
      <c r="A23" s="2" t="n">
        <v>641531</v>
      </c>
      <c r="B23" s="2" t="inlineStr">
        <is>
          <t>716421</t>
        </is>
      </c>
      <c r="C23" s="3" t="inlineStr">
        <is>
          <t>7896007550814</t>
        </is>
      </c>
      <c r="D23" s="2" t="inlineStr">
        <is>
          <t>ABSORVENTE INTIMUS NOTURNO DISCRETO COM ABAS 1X28</t>
        </is>
      </c>
      <c r="E23" s="4" t="n">
        <v>1</v>
      </c>
      <c r="F23" s="4" t="n">
        <v>5</v>
      </c>
      <c r="G23" s="4" t="n">
        <v>5</v>
      </c>
      <c r="H23" s="5" t="n">
        <v>22.25</v>
      </c>
      <c r="I23" s="5">
        <f>G23*H23</f>
        <v/>
      </c>
      <c r="J23" s="5">
        <f>H23/E23</f>
        <v/>
      </c>
      <c r="K23" s="5" t="n">
        <v>21.1</v>
      </c>
      <c r="L23" s="5" t="n">
        <v>21.1</v>
      </c>
      <c r="M23" s="5" t="n">
        <v>21.1</v>
      </c>
      <c r="N23" s="6">
        <f>J23/M23-1</f>
        <v/>
      </c>
      <c r="O23" s="6">
        <f>J23/K23-1</f>
        <v/>
      </c>
      <c r="P23" s="2" t="inlineStr">
        <is>
          <t>REAJUSTE +5.5% vs média (≤6%)</t>
        </is>
      </c>
      <c r="Q23" s="2" t="inlineStr"/>
    </row>
    <row r="24">
      <c r="A24" s="2" t="n">
        <v>621421</v>
      </c>
      <c r="B24" s="2" t="inlineStr">
        <is>
          <t>715587</t>
        </is>
      </c>
      <c r="C24" s="3" t="inlineStr">
        <is>
          <t>3282770206050</t>
        </is>
      </c>
      <c r="D24" s="2" t="inlineStr">
        <is>
          <t>ACTINE PROT SOLAR FPS60 COR 40G</t>
        </is>
      </c>
      <c r="E24" s="4" t="n">
        <v>1</v>
      </c>
      <c r="F24" s="4" t="n">
        <v>1</v>
      </c>
      <c r="G24" s="4" t="n">
        <v>1</v>
      </c>
      <c r="H24" s="5" t="n">
        <v>56.86</v>
      </c>
      <c r="I24" s="5">
        <f>G24*H24</f>
        <v/>
      </c>
      <c r="J24" s="5">
        <f>H24/E24</f>
        <v/>
      </c>
      <c r="K24" s="5" t="n">
        <v>54.91</v>
      </c>
      <c r="L24" s="5" t="n">
        <v>54.91</v>
      </c>
      <c r="M24" s="5" t="n">
        <v>54.91</v>
      </c>
      <c r="N24" s="6">
        <f>J24/M24-1</f>
        <v/>
      </c>
      <c r="O24" s="6">
        <f>J24/K24-1</f>
        <v/>
      </c>
      <c r="P24" s="2" t="inlineStr">
        <is>
          <t>REAJUSTE +3.6% vs últ. (≤4%)</t>
        </is>
      </c>
      <c r="Q24" s="2" t="inlineStr"/>
    </row>
    <row r="25">
      <c r="A25" s="2" t="n">
        <v>642771</v>
      </c>
      <c r="B25" s="2" t="inlineStr">
        <is>
          <t>722011</t>
        </is>
      </c>
      <c r="C25" s="3" t="inlineStr">
        <is>
          <t>7892828001016</t>
        </is>
      </c>
      <c r="D25" s="2" t="inlineStr">
        <is>
          <t>ADEFORTE ORAL 01 AMP</t>
        </is>
      </c>
      <c r="E25" s="4" t="n">
        <v>1</v>
      </c>
      <c r="F25" s="4" t="n">
        <v>8</v>
      </c>
      <c r="G25" s="4" t="n">
        <v>8</v>
      </c>
      <c r="H25" s="5" t="n">
        <v>21.42</v>
      </c>
      <c r="I25" s="5">
        <f>G25*H25</f>
        <v/>
      </c>
      <c r="J25" s="5">
        <f>H25/E25</f>
        <v/>
      </c>
      <c r="K25" s="5" t="n">
        <v>24.86</v>
      </c>
      <c r="L25" s="5" t="n">
        <v>17.3474</v>
      </c>
      <c r="M25" s="5" t="n">
        <v>21.62523333333333</v>
      </c>
      <c r="N25" s="6">
        <f>J25/M25-1</f>
        <v/>
      </c>
      <c r="O25" s="6">
        <f>J25/K25-1</f>
        <v/>
      </c>
      <c r="P25" s="2" t="inlineStr">
        <is>
          <t>OK (≤ últ. compra)</t>
        </is>
      </c>
      <c r="Q25" s="2" t="inlineStr"/>
    </row>
    <row r="26">
      <c r="A26" s="2" t="n">
        <v>124481</v>
      </c>
      <c r="B26" s="2" t="inlineStr">
        <is>
          <t>104954</t>
        </is>
      </c>
      <c r="C26" s="3" t="inlineStr">
        <is>
          <t>7896094207851</t>
        </is>
      </c>
      <c r="D26" s="2" t="inlineStr">
        <is>
          <t>ANCORON 200MG CX 30 COMP REV</t>
        </is>
      </c>
      <c r="E26" s="4" t="n">
        <v>1</v>
      </c>
      <c r="F26" s="4" t="n">
        <v>1</v>
      </c>
      <c r="G26" s="4" t="n">
        <v>1</v>
      </c>
      <c r="H26" s="5" t="n">
        <v>48.36</v>
      </c>
      <c r="I26" s="5">
        <f>G26*H26</f>
        <v/>
      </c>
      <c r="J26" s="5">
        <f>H26/E26</f>
        <v/>
      </c>
      <c r="K26" s="5" t="n">
        <v>50.26</v>
      </c>
      <c r="L26" s="5" t="n">
        <v>42.28</v>
      </c>
      <c r="M26" s="5" t="n">
        <v>46.33333333333334</v>
      </c>
      <c r="N26" s="6">
        <f>J26/M26-1</f>
        <v/>
      </c>
      <c r="O26" s="6">
        <f>J26/K26-1</f>
        <v/>
      </c>
      <c r="P26" s="2" t="inlineStr">
        <is>
          <t>OK (≤ últ. compra)</t>
        </is>
      </c>
      <c r="Q26" s="2" t="inlineStr"/>
    </row>
    <row r="27">
      <c r="A27" s="2" t="n">
        <v>494</v>
      </c>
      <c r="B27" s="2" t="inlineStr">
        <is>
          <t>708025</t>
        </is>
      </c>
      <c r="C27" s="3" t="inlineStr">
        <is>
          <t>7506339337525</t>
        </is>
      </c>
      <c r="D27" s="2" t="inlineStr">
        <is>
          <t>AP PRESTOBARBA 3 SENSE PROTECT C/2</t>
        </is>
      </c>
      <c r="E27" s="4" t="n">
        <v>1</v>
      </c>
      <c r="F27" s="4" t="n">
        <v>1</v>
      </c>
      <c r="G27" s="4" t="n">
        <v>1</v>
      </c>
      <c r="H27" s="5" t="n">
        <v>15.35</v>
      </c>
      <c r="I27" s="5">
        <f>G27*H27</f>
        <v/>
      </c>
      <c r="J27" s="5">
        <f>H27/E27</f>
        <v/>
      </c>
      <c r="K27" s="5" t="n">
        <v>15.21</v>
      </c>
      <c r="L27" s="5" t="n">
        <v>14</v>
      </c>
      <c r="M27" s="5" t="n">
        <v>14.40333333333333</v>
      </c>
      <c r="N27" s="6">
        <f>J27/M27-1</f>
        <v/>
      </c>
      <c r="O27" s="6">
        <f>J27/K27-1</f>
        <v/>
      </c>
      <c r="P27" s="2" t="inlineStr">
        <is>
          <t>REAJUSTE +0.9% vs últ. (≤4%)</t>
        </is>
      </c>
      <c r="Q27" s="2" t="inlineStr"/>
    </row>
    <row r="28">
      <c r="A28" s="2" t="n">
        <v>589801</v>
      </c>
      <c r="B28" s="2" t="inlineStr">
        <is>
          <t>715818</t>
        </is>
      </c>
      <c r="C28" s="3" t="inlineStr">
        <is>
          <t>7500435141536</t>
        </is>
      </c>
      <c r="D28" s="2" t="inlineStr">
        <is>
          <t>APAR GILLETTE MACH3 ACQ.REG.</t>
        </is>
      </c>
      <c r="E28" s="4" t="n">
        <v>1</v>
      </c>
      <c r="F28" s="4" t="n">
        <v>3</v>
      </c>
      <c r="G28" s="4" t="n">
        <v>3</v>
      </c>
      <c r="H28" s="5" t="n">
        <v>19.03</v>
      </c>
      <c r="I28" s="5">
        <f>G28*H28</f>
        <v/>
      </c>
      <c r="J28" s="5">
        <f>H28/E28</f>
        <v/>
      </c>
      <c r="K28" s="5" t="n">
        <v>21.15</v>
      </c>
      <c r="L28" s="5" t="n">
        <v>21.15</v>
      </c>
      <c r="M28" s="5" t="n">
        <v>21.15</v>
      </c>
      <c r="N28" s="6">
        <f>J28/M28-1</f>
        <v/>
      </c>
      <c r="O28" s="6">
        <f>J28/K28-1</f>
        <v/>
      </c>
      <c r="P28" s="2" t="inlineStr">
        <is>
          <t>OK (≤ últ. compra)</t>
        </is>
      </c>
      <c r="Q28" s="2" t="inlineStr"/>
    </row>
    <row r="29">
      <c r="A29" s="2" t="n">
        <v>565721</v>
      </c>
      <c r="B29" s="2" t="inlineStr">
        <is>
          <t>700248</t>
        </is>
      </c>
      <c r="C29" s="3" t="inlineStr">
        <is>
          <t>7702018037803</t>
        </is>
      </c>
      <c r="D29" s="2" t="inlineStr">
        <is>
          <t>APAR.GILLETTE MACH3 SENSITIVE</t>
        </is>
      </c>
      <c r="E29" s="4" t="n">
        <v>1</v>
      </c>
      <c r="F29" s="4" t="n">
        <v>3</v>
      </c>
      <c r="G29" s="4" t="n">
        <v>3</v>
      </c>
      <c r="H29" s="5" t="n">
        <v>24.18</v>
      </c>
      <c r="I29" s="5">
        <f>G29*H29</f>
        <v/>
      </c>
      <c r="J29" s="5">
        <f>H29/E29</f>
        <v/>
      </c>
      <c r="K29" s="5" t="n">
        <v>25.19</v>
      </c>
      <c r="L29" s="5" t="n">
        <v>25.19</v>
      </c>
      <c r="M29" s="5" t="n">
        <v>25.19</v>
      </c>
      <c r="N29" s="6">
        <f>J29/M29-1</f>
        <v/>
      </c>
      <c r="O29" s="6">
        <f>J29/K29-1</f>
        <v/>
      </c>
      <c r="P29" s="2" t="inlineStr">
        <is>
          <t>OK (≤ últ. compra)</t>
        </is>
      </c>
      <c r="Q29" s="2" t="inlineStr"/>
    </row>
    <row r="30">
      <c r="A30" s="2" t="n">
        <v>633571</v>
      </c>
      <c r="B30" s="2" t="inlineStr">
        <is>
          <t>716504</t>
        </is>
      </c>
      <c r="C30" s="3" t="inlineStr">
        <is>
          <t>7500435105699</t>
        </is>
      </c>
      <c r="D30" s="2" t="inlineStr">
        <is>
          <t>APB VENUS TROPICAL C/3</t>
        </is>
      </c>
      <c r="E30" s="4" t="n">
        <v>1</v>
      </c>
      <c r="F30" s="4" t="n">
        <v>1</v>
      </c>
      <c r="G30" s="4" t="n">
        <v>1</v>
      </c>
      <c r="H30" s="5" t="n">
        <v>25.96</v>
      </c>
      <c r="I30" s="5">
        <f>G30*H30</f>
        <v/>
      </c>
      <c r="J30" s="5">
        <f>H30/E30</f>
        <v/>
      </c>
      <c r="K30" s="5" t="n">
        <v>28.21</v>
      </c>
      <c r="L30" s="5" t="n">
        <v>28.21</v>
      </c>
      <c r="M30" s="5" t="n">
        <v>28.21</v>
      </c>
      <c r="N30" s="6">
        <f>J30/M30-1</f>
        <v/>
      </c>
      <c r="O30" s="6">
        <f>J30/K30-1</f>
        <v/>
      </c>
      <c r="P30" s="2" t="inlineStr">
        <is>
          <t>OK (≤ últ. compra)</t>
        </is>
      </c>
      <c r="Q30" s="2" t="inlineStr"/>
    </row>
    <row r="31">
      <c r="A31" s="2" t="n">
        <v>570461</v>
      </c>
      <c r="B31" s="2" t="inlineStr">
        <is>
          <t>705275</t>
        </is>
      </c>
      <c r="C31" s="3" t="inlineStr">
        <is>
          <t>7891025111825</t>
        </is>
      </c>
      <c r="D31" s="2" t="inlineStr">
        <is>
          <t>APTAMIL 1 PREMIUM 800G</t>
        </is>
      </c>
      <c r="E31" s="4" t="n">
        <v>1</v>
      </c>
      <c r="F31" s="4" t="n">
        <v>5</v>
      </c>
      <c r="G31" s="4" t="n">
        <v>5</v>
      </c>
      <c r="H31" s="5" t="n">
        <v>62.49</v>
      </c>
      <c r="I31" s="5">
        <f>G31*H31</f>
        <v/>
      </c>
      <c r="J31" s="5">
        <f>H31/E31</f>
        <v/>
      </c>
      <c r="K31" s="5" t="n">
        <v>66.36499999999999</v>
      </c>
      <c r="L31" s="5" t="n">
        <v>57.9178</v>
      </c>
      <c r="M31" s="5" t="n">
        <v>63.54926666666666</v>
      </c>
      <c r="N31" s="6">
        <f>J31/M31-1</f>
        <v/>
      </c>
      <c r="O31" s="6">
        <f>J31/K31-1</f>
        <v/>
      </c>
      <c r="P31" s="2" t="inlineStr">
        <is>
          <t>OK (≤ últ. compra)</t>
        </is>
      </c>
      <c r="Q31" s="2" t="inlineStr"/>
    </row>
    <row r="32">
      <c r="A32" s="2" t="n">
        <v>570481</v>
      </c>
      <c r="B32" s="2" t="inlineStr">
        <is>
          <t>705310</t>
        </is>
      </c>
      <c r="C32" s="3" t="inlineStr">
        <is>
          <t>7891025107897</t>
        </is>
      </c>
      <c r="D32" s="2" t="inlineStr">
        <is>
          <t>APTAMIL 2 800G</t>
        </is>
      </c>
      <c r="E32" s="4" t="n">
        <v>1</v>
      </c>
      <c r="F32" s="4" t="n">
        <v>1</v>
      </c>
      <c r="G32" s="4" t="n">
        <v>1</v>
      </c>
      <c r="H32" s="5" t="n">
        <v>62.03</v>
      </c>
      <c r="I32" s="5">
        <f>G32*H32</f>
        <v/>
      </c>
      <c r="J32" s="5">
        <f>H32/E32</f>
        <v/>
      </c>
      <c r="K32" s="5" t="n">
        <v>67.1267</v>
      </c>
      <c r="L32" s="5" t="n">
        <v>58.5988</v>
      </c>
      <c r="M32" s="5" t="n">
        <v>64.28406666666666</v>
      </c>
      <c r="N32" s="6">
        <f>J32/M32-1</f>
        <v/>
      </c>
      <c r="O32" s="6">
        <f>J32/K32-1</f>
        <v/>
      </c>
      <c r="P32" s="2" t="inlineStr">
        <is>
          <t>OK (≤ últ. compra)</t>
        </is>
      </c>
      <c r="Q32" s="2" t="inlineStr"/>
    </row>
    <row r="33">
      <c r="A33" s="2" t="n">
        <v>646691</v>
      </c>
      <c r="B33" s="2" t="inlineStr">
        <is>
          <t>709703</t>
        </is>
      </c>
      <c r="C33" s="3" t="inlineStr">
        <is>
          <t>7891025112679</t>
        </is>
      </c>
      <c r="D33" s="2" t="inlineStr">
        <is>
          <t>APTAMIL PROFUT 1 400G-DEMAIS PROD</t>
        </is>
      </c>
      <c r="E33" s="4" t="n">
        <v>1</v>
      </c>
      <c r="F33" s="4" t="n">
        <v>2</v>
      </c>
      <c r="G33" s="4" t="n">
        <v>2</v>
      </c>
      <c r="H33" s="5" t="n">
        <v>51.18</v>
      </c>
      <c r="I33" s="5">
        <f>G33*H33</f>
        <v/>
      </c>
      <c r="J33" s="5">
        <f>H33/E33</f>
        <v/>
      </c>
      <c r="K33" s="5" t="n">
        <v>50.285</v>
      </c>
      <c r="L33" s="5" t="n">
        <v>50.285</v>
      </c>
      <c r="M33" s="5" t="n">
        <v>50.285</v>
      </c>
      <c r="N33" s="6">
        <f>J33/M33-1</f>
        <v/>
      </c>
      <c r="O33" s="6">
        <f>J33/K33-1</f>
        <v/>
      </c>
      <c r="P33" s="2" t="inlineStr">
        <is>
          <t>REAJUSTE +1.8% vs últ. (≤4%)</t>
        </is>
      </c>
      <c r="Q33" s="2" t="inlineStr"/>
    </row>
    <row r="34">
      <c r="A34" s="2" t="n">
        <v>241121</v>
      </c>
      <c r="B34" s="2" t="inlineStr">
        <is>
          <t>100280</t>
        </is>
      </c>
      <c r="C34" s="3" t="inlineStr">
        <is>
          <t>7897337704984</t>
        </is>
      </c>
      <c r="D34" s="2" t="inlineStr">
        <is>
          <t>ARCOXIA 90MG CX 7 COMP</t>
        </is>
      </c>
      <c r="E34" s="4" t="n">
        <v>1</v>
      </c>
      <c r="F34" s="4" t="n">
        <v>1</v>
      </c>
      <c r="G34" s="4" t="n">
        <v>1</v>
      </c>
      <c r="H34" s="5" t="n">
        <v>61.85</v>
      </c>
      <c r="I34" s="5">
        <f>G34*H34</f>
        <v/>
      </c>
      <c r="J34" s="5">
        <f>H34/E34</f>
        <v/>
      </c>
      <c r="K34" s="5" t="n">
        <v>62.92</v>
      </c>
      <c r="L34" s="5" t="n">
        <v>56.51</v>
      </c>
      <c r="M34" s="5" t="n">
        <v>60.21</v>
      </c>
      <c r="N34" s="6">
        <f>J34/M34-1</f>
        <v/>
      </c>
      <c r="O34" s="6">
        <f>J34/K34-1</f>
        <v/>
      </c>
      <c r="P34" s="2" t="inlineStr">
        <is>
          <t>OK (≤ últ. compra)</t>
        </is>
      </c>
      <c r="Q34" s="2" t="inlineStr"/>
    </row>
    <row r="35">
      <c r="A35" s="2" t="n">
        <v>15761</v>
      </c>
      <c r="B35" s="2" t="inlineStr">
        <is>
          <t>105085</t>
        </is>
      </c>
      <c r="C35" s="3" t="inlineStr">
        <is>
          <t>5702191025637</t>
        </is>
      </c>
      <c r="D35" s="2" t="inlineStr">
        <is>
          <t>AZELAN 150 MG/G GEL CT BG AL X 30 G</t>
        </is>
      </c>
      <c r="E35" s="4" t="n">
        <v>1</v>
      </c>
      <c r="F35" s="4" t="n">
        <v>3</v>
      </c>
      <c r="G35" s="4" t="n">
        <v>3</v>
      </c>
      <c r="H35" s="5" t="n">
        <v>69.38</v>
      </c>
      <c r="I35" s="5">
        <f>G35*H35</f>
        <v/>
      </c>
      <c r="J35" s="5">
        <f>H35/E35</f>
        <v/>
      </c>
      <c r="K35" s="5" t="n">
        <v>67.23999999999999</v>
      </c>
      <c r="L35" s="5" t="n">
        <v>63.655</v>
      </c>
      <c r="M35" s="5" t="n">
        <v>64.84999999999999</v>
      </c>
      <c r="N35" s="6">
        <f>J35/M35-1</f>
        <v/>
      </c>
      <c r="O35" s="6">
        <f>J35/K35-1</f>
        <v/>
      </c>
      <c r="P35" s="2" t="inlineStr">
        <is>
          <t>REAJUSTE +3.2% vs últ. (≤4%)</t>
        </is>
      </c>
      <c r="Q35" s="2" t="inlineStr"/>
    </row>
    <row r="36">
      <c r="A36" s="2" t="n">
        <v>49061</v>
      </c>
      <c r="B36" s="2" t="inlineStr">
        <is>
          <t>115156</t>
        </is>
      </c>
      <c r="C36" s="3" t="inlineStr">
        <is>
          <t>7891317496241</t>
        </is>
      </c>
      <c r="D36" s="2" t="inlineStr">
        <is>
          <t>BENZETACIL 300.000U/ML SUS INJ 1FA X 4ML</t>
        </is>
      </c>
      <c r="E36" s="4" t="n">
        <v>1</v>
      </c>
      <c r="F36" s="4" t="n">
        <v>3</v>
      </c>
      <c r="G36" s="4" t="n">
        <v>3</v>
      </c>
      <c r="H36" s="5" t="n">
        <v>15.25</v>
      </c>
      <c r="I36" s="5">
        <f>G36*H36</f>
        <v/>
      </c>
      <c r="J36" s="5">
        <f>H36/E36</f>
        <v/>
      </c>
      <c r="K36" s="5" t="n">
        <v>15.69</v>
      </c>
      <c r="L36" s="5" t="n">
        <v>14.3625</v>
      </c>
      <c r="M36" s="5" t="n">
        <v>15.08466666666667</v>
      </c>
      <c r="N36" s="6">
        <f>J36/M36-1</f>
        <v/>
      </c>
      <c r="O36" s="6">
        <f>J36/K36-1</f>
        <v/>
      </c>
      <c r="P36" s="2" t="inlineStr">
        <is>
          <t>OK (≤ últ. compra)</t>
        </is>
      </c>
      <c r="Q36" s="2" t="inlineStr"/>
    </row>
    <row r="37">
      <c r="A37" s="2" t="n">
        <v>82401</v>
      </c>
      <c r="B37" s="2" t="inlineStr">
        <is>
          <t>100480</t>
        </is>
      </c>
      <c r="C37" s="3" t="inlineStr">
        <is>
          <t>7896026171182</t>
        </is>
      </c>
      <c r="D37" s="2" t="inlineStr">
        <is>
          <t>BESEROL 300+125+50+30MG CX 12 COMP</t>
        </is>
      </c>
      <c r="E37" s="4" t="n">
        <v>1</v>
      </c>
      <c r="F37" s="4" t="n">
        <v>4</v>
      </c>
      <c r="G37" s="4" t="n">
        <v>4</v>
      </c>
      <c r="H37" s="5" t="n">
        <v>18.86</v>
      </c>
      <c r="I37" s="5">
        <f>G37*H37</f>
        <v/>
      </c>
      <c r="J37" s="5">
        <f>H37/E37</f>
        <v/>
      </c>
      <c r="K37" s="5" t="n">
        <v>18.3167</v>
      </c>
      <c r="L37" s="5" t="n">
        <v>11.71</v>
      </c>
      <c r="M37" s="5" t="n">
        <v>12.97953333333333</v>
      </c>
      <c r="N37" s="6">
        <f>J37/M37-1</f>
        <v/>
      </c>
      <c r="O37" s="6">
        <f>J37/K37-1</f>
        <v/>
      </c>
      <c r="P37" s="2" t="inlineStr">
        <is>
          <t>REAJUSTE +3.0% vs últ. (≤4%)</t>
        </is>
      </c>
      <c r="Q37" s="2" t="inlineStr"/>
    </row>
    <row r="38">
      <c r="A38" s="2" t="n">
        <v>48321</v>
      </c>
      <c r="B38" s="2" t="inlineStr">
        <is>
          <t>404362</t>
        </is>
      </c>
      <c r="C38" s="3" t="inlineStr">
        <is>
          <t>7898100268290</t>
        </is>
      </c>
      <c r="D38" s="2" t="inlineStr">
        <is>
          <t>BIOVICERIN  END/ML SUS OR 2 FLAC X 5ML</t>
        </is>
      </c>
      <c r="E38" s="4" t="n">
        <v>1</v>
      </c>
      <c r="F38" s="4" t="n">
        <v>9</v>
      </c>
      <c r="G38" s="4" t="n">
        <v>9</v>
      </c>
      <c r="H38" s="5" t="n">
        <v>10.8</v>
      </c>
      <c r="I38" s="5">
        <f>G38*H38</f>
        <v/>
      </c>
      <c r="J38" s="5">
        <f>H38/E38</f>
        <v/>
      </c>
      <c r="K38" s="5" t="n">
        <v>11.36</v>
      </c>
      <c r="L38" s="5" t="n">
        <v>8.533300000000001</v>
      </c>
      <c r="M38" s="5" t="n">
        <v>8.757766666666667</v>
      </c>
      <c r="N38" s="6">
        <f>J38/M38-1</f>
        <v/>
      </c>
      <c r="O38" s="6">
        <f>J38/K38-1</f>
        <v/>
      </c>
      <c r="P38" s="2" t="inlineStr">
        <is>
          <t>OK (≤ últ. compra)</t>
        </is>
      </c>
      <c r="Q38" s="2" t="inlineStr"/>
    </row>
    <row r="39">
      <c r="A39" s="2" t="n">
        <v>584301</v>
      </c>
      <c r="B39" s="2" t="inlineStr">
        <is>
          <t>719603</t>
        </is>
      </c>
      <c r="C39" s="3" t="inlineStr">
        <is>
          <t>4987188568729</t>
        </is>
      </c>
      <c r="D39" s="2" t="inlineStr">
        <is>
          <t>BYE BYE FEVER PARA CRIANCAS C/2UN(HSM)</t>
        </is>
      </c>
      <c r="E39" s="4" t="n">
        <v>1</v>
      </c>
      <c r="F39" s="4" t="n">
        <v>8</v>
      </c>
      <c r="G39" s="4" t="n">
        <v>8</v>
      </c>
      <c r="H39" s="5" t="n">
        <v>11.41</v>
      </c>
      <c r="I39" s="5">
        <f>G39*H39</f>
        <v/>
      </c>
      <c r="J39" s="5">
        <f>H39/E39</f>
        <v/>
      </c>
      <c r="K39" s="5" t="n">
        <v>11.07</v>
      </c>
      <c r="L39" s="5" t="n">
        <v>8.99</v>
      </c>
      <c r="M39" s="5" t="n">
        <v>10.37666666666667</v>
      </c>
      <c r="N39" s="6">
        <f>J39/M39-1</f>
        <v/>
      </c>
      <c r="O39" s="6">
        <f>J39/K39-1</f>
        <v/>
      </c>
      <c r="P39" s="2" t="inlineStr">
        <is>
          <t>REAJUSTE +3.1% vs últ. (≤4%)</t>
        </is>
      </c>
      <c r="Q39" s="2" t="inlineStr"/>
    </row>
    <row r="40">
      <c r="A40" s="2" t="n">
        <v>603911</v>
      </c>
      <c r="B40" s="2" t="inlineStr">
        <is>
          <t>716001</t>
        </is>
      </c>
      <c r="C40" s="3" t="inlineStr">
        <is>
          <t>7896004780061</t>
        </is>
      </c>
      <c r="D40" s="2" t="inlineStr">
        <is>
          <t>CALADRYL POS SOL LOC 100ML</t>
        </is>
      </c>
      <c r="E40" s="4" t="n">
        <v>1</v>
      </c>
      <c r="F40" s="4" t="n">
        <v>2</v>
      </c>
      <c r="G40" s="4" t="n">
        <v>2</v>
      </c>
      <c r="H40" s="5" t="n">
        <v>24.13</v>
      </c>
      <c r="I40" s="5">
        <f>G40*H40</f>
        <v/>
      </c>
      <c r="J40" s="5">
        <f>H40/E40</f>
        <v/>
      </c>
      <c r="K40" s="5" t="n">
        <v>30.52</v>
      </c>
      <c r="L40" s="5" t="n">
        <v>16.4217</v>
      </c>
      <c r="M40" s="5" t="n">
        <v>25.82056666666667</v>
      </c>
      <c r="N40" s="6">
        <f>J40/M40-1</f>
        <v/>
      </c>
      <c r="O40" s="6">
        <f>J40/K40-1</f>
        <v/>
      </c>
      <c r="P40" s="2" t="inlineStr">
        <is>
          <t>OK (≤ últ. compra)</t>
        </is>
      </c>
      <c r="Q40" s="2" t="inlineStr"/>
    </row>
    <row r="41">
      <c r="A41" s="2" t="n">
        <v>600551</v>
      </c>
      <c r="B41" s="2" t="inlineStr">
        <is>
          <t>720223</t>
        </is>
      </c>
      <c r="C41" s="3" t="inlineStr">
        <is>
          <t>7898040329761</t>
        </is>
      </c>
      <c r="D41" s="2" t="inlineStr">
        <is>
          <t>CALCITRAN B12 SUSP FR 150ML</t>
        </is>
      </c>
      <c r="E41" s="4" t="n">
        <v>1</v>
      </c>
      <c r="F41" s="4" t="n">
        <v>1</v>
      </c>
      <c r="G41" s="4" t="n">
        <v>1</v>
      </c>
      <c r="H41" s="5" t="n">
        <v>32.31</v>
      </c>
      <c r="I41" s="5">
        <f>G41*H41</f>
        <v/>
      </c>
      <c r="J41" s="5">
        <f>H41/E41</f>
        <v/>
      </c>
      <c r="K41" s="5" t="n">
        <v>34.35</v>
      </c>
      <c r="L41" s="5" t="n">
        <v>31.035</v>
      </c>
      <c r="M41" s="5" t="n">
        <v>32.35386666666667</v>
      </c>
      <c r="N41" s="6">
        <f>J41/M41-1</f>
        <v/>
      </c>
      <c r="O41" s="6">
        <f>J41/K41-1</f>
        <v/>
      </c>
      <c r="P41" s="2" t="inlineStr">
        <is>
          <t>OK (≤ últ. compra)</t>
        </is>
      </c>
      <c r="Q41" s="2" t="inlineStr"/>
    </row>
    <row r="42">
      <c r="A42" s="2" t="n">
        <v>539701</v>
      </c>
      <c r="B42" s="2" t="inlineStr">
        <is>
          <t>705541</t>
        </is>
      </c>
      <c r="C42" s="3" t="inlineStr">
        <is>
          <t>7898414850891</t>
        </is>
      </c>
      <c r="D42" s="2" t="inlineStr">
        <is>
          <t>CALCITRAN D3 CX 30 COMP</t>
        </is>
      </c>
      <c r="E42" s="4" t="n">
        <v>1</v>
      </c>
      <c r="F42" s="4" t="n">
        <v>4</v>
      </c>
      <c r="G42" s="4" t="n">
        <v>4</v>
      </c>
      <c r="H42" s="5" t="n">
        <v>36.55</v>
      </c>
      <c r="I42" s="5">
        <f>G42*H42</f>
        <v/>
      </c>
      <c r="J42" s="5">
        <f>H42/E42</f>
        <v/>
      </c>
      <c r="K42" s="5" t="n">
        <v>36.48</v>
      </c>
      <c r="L42" s="5" t="n">
        <v>30.8</v>
      </c>
      <c r="M42" s="5" t="n">
        <v>34.51666666666667</v>
      </c>
      <c r="N42" s="6">
        <f>J42/M42-1</f>
        <v/>
      </c>
      <c r="O42" s="6">
        <f>J42/K42-1</f>
        <v/>
      </c>
      <c r="P42" s="2" t="inlineStr">
        <is>
          <t>REAJUSTE +0.2% vs últ. (≤4%)</t>
        </is>
      </c>
      <c r="Q42" s="2" t="inlineStr"/>
    </row>
    <row r="43">
      <c r="A43" s="2" t="n">
        <v>594131</v>
      </c>
      <c r="B43" s="2" t="inlineStr">
        <is>
          <t>708955</t>
        </is>
      </c>
      <c r="C43" s="3" t="inlineStr">
        <is>
          <t>7898040329464</t>
        </is>
      </c>
      <c r="D43" s="2" t="inlineStr">
        <is>
          <t>CALCITRAN MDK CX 30 COMP</t>
        </is>
      </c>
      <c r="E43" s="4" t="n">
        <v>1</v>
      </c>
      <c r="F43" s="4" t="n">
        <v>9</v>
      </c>
      <c r="G43" s="4" t="n">
        <v>9</v>
      </c>
      <c r="H43" s="5" t="n">
        <v>53.87</v>
      </c>
      <c r="I43" s="5">
        <f>G43*H43</f>
        <v/>
      </c>
      <c r="J43" s="5">
        <f>H43/E43</f>
        <v/>
      </c>
      <c r="K43" s="5" t="n">
        <v>53.72</v>
      </c>
      <c r="L43" s="5" t="n">
        <v>42.77</v>
      </c>
      <c r="M43" s="5" t="n">
        <v>49.83333333333334</v>
      </c>
      <c r="N43" s="6">
        <f>J43/M43-1</f>
        <v/>
      </c>
      <c r="O43" s="6">
        <f>J43/K43-1</f>
        <v/>
      </c>
      <c r="P43" s="2" t="inlineStr">
        <is>
          <t>REAJUSTE +0.3% vs últ. (≤4%)</t>
        </is>
      </c>
      <c r="Q43" s="2" t="inlineStr"/>
    </row>
    <row r="44">
      <c r="A44" s="2" t="n">
        <v>565741</v>
      </c>
      <c r="B44" s="2" t="inlineStr">
        <is>
          <t>700527</t>
        </is>
      </c>
      <c r="C44" s="3" t="inlineStr">
        <is>
          <t>7702018037865</t>
        </is>
      </c>
      <c r="D44" s="2" t="inlineStr">
        <is>
          <t>CARGA MACH3 GILLETTE SENSITIVE 2X1</t>
        </is>
      </c>
      <c r="E44" s="4" t="n">
        <v>1</v>
      </c>
      <c r="F44" s="4" t="n">
        <v>1</v>
      </c>
      <c r="G44" s="4" t="n">
        <v>1</v>
      </c>
      <c r="H44" s="5" t="n">
        <v>24.37</v>
      </c>
      <c r="I44" s="5">
        <f>G44*H44</f>
        <v/>
      </c>
      <c r="J44" s="5">
        <f>H44/E44</f>
        <v/>
      </c>
      <c r="K44" s="5" t="n">
        <v>26.92</v>
      </c>
      <c r="L44" s="5" t="n">
        <v>26.92</v>
      </c>
      <c r="M44" s="5" t="n">
        <v>26.92</v>
      </c>
      <c r="N44" s="6">
        <f>J44/M44-1</f>
        <v/>
      </c>
      <c r="O44" s="6">
        <f>J44/K44-1</f>
        <v/>
      </c>
      <c r="P44" s="2" t="inlineStr">
        <is>
          <t>OK (≤ últ. compra)</t>
        </is>
      </c>
      <c r="Q44" s="2" t="inlineStr"/>
    </row>
    <row r="45">
      <c r="A45" s="2" t="n">
        <v>574941</v>
      </c>
      <c r="B45" s="2" t="inlineStr">
        <is>
          <t>700834</t>
        </is>
      </c>
      <c r="C45" s="3" t="inlineStr">
        <is>
          <t>7891037744509</t>
        </is>
      </c>
      <c r="D45" s="2" t="inlineStr">
        <is>
          <t>CD CLOSEUP LIQ 100G FRESH</t>
        </is>
      </c>
      <c r="E45" s="4" t="n">
        <v>1</v>
      </c>
      <c r="F45" s="4" t="n">
        <v>9</v>
      </c>
      <c r="G45" s="4" t="n">
        <v>9</v>
      </c>
      <c r="H45" s="5" t="n">
        <v>4.52</v>
      </c>
      <c r="I45" s="5">
        <f>G45*H45</f>
        <v/>
      </c>
      <c r="J45" s="5">
        <f>H45/E45</f>
        <v/>
      </c>
      <c r="K45" s="5" t="n">
        <v>4.7917</v>
      </c>
      <c r="L45" s="5" t="n">
        <v>3.9492</v>
      </c>
      <c r="M45" s="5" t="n">
        <v>4.510866666666666</v>
      </c>
      <c r="N45" s="6">
        <f>J45/M45-1</f>
        <v/>
      </c>
      <c r="O45" s="6">
        <f>J45/K45-1</f>
        <v/>
      </c>
      <c r="P45" s="2" t="inlineStr">
        <is>
          <t>OK (≤ últ. compra)</t>
        </is>
      </c>
      <c r="Q45" s="2" t="inlineStr"/>
    </row>
    <row r="46">
      <c r="A46" s="2" t="n">
        <v>575241</v>
      </c>
      <c r="B46" s="2" t="inlineStr">
        <is>
          <t>714910</t>
        </is>
      </c>
      <c r="C46" s="3" t="inlineStr">
        <is>
          <t>7891150063075</t>
        </is>
      </c>
      <c r="D46" s="2" t="inlineStr">
        <is>
          <t>CD CLOSEUP LIQ 100G FRESH RED HOT</t>
        </is>
      </c>
      <c r="E46" s="4" t="n">
        <v>1</v>
      </c>
      <c r="F46" s="4" t="n">
        <v>5</v>
      </c>
      <c r="G46" s="4" t="n">
        <v>5</v>
      </c>
      <c r="H46" s="5" t="n">
        <v>4.52</v>
      </c>
      <c r="I46" s="5">
        <f>G46*H46</f>
        <v/>
      </c>
      <c r="J46" s="5">
        <f>H46/E46</f>
        <v/>
      </c>
      <c r="K46" s="5" t="n">
        <v>4.8717</v>
      </c>
      <c r="L46" s="5" t="n">
        <v>4.8717</v>
      </c>
      <c r="M46" s="5" t="n">
        <v>4.8717</v>
      </c>
      <c r="N46" s="6">
        <f>J46/M46-1</f>
        <v/>
      </c>
      <c r="O46" s="6">
        <f>J46/K46-1</f>
        <v/>
      </c>
      <c r="P46" s="2" t="inlineStr">
        <is>
          <t>OK (≤ últ. compra)</t>
        </is>
      </c>
      <c r="Q46" s="2" t="inlineStr"/>
    </row>
    <row r="47">
      <c r="A47" s="2" t="n">
        <v>625091</v>
      </c>
      <c r="B47" s="2" t="inlineStr">
        <is>
          <t>700842</t>
        </is>
      </c>
      <c r="C47" s="3" t="inlineStr">
        <is>
          <t>7891037744356</t>
        </is>
      </c>
      <c r="D47" s="2" t="inlineStr">
        <is>
          <t>CD CLOSEUP RED HOT 90G</t>
        </is>
      </c>
      <c r="E47" s="4" t="n">
        <v>1</v>
      </c>
      <c r="F47" s="4" t="n">
        <v>2</v>
      </c>
      <c r="G47" s="4" t="n">
        <v>2</v>
      </c>
      <c r="H47" s="5" t="n">
        <v>3.26</v>
      </c>
      <c r="I47" s="5">
        <f>G47*H47</f>
        <v/>
      </c>
      <c r="J47" s="5">
        <f>H47/E47</f>
        <v/>
      </c>
      <c r="K47" s="5" t="n">
        <v>4.03</v>
      </c>
      <c r="L47" s="5" t="n">
        <v>4</v>
      </c>
      <c r="M47" s="5" t="n">
        <v>4.02</v>
      </c>
      <c r="N47" s="6">
        <f>J47/M47-1</f>
        <v/>
      </c>
      <c r="O47" s="6">
        <f>J47/K47-1</f>
        <v/>
      </c>
      <c r="P47" s="2" t="inlineStr">
        <is>
          <t>OK (≤ últ. compra)</t>
        </is>
      </c>
      <c r="Q47" s="2" t="inlineStr"/>
    </row>
    <row r="48">
      <c r="A48" s="2" t="n">
        <v>625111</v>
      </c>
      <c r="B48" s="2" t="inlineStr">
        <is>
          <t>710429</t>
        </is>
      </c>
      <c r="C48" s="3" t="inlineStr">
        <is>
          <t>7891150049871</t>
        </is>
      </c>
      <c r="D48" s="2" t="inlineStr">
        <is>
          <t>CD CLOSEUP TRIPLE 70G</t>
        </is>
      </c>
      <c r="E48" s="4" t="n">
        <v>1</v>
      </c>
      <c r="F48" s="4" t="n">
        <v>4</v>
      </c>
      <c r="G48" s="4" t="n">
        <v>4</v>
      </c>
      <c r="H48" s="5" t="n">
        <v>2.06</v>
      </c>
      <c r="I48" s="5">
        <f>G48*H48</f>
        <v/>
      </c>
      <c r="J48" s="5">
        <f>H48/E48</f>
        <v/>
      </c>
      <c r="K48" s="5" t="n">
        <v>2.53</v>
      </c>
      <c r="L48" s="5" t="n">
        <v>2.5033</v>
      </c>
      <c r="M48" s="5" t="n">
        <v>2.5211</v>
      </c>
      <c r="N48" s="6">
        <f>J48/M48-1</f>
        <v/>
      </c>
      <c r="O48" s="6">
        <f>J48/K48-1</f>
        <v/>
      </c>
      <c r="P48" s="2" t="inlineStr">
        <is>
          <t>OK (≤ últ. compra)</t>
        </is>
      </c>
      <c r="Q48" s="2" t="inlineStr"/>
    </row>
    <row r="49">
      <c r="A49" s="2" t="n">
        <v>638861</v>
      </c>
      <c r="B49" s="2" t="inlineStr">
        <is>
          <t>721988</t>
        </is>
      </c>
      <c r="C49" s="3" t="inlineStr">
        <is>
          <t>7908615055169</t>
        </is>
      </c>
      <c r="D49" s="2" t="inlineStr">
        <is>
          <t>CD ELSEVE 400ML GLYCOLIC GLOSS</t>
        </is>
      </c>
      <c r="E49" s="4" t="n">
        <v>1</v>
      </c>
      <c r="F49" s="4" t="n">
        <v>1</v>
      </c>
      <c r="G49" s="4" t="n">
        <v>1</v>
      </c>
      <c r="H49" s="5" t="n">
        <v>21.32</v>
      </c>
      <c r="I49" s="5">
        <f>G49*H49</f>
        <v/>
      </c>
      <c r="J49" s="5">
        <f>H49/E49</f>
        <v/>
      </c>
      <c r="K49" s="5" t="n">
        <v>21.8583</v>
      </c>
      <c r="L49" s="5" t="n">
        <v>21.8583</v>
      </c>
      <c r="M49" s="5" t="n">
        <v>21.8583</v>
      </c>
      <c r="N49" s="6">
        <f>J49/M49-1</f>
        <v/>
      </c>
      <c r="O49" s="6">
        <f>J49/K49-1</f>
        <v/>
      </c>
      <c r="P49" s="2" t="inlineStr">
        <is>
          <t>OK (≤ últ. compra)</t>
        </is>
      </c>
      <c r="Q49" s="2" t="inlineStr"/>
    </row>
    <row r="50">
      <c r="A50" s="2" t="n">
        <v>593341</v>
      </c>
      <c r="B50" s="2" t="inlineStr">
        <is>
          <t>715010</t>
        </is>
      </c>
      <c r="C50" s="3" t="inlineStr">
        <is>
          <t>7500435127363</t>
        </is>
      </c>
      <c r="D50" s="2" t="inlineStr">
        <is>
          <t>CD ORAL B KIDS MICKEY 50G</t>
        </is>
      </c>
      <c r="E50" s="4" t="n">
        <v>1</v>
      </c>
      <c r="F50" s="4" t="n">
        <v>1</v>
      </c>
      <c r="G50" s="4" t="n">
        <v>1</v>
      </c>
      <c r="H50" s="5" t="n">
        <v>7.34</v>
      </c>
      <c r="I50" s="5">
        <f>G50*H50</f>
        <v/>
      </c>
      <c r="J50" s="5">
        <f>H50/E50</f>
        <v/>
      </c>
      <c r="K50" s="5" t="n">
        <v>7.58</v>
      </c>
      <c r="L50" s="5" t="n">
        <v>7.58</v>
      </c>
      <c r="M50" s="5" t="n">
        <v>7.580000000000001</v>
      </c>
      <c r="N50" s="6">
        <f>J50/M50-1</f>
        <v/>
      </c>
      <c r="O50" s="6">
        <f>J50/K50-1</f>
        <v/>
      </c>
      <c r="P50" s="2" t="inlineStr">
        <is>
          <t>OK (≤ últ. compra)</t>
        </is>
      </c>
      <c r="Q50" s="2" t="inlineStr"/>
    </row>
    <row r="51">
      <c r="A51" s="2" t="n">
        <v>593501</v>
      </c>
      <c r="B51" s="2" t="inlineStr">
        <is>
          <t>716251</t>
        </is>
      </c>
      <c r="C51" s="3" t="inlineStr">
        <is>
          <t>7500435145152</t>
        </is>
      </c>
      <c r="D51" s="2" t="inlineStr">
        <is>
          <t>CD ORAL B KIDS SPIDERMAN 50G</t>
        </is>
      </c>
      <c r="E51" s="4" t="n">
        <v>1</v>
      </c>
      <c r="F51" s="4" t="n">
        <v>3</v>
      </c>
      <c r="G51" s="4" t="n">
        <v>3</v>
      </c>
      <c r="H51" s="5" t="n">
        <v>7.34</v>
      </c>
      <c r="I51" s="5">
        <f>G51*H51</f>
        <v/>
      </c>
      <c r="J51" s="5">
        <f>H51/E51</f>
        <v/>
      </c>
      <c r="K51" s="5" t="n">
        <v>8.59</v>
      </c>
      <c r="L51" s="5" t="n">
        <v>8.529999999999999</v>
      </c>
      <c r="M51" s="5" t="n">
        <v>8.57</v>
      </c>
      <c r="N51" s="6">
        <f>J51/M51-1</f>
        <v/>
      </c>
      <c r="O51" s="6">
        <f>J51/K51-1</f>
        <v/>
      </c>
      <c r="P51" s="2" t="inlineStr">
        <is>
          <t>OK (≤ últ. compra)</t>
        </is>
      </c>
      <c r="Q51" s="2" t="inlineStr"/>
    </row>
    <row r="52">
      <c r="A52" s="2" t="n">
        <v>653981</v>
      </c>
      <c r="B52" s="2" t="inlineStr">
        <is>
          <t>722182</t>
        </is>
      </c>
      <c r="C52" s="3" t="inlineStr">
        <is>
          <t>7500435231510</t>
        </is>
      </c>
      <c r="D52" s="2" t="inlineStr">
        <is>
          <t>CEBION EFV 1G C/10 COMP-DEMAIS PROD</t>
        </is>
      </c>
      <c r="E52" s="4" t="n">
        <v>1</v>
      </c>
      <c r="F52" s="4" t="n">
        <v>1</v>
      </c>
      <c r="G52" s="4" t="n">
        <v>1</v>
      </c>
      <c r="H52" s="5" t="n">
        <v>12.8</v>
      </c>
      <c r="I52" s="5">
        <f>G52*H52</f>
        <v/>
      </c>
      <c r="J52" s="5">
        <f>H52/E52</f>
        <v/>
      </c>
      <c r="K52" s="5" t="n">
        <v>14.32</v>
      </c>
      <c r="L52" s="5" t="n">
        <v>10.775</v>
      </c>
      <c r="M52" s="5" t="n">
        <v>13.13833333333333</v>
      </c>
      <c r="N52" s="6">
        <f>J52/M52-1</f>
        <v/>
      </c>
      <c r="O52" s="6">
        <f>J52/K52-1</f>
        <v/>
      </c>
      <c r="P52" s="2" t="inlineStr">
        <is>
          <t>OK (≤ últ. compra)</t>
        </is>
      </c>
      <c r="Q52" s="2" t="inlineStr"/>
    </row>
    <row r="53">
      <c r="A53" s="2" t="n">
        <v>617281</v>
      </c>
      <c r="B53" s="2" t="inlineStr">
        <is>
          <t>705116</t>
        </is>
      </c>
      <c r="C53" s="3" t="inlineStr">
        <is>
          <t>7896512914231</t>
        </is>
      </c>
      <c r="D53" s="2" t="inlineStr">
        <is>
          <t>CERA NUTRITIVA PINK 7GR</t>
        </is>
      </c>
      <c r="E53" s="4" t="n">
        <v>1</v>
      </c>
      <c r="F53" s="4" t="n">
        <v>2</v>
      </c>
      <c r="G53" s="4" t="n">
        <v>2</v>
      </c>
      <c r="H53" s="5" t="n">
        <v>18.59</v>
      </c>
      <c r="I53" s="5">
        <f>G53*H53</f>
        <v/>
      </c>
      <c r="J53" s="5">
        <f>H53/E53</f>
        <v/>
      </c>
      <c r="K53" s="5" t="n">
        <v>18.88</v>
      </c>
      <c r="L53" s="5" t="n">
        <v>18.88</v>
      </c>
      <c r="M53" s="5" t="n">
        <v>18.88</v>
      </c>
      <c r="N53" s="6">
        <f>J53/M53-1</f>
        <v/>
      </c>
      <c r="O53" s="6">
        <f>J53/K53-1</f>
        <v/>
      </c>
      <c r="P53" s="2" t="inlineStr">
        <is>
          <t>OK (≤ últ. compra)</t>
        </is>
      </c>
      <c r="Q53" s="2" t="inlineStr"/>
    </row>
    <row r="54">
      <c r="A54" s="2" t="n">
        <v>636021</v>
      </c>
      <c r="B54" s="2" t="inlineStr">
        <is>
          <t>721243</t>
        </is>
      </c>
      <c r="C54" s="3" t="inlineStr">
        <is>
          <t>7899706192057</t>
        </is>
      </c>
      <c r="D54" s="2" t="inlineStr">
        <is>
          <t>CERAVE CR OLHOS 15G</t>
        </is>
      </c>
      <c r="E54" s="4" t="n">
        <v>1</v>
      </c>
      <c r="F54" s="4" t="n">
        <v>1</v>
      </c>
      <c r="G54" s="4" t="n">
        <v>1</v>
      </c>
      <c r="H54" s="5" t="n">
        <v>78.95999999999999</v>
      </c>
      <c r="I54" s="5">
        <f>G54*H54</f>
        <v/>
      </c>
      <c r="J54" s="5">
        <f>H54/E54</f>
        <v/>
      </c>
      <c r="K54" s="5" t="n">
        <v>87.33</v>
      </c>
      <c r="L54" s="5" t="n">
        <v>87.33</v>
      </c>
      <c r="M54" s="5" t="n">
        <v>87.33</v>
      </c>
      <c r="N54" s="6">
        <f>J54/M54-1</f>
        <v/>
      </c>
      <c r="O54" s="6">
        <f>J54/K54-1</f>
        <v/>
      </c>
      <c r="P54" s="2" t="inlineStr">
        <is>
          <t>OK (≤ últ. compra)</t>
        </is>
      </c>
      <c r="Q54" s="2" t="inlineStr"/>
    </row>
    <row r="55">
      <c r="A55" s="2" t="n">
        <v>631111</v>
      </c>
      <c r="B55" s="2" t="inlineStr">
        <is>
          <t>715737</t>
        </is>
      </c>
      <c r="C55" s="3" t="inlineStr">
        <is>
          <t>7899706172707</t>
        </is>
      </c>
      <c r="D55" s="2" t="inlineStr">
        <is>
          <t>CERAVE GEL LIMPEZA 60G</t>
        </is>
      </c>
      <c r="E55" s="4" t="n">
        <v>1</v>
      </c>
      <c r="F55" s="4" t="n">
        <v>1</v>
      </c>
      <c r="G55" s="4" t="n">
        <v>1</v>
      </c>
      <c r="H55" s="5" t="n">
        <v>35.88</v>
      </c>
      <c r="I55" s="5">
        <f>G55*H55</f>
        <v/>
      </c>
      <c r="J55" s="5">
        <f>H55/E55</f>
        <v/>
      </c>
      <c r="K55" s="5" t="n">
        <v>36.69</v>
      </c>
      <c r="L55" s="5" t="n">
        <v>36.69</v>
      </c>
      <c r="M55" s="5" t="n">
        <v>36.69</v>
      </c>
      <c r="N55" s="6">
        <f>J55/M55-1</f>
        <v/>
      </c>
      <c r="O55" s="6">
        <f>J55/K55-1</f>
        <v/>
      </c>
      <c r="P55" s="2" t="inlineStr">
        <is>
          <t>OK (≤ últ. compra)</t>
        </is>
      </c>
      <c r="Q55" s="2" t="inlineStr"/>
    </row>
    <row r="56">
      <c r="A56" s="2" t="n">
        <v>653331</v>
      </c>
      <c r="B56" s="2" t="inlineStr">
        <is>
          <t>722207</t>
        </is>
      </c>
      <c r="C56" s="3" t="inlineStr">
        <is>
          <t>7908615086309</t>
        </is>
      </c>
      <c r="D56" s="2" t="inlineStr">
        <is>
          <t>CERAVE LOCAO HIDRATANTE 340ML-DEMAIS PROD</t>
        </is>
      </c>
      <c r="E56" s="4" t="n">
        <v>1</v>
      </c>
      <c r="F56" s="4" t="n">
        <v>7</v>
      </c>
      <c r="G56" s="4" t="n">
        <v>7</v>
      </c>
      <c r="H56" s="5" t="n">
        <v>78.95999999999999</v>
      </c>
      <c r="I56" s="5">
        <f>G56*H56</f>
        <v/>
      </c>
      <c r="J56" s="5">
        <f>H56/E56</f>
        <v/>
      </c>
      <c r="K56" s="5" t="n">
        <v>78.95999999999999</v>
      </c>
      <c r="L56" s="5" t="n">
        <v>66.325</v>
      </c>
      <c r="M56" s="5" t="n">
        <v>70.53666666666668</v>
      </c>
      <c r="N56" s="6">
        <f>J56/M56-1</f>
        <v/>
      </c>
      <c r="O56" s="6">
        <f>J56/K56-1</f>
        <v/>
      </c>
      <c r="P56" s="2" t="inlineStr">
        <is>
          <t>OK (≤ últ. compra)</t>
        </is>
      </c>
      <c r="Q56" s="2" t="inlineStr"/>
    </row>
    <row r="57">
      <c r="A57" s="2" t="n">
        <v>624291</v>
      </c>
      <c r="B57" s="2" t="inlineStr">
        <is>
          <t>720235</t>
        </is>
      </c>
      <c r="C57" s="3" t="inlineStr">
        <is>
          <t>7899706211178</t>
        </is>
      </c>
      <c r="D57" s="2" t="inlineStr">
        <is>
          <t>CERAVE SA GEL DE LIMPEZA RENOVA 150G</t>
        </is>
      </c>
      <c r="E57" s="4" t="n">
        <v>1</v>
      </c>
      <c r="F57" s="4" t="n">
        <v>1</v>
      </c>
      <c r="G57" s="4" t="n">
        <v>1</v>
      </c>
      <c r="H57" s="5" t="n">
        <v>53.04</v>
      </c>
      <c r="I57" s="5">
        <f>G57*H57</f>
        <v/>
      </c>
      <c r="J57" s="5">
        <f>H57/E57</f>
        <v/>
      </c>
      <c r="K57" s="5" t="n">
        <v>65.59</v>
      </c>
      <c r="L57" s="5" t="n">
        <v>65.59</v>
      </c>
      <c r="M57" s="5" t="n">
        <v>65.59</v>
      </c>
      <c r="N57" s="6">
        <f>J57/M57-1</f>
        <v/>
      </c>
      <c r="O57" s="6">
        <f>J57/K57-1</f>
        <v/>
      </c>
      <c r="P57" s="2" t="inlineStr">
        <is>
          <t>OK (≤ últ. compra)</t>
        </is>
      </c>
      <c r="Q57" s="2" t="inlineStr"/>
    </row>
    <row r="58">
      <c r="A58" s="2" t="n">
        <v>383</v>
      </c>
      <c r="B58" s="2" t="inlineStr">
        <is>
          <t>700549</t>
        </is>
      </c>
      <c r="C58" s="3" t="inlineStr">
        <is>
          <t>7897930777743</t>
        </is>
      </c>
      <c r="D58" s="2" t="inlineStr">
        <is>
          <t>CETAPHIL LOC HIDRATANTE 473ML</t>
        </is>
      </c>
      <c r="E58" s="4" t="n">
        <v>1</v>
      </c>
      <c r="F58" s="4" t="n">
        <v>4</v>
      </c>
      <c r="G58" s="4" t="n">
        <v>4</v>
      </c>
      <c r="H58" s="5" t="n">
        <v>98.59</v>
      </c>
      <c r="I58" s="5">
        <f>G58*H58</f>
        <v/>
      </c>
      <c r="J58" s="5">
        <f>H58/E58</f>
        <v/>
      </c>
      <c r="K58" s="5" t="n">
        <v>102.75</v>
      </c>
      <c r="L58" s="5" t="n">
        <v>85.77</v>
      </c>
      <c r="M58" s="5" t="n">
        <v>88.18333333333334</v>
      </c>
      <c r="N58" s="6">
        <f>J58/M58-1</f>
        <v/>
      </c>
      <c r="O58" s="6">
        <f>J58/K58-1</f>
        <v/>
      </c>
      <c r="P58" s="2" t="inlineStr">
        <is>
          <t>OK (≤ últ. compra)</t>
        </is>
      </c>
      <c r="Q58" s="2" t="inlineStr"/>
    </row>
    <row r="59">
      <c r="A59" s="2" t="n">
        <v>632071</v>
      </c>
      <c r="B59" s="2" t="inlineStr">
        <is>
          <t>705994</t>
        </is>
      </c>
      <c r="C59" s="3" t="inlineStr">
        <is>
          <t>7908615000244</t>
        </is>
      </c>
      <c r="D59" s="2" t="inlineStr">
        <is>
          <t>CICAPLAST LRP B5 PLUS 40ML</t>
        </is>
      </c>
      <c r="E59" s="4" t="n">
        <v>1</v>
      </c>
      <c r="F59" s="4" t="n">
        <v>1</v>
      </c>
      <c r="G59" s="4" t="n">
        <v>1</v>
      </c>
      <c r="H59" s="5" t="n">
        <v>71.06999999999999</v>
      </c>
      <c r="I59" s="5">
        <f>G59*H59</f>
        <v/>
      </c>
      <c r="J59" s="5">
        <f>H59/E59</f>
        <v/>
      </c>
      <c r="K59" s="5" t="n">
        <v>83.09</v>
      </c>
      <c r="L59" s="5" t="n">
        <v>76.59</v>
      </c>
      <c r="M59" s="5" t="n">
        <v>78.98443333333334</v>
      </c>
      <c r="N59" s="6">
        <f>J59/M59-1</f>
        <v/>
      </c>
      <c r="O59" s="6">
        <f>J59/K59-1</f>
        <v/>
      </c>
      <c r="P59" s="2" t="inlineStr">
        <is>
          <t>OK (≤ últ. compra)</t>
        </is>
      </c>
      <c r="Q59" s="2" t="inlineStr"/>
    </row>
    <row r="60">
      <c r="A60" s="2" t="n">
        <v>614911</v>
      </c>
      <c r="B60" s="2" t="inlineStr">
        <is>
          <t>704813</t>
        </is>
      </c>
      <c r="C60" s="3" t="inlineStr">
        <is>
          <t>7891150014107</t>
        </is>
      </c>
      <c r="D60" s="2" t="inlineStr">
        <is>
          <t>CLEAR AT-C SH 200ML MEN CONTROLE COCE M3</t>
        </is>
      </c>
      <c r="E60" s="4" t="n">
        <v>1</v>
      </c>
      <c r="F60" s="4" t="n">
        <v>6</v>
      </c>
      <c r="G60" s="4" t="n">
        <v>6</v>
      </c>
      <c r="H60" s="5" t="n">
        <v>11.9</v>
      </c>
      <c r="I60" s="5">
        <f>G60*H60</f>
        <v/>
      </c>
      <c r="J60" s="5">
        <f>H60/E60</f>
        <v/>
      </c>
      <c r="K60" s="5" t="n">
        <v>14.107</v>
      </c>
      <c r="L60" s="5" t="n">
        <v>14.0517</v>
      </c>
      <c r="M60" s="5" t="n">
        <v>14.08856666666667</v>
      </c>
      <c r="N60" s="6">
        <f>J60/M60-1</f>
        <v/>
      </c>
      <c r="O60" s="6">
        <f>J60/K60-1</f>
        <v/>
      </c>
      <c r="P60" s="2" t="inlineStr">
        <is>
          <t>OK (≤ últ. compra)</t>
        </is>
      </c>
      <c r="Q60" s="2" t="inlineStr"/>
    </row>
    <row r="61">
      <c r="A61" s="2" t="n">
        <v>114941</v>
      </c>
      <c r="B61" s="2" t="inlineStr">
        <is>
          <t>400349</t>
        </is>
      </c>
      <c r="C61" s="3" t="inlineStr">
        <is>
          <t>7899824400928</t>
        </is>
      </c>
      <c r="D61" s="2" t="inlineStr">
        <is>
          <t>COLPIST MT 62,5+1,25MG/G+25000UI/G CREM BG 40G+10APLIC</t>
        </is>
      </c>
      <c r="E61" s="4" t="n">
        <v>1</v>
      </c>
      <c r="F61" s="4" t="n">
        <v>2</v>
      </c>
      <c r="G61" s="4" t="n">
        <v>2</v>
      </c>
      <c r="H61" s="5" t="n">
        <v>37.06</v>
      </c>
      <c r="I61" s="5">
        <f>G61*H61</f>
        <v/>
      </c>
      <c r="J61" s="5">
        <f>H61/E61</f>
        <v/>
      </c>
      <c r="K61" s="5" t="n">
        <v>45.99</v>
      </c>
      <c r="L61" s="5" t="n">
        <v>35.9767</v>
      </c>
      <c r="M61" s="5" t="n">
        <v>35.9767</v>
      </c>
      <c r="N61" s="6">
        <f>J61/M61-1</f>
        <v/>
      </c>
      <c r="O61" s="6">
        <f>J61/K61-1</f>
        <v/>
      </c>
      <c r="P61" s="2" t="inlineStr">
        <is>
          <t>OK (≤ últ. compra)</t>
        </is>
      </c>
      <c r="Q61" s="2" t="inlineStr"/>
    </row>
    <row r="62">
      <c r="A62" s="2" t="n">
        <v>568981</v>
      </c>
      <c r="B62" s="2" t="inlineStr">
        <is>
          <t>710225</t>
        </is>
      </c>
      <c r="C62" s="3" t="inlineStr">
        <is>
          <t>7891150037328</t>
        </is>
      </c>
      <c r="D62" s="2" t="inlineStr">
        <is>
          <t>CONDIC SEDA LISO PERFEI 325ML</t>
        </is>
      </c>
      <c r="E62" s="4" t="n">
        <v>1</v>
      </c>
      <c r="F62" s="4" t="n">
        <v>4</v>
      </c>
      <c r="G62" s="4" t="n">
        <v>4</v>
      </c>
      <c r="H62" s="5" t="n">
        <v>10.14</v>
      </c>
      <c r="I62" s="5">
        <f>G62*H62</f>
        <v/>
      </c>
      <c r="J62" s="5">
        <f>H62/E62</f>
        <v/>
      </c>
      <c r="K62" s="5" t="n">
        <v>11.5</v>
      </c>
      <c r="L62" s="5" t="n">
        <v>11.0678</v>
      </c>
      <c r="M62" s="5" t="n">
        <v>11.35593333333333</v>
      </c>
      <c r="N62" s="6">
        <f>J62/M62-1</f>
        <v/>
      </c>
      <c r="O62" s="6">
        <f>J62/K62-1</f>
        <v/>
      </c>
      <c r="P62" s="2" t="inlineStr">
        <is>
          <t>OK (≤ últ. compra)</t>
        </is>
      </c>
      <c r="Q62" s="2" t="inlineStr"/>
    </row>
    <row r="63">
      <c r="A63" s="2" t="n">
        <v>651831</v>
      </c>
      <c r="B63" s="2" t="inlineStr">
        <is>
          <t>722523</t>
        </is>
      </c>
      <c r="C63" s="3" t="inlineStr">
        <is>
          <t>7908615086194</t>
        </is>
      </c>
      <c r="D63" s="2" t="inlineStr">
        <is>
          <t>COR&amp;TON MARSALA ACAI 8.26-DEMAIS PROD</t>
        </is>
      </c>
      <c r="E63" s="4" t="n">
        <v>1</v>
      </c>
      <c r="F63" s="4" t="n">
        <v>2</v>
      </c>
      <c r="G63" s="4" t="n">
        <v>2</v>
      </c>
      <c r="H63" s="5" t="n">
        <v>10.28</v>
      </c>
      <c r="I63" s="5">
        <f>G63*H63</f>
        <v/>
      </c>
      <c r="J63" s="5">
        <f>H63/E63</f>
        <v/>
      </c>
      <c r="K63" s="5" t="n">
        <v>12.58</v>
      </c>
      <c r="L63" s="5" t="n">
        <v>10.5</v>
      </c>
      <c r="M63" s="5" t="n">
        <v>11.88666666666666</v>
      </c>
      <c r="N63" s="6">
        <f>J63/M63-1</f>
        <v/>
      </c>
      <c r="O63" s="6">
        <f>J63/K63-1</f>
        <v/>
      </c>
      <c r="P63" s="2" t="inlineStr">
        <is>
          <t>OK (≤ últ. compra)</t>
        </is>
      </c>
      <c r="Q63" s="2" t="inlineStr"/>
    </row>
    <row r="64">
      <c r="A64" s="2" t="n">
        <v>567161</v>
      </c>
      <c r="B64" s="2" t="inlineStr">
        <is>
          <t>700801</t>
        </is>
      </c>
      <c r="C64" s="3" t="inlineStr">
        <is>
          <t>7891010560737</t>
        </is>
      </c>
      <c r="D64" s="2" t="inlineStr">
        <is>
          <t>COTONETES J J HASTES FLEX 75UN</t>
        </is>
      </c>
      <c r="E64" s="4" t="n">
        <v>1</v>
      </c>
      <c r="F64" s="4" t="n">
        <v>14</v>
      </c>
      <c r="G64" s="4" t="n">
        <v>14</v>
      </c>
      <c r="H64" s="5" t="n">
        <v>5.64</v>
      </c>
      <c r="I64" s="5">
        <f>G64*H64</f>
        <v/>
      </c>
      <c r="J64" s="5">
        <f>H64/E64</f>
        <v/>
      </c>
      <c r="K64" s="5" t="n">
        <v>6.1767</v>
      </c>
      <c r="L64" s="5" t="n">
        <v>5.7197</v>
      </c>
      <c r="M64" s="5" t="n">
        <v>5.8717</v>
      </c>
      <c r="N64" s="6">
        <f>J64/M64-1</f>
        <v/>
      </c>
      <c r="O64" s="6">
        <f>J64/K64-1</f>
        <v/>
      </c>
      <c r="P64" s="2" t="inlineStr">
        <is>
          <t>OK (≤ últ. compra)</t>
        </is>
      </c>
      <c r="Q64" s="2" t="inlineStr"/>
    </row>
    <row r="65">
      <c r="A65" s="2" t="n">
        <v>655361</v>
      </c>
      <c r="B65" s="2" t="inlineStr">
        <is>
          <t>115223</t>
        </is>
      </c>
      <c r="C65" s="3" t="inlineStr">
        <is>
          <t>7896004822013</t>
        </is>
      </c>
      <c r="D65" s="2" t="inlineStr">
        <is>
          <t>COXETO 90MG 7 COM REV-B</t>
        </is>
      </c>
      <c r="E65" s="4" t="n">
        <v>1</v>
      </c>
      <c r="F65" s="4" t="n">
        <v>1</v>
      </c>
      <c r="G65" s="4" t="n">
        <v>1</v>
      </c>
      <c r="H65" s="5" t="n">
        <v>42.68</v>
      </c>
      <c r="I65" s="5">
        <f>G65*H65</f>
        <v/>
      </c>
      <c r="J65" s="5">
        <f>H65/E65</f>
        <v/>
      </c>
      <c r="K65" s="5" t="n">
        <v>44.35</v>
      </c>
      <c r="L65" s="5" t="n">
        <v>34.225</v>
      </c>
      <c r="M65" s="5" t="n">
        <v>37.6</v>
      </c>
      <c r="N65" s="6">
        <f>J65/M65-1</f>
        <v/>
      </c>
      <c r="O65" s="6">
        <f>J65/K65-1</f>
        <v/>
      </c>
      <c r="P65" s="2" t="inlineStr">
        <is>
          <t>OK (≤ últ. compra)</t>
        </is>
      </c>
      <c r="Q65" s="2" t="inlineStr"/>
    </row>
    <row r="66">
      <c r="A66" s="2" t="n">
        <v>568501</v>
      </c>
      <c r="B66" s="2" t="inlineStr">
        <is>
          <t>700926</t>
        </is>
      </c>
      <c r="C66" s="3" t="inlineStr">
        <is>
          <t>7891528038827</t>
        </is>
      </c>
      <c r="D66" s="2" t="inlineStr">
        <is>
          <t>CR D COLGATE KIDS TANDY T FRUTI 50G</t>
        </is>
      </c>
      <c r="E66" s="4" t="n">
        <v>1</v>
      </c>
      <c r="F66" s="4" t="n">
        <v>5</v>
      </c>
      <c r="G66" s="4" t="n">
        <v>5</v>
      </c>
      <c r="H66" s="5" t="n">
        <v>6.68</v>
      </c>
      <c r="I66" s="5">
        <f>G66*H66</f>
        <v/>
      </c>
      <c r="J66" s="5">
        <f>H66/E66</f>
        <v/>
      </c>
      <c r="K66" s="5" t="n">
        <v>7.3229</v>
      </c>
      <c r="L66" s="5" t="n">
        <v>7.04</v>
      </c>
      <c r="M66" s="5" t="n">
        <v>7.2286</v>
      </c>
      <c r="N66" s="6">
        <f>J66/M66-1</f>
        <v/>
      </c>
      <c r="O66" s="6">
        <f>J66/K66-1</f>
        <v/>
      </c>
      <c r="P66" s="2" t="inlineStr">
        <is>
          <t>OK (≤ últ. compra)</t>
        </is>
      </c>
      <c r="Q66" s="2" t="inlineStr"/>
    </row>
    <row r="67">
      <c r="A67" s="2" t="n">
        <v>610121</v>
      </c>
      <c r="B67" s="2" t="inlineStr">
        <is>
          <t>719658</t>
        </is>
      </c>
      <c r="C67" s="3" t="inlineStr">
        <is>
          <t>7509546675862</t>
        </is>
      </c>
      <c r="D67" s="2" t="inlineStr">
        <is>
          <t>CR DEN COLGATE PERIOGARD 60G</t>
        </is>
      </c>
      <c r="E67" s="4" t="n">
        <v>1</v>
      </c>
      <c r="F67" s="4" t="n">
        <v>6</v>
      </c>
      <c r="G67" s="4" t="n">
        <v>6</v>
      </c>
      <c r="H67" s="5" t="n">
        <v>11.65</v>
      </c>
      <c r="I67" s="5">
        <f>G67*H67</f>
        <v/>
      </c>
      <c r="J67" s="5">
        <f>H67/E67</f>
        <v/>
      </c>
      <c r="K67" s="5" t="n">
        <v>12.0075</v>
      </c>
      <c r="L67" s="5" t="n">
        <v>10.1467</v>
      </c>
      <c r="M67" s="5" t="n">
        <v>11.38696666666667</v>
      </c>
      <c r="N67" s="6">
        <f>J67/M67-1</f>
        <v/>
      </c>
      <c r="O67" s="6">
        <f>J67/K67-1</f>
        <v/>
      </c>
      <c r="P67" s="2" t="inlineStr">
        <is>
          <t>OK (≤ últ. compra)</t>
        </is>
      </c>
      <c r="Q67" s="2" t="inlineStr"/>
    </row>
    <row r="68">
      <c r="A68" s="2" t="n">
        <v>594271</v>
      </c>
      <c r="B68" s="2" t="inlineStr">
        <is>
          <t>710474</t>
        </is>
      </c>
      <c r="C68" s="3" t="inlineStr">
        <is>
          <t>0000042277217</t>
        </is>
      </c>
      <c r="D68" s="2" t="inlineStr">
        <is>
          <t>CR NIVEA 29G</t>
        </is>
      </c>
      <c r="E68" s="4" t="n">
        <v>1</v>
      </c>
      <c r="F68" s="4" t="n">
        <v>1</v>
      </c>
      <c r="G68" s="4" t="n">
        <v>1</v>
      </c>
      <c r="H68" s="5" t="n">
        <v>11.93</v>
      </c>
      <c r="I68" s="5">
        <f>G68*H68</f>
        <v/>
      </c>
      <c r="J68" s="5">
        <f>H68/E68</f>
        <v/>
      </c>
      <c r="K68" s="5" t="n">
        <v>13.41</v>
      </c>
      <c r="L68" s="5" t="n">
        <v>13.41</v>
      </c>
      <c r="M68" s="5" t="n">
        <v>13.41</v>
      </c>
      <c r="N68" s="6">
        <f>J68/M68-1</f>
        <v/>
      </c>
      <c r="O68" s="6">
        <f>J68/K68-1</f>
        <v/>
      </c>
      <c r="P68" s="2" t="inlineStr">
        <is>
          <t>OK (≤ últ. compra)</t>
        </is>
      </c>
      <c r="Q68" s="2" t="inlineStr"/>
    </row>
    <row r="69">
      <c r="A69" s="2" t="n">
        <v>556501</v>
      </c>
      <c r="B69" s="2" t="inlineStr">
        <is>
          <t>710474</t>
        </is>
      </c>
      <c r="C69" s="3" t="inlineStr">
        <is>
          <t>42277217</t>
        </is>
      </c>
      <c r="D69" s="2" t="inlineStr">
        <is>
          <t>CR NIVEA 29G</t>
        </is>
      </c>
      <c r="E69" s="4" t="n">
        <v>1</v>
      </c>
      <c r="F69" s="4" t="n">
        <v>18</v>
      </c>
      <c r="G69" s="4" t="n">
        <v>18</v>
      </c>
      <c r="H69" s="5" t="n">
        <v>11.93</v>
      </c>
      <c r="I69" s="5">
        <f>G69*H69</f>
        <v/>
      </c>
      <c r="J69" s="5">
        <f>H69/E69</f>
        <v/>
      </c>
      <c r="K69" s="5" t="n">
        <v>14.24</v>
      </c>
      <c r="L69" s="5" t="n">
        <v>8.833299999999999</v>
      </c>
      <c r="M69" s="5" t="n">
        <v>9.341633333333334</v>
      </c>
      <c r="N69" s="6">
        <f>J69/M69-1</f>
        <v/>
      </c>
      <c r="O69" s="6">
        <f>J69/K69-1</f>
        <v/>
      </c>
      <c r="P69" s="2" t="inlineStr">
        <is>
          <t>OK (≤ últ. compra)</t>
        </is>
      </c>
      <c r="Q69" s="2" t="inlineStr"/>
    </row>
    <row r="70">
      <c r="A70" s="2" t="n">
        <v>615291</v>
      </c>
      <c r="B70" s="2" t="inlineStr">
        <is>
          <t>715209</t>
        </is>
      </c>
      <c r="C70" s="3" t="inlineStr">
        <is>
          <t>42355465</t>
        </is>
      </c>
      <c r="D70" s="2" t="inlineStr">
        <is>
          <t>CR NIVEA MEN 30G</t>
        </is>
      </c>
      <c r="E70" s="4" t="n">
        <v>1</v>
      </c>
      <c r="F70" s="4" t="n">
        <v>1</v>
      </c>
      <c r="G70" s="4" t="n">
        <v>1</v>
      </c>
      <c r="H70" s="5" t="n">
        <v>10.72</v>
      </c>
      <c r="I70" s="5">
        <f>G70*H70</f>
        <v/>
      </c>
      <c r="J70" s="5">
        <f>H70/E70</f>
        <v/>
      </c>
      <c r="K70" s="5" t="n">
        <v>12.09</v>
      </c>
      <c r="L70" s="5" t="n">
        <v>12.09</v>
      </c>
      <c r="M70" s="5" t="n">
        <v>12.09</v>
      </c>
      <c r="N70" s="6">
        <f>J70/M70-1</f>
        <v/>
      </c>
      <c r="O70" s="6">
        <f>J70/K70-1</f>
        <v/>
      </c>
      <c r="P70" s="2" t="inlineStr">
        <is>
          <t>OK (≤ últ. compra)</t>
        </is>
      </c>
      <c r="Q70" s="2" t="inlineStr"/>
    </row>
    <row r="71">
      <c r="A71" s="2" t="n">
        <v>576481</v>
      </c>
      <c r="B71" s="2" t="inlineStr">
        <is>
          <t>701022</t>
        </is>
      </c>
      <c r="C71" s="3" t="inlineStr">
        <is>
          <t>4005808890590</t>
        </is>
      </c>
      <c r="D71" s="2" t="inlineStr">
        <is>
          <t>CR NIVEA SOFT HIDRAT.97G</t>
        </is>
      </c>
      <c r="E71" s="4" t="n">
        <v>1</v>
      </c>
      <c r="F71" s="4" t="n">
        <v>4</v>
      </c>
      <c r="G71" s="4" t="n">
        <v>4</v>
      </c>
      <c r="H71" s="5" t="n">
        <v>26.44</v>
      </c>
      <c r="I71" s="5">
        <f>G71*H71</f>
        <v/>
      </c>
      <c r="J71" s="5">
        <f>H71/E71</f>
        <v/>
      </c>
      <c r="K71" s="5" t="n">
        <v>29.8083</v>
      </c>
      <c r="L71" s="5" t="n">
        <v>29.8083</v>
      </c>
      <c r="M71" s="5" t="n">
        <v>29.8083</v>
      </c>
      <c r="N71" s="6">
        <f>J71/M71-1</f>
        <v/>
      </c>
      <c r="O71" s="6">
        <f>J71/K71-1</f>
        <v/>
      </c>
      <c r="P71" s="2" t="inlineStr">
        <is>
          <t>OK (≤ últ. compra)</t>
        </is>
      </c>
      <c r="Q71" s="2" t="inlineStr"/>
    </row>
    <row r="72">
      <c r="A72" s="2" t="n">
        <v>614431</v>
      </c>
      <c r="B72" s="2" t="inlineStr">
        <is>
          <t>707255</t>
        </is>
      </c>
      <c r="C72" s="3" t="inlineStr">
        <is>
          <t>7898587774475</t>
        </is>
      </c>
      <c r="D72" s="2" t="inlineStr">
        <is>
          <t>CR TRAT ELSEVE 300G OLEO EXTRAORD NUTRIC</t>
        </is>
      </c>
      <c r="E72" s="4" t="n">
        <v>1</v>
      </c>
      <c r="F72" s="4" t="n">
        <v>3</v>
      </c>
      <c r="G72" s="4" t="n">
        <v>3</v>
      </c>
      <c r="H72" s="5" t="n">
        <v>19.38</v>
      </c>
      <c r="I72" s="5">
        <f>G72*H72</f>
        <v/>
      </c>
      <c r="J72" s="5">
        <f>H72/E72</f>
        <v/>
      </c>
      <c r="K72" s="5" t="n">
        <v>22.36</v>
      </c>
      <c r="L72" s="5" t="n">
        <v>20.46</v>
      </c>
      <c r="M72" s="5" t="n">
        <v>21.72666666666667</v>
      </c>
      <c r="N72" s="6">
        <f>J72/M72-1</f>
        <v/>
      </c>
      <c r="O72" s="6">
        <f>J72/K72-1</f>
        <v/>
      </c>
      <c r="P72" s="2" t="inlineStr">
        <is>
          <t>OK (≤ últ. compra)</t>
        </is>
      </c>
      <c r="Q72" s="2" t="inlineStr"/>
    </row>
    <row r="73">
      <c r="A73" s="2" t="n">
        <v>570301</v>
      </c>
      <c r="B73" s="2" t="inlineStr">
        <is>
          <t>720490</t>
        </is>
      </c>
      <c r="C73" s="3" t="inlineStr">
        <is>
          <t>7899026457645</t>
        </is>
      </c>
      <c r="D73" s="2" t="inlineStr">
        <is>
          <t>CR TRAT ELSEVE REP TOTAL5 300G</t>
        </is>
      </c>
      <c r="E73" s="4" t="n">
        <v>1</v>
      </c>
      <c r="F73" s="4" t="n">
        <v>4</v>
      </c>
      <c r="G73" s="4" t="n">
        <v>4</v>
      </c>
      <c r="H73" s="5" t="n">
        <v>19.38</v>
      </c>
      <c r="I73" s="5">
        <f>G73*H73</f>
        <v/>
      </c>
      <c r="J73" s="5">
        <f>H73/E73</f>
        <v/>
      </c>
      <c r="K73" s="5" t="n">
        <v>21.86</v>
      </c>
      <c r="L73" s="5" t="n">
        <v>20.46</v>
      </c>
      <c r="M73" s="5" t="n">
        <v>21.39333333333333</v>
      </c>
      <c r="N73" s="6">
        <f>J73/M73-1</f>
        <v/>
      </c>
      <c r="O73" s="6">
        <f>J73/K73-1</f>
        <v/>
      </c>
      <c r="P73" s="2" t="inlineStr">
        <is>
          <t>OK (≤ últ. compra)</t>
        </is>
      </c>
      <c r="Q73" s="2" t="inlineStr"/>
    </row>
    <row r="74">
      <c r="A74" s="2" t="n">
        <v>576521</v>
      </c>
      <c r="B74" s="2" t="inlineStr">
        <is>
          <t>701045</t>
        </is>
      </c>
      <c r="C74" s="3" t="inlineStr">
        <is>
          <t>7891037000322</t>
        </is>
      </c>
      <c r="D74" s="2" t="inlineStr">
        <is>
          <t>CREME DE PENTEAR SEDA CACHOS DEFIN. 300ML</t>
        </is>
      </c>
      <c r="E74" s="4" t="n">
        <v>1</v>
      </c>
      <c r="F74" s="4" t="n">
        <v>1</v>
      </c>
      <c r="G74" s="4" t="n">
        <v>1</v>
      </c>
      <c r="H74" s="5" t="n">
        <v>6.68</v>
      </c>
      <c r="I74" s="5">
        <f>G74*H74</f>
        <v/>
      </c>
      <c r="J74" s="5">
        <f>H74/E74</f>
        <v/>
      </c>
      <c r="K74" s="5" t="n">
        <v>9.550000000000001</v>
      </c>
      <c r="L74" s="5" t="n">
        <v>9.550000000000001</v>
      </c>
      <c r="M74" s="5" t="n">
        <v>9.550000000000001</v>
      </c>
      <c r="N74" s="6">
        <f>J74/M74-1</f>
        <v/>
      </c>
      <c r="O74" s="6">
        <f>J74/K74-1</f>
        <v/>
      </c>
      <c r="P74" s="2" t="inlineStr">
        <is>
          <t>OK (≤ últ. compra)</t>
        </is>
      </c>
      <c r="Q74" s="2" t="inlineStr"/>
    </row>
    <row r="75">
      <c r="A75" s="2" t="n">
        <v>563481</v>
      </c>
      <c r="B75" s="2" t="inlineStr">
        <is>
          <t>708891</t>
        </is>
      </c>
      <c r="C75" s="3" t="inlineStr">
        <is>
          <t>7891024030820</t>
        </is>
      </c>
      <c r="D75" s="2" t="inlineStr">
        <is>
          <t>CREME DENTAL COLGATE LUMINOUS WHITE - BRILLIANT 90G</t>
        </is>
      </c>
      <c r="E75" s="4" t="n">
        <v>1</v>
      </c>
      <c r="F75" s="4" t="n">
        <v>7</v>
      </c>
      <c r="G75" s="4" t="n">
        <v>7</v>
      </c>
      <c r="H75" s="5" t="n">
        <v>6.63</v>
      </c>
      <c r="I75" s="5">
        <f>G75*H75</f>
        <v/>
      </c>
      <c r="J75" s="5">
        <f>H75/E75</f>
        <v/>
      </c>
      <c r="K75" s="5" t="n">
        <v>6.7421</v>
      </c>
      <c r="L75" s="5" t="n">
        <v>5.5138</v>
      </c>
      <c r="M75" s="5" t="n">
        <v>6.332666666666666</v>
      </c>
      <c r="N75" s="6">
        <f>J75/M75-1</f>
        <v/>
      </c>
      <c r="O75" s="6">
        <f>J75/K75-1</f>
        <v/>
      </c>
      <c r="P75" s="2" t="inlineStr">
        <is>
          <t>OK (≤ últ. compra)</t>
        </is>
      </c>
      <c r="Q75" s="2" t="inlineStr"/>
    </row>
    <row r="76">
      <c r="A76" s="2" t="n">
        <v>536221</v>
      </c>
      <c r="B76" s="2" t="inlineStr">
        <is>
          <t>716302</t>
        </is>
      </c>
      <c r="C76" s="3" t="inlineStr">
        <is>
          <t>7500435150248</t>
        </is>
      </c>
      <c r="D76" s="2" t="inlineStr">
        <is>
          <t>CREME DENTAL COOL MINT ORAL-B EXTRA BRANCO CAIXA 70G</t>
        </is>
      </c>
      <c r="E76" s="4" t="n">
        <v>1</v>
      </c>
      <c r="F76" s="4" t="n">
        <v>3</v>
      </c>
      <c r="G76" s="4" t="n">
        <v>3</v>
      </c>
      <c r="H76" s="5" t="n">
        <v>4.02</v>
      </c>
      <c r="I76" s="5">
        <f>G76*H76</f>
        <v/>
      </c>
      <c r="J76" s="5">
        <f>H76/E76</f>
        <v/>
      </c>
      <c r="K76" s="5" t="n">
        <v>4.36</v>
      </c>
      <c r="L76" s="5" t="n">
        <v>4.36</v>
      </c>
      <c r="M76" s="5" t="n">
        <v>4.36</v>
      </c>
      <c r="N76" s="6">
        <f>J76/M76-1</f>
        <v/>
      </c>
      <c r="O76" s="6">
        <f>J76/K76-1</f>
        <v/>
      </c>
      <c r="P76" s="2" t="inlineStr">
        <is>
          <t>OK (≤ últ. compra)</t>
        </is>
      </c>
      <c r="Q76" s="2" t="inlineStr"/>
    </row>
    <row r="77">
      <c r="A77" s="2" t="n">
        <v>536961</v>
      </c>
      <c r="B77" s="2" t="inlineStr">
        <is>
          <t>710428</t>
        </is>
      </c>
      <c r="C77" s="3" t="inlineStr">
        <is>
          <t>7891150049895</t>
        </is>
      </c>
      <c r="D77" s="2" t="inlineStr">
        <is>
          <t>CREME DENTAL MENTA CLOSEUP TRIPLE CAIXA 70G</t>
        </is>
      </c>
      <c r="E77" s="4" t="n">
        <v>1</v>
      </c>
      <c r="F77" s="4" t="n">
        <v>7</v>
      </c>
      <c r="G77" s="4" t="n">
        <v>7</v>
      </c>
      <c r="H77" s="5" t="n">
        <v>2.06</v>
      </c>
      <c r="I77" s="5">
        <f>G77*H77</f>
        <v/>
      </c>
      <c r="J77" s="5">
        <f>H77/E77</f>
        <v/>
      </c>
      <c r="K77" s="5" t="n">
        <v>2.43</v>
      </c>
      <c r="L77" s="5" t="n">
        <v>2.43</v>
      </c>
      <c r="M77" s="5" t="n">
        <v>2.43</v>
      </c>
      <c r="N77" s="6">
        <f>J77/M77-1</f>
        <v/>
      </c>
      <c r="O77" s="6">
        <f>J77/K77-1</f>
        <v/>
      </c>
      <c r="P77" s="2" t="inlineStr">
        <is>
          <t>OK (≤ últ. compra)</t>
        </is>
      </c>
      <c r="Q77" s="2" t="inlineStr"/>
    </row>
    <row r="78">
      <c r="A78" s="2" t="n">
        <v>576541</v>
      </c>
      <c r="B78" s="2" t="inlineStr">
        <is>
          <t>701053</t>
        </is>
      </c>
      <c r="C78" s="3" t="inlineStr">
        <is>
          <t>7891037144705</t>
        </is>
      </c>
      <c r="D78" s="2" t="inlineStr">
        <is>
          <t>CREME PARA PENTEAR SEDA CERAMIDAS 300ML</t>
        </is>
      </c>
      <c r="E78" s="4" t="n">
        <v>1</v>
      </c>
      <c r="F78" s="4" t="n">
        <v>4</v>
      </c>
      <c r="G78" s="4" t="n">
        <v>4</v>
      </c>
      <c r="H78" s="5" t="n">
        <v>6.68</v>
      </c>
      <c r="I78" s="5">
        <f>G78*H78</f>
        <v/>
      </c>
      <c r="J78" s="5">
        <f>H78/E78</f>
        <v/>
      </c>
      <c r="K78" s="5" t="n">
        <v>9.0733</v>
      </c>
      <c r="L78" s="5" t="n">
        <v>7.1017</v>
      </c>
      <c r="M78" s="5" t="n">
        <v>8.4161</v>
      </c>
      <c r="N78" s="6">
        <f>J78/M78-1</f>
        <v/>
      </c>
      <c r="O78" s="6">
        <f>J78/K78-1</f>
        <v/>
      </c>
      <c r="P78" s="2" t="inlineStr">
        <is>
          <t>OK (≤ últ. compra)</t>
        </is>
      </c>
      <c r="Q78" s="2" t="inlineStr"/>
    </row>
    <row r="79">
      <c r="A79" s="2" t="n">
        <v>474</v>
      </c>
      <c r="B79" s="2" t="inlineStr">
        <is>
          <t>719311</t>
        </is>
      </c>
      <c r="C79" s="3" t="inlineStr">
        <is>
          <t>7891150063617</t>
        </is>
      </c>
      <c r="D79" s="2" t="inlineStr">
        <is>
          <t>CRM DENTAL CLOSEUP MENTA 150G</t>
        </is>
      </c>
      <c r="E79" s="4" t="n">
        <v>1</v>
      </c>
      <c r="F79" s="4" t="n">
        <v>1</v>
      </c>
      <c r="G79" s="4" t="n">
        <v>1</v>
      </c>
      <c r="H79" s="5" t="n">
        <v>3.74</v>
      </c>
      <c r="I79" s="5">
        <f>G79*H79</f>
        <v/>
      </c>
      <c r="J79" s="5">
        <f>H79/E79</f>
        <v/>
      </c>
      <c r="K79" s="5" t="n">
        <v>4.6</v>
      </c>
      <c r="L79" s="5" t="n">
        <v>4.6</v>
      </c>
      <c r="M79" s="5" t="n">
        <v>4.6</v>
      </c>
      <c r="N79" s="6">
        <f>J79/M79-1</f>
        <v/>
      </c>
      <c r="O79" s="6">
        <f>J79/K79-1</f>
        <v/>
      </c>
      <c r="P79" s="2" t="inlineStr">
        <is>
          <t>OK (≤ últ. compra)</t>
        </is>
      </c>
      <c r="Q79" s="2" t="inlineStr"/>
    </row>
    <row r="80">
      <c r="A80" s="2" t="n">
        <v>198541</v>
      </c>
      <c r="B80" s="2" t="inlineStr">
        <is>
          <t>100974</t>
        </is>
      </c>
      <c r="C80" s="3" t="inlineStr">
        <is>
          <t>7897316801390</t>
        </is>
      </c>
      <c r="D80" s="2" t="inlineStr">
        <is>
          <t>CROMOLERG 2% SOL OCUL FR 5ML</t>
        </is>
      </c>
      <c r="E80" s="4" t="n">
        <v>1</v>
      </c>
      <c r="F80" s="4" t="n">
        <v>1</v>
      </c>
      <c r="G80" s="4" t="n">
        <v>1</v>
      </c>
      <c r="H80" s="5" t="n">
        <v>12.11</v>
      </c>
      <c r="I80" s="5">
        <f>G80*H80</f>
        <v/>
      </c>
      <c r="J80" s="5">
        <f>H80/E80</f>
        <v/>
      </c>
      <c r="K80" s="5" t="n">
        <v>11.5633</v>
      </c>
      <c r="L80" s="5" t="n">
        <v>11.5633</v>
      </c>
      <c r="M80" s="5" t="n">
        <v>11.5633</v>
      </c>
      <c r="N80" s="6">
        <f>J80/M80-1</f>
        <v/>
      </c>
      <c r="O80" s="6">
        <f>J80/K80-1</f>
        <v/>
      </c>
      <c r="P80" s="2" t="inlineStr">
        <is>
          <t>REAJUSTE +4.7% vs média (≤6%)</t>
        </is>
      </c>
      <c r="Q80" s="2" t="inlineStr"/>
    </row>
    <row r="81">
      <c r="A81" s="2" t="n">
        <v>567181</v>
      </c>
      <c r="B81" s="2" t="inlineStr">
        <is>
          <t>704180</t>
        </is>
      </c>
      <c r="C81" s="3" t="inlineStr">
        <is>
          <t>7891010695415</t>
        </is>
      </c>
      <c r="D81" s="2" t="inlineStr">
        <is>
          <t>CURAT BAND-AID PEQ FERIMENTOS 16UN</t>
        </is>
      </c>
      <c r="E81" s="4" t="n">
        <v>1</v>
      </c>
      <c r="F81" s="4" t="n">
        <v>2</v>
      </c>
      <c r="G81" s="4" t="n">
        <v>2</v>
      </c>
      <c r="H81" s="5" t="n">
        <v>8.039999999999999</v>
      </c>
      <c r="I81" s="5">
        <f>G81*H81</f>
        <v/>
      </c>
      <c r="J81" s="5">
        <f>H81/E81</f>
        <v/>
      </c>
      <c r="K81" s="5" t="n">
        <v>9.369999999999999</v>
      </c>
      <c r="L81" s="5" t="n">
        <v>7.83</v>
      </c>
      <c r="M81" s="5" t="n">
        <v>8.343333333333334</v>
      </c>
      <c r="N81" s="6">
        <f>J81/M81-1</f>
        <v/>
      </c>
      <c r="O81" s="6">
        <f>J81/K81-1</f>
        <v/>
      </c>
      <c r="P81" s="2" t="inlineStr">
        <is>
          <t>OK (≤ últ. compra)</t>
        </is>
      </c>
      <c r="Q81" s="2" t="inlineStr"/>
    </row>
    <row r="82">
      <c r="A82" s="2" t="n">
        <v>575341</v>
      </c>
      <c r="B82" s="2" t="inlineStr">
        <is>
          <t>713084</t>
        </is>
      </c>
      <c r="C82" s="3" t="inlineStr">
        <is>
          <t>7891800342000</t>
        </is>
      </c>
      <c r="D82" s="2" t="inlineStr">
        <is>
          <t>CURATIVO CREMERCARE BEGE C/10</t>
        </is>
      </c>
      <c r="E82" s="4" t="n">
        <v>1</v>
      </c>
      <c r="F82" s="4" t="n">
        <v>2</v>
      </c>
      <c r="G82" s="4" t="n">
        <v>2</v>
      </c>
      <c r="H82" s="5" t="n">
        <v>2.76</v>
      </c>
      <c r="I82" s="5">
        <f>G82*H82</f>
        <v/>
      </c>
      <c r="J82" s="5">
        <f>H82/E82</f>
        <v/>
      </c>
      <c r="K82" s="5" t="n">
        <v>3.16</v>
      </c>
      <c r="L82" s="5" t="n">
        <v>3.16</v>
      </c>
      <c r="M82" s="5" t="n">
        <v>3.16</v>
      </c>
      <c r="N82" s="6">
        <f>J82/M82-1</f>
        <v/>
      </c>
      <c r="O82" s="6">
        <f>J82/K82-1</f>
        <v/>
      </c>
      <c r="P82" s="2" t="inlineStr">
        <is>
          <t>OK (≤ últ. compra)</t>
        </is>
      </c>
      <c r="Q82" s="2" t="inlineStr"/>
    </row>
    <row r="83">
      <c r="A83" s="2" t="n">
        <v>575361</v>
      </c>
      <c r="B83" s="2" t="inlineStr">
        <is>
          <t>713088</t>
        </is>
      </c>
      <c r="C83" s="3" t="inlineStr">
        <is>
          <t>7891800341966</t>
        </is>
      </c>
      <c r="D83" s="2" t="inlineStr">
        <is>
          <t>CURATIVO CREMERCARE REDONDO C/16</t>
        </is>
      </c>
      <c r="E83" s="4" t="n">
        <v>1</v>
      </c>
      <c r="F83" s="4" t="n">
        <v>8</v>
      </c>
      <c r="G83" s="4" t="n">
        <v>8</v>
      </c>
      <c r="H83" s="5" t="n">
        <v>2.66</v>
      </c>
      <c r="I83" s="5">
        <f>G83*H83</f>
        <v/>
      </c>
      <c r="J83" s="5">
        <f>H83/E83</f>
        <v/>
      </c>
      <c r="K83" s="5" t="n">
        <v>3.802</v>
      </c>
      <c r="L83" s="5" t="n">
        <v>3.802</v>
      </c>
      <c r="M83" s="5" t="n">
        <v>3.802</v>
      </c>
      <c r="N83" s="6">
        <f>J83/M83-1</f>
        <v/>
      </c>
      <c r="O83" s="6">
        <f>J83/K83-1</f>
        <v/>
      </c>
      <c r="P83" s="2" t="inlineStr">
        <is>
          <t>OK (≤ últ. compra)</t>
        </is>
      </c>
      <c r="Q83" s="2" t="inlineStr"/>
    </row>
    <row r="84">
      <c r="A84" s="2" t="n">
        <v>604731</v>
      </c>
      <c r="B84" s="2" t="inlineStr">
        <is>
          <t>718264</t>
        </is>
      </c>
      <c r="C84" s="3" t="inlineStr">
        <is>
          <t>7891800341997</t>
        </is>
      </c>
      <c r="D84" s="2" t="inlineStr">
        <is>
          <t>CURATIVO CREMERCARE TRASP C/10</t>
        </is>
      </c>
      <c r="E84" s="4" t="n">
        <v>1</v>
      </c>
      <c r="F84" s="4" t="n">
        <v>7</v>
      </c>
      <c r="G84" s="4" t="n">
        <v>7</v>
      </c>
      <c r="H84" s="5" t="n">
        <v>2.76</v>
      </c>
      <c r="I84" s="5">
        <f>G84*H84</f>
        <v/>
      </c>
      <c r="J84" s="5">
        <f>H84/E84</f>
        <v/>
      </c>
      <c r="K84" s="5" t="n">
        <v>3.162</v>
      </c>
      <c r="L84" s="5" t="n">
        <v>3.162</v>
      </c>
      <c r="M84" s="5" t="n">
        <v>3.162</v>
      </c>
      <c r="N84" s="6">
        <f>J84/M84-1</f>
        <v/>
      </c>
      <c r="O84" s="6">
        <f>J84/K84-1</f>
        <v/>
      </c>
      <c r="P84" s="2" t="inlineStr">
        <is>
          <t>OK (≤ últ. compra)</t>
        </is>
      </c>
      <c r="Q84" s="2" t="inlineStr"/>
    </row>
    <row r="85">
      <c r="A85" s="2" t="n">
        <v>554161</v>
      </c>
      <c r="B85" s="2" t="inlineStr">
        <is>
          <t>704182</t>
        </is>
      </c>
      <c r="C85" s="3" t="inlineStr">
        <is>
          <t>7891010504779</t>
        </is>
      </c>
      <c r="D85" s="2" t="inlineStr">
        <is>
          <t>CURATIVO TRANSPARENTE BAND AID C/10 UNIT</t>
        </is>
      </c>
      <c r="E85" s="4" t="n">
        <v>1</v>
      </c>
      <c r="F85" s="4" t="n">
        <v>5</v>
      </c>
      <c r="G85" s="4" t="n">
        <v>5</v>
      </c>
      <c r="H85" s="5" t="n">
        <v>6.3</v>
      </c>
      <c r="I85" s="5">
        <f>G85*H85</f>
        <v/>
      </c>
      <c r="J85" s="5">
        <f>H85/E85</f>
        <v/>
      </c>
      <c r="K85" s="5" t="n">
        <v>7.32</v>
      </c>
      <c r="L85" s="5" t="n">
        <v>5.662</v>
      </c>
      <c r="M85" s="5" t="n">
        <v>6.086066666666667</v>
      </c>
      <c r="N85" s="6">
        <f>J85/M85-1</f>
        <v/>
      </c>
      <c r="O85" s="6">
        <f>J85/K85-1</f>
        <v/>
      </c>
      <c r="P85" s="2" t="inlineStr">
        <is>
          <t>OK (≤ últ. compra)</t>
        </is>
      </c>
      <c r="Q85" s="2" t="inlineStr"/>
    </row>
    <row r="86">
      <c r="A86" s="2" t="n">
        <v>599291</v>
      </c>
      <c r="B86" s="2" t="inlineStr">
        <is>
          <t>704612</t>
        </is>
      </c>
      <c r="C86" s="3" t="inlineStr">
        <is>
          <t>7891025111832</t>
        </is>
      </c>
      <c r="D86" s="2" t="inlineStr">
        <is>
          <t>DANONE APTAMIL PREMIUM 1 LT 400G</t>
        </is>
      </c>
      <c r="E86" s="4" t="n">
        <v>1</v>
      </c>
      <c r="F86" s="4" t="n">
        <v>8</v>
      </c>
      <c r="G86" s="4" t="n">
        <v>8</v>
      </c>
      <c r="H86" s="5" t="n">
        <v>35.87</v>
      </c>
      <c r="I86" s="5">
        <f>G86*H86</f>
        <v/>
      </c>
      <c r="J86" s="5">
        <f>H86/E86</f>
        <v/>
      </c>
      <c r="K86" s="5" t="n">
        <v>35.372</v>
      </c>
      <c r="L86" s="5" t="n">
        <v>33.5244</v>
      </c>
      <c r="M86" s="5" t="n">
        <v>34.75613333333333</v>
      </c>
      <c r="N86" s="6">
        <f>J86/M86-1</f>
        <v/>
      </c>
      <c r="O86" s="6">
        <f>J86/K86-1</f>
        <v/>
      </c>
      <c r="P86" s="2" t="inlineStr">
        <is>
          <t>REAJUSTE +1.4% vs últ. (≤4%)</t>
        </is>
      </c>
      <c r="Q86" s="2" t="inlineStr"/>
    </row>
    <row r="87">
      <c r="A87" s="2" t="n">
        <v>646131</v>
      </c>
      <c r="B87" s="2" t="inlineStr">
        <is>
          <t>722220</t>
        </is>
      </c>
      <c r="C87" s="3" t="inlineStr">
        <is>
          <t>7891150096790</t>
        </is>
      </c>
      <c r="D87" s="2" t="inlineStr">
        <is>
          <t>DC DOVE 50G DESODORANTE  SERUM PREVINE IRRITACAO M3</t>
        </is>
      </c>
      <c r="E87" s="4" t="n">
        <v>1</v>
      </c>
      <c r="F87" s="4" t="n">
        <v>2</v>
      </c>
      <c r="G87" s="4" t="n">
        <v>2</v>
      </c>
      <c r="H87" s="5" t="n">
        <v>11.11</v>
      </c>
      <c r="I87" s="5">
        <f>G87*H87</f>
        <v/>
      </c>
      <c r="J87" s="5">
        <f>H87/E87</f>
        <v/>
      </c>
      <c r="K87" s="5" t="n">
        <v>10.6217</v>
      </c>
      <c r="L87" s="5" t="n">
        <v>10.6217</v>
      </c>
      <c r="M87" s="5" t="n">
        <v>10.6217</v>
      </c>
      <c r="N87" s="6">
        <f>J87/M87-1</f>
        <v/>
      </c>
      <c r="O87" s="6">
        <f>J87/K87-1</f>
        <v/>
      </c>
      <c r="P87" s="2" t="inlineStr">
        <is>
          <t>REAJUSTE +4.6% vs média (≤6%)</t>
        </is>
      </c>
      <c r="Q87" s="2" t="inlineStr"/>
    </row>
    <row r="88">
      <c r="A88" s="2" t="n">
        <v>18903</v>
      </c>
      <c r="B88" s="2" t="inlineStr">
        <is>
          <t>405690</t>
        </is>
      </c>
      <c r="C88" s="3" t="inlineStr">
        <is>
          <t>7896658049620</t>
        </is>
      </c>
      <c r="D88" s="2" t="inlineStr">
        <is>
          <t>DECONTOSSE 40MG/ML XPE 100ML+CP</t>
        </is>
      </c>
      <c r="E88" s="4" t="n">
        <v>1</v>
      </c>
      <c r="F88" s="4" t="n">
        <v>4</v>
      </c>
      <c r="G88" s="4" t="n">
        <v>4</v>
      </c>
      <c r="H88" s="5" t="n">
        <v>22.42</v>
      </c>
      <c r="I88" s="5">
        <f>G88*H88</f>
        <v/>
      </c>
      <c r="J88" s="5">
        <f>H88/E88</f>
        <v/>
      </c>
      <c r="K88" s="5" t="n">
        <v>23.3</v>
      </c>
      <c r="L88" s="5" t="n">
        <v>17.7</v>
      </c>
      <c r="M88" s="5" t="n">
        <v>19.56666666666667</v>
      </c>
      <c r="N88" s="6">
        <f>J88/M88-1</f>
        <v/>
      </c>
      <c r="O88" s="6">
        <f>J88/K88-1</f>
        <v/>
      </c>
      <c r="P88" s="2" t="inlineStr">
        <is>
          <t>OK (≤ últ. compra)</t>
        </is>
      </c>
      <c r="Q88" s="2" t="inlineStr"/>
    </row>
    <row r="89">
      <c r="A89" s="2" t="n">
        <v>647161</v>
      </c>
      <c r="B89" s="2" t="inlineStr">
        <is>
          <t>722640</t>
        </is>
      </c>
      <c r="C89" s="3" t="inlineStr">
        <is>
          <t>7500435170024</t>
        </is>
      </c>
      <c r="D89" s="2" t="inlineStr">
        <is>
          <t>DEO BARRA SECRET BERRY 45G</t>
        </is>
      </c>
      <c r="E89" s="4" t="n">
        <v>1</v>
      </c>
      <c r="F89" s="4" t="n">
        <v>3</v>
      </c>
      <c r="G89" s="4" t="n">
        <v>3</v>
      </c>
      <c r="H89" s="5" t="n">
        <v>19.98</v>
      </c>
      <c r="I89" s="5">
        <f>G89*H89</f>
        <v/>
      </c>
      <c r="J89" s="5">
        <f>H89/E89</f>
        <v/>
      </c>
      <c r="K89" s="5" t="n">
        <v>21.88</v>
      </c>
      <c r="L89" s="5" t="n">
        <v>18.76</v>
      </c>
      <c r="M89" s="5" t="n">
        <v>19.8</v>
      </c>
      <c r="N89" s="6">
        <f>J89/M89-1</f>
        <v/>
      </c>
      <c r="O89" s="6">
        <f>J89/K89-1</f>
        <v/>
      </c>
      <c r="P89" s="2" t="inlineStr">
        <is>
          <t>OK (≤ últ. compra)</t>
        </is>
      </c>
      <c r="Q89" s="2" t="inlineStr"/>
    </row>
    <row r="90">
      <c r="A90" s="2" t="n">
        <v>647181</v>
      </c>
      <c r="B90" s="2" t="inlineStr">
        <is>
          <t>720988</t>
        </is>
      </c>
      <c r="C90" s="3" t="inlineStr">
        <is>
          <t>7500435143189</t>
        </is>
      </c>
      <c r="D90" s="2" t="inlineStr">
        <is>
          <t>DEO BARRA SECRET COTTON 45G</t>
        </is>
      </c>
      <c r="E90" s="4" t="n">
        <v>1</v>
      </c>
      <c r="F90" s="4" t="n">
        <v>6</v>
      </c>
      <c r="G90" s="4" t="n">
        <v>6</v>
      </c>
      <c r="H90" s="5" t="n">
        <v>19.09</v>
      </c>
      <c r="I90" s="5">
        <f>G90*H90</f>
        <v/>
      </c>
      <c r="J90" s="5">
        <f>H90/E90</f>
        <v/>
      </c>
      <c r="K90" s="5" t="n">
        <v>20.62</v>
      </c>
      <c r="L90" s="5" t="n">
        <v>16.99</v>
      </c>
      <c r="M90" s="5" t="n">
        <v>18.79</v>
      </c>
      <c r="N90" s="6">
        <f>J90/M90-1</f>
        <v/>
      </c>
      <c r="O90" s="6">
        <f>J90/K90-1</f>
        <v/>
      </c>
      <c r="P90" s="2" t="inlineStr">
        <is>
          <t>OK (≤ últ. compra)</t>
        </is>
      </c>
      <c r="Q90" s="2" t="inlineStr"/>
    </row>
    <row r="91">
      <c r="A91" s="2" t="n">
        <v>637701</v>
      </c>
      <c r="B91" s="2" t="inlineStr">
        <is>
          <t>718906</t>
        </is>
      </c>
      <c r="C91" s="3" t="inlineStr">
        <is>
          <t>7891150081215</t>
        </is>
      </c>
      <c r="D91" s="2" t="inlineStr">
        <is>
          <t>DEO DOVE AER AP MEN CUID TTAL 250ML</t>
        </is>
      </c>
      <c r="E91" s="4" t="n">
        <v>1</v>
      </c>
      <c r="F91" s="4" t="n">
        <v>5</v>
      </c>
      <c r="G91" s="4" t="n">
        <v>5</v>
      </c>
      <c r="H91" s="5" t="n">
        <v>18.51</v>
      </c>
      <c r="I91" s="5">
        <f>G91*H91</f>
        <v/>
      </c>
      <c r="J91" s="5">
        <f>H91/E91</f>
        <v/>
      </c>
      <c r="K91" s="5" t="n">
        <v>19.35</v>
      </c>
      <c r="L91" s="5" t="n">
        <v>16.3642</v>
      </c>
      <c r="M91" s="5" t="n">
        <v>18.35473333333333</v>
      </c>
      <c r="N91" s="6">
        <f>J91/M91-1</f>
        <v/>
      </c>
      <c r="O91" s="6">
        <f>J91/K91-1</f>
        <v/>
      </c>
      <c r="P91" s="2" t="inlineStr">
        <is>
          <t>OK (≤ últ. compra)</t>
        </is>
      </c>
      <c r="Q91" s="2" t="inlineStr"/>
    </row>
    <row r="92">
      <c r="A92" s="2" t="n">
        <v>657911</v>
      </c>
      <c r="B92" s="2" t="inlineStr">
        <is>
          <t>722213</t>
        </is>
      </c>
      <c r="C92" s="3" t="inlineStr">
        <is>
          <t>7891150094741</t>
        </is>
      </c>
      <c r="D92" s="2" t="inlineStr">
        <is>
          <t>DEO DOVE CR SER REPARACAO DIARIA 50G</t>
        </is>
      </c>
      <c r="E92" s="4" t="n">
        <v>1</v>
      </c>
      <c r="F92" s="4" t="n">
        <v>14</v>
      </c>
      <c r="G92" s="4" t="n">
        <v>14</v>
      </c>
      <c r="H92" s="5" t="n">
        <v>11.11</v>
      </c>
      <c r="I92" s="5">
        <f>G92*H92</f>
        <v/>
      </c>
      <c r="J92" s="5">
        <f>H92/E92</f>
        <v/>
      </c>
      <c r="K92" s="5" t="n">
        <v>13.7</v>
      </c>
      <c r="L92" s="5" t="n">
        <v>11.82</v>
      </c>
      <c r="M92" s="5" t="n">
        <v>13.07333333333333</v>
      </c>
      <c r="N92" s="6">
        <f>J92/M92-1</f>
        <v/>
      </c>
      <c r="O92" s="6">
        <f>J92/K92-1</f>
        <v/>
      </c>
      <c r="P92" s="2" t="inlineStr">
        <is>
          <t>OK (≤ últ. compra)</t>
        </is>
      </c>
      <c r="Q92" s="2" t="inlineStr"/>
    </row>
    <row r="93">
      <c r="A93" s="2" t="n">
        <v>650321</v>
      </c>
      <c r="B93" s="2" t="inlineStr">
        <is>
          <t>721968</t>
        </is>
      </c>
      <c r="C93" s="3" t="inlineStr">
        <is>
          <t>7891150096783</t>
        </is>
      </c>
      <c r="D93" s="2" t="inlineStr">
        <is>
          <t>DEO DOVE CREME PREVINE ESCUR 50G-DEMAIS PROD</t>
        </is>
      </c>
      <c r="E93" s="4" t="n">
        <v>1</v>
      </c>
      <c r="F93" s="4" t="n">
        <v>9</v>
      </c>
      <c r="G93" s="4" t="n">
        <v>9</v>
      </c>
      <c r="H93" s="5" t="n">
        <v>11.11</v>
      </c>
      <c r="I93" s="5">
        <f>G93*H93</f>
        <v/>
      </c>
      <c r="J93" s="5">
        <f>H93/E93</f>
        <v/>
      </c>
      <c r="K93" s="5" t="n">
        <v>13.99</v>
      </c>
      <c r="L93" s="5" t="n">
        <v>11.82</v>
      </c>
      <c r="M93" s="5" t="n">
        <v>13.26666666666667</v>
      </c>
      <c r="N93" s="6">
        <f>J93/M93-1</f>
        <v/>
      </c>
      <c r="O93" s="6">
        <f>J93/K93-1</f>
        <v/>
      </c>
      <c r="P93" s="2" t="inlineStr">
        <is>
          <t>OK (≤ últ. compra)</t>
        </is>
      </c>
      <c r="Q93" s="2" t="inlineStr"/>
    </row>
    <row r="94">
      <c r="A94" s="2" t="n">
        <v>632811</v>
      </c>
      <c r="B94" s="2" t="inlineStr">
        <is>
          <t>722682</t>
        </is>
      </c>
      <c r="C94" s="3" t="inlineStr">
        <is>
          <t>7500435143875</t>
        </is>
      </c>
      <c r="D94" s="2" t="inlineStr">
        <is>
          <t>DEO GEL SECRET ORANGE BLOSSOM 45G</t>
        </is>
      </c>
      <c r="E94" s="4" t="n">
        <v>1</v>
      </c>
      <c r="F94" s="4" t="n">
        <v>1</v>
      </c>
      <c r="G94" s="4" t="n">
        <v>1</v>
      </c>
      <c r="H94" s="5" t="n">
        <v>19.98</v>
      </c>
      <c r="I94" s="5">
        <f>G94*H94</f>
        <v/>
      </c>
      <c r="J94" s="5">
        <f>H94/E94</f>
        <v/>
      </c>
      <c r="K94" s="5" t="n">
        <v>21.88</v>
      </c>
      <c r="L94" s="5" t="n">
        <v>18.76</v>
      </c>
      <c r="M94" s="5" t="n">
        <v>19.8</v>
      </c>
      <c r="N94" s="6">
        <f>J94/M94-1</f>
        <v/>
      </c>
      <c r="O94" s="6">
        <f>J94/K94-1</f>
        <v/>
      </c>
      <c r="P94" s="2" t="inlineStr">
        <is>
          <t>OK (≤ últ. compra)</t>
        </is>
      </c>
      <c r="Q94" s="2" t="inlineStr"/>
    </row>
    <row r="95">
      <c r="A95" s="2" t="n">
        <v>683301</v>
      </c>
      <c r="B95" s="2" t="inlineStr">
        <is>
          <t>710332</t>
        </is>
      </c>
      <c r="C95" s="3" t="inlineStr">
        <is>
          <t>4005900181022</t>
        </is>
      </c>
      <c r="D95" s="2" t="inlineStr">
        <is>
          <t>DEO NIVEA ROLL DRY M 50% DESC2O-DEMAIS PROD</t>
        </is>
      </c>
      <c r="E95" s="4" t="n">
        <v>1</v>
      </c>
      <c r="F95" s="4" t="n">
        <v>2</v>
      </c>
      <c r="G95" s="4" t="n">
        <v>2</v>
      </c>
      <c r="H95" s="5" t="n">
        <v>12.71</v>
      </c>
      <c r="I95" s="5">
        <f>G95*H95</f>
        <v/>
      </c>
      <c r="J95" s="5">
        <f>H95/E95</f>
        <v/>
      </c>
      <c r="K95" s="5" t="n">
        <v>12.3967</v>
      </c>
      <c r="L95" s="5" t="n">
        <v>12.3967</v>
      </c>
      <c r="M95" s="5" t="n">
        <v>12.3967</v>
      </c>
      <c r="N95" s="6">
        <f>J95/M95-1</f>
        <v/>
      </c>
      <c r="O95" s="6">
        <f>J95/K95-1</f>
        <v/>
      </c>
      <c r="P95" s="2" t="inlineStr">
        <is>
          <t>REAJUSTE +2.5% vs últ. (≤4%)</t>
        </is>
      </c>
      <c r="Q95" s="2" t="inlineStr"/>
    </row>
    <row r="96">
      <c r="A96" s="2" t="n">
        <v>645711</v>
      </c>
      <c r="B96" s="2" t="inlineStr">
        <is>
          <t>721626</t>
        </is>
      </c>
      <c r="C96" s="3" t="inlineStr">
        <is>
          <t>75076818</t>
        </is>
      </c>
      <c r="D96" s="2" t="inlineStr">
        <is>
          <t>DEO REX WOMEN CLINIC CLASSIC CR 96H 58G</t>
        </is>
      </c>
      <c r="E96" s="4" t="n">
        <v>1</v>
      </c>
      <c r="F96" s="4" t="n">
        <v>1</v>
      </c>
      <c r="G96" s="4" t="n">
        <v>1</v>
      </c>
      <c r="H96" s="5" t="n">
        <v>17.08</v>
      </c>
      <c r="I96" s="5">
        <f>G96*H96</f>
        <v/>
      </c>
      <c r="J96" s="5">
        <f>H96/E96</f>
        <v/>
      </c>
      <c r="K96" s="5" t="n">
        <v>17.2642</v>
      </c>
      <c r="L96" s="5" t="n">
        <v>17.2642</v>
      </c>
      <c r="M96" s="5" t="n">
        <v>17.2642</v>
      </c>
      <c r="N96" s="6">
        <f>J96/M96-1</f>
        <v/>
      </c>
      <c r="O96" s="6">
        <f>J96/K96-1</f>
        <v/>
      </c>
      <c r="P96" s="2" t="inlineStr">
        <is>
          <t>OK (≤ últ. compra)</t>
        </is>
      </c>
      <c r="Q96" s="2" t="inlineStr"/>
    </row>
    <row r="97">
      <c r="A97" s="2" t="n">
        <v>645721</v>
      </c>
      <c r="B97" s="2" t="inlineStr">
        <is>
          <t>721662</t>
        </is>
      </c>
      <c r="C97" s="3" t="inlineStr">
        <is>
          <t>75076825</t>
        </is>
      </c>
      <c r="D97" s="2" t="inlineStr">
        <is>
          <t>DEO REXONA MEN CLINIC CLEAN CR 96H 58G</t>
        </is>
      </c>
      <c r="E97" s="4" t="n">
        <v>1</v>
      </c>
      <c r="F97" s="4" t="n">
        <v>1</v>
      </c>
      <c r="G97" s="4" t="n">
        <v>1</v>
      </c>
      <c r="H97" s="5" t="n">
        <v>16.96</v>
      </c>
      <c r="I97" s="5">
        <f>G97*H97</f>
        <v/>
      </c>
      <c r="J97" s="5">
        <f>H97/E97</f>
        <v/>
      </c>
      <c r="K97" s="5" t="n">
        <v>16.6892</v>
      </c>
      <c r="L97" s="5" t="n">
        <v>16.6892</v>
      </c>
      <c r="M97" s="5" t="n">
        <v>16.6892</v>
      </c>
      <c r="N97" s="6">
        <f>J97/M97-1</f>
        <v/>
      </c>
      <c r="O97" s="6">
        <f>J97/K97-1</f>
        <v/>
      </c>
      <c r="P97" s="2" t="inlineStr">
        <is>
          <t>REAJUSTE +1.6% vs últ. (≤4%)</t>
        </is>
      </c>
      <c r="Q97" s="2" t="inlineStr"/>
    </row>
    <row r="98">
      <c r="A98" s="2" t="n">
        <v>649391</v>
      </c>
      <c r="B98" s="2" t="inlineStr">
        <is>
          <t>704771</t>
        </is>
      </c>
      <c r="C98" s="3" t="inlineStr">
        <is>
          <t>78924338</t>
        </is>
      </c>
      <c r="D98" s="2" t="inlineStr">
        <is>
          <t>DEO REXONA ROLLON POWDER 50ML   UNIL %DN:2.00</t>
        </is>
      </c>
      <c r="E98" s="4" t="n">
        <v>1</v>
      </c>
      <c r="F98" s="4" t="n">
        <v>4</v>
      </c>
      <c r="G98" s="4" t="n">
        <v>4</v>
      </c>
      <c r="H98" s="5" t="n">
        <v>6.75</v>
      </c>
      <c r="I98" s="5">
        <f>G98*H98</f>
        <v/>
      </c>
      <c r="J98" s="5">
        <f>H98/E98</f>
        <v/>
      </c>
      <c r="K98" s="5" t="n">
        <v>6.3825</v>
      </c>
      <c r="L98" s="5" t="n">
        <v>6.3825</v>
      </c>
      <c r="M98" s="5" t="n">
        <v>6.3825</v>
      </c>
      <c r="N98" s="6">
        <f>J98/M98-1</f>
        <v/>
      </c>
      <c r="O98" s="6">
        <f>J98/K98-1</f>
        <v/>
      </c>
      <c r="P98" s="2" t="inlineStr">
        <is>
          <t>REAJUSTE +5.8% vs média (≤6%)</t>
        </is>
      </c>
      <c r="Q98" s="2" t="inlineStr"/>
    </row>
    <row r="99">
      <c r="A99" s="2" t="n">
        <v>623211</v>
      </c>
      <c r="B99" s="2" t="inlineStr">
        <is>
          <t>708855</t>
        </is>
      </c>
      <c r="C99" s="3" t="inlineStr">
        <is>
          <t>7899706126335</t>
        </is>
      </c>
      <c r="D99" s="2" t="inlineStr">
        <is>
          <t>DERMO EXP AGUA MICELAR 200ML</t>
        </is>
      </c>
      <c r="E99" s="4" t="n">
        <v>1</v>
      </c>
      <c r="F99" s="4" t="n">
        <v>1</v>
      </c>
      <c r="G99" s="4" t="n">
        <v>1</v>
      </c>
      <c r="H99" s="5" t="n">
        <v>20.36</v>
      </c>
      <c r="I99" s="5">
        <f>G99*H99</f>
        <v/>
      </c>
      <c r="J99" s="5">
        <f>H99/E99</f>
        <v/>
      </c>
      <c r="K99" s="5" t="n">
        <v>21.97</v>
      </c>
      <c r="L99" s="5" t="n">
        <v>18.7783</v>
      </c>
      <c r="M99" s="5" t="n">
        <v>20.9061</v>
      </c>
      <c r="N99" s="6">
        <f>J99/M99-1</f>
        <v/>
      </c>
      <c r="O99" s="6">
        <f>J99/K99-1</f>
        <v/>
      </c>
      <c r="P99" s="2" t="inlineStr">
        <is>
          <t>OK (≤ últ. compra)</t>
        </is>
      </c>
      <c r="Q99" s="2" t="inlineStr"/>
    </row>
    <row r="100">
      <c r="A100" s="2" t="n">
        <v>543861</v>
      </c>
      <c r="B100" s="2" t="inlineStr">
        <is>
          <t>710387</t>
        </is>
      </c>
      <c r="C100" s="3" t="inlineStr">
        <is>
          <t>7506306244177</t>
        </is>
      </c>
      <c r="D100" s="2" t="inlineStr">
        <is>
          <t>DES AER ANT INVIS REXONA 150ML</t>
        </is>
      </c>
      <c r="E100" s="4" t="n">
        <v>1</v>
      </c>
      <c r="F100" s="4" t="n">
        <v>6</v>
      </c>
      <c r="G100" s="4" t="n">
        <v>6</v>
      </c>
      <c r="H100" s="5" t="n">
        <v>11.81</v>
      </c>
      <c r="I100" s="5">
        <f>G100*H100</f>
        <v/>
      </c>
      <c r="J100" s="5">
        <f>H100/E100</f>
        <v/>
      </c>
      <c r="K100" s="5" t="n">
        <v>12.72</v>
      </c>
      <c r="L100" s="5" t="n">
        <v>11.19</v>
      </c>
      <c r="M100" s="5" t="n">
        <v>12.21</v>
      </c>
      <c r="N100" s="6">
        <f>J100/M100-1</f>
        <v/>
      </c>
      <c r="O100" s="6">
        <f>J100/K100-1</f>
        <v/>
      </c>
      <c r="P100" s="2" t="inlineStr">
        <is>
          <t>OK (≤ últ. compra)</t>
        </is>
      </c>
      <c r="Q100" s="2" t="inlineStr"/>
    </row>
    <row r="101">
      <c r="A101" s="2" t="n">
        <v>633961</v>
      </c>
      <c r="B101" s="2" t="inlineStr">
        <is>
          <t>715963</t>
        </is>
      </c>
      <c r="C101" s="3" t="inlineStr">
        <is>
          <t>7891150063747</t>
        </is>
      </c>
      <c r="D101" s="2" t="inlineStr">
        <is>
          <t>DES AER DOVE FEM AMORA 150ML</t>
        </is>
      </c>
      <c r="E101" s="4" t="n">
        <v>1</v>
      </c>
      <c r="F101" s="4" t="n">
        <v>7</v>
      </c>
      <c r="G101" s="4" t="n">
        <v>7</v>
      </c>
      <c r="H101" s="5" t="n">
        <v>13.42</v>
      </c>
      <c r="I101" s="5">
        <f>G101*H101</f>
        <v/>
      </c>
      <c r="J101" s="5">
        <f>H101/E101</f>
        <v/>
      </c>
      <c r="K101" s="5" t="n">
        <v>14.2592</v>
      </c>
      <c r="L101" s="5" t="n">
        <v>13.395</v>
      </c>
      <c r="M101" s="5" t="n">
        <v>13.97113333333333</v>
      </c>
      <c r="N101" s="6">
        <f>J101/M101-1</f>
        <v/>
      </c>
      <c r="O101" s="6">
        <f>J101/K101-1</f>
        <v/>
      </c>
      <c r="P101" s="2" t="inlineStr">
        <is>
          <t>OK (≤ últ. compra)</t>
        </is>
      </c>
      <c r="Q101" s="2" t="inlineStr"/>
    </row>
    <row r="102">
      <c r="A102" s="2" t="n">
        <v>545421</v>
      </c>
      <c r="B102" s="2" t="inlineStr">
        <is>
          <t>709806</t>
        </is>
      </c>
      <c r="C102" s="3" t="inlineStr">
        <is>
          <t>7791293032498</t>
        </is>
      </c>
      <c r="D102" s="2" t="inlineStr">
        <is>
          <t>DES AER REXONA 72H BAMBOO 150ML/89G</t>
        </is>
      </c>
      <c r="E102" s="4" t="n">
        <v>1</v>
      </c>
      <c r="F102" s="4" t="n">
        <v>3</v>
      </c>
      <c r="G102" s="4" t="n">
        <v>3</v>
      </c>
      <c r="H102" s="5" t="n">
        <v>11.81</v>
      </c>
      <c r="I102" s="5">
        <f>G102*H102</f>
        <v/>
      </c>
      <c r="J102" s="5">
        <f>H102/E102</f>
        <v/>
      </c>
      <c r="K102" s="5" t="n">
        <v>12.8967</v>
      </c>
      <c r="L102" s="5" t="n">
        <v>9.5083</v>
      </c>
      <c r="M102" s="5" t="n">
        <v>11.76723333333333</v>
      </c>
      <c r="N102" s="6">
        <f>J102/M102-1</f>
        <v/>
      </c>
      <c r="O102" s="6">
        <f>J102/K102-1</f>
        <v/>
      </c>
      <c r="P102" s="2" t="inlineStr">
        <is>
          <t>OK (≤ últ. compra)</t>
        </is>
      </c>
      <c r="Q102" s="2" t="inlineStr"/>
    </row>
    <row r="103">
      <c r="A103" s="2" t="n">
        <v>545541</v>
      </c>
      <c r="B103" s="2" t="inlineStr">
        <is>
          <t>709865</t>
        </is>
      </c>
      <c r="C103" s="3" t="inlineStr">
        <is>
          <t>7791293032436</t>
        </is>
      </c>
      <c r="D103" s="2" t="inlineStr">
        <is>
          <t>DES AER REXONA 72H POWDER DRY 150ML/89G</t>
        </is>
      </c>
      <c r="E103" s="4" t="n">
        <v>1</v>
      </c>
      <c r="F103" s="4" t="n">
        <v>16</v>
      </c>
      <c r="G103" s="4" t="n">
        <v>16</v>
      </c>
      <c r="H103" s="5" t="n">
        <v>11.81</v>
      </c>
      <c r="I103" s="5">
        <f>G103*H103</f>
        <v/>
      </c>
      <c r="J103" s="5">
        <f>H103/E103</f>
        <v/>
      </c>
      <c r="K103" s="5" t="n">
        <v>12.72</v>
      </c>
      <c r="L103" s="5" t="n">
        <v>9.5083</v>
      </c>
      <c r="M103" s="5" t="n">
        <v>11.64943333333333</v>
      </c>
      <c r="N103" s="6">
        <f>J103/M103-1</f>
        <v/>
      </c>
      <c r="O103" s="6">
        <f>J103/K103-1</f>
        <v/>
      </c>
      <c r="P103" s="2" t="inlineStr">
        <is>
          <t>OK (≤ últ. compra)</t>
        </is>
      </c>
      <c r="Q103" s="2" t="inlineStr"/>
    </row>
    <row r="104">
      <c r="A104" s="2" t="n">
        <v>548581</v>
      </c>
      <c r="B104" s="2" t="inlineStr">
        <is>
          <t>709804</t>
        </is>
      </c>
      <c r="C104" s="3" t="inlineStr">
        <is>
          <t>7791293032443</t>
        </is>
      </c>
      <c r="D104" s="2" t="inlineStr">
        <is>
          <t>DES AER REXONA ACTIVE EMOTION REXONA 150ML</t>
        </is>
      </c>
      <c r="E104" s="4" t="n">
        <v>1</v>
      </c>
      <c r="F104" s="4" t="n">
        <v>12</v>
      </c>
      <c r="G104" s="4" t="n">
        <v>12</v>
      </c>
      <c r="H104" s="5" t="n">
        <v>11.81</v>
      </c>
      <c r="I104" s="5">
        <f>G104*H104</f>
        <v/>
      </c>
      <c r="J104" s="5">
        <f>H104/E104</f>
        <v/>
      </c>
      <c r="K104" s="5" t="n">
        <v>12.72</v>
      </c>
      <c r="L104" s="5" t="n">
        <v>11.19</v>
      </c>
      <c r="M104" s="5" t="n">
        <v>12.21</v>
      </c>
      <c r="N104" s="6">
        <f>J104/M104-1</f>
        <v/>
      </c>
      <c r="O104" s="6">
        <f>J104/K104-1</f>
        <v/>
      </c>
      <c r="P104" s="2" t="inlineStr">
        <is>
          <t>OK (≤ últ. compra)</t>
        </is>
      </c>
      <c r="Q104" s="2" t="inlineStr"/>
    </row>
    <row r="105">
      <c r="A105" s="2" t="n">
        <v>549121</v>
      </c>
      <c r="B105" s="2" t="inlineStr">
        <is>
          <t>709864</t>
        </is>
      </c>
      <c r="C105" s="3" t="inlineStr">
        <is>
          <t>7791293032467</t>
        </is>
      </c>
      <c r="D105" s="2" t="inlineStr">
        <is>
          <t>DES AER REXONA COTTON 150ML</t>
        </is>
      </c>
      <c r="E105" s="4" t="n">
        <v>1</v>
      </c>
      <c r="F105" s="4" t="n">
        <v>8</v>
      </c>
      <c r="G105" s="4" t="n">
        <v>8</v>
      </c>
      <c r="H105" s="5" t="n">
        <v>11.81</v>
      </c>
      <c r="I105" s="5">
        <f>G105*H105</f>
        <v/>
      </c>
      <c r="J105" s="5">
        <f>H105/E105</f>
        <v/>
      </c>
      <c r="K105" s="5" t="n">
        <v>12.72</v>
      </c>
      <c r="L105" s="5" t="n">
        <v>11.7367</v>
      </c>
      <c r="M105" s="5" t="n">
        <v>12.39223333333334</v>
      </c>
      <c r="N105" s="6">
        <f>J105/M105-1</f>
        <v/>
      </c>
      <c r="O105" s="6">
        <f>J105/K105-1</f>
        <v/>
      </c>
      <c r="P105" s="2" t="inlineStr">
        <is>
          <t>OK (≤ últ. compra)</t>
        </is>
      </c>
      <c r="Q105" s="2" t="inlineStr"/>
    </row>
    <row r="106">
      <c r="A106" s="2" t="n">
        <v>570321</v>
      </c>
      <c r="B106" s="2" t="inlineStr">
        <is>
          <t>715152</t>
        </is>
      </c>
      <c r="C106" s="3" t="inlineStr">
        <is>
          <t>7506306214972</t>
        </is>
      </c>
      <c r="D106" s="2" t="inlineStr">
        <is>
          <t>DES AER REXONA MEN CL CL 150M</t>
        </is>
      </c>
      <c r="E106" s="4" t="n">
        <v>1</v>
      </c>
      <c r="F106" s="4" t="n">
        <v>6</v>
      </c>
      <c r="G106" s="4" t="n">
        <v>6</v>
      </c>
      <c r="H106" s="5" t="n">
        <v>13.52</v>
      </c>
      <c r="I106" s="5">
        <f>G106*H106</f>
        <v/>
      </c>
      <c r="J106" s="5">
        <f>H106/E106</f>
        <v/>
      </c>
      <c r="K106" s="5" t="n">
        <v>14.5725</v>
      </c>
      <c r="L106" s="5" t="n">
        <v>14.2567</v>
      </c>
      <c r="M106" s="5" t="n">
        <v>14.46723333333333</v>
      </c>
      <c r="N106" s="6">
        <f>J106/M106-1</f>
        <v/>
      </c>
      <c r="O106" s="6">
        <f>J106/K106-1</f>
        <v/>
      </c>
      <c r="P106" s="2" t="inlineStr">
        <is>
          <t>OK (≤ últ. compra)</t>
        </is>
      </c>
      <c r="Q106" s="2" t="inlineStr"/>
    </row>
    <row r="107">
      <c r="A107" s="2" t="n">
        <v>566421</v>
      </c>
      <c r="B107" s="2" t="inlineStr">
        <is>
          <t>710882</t>
        </is>
      </c>
      <c r="C107" s="3" t="inlineStr">
        <is>
          <t>7891150054646</t>
        </is>
      </c>
      <c r="D107" s="2" t="inlineStr">
        <is>
          <t>DES AER REXONA MEN IMPAC 150ML</t>
        </is>
      </c>
      <c r="E107" s="4" t="n">
        <v>1</v>
      </c>
      <c r="F107" s="4" t="n">
        <v>8</v>
      </c>
      <c r="G107" s="4" t="n">
        <v>8</v>
      </c>
      <c r="H107" s="5" t="n">
        <v>11.59</v>
      </c>
      <c r="I107" s="5">
        <f>G107*H107</f>
        <v/>
      </c>
      <c r="J107" s="5">
        <f>H107/E107</f>
        <v/>
      </c>
      <c r="K107" s="5" t="n">
        <v>12.202</v>
      </c>
      <c r="L107" s="5" t="n">
        <v>11.3367</v>
      </c>
      <c r="M107" s="5" t="n">
        <v>11.91356666666667</v>
      </c>
      <c r="N107" s="6">
        <f>J107/M107-1</f>
        <v/>
      </c>
      <c r="O107" s="6">
        <f>J107/K107-1</f>
        <v/>
      </c>
      <c r="P107" s="2" t="inlineStr">
        <is>
          <t>OK (≤ últ. compra)</t>
        </is>
      </c>
      <c r="Q107" s="2" t="inlineStr"/>
    </row>
    <row r="108">
      <c r="A108" s="2" t="n">
        <v>549081</v>
      </c>
      <c r="B108" s="2" t="inlineStr">
        <is>
          <t>709248</t>
        </is>
      </c>
      <c r="C108" s="3" t="inlineStr">
        <is>
          <t>7791293022567</t>
        </is>
      </c>
      <c r="D108" s="2" t="inlineStr">
        <is>
          <t>DES AER REXONA MEN.V8 12X150ML</t>
        </is>
      </c>
      <c r="E108" s="4" t="n">
        <v>1</v>
      </c>
      <c r="F108" s="4" t="n">
        <v>5</v>
      </c>
      <c r="G108" s="4" t="n">
        <v>5</v>
      </c>
      <c r="H108" s="5" t="n">
        <v>11.9</v>
      </c>
      <c r="I108" s="5">
        <f>G108*H108</f>
        <v/>
      </c>
      <c r="J108" s="5">
        <f>H108/E108</f>
        <v/>
      </c>
      <c r="K108" s="5" t="n">
        <v>12.69</v>
      </c>
      <c r="L108" s="5" t="n">
        <v>11.9133</v>
      </c>
      <c r="M108" s="5" t="n">
        <v>12.4311</v>
      </c>
      <c r="N108" s="6">
        <f>J108/M108-1</f>
        <v/>
      </c>
      <c r="O108" s="6">
        <f>J108/K108-1</f>
        <v/>
      </c>
      <c r="P108" s="2" t="inlineStr">
        <is>
          <t>OK (≤ últ. compra)</t>
        </is>
      </c>
      <c r="Q108" s="2" t="inlineStr"/>
    </row>
    <row r="109">
      <c r="A109" s="2" t="n">
        <v>595411</v>
      </c>
      <c r="B109" s="2" t="inlineStr">
        <is>
          <t>710380</t>
        </is>
      </c>
      <c r="C109" s="3" t="inlineStr">
        <is>
          <t>7791293033235</t>
        </is>
      </c>
      <c r="D109" s="2" t="inlineStr">
        <is>
          <t>DES DOVE AER W BEAUT FIN 150ML</t>
        </is>
      </c>
      <c r="E109" s="4" t="n">
        <v>1</v>
      </c>
      <c r="F109" s="4" t="n">
        <v>11</v>
      </c>
      <c r="G109" s="4" t="n">
        <v>11</v>
      </c>
      <c r="H109" s="5" t="n">
        <v>13.42</v>
      </c>
      <c r="I109" s="5">
        <f>G109*H109</f>
        <v/>
      </c>
      <c r="J109" s="5">
        <f>H109/E109</f>
        <v/>
      </c>
      <c r="K109" s="5" t="n">
        <v>14.2592</v>
      </c>
      <c r="L109" s="5" t="n">
        <v>12.9183</v>
      </c>
      <c r="M109" s="5" t="n">
        <v>13.81223333333333</v>
      </c>
      <c r="N109" s="6">
        <f>J109/M109-1</f>
        <v/>
      </c>
      <c r="O109" s="6">
        <f>J109/K109-1</f>
        <v/>
      </c>
      <c r="P109" s="2" t="inlineStr">
        <is>
          <t>OK (≤ últ. compra)</t>
        </is>
      </c>
      <c r="Q109" s="2" t="inlineStr"/>
    </row>
    <row r="110">
      <c r="A110" s="2" t="n">
        <v>595421</v>
      </c>
      <c r="B110" s="2" t="inlineStr">
        <is>
          <t>710391</t>
        </is>
      </c>
      <c r="C110" s="3" t="inlineStr">
        <is>
          <t>7506306241169</t>
        </is>
      </c>
      <c r="D110" s="2" t="inlineStr">
        <is>
          <t>DES DOVE AER W GO FRESH 150ML</t>
        </is>
      </c>
      <c r="E110" s="4" t="n">
        <v>1</v>
      </c>
      <c r="F110" s="4" t="n">
        <v>1</v>
      </c>
      <c r="G110" s="4" t="n">
        <v>1</v>
      </c>
      <c r="H110" s="5" t="n">
        <v>13.42</v>
      </c>
      <c r="I110" s="5">
        <f>G110*H110</f>
        <v/>
      </c>
      <c r="J110" s="5">
        <f>H110/E110</f>
        <v/>
      </c>
      <c r="K110" s="5" t="n">
        <v>14.19</v>
      </c>
      <c r="L110" s="5" t="n">
        <v>13.395</v>
      </c>
      <c r="M110" s="5" t="n">
        <v>13.925</v>
      </c>
      <c r="N110" s="6">
        <f>J110/M110-1</f>
        <v/>
      </c>
      <c r="O110" s="6">
        <f>J110/K110-1</f>
        <v/>
      </c>
      <c r="P110" s="2" t="inlineStr">
        <is>
          <t>OK (≤ últ. compra)</t>
        </is>
      </c>
      <c r="Q110" s="2" t="inlineStr"/>
    </row>
    <row r="111">
      <c r="A111" s="2" t="n">
        <v>609971</v>
      </c>
      <c r="B111" s="2" t="inlineStr">
        <is>
          <t>718892</t>
        </is>
      </c>
      <c r="C111" s="3" t="inlineStr">
        <is>
          <t>7891150081239</t>
        </is>
      </c>
      <c r="D111" s="2" t="inlineStr">
        <is>
          <t>DES DOVE LEV MAIS POR MEN 250ML UN</t>
        </is>
      </c>
      <c r="E111" s="4" t="n">
        <v>1</v>
      </c>
      <c r="F111" s="4" t="n">
        <v>6</v>
      </c>
      <c r="G111" s="4" t="n">
        <v>6</v>
      </c>
      <c r="H111" s="5" t="n">
        <v>18.51</v>
      </c>
      <c r="I111" s="5">
        <f>G111*H111</f>
        <v/>
      </c>
      <c r="J111" s="5">
        <f>H111/E111</f>
        <v/>
      </c>
      <c r="K111" s="5" t="n">
        <v>19.3533</v>
      </c>
      <c r="L111" s="5" t="n">
        <v>19.3533</v>
      </c>
      <c r="M111" s="5" t="n">
        <v>19.3533</v>
      </c>
      <c r="N111" s="6">
        <f>J111/M111-1</f>
        <v/>
      </c>
      <c r="O111" s="6">
        <f>J111/K111-1</f>
        <v/>
      </c>
      <c r="P111" s="2" t="inlineStr">
        <is>
          <t>OK (≤ últ. compra)</t>
        </is>
      </c>
      <c r="Q111" s="2" t="inlineStr"/>
    </row>
    <row r="112">
      <c r="A112" s="2" t="n">
        <v>591801</v>
      </c>
      <c r="B112" s="2" t="inlineStr">
        <is>
          <t>701410</t>
        </is>
      </c>
      <c r="C112" s="3" t="inlineStr">
        <is>
          <t>78923409</t>
        </is>
      </c>
      <c r="D112" s="2" t="inlineStr">
        <is>
          <t>DES R-ON REXONA MEN ACT 50ML</t>
        </is>
      </c>
      <c r="E112" s="4" t="n">
        <v>1</v>
      </c>
      <c r="F112" s="4" t="n">
        <v>1</v>
      </c>
      <c r="G112" s="4" t="n">
        <v>1</v>
      </c>
      <c r="H112" s="5" t="n">
        <v>6.75</v>
      </c>
      <c r="I112" s="5">
        <f>G112*H112</f>
        <v/>
      </c>
      <c r="J112" s="5">
        <f>H112/E112</f>
        <v/>
      </c>
      <c r="K112" s="5" t="n">
        <v>7.65</v>
      </c>
      <c r="L112" s="5" t="n">
        <v>7.5</v>
      </c>
      <c r="M112" s="5" t="n">
        <v>7.55</v>
      </c>
      <c r="N112" s="6">
        <f>J112/M112-1</f>
        <v/>
      </c>
      <c r="O112" s="6">
        <f>J112/K112-1</f>
        <v/>
      </c>
      <c r="P112" s="2" t="inlineStr">
        <is>
          <t>OK (≤ últ. compra)</t>
        </is>
      </c>
      <c r="Q112" s="2" t="inlineStr"/>
    </row>
    <row r="113">
      <c r="A113" s="2" t="n">
        <v>566481</v>
      </c>
      <c r="B113" s="2" t="inlineStr">
        <is>
          <t>701420</t>
        </is>
      </c>
      <c r="C113" s="3" t="inlineStr">
        <is>
          <t>78924345</t>
        </is>
      </c>
      <c r="D113" s="2" t="inlineStr">
        <is>
          <t>DES R-ON REXONA W.BAMBOO 50ML</t>
        </is>
      </c>
      <c r="E113" s="4" t="n">
        <v>1</v>
      </c>
      <c r="F113" s="4" t="n">
        <v>11</v>
      </c>
      <c r="G113" s="4" t="n">
        <v>11</v>
      </c>
      <c r="H113" s="5" t="n">
        <v>6.75</v>
      </c>
      <c r="I113" s="5">
        <f>G113*H113</f>
        <v/>
      </c>
      <c r="J113" s="5">
        <f>H113/E113</f>
        <v/>
      </c>
      <c r="K113" s="5" t="n">
        <v>7.78</v>
      </c>
      <c r="L113" s="5" t="n">
        <v>7.78</v>
      </c>
      <c r="M113" s="5" t="n">
        <v>7.78</v>
      </c>
      <c r="N113" s="6">
        <f>J113/M113-1</f>
        <v/>
      </c>
      <c r="O113" s="6">
        <f>J113/K113-1</f>
        <v/>
      </c>
      <c r="P113" s="2" t="inlineStr">
        <is>
          <t>OK (≤ últ. compra)</t>
        </is>
      </c>
      <c r="Q113" s="2" t="inlineStr"/>
    </row>
    <row r="114">
      <c r="A114" s="2" t="n">
        <v>570381</v>
      </c>
      <c r="B114" s="2" t="inlineStr">
        <is>
          <t>715153</t>
        </is>
      </c>
      <c r="C114" s="3" t="inlineStr">
        <is>
          <t>7891150064300</t>
        </is>
      </c>
      <c r="D114" s="2" t="inlineStr">
        <is>
          <t>DES REXONA AER W CL.EXT.D.150</t>
        </is>
      </c>
      <c r="E114" s="4" t="n">
        <v>1</v>
      </c>
      <c r="F114" s="4" t="n">
        <v>1</v>
      </c>
      <c r="G114" s="4" t="n">
        <v>1</v>
      </c>
      <c r="H114" s="5" t="n">
        <v>13.52</v>
      </c>
      <c r="I114" s="5">
        <f>G114*H114</f>
        <v/>
      </c>
      <c r="J114" s="5">
        <f>H114/E114</f>
        <v/>
      </c>
      <c r="K114" s="5" t="n">
        <v>14.73</v>
      </c>
      <c r="L114" s="5" t="n">
        <v>14.73</v>
      </c>
      <c r="M114" s="5" t="n">
        <v>14.73</v>
      </c>
      <c r="N114" s="6">
        <f>J114/M114-1</f>
        <v/>
      </c>
      <c r="O114" s="6">
        <f>J114/K114-1</f>
        <v/>
      </c>
      <c r="P114" s="2" t="inlineStr">
        <is>
          <t>OK (≤ últ. compra)</t>
        </is>
      </c>
      <c r="Q114" s="2" t="inlineStr"/>
    </row>
    <row r="115">
      <c r="A115" s="2" t="n">
        <v>628161</v>
      </c>
      <c r="B115" s="2" t="inlineStr">
        <is>
          <t>713652</t>
        </is>
      </c>
      <c r="C115" s="3" t="inlineStr">
        <is>
          <t>78938625</t>
        </is>
      </c>
      <c r="D115" s="2" t="inlineStr">
        <is>
          <t>DES REXONA R-ON MEN S/PE 50ML</t>
        </is>
      </c>
      <c r="E115" s="4" t="n">
        <v>1</v>
      </c>
      <c r="F115" s="4" t="n">
        <v>2</v>
      </c>
      <c r="G115" s="4" t="n">
        <v>2</v>
      </c>
      <c r="H115" s="5" t="n">
        <v>6.75</v>
      </c>
      <c r="I115" s="5">
        <f>G115*H115</f>
        <v/>
      </c>
      <c r="J115" s="5">
        <f>H115/E115</f>
        <v/>
      </c>
      <c r="K115" s="5" t="n">
        <v>7.84</v>
      </c>
      <c r="L115" s="5" t="n">
        <v>7.84</v>
      </c>
      <c r="M115" s="5" t="n">
        <v>7.84</v>
      </c>
      <c r="N115" s="6">
        <f>J115/M115-1</f>
        <v/>
      </c>
      <c r="O115" s="6">
        <f>J115/K115-1</f>
        <v/>
      </c>
      <c r="P115" s="2" t="inlineStr">
        <is>
          <t>OK (≤ últ. compra)</t>
        </is>
      </c>
      <c r="Q115" s="2" t="inlineStr"/>
    </row>
    <row r="116">
      <c r="A116" s="2" t="n">
        <v>576661</v>
      </c>
      <c r="B116" s="2" t="inlineStr">
        <is>
          <t>717403</t>
        </is>
      </c>
      <c r="C116" s="3" t="inlineStr">
        <is>
          <t>7891150073098</t>
        </is>
      </c>
      <c r="D116" s="2" t="inlineStr">
        <is>
          <t>DES. DOVE AER.W.CL.OR.150ML</t>
        </is>
      </c>
      <c r="E116" s="4" t="n">
        <v>1</v>
      </c>
      <c r="F116" s="4" t="n">
        <v>2</v>
      </c>
      <c r="G116" s="4" t="n">
        <v>2</v>
      </c>
      <c r="H116" s="5" t="n">
        <v>14.46</v>
      </c>
      <c r="I116" s="5">
        <f>G116*H116</f>
        <v/>
      </c>
      <c r="J116" s="5">
        <f>H116/E116</f>
        <v/>
      </c>
      <c r="K116" s="5" t="n">
        <v>14.26</v>
      </c>
      <c r="L116" s="5" t="n">
        <v>14.26</v>
      </c>
      <c r="M116" s="5" t="n">
        <v>14.26</v>
      </c>
      <c r="N116" s="6">
        <f>J116/M116-1</f>
        <v/>
      </c>
      <c r="O116" s="6">
        <f>J116/K116-1</f>
        <v/>
      </c>
      <c r="P116" s="2" t="inlineStr">
        <is>
          <t>REAJUSTE +1.4% vs últ. (≤4%)</t>
        </is>
      </c>
      <c r="Q116" s="2" t="inlineStr"/>
    </row>
    <row r="117">
      <c r="A117" s="2" t="n">
        <v>604301</v>
      </c>
      <c r="B117" s="2" t="inlineStr">
        <is>
          <t>718111</t>
        </is>
      </c>
      <c r="C117" s="3" t="inlineStr">
        <is>
          <t>7891150080966</t>
        </is>
      </c>
      <c r="D117" s="2" t="inlineStr">
        <is>
          <t>DES.AXE AER.MARINE 152ML</t>
        </is>
      </c>
      <c r="E117" s="4" t="n">
        <v>1</v>
      </c>
      <c r="F117" s="4" t="n">
        <v>3</v>
      </c>
      <c r="G117" s="4" t="n">
        <v>3</v>
      </c>
      <c r="H117" s="5" t="n">
        <v>9.02</v>
      </c>
      <c r="I117" s="5">
        <f>G117*H117</f>
        <v/>
      </c>
      <c r="J117" s="5">
        <f>H117/E117</f>
        <v/>
      </c>
      <c r="K117" s="5" t="n">
        <v>10.545</v>
      </c>
      <c r="L117" s="5" t="n">
        <v>9.896000000000001</v>
      </c>
      <c r="M117" s="5" t="n">
        <v>10.32866666666667</v>
      </c>
      <c r="N117" s="6">
        <f>J117/M117-1</f>
        <v/>
      </c>
      <c r="O117" s="6">
        <f>J117/K117-1</f>
        <v/>
      </c>
      <c r="P117" s="2" t="inlineStr">
        <is>
          <t>OK (≤ últ. compra)</t>
        </is>
      </c>
      <c r="Q117" s="2" t="inlineStr"/>
    </row>
    <row r="118">
      <c r="A118" s="2" t="n">
        <v>604311</v>
      </c>
      <c r="B118" s="2" t="inlineStr">
        <is>
          <t>718110</t>
        </is>
      </c>
      <c r="C118" s="3" t="inlineStr">
        <is>
          <t>7891150080973</t>
        </is>
      </c>
      <c r="D118" s="2" t="inlineStr">
        <is>
          <t>DES.AXE AER.MUSK 152ML</t>
        </is>
      </c>
      <c r="E118" s="4" t="n">
        <v>1</v>
      </c>
      <c r="F118" s="4" t="n">
        <v>1</v>
      </c>
      <c r="G118" s="4" t="n">
        <v>1</v>
      </c>
      <c r="H118" s="5" t="n">
        <v>9.08</v>
      </c>
      <c r="I118" s="5">
        <f>G118*H118</f>
        <v/>
      </c>
      <c r="J118" s="5">
        <f>H118/E118</f>
        <v/>
      </c>
      <c r="K118" s="5" t="n">
        <v>9.449999999999999</v>
      </c>
      <c r="L118" s="5" t="n">
        <v>9.449999999999999</v>
      </c>
      <c r="M118" s="5" t="n">
        <v>9.449999999999999</v>
      </c>
      <c r="N118" s="6">
        <f>J118/M118-1</f>
        <v/>
      </c>
      <c r="O118" s="6">
        <f>J118/K118-1</f>
        <v/>
      </c>
      <c r="P118" s="2" t="inlineStr">
        <is>
          <t>OK (≤ últ. compra)</t>
        </is>
      </c>
      <c r="Q118" s="2" t="inlineStr"/>
    </row>
    <row r="119">
      <c r="A119" s="2" t="n">
        <v>604321</v>
      </c>
      <c r="B119" s="2" t="inlineStr">
        <is>
          <t>709979</t>
        </is>
      </c>
      <c r="C119" s="3" t="inlineStr">
        <is>
          <t>7506306233362</t>
        </is>
      </c>
      <c r="D119" s="2" t="inlineStr">
        <is>
          <t>DES.AXE AER.URBAN 152ML</t>
        </is>
      </c>
      <c r="E119" s="4" t="n">
        <v>1</v>
      </c>
      <c r="F119" s="4" t="n">
        <v>2</v>
      </c>
      <c r="G119" s="4" t="n">
        <v>2</v>
      </c>
      <c r="H119" s="5" t="n">
        <v>8.4</v>
      </c>
      <c r="I119" s="5">
        <f>G119*H119</f>
        <v/>
      </c>
      <c r="J119" s="5">
        <f>H119/E119</f>
        <v/>
      </c>
      <c r="K119" s="5" t="n">
        <v>10.0017</v>
      </c>
      <c r="L119" s="5" t="n">
        <v>10.0017</v>
      </c>
      <c r="M119" s="5" t="n">
        <v>10.0017</v>
      </c>
      <c r="N119" s="6">
        <f>J119/M119-1</f>
        <v/>
      </c>
      <c r="O119" s="6">
        <f>J119/K119-1</f>
        <v/>
      </c>
      <c r="P119" s="2" t="inlineStr">
        <is>
          <t>OK (≤ últ. compra)</t>
        </is>
      </c>
      <c r="Q119" s="2" t="inlineStr"/>
    </row>
    <row r="120">
      <c r="A120" s="2" t="n">
        <v>604491</v>
      </c>
      <c r="B120" s="2" t="inlineStr">
        <is>
          <t>701394</t>
        </is>
      </c>
      <c r="C120" s="3" t="inlineStr">
        <is>
          <t>4005808257669</t>
        </is>
      </c>
      <c r="D120" s="2" t="inlineStr">
        <is>
          <t>DES.NIVEA R-ON FEM.PERAB.50ML</t>
        </is>
      </c>
      <c r="E120" s="4" t="n">
        <v>1</v>
      </c>
      <c r="F120" s="4" t="n">
        <v>1</v>
      </c>
      <c r="G120" s="4" t="n">
        <v>1</v>
      </c>
      <c r="H120" s="5" t="n">
        <v>7.87</v>
      </c>
      <c r="I120" s="5">
        <f>G120*H120</f>
        <v/>
      </c>
      <c r="J120" s="5">
        <f>H120/E120</f>
        <v/>
      </c>
      <c r="K120" s="5" t="n">
        <v>7.91</v>
      </c>
      <c r="L120" s="5" t="n">
        <v>7.07</v>
      </c>
      <c r="M120" s="5" t="n">
        <v>7.63</v>
      </c>
      <c r="N120" s="6">
        <f>J120/M120-1</f>
        <v/>
      </c>
      <c r="O120" s="6">
        <f>J120/K120-1</f>
        <v/>
      </c>
      <c r="P120" s="2" t="inlineStr">
        <is>
          <t>OK (≤ últ. compra)</t>
        </is>
      </c>
      <c r="Q120" s="2" t="inlineStr"/>
    </row>
    <row r="121">
      <c r="A121" s="2" t="n">
        <v>617991</v>
      </c>
      <c r="B121" s="2" t="inlineStr">
        <is>
          <t>709197</t>
        </is>
      </c>
      <c r="C121" s="3" t="inlineStr">
        <is>
          <t>7791293028781</t>
        </is>
      </c>
      <c r="D121" s="2" t="inlineStr">
        <is>
          <t>DESO AXE AER BS BLACK 150ML</t>
        </is>
      </c>
      <c r="E121" s="4" t="n">
        <v>1</v>
      </c>
      <c r="F121" s="4" t="n">
        <v>1</v>
      </c>
      <c r="G121" s="4" t="n">
        <v>1</v>
      </c>
      <c r="H121" s="5" t="n">
        <v>9.02</v>
      </c>
      <c r="I121" s="5">
        <f>G121*H121</f>
        <v/>
      </c>
      <c r="J121" s="5">
        <f>H121/E121</f>
        <v/>
      </c>
      <c r="K121" s="5" t="n">
        <v>9.449999999999999</v>
      </c>
      <c r="L121" s="5" t="n">
        <v>9.449999999999999</v>
      </c>
      <c r="M121" s="5" t="n">
        <v>9.449999999999999</v>
      </c>
      <c r="N121" s="6">
        <f>J121/M121-1</f>
        <v/>
      </c>
      <c r="O121" s="6">
        <f>J121/K121-1</f>
        <v/>
      </c>
      <c r="P121" s="2" t="inlineStr">
        <is>
          <t>OK (≤ últ. compra)</t>
        </is>
      </c>
      <c r="Q121" s="2" t="inlineStr"/>
    </row>
    <row r="122">
      <c r="A122" s="2" t="n">
        <v>578141</v>
      </c>
      <c r="B122" s="2" t="inlineStr">
        <is>
          <t>101090</t>
        </is>
      </c>
      <c r="C122" s="3" t="inlineStr">
        <is>
          <t>7899824400942</t>
        </is>
      </c>
      <c r="D122" s="2" t="inlineStr">
        <is>
          <t>DEXADOR 5000MCG/ML SOL INJ 3AMP X 2ML+3AMP X 1ML</t>
        </is>
      </c>
      <c r="E122" s="4" t="n">
        <v>1</v>
      </c>
      <c r="F122" s="4" t="n">
        <v>1</v>
      </c>
      <c r="G122" s="4" t="n">
        <v>1</v>
      </c>
      <c r="H122" s="5" t="n">
        <v>36.97</v>
      </c>
      <c r="I122" s="5">
        <f>G122*H122</f>
        <v/>
      </c>
      <c r="J122" s="5">
        <f>H122/E122</f>
        <v/>
      </c>
      <c r="K122" s="5" t="n">
        <v>37.6</v>
      </c>
      <c r="L122" s="5" t="n">
        <v>33.77</v>
      </c>
      <c r="M122" s="5" t="n">
        <v>36.32333333333333</v>
      </c>
      <c r="N122" s="6">
        <f>J122/M122-1</f>
        <v/>
      </c>
      <c r="O122" s="6">
        <f>J122/K122-1</f>
        <v/>
      </c>
      <c r="P122" s="2" t="inlineStr">
        <is>
          <t>OK (≤ últ. compra)</t>
        </is>
      </c>
      <c r="Q122" s="2" t="inlineStr"/>
    </row>
    <row r="123">
      <c r="A123" s="2" t="n">
        <v>207901</v>
      </c>
      <c r="B123" s="2" t="inlineStr">
        <is>
          <t>107776</t>
        </is>
      </c>
      <c r="C123" s="3" t="inlineStr">
        <is>
          <t>7896641808982</t>
        </is>
      </c>
      <c r="D123" s="2" t="inlineStr">
        <is>
          <t>DEXILANT 30MG CX 30 CAP LIB RETARD</t>
        </is>
      </c>
      <c r="E123" s="4" t="n">
        <v>1</v>
      </c>
      <c r="F123" s="4" t="n">
        <v>1</v>
      </c>
      <c r="G123" s="4" t="n">
        <v>1</v>
      </c>
      <c r="H123" s="5" t="n">
        <v>99.62</v>
      </c>
      <c r="I123" s="5">
        <f>G123*H123</f>
        <v/>
      </c>
      <c r="J123" s="5">
        <f>H123/E123</f>
        <v/>
      </c>
      <c r="K123" s="5" t="n">
        <v>102.465</v>
      </c>
      <c r="L123" s="5" t="n">
        <v>89.11499999999999</v>
      </c>
      <c r="M123" s="5" t="n">
        <v>95.43833333333333</v>
      </c>
      <c r="N123" s="6">
        <f>J123/M123-1</f>
        <v/>
      </c>
      <c r="O123" s="6">
        <f>J123/K123-1</f>
        <v/>
      </c>
      <c r="P123" s="2" t="inlineStr">
        <is>
          <t>OK (≤ últ. compra)</t>
        </is>
      </c>
      <c r="Q123" s="2" t="inlineStr"/>
    </row>
    <row r="124">
      <c r="A124" s="2" t="n">
        <v>124261</v>
      </c>
      <c r="B124" s="2" t="inlineStr">
        <is>
          <t>111702</t>
        </is>
      </c>
      <c r="C124" s="3" t="inlineStr">
        <is>
          <t>7891317010065</t>
        </is>
      </c>
      <c r="D124" s="2" t="inlineStr">
        <is>
          <t>DIUPRESS 25+5MG CX 30 COMP</t>
        </is>
      </c>
      <c r="E124" s="4" t="n">
        <v>1</v>
      </c>
      <c r="F124" s="4" t="n">
        <v>1</v>
      </c>
      <c r="G124" s="4" t="n">
        <v>1</v>
      </c>
      <c r="H124" s="5" t="n">
        <v>33.3</v>
      </c>
      <c r="I124" s="5">
        <f>G124*H124</f>
        <v/>
      </c>
      <c r="J124" s="5">
        <f>H124/E124</f>
        <v/>
      </c>
      <c r="K124" s="5" t="n">
        <v>32.61</v>
      </c>
      <c r="L124" s="5" t="n">
        <v>31.18</v>
      </c>
      <c r="M124" s="5" t="n">
        <v>32.13333333333333</v>
      </c>
      <c r="N124" s="6">
        <f>J124/M124-1</f>
        <v/>
      </c>
      <c r="O124" s="6">
        <f>J124/K124-1</f>
        <v/>
      </c>
      <c r="P124" s="2" t="inlineStr">
        <is>
          <t>REAJUSTE +2.1% vs últ. (≤4%)</t>
        </is>
      </c>
      <c r="Q124" s="2" t="inlineStr"/>
    </row>
    <row r="125">
      <c r="A125" s="2" t="n">
        <v>621661</v>
      </c>
      <c r="B125" s="2" t="inlineStr">
        <is>
          <t>709321</t>
        </is>
      </c>
      <c r="C125" s="3" t="inlineStr">
        <is>
          <t>7891150025981</t>
        </is>
      </c>
      <c r="D125" s="2" t="inlineStr">
        <is>
          <t>DOVE BABY SB LIQ 200ML HID ENRIQUECID M3</t>
        </is>
      </c>
      <c r="E125" s="4" t="n">
        <v>1</v>
      </c>
      <c r="F125" s="4" t="n">
        <v>5</v>
      </c>
      <c r="G125" s="4" t="n">
        <v>5</v>
      </c>
      <c r="H125" s="5" t="n">
        <v>10.86</v>
      </c>
      <c r="I125" s="5">
        <f>G125*H125</f>
        <v/>
      </c>
      <c r="J125" s="5">
        <f>H125/E125</f>
        <v/>
      </c>
      <c r="K125" s="5" t="n">
        <v>14.6467</v>
      </c>
      <c r="L125" s="5" t="n">
        <v>13.7525</v>
      </c>
      <c r="M125" s="5" t="n">
        <v>14.34863333333333</v>
      </c>
      <c r="N125" s="6">
        <f>J125/M125-1</f>
        <v/>
      </c>
      <c r="O125" s="6">
        <f>J125/K125-1</f>
        <v/>
      </c>
      <c r="P125" s="2" t="inlineStr">
        <is>
          <t>OK (≤ últ. compra)</t>
        </is>
      </c>
      <c r="Q125" s="2" t="inlineStr"/>
    </row>
    <row r="126">
      <c r="A126" s="2" t="n">
        <v>648611</v>
      </c>
      <c r="B126" s="2" t="inlineStr">
        <is>
          <t>719391</t>
        </is>
      </c>
      <c r="C126" s="3" t="inlineStr">
        <is>
          <t>7891150080744</t>
        </is>
      </c>
      <c r="D126" s="2" t="inlineStr">
        <is>
          <t>DOVE CCT 500G RITUAL DE REPARACAO M3</t>
        </is>
      </c>
      <c r="E126" s="4" t="n">
        <v>1</v>
      </c>
      <c r="F126" s="4" t="n">
        <v>1</v>
      </c>
      <c r="G126" s="4" t="n">
        <v>1</v>
      </c>
      <c r="H126" s="5" t="n">
        <v>16.97</v>
      </c>
      <c r="I126" s="5">
        <f>G126*H126</f>
        <v/>
      </c>
      <c r="J126" s="5">
        <f>H126/E126</f>
        <v/>
      </c>
      <c r="K126" s="5" t="n">
        <v>22.62</v>
      </c>
      <c r="L126" s="5" t="n">
        <v>22.62</v>
      </c>
      <c r="M126" s="5" t="n">
        <v>22.62</v>
      </c>
      <c r="N126" s="6">
        <f>J126/M126-1</f>
        <v/>
      </c>
      <c r="O126" s="6">
        <f>J126/K126-1</f>
        <v/>
      </c>
      <c r="P126" s="2" t="inlineStr">
        <is>
          <t>OK (≤ últ. compra)</t>
        </is>
      </c>
      <c r="Q126" s="2" t="inlineStr"/>
    </row>
    <row r="127">
      <c r="A127" s="2" t="n">
        <v>656231</v>
      </c>
      <c r="B127" s="2" t="inlineStr">
        <is>
          <t>722190</t>
        </is>
      </c>
      <c r="C127" s="3" t="inlineStr">
        <is>
          <t>7891150095816</t>
        </is>
      </c>
      <c r="D127" s="2" t="inlineStr">
        <is>
          <t>DOVE HIDRAT CORP NIACINAMIDA 180ML</t>
        </is>
      </c>
      <c r="E127" s="4" t="n">
        <v>1</v>
      </c>
      <c r="F127" s="4" t="n">
        <v>3</v>
      </c>
      <c r="G127" s="4" t="n">
        <v>3</v>
      </c>
      <c r="H127" s="5" t="n">
        <v>19.42</v>
      </c>
      <c r="I127" s="5">
        <f>G127*H127</f>
        <v/>
      </c>
      <c r="J127" s="5">
        <f>H127/E127</f>
        <v/>
      </c>
      <c r="K127" s="5" t="n">
        <v>20.3392</v>
      </c>
      <c r="L127" s="5" t="n">
        <v>17.4958</v>
      </c>
      <c r="M127" s="5" t="n">
        <v>17.4958</v>
      </c>
      <c r="N127" s="6">
        <f>J127/M127-1</f>
        <v/>
      </c>
      <c r="O127" s="6">
        <f>J127/K127-1</f>
        <v/>
      </c>
      <c r="P127" s="2" t="inlineStr">
        <is>
          <t>OK (≤ últ. compra)</t>
        </is>
      </c>
      <c r="Q127" s="2" t="inlineStr"/>
    </row>
    <row r="128">
      <c r="A128" s="2" t="n">
        <v>645101</v>
      </c>
      <c r="B128" s="2" t="inlineStr">
        <is>
          <t>722193</t>
        </is>
      </c>
      <c r="C128" s="3" t="inlineStr">
        <is>
          <t>7891150095854</t>
        </is>
      </c>
      <c r="D128" s="2" t="inlineStr">
        <is>
          <t>DOVE SER CORP PRO RETINOL 180ML   UNIL %DN:7.00</t>
        </is>
      </c>
      <c r="E128" s="4" t="n">
        <v>1</v>
      </c>
      <c r="F128" s="4" t="n">
        <v>2</v>
      </c>
      <c r="G128" s="4" t="n">
        <v>2</v>
      </c>
      <c r="H128" s="5" t="n">
        <v>19.42</v>
      </c>
      <c r="I128" s="5">
        <f>G128*H128</f>
        <v/>
      </c>
      <c r="J128" s="5">
        <f>H128/E128</f>
        <v/>
      </c>
      <c r="K128" s="5" t="n">
        <v>20.91</v>
      </c>
      <c r="L128" s="5" t="n">
        <v>20.6192</v>
      </c>
      <c r="M128" s="5" t="n">
        <v>20.81306666666667</v>
      </c>
      <c r="N128" s="6">
        <f>J128/M128-1</f>
        <v/>
      </c>
      <c r="O128" s="6">
        <f>J128/K128-1</f>
        <v/>
      </c>
      <c r="P128" s="2" t="inlineStr">
        <is>
          <t>OK (≤ últ. compra)</t>
        </is>
      </c>
      <c r="Q128" s="2" t="inlineStr"/>
    </row>
    <row r="129">
      <c r="A129" s="2" t="n">
        <v>337761</v>
      </c>
      <c r="B129" s="2" t="inlineStr">
        <is>
          <t>115113</t>
        </is>
      </c>
      <c r="C129" s="3" t="inlineStr">
        <is>
          <t>7896226108919</t>
        </is>
      </c>
      <c r="D129" s="2" t="inlineStr">
        <is>
          <t>DOZEMAST 1000 MCG COM SUBL CT BL AL AL X 20</t>
        </is>
      </c>
      <c r="E129" s="4" t="n">
        <v>1</v>
      </c>
      <c r="F129" s="4" t="n">
        <v>1</v>
      </c>
      <c r="G129" s="4" t="n">
        <v>1</v>
      </c>
      <c r="H129" s="5" t="n">
        <v>46.99</v>
      </c>
      <c r="I129" s="5">
        <f>G129*H129</f>
        <v/>
      </c>
      <c r="J129" s="5">
        <f>H129/E129</f>
        <v/>
      </c>
      <c r="K129" s="5" t="n">
        <v>45.4767</v>
      </c>
      <c r="L129" s="5" t="n">
        <v>45.4767</v>
      </c>
      <c r="M129" s="5" t="n">
        <v>45.4767</v>
      </c>
      <c r="N129" s="6">
        <f>J129/M129-1</f>
        <v/>
      </c>
      <c r="O129" s="6">
        <f>J129/K129-1</f>
        <v/>
      </c>
      <c r="P129" s="2" t="inlineStr">
        <is>
          <t>REAJUSTE +3.3% vs últ. (≤4%)</t>
        </is>
      </c>
      <c r="Q129" s="2" t="inlineStr"/>
    </row>
    <row r="130">
      <c r="A130" s="2" t="n">
        <v>666711</v>
      </c>
      <c r="B130" s="2" t="inlineStr">
        <is>
          <t>115504</t>
        </is>
      </c>
      <c r="C130" s="3" t="inlineStr">
        <is>
          <t>7891317042202</t>
        </is>
      </c>
      <c r="D130" s="2" t="inlineStr">
        <is>
          <t>DOZI 1000MCG C/30 COMP SUB-OUTROS</t>
        </is>
      </c>
      <c r="E130" s="4" t="n">
        <v>1</v>
      </c>
      <c r="F130" s="4" t="n">
        <v>1</v>
      </c>
      <c r="G130" s="4" t="n">
        <v>1</v>
      </c>
      <c r="H130" s="5" t="n">
        <v>22.84</v>
      </c>
      <c r="I130" s="5">
        <f>G130*H130</f>
        <v/>
      </c>
      <c r="J130" s="5">
        <f>H130/E130</f>
        <v/>
      </c>
      <c r="K130" s="5" t="n">
        <v>44.048</v>
      </c>
      <c r="L130" s="5" t="n">
        <v>44.048</v>
      </c>
      <c r="M130" s="5" t="n">
        <v>44.048</v>
      </c>
      <c r="N130" s="6">
        <f>J130/M130-1</f>
        <v/>
      </c>
      <c r="O130" s="6">
        <f>J130/K130-1</f>
        <v/>
      </c>
      <c r="P130" s="2" t="inlineStr">
        <is>
          <t>OK (≤ últ. compra)</t>
        </is>
      </c>
      <c r="Q130" s="2" t="inlineStr"/>
    </row>
    <row r="131">
      <c r="A131" s="2" t="n">
        <v>655311</v>
      </c>
      <c r="B131" s="2" t="inlineStr">
        <is>
          <t>115213</t>
        </is>
      </c>
      <c r="C131" s="3" t="inlineStr">
        <is>
          <t>7891317027179</t>
        </is>
      </c>
      <c r="D131" s="2" t="inlineStr">
        <is>
          <t>DUALGI 200MG+500MG 12CPR</t>
        </is>
      </c>
      <c r="E131" s="4" t="n">
        <v>1</v>
      </c>
      <c r="F131" s="4" t="n">
        <v>3</v>
      </c>
      <c r="G131" s="4" t="n">
        <v>3</v>
      </c>
      <c r="H131" s="5" t="n">
        <v>26.5</v>
      </c>
      <c r="I131" s="5">
        <f>G131*H131</f>
        <v/>
      </c>
      <c r="J131" s="5">
        <f>H131/E131</f>
        <v/>
      </c>
      <c r="K131" s="5" t="n">
        <v>26.68</v>
      </c>
      <c r="L131" s="5" t="n">
        <v>23.93</v>
      </c>
      <c r="M131" s="5" t="n">
        <v>25.61</v>
      </c>
      <c r="N131" s="6">
        <f>J131/M131-1</f>
        <v/>
      </c>
      <c r="O131" s="6">
        <f>J131/K131-1</f>
        <v/>
      </c>
      <c r="P131" s="2" t="inlineStr">
        <is>
          <t>OK (≤ últ. compra)</t>
        </is>
      </c>
      <c r="Q131" s="2" t="inlineStr"/>
    </row>
    <row r="132">
      <c r="A132" s="2" t="n">
        <v>573481</v>
      </c>
      <c r="B132" s="2" t="inlineStr">
        <is>
          <t>710773</t>
        </is>
      </c>
      <c r="C132" s="3" t="inlineStr">
        <is>
          <t>7899706149211</t>
        </is>
      </c>
      <c r="D132" s="2" t="inlineStr">
        <is>
          <t>EFFACLAR LRP CONCENTRADO 70G  LORE %DN:0.00</t>
        </is>
      </c>
      <c r="E132" s="4" t="n">
        <v>1</v>
      </c>
      <c r="F132" s="4" t="n">
        <v>1</v>
      </c>
      <c r="G132" s="4" t="n">
        <v>1</v>
      </c>
      <c r="H132" s="5" t="n">
        <v>47.46</v>
      </c>
      <c r="I132" s="5">
        <f>G132*H132</f>
        <v/>
      </c>
      <c r="J132" s="5">
        <f>H132/E132</f>
        <v/>
      </c>
      <c r="K132" s="5" t="n">
        <v>56.61</v>
      </c>
      <c r="L132" s="5" t="n">
        <v>56.61</v>
      </c>
      <c r="M132" s="5" t="n">
        <v>56.60999999999999</v>
      </c>
      <c r="N132" s="6">
        <f>J132/M132-1</f>
        <v/>
      </c>
      <c r="O132" s="6">
        <f>J132/K132-1</f>
        <v/>
      </c>
      <c r="P132" s="2" t="inlineStr">
        <is>
          <t>OK (≤ últ. compra)</t>
        </is>
      </c>
      <c r="Q132" s="2" t="inlineStr"/>
    </row>
    <row r="133">
      <c r="A133" s="2" t="n">
        <v>600341</v>
      </c>
      <c r="B133" s="2" t="inlineStr">
        <is>
          <t>710256</t>
        </is>
      </c>
      <c r="C133" s="3" t="inlineStr">
        <is>
          <t>7891024033425</t>
        </is>
      </c>
      <c r="D133" s="2" t="inlineStr">
        <is>
          <t>ENX BUC COLGATE PERIOG EXTRA MINT 250ML</t>
        </is>
      </c>
      <c r="E133" s="4" t="n">
        <v>1</v>
      </c>
      <c r="F133" s="4" t="n">
        <v>1</v>
      </c>
      <c r="G133" s="4" t="n">
        <v>1</v>
      </c>
      <c r="H133" s="5" t="n">
        <v>23.8</v>
      </c>
      <c r="I133" s="5">
        <f>G133*H133</f>
        <v/>
      </c>
      <c r="J133" s="5">
        <f>H133/E133</f>
        <v/>
      </c>
      <c r="K133" s="5" t="n">
        <v>23.76</v>
      </c>
      <c r="L133" s="5" t="n">
        <v>22.47</v>
      </c>
      <c r="M133" s="5" t="n">
        <v>22.9</v>
      </c>
      <c r="N133" s="6">
        <f>J133/M133-1</f>
        <v/>
      </c>
      <c r="O133" s="6">
        <f>J133/K133-1</f>
        <v/>
      </c>
      <c r="P133" s="2" t="inlineStr">
        <is>
          <t>REAJUSTE +0.2% vs últ. (≤4%)</t>
        </is>
      </c>
      <c r="Q133" s="2" t="inlineStr"/>
    </row>
    <row r="134">
      <c r="A134" s="2" t="n">
        <v>599151</v>
      </c>
      <c r="B134" s="2" t="inlineStr">
        <is>
          <t>714750</t>
        </is>
      </c>
      <c r="C134" s="3" t="inlineStr">
        <is>
          <t>7898040327910</t>
        </is>
      </c>
      <c r="D134" s="2" t="inlineStr">
        <is>
          <t>ENZILAC 4500UI CX 30  COMP</t>
        </is>
      </c>
      <c r="E134" s="4" t="n">
        <v>1</v>
      </c>
      <c r="F134" s="4" t="n">
        <v>1</v>
      </c>
      <c r="G134" s="4" t="n">
        <v>1</v>
      </c>
      <c r="H134" s="5" t="n">
        <v>22.24</v>
      </c>
      <c r="I134" s="5">
        <f>G134*H134</f>
        <v/>
      </c>
      <c r="J134" s="5">
        <f>H134/E134</f>
        <v/>
      </c>
      <c r="K134" s="5" t="n">
        <v>23.42</v>
      </c>
      <c r="L134" s="5" t="n">
        <v>23.42</v>
      </c>
      <c r="M134" s="5" t="n">
        <v>23.42</v>
      </c>
      <c r="N134" s="6">
        <f>J134/M134-1</f>
        <v/>
      </c>
      <c r="O134" s="6">
        <f>J134/K134-1</f>
        <v/>
      </c>
      <c r="P134" s="2" t="inlineStr">
        <is>
          <t>OK (≤ últ. compra)</t>
        </is>
      </c>
      <c r="Q134" s="2" t="inlineStr"/>
    </row>
    <row r="135">
      <c r="A135" s="2" t="n">
        <v>645261</v>
      </c>
      <c r="B135" s="2" t="inlineStr">
        <is>
          <t>715955</t>
        </is>
      </c>
      <c r="C135" s="3" t="inlineStr">
        <is>
          <t>7891024021590</t>
        </is>
      </c>
      <c r="D135" s="2" t="inlineStr">
        <is>
          <t>ESC DEN COLGATE ULTRA SOFT</t>
        </is>
      </c>
      <c r="E135" s="4" t="n">
        <v>1</v>
      </c>
      <c r="F135" s="4" t="n">
        <v>5</v>
      </c>
      <c r="G135" s="4" t="n">
        <v>5</v>
      </c>
      <c r="H135" s="5" t="n">
        <v>13.93</v>
      </c>
      <c r="I135" s="5">
        <f>G135*H135</f>
        <v/>
      </c>
      <c r="J135" s="5">
        <f>H135/E135</f>
        <v/>
      </c>
      <c r="K135" s="5" t="n">
        <v>20.07</v>
      </c>
      <c r="L135" s="5" t="n">
        <v>20.07</v>
      </c>
      <c r="M135" s="5" t="n">
        <v>20.07</v>
      </c>
      <c r="N135" s="6">
        <f>J135/M135-1</f>
        <v/>
      </c>
      <c r="O135" s="6">
        <f>J135/K135-1</f>
        <v/>
      </c>
      <c r="P135" s="2" t="inlineStr">
        <is>
          <t>OK (≤ últ. compra)</t>
        </is>
      </c>
      <c r="Q135" s="2" t="inlineStr"/>
    </row>
    <row r="136">
      <c r="A136" s="2" t="n">
        <v>617211</v>
      </c>
      <c r="B136" s="2" t="inlineStr">
        <is>
          <t>705124</t>
        </is>
      </c>
      <c r="C136" s="3" t="inlineStr">
        <is>
          <t>7896512914248</t>
        </is>
      </c>
      <c r="D136" s="2" t="inlineStr">
        <is>
          <t>ESFOLIANTE P POMES PINK 80GR</t>
        </is>
      </c>
      <c r="E136" s="4" t="n">
        <v>1</v>
      </c>
      <c r="F136" s="4" t="n">
        <v>1</v>
      </c>
      <c r="G136" s="4" t="n">
        <v>1</v>
      </c>
      <c r="H136" s="5" t="n">
        <v>14.6</v>
      </c>
      <c r="I136" s="5">
        <f>G136*H136</f>
        <v/>
      </c>
      <c r="J136" s="5">
        <f>H136/E136</f>
        <v/>
      </c>
      <c r="K136" s="5" t="n">
        <v>14.82</v>
      </c>
      <c r="L136" s="5" t="n">
        <v>14.82</v>
      </c>
      <c r="M136" s="5" t="n">
        <v>14.82</v>
      </c>
      <c r="N136" s="6">
        <f>J136/M136-1</f>
        <v/>
      </c>
      <c r="O136" s="6">
        <f>J136/K136-1</f>
        <v/>
      </c>
      <c r="P136" s="2" t="inlineStr">
        <is>
          <t>OK (≤ últ. compra)</t>
        </is>
      </c>
      <c r="Q136" s="2" t="inlineStr"/>
    </row>
    <row r="137">
      <c r="A137" s="2" t="n">
        <v>582421</v>
      </c>
      <c r="B137" s="2" t="inlineStr">
        <is>
          <t>715832</t>
        </is>
      </c>
      <c r="C137" s="3" t="inlineStr">
        <is>
          <t>4005900648327</t>
        </is>
      </c>
      <c r="D137" s="2" t="inlineStr">
        <is>
          <t>ESPUMA DE BARB NIVEA DEEP BLACK 200ML</t>
        </is>
      </c>
      <c r="E137" s="4" t="n">
        <v>1</v>
      </c>
      <c r="F137" s="4" t="n">
        <v>1</v>
      </c>
      <c r="G137" s="4" t="n">
        <v>1</v>
      </c>
      <c r="H137" s="5" t="n">
        <v>24.55</v>
      </c>
      <c r="I137" s="5">
        <f>G137*H137</f>
        <v/>
      </c>
      <c r="J137" s="5">
        <f>H137/E137</f>
        <v/>
      </c>
      <c r="K137" s="5" t="n">
        <v>28.74</v>
      </c>
      <c r="L137" s="5" t="n">
        <v>28.74</v>
      </c>
      <c r="M137" s="5" t="n">
        <v>28.74</v>
      </c>
      <c r="N137" s="6">
        <f>J137/M137-1</f>
        <v/>
      </c>
      <c r="O137" s="6">
        <f>J137/K137-1</f>
        <v/>
      </c>
      <c r="P137" s="2" t="inlineStr">
        <is>
          <t>OK (≤ últ. compra)</t>
        </is>
      </c>
      <c r="Q137" s="2" t="inlineStr"/>
    </row>
    <row r="138">
      <c r="A138" s="2" t="n">
        <v>582441</v>
      </c>
      <c r="B138" s="2" t="inlineStr">
        <is>
          <t>701900</t>
        </is>
      </c>
      <c r="C138" s="3" t="inlineStr">
        <is>
          <t>4005808817009</t>
        </is>
      </c>
      <c r="D138" s="2" t="inlineStr">
        <is>
          <t>ESPUMA DE BARB NIVEA ORIG PROT 200ML</t>
        </is>
      </c>
      <c r="E138" s="4" t="n">
        <v>1</v>
      </c>
      <c r="F138" s="4" t="n">
        <v>1</v>
      </c>
      <c r="G138" s="4" t="n">
        <v>1</v>
      </c>
      <c r="H138" s="5" t="n">
        <v>24.55</v>
      </c>
      <c r="I138" s="5">
        <f>G138*H138</f>
        <v/>
      </c>
      <c r="J138" s="5">
        <f>H138/E138</f>
        <v/>
      </c>
      <c r="K138" s="5" t="n">
        <v>26.67</v>
      </c>
      <c r="L138" s="5" t="n">
        <v>26.67</v>
      </c>
      <c r="M138" s="5" t="n">
        <v>26.67</v>
      </c>
      <c r="N138" s="6">
        <f>J138/M138-1</f>
        <v/>
      </c>
      <c r="O138" s="6">
        <f>J138/K138-1</f>
        <v/>
      </c>
      <c r="P138" s="2" t="inlineStr">
        <is>
          <t>OK (≤ últ. compra)</t>
        </is>
      </c>
      <c r="Q138" s="2" t="inlineStr"/>
    </row>
    <row r="139">
      <c r="A139" s="2" t="n">
        <v>490681</v>
      </c>
      <c r="B139" s="2" t="inlineStr">
        <is>
          <t>112400</t>
        </is>
      </c>
      <c r="C139" s="3" t="inlineStr">
        <is>
          <t>7896004777221</t>
        </is>
      </c>
      <c r="D139" s="2" t="inlineStr">
        <is>
          <t>FACOBA 5+1MG/ML SOL OFT FR 5ML-L</t>
        </is>
      </c>
      <c r="E139" s="4" t="n">
        <v>1</v>
      </c>
      <c r="F139" s="4" t="n">
        <v>1</v>
      </c>
      <c r="G139" s="4" t="n">
        <v>1</v>
      </c>
      <c r="H139" s="5" t="n">
        <v>35.78</v>
      </c>
      <c r="I139" s="5">
        <f>G139*H139</f>
        <v/>
      </c>
      <c r="J139" s="5">
        <f>H139/E139</f>
        <v/>
      </c>
      <c r="K139" s="5" t="n">
        <v>43.99</v>
      </c>
      <c r="L139" s="5" t="n">
        <v>32.78</v>
      </c>
      <c r="M139" s="5" t="n">
        <v>34.20333333333333</v>
      </c>
      <c r="N139" s="6">
        <f>J139/M139-1</f>
        <v/>
      </c>
      <c r="O139" s="6">
        <f>J139/K139-1</f>
        <v/>
      </c>
      <c r="P139" s="2" t="inlineStr">
        <is>
          <t>OK (≤ últ. compra)</t>
        </is>
      </c>
      <c r="Q139" s="2" t="inlineStr"/>
    </row>
    <row r="140">
      <c r="A140" s="2" t="n">
        <v>641971</v>
      </c>
      <c r="B140" s="2" t="inlineStr">
        <is>
          <t>718733</t>
        </is>
      </c>
      <c r="C140" s="3" t="inlineStr">
        <is>
          <t>7500435185035</t>
        </is>
      </c>
      <c r="D140" s="2" t="inlineStr">
        <is>
          <t>FEMIBION 3 C/28 COMP-DEMAIS PROD</t>
        </is>
      </c>
      <c r="E140" s="4" t="n">
        <v>1</v>
      </c>
      <c r="F140" s="4" t="n">
        <v>5</v>
      </c>
      <c r="G140" s="4" t="n">
        <v>5</v>
      </c>
      <c r="H140" s="5" t="n">
        <v>113.37</v>
      </c>
      <c r="I140" s="5">
        <f>G140*H140</f>
        <v/>
      </c>
      <c r="J140" s="5">
        <f>H140/E140</f>
        <v/>
      </c>
      <c r="K140" s="5" t="n">
        <v>127.5667</v>
      </c>
      <c r="L140" s="5" t="n">
        <v>101.32</v>
      </c>
      <c r="M140" s="5" t="n">
        <v>118.8178</v>
      </c>
      <c r="N140" s="6">
        <f>J140/M140-1</f>
        <v/>
      </c>
      <c r="O140" s="6">
        <f>J140/K140-1</f>
        <v/>
      </c>
      <c r="P140" s="2" t="inlineStr">
        <is>
          <t>OK (≤ últ. compra)</t>
        </is>
      </c>
      <c r="Q140" s="2" t="inlineStr"/>
    </row>
    <row r="141">
      <c r="A141" s="2" t="n">
        <v>567201</v>
      </c>
      <c r="B141" s="2" t="inlineStr">
        <is>
          <t>701965</t>
        </is>
      </c>
      <c r="C141" s="3" t="inlineStr">
        <is>
          <t>7891010501105</t>
        </is>
      </c>
      <c r="D141" s="2" t="inlineStr">
        <is>
          <t>FIO DEN REACH J J ESSENC MENTA 100M</t>
        </is>
      </c>
      <c r="E141" s="4" t="n">
        <v>1</v>
      </c>
      <c r="F141" s="4" t="n">
        <v>3</v>
      </c>
      <c r="G141" s="4" t="n">
        <v>3</v>
      </c>
      <c r="H141" s="5" t="n">
        <v>13.1</v>
      </c>
      <c r="I141" s="5">
        <f>G141*H141</f>
        <v/>
      </c>
      <c r="J141" s="5">
        <f>H141/E141</f>
        <v/>
      </c>
      <c r="K141" s="5" t="n">
        <v>14.415</v>
      </c>
      <c r="L141" s="5" t="n">
        <v>13.635</v>
      </c>
      <c r="M141" s="5" t="n">
        <v>13.895</v>
      </c>
      <c r="N141" s="6">
        <f>J141/M141-1</f>
        <v/>
      </c>
      <c r="O141" s="6">
        <f>J141/K141-1</f>
        <v/>
      </c>
      <c r="P141" s="2" t="inlineStr">
        <is>
          <t>OK (≤ últ. compra)</t>
        </is>
      </c>
      <c r="Q141" s="2" t="inlineStr"/>
    </row>
    <row r="142">
      <c r="A142" s="2" t="n">
        <v>577401</v>
      </c>
      <c r="B142" s="2" t="inlineStr">
        <is>
          <t>701961</t>
        </is>
      </c>
      <c r="C142" s="3" t="inlineStr">
        <is>
          <t>7891024183007</t>
        </is>
      </c>
      <c r="D142" s="2" t="inlineStr">
        <is>
          <t>FIO DENT. COLGATE NYLON 50M</t>
        </is>
      </c>
      <c r="E142" s="4" t="n">
        <v>1</v>
      </c>
      <c r="F142" s="4" t="n">
        <v>1</v>
      </c>
      <c r="G142" s="4" t="n">
        <v>1</v>
      </c>
      <c r="H142" s="5" t="n">
        <v>11</v>
      </c>
      <c r="I142" s="5">
        <f>G142*H142</f>
        <v/>
      </c>
      <c r="J142" s="5">
        <f>H142/E142</f>
        <v/>
      </c>
      <c r="K142" s="5" t="n">
        <v>11.65</v>
      </c>
      <c r="L142" s="5" t="n">
        <v>9.529999999999999</v>
      </c>
      <c r="M142" s="5" t="n">
        <v>10.8511</v>
      </c>
      <c r="N142" s="6">
        <f>J142/M142-1</f>
        <v/>
      </c>
      <c r="O142" s="6">
        <f>J142/K142-1</f>
        <v/>
      </c>
      <c r="P142" s="2" t="inlineStr">
        <is>
          <t>OK (≤ últ. compra)</t>
        </is>
      </c>
      <c r="Q142" s="2" t="inlineStr"/>
    </row>
    <row r="143">
      <c r="A143" s="2" t="n">
        <v>614721</v>
      </c>
      <c r="B143" s="2" t="inlineStr">
        <is>
          <t>701968</t>
        </is>
      </c>
      <c r="C143" s="3" t="inlineStr">
        <is>
          <t>7891010038908</t>
        </is>
      </c>
      <c r="D143" s="2" t="inlineStr">
        <is>
          <t>FIO DT JOHNSON REACH 50M MENTA</t>
        </is>
      </c>
      <c r="E143" s="4" t="n">
        <v>1</v>
      </c>
      <c r="F143" s="4" t="n">
        <v>4</v>
      </c>
      <c r="G143" s="4" t="n">
        <v>4</v>
      </c>
      <c r="H143" s="5" t="n">
        <v>12.09</v>
      </c>
      <c r="I143" s="5">
        <f>G143*H143</f>
        <v/>
      </c>
      <c r="J143" s="5">
        <f>H143/E143</f>
        <v/>
      </c>
      <c r="K143" s="5" t="n">
        <v>13.5833</v>
      </c>
      <c r="L143" s="5" t="n">
        <v>13.1458</v>
      </c>
      <c r="M143" s="5" t="n">
        <v>13.29163333333333</v>
      </c>
      <c r="N143" s="6">
        <f>J143/M143-1</f>
        <v/>
      </c>
      <c r="O143" s="6">
        <f>J143/K143-1</f>
        <v/>
      </c>
      <c r="P143" s="2" t="inlineStr">
        <is>
          <t>OK (≤ últ. compra)</t>
        </is>
      </c>
      <c r="Q143" s="2" t="inlineStr"/>
    </row>
    <row r="144">
      <c r="A144" s="2" t="n">
        <v>566701</v>
      </c>
      <c r="B144" s="2" t="inlineStr">
        <is>
          <t>707835</t>
        </is>
      </c>
      <c r="C144" s="3" t="inlineStr">
        <is>
          <t>7898040324438</t>
        </is>
      </c>
      <c r="D144" s="2" t="inlineStr">
        <is>
          <t>FLETOP LOCAO 200ML</t>
        </is>
      </c>
      <c r="E144" s="4" t="n">
        <v>1</v>
      </c>
      <c r="F144" s="4" t="n">
        <v>2</v>
      </c>
      <c r="G144" s="4" t="n">
        <v>2</v>
      </c>
      <c r="H144" s="5" t="n">
        <v>49.13</v>
      </c>
      <c r="I144" s="5">
        <f>G144*H144</f>
        <v/>
      </c>
      <c r="J144" s="5">
        <f>H144/E144</f>
        <v/>
      </c>
      <c r="K144" s="5" t="n">
        <v>57.135</v>
      </c>
      <c r="L144" s="5" t="n">
        <v>41.344</v>
      </c>
      <c r="M144" s="5" t="n">
        <v>49.398</v>
      </c>
      <c r="N144" s="6">
        <f>J144/M144-1</f>
        <v/>
      </c>
      <c r="O144" s="6">
        <f>J144/K144-1</f>
        <v/>
      </c>
      <c r="P144" s="2" t="inlineStr">
        <is>
          <t>OK (≤ últ. compra)</t>
        </is>
      </c>
      <c r="Q144" s="2" t="inlineStr"/>
    </row>
    <row r="145">
      <c r="A145" s="2" t="n">
        <v>667531</v>
      </c>
      <c r="B145" s="2" t="inlineStr">
        <is>
          <t>718350</t>
        </is>
      </c>
      <c r="C145" s="3" t="inlineStr">
        <is>
          <t>7897144661289</t>
        </is>
      </c>
      <c r="D145" s="2" t="inlineStr">
        <is>
          <t>GEL DENT BITUFO KID S/FL MORAN90G-DEMAIS PROD</t>
        </is>
      </c>
      <c r="E145" s="4" t="n">
        <v>1</v>
      </c>
      <c r="F145" s="4" t="n">
        <v>1</v>
      </c>
      <c r="G145" s="4" t="n">
        <v>1</v>
      </c>
      <c r="H145" s="5" t="n">
        <v>9.66</v>
      </c>
      <c r="I145" s="5">
        <f>G145*H145</f>
        <v/>
      </c>
      <c r="J145" s="5">
        <f>H145/E145</f>
        <v/>
      </c>
      <c r="K145" s="5" t="n">
        <v>10.23</v>
      </c>
      <c r="L145" s="5" t="n">
        <v>9.550000000000001</v>
      </c>
      <c r="M145" s="5" t="n">
        <v>10.00333333333333</v>
      </c>
      <c r="N145" s="6">
        <f>J145/M145-1</f>
        <v/>
      </c>
      <c r="O145" s="6">
        <f>J145/K145-1</f>
        <v/>
      </c>
      <c r="P145" s="2" t="inlineStr">
        <is>
          <t>OK (≤ últ. compra)</t>
        </is>
      </c>
      <c r="Q145" s="2" t="inlineStr"/>
    </row>
    <row r="146">
      <c r="A146" s="2" t="n">
        <v>365461</v>
      </c>
      <c r="B146" s="2" t="inlineStr">
        <is>
          <t>105638</t>
        </is>
      </c>
      <c r="C146" s="3" t="inlineStr">
        <is>
          <t>7891317489595</t>
        </is>
      </c>
      <c r="D146" s="2" t="inlineStr">
        <is>
          <t>GINNA 0,02G CREM VAG BG 40G+7APLIC</t>
        </is>
      </c>
      <c r="E146" s="4" t="n">
        <v>1</v>
      </c>
      <c r="F146" s="4" t="n">
        <v>1</v>
      </c>
      <c r="G146" s="4" t="n">
        <v>1</v>
      </c>
      <c r="H146" s="5" t="n">
        <v>37.2</v>
      </c>
      <c r="I146" s="5">
        <f>G146*H146</f>
        <v/>
      </c>
      <c r="J146" s="5">
        <f>H146/E146</f>
        <v/>
      </c>
      <c r="K146" s="5" t="n">
        <v>37.45</v>
      </c>
      <c r="L146" s="5" t="n">
        <v>33.595</v>
      </c>
      <c r="M146" s="5" t="n">
        <v>35.695</v>
      </c>
      <c r="N146" s="6">
        <f>J146/M146-1</f>
        <v/>
      </c>
      <c r="O146" s="6">
        <f>J146/K146-1</f>
        <v/>
      </c>
      <c r="P146" s="2" t="inlineStr">
        <is>
          <t>OK (≤ últ. compra)</t>
        </is>
      </c>
      <c r="Q146" s="2" t="inlineStr"/>
    </row>
    <row r="147">
      <c r="A147" s="2" t="n">
        <v>583361</v>
      </c>
      <c r="B147" s="2" t="inlineStr">
        <is>
          <t>707836</t>
        </is>
      </c>
      <c r="C147" s="3" t="inlineStr">
        <is>
          <t>7896512921369</t>
        </is>
      </c>
      <c r="D147" s="2" t="inlineStr">
        <is>
          <t>GRANADO BEBE LCO UMD C/50</t>
        </is>
      </c>
      <c r="E147" s="4" t="n">
        <v>1</v>
      </c>
      <c r="F147" s="4" t="n">
        <v>1</v>
      </c>
      <c r="G147" s="4" t="n">
        <v>1</v>
      </c>
      <c r="H147" s="5" t="n">
        <v>10.07</v>
      </c>
      <c r="I147" s="5">
        <f>G147*H147</f>
        <v/>
      </c>
      <c r="J147" s="5">
        <f>H147/E147</f>
        <v/>
      </c>
      <c r="K147" s="5" t="n">
        <v>10.375</v>
      </c>
      <c r="L147" s="5" t="n">
        <v>10.375</v>
      </c>
      <c r="M147" s="5" t="n">
        <v>10.375</v>
      </c>
      <c r="N147" s="6">
        <f>J147/M147-1</f>
        <v/>
      </c>
      <c r="O147" s="6">
        <f>J147/K147-1</f>
        <v/>
      </c>
      <c r="P147" s="2" t="inlineStr">
        <is>
          <t>OK (≤ últ. compra)</t>
        </is>
      </c>
      <c r="Q147" s="2" t="inlineStr"/>
    </row>
    <row r="148">
      <c r="A148" s="2" t="n">
        <v>626321</v>
      </c>
      <c r="B148" s="2" t="inlineStr">
        <is>
          <t>708785</t>
        </is>
      </c>
      <c r="C148" s="3" t="inlineStr">
        <is>
          <t>7898040325008</t>
        </is>
      </c>
      <c r="D148" s="2" t="inlineStr">
        <is>
          <t>HIDRAFEMME GEL 24G C/ 8 APLIC</t>
        </is>
      </c>
      <c r="E148" s="4" t="n">
        <v>1</v>
      </c>
      <c r="F148" s="4" t="n">
        <v>2</v>
      </c>
      <c r="G148" s="4" t="n">
        <v>2</v>
      </c>
      <c r="H148" s="5" t="n">
        <v>68.38</v>
      </c>
      <c r="I148" s="5">
        <f>G148*H148</f>
        <v/>
      </c>
      <c r="J148" s="5">
        <f>H148/E148</f>
        <v/>
      </c>
      <c r="K148" s="5" t="n">
        <v>69.84</v>
      </c>
      <c r="L148" s="5" t="n">
        <v>57.646</v>
      </c>
      <c r="M148" s="5" t="n">
        <v>65.77533333333334</v>
      </c>
      <c r="N148" s="6">
        <f>J148/M148-1</f>
        <v/>
      </c>
      <c r="O148" s="6">
        <f>J148/K148-1</f>
        <v/>
      </c>
      <c r="P148" s="2" t="inlineStr">
        <is>
          <t>OK (≤ últ. compra)</t>
        </is>
      </c>
      <c r="Q148" s="2" t="inlineStr"/>
    </row>
    <row r="149">
      <c r="A149" s="2" t="n">
        <v>639851</v>
      </c>
      <c r="B149" s="2" t="inlineStr">
        <is>
          <t>405167</t>
        </is>
      </c>
      <c r="C149" s="3" t="inlineStr">
        <is>
          <t>7899095200586</t>
        </is>
      </c>
      <c r="D149" s="2" t="inlineStr">
        <is>
          <t>HILUROPT 1,5MG/ML SOL OFT FR GOT X 10ML</t>
        </is>
      </c>
      <c r="E149" s="4" t="n">
        <v>1</v>
      </c>
      <c r="F149" s="4" t="n">
        <v>9</v>
      </c>
      <c r="G149" s="4" t="n">
        <v>9</v>
      </c>
      <c r="H149" s="5" t="n">
        <v>37.19</v>
      </c>
      <c r="I149" s="5">
        <f>G149*H149</f>
        <v/>
      </c>
      <c r="J149" s="5">
        <f>H149/E149</f>
        <v/>
      </c>
      <c r="K149" s="5" t="n">
        <v>39.465</v>
      </c>
      <c r="L149" s="5" t="n">
        <v>33.63</v>
      </c>
      <c r="M149" s="5" t="n">
        <v>35.83166666666667</v>
      </c>
      <c r="N149" s="6">
        <f>J149/M149-1</f>
        <v/>
      </c>
      <c r="O149" s="6">
        <f>J149/K149-1</f>
        <v/>
      </c>
      <c r="P149" s="2" t="inlineStr">
        <is>
          <t>OK (≤ últ. compra)</t>
        </is>
      </c>
      <c r="Q149" s="2" t="inlineStr"/>
    </row>
    <row r="150">
      <c r="A150" s="2" t="n">
        <v>621551</v>
      </c>
      <c r="B150" s="2" t="inlineStr">
        <is>
          <t>721531</t>
        </is>
      </c>
      <c r="C150" s="3" t="inlineStr">
        <is>
          <t>7891010255763</t>
        </is>
      </c>
      <c r="D150" s="2" t="inlineStr">
        <is>
          <t>HIPOGLOS ORIGINAL 40G</t>
        </is>
      </c>
      <c r="E150" s="4" t="n">
        <v>1</v>
      </c>
      <c r="F150" s="4" t="n">
        <v>6</v>
      </c>
      <c r="G150" s="4" t="n">
        <v>6</v>
      </c>
      <c r="H150" s="5" t="n">
        <v>21.66</v>
      </c>
      <c r="I150" s="5">
        <f>G150*H150</f>
        <v/>
      </c>
      <c r="J150" s="5">
        <f>H150/E150</f>
        <v/>
      </c>
      <c r="K150" s="5" t="n">
        <v>21.3575</v>
      </c>
      <c r="L150" s="5" t="n">
        <v>18.405</v>
      </c>
      <c r="M150" s="5" t="n">
        <v>19.7634</v>
      </c>
      <c r="N150" s="6">
        <f>J150/M150-1</f>
        <v/>
      </c>
      <c r="O150" s="6">
        <f>J150/K150-1</f>
        <v/>
      </c>
      <c r="P150" s="2" t="inlineStr">
        <is>
          <t>REAJUSTE +1.4% vs últ. (≤4%)</t>
        </is>
      </c>
      <c r="Q150" s="2" t="inlineStr"/>
    </row>
    <row r="151">
      <c r="A151" s="2" t="n">
        <v>594891</v>
      </c>
      <c r="B151" s="2" t="inlineStr">
        <is>
          <t>718482</t>
        </is>
      </c>
      <c r="C151" s="3" t="inlineStr">
        <is>
          <t>7898639690708</t>
        </is>
      </c>
      <c r="D151" s="2" t="inlineStr">
        <is>
          <t>INALADOR NEBULIZADOR ULTRANEB DESK2</t>
        </is>
      </c>
      <c r="E151" s="4" t="n">
        <v>1</v>
      </c>
      <c r="F151" s="4" t="n">
        <v>3</v>
      </c>
      <c r="G151" s="4" t="n">
        <v>3</v>
      </c>
      <c r="H151" s="5" t="n">
        <v>130.59</v>
      </c>
      <c r="I151" s="5">
        <f>G151*H151</f>
        <v/>
      </c>
      <c r="J151" s="5">
        <f>H151/E151</f>
        <v/>
      </c>
      <c r="K151" s="5" t="n">
        <v>130.26</v>
      </c>
      <c r="L151" s="5" t="n">
        <v>130.26</v>
      </c>
      <c r="M151" s="5" t="n">
        <v>130.26</v>
      </c>
      <c r="N151" s="6">
        <f>J151/M151-1</f>
        <v/>
      </c>
      <c r="O151" s="6">
        <f>J151/K151-1</f>
        <v/>
      </c>
      <c r="P151" s="2" t="inlineStr">
        <is>
          <t>REAJUSTE +0.3% vs últ. (≤4%)</t>
        </is>
      </c>
      <c r="Q151" s="2" t="inlineStr"/>
    </row>
    <row r="152">
      <c r="A152" s="2" t="n">
        <v>240081</v>
      </c>
      <c r="B152" s="2" t="inlineStr">
        <is>
          <t>101904</t>
        </is>
      </c>
      <c r="C152" s="3" t="inlineStr">
        <is>
          <t>7896094208094</t>
        </is>
      </c>
      <c r="D152" s="2" t="inlineStr">
        <is>
          <t>IUMI 3+0,02MG CX 24 COMP REV</t>
        </is>
      </c>
      <c r="E152" s="4" t="n">
        <v>1</v>
      </c>
      <c r="F152" s="4" t="n">
        <v>1</v>
      </c>
      <c r="G152" s="4" t="n">
        <v>1</v>
      </c>
      <c r="H152" s="5" t="n">
        <v>56.62</v>
      </c>
      <c r="I152" s="5">
        <f>G152*H152</f>
        <v/>
      </c>
      <c r="J152" s="5">
        <f>H152/E152</f>
        <v/>
      </c>
      <c r="K152" s="5" t="n">
        <v>58.84</v>
      </c>
      <c r="L152" s="5" t="n">
        <v>54.58</v>
      </c>
      <c r="M152" s="5" t="n">
        <v>57.41999999999999</v>
      </c>
      <c r="N152" s="6">
        <f>J152/M152-1</f>
        <v/>
      </c>
      <c r="O152" s="6">
        <f>J152/K152-1</f>
        <v/>
      </c>
      <c r="P152" s="2" t="inlineStr">
        <is>
          <t>OK (≤ últ. compra)</t>
        </is>
      </c>
      <c r="Q152" s="2" t="inlineStr"/>
    </row>
    <row r="153">
      <c r="A153" s="2" t="n">
        <v>400881</v>
      </c>
      <c r="B153" s="2" t="inlineStr">
        <is>
          <t>101918</t>
        </is>
      </c>
      <c r="C153" s="3" t="inlineStr">
        <is>
          <t>7896641804380</t>
        </is>
      </c>
      <c r="D153" s="2" t="inlineStr">
        <is>
          <t>KALOBA 825MG/ML SOL ORAL FR 20ML</t>
        </is>
      </c>
      <c r="E153" s="4" t="n">
        <v>1</v>
      </c>
      <c r="F153" s="4" t="n">
        <v>7</v>
      </c>
      <c r="G153" s="4" t="n">
        <v>7</v>
      </c>
      <c r="H153" s="5" t="n">
        <v>79.59</v>
      </c>
      <c r="I153" s="5">
        <f>G153*H153</f>
        <v/>
      </c>
      <c r="J153" s="5">
        <f>H153/E153</f>
        <v/>
      </c>
      <c r="K153" s="5" t="n">
        <v>77.37</v>
      </c>
      <c r="L153" s="5" t="n">
        <v>71.405</v>
      </c>
      <c r="M153" s="5" t="n">
        <v>74.71666666666667</v>
      </c>
      <c r="N153" s="6">
        <f>J153/M153-1</f>
        <v/>
      </c>
      <c r="O153" s="6">
        <f>J153/K153-1</f>
        <v/>
      </c>
      <c r="P153" s="2" t="inlineStr">
        <is>
          <t>REAJUSTE +2.9% vs últ. (≤4%)</t>
        </is>
      </c>
      <c r="Q153" s="2" t="inlineStr"/>
    </row>
    <row r="154">
      <c r="A154" s="2" t="n">
        <v>535001</v>
      </c>
      <c r="B154" s="2" t="inlineStr">
        <is>
          <t>714022</t>
        </is>
      </c>
      <c r="C154" s="3" t="inlineStr">
        <is>
          <t>7896000724953</t>
        </is>
      </c>
      <c r="D154" s="2" t="inlineStr">
        <is>
          <t>KIT COLORACAO CREME 1.110 PRETO ÔNIX NIELY COR&amp;TON MEGA COLORS</t>
        </is>
      </c>
      <c r="E154" s="4" t="n">
        <v>1</v>
      </c>
      <c r="F154" s="4" t="n">
        <v>4</v>
      </c>
      <c r="G154" s="4" t="n">
        <v>4</v>
      </c>
      <c r="H154" s="5" t="n">
        <v>10.86</v>
      </c>
      <c r="I154" s="5">
        <f>G154*H154</f>
        <v/>
      </c>
      <c r="J154" s="5">
        <f>H154/E154</f>
        <v/>
      </c>
      <c r="K154" s="5" t="n">
        <v>12.58</v>
      </c>
      <c r="L154" s="5" t="n">
        <v>10.5</v>
      </c>
      <c r="M154" s="5" t="n">
        <v>11.72333333333333</v>
      </c>
      <c r="N154" s="6">
        <f>J154/M154-1</f>
        <v/>
      </c>
      <c r="O154" s="6">
        <f>J154/K154-1</f>
        <v/>
      </c>
      <c r="P154" s="2" t="inlineStr">
        <is>
          <t>OK (≤ últ. compra)</t>
        </is>
      </c>
      <c r="Q154" s="2" t="inlineStr"/>
    </row>
    <row r="155">
      <c r="A155" s="2" t="n">
        <v>535041</v>
      </c>
      <c r="B155" s="2" t="inlineStr">
        <is>
          <t>712880</t>
        </is>
      </c>
      <c r="C155" s="3" t="inlineStr">
        <is>
          <t>7896000705969</t>
        </is>
      </c>
      <c r="D155" s="2" t="inlineStr">
        <is>
          <t>KIT COLORACAO CREME 3.0 CASTANHO ESCURO NIELY COR&amp;TON</t>
        </is>
      </c>
      <c r="E155" s="4" t="n">
        <v>1</v>
      </c>
      <c r="F155" s="4" t="n">
        <v>2</v>
      </c>
      <c r="G155" s="4" t="n">
        <v>2</v>
      </c>
      <c r="H155" s="5" t="n">
        <v>10.86</v>
      </c>
      <c r="I155" s="5">
        <f>G155*H155</f>
        <v/>
      </c>
      <c r="J155" s="5">
        <f>H155/E155</f>
        <v/>
      </c>
      <c r="K155" s="5" t="n">
        <v>12.58</v>
      </c>
      <c r="L155" s="5" t="n">
        <v>9.585000000000001</v>
      </c>
      <c r="M155" s="5" t="n">
        <v>11.45833333333333</v>
      </c>
      <c r="N155" s="6">
        <f>J155/M155-1</f>
        <v/>
      </c>
      <c r="O155" s="6">
        <f>J155/K155-1</f>
        <v/>
      </c>
      <c r="P155" s="2" t="inlineStr">
        <is>
          <t>OK (≤ últ. compra)</t>
        </is>
      </c>
      <c r="Q155" s="2" t="inlineStr"/>
    </row>
    <row r="156">
      <c r="A156" s="2" t="n">
        <v>534981</v>
      </c>
      <c r="B156" s="2" t="inlineStr">
        <is>
          <t>712884</t>
        </is>
      </c>
      <c r="C156" s="3" t="inlineStr">
        <is>
          <t>7896000705983</t>
        </is>
      </c>
      <c r="D156" s="2" t="inlineStr">
        <is>
          <t>KIT COLORACAO CREME 5.0 CASTANHO CLARO NIELY COR&amp;TON</t>
        </is>
      </c>
      <c r="E156" s="4" t="n">
        <v>1</v>
      </c>
      <c r="F156" s="4" t="n">
        <v>4</v>
      </c>
      <c r="G156" s="4" t="n">
        <v>4</v>
      </c>
      <c r="H156" s="5" t="n">
        <v>10.86</v>
      </c>
      <c r="I156" s="5">
        <f>G156*H156</f>
        <v/>
      </c>
      <c r="J156" s="5">
        <f>H156/E156</f>
        <v/>
      </c>
      <c r="K156" s="5" t="n">
        <v>12.58</v>
      </c>
      <c r="L156" s="5" t="n">
        <v>9.82</v>
      </c>
      <c r="M156" s="5" t="n">
        <v>11.49666666666667</v>
      </c>
      <c r="N156" s="6">
        <f>J156/M156-1</f>
        <v/>
      </c>
      <c r="O156" s="6">
        <f>J156/K156-1</f>
        <v/>
      </c>
      <c r="P156" s="2" t="inlineStr">
        <is>
          <t>OK (≤ últ. compra)</t>
        </is>
      </c>
      <c r="Q156" s="2" t="inlineStr"/>
    </row>
    <row r="157">
      <c r="A157" s="2" t="n">
        <v>536661</v>
      </c>
      <c r="B157" s="2" t="inlineStr">
        <is>
          <t>714023</t>
        </is>
      </c>
      <c r="C157" s="3" t="inlineStr">
        <is>
          <t>7896000724731</t>
        </is>
      </c>
      <c r="D157" s="2" t="inlineStr">
        <is>
          <t>KIT COLORACAO CREME 6.646 VERMELHO CEREJA NIELY COR&amp;TON MEGA COLORS</t>
        </is>
      </c>
      <c r="E157" s="4" t="n">
        <v>1</v>
      </c>
      <c r="F157" s="4" t="n">
        <v>3</v>
      </c>
      <c r="G157" s="4" t="n">
        <v>3</v>
      </c>
      <c r="H157" s="5" t="n">
        <v>10.86</v>
      </c>
      <c r="I157" s="5">
        <f>G157*H157</f>
        <v/>
      </c>
      <c r="J157" s="5">
        <f>H157/E157</f>
        <v/>
      </c>
      <c r="K157" s="5" t="n">
        <v>12.58</v>
      </c>
      <c r="L157" s="5" t="n">
        <v>9.7033</v>
      </c>
      <c r="M157" s="5" t="n">
        <v>11.6211</v>
      </c>
      <c r="N157" s="6">
        <f>J157/M157-1</f>
        <v/>
      </c>
      <c r="O157" s="6">
        <f>J157/K157-1</f>
        <v/>
      </c>
      <c r="P157" s="2" t="inlineStr">
        <is>
          <t>OK (≤ últ. compra)</t>
        </is>
      </c>
      <c r="Q157" s="2" t="inlineStr"/>
    </row>
    <row r="158">
      <c r="A158" s="2" t="n">
        <v>535081</v>
      </c>
      <c r="B158" s="2" t="inlineStr">
        <is>
          <t>716845</t>
        </is>
      </c>
      <c r="C158" s="3" t="inlineStr">
        <is>
          <t>7899706180658</t>
        </is>
      </c>
      <c r="D158" s="2" t="inlineStr">
        <is>
          <t>KIT COLORACAO CREME COR &amp;TON 7.44 RUIVO ACOBREADO</t>
        </is>
      </c>
      <c r="E158" s="4" t="n">
        <v>1</v>
      </c>
      <c r="F158" s="4" t="n">
        <v>3</v>
      </c>
      <c r="G158" s="4" t="n">
        <v>3</v>
      </c>
      <c r="H158" s="5" t="n">
        <v>10.86</v>
      </c>
      <c r="I158" s="5">
        <f>G158*H158</f>
        <v/>
      </c>
      <c r="J158" s="5">
        <f>H158/E158</f>
        <v/>
      </c>
      <c r="K158" s="5" t="n">
        <v>12.58</v>
      </c>
      <c r="L158" s="5" t="n">
        <v>10.5</v>
      </c>
      <c r="M158" s="5" t="n">
        <v>11.88666666666666</v>
      </c>
      <c r="N158" s="6">
        <f>J158/M158-1</f>
        <v/>
      </c>
      <c r="O158" s="6">
        <f>J158/K158-1</f>
        <v/>
      </c>
      <c r="P158" s="2" t="inlineStr">
        <is>
          <t>OK (≤ últ. compra)</t>
        </is>
      </c>
      <c r="Q158" s="2" t="inlineStr"/>
    </row>
    <row r="159">
      <c r="A159" s="2" t="n">
        <v>535101</v>
      </c>
      <c r="B159" s="2" t="inlineStr">
        <is>
          <t>712889</t>
        </is>
      </c>
      <c r="C159" s="3" t="inlineStr">
        <is>
          <t>7896000705921</t>
        </is>
      </c>
      <c r="D159" s="2" t="inlineStr">
        <is>
          <t>KIT COLORACAO CREME COR&amp;TON 6.7 CHOCOLATE</t>
        </is>
      </c>
      <c r="E159" s="4" t="n">
        <v>1</v>
      </c>
      <c r="F159" s="4" t="n">
        <v>3</v>
      </c>
      <c r="G159" s="4" t="n">
        <v>3</v>
      </c>
      <c r="H159" s="5" t="n">
        <v>10.86</v>
      </c>
      <c r="I159" s="5">
        <f>G159*H159</f>
        <v/>
      </c>
      <c r="J159" s="5">
        <f>H159/E159</f>
        <v/>
      </c>
      <c r="K159" s="5" t="n">
        <v>12.58</v>
      </c>
      <c r="L159" s="5" t="n">
        <v>9.585000000000001</v>
      </c>
      <c r="M159" s="5" t="n">
        <v>11.41833333333333</v>
      </c>
      <c r="N159" s="6">
        <f>J159/M159-1</f>
        <v/>
      </c>
      <c r="O159" s="6">
        <f>J159/K159-1</f>
        <v/>
      </c>
      <c r="P159" s="2" t="inlineStr">
        <is>
          <t>OK (≤ últ. compra)</t>
        </is>
      </c>
      <c r="Q159" s="2" t="inlineStr"/>
    </row>
    <row r="160">
      <c r="A160" s="2" t="n">
        <v>677901</v>
      </c>
      <c r="B160" s="2" t="inlineStr">
        <is>
          <t>722555</t>
        </is>
      </c>
      <c r="C160" s="3" t="inlineStr">
        <is>
          <t>7891150097384</t>
        </is>
      </c>
      <c r="D160" s="2" t="inlineStr">
        <is>
          <t>KIT SH+COND SEDA LISO PERF 300ML+190ML</t>
        </is>
      </c>
      <c r="E160" s="4" t="n">
        <v>1</v>
      </c>
      <c r="F160" s="4" t="n">
        <v>1</v>
      </c>
      <c r="G160" s="4" t="n">
        <v>1</v>
      </c>
      <c r="H160" s="5" t="n">
        <v>12.94</v>
      </c>
      <c r="I160" s="5">
        <f>G160*H160</f>
        <v/>
      </c>
      <c r="J160" s="5">
        <f>H160/E160</f>
        <v/>
      </c>
      <c r="K160" s="5" t="n">
        <v>14.65</v>
      </c>
      <c r="L160" s="5" t="n">
        <v>14.65</v>
      </c>
      <c r="M160" s="5" t="n">
        <v>14.65</v>
      </c>
      <c r="N160" s="6">
        <f>J160/M160-1</f>
        <v/>
      </c>
      <c r="O160" s="6">
        <f>J160/K160-1</f>
        <v/>
      </c>
      <c r="P160" s="2" t="inlineStr">
        <is>
          <t>OK (≤ últ. compra)</t>
        </is>
      </c>
      <c r="Q160" s="2" t="inlineStr"/>
    </row>
    <row r="161">
      <c r="A161" s="2" t="n">
        <v>663131</v>
      </c>
      <c r="B161" s="2" t="inlineStr">
        <is>
          <t>722818</t>
        </is>
      </c>
      <c r="C161" s="3" t="inlineStr">
        <is>
          <t>7891150099982</t>
        </is>
      </c>
      <c r="D161" s="2" t="inlineStr">
        <is>
          <t>KIT SHP+COND SEDA LUM UV GLYCOL+VIT C 300ML+190M   UNIL %DN:10.00</t>
        </is>
      </c>
      <c r="E161" s="4" t="n">
        <v>1</v>
      </c>
      <c r="F161" s="4" t="n">
        <v>1</v>
      </c>
      <c r="G161" s="4" t="n">
        <v>1</v>
      </c>
      <c r="H161" s="5" t="n">
        <v>12.3</v>
      </c>
      <c r="I161" s="5">
        <f>G161*H161</f>
        <v/>
      </c>
      <c r="J161" s="5">
        <f>H161/E161</f>
        <v/>
      </c>
      <c r="K161" s="5" t="n">
        <v>13.22</v>
      </c>
      <c r="L161" s="5" t="n">
        <v>13.22</v>
      </c>
      <c r="M161" s="5" t="n">
        <v>13.22</v>
      </c>
      <c r="N161" s="6">
        <f>J161/M161-1</f>
        <v/>
      </c>
      <c r="O161" s="6">
        <f>J161/K161-1</f>
        <v/>
      </c>
      <c r="P161" s="2" t="inlineStr">
        <is>
          <t>OK (≤ últ. compra)</t>
        </is>
      </c>
      <c r="Q161" s="2" t="inlineStr"/>
    </row>
    <row r="162">
      <c r="A162" s="2" t="n">
        <v>128941</v>
      </c>
      <c r="B162" s="2" t="inlineStr">
        <is>
          <t>101962</t>
        </is>
      </c>
      <c r="C162" s="3" t="inlineStr">
        <is>
          <t>7896637028417</t>
        </is>
      </c>
      <c r="D162" s="2" t="inlineStr">
        <is>
          <t>LABIRIN 8MG CX 30 COMP</t>
        </is>
      </c>
      <c r="E162" s="4" t="n">
        <v>1</v>
      </c>
      <c r="F162" s="4" t="n">
        <v>1</v>
      </c>
      <c r="G162" s="4" t="n">
        <v>1</v>
      </c>
      <c r="H162" s="5" t="n">
        <v>29.19</v>
      </c>
      <c r="I162" s="5">
        <f>G162*H162</f>
        <v/>
      </c>
      <c r="J162" s="5">
        <f>H162/E162</f>
        <v/>
      </c>
      <c r="K162" s="5" t="n">
        <v>29.194</v>
      </c>
      <c r="L162" s="5" t="n">
        <v>29.194</v>
      </c>
      <c r="M162" s="5" t="n">
        <v>29.194</v>
      </c>
      <c r="N162" s="6">
        <f>J162/M162-1</f>
        <v/>
      </c>
      <c r="O162" s="6">
        <f>J162/K162-1</f>
        <v/>
      </c>
      <c r="P162" s="2" t="inlineStr">
        <is>
          <t>OK (≤ últ. compra)</t>
        </is>
      </c>
      <c r="Q162" s="2" t="inlineStr"/>
    </row>
    <row r="163">
      <c r="A163" s="2" t="n">
        <v>662291</v>
      </c>
      <c r="B163" s="2" t="inlineStr">
        <is>
          <t>114781</t>
        </is>
      </c>
      <c r="C163" s="3" t="inlineStr">
        <is>
          <t>7896637034852</t>
        </is>
      </c>
      <c r="D163" s="2" t="inlineStr">
        <is>
          <t>LABIRIN XR 48MG 30CPR</t>
        </is>
      </c>
      <c r="E163" s="4" t="n">
        <v>1</v>
      </c>
      <c r="F163" s="4" t="n">
        <v>1</v>
      </c>
      <c r="G163" s="4" t="n">
        <v>1</v>
      </c>
      <c r="H163" s="5" t="n">
        <v>64.01000000000001</v>
      </c>
      <c r="I163" s="5">
        <f>G163*H163</f>
        <v/>
      </c>
      <c r="J163" s="5">
        <f>H163/E163</f>
        <v/>
      </c>
      <c r="K163" s="5" t="n">
        <v>61.68</v>
      </c>
      <c r="L163" s="5" t="n">
        <v>61.67</v>
      </c>
      <c r="M163" s="5" t="n">
        <v>61.66999999999999</v>
      </c>
      <c r="N163" s="6">
        <f>J163/M163-1</f>
        <v/>
      </c>
      <c r="O163" s="6">
        <f>J163/K163-1</f>
        <v/>
      </c>
      <c r="P163" s="2" t="inlineStr">
        <is>
          <t>REAJUSTE +3.8% vs últ. (≤4%)</t>
        </is>
      </c>
      <c r="Q163" s="2" t="inlineStr"/>
    </row>
    <row r="164">
      <c r="A164" s="2" t="n">
        <v>651991</v>
      </c>
      <c r="B164" s="2" t="inlineStr">
        <is>
          <t>400761</t>
        </is>
      </c>
      <c r="C164" s="3" t="inlineStr">
        <is>
          <t>7895858015664</t>
        </is>
      </c>
      <c r="D164" s="2" t="inlineStr">
        <is>
          <t>LEITE DE MAGNESIA PHILLIPS HORT 120ML</t>
        </is>
      </c>
      <c r="E164" s="4" t="n">
        <v>1</v>
      </c>
      <c r="F164" s="4" t="n">
        <v>1</v>
      </c>
      <c r="G164" s="4" t="n">
        <v>1</v>
      </c>
      <c r="H164" s="5" t="n">
        <v>18.12</v>
      </c>
      <c r="I164" s="5">
        <f>G164*H164</f>
        <v/>
      </c>
      <c r="J164" s="5">
        <f>H164/E164</f>
        <v/>
      </c>
      <c r="K164" s="5" t="n">
        <v>18.31</v>
      </c>
      <c r="L164" s="5" t="n">
        <v>9.81</v>
      </c>
      <c r="M164" s="5" t="n">
        <v>9.81</v>
      </c>
      <c r="N164" s="6">
        <f>J164/M164-1</f>
        <v/>
      </c>
      <c r="O164" s="6">
        <f>J164/K164-1</f>
        <v/>
      </c>
      <c r="P164" s="2" t="inlineStr">
        <is>
          <t>OK (≤ últ. compra)</t>
        </is>
      </c>
      <c r="Q164" s="2" t="inlineStr"/>
    </row>
    <row r="165">
      <c r="A165" s="2" t="n">
        <v>537361</v>
      </c>
      <c r="B165" s="2" t="inlineStr">
        <is>
          <t>714835</t>
        </is>
      </c>
      <c r="C165" s="3" t="inlineStr">
        <is>
          <t>7891010247324</t>
        </is>
      </c>
      <c r="D165" s="2" t="inlineStr">
        <is>
          <t>LENC HUM JOHNSONS 44UN</t>
        </is>
      </c>
      <c r="E165" s="4" t="n">
        <v>1</v>
      </c>
      <c r="F165" s="4" t="n">
        <v>4</v>
      </c>
      <c r="G165" s="4" t="n">
        <v>4</v>
      </c>
      <c r="H165" s="5" t="n">
        <v>11.29</v>
      </c>
      <c r="I165" s="5">
        <f>G165*H165</f>
        <v/>
      </c>
      <c r="J165" s="5">
        <f>H165/E165</f>
        <v/>
      </c>
      <c r="K165" s="5" t="n">
        <v>11.36</v>
      </c>
      <c r="L165" s="5" t="n">
        <v>11.36</v>
      </c>
      <c r="M165" s="5" t="n">
        <v>11.36</v>
      </c>
      <c r="N165" s="6">
        <f>J165/M165-1</f>
        <v/>
      </c>
      <c r="O165" s="6">
        <f>J165/K165-1</f>
        <v/>
      </c>
      <c r="P165" s="2" t="inlineStr">
        <is>
          <t>OK (≤ últ. compra)</t>
        </is>
      </c>
      <c r="Q165" s="2" t="inlineStr"/>
    </row>
    <row r="166">
      <c r="A166" s="2" t="n">
        <v>320321</v>
      </c>
      <c r="B166" s="2" t="inlineStr">
        <is>
          <t>102028</t>
        </is>
      </c>
      <c r="C166" s="3" t="inlineStr">
        <is>
          <t>7896658008801</t>
        </is>
      </c>
      <c r="D166" s="2" t="inlineStr">
        <is>
          <t>LEVOID 88MCG CX 30 COMP</t>
        </is>
      </c>
      <c r="E166" s="4" t="n">
        <v>1</v>
      </c>
      <c r="F166" s="4" t="n">
        <v>4</v>
      </c>
      <c r="G166" s="4" t="n">
        <v>4</v>
      </c>
      <c r="H166" s="5" t="n">
        <v>19.56</v>
      </c>
      <c r="I166" s="5">
        <f>G166*H166</f>
        <v/>
      </c>
      <c r="J166" s="5">
        <f>H166/E166</f>
        <v/>
      </c>
      <c r="K166" s="5" t="n">
        <v>20.33</v>
      </c>
      <c r="L166" s="5" t="n">
        <v>18.71</v>
      </c>
      <c r="M166" s="5" t="n">
        <v>19.25</v>
      </c>
      <c r="N166" s="6">
        <f>J166/M166-1</f>
        <v/>
      </c>
      <c r="O166" s="6">
        <f>J166/K166-1</f>
        <v/>
      </c>
      <c r="P166" s="2" t="inlineStr">
        <is>
          <t>OK (≤ últ. compra)</t>
        </is>
      </c>
      <c r="Q166" s="2" t="inlineStr"/>
    </row>
    <row r="167">
      <c r="A167" s="2" t="n">
        <v>553481</v>
      </c>
      <c r="B167" s="2" t="inlineStr">
        <is>
          <t>400797</t>
        </is>
      </c>
      <c r="C167" s="3" t="inlineStr">
        <is>
          <t>7895858017422</t>
        </is>
      </c>
      <c r="D167" s="2" t="inlineStr">
        <is>
          <t>MAGNESIA BISURADA 63,7+521+67+3,3MG(CARTELA)</t>
        </is>
      </c>
      <c r="E167" s="4" t="n">
        <v>4</v>
      </c>
      <c r="F167" s="4" t="n">
        <v>6</v>
      </c>
      <c r="G167" s="4" t="n">
        <v>2</v>
      </c>
      <c r="H167" s="5" t="n">
        <v>39.52</v>
      </c>
      <c r="I167" s="5">
        <f>G167*H167</f>
        <v/>
      </c>
      <c r="J167" s="5">
        <f>H167/E167</f>
        <v/>
      </c>
      <c r="K167" s="5" t="n">
        <v>10.2681</v>
      </c>
      <c r="L167" s="5" t="n">
        <v>8.754799999999999</v>
      </c>
      <c r="M167" s="5" t="n">
        <v>9.193199999999999</v>
      </c>
      <c r="N167" s="6">
        <f>J167/M167-1</f>
        <v/>
      </c>
      <c r="O167" s="6">
        <f>J167/K167-1</f>
        <v/>
      </c>
      <c r="P167" s="2" t="inlineStr">
        <is>
          <t>OK (≤ últ. compra)</t>
        </is>
      </c>
      <c r="Q167" s="2" t="inlineStr">
        <is>
          <t>1 emb = 4 un</t>
        </is>
      </c>
    </row>
    <row r="168">
      <c r="A168" s="2" t="n">
        <v>79381</v>
      </c>
      <c r="B168" s="2" t="inlineStr">
        <is>
          <t>400796</t>
        </is>
      </c>
      <c r="C168" s="3" t="inlineStr">
        <is>
          <t>7895858017309</t>
        </is>
      </c>
      <c r="D168" s="2" t="inlineStr">
        <is>
          <t>MAGNESIA BISURADA 63,70+521,0+67,0+3,30MG CX 200 PAST</t>
        </is>
      </c>
      <c r="E168" s="4" t="n">
        <v>20</v>
      </c>
      <c r="F168" s="4" t="n">
        <v>1</v>
      </c>
      <c r="G168" s="4" t="n">
        <v>1</v>
      </c>
      <c r="H168" s="5" t="n">
        <v>197.64</v>
      </c>
      <c r="I168" s="5">
        <f>G168*H168</f>
        <v/>
      </c>
      <c r="J168" s="5">
        <f>H168/E168</f>
        <v/>
      </c>
      <c r="K168" s="5" t="n">
        <v>9.779299999999999</v>
      </c>
      <c r="L168" s="5" t="n">
        <v>8.995799999999999</v>
      </c>
      <c r="M168" s="5" t="n">
        <v>9.518133333333333</v>
      </c>
      <c r="N168" s="6">
        <f>J168/M168-1</f>
        <v/>
      </c>
      <c r="O168" s="6">
        <f>J168/K168-1</f>
        <v/>
      </c>
      <c r="P168" s="2" t="inlineStr">
        <is>
          <t>REAJUSTE +1.1% vs últ. (≤4%)</t>
        </is>
      </c>
      <c r="Q168" s="2" t="inlineStr">
        <is>
          <t>1 emb = 20 un</t>
        </is>
      </c>
    </row>
    <row r="169">
      <c r="A169" s="2" t="n">
        <v>664741</v>
      </c>
      <c r="B169" s="2" t="inlineStr">
        <is>
          <t>722403</t>
        </is>
      </c>
      <c r="C169" s="3" t="inlineStr">
        <is>
          <t>7891000359426</t>
        </is>
      </c>
      <c r="D169" s="2" t="inlineStr">
        <is>
          <t>MATERNA DHA 30CAP</t>
        </is>
      </c>
      <c r="E169" s="4" t="n">
        <v>1</v>
      </c>
      <c r="F169" s="4" t="n">
        <v>1</v>
      </c>
      <c r="G169" s="4" t="n">
        <v>1</v>
      </c>
      <c r="H169" s="5" t="n">
        <v>65.67</v>
      </c>
      <c r="I169" s="5">
        <f>G169*H169</f>
        <v/>
      </c>
      <c r="J169" s="5">
        <f>H169/E169</f>
        <v/>
      </c>
      <c r="K169" s="5" t="n">
        <v>62.74</v>
      </c>
      <c r="L169" s="5" t="n">
        <v>62.74</v>
      </c>
      <c r="M169" s="5" t="n">
        <v>62.74</v>
      </c>
      <c r="N169" s="6">
        <f>J169/M169-1</f>
        <v/>
      </c>
      <c r="O169" s="6">
        <f>J169/K169-1</f>
        <v/>
      </c>
      <c r="P169" s="2" t="inlineStr">
        <is>
          <t>REAJUSTE +4.7% vs média (≤6%)</t>
        </is>
      </c>
      <c r="Q169" s="2" t="inlineStr"/>
    </row>
    <row r="170">
      <c r="A170" s="2" t="n">
        <v>667521</v>
      </c>
      <c r="B170" s="2" t="inlineStr">
        <is>
          <t>722606</t>
        </is>
      </c>
      <c r="C170" s="3" t="inlineStr">
        <is>
          <t>7891000361887</t>
        </is>
      </c>
      <c r="D170" s="2" t="inlineStr">
        <is>
          <t>MATERNA SUPL MV DHA 30 CAPS-DEMAIS PROD</t>
        </is>
      </c>
      <c r="E170" s="4" t="n">
        <v>1</v>
      </c>
      <c r="F170" s="4" t="n">
        <v>1</v>
      </c>
      <c r="G170" s="4" t="n">
        <v>1</v>
      </c>
      <c r="H170" s="5" t="n">
        <v>109.48</v>
      </c>
      <c r="I170" s="5">
        <f>G170*H170</f>
        <v/>
      </c>
      <c r="J170" s="5">
        <f>H170/E170</f>
        <v/>
      </c>
      <c r="K170" s="5" t="n">
        <v>104.56</v>
      </c>
      <c r="L170" s="5" t="n">
        <v>104.56</v>
      </c>
      <c r="M170" s="5" t="n">
        <v>104.56</v>
      </c>
      <c r="N170" s="6">
        <f>J170/M170-1</f>
        <v/>
      </c>
      <c r="O170" s="6">
        <f>J170/K170-1</f>
        <v/>
      </c>
      <c r="P170" s="2" t="inlineStr">
        <is>
          <t>REAJUSTE +4.7% vs média (≤6%)</t>
        </is>
      </c>
      <c r="Q170" s="2" t="inlineStr"/>
    </row>
    <row r="171">
      <c r="A171" s="2" t="n">
        <v>673191</v>
      </c>
      <c r="B171" s="2" t="inlineStr">
        <is>
          <t>705710</t>
        </is>
      </c>
      <c r="C171" s="3" t="inlineStr">
        <is>
          <t>7896023752513</t>
        </is>
      </c>
      <c r="D171" s="2" t="inlineStr">
        <is>
          <t>MELAGRIAO SPRAY - MENTA - 30ML-DEMAIS PROD</t>
        </is>
      </c>
      <c r="E171" s="4" t="n">
        <v>1</v>
      </c>
      <c r="F171" s="4" t="n">
        <v>3</v>
      </c>
      <c r="G171" s="4" t="n">
        <v>3</v>
      </c>
      <c r="H171" s="5" t="n">
        <v>14.28</v>
      </c>
      <c r="I171" s="5">
        <f>G171*H171</f>
        <v/>
      </c>
      <c r="J171" s="5">
        <f>H171/E171</f>
        <v/>
      </c>
      <c r="K171" s="5" t="n">
        <v>16.5517</v>
      </c>
      <c r="L171" s="5" t="n">
        <v>13.14</v>
      </c>
      <c r="M171" s="5" t="n">
        <v>13.97666666666667</v>
      </c>
      <c r="N171" s="6">
        <f>J171/M171-1</f>
        <v/>
      </c>
      <c r="O171" s="6">
        <f>J171/K171-1</f>
        <v/>
      </c>
      <c r="P171" s="2" t="inlineStr">
        <is>
          <t>OK (≤ últ. compra)</t>
        </is>
      </c>
      <c r="Q171" s="2" t="inlineStr"/>
    </row>
    <row r="172">
      <c r="A172" s="2" t="n">
        <v>663861</v>
      </c>
      <c r="B172" s="2" t="inlineStr">
        <is>
          <t>114887</t>
        </is>
      </c>
      <c r="C172" s="3" t="inlineStr">
        <is>
          <t>7891106916233</t>
        </is>
      </c>
      <c r="D172" s="2" t="inlineStr">
        <is>
          <t>MESIGYNA 50+5MG/ML C/1 SER PR+AG-REFERENCIA</t>
        </is>
      </c>
      <c r="E172" s="4" t="n">
        <v>1</v>
      </c>
      <c r="F172" s="4" t="n">
        <v>6</v>
      </c>
      <c r="G172" s="4" t="n">
        <v>6</v>
      </c>
      <c r="H172" s="5" t="n">
        <v>34.92</v>
      </c>
      <c r="I172" s="5">
        <f>G172*H172</f>
        <v/>
      </c>
      <c r="J172" s="5">
        <f>H172/E172</f>
        <v/>
      </c>
      <c r="K172" s="5" t="n">
        <v>35.54</v>
      </c>
      <c r="L172" s="5" t="n">
        <v>29.545</v>
      </c>
      <c r="M172" s="5" t="n">
        <v>32.65833333333334</v>
      </c>
      <c r="N172" s="6">
        <f>J172/M172-1</f>
        <v/>
      </c>
      <c r="O172" s="6">
        <f>J172/K172-1</f>
        <v/>
      </c>
      <c r="P172" s="2" t="inlineStr">
        <is>
          <t>OK (≤ últ. compra)</t>
        </is>
      </c>
      <c r="Q172" s="2" t="inlineStr"/>
    </row>
    <row r="173">
      <c r="A173" s="2" t="n">
        <v>650411</v>
      </c>
      <c r="B173" s="2" t="inlineStr">
        <is>
          <t>710708</t>
        </is>
      </c>
      <c r="C173" s="3" t="inlineStr">
        <is>
          <t>7891800665017</t>
        </is>
      </c>
      <c r="D173" s="2" t="inlineStr">
        <is>
          <t>MICROPOROSA CREMER BEGE 1,2CM X 4,5M</t>
        </is>
      </c>
      <c r="E173" s="4" t="n">
        <v>1</v>
      </c>
      <c r="F173" s="4" t="n">
        <v>3</v>
      </c>
      <c r="G173" s="4" t="n">
        <v>3</v>
      </c>
      <c r="H173" s="5" t="n">
        <v>5.14</v>
      </c>
      <c r="I173" s="5">
        <f>G173*H173</f>
        <v/>
      </c>
      <c r="J173" s="5">
        <f>H173/E173</f>
        <v/>
      </c>
      <c r="K173" s="5" t="n">
        <v>5.32</v>
      </c>
      <c r="L173" s="5" t="n">
        <v>5.27</v>
      </c>
      <c r="M173" s="5" t="n">
        <v>5.303333333333334</v>
      </c>
      <c r="N173" s="6">
        <f>J173/M173-1</f>
        <v/>
      </c>
      <c r="O173" s="6">
        <f>J173/K173-1</f>
        <v/>
      </c>
      <c r="P173" s="2" t="inlineStr">
        <is>
          <t>OK (≤ últ. compra)</t>
        </is>
      </c>
      <c r="Q173" s="2" t="inlineStr"/>
    </row>
    <row r="174">
      <c r="A174" s="2" t="n">
        <v>622791</v>
      </c>
      <c r="B174" s="2" t="inlineStr">
        <is>
          <t>405240</t>
        </is>
      </c>
      <c r="C174" s="3" t="inlineStr">
        <is>
          <t>7891317022174</t>
        </is>
      </c>
      <c r="D174" s="2" t="inlineStr">
        <is>
          <t>MINILAX PEDIATRICO 714,0+7,70MG/G SOL RET 7 BG X 6,5G</t>
        </is>
      </c>
      <c r="E174" s="4" t="n">
        <v>1</v>
      </c>
      <c r="F174" s="4" t="n">
        <v>1</v>
      </c>
      <c r="G174" s="4" t="n">
        <v>1</v>
      </c>
      <c r="H174" s="5" t="n">
        <v>44.2</v>
      </c>
      <c r="I174" s="5">
        <f>G174*H174</f>
        <v/>
      </c>
      <c r="J174" s="5">
        <f>H174/E174</f>
        <v/>
      </c>
      <c r="K174" s="5" t="n">
        <v>44.4967</v>
      </c>
      <c r="L174" s="5" t="n">
        <v>38.8975</v>
      </c>
      <c r="M174" s="5" t="n">
        <v>41.33973333333333</v>
      </c>
      <c r="N174" s="6">
        <f>J174/M174-1</f>
        <v/>
      </c>
      <c r="O174" s="6">
        <f>J174/K174-1</f>
        <v/>
      </c>
      <c r="P174" s="2" t="inlineStr">
        <is>
          <t>OK (≤ últ. compra)</t>
        </is>
      </c>
      <c r="Q174" s="2" t="inlineStr"/>
    </row>
    <row r="175">
      <c r="A175" s="2" t="n">
        <v>533841</v>
      </c>
      <c r="B175" s="2" t="inlineStr">
        <is>
          <t>717303</t>
        </is>
      </c>
      <c r="C175" s="3" t="inlineStr">
        <is>
          <t>7896235353331</t>
        </is>
      </c>
      <c r="D175" s="2" t="inlineStr">
        <is>
          <t>MONANGE SHAMPOO LISOS LE QUERO 325ML</t>
        </is>
      </c>
      <c r="E175" s="4" t="n">
        <v>1</v>
      </c>
      <c r="F175" s="4" t="n">
        <v>1</v>
      </c>
      <c r="G175" s="4" t="n">
        <v>1</v>
      </c>
      <c r="H175" s="5" t="n">
        <v>8.09</v>
      </c>
      <c r="I175" s="5">
        <f>G175*H175</f>
        <v/>
      </c>
      <c r="J175" s="5">
        <f>H175/E175</f>
        <v/>
      </c>
      <c r="K175" s="5" t="n">
        <v>8.06</v>
      </c>
      <c r="L175" s="5" t="n">
        <v>8.050000000000001</v>
      </c>
      <c r="M175" s="5" t="n">
        <v>8.053333333333333</v>
      </c>
      <c r="N175" s="6">
        <f>J175/M175-1</f>
        <v/>
      </c>
      <c r="O175" s="6">
        <f>J175/K175-1</f>
        <v/>
      </c>
      <c r="P175" s="2" t="inlineStr">
        <is>
          <t>REAJUSTE +0.4% vs últ. (≤4%)</t>
        </is>
      </c>
      <c r="Q175" s="2" t="inlineStr"/>
    </row>
    <row r="176">
      <c r="A176" s="2" t="n">
        <v>672781</v>
      </c>
      <c r="B176" s="2" t="inlineStr">
        <is>
          <t>721081</t>
        </is>
      </c>
      <c r="C176" s="3" t="inlineStr">
        <is>
          <t>7891000319598</t>
        </is>
      </c>
      <c r="D176" s="2" t="inlineStr">
        <is>
          <t>MUCILON MILHO SACHET 12X180G BR</t>
        </is>
      </c>
      <c r="E176" s="4" t="n">
        <v>1</v>
      </c>
      <c r="F176" s="4" t="n">
        <v>1</v>
      </c>
      <c r="G176" s="4" t="n">
        <v>1</v>
      </c>
      <c r="H176" s="5" t="n">
        <v>5.69</v>
      </c>
      <c r="I176" s="5">
        <f>G176*H176</f>
        <v/>
      </c>
      <c r="J176" s="5">
        <f>H176/E176</f>
        <v/>
      </c>
      <c r="K176" s="5" t="n">
        <v>6.1883</v>
      </c>
      <c r="L176" s="5" t="n">
        <v>6.0358</v>
      </c>
      <c r="M176" s="5" t="n">
        <v>6.137466666666666</v>
      </c>
      <c r="N176" s="6">
        <f>J176/M176-1</f>
        <v/>
      </c>
      <c r="O176" s="6">
        <f>J176/K176-1</f>
        <v/>
      </c>
      <c r="P176" s="2" t="inlineStr">
        <is>
          <t>OK (≤ últ. compra)</t>
        </is>
      </c>
      <c r="Q176" s="2" t="inlineStr"/>
    </row>
    <row r="177">
      <c r="A177" s="2" t="n">
        <v>597311</v>
      </c>
      <c r="B177" s="2" t="inlineStr">
        <is>
          <t>721136</t>
        </is>
      </c>
      <c r="C177" s="3" t="inlineStr">
        <is>
          <t>7891000369159</t>
        </is>
      </c>
      <c r="D177" s="2" t="inlineStr">
        <is>
          <t>MUCILON SNACKS MORANGO &amp; BNA 35G</t>
        </is>
      </c>
      <c r="E177" s="4" t="n">
        <v>1</v>
      </c>
      <c r="F177" s="4" t="n">
        <v>1</v>
      </c>
      <c r="G177" s="4" t="n">
        <v>1</v>
      </c>
      <c r="H177" s="5" t="n">
        <v>4.07</v>
      </c>
      <c r="I177" s="5">
        <f>G177*H177</f>
        <v/>
      </c>
      <c r="J177" s="5">
        <f>H177/E177</f>
        <v/>
      </c>
      <c r="K177" s="5" t="n">
        <v>3.9213</v>
      </c>
      <c r="L177" s="5" t="n">
        <v>3.9213</v>
      </c>
      <c r="M177" s="5" t="n">
        <v>3.9213</v>
      </c>
      <c r="N177" s="6">
        <f>J177/M177-1</f>
        <v/>
      </c>
      <c r="O177" s="6">
        <f>J177/K177-1</f>
        <v/>
      </c>
      <c r="P177" s="2" t="inlineStr">
        <is>
          <t>REAJUSTE +3.8% vs últ. (≤4%)</t>
        </is>
      </c>
      <c r="Q177" s="2" t="inlineStr"/>
    </row>
    <row r="178">
      <c r="A178" s="2" t="n">
        <v>328301</v>
      </c>
      <c r="B178" s="2" t="inlineStr">
        <is>
          <t>102380</t>
        </is>
      </c>
      <c r="C178" s="3" t="inlineStr">
        <is>
          <t>7896094201637</t>
        </is>
      </c>
      <c r="D178" s="2" t="inlineStr">
        <is>
          <t>MUVINLAX CX 20 SACH X 14G</t>
        </is>
      </c>
      <c r="E178" s="4" t="n">
        <v>1</v>
      </c>
      <c r="F178" s="4" t="n">
        <v>5</v>
      </c>
      <c r="G178" s="4" t="n">
        <v>5</v>
      </c>
      <c r="H178" s="5" t="n">
        <v>53.32</v>
      </c>
      <c r="I178" s="5">
        <f>G178*H178</f>
        <v/>
      </c>
      <c r="J178" s="5">
        <f>H178/E178</f>
        <v/>
      </c>
      <c r="K178" s="5" t="n">
        <v>55.41</v>
      </c>
      <c r="L178" s="5" t="n">
        <v>43.93</v>
      </c>
      <c r="M178" s="5" t="n">
        <v>50.21666666666667</v>
      </c>
      <c r="N178" s="6">
        <f>J178/M178-1</f>
        <v/>
      </c>
      <c r="O178" s="6">
        <f>J178/K178-1</f>
        <v/>
      </c>
      <c r="P178" s="2" t="inlineStr">
        <is>
          <t>OK (≤ últ. compra)</t>
        </is>
      </c>
      <c r="Q178" s="2" t="inlineStr"/>
    </row>
    <row r="179">
      <c r="A179" s="2" t="n">
        <v>652151</v>
      </c>
      <c r="B179" s="2" t="inlineStr">
        <is>
          <t>722699</t>
        </is>
      </c>
      <c r="C179" s="3" t="inlineStr">
        <is>
          <t>7896007553563</t>
        </is>
      </c>
      <c r="D179" s="2" t="inlineStr">
        <is>
          <t>N ABS INTIMUS NOTURNO SUAVE C/A 45UN   KIMB %DN:3.00</t>
        </is>
      </c>
      <c r="E179" s="4" t="n">
        <v>1</v>
      </c>
      <c r="F179" s="4" t="n">
        <v>2</v>
      </c>
      <c r="G179" s="4" t="n">
        <v>2</v>
      </c>
      <c r="H179" s="5" t="n">
        <v>26.02</v>
      </c>
      <c r="I179" s="5">
        <f>G179*H179</f>
        <v/>
      </c>
      <c r="J179" s="5">
        <f>H179/E179</f>
        <v/>
      </c>
      <c r="K179" s="5" t="n">
        <v>27.3308</v>
      </c>
      <c r="L179" s="5" t="n">
        <v>27.3308</v>
      </c>
      <c r="M179" s="5" t="n">
        <v>27.3308</v>
      </c>
      <c r="N179" s="6">
        <f>J179/M179-1</f>
        <v/>
      </c>
      <c r="O179" s="6">
        <f>J179/K179-1</f>
        <v/>
      </c>
      <c r="P179" s="2" t="inlineStr">
        <is>
          <t>OK (≤ últ. compra)</t>
        </is>
      </c>
      <c r="Q179" s="2" t="inlineStr"/>
    </row>
    <row r="180">
      <c r="A180" s="2" t="n">
        <v>663251</v>
      </c>
      <c r="B180" s="2" t="inlineStr">
        <is>
          <t>721664</t>
        </is>
      </c>
      <c r="C180" s="3" t="inlineStr">
        <is>
          <t>7891150083486</t>
        </is>
      </c>
      <c r="D180" s="2" t="inlineStr">
        <is>
          <t>N SAB LIQ GLIC ESSENC BR BROMELIA REF 240ML   UNIL %DN:17.00</t>
        </is>
      </c>
      <c r="E180" s="4" t="n">
        <v>1</v>
      </c>
      <c r="F180" s="4" t="n">
        <v>2</v>
      </c>
      <c r="G180" s="4" t="n">
        <v>2</v>
      </c>
      <c r="H180" s="5" t="n">
        <v>6.08</v>
      </c>
      <c r="I180" s="5">
        <f>G180*H180</f>
        <v/>
      </c>
      <c r="J180" s="5">
        <f>H180/E180</f>
        <v/>
      </c>
      <c r="K180" s="5" t="n">
        <v>7.63</v>
      </c>
      <c r="L180" s="5" t="n">
        <v>7.63</v>
      </c>
      <c r="M180" s="5" t="n">
        <v>7.63</v>
      </c>
      <c r="N180" s="6">
        <f>J180/M180-1</f>
        <v/>
      </c>
      <c r="O180" s="6">
        <f>J180/K180-1</f>
        <v/>
      </c>
      <c r="P180" s="2" t="inlineStr">
        <is>
          <t>OK (≤ últ. compra)</t>
        </is>
      </c>
      <c r="Q180" s="2" t="inlineStr"/>
    </row>
    <row r="181">
      <c r="A181" s="2" t="n">
        <v>290881</v>
      </c>
      <c r="B181" s="2" t="inlineStr">
        <is>
          <t>112598</t>
        </is>
      </c>
      <c r="C181" s="3" t="inlineStr">
        <is>
          <t>7896094203266</t>
        </is>
      </c>
      <c r="D181" s="2" t="inlineStr">
        <is>
          <t>NAPRIX D 12,5MG CX 30 CAP</t>
        </is>
      </c>
      <c r="E181" s="4" t="n">
        <v>1</v>
      </c>
      <c r="F181" s="4" t="n">
        <v>1</v>
      </c>
      <c r="G181" s="4" t="n">
        <v>1</v>
      </c>
      <c r="H181" s="5" t="n">
        <v>56.32</v>
      </c>
      <c r="I181" s="5">
        <f>G181*H181</f>
        <v/>
      </c>
      <c r="J181" s="5">
        <f>H181/E181</f>
        <v/>
      </c>
      <c r="K181" s="5" t="n">
        <v>55.03</v>
      </c>
      <c r="L181" s="5" t="n">
        <v>55.03</v>
      </c>
      <c r="M181" s="5" t="n">
        <v>55.03</v>
      </c>
      <c r="N181" s="6">
        <f>J181/M181-1</f>
        <v/>
      </c>
      <c r="O181" s="6">
        <f>J181/K181-1</f>
        <v/>
      </c>
      <c r="P181" s="2" t="inlineStr">
        <is>
          <t>REAJUSTE +2.3% vs últ. (≤4%)</t>
        </is>
      </c>
      <c r="Q181" s="2" t="inlineStr"/>
    </row>
    <row r="182">
      <c r="A182" s="2" t="n">
        <v>582301</v>
      </c>
      <c r="B182" s="2" t="inlineStr">
        <is>
          <t>102407</t>
        </is>
      </c>
      <c r="C182" s="3" t="inlineStr">
        <is>
          <t>7897337716550</t>
        </is>
      </c>
      <c r="D182" s="2" t="inlineStr">
        <is>
          <t>NASONEX 0,5MG/G SUS NAS FR SPR 60 ATOMIZ</t>
        </is>
      </c>
      <c r="E182" s="4" t="n">
        <v>1</v>
      </c>
      <c r="F182" s="4" t="n">
        <v>3</v>
      </c>
      <c r="G182" s="4" t="n">
        <v>3</v>
      </c>
      <c r="H182" s="5" t="n">
        <v>36.49</v>
      </c>
      <c r="I182" s="5">
        <f>G182*H182</f>
        <v/>
      </c>
      <c r="J182" s="5">
        <f>H182/E182</f>
        <v/>
      </c>
      <c r="K182" s="5" t="n">
        <v>37.12</v>
      </c>
      <c r="L182" s="5" t="n">
        <v>33.325</v>
      </c>
      <c r="M182" s="5" t="n">
        <v>35.51666666666667</v>
      </c>
      <c r="N182" s="6">
        <f>J182/M182-1</f>
        <v/>
      </c>
      <c r="O182" s="6">
        <f>J182/K182-1</f>
        <v/>
      </c>
      <c r="P182" s="2" t="inlineStr">
        <is>
          <t>OK (≤ últ. compra)</t>
        </is>
      </c>
      <c r="Q182" s="2" t="inlineStr"/>
    </row>
    <row r="183">
      <c r="A183" s="2" t="n">
        <v>237461</v>
      </c>
      <c r="B183" s="2" t="inlineStr">
        <is>
          <t>102411</t>
        </is>
      </c>
      <c r="C183" s="3" t="inlineStr">
        <is>
          <t>7896094201460</t>
        </is>
      </c>
      <c r="D183" s="2" t="inlineStr">
        <is>
          <t>NATIFA 1MG CX 28 COMP REV</t>
        </is>
      </c>
      <c r="E183" s="4" t="n">
        <v>1</v>
      </c>
      <c r="F183" s="4" t="n">
        <v>3</v>
      </c>
      <c r="G183" s="4" t="n">
        <v>3</v>
      </c>
      <c r="H183" s="5" t="n">
        <v>56.1</v>
      </c>
      <c r="I183" s="5">
        <f>G183*H183</f>
        <v/>
      </c>
      <c r="J183" s="5">
        <f>H183/E183</f>
        <v/>
      </c>
      <c r="K183" s="5" t="n">
        <v>58.3</v>
      </c>
      <c r="L183" s="5" t="n">
        <v>54.075</v>
      </c>
      <c r="M183" s="5" t="n">
        <v>56.15666666666667</v>
      </c>
      <c r="N183" s="6">
        <f>J183/M183-1</f>
        <v/>
      </c>
      <c r="O183" s="6">
        <f>J183/K183-1</f>
        <v/>
      </c>
      <c r="P183" s="2" t="inlineStr">
        <is>
          <t>OK (≤ últ. compra)</t>
        </is>
      </c>
      <c r="Q183" s="2" t="inlineStr"/>
    </row>
    <row r="184">
      <c r="A184" s="2" t="n">
        <v>644791</v>
      </c>
      <c r="B184" s="2" t="inlineStr">
        <is>
          <t>715557</t>
        </is>
      </c>
      <c r="C184" s="3" t="inlineStr">
        <is>
          <t>7891010248130</t>
        </is>
      </c>
      <c r="D184" s="2" t="inlineStr">
        <is>
          <t>NEOS MINESOL COR/ROS FPS99 200ML</t>
        </is>
      </c>
      <c r="E184" s="4" t="n">
        <v>1</v>
      </c>
      <c r="F184" s="4" t="n">
        <v>2</v>
      </c>
      <c r="G184" s="4" t="n">
        <v>2</v>
      </c>
      <c r="H184" s="5" t="n">
        <v>128.52</v>
      </c>
      <c r="I184" s="5">
        <f>G184*H184</f>
        <v/>
      </c>
      <c r="J184" s="5">
        <f>H184/E184</f>
        <v/>
      </c>
      <c r="K184" s="5" t="n">
        <v>126.85</v>
      </c>
      <c r="L184" s="5" t="n">
        <v>126.85</v>
      </c>
      <c r="M184" s="5" t="n">
        <v>126.85</v>
      </c>
      <c r="N184" s="6">
        <f>J184/M184-1</f>
        <v/>
      </c>
      <c r="O184" s="6">
        <f>J184/K184-1</f>
        <v/>
      </c>
      <c r="P184" s="2" t="inlineStr">
        <is>
          <t>REAJUSTE +1.3% vs últ. (≤4%)</t>
        </is>
      </c>
      <c r="Q184" s="2" t="inlineStr"/>
    </row>
    <row r="185">
      <c r="A185" s="2" t="n">
        <v>592121</v>
      </c>
      <c r="B185" s="2" t="inlineStr">
        <is>
          <t>702631</t>
        </is>
      </c>
      <c r="C185" s="3" t="inlineStr">
        <is>
          <t>7891000062739</t>
        </is>
      </c>
      <c r="D185" s="2" t="inlineStr">
        <is>
          <t>NESTOGENO 1 FORMULA INFANTIL 800G</t>
        </is>
      </c>
      <c r="E185" s="4" t="n">
        <v>1</v>
      </c>
      <c r="F185" s="4" t="n">
        <v>1</v>
      </c>
      <c r="G185" s="4" t="n">
        <v>1</v>
      </c>
      <c r="H185" s="5" t="n">
        <v>48.3</v>
      </c>
      <c r="I185" s="5">
        <f>G185*H185</f>
        <v/>
      </c>
      <c r="J185" s="5">
        <f>H185/E185</f>
        <v/>
      </c>
      <c r="K185" s="5" t="n">
        <v>56.435</v>
      </c>
      <c r="L185" s="5" t="n">
        <v>49.5933</v>
      </c>
      <c r="M185" s="5" t="n">
        <v>52.6011</v>
      </c>
      <c r="N185" s="6">
        <f>J185/M185-1</f>
        <v/>
      </c>
      <c r="O185" s="6">
        <f>J185/K185-1</f>
        <v/>
      </c>
      <c r="P185" s="2" t="inlineStr">
        <is>
          <t>OK (≤ últ. compra)</t>
        </is>
      </c>
      <c r="Q185" s="2" t="inlineStr"/>
    </row>
    <row r="186">
      <c r="A186" s="2" t="n">
        <v>567401</v>
      </c>
      <c r="B186" s="2" t="inlineStr">
        <is>
          <t>702632</t>
        </is>
      </c>
      <c r="C186" s="3" t="inlineStr">
        <is>
          <t>7891000056615</t>
        </is>
      </c>
      <c r="D186" s="2" t="inlineStr">
        <is>
          <t>NESTOGENO 2 400G</t>
        </is>
      </c>
      <c r="E186" s="4" t="n">
        <v>1</v>
      </c>
      <c r="F186" s="4" t="n">
        <v>5</v>
      </c>
      <c r="G186" s="4" t="n">
        <v>5</v>
      </c>
      <c r="H186" s="5" t="n">
        <v>28.44</v>
      </c>
      <c r="I186" s="5">
        <f>G186*H186</f>
        <v/>
      </c>
      <c r="J186" s="5">
        <f>H186/E186</f>
        <v/>
      </c>
      <c r="K186" s="5" t="n">
        <v>34.67</v>
      </c>
      <c r="L186" s="5" t="n">
        <v>28.66</v>
      </c>
      <c r="M186" s="5" t="n">
        <v>30.08916666666667</v>
      </c>
      <c r="N186" s="6">
        <f>J186/M186-1</f>
        <v/>
      </c>
      <c r="O186" s="6">
        <f>J186/K186-1</f>
        <v/>
      </c>
      <c r="P186" s="2" t="inlineStr">
        <is>
          <t>OK (≤ últ. compra)</t>
        </is>
      </c>
      <c r="Q186" s="2" t="inlineStr"/>
    </row>
    <row r="187">
      <c r="A187" s="2" t="n">
        <v>606961</v>
      </c>
      <c r="B187" s="2" t="inlineStr">
        <is>
          <t>719845</t>
        </is>
      </c>
      <c r="C187" s="3" t="inlineStr">
        <is>
          <t>7894916516679</t>
        </is>
      </c>
      <c r="D187" s="2" t="inlineStr">
        <is>
          <t>NEUTROFER FOLATO D 30CPR REV</t>
        </is>
      </c>
      <c r="E187" s="4" t="n">
        <v>1</v>
      </c>
      <c r="F187" s="4" t="n">
        <v>1</v>
      </c>
      <c r="G187" s="4" t="n">
        <v>1</v>
      </c>
      <c r="H187" s="5" t="n">
        <v>80.87</v>
      </c>
      <c r="I187" s="5">
        <f>G187*H187</f>
        <v/>
      </c>
      <c r="J187" s="5">
        <f>H187/E187</f>
        <v/>
      </c>
      <c r="K187" s="5" t="n">
        <v>87.68000000000001</v>
      </c>
      <c r="L187" s="5" t="n">
        <v>71.28</v>
      </c>
      <c r="M187" s="5" t="n">
        <v>79.29000000000001</v>
      </c>
      <c r="N187" s="6">
        <f>J187/M187-1</f>
        <v/>
      </c>
      <c r="O187" s="6">
        <f>J187/K187-1</f>
        <v/>
      </c>
      <c r="P187" s="2" t="inlineStr">
        <is>
          <t>OK (≤ últ. compra)</t>
        </is>
      </c>
      <c r="Q187" s="2" t="inlineStr"/>
    </row>
    <row r="188">
      <c r="A188" s="2" t="n">
        <v>16441</v>
      </c>
      <c r="B188" s="2" t="inlineStr">
        <is>
          <t>102447</t>
        </is>
      </c>
      <c r="C188" s="3" t="inlineStr">
        <is>
          <t>7894916500425</t>
        </is>
      </c>
      <c r="D188" s="2" t="inlineStr">
        <is>
          <t>NEUTROFER FOLICO 150MG FR 30 COMP</t>
        </is>
      </c>
      <c r="E188" s="4" t="n">
        <v>1</v>
      </c>
      <c r="F188" s="4" t="n">
        <v>1</v>
      </c>
      <c r="G188" s="4" t="n">
        <v>1</v>
      </c>
      <c r="H188" s="5" t="n">
        <v>35.81</v>
      </c>
      <c r="I188" s="5">
        <f>G188*H188</f>
        <v/>
      </c>
      <c r="J188" s="5">
        <f>H188/E188</f>
        <v/>
      </c>
      <c r="K188" s="5" t="n">
        <v>34.74</v>
      </c>
      <c r="L188" s="5" t="n">
        <v>34.355</v>
      </c>
      <c r="M188" s="5" t="n">
        <v>34.61166666666667</v>
      </c>
      <c r="N188" s="6">
        <f>J188/M188-1</f>
        <v/>
      </c>
      <c r="O188" s="6">
        <f>J188/K188-1</f>
        <v/>
      </c>
      <c r="P188" s="2" t="inlineStr">
        <is>
          <t>REAJUSTE +3.1% vs últ. (≤4%)</t>
        </is>
      </c>
      <c r="Q188" s="2" t="inlineStr"/>
    </row>
    <row r="189">
      <c r="A189" s="2" t="n">
        <v>642291</v>
      </c>
      <c r="B189" s="2" t="inlineStr">
        <is>
          <t>722265</t>
        </is>
      </c>
      <c r="C189" s="3" t="inlineStr">
        <is>
          <t>7891000397077</t>
        </is>
      </c>
      <c r="D189" s="2" t="inlineStr">
        <is>
          <t>NINHO ADULTO LEITE EM PO 350G BR</t>
        </is>
      </c>
      <c r="E189" s="4" t="n">
        <v>1</v>
      </c>
      <c r="F189" s="4" t="n">
        <v>23</v>
      </c>
      <c r="G189" s="4" t="n">
        <v>23</v>
      </c>
      <c r="H189" s="5" t="n">
        <v>19.66</v>
      </c>
      <c r="I189" s="5">
        <f>G189*H189</f>
        <v/>
      </c>
      <c r="J189" s="5">
        <f>H189/E189</f>
        <v/>
      </c>
      <c r="K189" s="5" t="n">
        <v>21.84</v>
      </c>
      <c r="L189" s="5" t="n">
        <v>21.84</v>
      </c>
      <c r="M189" s="5" t="n">
        <v>21.84</v>
      </c>
      <c r="N189" s="6">
        <f>J189/M189-1</f>
        <v/>
      </c>
      <c r="O189" s="6">
        <f>J189/K189-1</f>
        <v/>
      </c>
      <c r="P189" s="2" t="inlineStr">
        <is>
          <t>OK (≤ últ. compra)</t>
        </is>
      </c>
      <c r="Q189" s="2" t="inlineStr"/>
    </row>
    <row r="190">
      <c r="A190" s="2" t="n">
        <v>652631</v>
      </c>
      <c r="B190" s="2" t="inlineStr">
        <is>
          <t>710700</t>
        </is>
      </c>
      <c r="C190" s="3" t="inlineStr">
        <is>
          <t>4005808313167</t>
        </is>
      </c>
      <c r="D190" s="2" t="inlineStr">
        <is>
          <t>NIVEA SABONETE LIQUIDO WATERLILY &amp;AMP; OIL 250ML REF  0789</t>
        </is>
      </c>
      <c r="E190" s="4" t="n">
        <v>1</v>
      </c>
      <c r="F190" s="4" t="n">
        <v>4</v>
      </c>
      <c r="G190" s="4" t="n">
        <v>4</v>
      </c>
      <c r="H190" s="5" t="n">
        <v>12.93</v>
      </c>
      <c r="I190" s="5">
        <f>G190*H190</f>
        <v/>
      </c>
      <c r="J190" s="5">
        <f>H190/E190</f>
        <v/>
      </c>
      <c r="K190" s="5" t="n">
        <v>17.055</v>
      </c>
      <c r="L190" s="5" t="n">
        <v>17</v>
      </c>
      <c r="M190" s="5" t="n">
        <v>17.01833333333333</v>
      </c>
      <c r="N190" s="6">
        <f>J190/M190-1</f>
        <v/>
      </c>
      <c r="O190" s="6">
        <f>J190/K190-1</f>
        <v/>
      </c>
      <c r="P190" s="2" t="inlineStr">
        <is>
          <t>OK (≤ últ. compra)</t>
        </is>
      </c>
      <c r="Q190" s="2" t="inlineStr"/>
    </row>
    <row r="191">
      <c r="A191" s="2" t="n">
        <v>588811</v>
      </c>
      <c r="B191" s="2" t="inlineStr">
        <is>
          <t>102508</t>
        </is>
      </c>
      <c r="C191" s="3" t="inlineStr">
        <is>
          <t>7898581710547</t>
        </is>
      </c>
      <c r="D191" s="2" t="inlineStr">
        <is>
          <t>NORIPURUM 100MG CX 30 COMP MAST</t>
        </is>
      </c>
      <c r="E191" s="4" t="n">
        <v>1</v>
      </c>
      <c r="F191" s="4" t="n">
        <v>6</v>
      </c>
      <c r="G191" s="4" t="n">
        <v>6</v>
      </c>
      <c r="H191" s="5" t="n">
        <v>56.73</v>
      </c>
      <c r="I191" s="5">
        <f>G191*H191</f>
        <v/>
      </c>
      <c r="J191" s="5">
        <f>H191/E191</f>
        <v/>
      </c>
      <c r="K191" s="5" t="n">
        <v>54.97</v>
      </c>
      <c r="L191" s="5" t="n">
        <v>54.97</v>
      </c>
      <c r="M191" s="5" t="n">
        <v>54.97</v>
      </c>
      <c r="N191" s="6">
        <f>J191/M191-1</f>
        <v/>
      </c>
      <c r="O191" s="6">
        <f>J191/K191-1</f>
        <v/>
      </c>
      <c r="P191" s="2" t="inlineStr">
        <is>
          <t>REAJUSTE +3.2% vs últ. (≤4%)</t>
        </is>
      </c>
      <c r="Q191" s="2" t="inlineStr"/>
    </row>
    <row r="192">
      <c r="A192" s="2" t="n">
        <v>597291</v>
      </c>
      <c r="B192" s="2" t="inlineStr">
        <is>
          <t>706057</t>
        </is>
      </c>
      <c r="C192" s="3" t="inlineStr">
        <is>
          <t>7891000096482</t>
        </is>
      </c>
      <c r="D192" s="2" t="inlineStr">
        <is>
          <t>NUTREN SENIOR PO 370G BR</t>
        </is>
      </c>
      <c r="E192" s="4" t="n">
        <v>1</v>
      </c>
      <c r="F192" s="4" t="n">
        <v>1</v>
      </c>
      <c r="G192" s="4" t="n">
        <v>1</v>
      </c>
      <c r="H192" s="5" t="n">
        <v>78.8</v>
      </c>
      <c r="I192" s="5">
        <f>G192*H192</f>
        <v/>
      </c>
      <c r="J192" s="5">
        <f>H192/E192</f>
        <v/>
      </c>
      <c r="K192" s="5" t="n">
        <v>77.842</v>
      </c>
      <c r="L192" s="5" t="n">
        <v>77.842</v>
      </c>
      <c r="M192" s="5" t="n">
        <v>77.842</v>
      </c>
      <c r="N192" s="6">
        <f>J192/M192-1</f>
        <v/>
      </c>
      <c r="O192" s="6">
        <f>J192/K192-1</f>
        <v/>
      </c>
      <c r="P192" s="2" t="inlineStr">
        <is>
          <t>REAJUSTE +1.2% vs últ. (≤4%)</t>
        </is>
      </c>
      <c r="Q192" s="2" t="inlineStr"/>
    </row>
    <row r="193">
      <c r="A193" s="2" t="n">
        <v>564341</v>
      </c>
      <c r="B193" s="2" t="inlineStr">
        <is>
          <t>706878</t>
        </is>
      </c>
      <c r="C193" s="3" t="inlineStr">
        <is>
          <t>7899026478909</t>
        </is>
      </c>
      <c r="D193" s="2" t="inlineStr">
        <is>
          <t>OLEO ELSEVE EXTRAORDINAR 100ML</t>
        </is>
      </c>
      <c r="E193" s="4" t="n">
        <v>1</v>
      </c>
      <c r="F193" s="4" t="n">
        <v>14</v>
      </c>
      <c r="G193" s="4" t="n">
        <v>14</v>
      </c>
      <c r="H193" s="5" t="n">
        <v>32.97</v>
      </c>
      <c r="I193" s="5">
        <f>G193*H193</f>
        <v/>
      </c>
      <c r="J193" s="5">
        <f>H193/E193</f>
        <v/>
      </c>
      <c r="K193" s="5" t="n">
        <v>33.88</v>
      </c>
      <c r="L193" s="5" t="n">
        <v>33.88</v>
      </c>
      <c r="M193" s="5" t="n">
        <v>33.88</v>
      </c>
      <c r="N193" s="6">
        <f>J193/M193-1</f>
        <v/>
      </c>
      <c r="O193" s="6">
        <f>J193/K193-1</f>
        <v/>
      </c>
      <c r="P193" s="2" t="inlineStr">
        <is>
          <t>OK (≤ últ. compra)</t>
        </is>
      </c>
      <c r="Q193" s="2" t="inlineStr"/>
    </row>
    <row r="194">
      <c r="A194" s="2" t="n">
        <v>656731</v>
      </c>
      <c r="B194" s="2" t="inlineStr">
        <is>
          <t>722383</t>
        </is>
      </c>
      <c r="C194" s="3" t="inlineStr">
        <is>
          <t>7500435240512</t>
        </is>
      </c>
      <c r="D194" s="2" t="inlineStr">
        <is>
          <t>OLEO MILAGROSO PANTENE QUERATINA 95ML</t>
        </is>
      </c>
      <c r="E194" s="4" t="n">
        <v>1</v>
      </c>
      <c r="F194" s="4" t="n">
        <v>4</v>
      </c>
      <c r="G194" s="4" t="n">
        <v>4</v>
      </c>
      <c r="H194" s="5" t="n">
        <v>24.64</v>
      </c>
      <c r="I194" s="5">
        <f>G194*H194</f>
        <v/>
      </c>
      <c r="J194" s="5">
        <f>H194/E194</f>
        <v/>
      </c>
      <c r="K194" s="5" t="n">
        <v>26.31</v>
      </c>
      <c r="L194" s="5" t="n">
        <v>26.31</v>
      </c>
      <c r="M194" s="5" t="n">
        <v>26.31</v>
      </c>
      <c r="N194" s="6">
        <f>J194/M194-1</f>
        <v/>
      </c>
      <c r="O194" s="6">
        <f>J194/K194-1</f>
        <v/>
      </c>
      <c r="P194" s="2" t="inlineStr">
        <is>
          <t>OK (≤ últ. compra)</t>
        </is>
      </c>
      <c r="Q194" s="2" t="inlineStr"/>
    </row>
    <row r="195">
      <c r="A195" s="2" t="n">
        <v>668581</v>
      </c>
      <c r="B195" s="2" t="inlineStr">
        <is>
          <t>714043</t>
        </is>
      </c>
      <c r="C195" s="3" t="inlineStr">
        <is>
          <t>7896000722553</t>
        </is>
      </c>
      <c r="D195" s="2" t="inlineStr">
        <is>
          <t>OLEO NIELY G SILICONE NUTRI 42ML-DEMAIS PROD</t>
        </is>
      </c>
      <c r="E195" s="4" t="n">
        <v>1</v>
      </c>
      <c r="F195" s="4" t="n">
        <v>1</v>
      </c>
      <c r="G195" s="4" t="n">
        <v>1</v>
      </c>
      <c r="H195" s="5" t="n">
        <v>15.79</v>
      </c>
      <c r="I195" s="5">
        <f>G195*H195</f>
        <v/>
      </c>
      <c r="J195" s="5">
        <f>H195/E195</f>
        <v/>
      </c>
      <c r="K195" s="5" t="n">
        <v>18.66</v>
      </c>
      <c r="L195" s="5" t="n">
        <v>17.26</v>
      </c>
      <c r="M195" s="5" t="n">
        <v>18.19333333333333</v>
      </c>
      <c r="N195" s="6">
        <f>J195/M195-1</f>
        <v/>
      </c>
      <c r="O195" s="6">
        <f>J195/K195-1</f>
        <v/>
      </c>
      <c r="P195" s="2" t="inlineStr">
        <is>
          <t>OK (≤ últ. compra)</t>
        </is>
      </c>
      <c r="Q195" s="2" t="inlineStr"/>
    </row>
    <row r="196">
      <c r="A196" s="2" t="n">
        <v>600211</v>
      </c>
      <c r="B196" s="2" t="inlineStr">
        <is>
          <t>719144</t>
        </is>
      </c>
      <c r="C196" s="3" t="inlineStr">
        <is>
          <t>7896235354048</t>
        </is>
      </c>
      <c r="D196" s="2" t="inlineStr">
        <is>
          <t>OLEO PAIXAO 100ML FLOR BAUNILH -ROSA (N)</t>
        </is>
      </c>
      <c r="E196" s="4" t="n">
        <v>1</v>
      </c>
      <c r="F196" s="4" t="n">
        <v>8</v>
      </c>
      <c r="G196" s="4" t="n">
        <v>8</v>
      </c>
      <c r="H196" s="5" t="n">
        <v>10.01</v>
      </c>
      <c r="I196" s="5">
        <f>G196*H196</f>
        <v/>
      </c>
      <c r="J196" s="5">
        <f>H196/E196</f>
        <v/>
      </c>
      <c r="K196" s="5" t="n">
        <v>10.95</v>
      </c>
      <c r="L196" s="5" t="n">
        <v>9.619999999999999</v>
      </c>
      <c r="M196" s="5" t="n">
        <v>10.50666666666667</v>
      </c>
      <c r="N196" s="6">
        <f>J196/M196-1</f>
        <v/>
      </c>
      <c r="O196" s="6">
        <f>J196/K196-1</f>
        <v/>
      </c>
      <c r="P196" s="2" t="inlineStr">
        <is>
          <t>OK (≤ últ. compra)</t>
        </is>
      </c>
      <c r="Q196" s="2" t="inlineStr"/>
    </row>
    <row r="197">
      <c r="A197" s="2" t="n">
        <v>468981</v>
      </c>
      <c r="B197" s="2" t="inlineStr">
        <is>
          <t>102574</t>
        </is>
      </c>
      <c r="C197" s="3" t="inlineStr">
        <is>
          <t>7895858015824</t>
        </is>
      </c>
      <c r="D197" s="2" t="inlineStr">
        <is>
          <t>OMCILON A 1,0MG/G PAS BG 10G</t>
        </is>
      </c>
      <c r="E197" s="4" t="n">
        <v>1</v>
      </c>
      <c r="F197" s="4" t="n">
        <v>8</v>
      </c>
      <c r="G197" s="4" t="n">
        <v>8</v>
      </c>
      <c r="H197" s="5" t="n">
        <v>19.49</v>
      </c>
      <c r="I197" s="5">
        <f>G197*H197</f>
        <v/>
      </c>
      <c r="J197" s="5">
        <f>H197/E197</f>
        <v/>
      </c>
      <c r="K197" s="5" t="n">
        <v>18.945</v>
      </c>
      <c r="L197" s="5" t="n">
        <v>16.8473</v>
      </c>
      <c r="M197" s="5" t="n">
        <v>18.11743333333333</v>
      </c>
      <c r="N197" s="6">
        <f>J197/M197-1</f>
        <v/>
      </c>
      <c r="O197" s="6">
        <f>J197/K197-1</f>
        <v/>
      </c>
      <c r="P197" s="2" t="inlineStr">
        <is>
          <t>REAJUSTE +2.9% vs últ. (≤4%)</t>
        </is>
      </c>
      <c r="Q197" s="2" t="inlineStr"/>
    </row>
    <row r="198">
      <c r="A198" s="2" t="n">
        <v>627711</v>
      </c>
      <c r="B198" s="2" t="inlineStr">
        <is>
          <t>722004</t>
        </is>
      </c>
      <c r="C198" s="3" t="inlineStr">
        <is>
          <t>7896023799983</t>
        </is>
      </c>
      <c r="D198" s="2" t="inlineStr">
        <is>
          <t>OMEGA 3 1000MG 60CAP</t>
        </is>
      </c>
      <c r="E198" s="4" t="n">
        <v>1</v>
      </c>
      <c r="F198" s="4" t="n">
        <v>13</v>
      </c>
      <c r="G198" s="4" t="n">
        <v>13</v>
      </c>
      <c r="H198" s="5" t="n">
        <v>27.19</v>
      </c>
      <c r="I198" s="5">
        <f>G198*H198</f>
        <v/>
      </c>
      <c r="J198" s="5">
        <f>H198/E198</f>
        <v/>
      </c>
      <c r="K198" s="5" t="n">
        <v>32.02</v>
      </c>
      <c r="L198" s="5" t="n">
        <v>27.45</v>
      </c>
      <c r="M198" s="5" t="n">
        <v>27.93666666666667</v>
      </c>
      <c r="N198" s="6">
        <f>J198/M198-1</f>
        <v/>
      </c>
      <c r="O198" s="6">
        <f>J198/K198-1</f>
        <v/>
      </c>
      <c r="P198" s="2" t="inlineStr">
        <is>
          <t>OK (≤ últ. compra)</t>
        </is>
      </c>
      <c r="Q198" s="2" t="inlineStr"/>
    </row>
    <row r="199">
      <c r="A199" s="2" t="n">
        <v>589541</v>
      </c>
      <c r="B199" s="2" t="inlineStr">
        <is>
          <t>716754</t>
        </is>
      </c>
      <c r="C199" s="3" t="inlineStr">
        <is>
          <t>7500435154222</t>
        </is>
      </c>
      <c r="D199" s="2" t="inlineStr">
        <is>
          <t>PANTENE SH 200ML BAMBU</t>
        </is>
      </c>
      <c r="E199" s="4" t="n">
        <v>1</v>
      </c>
      <c r="F199" s="4" t="n">
        <v>3</v>
      </c>
      <c r="G199" s="4" t="n">
        <v>3</v>
      </c>
      <c r="H199" s="5" t="n">
        <v>11.92</v>
      </c>
      <c r="I199" s="5">
        <f>G199*H199</f>
        <v/>
      </c>
      <c r="J199" s="5">
        <f>H199/E199</f>
        <v/>
      </c>
      <c r="K199" s="5" t="n">
        <v>14.14</v>
      </c>
      <c r="L199" s="5" t="n">
        <v>11.27</v>
      </c>
      <c r="M199" s="5" t="n">
        <v>12.39</v>
      </c>
      <c r="N199" s="6">
        <f>J199/M199-1</f>
        <v/>
      </c>
      <c r="O199" s="6">
        <f>J199/K199-1</f>
        <v/>
      </c>
      <c r="P199" s="2" t="inlineStr">
        <is>
          <t>OK (≤ últ. compra)</t>
        </is>
      </c>
      <c r="Q199" s="2" t="inlineStr"/>
    </row>
    <row r="200">
      <c r="A200" s="2" t="n">
        <v>652011</v>
      </c>
      <c r="B200" s="2" t="inlineStr">
        <is>
          <t>405471</t>
        </is>
      </c>
      <c r="C200" s="3" t="inlineStr">
        <is>
          <t>7891158106460</t>
        </is>
      </c>
      <c r="D200" s="2" t="inlineStr">
        <is>
          <t>PEDIALYTE MAX COCO 500ML</t>
        </is>
      </c>
      <c r="E200" s="4" t="n">
        <v>1</v>
      </c>
      <c r="F200" s="4" t="n">
        <v>3</v>
      </c>
      <c r="G200" s="4" t="n">
        <v>3</v>
      </c>
      <c r="H200" s="5" t="n">
        <v>22.49</v>
      </c>
      <c r="I200" s="5">
        <f>G200*H200</f>
        <v/>
      </c>
      <c r="J200" s="5">
        <f>H200/E200</f>
        <v/>
      </c>
      <c r="K200" s="5" t="n">
        <v>22.32</v>
      </c>
      <c r="L200" s="5" t="n">
        <v>20.09</v>
      </c>
      <c r="M200" s="5" t="n">
        <v>20.09</v>
      </c>
      <c r="N200" s="6">
        <f>J200/M200-1</f>
        <v/>
      </c>
      <c r="O200" s="6">
        <f>J200/K200-1</f>
        <v/>
      </c>
      <c r="P200" s="2" t="inlineStr">
        <is>
          <t>REAJUSTE +0.8% vs últ. (≤4%)</t>
        </is>
      </c>
      <c r="Q200" s="2" t="inlineStr"/>
    </row>
    <row r="201">
      <c r="A201" s="2" t="n">
        <v>553021</v>
      </c>
      <c r="B201" s="2" t="inlineStr">
        <is>
          <t>401053</t>
        </is>
      </c>
      <c r="C201" s="3" t="inlineStr">
        <is>
          <t>7896676434323</t>
        </is>
      </c>
      <c r="D201" s="2" t="inlineStr">
        <is>
          <t>PHOSFOENEMA 160+60MG/ML ENEMA FR 130ML</t>
        </is>
      </c>
      <c r="E201" s="4" t="n">
        <v>1</v>
      </c>
      <c r="F201" s="4" t="n">
        <v>8</v>
      </c>
      <c r="G201" s="4" t="n">
        <v>8</v>
      </c>
      <c r="H201" s="5" t="n">
        <v>16.71</v>
      </c>
      <c r="I201" s="5">
        <f>G201*H201</f>
        <v/>
      </c>
      <c r="J201" s="5">
        <f>H201/E201</f>
        <v/>
      </c>
      <c r="K201" s="5" t="n">
        <v>16.8267</v>
      </c>
      <c r="L201" s="5" t="n">
        <v>14.228</v>
      </c>
      <c r="M201" s="5" t="n">
        <v>15.30376666666667</v>
      </c>
      <c r="N201" s="6">
        <f>J201/M201-1</f>
        <v/>
      </c>
      <c r="O201" s="6">
        <f>J201/K201-1</f>
        <v/>
      </c>
      <c r="P201" s="2" t="inlineStr">
        <is>
          <t>OK (≤ últ. compra)</t>
        </is>
      </c>
      <c r="Q201" s="2" t="inlineStr"/>
    </row>
    <row r="202">
      <c r="A202" s="2" t="n">
        <v>159781</v>
      </c>
      <c r="B202" s="2" t="inlineStr">
        <is>
          <t>102766</t>
        </is>
      </c>
      <c r="C202" s="3" t="inlineStr">
        <is>
          <t>7891058059149</t>
        </is>
      </c>
      <c r="D202" s="2" t="inlineStr">
        <is>
          <t>PLASIL 10MG CX 20 COMP</t>
        </is>
      </c>
      <c r="E202" s="4" t="n">
        <v>1</v>
      </c>
      <c r="F202" s="4" t="n">
        <v>8</v>
      </c>
      <c r="G202" s="4" t="n">
        <v>8</v>
      </c>
      <c r="H202" s="5" t="n">
        <v>10.98</v>
      </c>
      <c r="I202" s="5">
        <f>G202*H202</f>
        <v/>
      </c>
      <c r="J202" s="5">
        <f>H202/E202</f>
        <v/>
      </c>
      <c r="K202" s="5" t="n">
        <v>11.352</v>
      </c>
      <c r="L202" s="5" t="n">
        <v>9.918900000000001</v>
      </c>
      <c r="M202" s="5" t="n">
        <v>10.54173333333333</v>
      </c>
      <c r="N202" s="6">
        <f>J202/M202-1</f>
        <v/>
      </c>
      <c r="O202" s="6">
        <f>J202/K202-1</f>
        <v/>
      </c>
      <c r="P202" s="2" t="inlineStr">
        <is>
          <t>OK (≤ últ. compra)</t>
        </is>
      </c>
      <c r="Q202" s="2" t="inlineStr"/>
    </row>
    <row r="203">
      <c r="A203" s="2" t="n">
        <v>594181</v>
      </c>
      <c r="B203" s="2" t="inlineStr">
        <is>
          <t>702784</t>
        </is>
      </c>
      <c r="C203" s="3" t="inlineStr">
        <is>
          <t>7891024130728</t>
        </is>
      </c>
      <c r="D203" s="2" t="inlineStr">
        <is>
          <t>PLAX DEN COLGATE FRESH MINT 60ML</t>
        </is>
      </c>
      <c r="E203" s="4" t="n">
        <v>1</v>
      </c>
      <c r="F203" s="4" t="n">
        <v>5</v>
      </c>
      <c r="G203" s="4" t="n">
        <v>5</v>
      </c>
      <c r="H203" s="5" t="n">
        <v>4.18</v>
      </c>
      <c r="I203" s="5">
        <f>G203*H203</f>
        <v/>
      </c>
      <c r="J203" s="5">
        <f>H203/E203</f>
        <v/>
      </c>
      <c r="K203" s="5" t="n">
        <v>4.5017</v>
      </c>
      <c r="L203" s="5" t="n">
        <v>4.37</v>
      </c>
      <c r="M203" s="5" t="n">
        <v>4.37</v>
      </c>
      <c r="N203" s="6">
        <f>J203/M203-1</f>
        <v/>
      </c>
      <c r="O203" s="6">
        <f>J203/K203-1</f>
        <v/>
      </c>
      <c r="P203" s="2" t="inlineStr">
        <is>
          <t>OK (≤ últ. compra)</t>
        </is>
      </c>
      <c r="Q203" s="2" t="inlineStr"/>
    </row>
    <row r="204">
      <c r="A204" s="2" t="n">
        <v>115101</v>
      </c>
      <c r="B204" s="2" t="inlineStr">
        <is>
          <t>400847</t>
        </is>
      </c>
      <c r="C204" s="3" t="inlineStr">
        <is>
          <t>78905108</t>
        </is>
      </c>
      <c r="D204" s="2" t="inlineStr">
        <is>
          <t>POMADA MINANCORA 20%+0,5%+5% POM DERM BG 30G</t>
        </is>
      </c>
      <c r="E204" s="4" t="n">
        <v>1</v>
      </c>
      <c r="F204" s="4" t="n">
        <v>1</v>
      </c>
      <c r="G204" s="4" t="n">
        <v>1</v>
      </c>
      <c r="H204" s="5" t="n">
        <v>16.12</v>
      </c>
      <c r="I204" s="5">
        <f>G204*H204</f>
        <v/>
      </c>
      <c r="J204" s="5">
        <f>H204/E204</f>
        <v/>
      </c>
      <c r="K204" s="5" t="n">
        <v>16.1667</v>
      </c>
      <c r="L204" s="5" t="n">
        <v>14.245</v>
      </c>
      <c r="M204" s="5" t="n">
        <v>15.455</v>
      </c>
      <c r="N204" s="6">
        <f>J204/M204-1</f>
        <v/>
      </c>
      <c r="O204" s="6">
        <f>J204/K204-1</f>
        <v/>
      </c>
      <c r="P204" s="2" t="inlineStr">
        <is>
          <t>OK (≤ últ. compra)</t>
        </is>
      </c>
      <c r="Q204" s="2" t="inlineStr"/>
    </row>
    <row r="205">
      <c r="A205" s="2" t="n">
        <v>255821</v>
      </c>
      <c r="B205" s="2" t="inlineStr">
        <is>
          <t>111689</t>
        </is>
      </c>
      <c r="C205" s="3" t="inlineStr">
        <is>
          <t>7891317004163</t>
        </is>
      </c>
      <c r="D205" s="2" t="inlineStr">
        <is>
          <t>PRENI 11MG/ML SOL OR FR GOT 20ML</t>
        </is>
      </c>
      <c r="E205" s="4" t="n">
        <v>1</v>
      </c>
      <c r="F205" s="4" t="n">
        <v>1</v>
      </c>
      <c r="G205" s="4" t="n">
        <v>1</v>
      </c>
      <c r="H205" s="5" t="n">
        <v>30.57</v>
      </c>
      <c r="I205" s="5">
        <f>G205*H205</f>
        <v/>
      </c>
      <c r="J205" s="5">
        <f>H205/E205</f>
        <v/>
      </c>
      <c r="K205" s="5" t="n">
        <v>30.25</v>
      </c>
      <c r="L205" s="5" t="n">
        <v>27.63</v>
      </c>
      <c r="M205" s="5" t="n">
        <v>29.37666666666667</v>
      </c>
      <c r="N205" s="6">
        <f>J205/M205-1</f>
        <v/>
      </c>
      <c r="O205" s="6">
        <f>J205/K205-1</f>
        <v/>
      </c>
      <c r="P205" s="2" t="inlineStr">
        <is>
          <t>REAJUSTE +1.1% vs últ. (≤4%)</t>
        </is>
      </c>
      <c r="Q205" s="2" t="inlineStr"/>
    </row>
    <row r="206">
      <c r="A206" s="2" t="n">
        <v>256001</v>
      </c>
      <c r="B206" s="2" t="inlineStr">
        <is>
          <t>111531</t>
        </is>
      </c>
      <c r="C206" s="3" t="inlineStr">
        <is>
          <t>7891317004217</t>
        </is>
      </c>
      <c r="D206" s="2" t="inlineStr">
        <is>
          <t>PRENI 3MG/ML SOL OR FR 60ML+SER DOS</t>
        </is>
      </c>
      <c r="E206" s="4" t="n">
        <v>1</v>
      </c>
      <c r="F206" s="4" t="n">
        <v>1</v>
      </c>
      <c r="G206" s="4" t="n">
        <v>1</v>
      </c>
      <c r="H206" s="5" t="n">
        <v>20.92</v>
      </c>
      <c r="I206" s="5">
        <f>G206*H206</f>
        <v/>
      </c>
      <c r="J206" s="5">
        <f>H206/E206</f>
        <v/>
      </c>
      <c r="K206" s="5" t="n">
        <v>21.51</v>
      </c>
      <c r="L206" s="5" t="n">
        <v>18.91</v>
      </c>
      <c r="M206" s="5" t="n">
        <v>20.10333333333334</v>
      </c>
      <c r="N206" s="6">
        <f>J206/M206-1</f>
        <v/>
      </c>
      <c r="O206" s="6">
        <f>J206/K206-1</f>
        <v/>
      </c>
      <c r="P206" s="2" t="inlineStr">
        <is>
          <t>OK (≤ últ. compra)</t>
        </is>
      </c>
      <c r="Q206" s="2" t="inlineStr"/>
    </row>
    <row r="207">
      <c r="A207" s="2" t="n">
        <v>205761</v>
      </c>
      <c r="B207" s="2" t="inlineStr">
        <is>
          <t>102878</t>
        </is>
      </c>
      <c r="C207" s="3" t="inlineStr">
        <is>
          <t>7891317177652</t>
        </is>
      </c>
      <c r="D207" s="2" t="inlineStr">
        <is>
          <t>PRIMERA 0,150+0,020MG CAIXA C/ 3 CARTELAS</t>
        </is>
      </c>
      <c r="E207" s="4" t="n">
        <v>1</v>
      </c>
      <c r="F207" s="4" t="n">
        <v>2</v>
      </c>
      <c r="G207" s="4" t="n">
        <v>2</v>
      </c>
      <c r="H207" s="5" t="n">
        <v>69</v>
      </c>
      <c r="I207" s="5">
        <f>G207*H207</f>
        <v/>
      </c>
      <c r="J207" s="5">
        <f>H207/E207</f>
        <v/>
      </c>
      <c r="K207" s="5" t="n">
        <v>69.47</v>
      </c>
      <c r="L207" s="5" t="n">
        <v>20.79</v>
      </c>
      <c r="M207" s="5" t="n">
        <v>37.67443333333333</v>
      </c>
      <c r="N207" s="6">
        <f>J207/M207-1</f>
        <v/>
      </c>
      <c r="O207" s="6">
        <f>J207/K207-1</f>
        <v/>
      </c>
      <c r="P207" s="2" t="inlineStr">
        <is>
          <t>OK (≤ últ. compra)</t>
        </is>
      </c>
      <c r="Q207" s="2" t="inlineStr"/>
    </row>
    <row r="208">
      <c r="A208" s="2" t="n">
        <v>405861</v>
      </c>
      <c r="B208" s="2" t="inlineStr">
        <is>
          <t>401084</t>
        </is>
      </c>
      <c r="C208" s="3" t="inlineStr">
        <is>
          <t>7896641801792</t>
        </is>
      </c>
      <c r="D208" s="2" t="inlineStr">
        <is>
          <t>PROCTYL POM BG 30G</t>
        </is>
      </c>
      <c r="E208" s="4" t="n">
        <v>1</v>
      </c>
      <c r="F208" s="4" t="n">
        <v>3</v>
      </c>
      <c r="G208" s="4" t="n">
        <v>3</v>
      </c>
      <c r="H208" s="5" t="n">
        <v>81.73</v>
      </c>
      <c r="I208" s="5">
        <f>G208*H208</f>
        <v/>
      </c>
      <c r="J208" s="5">
        <f>H208/E208</f>
        <v/>
      </c>
      <c r="K208" s="5" t="n">
        <v>84.06999999999999</v>
      </c>
      <c r="L208" s="5" t="n">
        <v>65.70999999999999</v>
      </c>
      <c r="M208" s="5" t="n">
        <v>73.27499999999999</v>
      </c>
      <c r="N208" s="6">
        <f>J208/M208-1</f>
        <v/>
      </c>
      <c r="O208" s="6">
        <f>J208/K208-1</f>
        <v/>
      </c>
      <c r="P208" s="2" t="inlineStr">
        <is>
          <t>OK (≤ últ. compra)</t>
        </is>
      </c>
      <c r="Q208" s="2" t="inlineStr"/>
    </row>
    <row r="209">
      <c r="A209" s="2" t="n">
        <v>96361</v>
      </c>
      <c r="B209" s="2" t="inlineStr">
        <is>
          <t>102905</t>
        </is>
      </c>
      <c r="C209" s="3" t="inlineStr">
        <is>
          <t>7896070601871</t>
        </is>
      </c>
      <c r="D209" s="2" t="inlineStr">
        <is>
          <t>PROFENID 50MG SOL INJ CX 6 AMP X 2ML</t>
        </is>
      </c>
      <c r="E209" s="4" t="n">
        <v>6</v>
      </c>
      <c r="F209" s="4" t="n">
        <v>1</v>
      </c>
      <c r="G209" s="4" t="n">
        <v>1</v>
      </c>
      <c r="H209" s="5" t="n">
        <v>31.29</v>
      </c>
      <c r="I209" s="5">
        <f>G209*H209</f>
        <v/>
      </c>
      <c r="J209" s="5">
        <f>H209/E209</f>
        <v/>
      </c>
      <c r="K209" s="5" t="n">
        <v>5.3083</v>
      </c>
      <c r="L209" s="5" t="n">
        <v>5.0654</v>
      </c>
      <c r="M209" s="5" t="n">
        <v>5.227333333333333</v>
      </c>
      <c r="N209" s="6">
        <f>J209/M209-1</f>
        <v/>
      </c>
      <c r="O209" s="6">
        <f>J209/K209-1</f>
        <v/>
      </c>
      <c r="P209" s="2" t="inlineStr">
        <is>
          <t>OK (≤ últ. compra)</t>
        </is>
      </c>
      <c r="Q209" s="2" t="inlineStr">
        <is>
          <t>1 emb = 6 un</t>
        </is>
      </c>
    </row>
    <row r="210">
      <c r="A210" s="2" t="n">
        <v>594451</v>
      </c>
      <c r="B210" s="2" t="inlineStr">
        <is>
          <t>700030</t>
        </is>
      </c>
      <c r="C210" s="3" t="inlineStr">
        <is>
          <t>7891010087722</t>
        </is>
      </c>
      <c r="D210" s="2" t="inlineStr">
        <is>
          <t>PROT DIAR CAREFREE PROTECAO C/PERF 15UN</t>
        </is>
      </c>
      <c r="E210" s="4" t="n">
        <v>1</v>
      </c>
      <c r="F210" s="4" t="n">
        <v>2</v>
      </c>
      <c r="G210" s="4" t="n">
        <v>2</v>
      </c>
      <c r="H210" s="5" t="n">
        <v>7.2</v>
      </c>
      <c r="I210" s="5">
        <f>G210*H210</f>
        <v/>
      </c>
      <c r="J210" s="5">
        <f>H210/E210</f>
        <v/>
      </c>
      <c r="K210" s="5" t="n">
        <v>7.1408</v>
      </c>
      <c r="L210" s="5" t="n">
        <v>7.1408</v>
      </c>
      <c r="M210" s="5" t="n">
        <v>7.1408</v>
      </c>
      <c r="N210" s="6">
        <f>J210/M210-1</f>
        <v/>
      </c>
      <c r="O210" s="6">
        <f>J210/K210-1</f>
        <v/>
      </c>
      <c r="P210" s="2" t="inlineStr">
        <is>
          <t>REAJUSTE +0.8% vs últ. (≤4%)</t>
        </is>
      </c>
      <c r="Q210" s="2" t="inlineStr"/>
    </row>
    <row r="211">
      <c r="A211" s="2" t="n">
        <v>649881</v>
      </c>
      <c r="B211" s="2" t="inlineStr">
        <is>
          <t>722348</t>
        </is>
      </c>
      <c r="C211" s="3" t="inlineStr">
        <is>
          <t>7896007553365</t>
        </is>
      </c>
      <c r="D211" s="2" t="inlineStr">
        <is>
          <t>PROT DIARIO INT DAYS LONGO EXT PROT C/48</t>
        </is>
      </c>
      <c r="E211" s="4" t="n">
        <v>1</v>
      </c>
      <c r="F211" s="4" t="n">
        <v>1</v>
      </c>
      <c r="G211" s="4" t="n">
        <v>1</v>
      </c>
      <c r="H211" s="5" t="n">
        <v>10.4</v>
      </c>
      <c r="I211" s="5">
        <f>G211*H211</f>
        <v/>
      </c>
      <c r="J211" s="5">
        <f>H211/E211</f>
        <v/>
      </c>
      <c r="K211" s="5" t="n">
        <v>11.6</v>
      </c>
      <c r="L211" s="5" t="n">
        <v>11.6</v>
      </c>
      <c r="M211" s="5" t="n">
        <v>11.6</v>
      </c>
      <c r="N211" s="6">
        <f>J211/M211-1</f>
        <v/>
      </c>
      <c r="O211" s="6">
        <f>J211/K211-1</f>
        <v/>
      </c>
      <c r="P211" s="2" t="inlineStr">
        <is>
          <t>OK (≤ últ. compra)</t>
        </is>
      </c>
      <c r="Q211" s="2" t="inlineStr"/>
    </row>
    <row r="212">
      <c r="A212" s="2" t="n">
        <v>566961</v>
      </c>
      <c r="B212" s="2" t="inlineStr">
        <is>
          <t>717078</t>
        </is>
      </c>
      <c r="C212" s="3" t="inlineStr">
        <is>
          <t>4005808555345</t>
        </is>
      </c>
      <c r="D212" s="2" t="inlineStr">
        <is>
          <t>PROT NIVEA SOLAR SUN PROT  HIDRAT FPS50 200ML</t>
        </is>
      </c>
      <c r="E212" s="4" t="n">
        <v>1</v>
      </c>
      <c r="F212" s="4" t="n">
        <v>3</v>
      </c>
      <c r="G212" s="4" t="n">
        <v>3</v>
      </c>
      <c r="H212" s="5" t="n">
        <v>51.9</v>
      </c>
      <c r="I212" s="5">
        <f>G212*H212</f>
        <v/>
      </c>
      <c r="J212" s="5">
        <f>H212/E212</f>
        <v/>
      </c>
      <c r="K212" s="5" t="n">
        <v>50.005</v>
      </c>
      <c r="L212" s="5" t="n">
        <v>50.005</v>
      </c>
      <c r="M212" s="5" t="n">
        <v>50.005</v>
      </c>
      <c r="N212" s="6">
        <f>J212/M212-1</f>
        <v/>
      </c>
      <c r="O212" s="6">
        <f>J212/K212-1</f>
        <v/>
      </c>
      <c r="P212" s="2" t="inlineStr">
        <is>
          <t>REAJUSTE +3.8% vs últ. (≤4%)</t>
        </is>
      </c>
      <c r="Q212" s="2" t="inlineStr"/>
    </row>
    <row r="213">
      <c r="A213" s="2" t="n">
        <v>637681</v>
      </c>
      <c r="B213" s="2" t="inlineStr">
        <is>
          <t>721465</t>
        </is>
      </c>
      <c r="C213" s="3" t="inlineStr">
        <is>
          <t>4005900980380</t>
        </is>
      </c>
      <c r="D213" s="2" t="inlineStr">
        <is>
          <t>PROT NIVEA SUN FACIAL TOQUE SECO FPS30 40ML</t>
        </is>
      </c>
      <c r="E213" s="4" t="n">
        <v>1</v>
      </c>
      <c r="F213" s="4" t="n">
        <v>1</v>
      </c>
      <c r="G213" s="4" t="n">
        <v>1</v>
      </c>
      <c r="H213" s="5" t="n">
        <v>28.96</v>
      </c>
      <c r="I213" s="5">
        <f>G213*H213</f>
        <v/>
      </c>
      <c r="J213" s="5">
        <f>H213/E213</f>
        <v/>
      </c>
      <c r="K213" s="5" t="n">
        <v>35.8</v>
      </c>
      <c r="L213" s="5" t="n">
        <v>35.8</v>
      </c>
      <c r="M213" s="5" t="n">
        <v>35.8</v>
      </c>
      <c r="N213" s="6">
        <f>J213/M213-1</f>
        <v/>
      </c>
      <c r="O213" s="6">
        <f>J213/K213-1</f>
        <v/>
      </c>
      <c r="P213" s="2" t="inlineStr">
        <is>
          <t>OK (≤ últ. compra)</t>
        </is>
      </c>
      <c r="Q213" s="2" t="inlineStr"/>
    </row>
    <row r="214">
      <c r="A214" s="2" t="n">
        <v>615391</v>
      </c>
      <c r="B214" s="2" t="inlineStr">
        <is>
          <t>720013</t>
        </is>
      </c>
      <c r="C214" s="3" t="inlineStr">
        <is>
          <t>4005900980397</t>
        </is>
      </c>
      <c r="D214" s="2" t="inlineStr">
        <is>
          <t>PROT NIVEA SUN FACIAL TOQUE SECO FPS70 40ML</t>
        </is>
      </c>
      <c r="E214" s="4" t="n">
        <v>1</v>
      </c>
      <c r="F214" s="4" t="n">
        <v>1</v>
      </c>
      <c r="G214" s="4" t="n">
        <v>1</v>
      </c>
      <c r="H214" s="5" t="n">
        <v>36.38</v>
      </c>
      <c r="I214" s="5">
        <f>G214*H214</f>
        <v/>
      </c>
      <c r="J214" s="5">
        <f>H214/E214</f>
        <v/>
      </c>
      <c r="K214" s="5" t="n">
        <v>35.045</v>
      </c>
      <c r="L214" s="5" t="n">
        <v>29.3933</v>
      </c>
      <c r="M214" s="5" t="n">
        <v>30.43553333333334</v>
      </c>
      <c r="N214" s="6">
        <f>J214/M214-1</f>
        <v/>
      </c>
      <c r="O214" s="6">
        <f>J214/K214-1</f>
        <v/>
      </c>
      <c r="P214" s="2" t="inlineStr">
        <is>
          <t>REAJUSTE +3.8% vs últ. (≤4%)</t>
        </is>
      </c>
      <c r="Q214" s="2" t="inlineStr"/>
    </row>
    <row r="215">
      <c r="A215" s="2" t="n">
        <v>648811</v>
      </c>
      <c r="B215" s="2" t="inlineStr">
        <is>
          <t>721560</t>
        </is>
      </c>
      <c r="C215" s="3" t="inlineStr">
        <is>
          <t>7509546687865</t>
        </is>
      </c>
      <c r="D215" s="2" t="inlineStr">
        <is>
          <t>PROTEX BABY BW LAVANDA REFIL 180ML</t>
        </is>
      </c>
      <c r="E215" s="4" t="n">
        <v>1</v>
      </c>
      <c r="F215" s="4" t="n">
        <v>8</v>
      </c>
      <c r="G215" s="4" t="n">
        <v>8</v>
      </c>
      <c r="H215" s="5" t="n">
        <v>9.949999999999999</v>
      </c>
      <c r="I215" s="5">
        <f>G215*H215</f>
        <v/>
      </c>
      <c r="J215" s="5">
        <f>H215/E215</f>
        <v/>
      </c>
      <c r="K215" s="5" t="n">
        <v>11.0733</v>
      </c>
      <c r="L215" s="5" t="n">
        <v>5.78</v>
      </c>
      <c r="M215" s="5" t="n">
        <v>9.308866666666667</v>
      </c>
      <c r="N215" s="6">
        <f>J215/M215-1</f>
        <v/>
      </c>
      <c r="O215" s="6">
        <f>J215/K215-1</f>
        <v/>
      </c>
      <c r="P215" s="2" t="inlineStr">
        <is>
          <t>OK (≤ últ. compra)</t>
        </is>
      </c>
      <c r="Q215" s="2" t="inlineStr"/>
    </row>
    <row r="216">
      <c r="A216" s="2" t="n">
        <v>69341</v>
      </c>
      <c r="B216" s="2" t="inlineStr">
        <is>
          <t>102952</t>
        </is>
      </c>
      <c r="C216" s="3" t="inlineStr">
        <is>
          <t>7896206401610</t>
        </is>
      </c>
      <c r="D216" s="2" t="inlineStr">
        <is>
          <t>PULMICORT 0,25MG SUS EMBALAGEM FRACIONADA (5 FC)</t>
        </is>
      </c>
      <c r="E216" s="4" t="n">
        <v>4</v>
      </c>
      <c r="F216" s="4" t="n">
        <v>1</v>
      </c>
      <c r="G216" s="4" t="n">
        <v>1</v>
      </c>
      <c r="H216" s="5" t="n">
        <v>169.33</v>
      </c>
      <c r="I216" s="5">
        <f>G216*H216</f>
        <v/>
      </c>
      <c r="J216" s="5">
        <f>H216/E216</f>
        <v/>
      </c>
      <c r="K216" s="5" t="n">
        <v>43.5222</v>
      </c>
      <c r="L216" s="5" t="n">
        <v>39.2025</v>
      </c>
      <c r="M216" s="5" t="n">
        <v>42.0823</v>
      </c>
      <c r="N216" s="6">
        <f>J216/M216-1</f>
        <v/>
      </c>
      <c r="O216" s="6">
        <f>J216/K216-1</f>
        <v/>
      </c>
      <c r="P216" s="2" t="inlineStr">
        <is>
          <t>OK (≤ últ. compra)</t>
        </is>
      </c>
      <c r="Q216" s="2" t="inlineStr">
        <is>
          <t>1 emb = 4 un</t>
        </is>
      </c>
    </row>
    <row r="217">
      <c r="A217" s="2" t="n">
        <v>69321</v>
      </c>
      <c r="B217" s="2" t="inlineStr">
        <is>
          <t>102953</t>
        </is>
      </c>
      <c r="C217" s="3" t="inlineStr">
        <is>
          <t>7896206402013</t>
        </is>
      </c>
      <c r="D217" s="2" t="inlineStr">
        <is>
          <t>PULMICORT 0,25MG SUS NEB CX 5 FR X 2ML</t>
        </is>
      </c>
      <c r="E217" s="4" t="n">
        <v>1</v>
      </c>
      <c r="F217" s="4" t="n">
        <v>8</v>
      </c>
      <c r="G217" s="4" t="n">
        <v>8</v>
      </c>
      <c r="H217" s="5" t="n">
        <v>42.24</v>
      </c>
      <c r="I217" s="5">
        <f>G217*H217</f>
        <v/>
      </c>
      <c r="J217" s="5">
        <f>H217/E217</f>
        <v/>
      </c>
      <c r="K217" s="5" t="n">
        <v>41.0625</v>
      </c>
      <c r="L217" s="5" t="n">
        <v>39.12</v>
      </c>
      <c r="M217" s="5" t="n">
        <v>40.415</v>
      </c>
      <c r="N217" s="6">
        <f>J217/M217-1</f>
        <v/>
      </c>
      <c r="O217" s="6">
        <f>J217/K217-1</f>
        <v/>
      </c>
      <c r="P217" s="2" t="inlineStr">
        <is>
          <t>REAJUSTE +2.9% vs últ. (≤4%)</t>
        </is>
      </c>
      <c r="Q217" s="2" t="inlineStr"/>
    </row>
    <row r="218">
      <c r="A218" s="2" t="n">
        <v>500281</v>
      </c>
      <c r="B218" s="2" t="inlineStr">
        <is>
          <t>102962</t>
        </is>
      </c>
      <c r="C218" s="3" t="inlineStr">
        <is>
          <t>7897595901446</t>
        </is>
      </c>
      <c r="D218" s="2" t="inlineStr">
        <is>
          <t>PURAN T4 125MCG CX 30 COMP</t>
        </is>
      </c>
      <c r="E218" s="4" t="n">
        <v>1</v>
      </c>
      <c r="F218" s="4" t="n">
        <v>6</v>
      </c>
      <c r="G218" s="4" t="n">
        <v>6</v>
      </c>
      <c r="H218" s="5" t="n">
        <v>18.54</v>
      </c>
      <c r="I218" s="5">
        <f>G218*H218</f>
        <v/>
      </c>
      <c r="J218" s="5">
        <f>H218/E218</f>
        <v/>
      </c>
      <c r="K218" s="5" t="n">
        <v>19.265</v>
      </c>
      <c r="L218" s="5" t="n">
        <v>15.31</v>
      </c>
      <c r="M218" s="5" t="n">
        <v>17.175</v>
      </c>
      <c r="N218" s="6">
        <f>J218/M218-1</f>
        <v/>
      </c>
      <c r="O218" s="6">
        <f>J218/K218-1</f>
        <v/>
      </c>
      <c r="P218" s="2" t="inlineStr">
        <is>
          <t>OK (≤ últ. compra)</t>
        </is>
      </c>
      <c r="Q218" s="2" t="inlineStr"/>
    </row>
    <row r="219">
      <c r="A219" s="2" t="n">
        <v>500621</v>
      </c>
      <c r="B219" s="2" t="inlineStr">
        <is>
          <t>106526</t>
        </is>
      </c>
      <c r="C219" s="3" t="inlineStr">
        <is>
          <t>7891058003579</t>
        </is>
      </c>
      <c r="D219" s="2" t="inlineStr">
        <is>
          <t>PURAN T4 62,5MCG CX 30 COMP</t>
        </is>
      </c>
      <c r="E219" s="4" t="n">
        <v>1</v>
      </c>
      <c r="F219" s="4" t="n">
        <v>2</v>
      </c>
      <c r="G219" s="4" t="n">
        <v>2</v>
      </c>
      <c r="H219" s="5" t="n">
        <v>14.12</v>
      </c>
      <c r="I219" s="5">
        <f>G219*H219</f>
        <v/>
      </c>
      <c r="J219" s="5">
        <f>H219/E219</f>
        <v/>
      </c>
      <c r="K219" s="5" t="n">
        <v>13.74</v>
      </c>
      <c r="L219" s="5" t="n">
        <v>12.655</v>
      </c>
      <c r="M219" s="5" t="n">
        <v>13.301</v>
      </c>
      <c r="N219" s="6">
        <f>J219/M219-1</f>
        <v/>
      </c>
      <c r="O219" s="6">
        <f>J219/K219-1</f>
        <v/>
      </c>
      <c r="P219" s="2" t="inlineStr">
        <is>
          <t>REAJUSTE +2.8% vs últ. (≤4%)</t>
        </is>
      </c>
      <c r="Q219" s="2" t="inlineStr"/>
    </row>
    <row r="220">
      <c r="A220" s="2" t="n">
        <v>320961</v>
      </c>
      <c r="B220" s="2" t="inlineStr">
        <is>
          <t>102976</t>
        </is>
      </c>
      <c r="C220" s="3" t="inlineStr">
        <is>
          <t>7897595903365</t>
        </is>
      </c>
      <c r="D220" s="2" t="inlineStr">
        <is>
          <t>PURAN T4 88MCG CX 30 COMP</t>
        </is>
      </c>
      <c r="E220" s="4" t="n">
        <v>1</v>
      </c>
      <c r="F220" s="4" t="n">
        <v>6</v>
      </c>
      <c r="G220" s="4" t="n">
        <v>6</v>
      </c>
      <c r="H220" s="5" t="n">
        <v>19.51</v>
      </c>
      <c r="I220" s="5">
        <f>G220*H220</f>
        <v/>
      </c>
      <c r="J220" s="5">
        <f>H220/E220</f>
        <v/>
      </c>
      <c r="K220" s="5" t="n">
        <v>19.51</v>
      </c>
      <c r="L220" s="5" t="n">
        <v>16.105</v>
      </c>
      <c r="M220" s="5" t="n">
        <v>18.375</v>
      </c>
      <c r="N220" s="6">
        <f>J220/M220-1</f>
        <v/>
      </c>
      <c r="O220" s="6">
        <f>J220/K220-1</f>
        <v/>
      </c>
      <c r="P220" s="2" t="inlineStr">
        <is>
          <t>OK (≤ últ. compra)</t>
        </is>
      </c>
      <c r="Q220" s="2" t="inlineStr"/>
    </row>
    <row r="221">
      <c r="A221" s="2" t="n">
        <v>290261</v>
      </c>
      <c r="B221" s="2" t="inlineStr">
        <is>
          <t>112190</t>
        </is>
      </c>
      <c r="C221" s="3" t="inlineStr">
        <is>
          <t>7894916510417</t>
        </is>
      </c>
      <c r="D221" s="2" t="inlineStr">
        <is>
          <t>PV - OLMY HCT 20+12,5MG CX 10 COMP REV</t>
        </is>
      </c>
      <c r="E221" s="4" t="n">
        <v>1</v>
      </c>
      <c r="F221" s="4" t="n">
        <v>1</v>
      </c>
      <c r="G221" s="4" t="n">
        <v>1</v>
      </c>
      <c r="H221" s="5" t="n">
        <v>49.1</v>
      </c>
      <c r="I221" s="5">
        <f>G221*H221</f>
        <v/>
      </c>
      <c r="J221" s="5">
        <f>H221/E221</f>
        <v/>
      </c>
      <c r="K221" s="5" t="n">
        <v>49.1</v>
      </c>
      <c r="L221" s="5" t="n">
        <v>49.1</v>
      </c>
      <c r="M221" s="5" t="n">
        <v>49.1</v>
      </c>
      <c r="N221" s="6">
        <f>J221/M221-1</f>
        <v/>
      </c>
      <c r="O221" s="6">
        <f>J221/K221-1</f>
        <v/>
      </c>
      <c r="P221" s="2" t="inlineStr">
        <is>
          <t>OK (≤ últ. compra)</t>
        </is>
      </c>
      <c r="Q221" s="2" t="inlineStr"/>
    </row>
    <row r="222">
      <c r="A222" s="2" t="n">
        <v>584141</v>
      </c>
      <c r="B222" s="2" t="inlineStr">
        <is>
          <t>719384</t>
        </is>
      </c>
      <c r="C222" s="3" t="inlineStr">
        <is>
          <t>7891000319505</t>
        </is>
      </c>
      <c r="D222" s="2" t="inlineStr">
        <is>
          <t>PV MUCILON MULTICEREAIS SACHET 180G BR</t>
        </is>
      </c>
      <c r="E222" s="4" t="n">
        <v>1</v>
      </c>
      <c r="F222" s="4" t="n">
        <v>1</v>
      </c>
      <c r="G222" s="4" t="n">
        <v>1</v>
      </c>
      <c r="H222" s="5" t="n">
        <v>5.35</v>
      </c>
      <c r="I222" s="5">
        <f>G222*H222</f>
        <v/>
      </c>
      <c r="J222" s="5">
        <f>H222/E222</f>
        <v/>
      </c>
      <c r="K222" s="5" t="n">
        <v>6.2967</v>
      </c>
      <c r="L222" s="5" t="n">
        <v>5.785</v>
      </c>
      <c r="M222" s="5" t="n">
        <v>5.84</v>
      </c>
      <c r="N222" s="6">
        <f>J222/M222-1</f>
        <v/>
      </c>
      <c r="O222" s="6">
        <f>J222/K222-1</f>
        <v/>
      </c>
      <c r="P222" s="2" t="inlineStr">
        <is>
          <t>OK (≤ últ. compra)</t>
        </is>
      </c>
      <c r="Q222" s="2" t="inlineStr"/>
    </row>
    <row r="223">
      <c r="A223" s="2" t="n">
        <v>654181</v>
      </c>
      <c r="B223" s="2" t="inlineStr">
        <is>
          <t>405686</t>
        </is>
      </c>
      <c r="C223" s="3" t="inlineStr">
        <is>
          <t>7896112409625</t>
        </is>
      </c>
      <c r="D223" s="2" t="inlineStr">
        <is>
          <t>PVV - FLY GOTAS 150MG LAR 15ML</t>
        </is>
      </c>
      <c r="E223" s="4" t="n">
        <v>1</v>
      </c>
      <c r="F223" s="4" t="n">
        <v>1</v>
      </c>
      <c r="G223" s="4" t="n">
        <v>1</v>
      </c>
      <c r="H223" s="5" t="n">
        <v>19.7</v>
      </c>
      <c r="I223" s="5">
        <f>G223*H223</f>
        <v/>
      </c>
      <c r="J223" s="5">
        <f>H223/E223</f>
        <v/>
      </c>
      <c r="K223" s="5" t="n">
        <v>28.935</v>
      </c>
      <c r="L223" s="5" t="n">
        <v>28.935</v>
      </c>
      <c r="M223" s="5" t="n">
        <v>28.935</v>
      </c>
      <c r="N223" s="6">
        <f>J223/M223-1</f>
        <v/>
      </c>
      <c r="O223" s="6">
        <f>J223/K223-1</f>
        <v/>
      </c>
      <c r="P223" s="2" t="inlineStr">
        <is>
          <t>OK (≤ últ. compra)</t>
        </is>
      </c>
      <c r="Q223" s="2" t="inlineStr"/>
    </row>
    <row r="224">
      <c r="A224" s="2" t="n">
        <v>622891</v>
      </c>
      <c r="B224" s="2" t="inlineStr">
        <is>
          <t>705784</t>
        </is>
      </c>
      <c r="C224" s="3" t="inlineStr">
        <is>
          <t>7891106908535</t>
        </is>
      </c>
      <c r="D224" s="2" t="inlineStr">
        <is>
          <t>REDOXITOS LARANJA 25 UNIDADES-DEMAIS PROD</t>
        </is>
      </c>
      <c r="E224" s="4" t="n">
        <v>1</v>
      </c>
      <c r="F224" s="4" t="n">
        <v>2</v>
      </c>
      <c r="G224" s="4" t="n">
        <v>2</v>
      </c>
      <c r="H224" s="5" t="n">
        <v>16.34</v>
      </c>
      <c r="I224" s="5">
        <f>G224*H224</f>
        <v/>
      </c>
      <c r="J224" s="5">
        <f>H224/E224</f>
        <v/>
      </c>
      <c r="K224" s="5" t="n">
        <v>16.18</v>
      </c>
      <c r="L224" s="5" t="n">
        <v>14.7067</v>
      </c>
      <c r="M224" s="5" t="n">
        <v>15.63223333333333</v>
      </c>
      <c r="N224" s="6">
        <f>J224/M224-1</f>
        <v/>
      </c>
      <c r="O224" s="6">
        <f>J224/K224-1</f>
        <v/>
      </c>
      <c r="P224" s="2" t="inlineStr">
        <is>
          <t>REAJUSTE +1.0% vs últ. (≤4%)</t>
        </is>
      </c>
      <c r="Q224" s="2" t="inlineStr"/>
    </row>
    <row r="225">
      <c r="A225" s="2" t="n">
        <v>664401</v>
      </c>
      <c r="B225" s="2" t="inlineStr">
        <is>
          <t>112751</t>
        </is>
      </c>
      <c r="C225" s="3" t="inlineStr">
        <is>
          <t>7899420508370</t>
        </is>
      </c>
      <c r="D225" s="2" t="inlineStr">
        <is>
          <t>RENOVI B PLUS 5+100+100+4,3MG SOL INJ 3 DOSES AMP</t>
        </is>
      </c>
      <c r="E225" s="4" t="n">
        <v>1</v>
      </c>
      <c r="F225" s="4" t="n">
        <v>1</v>
      </c>
      <c r="G225" s="4" t="n">
        <v>1</v>
      </c>
      <c r="H225" s="5" t="n">
        <v>39.72</v>
      </c>
      <c r="I225" s="5">
        <f>G225*H225</f>
        <v/>
      </c>
      <c r="J225" s="5">
        <f>H225/E225</f>
        <v/>
      </c>
      <c r="K225" s="5" t="n">
        <v>37.9567</v>
      </c>
      <c r="L225" s="5" t="n">
        <v>37.9567</v>
      </c>
      <c r="M225" s="5" t="n">
        <v>37.9567</v>
      </c>
      <c r="N225" s="6">
        <f>J225/M225-1</f>
        <v/>
      </c>
      <c r="O225" s="6">
        <f>J225/K225-1</f>
        <v/>
      </c>
      <c r="P225" s="2" t="inlineStr">
        <is>
          <t>REAJUSTE +4.6% vs média (≤6%)</t>
        </is>
      </c>
      <c r="Q225" s="2" t="inlineStr"/>
    </row>
    <row r="226">
      <c r="A226" s="2" t="n">
        <v>553</v>
      </c>
      <c r="B226" s="2" t="inlineStr">
        <is>
          <t>703976</t>
        </is>
      </c>
      <c r="C226" s="3" t="inlineStr">
        <is>
          <t>310119033227</t>
        </is>
      </c>
      <c r="D226" s="2" t="inlineStr">
        <is>
          <t>RENU PLUS SOL MULTI-USO S/ FRICCAO FR 120ML (+12% IPI)</t>
        </is>
      </c>
      <c r="E226" s="4" t="n">
        <v>1</v>
      </c>
      <c r="F226" s="4" t="n">
        <v>1</v>
      </c>
      <c r="G226" s="4" t="n">
        <v>1</v>
      </c>
      <c r="H226" s="5" t="n">
        <v>34.72</v>
      </c>
      <c r="I226" s="5">
        <f>G226*H226</f>
        <v/>
      </c>
      <c r="J226" s="5">
        <f>H226/E226</f>
        <v/>
      </c>
      <c r="K226" s="5" t="n">
        <v>37.74</v>
      </c>
      <c r="L226" s="5" t="n">
        <v>31.97</v>
      </c>
      <c r="M226" s="5" t="n">
        <v>35.81666666666667</v>
      </c>
      <c r="N226" s="6">
        <f>J226/M226-1</f>
        <v/>
      </c>
      <c r="O226" s="6">
        <f>J226/K226-1</f>
        <v/>
      </c>
      <c r="P226" s="2" t="inlineStr">
        <is>
          <t>OK (≤ últ. compra)</t>
        </is>
      </c>
      <c r="Q226" s="2" t="inlineStr"/>
    </row>
    <row r="227">
      <c r="A227" s="2" t="n">
        <v>590231</v>
      </c>
      <c r="B227" s="2" t="inlineStr">
        <is>
          <t>719974</t>
        </is>
      </c>
      <c r="C227" s="3" t="inlineStr">
        <is>
          <t>7894650940006</t>
        </is>
      </c>
      <c r="D227" s="2" t="inlineStr">
        <is>
          <t>REPEL OFF LOCAO 200ML OF</t>
        </is>
      </c>
      <c r="E227" s="4" t="n">
        <v>1</v>
      </c>
      <c r="F227" s="4" t="n">
        <v>4</v>
      </c>
      <c r="G227" s="4" t="n">
        <v>4</v>
      </c>
      <c r="H227" s="5" t="n">
        <v>15.08</v>
      </c>
      <c r="I227" s="5">
        <f>G227*H227</f>
        <v/>
      </c>
      <c r="J227" s="5">
        <f>H227/E227</f>
        <v/>
      </c>
      <c r="K227" s="5" t="n">
        <v>19.9</v>
      </c>
      <c r="L227" s="5" t="n">
        <v>19.9</v>
      </c>
      <c r="M227" s="5" t="n">
        <v>19.9</v>
      </c>
      <c r="N227" s="6">
        <f>J227/M227-1</f>
        <v/>
      </c>
      <c r="O227" s="6">
        <f>J227/K227-1</f>
        <v/>
      </c>
      <c r="P227" s="2" t="inlineStr">
        <is>
          <t>OK (≤ últ. compra)</t>
        </is>
      </c>
      <c r="Q227" s="2" t="inlineStr"/>
    </row>
    <row r="228">
      <c r="A228" s="2" t="n">
        <v>427821</v>
      </c>
      <c r="B228" s="2" t="inlineStr">
        <is>
          <t>103127</t>
        </is>
      </c>
      <c r="C228" s="3" t="inlineStr">
        <is>
          <t>8902220109506</t>
        </is>
      </c>
      <c r="D228" s="2" t="inlineStr">
        <is>
          <t>ROSUCOR 10MG CX 30 COMP REV</t>
        </is>
      </c>
      <c r="E228" s="4" t="n">
        <v>1</v>
      </c>
      <c r="F228" s="4" t="n">
        <v>1</v>
      </c>
      <c r="G228" s="4" t="n">
        <v>1</v>
      </c>
      <c r="H228" s="5" t="n">
        <v>32.79</v>
      </c>
      <c r="I228" s="5">
        <f>G228*H228</f>
        <v/>
      </c>
      <c r="J228" s="5">
        <f>H228/E228</f>
        <v/>
      </c>
      <c r="K228" s="5" t="n">
        <v>33.14</v>
      </c>
      <c r="L228" s="5" t="n">
        <v>28.21</v>
      </c>
      <c r="M228" s="5" t="n">
        <v>31.49666666666667</v>
      </c>
      <c r="N228" s="6">
        <f>J228/M228-1</f>
        <v/>
      </c>
      <c r="O228" s="6">
        <f>J228/K228-1</f>
        <v/>
      </c>
      <c r="P228" s="2" t="inlineStr">
        <is>
          <t>OK (≤ últ. compra)</t>
        </is>
      </c>
      <c r="Q228" s="2" t="inlineStr"/>
    </row>
    <row r="229">
      <c r="A229" s="2" t="n">
        <v>427841</v>
      </c>
      <c r="B229" s="2" t="inlineStr">
        <is>
          <t>103128</t>
        </is>
      </c>
      <c r="C229" s="3" t="inlineStr">
        <is>
          <t>8902220109520</t>
        </is>
      </c>
      <c r="D229" s="2" t="inlineStr">
        <is>
          <t>ROSUCOR 20MG CX 30 COMP REV</t>
        </is>
      </c>
      <c r="E229" s="4" t="n">
        <v>1</v>
      </c>
      <c r="F229" s="4" t="n">
        <v>1</v>
      </c>
      <c r="G229" s="4" t="n">
        <v>1</v>
      </c>
      <c r="H229" s="5" t="n">
        <v>56.07</v>
      </c>
      <c r="I229" s="5">
        <f>G229*H229</f>
        <v/>
      </c>
      <c r="J229" s="5">
        <f>H229/E229</f>
        <v/>
      </c>
      <c r="K229" s="5" t="n">
        <v>58.89</v>
      </c>
      <c r="L229" s="5" t="n">
        <v>46.56</v>
      </c>
      <c r="M229" s="5" t="n">
        <v>52.915</v>
      </c>
      <c r="N229" s="6">
        <f>J229/M229-1</f>
        <v/>
      </c>
      <c r="O229" s="6">
        <f>J229/K229-1</f>
        <v/>
      </c>
      <c r="P229" s="2" t="inlineStr">
        <is>
          <t>OK (≤ últ. compra)</t>
        </is>
      </c>
      <c r="Q229" s="2" t="inlineStr"/>
    </row>
    <row r="230">
      <c r="A230" s="2" t="n">
        <v>590251</v>
      </c>
      <c r="B230" s="2" t="inlineStr">
        <is>
          <t>703023</t>
        </is>
      </c>
      <c r="C230" s="3" t="inlineStr">
        <is>
          <t>7898422746759</t>
        </is>
      </c>
      <c r="D230" s="2" t="inlineStr">
        <is>
          <t>SAB DOVE 90G CREMOSO</t>
        </is>
      </c>
      <c r="E230" s="4" t="n">
        <v>1</v>
      </c>
      <c r="F230" s="4" t="n">
        <v>1</v>
      </c>
      <c r="G230" s="4" t="n">
        <v>1</v>
      </c>
      <c r="H230" s="5" t="n">
        <v>3.76</v>
      </c>
      <c r="I230" s="5">
        <f>G230*H230</f>
        <v/>
      </c>
      <c r="J230" s="5">
        <f>H230/E230</f>
        <v/>
      </c>
      <c r="K230" s="5" t="n">
        <v>3.7046</v>
      </c>
      <c r="L230" s="5" t="n">
        <v>3.7046</v>
      </c>
      <c r="M230" s="5" t="n">
        <v>3.704600000000001</v>
      </c>
      <c r="N230" s="6">
        <f>J230/M230-1</f>
        <v/>
      </c>
      <c r="O230" s="6">
        <f>J230/K230-1</f>
        <v/>
      </c>
      <c r="P230" s="2" t="inlineStr">
        <is>
          <t>REAJUSTE +1.5% vs últ. (≤4%)</t>
        </is>
      </c>
      <c r="Q230" s="2" t="inlineStr"/>
    </row>
    <row r="231">
      <c r="A231" s="2" t="n">
        <v>615871</v>
      </c>
      <c r="B231" s="2" t="inlineStr">
        <is>
          <t>710254</t>
        </is>
      </c>
      <c r="C231" s="3" t="inlineStr">
        <is>
          <t>7891150034075</t>
        </is>
      </c>
      <c r="D231" s="2" t="inlineStr">
        <is>
          <t>SAB DOVE 90G LEITE DE COCO</t>
        </is>
      </c>
      <c r="E231" s="4" t="n">
        <v>1</v>
      </c>
      <c r="F231" s="4" t="n">
        <v>4</v>
      </c>
      <c r="G231" s="4" t="n">
        <v>4</v>
      </c>
      <c r="H231" s="5" t="n">
        <v>3.76</v>
      </c>
      <c r="I231" s="5">
        <f>G231*H231</f>
        <v/>
      </c>
      <c r="J231" s="5">
        <f>H231/E231</f>
        <v/>
      </c>
      <c r="K231" s="5" t="n">
        <v>3.7183</v>
      </c>
      <c r="L231" s="5" t="n">
        <v>3.7183</v>
      </c>
      <c r="M231" s="5" t="n">
        <v>3.718300000000001</v>
      </c>
      <c r="N231" s="6">
        <f>J231/M231-1</f>
        <v/>
      </c>
      <c r="O231" s="6">
        <f>J231/K231-1</f>
        <v/>
      </c>
      <c r="P231" s="2" t="inlineStr">
        <is>
          <t>REAJUSTE +1.1% vs últ. (≤4%)</t>
        </is>
      </c>
      <c r="Q231" s="2" t="inlineStr"/>
    </row>
    <row r="232">
      <c r="A232" s="2" t="n">
        <v>615891</v>
      </c>
      <c r="B232" s="2" t="inlineStr">
        <is>
          <t>714821</t>
        </is>
      </c>
      <c r="C232" s="3" t="inlineStr">
        <is>
          <t>7891150057470</t>
        </is>
      </c>
      <c r="D232" s="2" t="inlineStr">
        <is>
          <t>SAB DOVE 90G MICELAR ANTI STR.</t>
        </is>
      </c>
      <c r="E232" s="4" t="n">
        <v>1</v>
      </c>
      <c r="F232" s="4" t="n">
        <v>4</v>
      </c>
      <c r="G232" s="4" t="n">
        <v>4</v>
      </c>
      <c r="H232" s="5" t="n">
        <v>3.7</v>
      </c>
      <c r="I232" s="5">
        <f>G232*H232</f>
        <v/>
      </c>
      <c r="J232" s="5">
        <f>H232/E232</f>
        <v/>
      </c>
      <c r="K232" s="5" t="n">
        <v>5.0925</v>
      </c>
      <c r="L232" s="5" t="n">
        <v>4.5025</v>
      </c>
      <c r="M232" s="5" t="n">
        <v>4.895833333333333</v>
      </c>
      <c r="N232" s="6">
        <f>J232/M232-1</f>
        <v/>
      </c>
      <c r="O232" s="6">
        <f>J232/K232-1</f>
        <v/>
      </c>
      <c r="P232" s="2" t="inlineStr">
        <is>
          <t>OK (≤ últ. compra)</t>
        </is>
      </c>
      <c r="Q232" s="2" t="inlineStr"/>
    </row>
    <row r="233">
      <c r="A233" s="2" t="n">
        <v>615901</v>
      </c>
      <c r="B233" s="2" t="inlineStr">
        <is>
          <t>709822</t>
        </is>
      </c>
      <c r="C233" s="3" t="inlineStr">
        <is>
          <t>7891150043923</t>
        </is>
      </c>
      <c r="D233" s="2" t="inlineStr">
        <is>
          <t>SAB DOVE 90G REVIGORANTE</t>
        </is>
      </c>
      <c r="E233" s="4" t="n">
        <v>1</v>
      </c>
      <c r="F233" s="4" t="n">
        <v>4</v>
      </c>
      <c r="G233" s="4" t="n">
        <v>4</v>
      </c>
      <c r="H233" s="5" t="n">
        <v>3.76</v>
      </c>
      <c r="I233" s="5">
        <f>G233*H233</f>
        <v/>
      </c>
      <c r="J233" s="5">
        <f>H233/E233</f>
        <v/>
      </c>
      <c r="K233" s="5" t="n">
        <v>5.0925</v>
      </c>
      <c r="L233" s="5" t="n">
        <v>5.0925</v>
      </c>
      <c r="M233" s="5" t="n">
        <v>5.0925</v>
      </c>
      <c r="N233" s="6">
        <f>J233/M233-1</f>
        <v/>
      </c>
      <c r="O233" s="6">
        <f>J233/K233-1</f>
        <v/>
      </c>
      <c r="P233" s="2" t="inlineStr">
        <is>
          <t>OK (≤ últ. compra)</t>
        </is>
      </c>
      <c r="Q233" s="2" t="inlineStr"/>
    </row>
    <row r="234">
      <c r="A234" s="2" t="n">
        <v>610851</v>
      </c>
      <c r="B234" s="2" t="inlineStr">
        <is>
          <t>717079</t>
        </is>
      </c>
      <c r="C234" s="3" t="inlineStr">
        <is>
          <t>7891150075382</t>
        </is>
      </c>
      <c r="D234" s="2" t="inlineStr">
        <is>
          <t>SAB DOVE ANTIBAC</t>
        </is>
      </c>
      <c r="E234" s="4" t="n">
        <v>1</v>
      </c>
      <c r="F234" s="4" t="n">
        <v>4</v>
      </c>
      <c r="G234" s="4" t="n">
        <v>4</v>
      </c>
      <c r="H234" s="5" t="n">
        <v>3.69</v>
      </c>
      <c r="I234" s="5">
        <f>G234*H234</f>
        <v/>
      </c>
      <c r="J234" s="5">
        <f>H234/E234</f>
        <v/>
      </c>
      <c r="K234" s="5" t="n">
        <v>5.0925</v>
      </c>
      <c r="L234" s="5" t="n">
        <v>5.0925</v>
      </c>
      <c r="M234" s="5" t="n">
        <v>5.0925</v>
      </c>
      <c r="N234" s="6">
        <f>J234/M234-1</f>
        <v/>
      </c>
      <c r="O234" s="6">
        <f>J234/K234-1</f>
        <v/>
      </c>
      <c r="P234" s="2" t="inlineStr">
        <is>
          <t>OK (≤ últ. compra)</t>
        </is>
      </c>
      <c r="Q234" s="2" t="inlineStr"/>
    </row>
    <row r="235">
      <c r="A235" s="2" t="n">
        <v>660551</v>
      </c>
      <c r="B235" s="2" t="inlineStr">
        <is>
          <t>710883</t>
        </is>
      </c>
      <c r="C235" s="3" t="inlineStr">
        <is>
          <t>7891150044654</t>
        </is>
      </c>
      <c r="D235" s="2" t="inlineStr">
        <is>
          <t>SAB DOVE KARITE/BAUNI 90G</t>
        </is>
      </c>
      <c r="E235" s="4" t="n">
        <v>1</v>
      </c>
      <c r="F235" s="4" t="n">
        <v>1</v>
      </c>
      <c r="G235" s="4" t="n">
        <v>1</v>
      </c>
      <c r="H235" s="5" t="n">
        <v>19.9</v>
      </c>
      <c r="I235" s="5">
        <f>G235*H235</f>
        <v/>
      </c>
      <c r="J235" s="5">
        <f>H235/E235</f>
        <v/>
      </c>
      <c r="K235" s="5" t="n">
        <v>21.04</v>
      </c>
      <c r="L235" s="5" t="n">
        <v>21.04</v>
      </c>
      <c r="M235" s="5" t="n">
        <v>21.04</v>
      </c>
      <c r="N235" s="6">
        <f>J235/M235-1</f>
        <v/>
      </c>
      <c r="O235" s="6">
        <f>J235/K235-1</f>
        <v/>
      </c>
      <c r="P235" s="2" t="inlineStr">
        <is>
          <t>OK (≤ últ. compra)</t>
        </is>
      </c>
      <c r="Q235" s="2" t="inlineStr"/>
    </row>
    <row r="236">
      <c r="A236" s="2" t="n">
        <v>663241</v>
      </c>
      <c r="B236" s="2" t="inlineStr">
        <is>
          <t>722168</t>
        </is>
      </c>
      <c r="C236" s="3" t="inlineStr">
        <is>
          <t>7891150095694</t>
        </is>
      </c>
      <c r="D236" s="2" t="inlineStr">
        <is>
          <t>SAB DOVE LIQ PELE SENSIVEL 250ML   UNIL %DN:17.00</t>
        </is>
      </c>
      <c r="E236" s="4" t="n">
        <v>1</v>
      </c>
      <c r="F236" s="4" t="n">
        <v>1</v>
      </c>
      <c r="G236" s="4" t="n">
        <v>1</v>
      </c>
      <c r="H236" s="5" t="n">
        <v>9.51</v>
      </c>
      <c r="I236" s="5">
        <f>G236*H236</f>
        <v/>
      </c>
      <c r="J236" s="5">
        <f>H236/E236</f>
        <v/>
      </c>
      <c r="K236" s="5" t="n">
        <v>11.685</v>
      </c>
      <c r="L236" s="5" t="n">
        <v>10.565</v>
      </c>
      <c r="M236" s="5" t="n">
        <v>11.31166666666667</v>
      </c>
      <c r="N236" s="6">
        <f>J236/M236-1</f>
        <v/>
      </c>
      <c r="O236" s="6">
        <f>J236/K236-1</f>
        <v/>
      </c>
      <c r="P236" s="2" t="inlineStr">
        <is>
          <t>OK (≤ últ. compra)</t>
        </is>
      </c>
      <c r="Q236" s="2" t="inlineStr"/>
    </row>
    <row r="237">
      <c r="A237" s="2" t="n">
        <v>603091</v>
      </c>
      <c r="B237" s="2" t="inlineStr">
        <is>
          <t>716169</t>
        </is>
      </c>
      <c r="C237" s="3" t="inlineStr">
        <is>
          <t>7896512941923</t>
        </is>
      </c>
      <c r="D237" s="2" t="inlineStr">
        <is>
          <t>SAB GLIC BEBE CAMOMILA 250ML</t>
        </is>
      </c>
      <c r="E237" s="4" t="n">
        <v>1</v>
      </c>
      <c r="F237" s="4" t="n">
        <v>4</v>
      </c>
      <c r="G237" s="4" t="n">
        <v>4</v>
      </c>
      <c r="H237" s="5" t="n">
        <v>19.53</v>
      </c>
      <c r="I237" s="5">
        <f>G237*H237</f>
        <v/>
      </c>
      <c r="J237" s="5">
        <f>H237/E237</f>
        <v/>
      </c>
      <c r="K237" s="5" t="n">
        <v>20.385</v>
      </c>
      <c r="L237" s="5" t="n">
        <v>17.96</v>
      </c>
      <c r="M237" s="5" t="n">
        <v>19.57666666666667</v>
      </c>
      <c r="N237" s="6">
        <f>J237/M237-1</f>
        <v/>
      </c>
      <c r="O237" s="6">
        <f>J237/K237-1</f>
        <v/>
      </c>
      <c r="P237" s="2" t="inlineStr">
        <is>
          <t>OK (≤ últ. compra)</t>
        </is>
      </c>
      <c r="Q237" s="2" t="inlineStr"/>
    </row>
    <row r="238">
      <c r="A238" s="2" t="n">
        <v>603101</v>
      </c>
      <c r="B238" s="2" t="inlineStr">
        <is>
          <t>703053</t>
        </is>
      </c>
      <c r="C238" s="3" t="inlineStr">
        <is>
          <t>7896512911933</t>
        </is>
      </c>
      <c r="D238" s="2" t="inlineStr">
        <is>
          <t>SAB GLIC BEBE LAVANDA 250ML</t>
        </is>
      </c>
      <c r="E238" s="4" t="n">
        <v>1</v>
      </c>
      <c r="F238" s="4" t="n">
        <v>6</v>
      </c>
      <c r="G238" s="4" t="n">
        <v>6</v>
      </c>
      <c r="H238" s="5" t="n">
        <v>19.53</v>
      </c>
      <c r="I238" s="5">
        <f>G238*H238</f>
        <v/>
      </c>
      <c r="J238" s="5">
        <f>H238/E238</f>
        <v/>
      </c>
      <c r="K238" s="5" t="n">
        <v>18.98</v>
      </c>
      <c r="L238" s="5" t="n">
        <v>17.96</v>
      </c>
      <c r="M238" s="5" t="n">
        <v>18.64</v>
      </c>
      <c r="N238" s="6">
        <f>J238/M238-1</f>
        <v/>
      </c>
      <c r="O238" s="6">
        <f>J238/K238-1</f>
        <v/>
      </c>
      <c r="P238" s="2" t="inlineStr">
        <is>
          <t>REAJUSTE +2.9% vs últ. (≤4%)</t>
        </is>
      </c>
      <c r="Q238" s="2" t="inlineStr"/>
    </row>
    <row r="239">
      <c r="A239" s="2" t="n">
        <v>617541</v>
      </c>
      <c r="B239" s="2" t="inlineStr">
        <is>
          <t>703042</t>
        </is>
      </c>
      <c r="C239" s="3" t="inlineStr">
        <is>
          <t>47896512900058</t>
        </is>
      </c>
      <c r="D239" s="2" t="inlineStr">
        <is>
          <t>SAB GRANADO 100G COCO</t>
        </is>
      </c>
      <c r="E239" s="4" t="n">
        <v>1</v>
      </c>
      <c r="F239" s="4" t="n">
        <v>5</v>
      </c>
      <c r="G239" s="4" t="n">
        <v>5</v>
      </c>
      <c r="H239" s="5" t="n">
        <v>5.93</v>
      </c>
      <c r="I239" s="5">
        <f>G239*H239</f>
        <v/>
      </c>
      <c r="J239" s="5">
        <f>H239/E239</f>
        <v/>
      </c>
      <c r="K239" s="5" t="n">
        <v>6.67</v>
      </c>
      <c r="L239" s="5" t="n">
        <v>6.67</v>
      </c>
      <c r="M239" s="5" t="n">
        <v>6.669999999999999</v>
      </c>
      <c r="N239" s="6">
        <f>J239/M239-1</f>
        <v/>
      </c>
      <c r="O239" s="6">
        <f>J239/K239-1</f>
        <v/>
      </c>
      <c r="P239" s="2" t="inlineStr">
        <is>
          <t>OK (≤ últ. compra)</t>
        </is>
      </c>
      <c r="Q239" s="2" t="inlineStr"/>
    </row>
    <row r="240">
      <c r="A240" s="2" t="n">
        <v>617601</v>
      </c>
      <c r="B240" s="2" t="inlineStr">
        <is>
          <t>703041</t>
        </is>
      </c>
      <c r="C240" s="3" t="inlineStr">
        <is>
          <t>37896512912306</t>
        </is>
      </c>
      <c r="D240" s="2" t="inlineStr">
        <is>
          <t>SAB GRANADO 90G GLIC B LAV</t>
        </is>
      </c>
      <c r="E240" s="4" t="n">
        <v>1</v>
      </c>
      <c r="F240" s="4" t="n">
        <v>2</v>
      </c>
      <c r="G240" s="4" t="n">
        <v>2</v>
      </c>
      <c r="H240" s="5" t="n">
        <v>6.35</v>
      </c>
      <c r="I240" s="5">
        <f>G240*H240</f>
        <v/>
      </c>
      <c r="J240" s="5">
        <f>H240/E240</f>
        <v/>
      </c>
      <c r="K240" s="5" t="n">
        <v>7.13</v>
      </c>
      <c r="L240" s="5" t="n">
        <v>7.13</v>
      </c>
      <c r="M240" s="5" t="n">
        <v>7.13</v>
      </c>
      <c r="N240" s="6">
        <f>J240/M240-1</f>
        <v/>
      </c>
      <c r="O240" s="6">
        <f>J240/K240-1</f>
        <v/>
      </c>
      <c r="P240" s="2" t="inlineStr">
        <is>
          <t>OK (≤ últ. compra)</t>
        </is>
      </c>
      <c r="Q240" s="2" t="inlineStr"/>
    </row>
    <row r="241">
      <c r="A241" s="2" t="n">
        <v>598341</v>
      </c>
      <c r="B241" s="2" t="inlineStr">
        <is>
          <t>716167</t>
        </is>
      </c>
      <c r="C241" s="3" t="inlineStr">
        <is>
          <t>7896512941947</t>
        </is>
      </c>
      <c r="D241" s="2" t="inlineStr">
        <is>
          <t>SAB INF GRANADO GLIC BEBE 90G CAMOMILA</t>
        </is>
      </c>
      <c r="E241" s="4" t="n">
        <v>1</v>
      </c>
      <c r="F241" s="4" t="n">
        <v>8</v>
      </c>
      <c r="G241" s="4" t="n">
        <v>8</v>
      </c>
      <c r="H241" s="5" t="n">
        <v>4.78</v>
      </c>
      <c r="I241" s="5">
        <f>G241*H241</f>
        <v/>
      </c>
      <c r="J241" s="5">
        <f>H241/E241</f>
        <v/>
      </c>
      <c r="K241" s="5" t="n">
        <v>4.95</v>
      </c>
      <c r="L241" s="5" t="n">
        <v>4.95</v>
      </c>
      <c r="M241" s="5" t="n">
        <v>4.95</v>
      </c>
      <c r="N241" s="6">
        <f>J241/M241-1</f>
        <v/>
      </c>
      <c r="O241" s="6">
        <f>J241/K241-1</f>
        <v/>
      </c>
      <c r="P241" s="2" t="inlineStr">
        <is>
          <t>OK (≤ últ. compra)</t>
        </is>
      </c>
      <c r="Q241" s="2" t="inlineStr"/>
    </row>
    <row r="242">
      <c r="A242" s="2" t="n">
        <v>612361</v>
      </c>
      <c r="B242" s="2" t="inlineStr">
        <is>
          <t>714956</t>
        </is>
      </c>
      <c r="C242" s="3" t="inlineStr">
        <is>
          <t>7891010247409</t>
        </is>
      </c>
      <c r="D242" s="2" t="inlineStr">
        <is>
          <t>SAB JOHNSONS AMENDOAS 80G</t>
        </is>
      </c>
      <c r="E242" s="4" t="n">
        <v>1</v>
      </c>
      <c r="F242" s="4" t="n">
        <v>2</v>
      </c>
      <c r="G242" s="4" t="n">
        <v>2</v>
      </c>
      <c r="H242" s="5" t="n">
        <v>2.25</v>
      </c>
      <c r="I242" s="5">
        <f>G242*H242</f>
        <v/>
      </c>
      <c r="J242" s="5">
        <f>H242/E242</f>
        <v/>
      </c>
      <c r="K242" s="5" t="n">
        <v>2.31</v>
      </c>
      <c r="L242" s="5" t="n">
        <v>2.31</v>
      </c>
      <c r="M242" s="5" t="n">
        <v>2.31</v>
      </c>
      <c r="N242" s="6">
        <f>J242/M242-1</f>
        <v/>
      </c>
      <c r="O242" s="6">
        <f>J242/K242-1</f>
        <v/>
      </c>
      <c r="P242" s="2" t="inlineStr">
        <is>
          <t>OK (≤ últ. compra)</t>
        </is>
      </c>
      <c r="Q242" s="2" t="inlineStr"/>
    </row>
    <row r="243">
      <c r="A243" s="2" t="n">
        <v>612371</v>
      </c>
      <c r="B243" s="2" t="inlineStr">
        <is>
          <t>714954</t>
        </is>
      </c>
      <c r="C243" s="3" t="inlineStr">
        <is>
          <t>7891010247393</t>
        </is>
      </c>
      <c r="D243" s="2" t="inlineStr">
        <is>
          <t>SAB JOHNSONS ROSAS E SANDALO 80G</t>
        </is>
      </c>
      <c r="E243" s="4" t="n">
        <v>1</v>
      </c>
      <c r="F243" s="4" t="n">
        <v>5</v>
      </c>
      <c r="G243" s="4" t="n">
        <v>5</v>
      </c>
      <c r="H243" s="5" t="n">
        <v>1.67</v>
      </c>
      <c r="I243" s="5">
        <f>G243*H243</f>
        <v/>
      </c>
      <c r="J243" s="5">
        <f>H243/E243</f>
        <v/>
      </c>
      <c r="K243" s="5" t="n">
        <v>2.31</v>
      </c>
      <c r="L243" s="5" t="n">
        <v>2.31</v>
      </c>
      <c r="M243" s="5" t="n">
        <v>2.31</v>
      </c>
      <c r="N243" s="6">
        <f>J243/M243-1</f>
        <v/>
      </c>
      <c r="O243" s="6">
        <f>J243/K243-1</f>
        <v/>
      </c>
      <c r="P243" s="2" t="inlineStr">
        <is>
          <t>OK (≤ últ. compra)</t>
        </is>
      </c>
      <c r="Q243" s="2" t="inlineStr"/>
    </row>
    <row r="244">
      <c r="A244" s="2" t="n">
        <v>539001</v>
      </c>
      <c r="B244" s="2" t="inlineStr">
        <is>
          <t>714279</t>
        </is>
      </c>
      <c r="C244" s="3" t="inlineStr">
        <is>
          <t>7891150060241</t>
        </is>
      </c>
      <c r="D244" s="2" t="inlineStr">
        <is>
          <t>SAB LIQ BUQUE DE JASMIM 200ML REFIL</t>
        </is>
      </c>
      <c r="E244" s="4" t="n">
        <v>1</v>
      </c>
      <c r="F244" s="4" t="n">
        <v>4</v>
      </c>
      <c r="G244" s="4" t="n">
        <v>4</v>
      </c>
      <c r="H244" s="5" t="n">
        <v>4.42</v>
      </c>
      <c r="I244" s="5">
        <f>G244*H244</f>
        <v/>
      </c>
      <c r="J244" s="5">
        <f>H244/E244</f>
        <v/>
      </c>
      <c r="K244" s="5" t="n">
        <v>6.19</v>
      </c>
      <c r="L244" s="5" t="n">
        <v>6.19</v>
      </c>
      <c r="M244" s="5" t="n">
        <v>6.19</v>
      </c>
      <c r="N244" s="6">
        <f>J244/M244-1</f>
        <v/>
      </c>
      <c r="O244" s="6">
        <f>J244/K244-1</f>
        <v/>
      </c>
      <c r="P244" s="2" t="inlineStr">
        <is>
          <t>OK (≤ últ. compra)</t>
        </is>
      </c>
      <c r="Q244" s="2" t="inlineStr"/>
    </row>
    <row r="245">
      <c r="A245" s="2" t="n">
        <v>669171</v>
      </c>
      <c r="B245" s="2" t="inlineStr">
        <is>
          <t>722681</t>
        </is>
      </c>
      <c r="C245" s="3" t="inlineStr">
        <is>
          <t>7891150098442</t>
        </is>
      </c>
      <c r="D245" s="2" t="inlineStr">
        <is>
          <t>SAB LIQ DOVE OLEO DE BANHO 240ML</t>
        </is>
      </c>
      <c r="E245" s="4" t="n">
        <v>1</v>
      </c>
      <c r="F245" s="4" t="n">
        <v>4</v>
      </c>
      <c r="G245" s="4" t="n">
        <v>4</v>
      </c>
      <c r="H245" s="5" t="n">
        <v>22.51</v>
      </c>
      <c r="I245" s="5">
        <f>G245*H245</f>
        <v/>
      </c>
      <c r="J245" s="5">
        <f>H245/E245</f>
        <v/>
      </c>
      <c r="K245" s="5" t="n">
        <v>25.735</v>
      </c>
      <c r="L245" s="5" t="n">
        <v>23.9367</v>
      </c>
      <c r="M245" s="5" t="n">
        <v>25.13556666666667</v>
      </c>
      <c r="N245" s="6">
        <f>J245/M245-1</f>
        <v/>
      </c>
      <c r="O245" s="6">
        <f>J245/K245-1</f>
        <v/>
      </c>
      <c r="P245" s="2" t="inlineStr">
        <is>
          <t>OK (≤ últ. compra)</t>
        </is>
      </c>
      <c r="Q245" s="2" t="inlineStr"/>
    </row>
    <row r="246">
      <c r="A246" s="2" t="n">
        <v>567921</v>
      </c>
      <c r="B246" s="2" t="inlineStr">
        <is>
          <t>710190</t>
        </is>
      </c>
      <c r="C246" s="3" t="inlineStr">
        <is>
          <t>7896512922472</t>
        </is>
      </c>
      <c r="D246" s="2" t="inlineStr">
        <is>
          <t>SAB LIQ GRANADO LAVANDA REFIL 250ML</t>
        </is>
      </c>
      <c r="E246" s="4" t="n">
        <v>1</v>
      </c>
      <c r="F246" s="4" t="n">
        <v>6</v>
      </c>
      <c r="G246" s="4" t="n">
        <v>6</v>
      </c>
      <c r="H246" s="5" t="n">
        <v>14.55</v>
      </c>
      <c r="I246" s="5">
        <f>G246*H246</f>
        <v/>
      </c>
      <c r="J246" s="5">
        <f>H246/E246</f>
        <v/>
      </c>
      <c r="K246" s="5" t="n">
        <v>15.72</v>
      </c>
      <c r="L246" s="5" t="n">
        <v>14.1958</v>
      </c>
      <c r="M246" s="5" t="n">
        <v>14.1958</v>
      </c>
      <c r="N246" s="6">
        <f>J246/M246-1</f>
        <v/>
      </c>
      <c r="O246" s="6">
        <f>J246/K246-1</f>
        <v/>
      </c>
      <c r="P246" s="2" t="inlineStr">
        <is>
          <t>OK (≤ últ. compra)</t>
        </is>
      </c>
      <c r="Q246" s="2" t="inlineStr"/>
    </row>
    <row r="247">
      <c r="A247" s="2" t="n">
        <v>537401</v>
      </c>
      <c r="B247" s="2" t="inlineStr">
        <is>
          <t>714309</t>
        </is>
      </c>
      <c r="C247" s="3" t="inlineStr">
        <is>
          <t>7891150060210</t>
        </is>
      </c>
      <c r="D247" s="2" t="inlineStr">
        <is>
          <t>SAB LIQ ORQUIDEA NEGRA LUX 200ML REFIL</t>
        </is>
      </c>
      <c r="E247" s="4" t="n">
        <v>1</v>
      </c>
      <c r="F247" s="4" t="n">
        <v>5</v>
      </c>
      <c r="G247" s="4" t="n">
        <v>5</v>
      </c>
      <c r="H247" s="5" t="n">
        <v>4.42</v>
      </c>
      <c r="I247" s="5">
        <f>G247*H247</f>
        <v/>
      </c>
      <c r="J247" s="5">
        <f>H247/E247</f>
        <v/>
      </c>
      <c r="K247" s="5" t="n">
        <v>5.94</v>
      </c>
      <c r="L247" s="5" t="n">
        <v>5.4517</v>
      </c>
      <c r="M247" s="5" t="n">
        <v>5.777233333333334</v>
      </c>
      <c r="N247" s="6">
        <f>J247/M247-1</f>
        <v/>
      </c>
      <c r="O247" s="6">
        <f>J247/K247-1</f>
        <v/>
      </c>
      <c r="P247" s="2" t="inlineStr">
        <is>
          <t>OK (≤ últ. compra)</t>
        </is>
      </c>
      <c r="Q247" s="2" t="inlineStr"/>
    </row>
    <row r="248">
      <c r="A248" s="2" t="n">
        <v>552661</v>
      </c>
      <c r="B248" s="2" t="inlineStr">
        <is>
          <t>716168</t>
        </is>
      </c>
      <c r="C248" s="3" t="inlineStr">
        <is>
          <t>7896512941930</t>
        </is>
      </c>
      <c r="D248" s="2" t="inlineStr">
        <is>
          <t>SAB LÍQ CAMOMILA GRANADO SACHÊ 250ML REFIL</t>
        </is>
      </c>
      <c r="E248" s="4" t="n">
        <v>1</v>
      </c>
      <c r="F248" s="4" t="n">
        <v>3</v>
      </c>
      <c r="G248" s="4" t="n">
        <v>3</v>
      </c>
      <c r="H248" s="5" t="n">
        <v>14.55</v>
      </c>
      <c r="I248" s="5">
        <f>G248*H248</f>
        <v/>
      </c>
      <c r="J248" s="5">
        <f>H248/E248</f>
        <v/>
      </c>
      <c r="K248" s="5" t="n">
        <v>14.1958</v>
      </c>
      <c r="L248" s="5" t="n">
        <v>14.1958</v>
      </c>
      <c r="M248" s="5" t="n">
        <v>14.1958</v>
      </c>
      <c r="N248" s="6">
        <f>J248/M248-1</f>
        <v/>
      </c>
      <c r="O248" s="6">
        <f>J248/K248-1</f>
        <v/>
      </c>
      <c r="P248" s="2" t="inlineStr">
        <is>
          <t>REAJUSTE +2.5% vs últ. (≤4%)</t>
        </is>
      </c>
      <c r="Q248" s="2" t="inlineStr"/>
    </row>
    <row r="249">
      <c r="A249" s="2" t="n">
        <v>551381</v>
      </c>
      <c r="B249" s="2" t="inlineStr">
        <is>
          <t>709323</t>
        </is>
      </c>
      <c r="C249" s="3" t="inlineStr">
        <is>
          <t>7891150035874</t>
        </is>
      </c>
      <c r="D249" s="2" t="inlineStr">
        <is>
          <t>SAB LÍQ HIDR ENRIQ DA CABEÇA AOS PÉS DOVE BABY SACHÊ 180ML</t>
        </is>
      </c>
      <c r="E249" s="4" t="n">
        <v>1</v>
      </c>
      <c r="F249" s="4" t="n">
        <v>5</v>
      </c>
      <c r="G249" s="4" t="n">
        <v>5</v>
      </c>
      <c r="H249" s="5" t="n">
        <v>7.79</v>
      </c>
      <c r="I249" s="5">
        <f>G249*H249</f>
        <v/>
      </c>
      <c r="J249" s="5">
        <f>H249/E249</f>
        <v/>
      </c>
      <c r="K249" s="5" t="n">
        <v>10.5242</v>
      </c>
      <c r="L249" s="5" t="n">
        <v>10.5242</v>
      </c>
      <c r="M249" s="5" t="n">
        <v>10.5242</v>
      </c>
      <c r="N249" s="6">
        <f>J249/M249-1</f>
        <v/>
      </c>
      <c r="O249" s="6">
        <f>J249/K249-1</f>
        <v/>
      </c>
      <c r="P249" s="2" t="inlineStr">
        <is>
          <t>OK (≤ últ. compra)</t>
        </is>
      </c>
      <c r="Q249" s="2" t="inlineStr"/>
    </row>
    <row r="250">
      <c r="A250" s="2" t="n">
        <v>551161</v>
      </c>
      <c r="B250" s="2" t="inlineStr">
        <is>
          <t>714308</t>
        </is>
      </c>
      <c r="C250" s="3" t="inlineStr">
        <is>
          <t>7891150060227</t>
        </is>
      </c>
      <c r="D250" s="2" t="inlineStr">
        <is>
          <t>SAB LÍQ LAVANDA LUX BOTANICALS SACHÊ 200ML REFIL</t>
        </is>
      </c>
      <c r="E250" s="4" t="n">
        <v>1</v>
      </c>
      <c r="F250" s="4" t="n">
        <v>4</v>
      </c>
      <c r="G250" s="4" t="n">
        <v>4</v>
      </c>
      <c r="H250" s="5" t="n">
        <v>4.52</v>
      </c>
      <c r="I250" s="5">
        <f>G250*H250</f>
        <v/>
      </c>
      <c r="J250" s="5">
        <f>H250/E250</f>
        <v/>
      </c>
      <c r="K250" s="5" t="n">
        <v>4.8892</v>
      </c>
      <c r="L250" s="5" t="n">
        <v>4.8892</v>
      </c>
      <c r="M250" s="5" t="n">
        <v>4.8892</v>
      </c>
      <c r="N250" s="6">
        <f>J250/M250-1</f>
        <v/>
      </c>
      <c r="O250" s="6">
        <f>J250/K250-1</f>
        <v/>
      </c>
      <c r="P250" s="2" t="inlineStr">
        <is>
          <t>OK (≤ últ. compra)</t>
        </is>
      </c>
      <c r="Q250" s="2" t="inlineStr"/>
    </row>
    <row r="251">
      <c r="A251" s="2" t="n">
        <v>554601</v>
      </c>
      <c r="B251" s="2" t="inlineStr">
        <is>
          <t>710218</t>
        </is>
      </c>
      <c r="C251" s="3" t="inlineStr">
        <is>
          <t>7896512922373</t>
        </is>
      </c>
      <c r="D251" s="2" t="inlineStr">
        <is>
          <t>SAB LÍQUIDO DE GLICERINA GRANADO BEBÊ 250ML REFIL</t>
        </is>
      </c>
      <c r="E251" s="4" t="n">
        <v>1</v>
      </c>
      <c r="F251" s="4" t="n">
        <v>14</v>
      </c>
      <c r="G251" s="4" t="n">
        <v>14</v>
      </c>
      <c r="H251" s="5" t="n">
        <v>14.55</v>
      </c>
      <c r="I251" s="5">
        <f>G251*H251</f>
        <v/>
      </c>
      <c r="J251" s="5">
        <f>H251/E251</f>
        <v/>
      </c>
      <c r="K251" s="5" t="n">
        <v>15.72</v>
      </c>
      <c r="L251" s="5" t="n">
        <v>12.59</v>
      </c>
      <c r="M251" s="5" t="n">
        <v>13.66053333333333</v>
      </c>
      <c r="N251" s="6">
        <f>J251/M251-1</f>
        <v/>
      </c>
      <c r="O251" s="6">
        <f>J251/K251-1</f>
        <v/>
      </c>
      <c r="P251" s="2" t="inlineStr">
        <is>
          <t>OK (≤ últ. compra)</t>
        </is>
      </c>
      <c r="Q251" s="2" t="inlineStr"/>
    </row>
    <row r="252">
      <c r="A252" s="2" t="n">
        <v>615401</v>
      </c>
      <c r="B252" s="2" t="inlineStr">
        <is>
          <t>707364</t>
        </is>
      </c>
      <c r="C252" s="3" t="inlineStr">
        <is>
          <t>4005808896134</t>
        </is>
      </c>
      <c r="D252" s="2" t="inlineStr">
        <is>
          <t>SAB NIVEA LIQ FRANGI   OIL 250ML</t>
        </is>
      </c>
      <c r="E252" s="4" t="n">
        <v>1</v>
      </c>
      <c r="F252" s="4" t="n">
        <v>1</v>
      </c>
      <c r="G252" s="4" t="n">
        <v>1</v>
      </c>
      <c r="H252" s="5" t="n">
        <v>12.93</v>
      </c>
      <c r="I252" s="5">
        <f>G252*H252</f>
        <v/>
      </c>
      <c r="J252" s="5">
        <f>H252/E252</f>
        <v/>
      </c>
      <c r="K252" s="5" t="n">
        <v>17</v>
      </c>
      <c r="L252" s="5" t="n">
        <v>17</v>
      </c>
      <c r="M252" s="5" t="n">
        <v>17</v>
      </c>
      <c r="N252" s="6">
        <f>J252/M252-1</f>
        <v/>
      </c>
      <c r="O252" s="6">
        <f>J252/K252-1</f>
        <v/>
      </c>
      <c r="P252" s="2" t="inlineStr">
        <is>
          <t>OK (≤ últ. compra)</t>
        </is>
      </c>
      <c r="Q252" s="2" t="inlineStr"/>
    </row>
    <row r="253">
      <c r="A253" s="2" t="n">
        <v>637871</v>
      </c>
      <c r="B253" s="2" t="inlineStr">
        <is>
          <t>712566</t>
        </is>
      </c>
      <c r="C253" s="3" t="inlineStr">
        <is>
          <t>7896512911537</t>
        </is>
      </c>
      <c r="D253" s="2" t="inlineStr">
        <is>
          <t>SAB PHEBO MEDITERR ALFAZEMA PROV 100GR</t>
        </is>
      </c>
      <c r="E253" s="4" t="n">
        <v>1</v>
      </c>
      <c r="F253" s="4" t="n">
        <v>2</v>
      </c>
      <c r="G253" s="4" t="n">
        <v>2</v>
      </c>
      <c r="H253" s="5" t="n">
        <v>4.32</v>
      </c>
      <c r="I253" s="5">
        <f>G253*H253</f>
        <v/>
      </c>
      <c r="J253" s="5">
        <f>H253/E253</f>
        <v/>
      </c>
      <c r="K253" s="5" t="n">
        <v>4.7658</v>
      </c>
      <c r="L253" s="5" t="n">
        <v>4.7658</v>
      </c>
      <c r="M253" s="5" t="n">
        <v>4.7658</v>
      </c>
      <c r="N253" s="6">
        <f>J253/M253-1</f>
        <v/>
      </c>
      <c r="O253" s="6">
        <f>J253/K253-1</f>
        <v/>
      </c>
      <c r="P253" s="2" t="inlineStr">
        <is>
          <t>OK (≤ últ. compra)</t>
        </is>
      </c>
      <c r="Q253" s="2" t="inlineStr"/>
    </row>
    <row r="254">
      <c r="A254" s="2" t="n">
        <v>637881</v>
      </c>
      <c r="B254" s="2" t="inlineStr">
        <is>
          <t>705120</t>
        </is>
      </c>
      <c r="C254" s="3" t="inlineStr">
        <is>
          <t>7896512921789</t>
        </is>
      </c>
      <c r="D254" s="2" t="inlineStr">
        <is>
          <t>SAB PHEBO MEDITERR LIMAO SICILIAN 100GR</t>
        </is>
      </c>
      <c r="E254" s="4" t="n">
        <v>1</v>
      </c>
      <c r="F254" s="4" t="n">
        <v>1</v>
      </c>
      <c r="G254" s="4" t="n">
        <v>1</v>
      </c>
      <c r="H254" s="5" t="n">
        <v>4.32</v>
      </c>
      <c r="I254" s="5">
        <f>G254*H254</f>
        <v/>
      </c>
      <c r="J254" s="5">
        <f>H254/E254</f>
        <v/>
      </c>
      <c r="K254" s="5" t="n">
        <v>4.1667</v>
      </c>
      <c r="L254" s="5" t="n">
        <v>4.1667</v>
      </c>
      <c r="M254" s="5" t="n">
        <v>4.1667</v>
      </c>
      <c r="N254" s="6">
        <f>J254/M254-1</f>
        <v/>
      </c>
      <c r="O254" s="6">
        <f>J254/K254-1</f>
        <v/>
      </c>
      <c r="P254" s="2" t="inlineStr">
        <is>
          <t>REAJUSTE +3.7% vs últ. (≤4%)</t>
        </is>
      </c>
      <c r="Q254" s="2" t="inlineStr"/>
    </row>
    <row r="255">
      <c r="A255" s="2" t="n">
        <v>579901</v>
      </c>
      <c r="B255" s="2" t="inlineStr">
        <is>
          <t>705014</t>
        </is>
      </c>
      <c r="C255" s="3" t="inlineStr">
        <is>
          <t>7891150019560</t>
        </is>
      </c>
      <c r="D255" s="2" t="inlineStr">
        <is>
          <t>SAB. DOVE 90G KARITE E BAUNILHA</t>
        </is>
      </c>
      <c r="E255" s="4" t="n">
        <v>1</v>
      </c>
      <c r="F255" s="4" t="n">
        <v>1</v>
      </c>
      <c r="G255" s="4" t="n">
        <v>1</v>
      </c>
      <c r="H255" s="5" t="n">
        <v>3.76</v>
      </c>
      <c r="I255" s="5">
        <f>G255*H255</f>
        <v/>
      </c>
      <c r="J255" s="5">
        <f>H255/E255</f>
        <v/>
      </c>
      <c r="K255" s="5" t="n">
        <v>3.55</v>
      </c>
      <c r="L255" s="5" t="n">
        <v>3.55</v>
      </c>
      <c r="M255" s="5" t="n">
        <v>3.549999999999999</v>
      </c>
      <c r="N255" s="6">
        <f>J255/M255-1</f>
        <v/>
      </c>
      <c r="O255" s="6">
        <f>J255/K255-1</f>
        <v/>
      </c>
      <c r="P255" s="2" t="inlineStr">
        <is>
          <t>REAJUSTE +5.9% vs média (≤6%)</t>
        </is>
      </c>
      <c r="Q255" s="2" t="inlineStr"/>
    </row>
    <row r="256">
      <c r="A256" s="2" t="n">
        <v>577181</v>
      </c>
      <c r="B256" s="2" t="inlineStr">
        <is>
          <t>715569</t>
        </is>
      </c>
      <c r="C256" s="3" t="inlineStr">
        <is>
          <t>7891150065338</t>
        </is>
      </c>
      <c r="D256" s="2" t="inlineStr">
        <is>
          <t>SAB. LIQ. DOVE BAB.180ML REF.</t>
        </is>
      </c>
      <c r="E256" s="4" t="n">
        <v>1</v>
      </c>
      <c r="F256" s="4" t="n">
        <v>3</v>
      </c>
      <c r="G256" s="4" t="n">
        <v>3</v>
      </c>
      <c r="H256" s="5" t="n">
        <v>7.78</v>
      </c>
      <c r="I256" s="5">
        <f>G256*H256</f>
        <v/>
      </c>
      <c r="J256" s="5">
        <f>H256/E256</f>
        <v/>
      </c>
      <c r="K256" s="5" t="n">
        <v>9.27</v>
      </c>
      <c r="L256" s="5" t="n">
        <v>9.27</v>
      </c>
      <c r="M256" s="5" t="n">
        <v>9.27</v>
      </c>
      <c r="N256" s="6">
        <f>J256/M256-1</f>
        <v/>
      </c>
      <c r="O256" s="6">
        <f>J256/K256-1</f>
        <v/>
      </c>
      <c r="P256" s="2" t="inlineStr">
        <is>
          <t>OK (≤ últ. compra)</t>
        </is>
      </c>
      <c r="Q256" s="2" t="inlineStr"/>
    </row>
    <row r="257">
      <c r="A257" s="2" t="n">
        <v>577161</v>
      </c>
      <c r="B257" s="2" t="inlineStr">
        <is>
          <t>715567</t>
        </is>
      </c>
      <c r="C257" s="3" t="inlineStr">
        <is>
          <t>7891150065291</t>
        </is>
      </c>
      <c r="D257" s="2" t="inlineStr">
        <is>
          <t>SAB. LIQ. DOVE BABY 200ML HID.</t>
        </is>
      </c>
      <c r="E257" s="4" t="n">
        <v>1</v>
      </c>
      <c r="F257" s="4" t="n">
        <v>8</v>
      </c>
      <c r="G257" s="4" t="n">
        <v>8</v>
      </c>
      <c r="H257" s="5" t="n">
        <v>10.86</v>
      </c>
      <c r="I257" s="5">
        <f>G257*H257</f>
        <v/>
      </c>
      <c r="J257" s="5">
        <f>H257/E257</f>
        <v/>
      </c>
      <c r="K257" s="5" t="n">
        <v>12.4633</v>
      </c>
      <c r="L257" s="5" t="n">
        <v>12.4633</v>
      </c>
      <c r="M257" s="5" t="n">
        <v>12.4633</v>
      </c>
      <c r="N257" s="6">
        <f>J257/M257-1</f>
        <v/>
      </c>
      <c r="O257" s="6">
        <f>J257/K257-1</f>
        <v/>
      </c>
      <c r="P257" s="2" t="inlineStr">
        <is>
          <t>OK (≤ últ. compra)</t>
        </is>
      </c>
      <c r="Q257" s="2" t="inlineStr"/>
    </row>
    <row r="258">
      <c r="A258" s="2" t="n">
        <v>604561</v>
      </c>
      <c r="B258" s="2" t="inlineStr">
        <is>
          <t>718872</t>
        </is>
      </c>
      <c r="C258" s="3" t="inlineStr">
        <is>
          <t>7891150083462</t>
        </is>
      </c>
      <c r="D258" s="2" t="inlineStr">
        <is>
          <t>SAB.LIQ.LUX P/MAOS D.N.R.240ML</t>
        </is>
      </c>
      <c r="E258" s="4" t="n">
        <v>1</v>
      </c>
      <c r="F258" s="4" t="n">
        <v>1</v>
      </c>
      <c r="G258" s="4" t="n">
        <v>1</v>
      </c>
      <c r="H258" s="5" t="n">
        <v>6.08</v>
      </c>
      <c r="I258" s="5">
        <f>G258*H258</f>
        <v/>
      </c>
      <c r="J258" s="5">
        <f>H258/E258</f>
        <v/>
      </c>
      <c r="K258" s="5" t="n">
        <v>7.95</v>
      </c>
      <c r="L258" s="5" t="n">
        <v>7.35</v>
      </c>
      <c r="M258" s="5" t="n">
        <v>7.75</v>
      </c>
      <c r="N258" s="6">
        <f>J258/M258-1</f>
        <v/>
      </c>
      <c r="O258" s="6">
        <f>J258/K258-1</f>
        <v/>
      </c>
      <c r="P258" s="2" t="inlineStr">
        <is>
          <t>OK (≤ últ. compra)</t>
        </is>
      </c>
      <c r="Q258" s="2" t="inlineStr"/>
    </row>
    <row r="259">
      <c r="A259" s="2" t="n">
        <v>549061</v>
      </c>
      <c r="B259" s="2" t="inlineStr">
        <is>
          <t>703044</t>
        </is>
      </c>
      <c r="C259" s="3" t="inlineStr">
        <is>
          <t>7896512904621</t>
        </is>
      </c>
      <c r="D259" s="2" t="inlineStr">
        <is>
          <t>SABON.LIQ.GRANADO INF.TRAD.250ML</t>
        </is>
      </c>
      <c r="E259" s="4" t="n">
        <v>1</v>
      </c>
      <c r="F259" s="4" t="n">
        <v>7</v>
      </c>
      <c r="G259" s="4" t="n">
        <v>7</v>
      </c>
      <c r="H259" s="5" t="n">
        <v>19.53</v>
      </c>
      <c r="I259" s="5">
        <f>G259*H259</f>
        <v/>
      </c>
      <c r="J259" s="5">
        <f>H259/E259</f>
        <v/>
      </c>
      <c r="K259" s="5" t="n">
        <v>18.98</v>
      </c>
      <c r="L259" s="5" t="n">
        <v>16.72</v>
      </c>
      <c r="M259" s="5" t="n">
        <v>18.22666666666667</v>
      </c>
      <c r="N259" s="6">
        <f>J259/M259-1</f>
        <v/>
      </c>
      <c r="O259" s="6">
        <f>J259/K259-1</f>
        <v/>
      </c>
      <c r="P259" s="2" t="inlineStr">
        <is>
          <t>REAJUSTE +2.9% vs últ. (≤4%)</t>
        </is>
      </c>
      <c r="Q259" s="2" t="inlineStr"/>
    </row>
    <row r="260">
      <c r="A260" s="2" t="n">
        <v>537201</v>
      </c>
      <c r="B260" s="2" t="inlineStr">
        <is>
          <t>703043</t>
        </is>
      </c>
      <c r="C260" s="3" t="inlineStr">
        <is>
          <t>7896512900043</t>
        </is>
      </c>
      <c r="D260" s="2" t="inlineStr">
        <is>
          <t>SABONETE BARRA ENXOFRE GRANADO CAIXA 90G</t>
        </is>
      </c>
      <c r="E260" s="4" t="n">
        <v>1</v>
      </c>
      <c r="F260" s="4" t="n">
        <v>71</v>
      </c>
      <c r="G260" s="4" t="n">
        <v>71</v>
      </c>
      <c r="H260" s="5" t="n">
        <v>6.53</v>
      </c>
      <c r="I260" s="5">
        <f>G260*H260</f>
        <v/>
      </c>
      <c r="J260" s="5">
        <f>H260/E260</f>
        <v/>
      </c>
      <c r="K260" s="5" t="n">
        <v>6.6661</v>
      </c>
      <c r="L260" s="5" t="n">
        <v>6.363</v>
      </c>
      <c r="M260" s="5" t="n">
        <v>6.565066666666667</v>
      </c>
      <c r="N260" s="6">
        <f>J260/M260-1</f>
        <v/>
      </c>
      <c r="O260" s="6">
        <f>J260/K260-1</f>
        <v/>
      </c>
      <c r="P260" s="2" t="inlineStr">
        <is>
          <t>OK (≤ últ. compra)</t>
        </is>
      </c>
      <c r="Q260" s="2" t="inlineStr"/>
    </row>
    <row r="261">
      <c r="A261" s="2" t="n">
        <v>552301</v>
      </c>
      <c r="B261" s="2" t="inlineStr">
        <is>
          <t>703058</t>
        </is>
      </c>
      <c r="C261" s="3" t="inlineStr">
        <is>
          <t>7896512900111</t>
        </is>
      </c>
      <c r="D261" s="2" t="inlineStr">
        <is>
          <t>SABONETE BARRA SULFUROSO GRANADO CAIXA 90G</t>
        </is>
      </c>
      <c r="E261" s="4" t="n">
        <v>1</v>
      </c>
      <c r="F261" s="4" t="n">
        <v>10</v>
      </c>
      <c r="G261" s="4" t="n">
        <v>10</v>
      </c>
      <c r="H261" s="5" t="n">
        <v>6.78</v>
      </c>
      <c r="I261" s="5">
        <f>G261*H261</f>
        <v/>
      </c>
      <c r="J261" s="5">
        <f>H261/E261</f>
        <v/>
      </c>
      <c r="K261" s="5" t="n">
        <v>6.665</v>
      </c>
      <c r="L261" s="5" t="n">
        <v>6.4504</v>
      </c>
      <c r="M261" s="5" t="n">
        <v>6.593466666666667</v>
      </c>
      <c r="N261" s="6">
        <f>J261/M261-1</f>
        <v/>
      </c>
      <c r="O261" s="6">
        <f>J261/K261-1</f>
        <v/>
      </c>
      <c r="P261" s="2" t="inlineStr">
        <is>
          <t>REAJUSTE +1.7% vs últ. (≤4%)</t>
        </is>
      </c>
      <c r="Q261" s="2" t="inlineStr"/>
    </row>
    <row r="262">
      <c r="A262" s="2" t="n">
        <v>536801</v>
      </c>
      <c r="B262" s="2" t="inlineStr">
        <is>
          <t>703186</t>
        </is>
      </c>
      <c r="C262" s="3" t="inlineStr">
        <is>
          <t>7896512909787</t>
        </is>
      </c>
      <c r="D262" s="2" t="inlineStr">
        <is>
          <t>SABONETE BARRA VEGETAL ODOR DE ROSAS PHEBO ENVOLTÓRIO 90G</t>
        </is>
      </c>
      <c r="E262" s="4" t="n">
        <v>1</v>
      </c>
      <c r="F262" s="4" t="n">
        <v>11</v>
      </c>
      <c r="G262" s="4" t="n">
        <v>11</v>
      </c>
      <c r="H262" s="5" t="n">
        <v>3.88</v>
      </c>
      <c r="I262" s="5">
        <f>G262*H262</f>
        <v/>
      </c>
      <c r="J262" s="5">
        <f>H262/E262</f>
        <v/>
      </c>
      <c r="K262" s="5" t="n">
        <v>4.6</v>
      </c>
      <c r="L262" s="5" t="n">
        <v>4.6</v>
      </c>
      <c r="M262" s="5" t="n">
        <v>4.6</v>
      </c>
      <c r="N262" s="6">
        <f>J262/M262-1</f>
        <v/>
      </c>
      <c r="O262" s="6">
        <f>J262/K262-1</f>
        <v/>
      </c>
      <c r="P262" s="2" t="inlineStr">
        <is>
          <t>OK (≤ últ. compra)</t>
        </is>
      </c>
      <c r="Q262" s="2" t="inlineStr"/>
    </row>
    <row r="263">
      <c r="A263" s="2" t="n">
        <v>104</v>
      </c>
      <c r="B263" s="2" t="inlineStr">
        <is>
          <t>703913</t>
        </is>
      </c>
      <c r="C263" s="3" t="inlineStr">
        <is>
          <t>4005808189342</t>
        </is>
      </c>
      <c r="D263" s="2" t="inlineStr">
        <is>
          <t>SABONETE FACIAL GEL NIVEA EQUI NUT 150G</t>
        </is>
      </c>
      <c r="E263" s="4" t="n">
        <v>1</v>
      </c>
      <c r="F263" s="4" t="n">
        <v>1</v>
      </c>
      <c r="G263" s="4" t="n">
        <v>1</v>
      </c>
      <c r="H263" s="5" t="n">
        <v>22.71</v>
      </c>
      <c r="I263" s="5">
        <f>G263*H263</f>
        <v/>
      </c>
      <c r="J263" s="5">
        <f>H263/E263</f>
        <v/>
      </c>
      <c r="K263" s="5" t="n">
        <v>26.19</v>
      </c>
      <c r="L263" s="5" t="n">
        <v>21.2</v>
      </c>
      <c r="M263" s="5" t="n">
        <v>24.34</v>
      </c>
      <c r="N263" s="6">
        <f>J263/M263-1</f>
        <v/>
      </c>
      <c r="O263" s="6">
        <f>J263/K263-1</f>
        <v/>
      </c>
      <c r="P263" s="2" t="inlineStr">
        <is>
          <t>OK (≤ últ. compra)</t>
        </is>
      </c>
      <c r="Q263" s="2" t="inlineStr"/>
    </row>
    <row r="264">
      <c r="A264" s="2" t="n">
        <v>535741</v>
      </c>
      <c r="B264" s="2" t="inlineStr">
        <is>
          <t>703133</t>
        </is>
      </c>
      <c r="C264" s="3" t="inlineStr">
        <is>
          <t>7890704810516</t>
        </is>
      </c>
      <c r="D264" s="2" t="inlineStr">
        <is>
          <t>SABONETE LIQUIDO INTIMO NIVEA SUAVE FRASCO 250ML</t>
        </is>
      </c>
      <c r="E264" s="4" t="n">
        <v>1</v>
      </c>
      <c r="F264" s="4" t="n">
        <v>3</v>
      </c>
      <c r="G264" s="4" t="n">
        <v>3</v>
      </c>
      <c r="H264" s="5" t="n">
        <v>15.95</v>
      </c>
      <c r="I264" s="5">
        <f>G264*H264</f>
        <v/>
      </c>
      <c r="J264" s="5">
        <f>H264/E264</f>
        <v/>
      </c>
      <c r="K264" s="5" t="n">
        <v>17.7647</v>
      </c>
      <c r="L264" s="5" t="n">
        <v>16.0142</v>
      </c>
      <c r="M264" s="5" t="n">
        <v>16.99806666666666</v>
      </c>
      <c r="N264" s="6">
        <f>J264/M264-1</f>
        <v/>
      </c>
      <c r="O264" s="6">
        <f>J264/K264-1</f>
        <v/>
      </c>
      <c r="P264" s="2" t="inlineStr">
        <is>
          <t>OK (≤ últ. compra)</t>
        </is>
      </c>
      <c r="Q264" s="2" t="inlineStr"/>
    </row>
    <row r="265">
      <c r="A265" s="2" t="n">
        <v>431301</v>
      </c>
      <c r="B265" s="2" t="inlineStr">
        <is>
          <t>401164</t>
        </is>
      </c>
      <c r="C265" s="3" t="inlineStr">
        <is>
          <t>7896227800089</t>
        </is>
      </c>
      <c r="D265" s="2" t="inlineStr">
        <is>
          <t>SALONPAS 0,15+0,07G/G GEL BG 20G</t>
        </is>
      </c>
      <c r="E265" s="4" t="n">
        <v>1</v>
      </c>
      <c r="F265" s="4" t="n">
        <v>2</v>
      </c>
      <c r="G265" s="4" t="n">
        <v>2</v>
      </c>
      <c r="H265" s="5" t="n">
        <v>15.16</v>
      </c>
      <c r="I265" s="5">
        <f>G265*H265</f>
        <v/>
      </c>
      <c r="J265" s="5">
        <f>H265/E265</f>
        <v/>
      </c>
      <c r="K265" s="5" t="n">
        <v>14.86</v>
      </c>
      <c r="L265" s="5" t="n">
        <v>14.325</v>
      </c>
      <c r="M265" s="5" t="n">
        <v>14.325</v>
      </c>
      <c r="N265" s="6">
        <f>J265/M265-1</f>
        <v/>
      </c>
      <c r="O265" s="6">
        <f>J265/K265-1</f>
        <v/>
      </c>
      <c r="P265" s="2" t="inlineStr">
        <is>
          <t>REAJUSTE +2.0% vs últ. (≤4%)</t>
        </is>
      </c>
      <c r="Q265" s="2" t="inlineStr"/>
    </row>
    <row r="266">
      <c r="A266" s="2" t="n">
        <v>318421</v>
      </c>
      <c r="B266" s="2" t="inlineStr">
        <is>
          <t>403919</t>
        </is>
      </c>
      <c r="C266" s="3" t="inlineStr">
        <is>
          <t>7896227800812</t>
        </is>
      </c>
      <c r="D266" s="2" t="inlineStr">
        <is>
          <t>SALONPAS 144,0+131,0+28,4MG  CX 2 UNID. ADES TAM GDE</t>
        </is>
      </c>
      <c r="E266" s="4" t="n">
        <v>1</v>
      </c>
      <c r="F266" s="4" t="n">
        <v>36</v>
      </c>
      <c r="G266" s="4" t="n">
        <v>36</v>
      </c>
      <c r="H266" s="5" t="n">
        <v>7.23</v>
      </c>
      <c r="I266" s="5">
        <f>G266*H266</f>
        <v/>
      </c>
      <c r="J266" s="5">
        <f>H266/E266</f>
        <v/>
      </c>
      <c r="K266" s="5" t="n">
        <v>8.029500000000001</v>
      </c>
      <c r="L266" s="5" t="n">
        <v>6.1254</v>
      </c>
      <c r="M266" s="5" t="n">
        <v>7.3948</v>
      </c>
      <c r="N266" s="6">
        <f>J266/M266-1</f>
        <v/>
      </c>
      <c r="O266" s="6">
        <f>J266/K266-1</f>
        <v/>
      </c>
      <c r="P266" s="2" t="inlineStr">
        <is>
          <t>OK (≤ últ. compra)</t>
        </is>
      </c>
      <c r="Q266" s="2" t="inlineStr"/>
    </row>
    <row r="267">
      <c r="A267" s="2" t="n">
        <v>318441</v>
      </c>
      <c r="B267" s="2" t="inlineStr">
        <is>
          <t>403920</t>
        </is>
      </c>
      <c r="C267" s="3" t="inlineStr">
        <is>
          <t>7896227800829</t>
        </is>
      </c>
      <c r="D267" s="2" t="inlineStr">
        <is>
          <t>SALONPAS 144,0+131,0+28,4MG CX 4 UNID. ADES TAM GDE</t>
        </is>
      </c>
      <c r="E267" s="4" t="n">
        <v>1</v>
      </c>
      <c r="F267" s="4" t="n">
        <v>61</v>
      </c>
      <c r="G267" s="4" t="n">
        <v>61</v>
      </c>
      <c r="H267" s="5" t="n">
        <v>13.02</v>
      </c>
      <c r="I267" s="5">
        <f>G267*H267</f>
        <v/>
      </c>
      <c r="J267" s="5">
        <f>H267/E267</f>
        <v/>
      </c>
      <c r="K267" s="5" t="n">
        <v>15.3803</v>
      </c>
      <c r="L267" s="5" t="n">
        <v>11.0372</v>
      </c>
      <c r="M267" s="5" t="n">
        <v>13.1579</v>
      </c>
      <c r="N267" s="6">
        <f>J267/M267-1</f>
        <v/>
      </c>
      <c r="O267" s="6">
        <f>J267/K267-1</f>
        <v/>
      </c>
      <c r="P267" s="2" t="inlineStr">
        <is>
          <t>OK (≤ últ. compra)</t>
        </is>
      </c>
      <c r="Q267" s="2" t="inlineStr"/>
    </row>
    <row r="268">
      <c r="A268" s="2" t="n">
        <v>431321</v>
      </c>
      <c r="B268" s="2" t="inlineStr">
        <is>
          <t>401161</t>
        </is>
      </c>
      <c r="C268" s="3" t="inlineStr">
        <is>
          <t>7896227800041</t>
        </is>
      </c>
      <c r="D268" s="2" t="inlineStr">
        <is>
          <t>SALONPAS 30+38,5+38,5+19MG/ML LATA COM 80ML</t>
        </is>
      </c>
      <c r="E268" s="4" t="n">
        <v>1</v>
      </c>
      <c r="F268" s="4" t="n">
        <v>1</v>
      </c>
      <c r="G268" s="4" t="n">
        <v>1</v>
      </c>
      <c r="H268" s="5" t="n">
        <v>38.44</v>
      </c>
      <c r="I268" s="5">
        <f>G268*H268</f>
        <v/>
      </c>
      <c r="J268" s="5">
        <f>H268/E268</f>
        <v/>
      </c>
      <c r="K268" s="5" t="n">
        <v>37.6733</v>
      </c>
      <c r="L268" s="5" t="n">
        <v>32.5533</v>
      </c>
      <c r="M268" s="5" t="n">
        <v>35.4922</v>
      </c>
      <c r="N268" s="6">
        <f>J268/M268-1</f>
        <v/>
      </c>
      <c r="O268" s="6">
        <f>J268/K268-1</f>
        <v/>
      </c>
      <c r="P268" s="2" t="inlineStr">
        <is>
          <t>REAJUSTE +2.0% vs últ. (≤4%)</t>
        </is>
      </c>
      <c r="Q268" s="2" t="inlineStr"/>
    </row>
    <row r="269">
      <c r="A269" s="2" t="n">
        <v>318381</v>
      </c>
      <c r="B269" s="2" t="inlineStr">
        <is>
          <t>403922</t>
        </is>
      </c>
      <c r="C269" s="3" t="inlineStr">
        <is>
          <t>7896227800805</t>
        </is>
      </c>
      <c r="D269" s="2" t="inlineStr">
        <is>
          <t>SALONPAS 36,0MG+33,0MG+7,1MG CX 10 UNID. ADES TAM PEQ</t>
        </is>
      </c>
      <c r="E269" s="4" t="n">
        <v>1</v>
      </c>
      <c r="F269" s="4" t="n">
        <v>32</v>
      </c>
      <c r="G269" s="4" t="n">
        <v>32</v>
      </c>
      <c r="H269" s="5" t="n">
        <v>8.17</v>
      </c>
      <c r="I269" s="5">
        <f>G269*H269</f>
        <v/>
      </c>
      <c r="J269" s="5">
        <f>H269/E269</f>
        <v/>
      </c>
      <c r="K269" s="5" t="n">
        <v>8.486000000000001</v>
      </c>
      <c r="L269" s="5" t="n">
        <v>6.9125</v>
      </c>
      <c r="M269" s="5" t="n">
        <v>7.961500000000001</v>
      </c>
      <c r="N269" s="6">
        <f>J269/M269-1</f>
        <v/>
      </c>
      <c r="O269" s="6">
        <f>J269/K269-1</f>
        <v/>
      </c>
      <c r="P269" s="2" t="inlineStr">
        <is>
          <t>OK (≤ últ. compra)</t>
        </is>
      </c>
      <c r="Q269" s="2" t="inlineStr"/>
    </row>
    <row r="270">
      <c r="A270" s="2" t="n">
        <v>623011</v>
      </c>
      <c r="B270" s="2" t="inlineStr">
        <is>
          <t>401167</t>
        </is>
      </c>
      <c r="C270" s="3" t="inlineStr">
        <is>
          <t>4987188501115</t>
        </is>
      </c>
      <c r="D270" s="2" t="inlineStr">
        <is>
          <t>SALONPAS GEL-PATCH 12,5MG/G+10MG/G+3MG/G+10MG/G 3 ADES</t>
        </is>
      </c>
      <c r="E270" s="4" t="n">
        <v>1</v>
      </c>
      <c r="F270" s="4" t="n">
        <v>2</v>
      </c>
      <c r="G270" s="4" t="n">
        <v>2</v>
      </c>
      <c r="H270" s="5" t="n">
        <v>14.11</v>
      </c>
      <c r="I270" s="5">
        <f>G270*H270</f>
        <v/>
      </c>
      <c r="J270" s="5">
        <f>H270/E270</f>
        <v/>
      </c>
      <c r="K270" s="5" t="n">
        <v>15.66</v>
      </c>
      <c r="L270" s="5" t="n">
        <v>11.075</v>
      </c>
      <c r="M270" s="5" t="n">
        <v>12.55833333333333</v>
      </c>
      <c r="N270" s="6">
        <f>J270/M270-1</f>
        <v/>
      </c>
      <c r="O270" s="6">
        <f>J270/K270-1</f>
        <v/>
      </c>
      <c r="P270" s="2" t="inlineStr">
        <is>
          <t>OK (≤ últ. compra)</t>
        </is>
      </c>
      <c r="Q270" s="2" t="inlineStr"/>
    </row>
    <row r="271">
      <c r="A271" s="2" t="n">
        <v>628621</v>
      </c>
      <c r="B271" s="2" t="inlineStr">
        <is>
          <t>721211</t>
        </is>
      </c>
      <c r="C271" s="3" t="inlineStr">
        <is>
          <t>7891150075375</t>
        </is>
      </c>
      <c r="D271" s="2" t="inlineStr">
        <is>
          <t>SB LIQ DOVE 200ML RF CUIDA PROTEGE M3</t>
        </is>
      </c>
      <c r="E271" s="4" t="n">
        <v>1</v>
      </c>
      <c r="F271" s="4" t="n">
        <v>2</v>
      </c>
      <c r="G271" s="4" t="n">
        <v>2</v>
      </c>
      <c r="H271" s="5" t="n">
        <v>6.45</v>
      </c>
      <c r="I271" s="5">
        <f>G271*H271</f>
        <v/>
      </c>
      <c r="J271" s="5">
        <f>H271/E271</f>
        <v/>
      </c>
      <c r="K271" s="5" t="n">
        <v>8.31</v>
      </c>
      <c r="L271" s="5" t="n">
        <v>7.53</v>
      </c>
      <c r="M271" s="5" t="n">
        <v>8.050000000000001</v>
      </c>
      <c r="N271" s="6">
        <f>J271/M271-1</f>
        <v/>
      </c>
      <c r="O271" s="6">
        <f>J271/K271-1</f>
        <v/>
      </c>
      <c r="P271" s="2" t="inlineStr">
        <is>
          <t>OK (≤ últ. compra)</t>
        </is>
      </c>
      <c r="Q271" s="2" t="inlineStr"/>
    </row>
    <row r="272">
      <c r="A272" s="2" t="n">
        <v>628971</v>
      </c>
      <c r="B272" s="2" t="inlineStr">
        <is>
          <t>714781</t>
        </is>
      </c>
      <c r="C272" s="3" t="inlineStr">
        <is>
          <t>7891150053229</t>
        </is>
      </c>
      <c r="D272" s="2" t="inlineStr">
        <is>
          <t>SB LIQ DOVE 200ML RF NUTRICAO PROFU M3</t>
        </is>
      </c>
      <c r="E272" s="4" t="n">
        <v>1</v>
      </c>
      <c r="F272" s="4" t="n">
        <v>8</v>
      </c>
      <c r="G272" s="4" t="n">
        <v>8</v>
      </c>
      <c r="H272" s="5" t="n">
        <v>6.51</v>
      </c>
      <c r="I272" s="5">
        <f>G272*H272</f>
        <v/>
      </c>
      <c r="J272" s="5">
        <f>H272/E272</f>
        <v/>
      </c>
      <c r="K272" s="5" t="n">
        <v>7.88</v>
      </c>
      <c r="L272" s="5" t="n">
        <v>7.53</v>
      </c>
      <c r="M272" s="5" t="n">
        <v>7.763333333333333</v>
      </c>
      <c r="N272" s="6">
        <f>J272/M272-1</f>
        <v/>
      </c>
      <c r="O272" s="6">
        <f>J272/K272-1</f>
        <v/>
      </c>
      <c r="P272" s="2" t="inlineStr">
        <is>
          <t>OK (≤ últ. compra)</t>
        </is>
      </c>
      <c r="Q272" s="2" t="inlineStr"/>
    </row>
    <row r="273">
      <c r="A273" s="2" t="n">
        <v>576081</v>
      </c>
      <c r="B273" s="2" t="inlineStr">
        <is>
          <t>717120</t>
        </is>
      </c>
      <c r="C273" s="3" t="inlineStr">
        <is>
          <t>7891150075405</t>
        </is>
      </c>
      <c r="D273" s="2" t="inlineStr">
        <is>
          <t>SB LIQ DOVE 250ML CUIDA PROTEGE M3</t>
        </is>
      </c>
      <c r="E273" s="4" t="n">
        <v>1</v>
      </c>
      <c r="F273" s="4" t="n">
        <v>4</v>
      </c>
      <c r="G273" s="4" t="n">
        <v>4</v>
      </c>
      <c r="H273" s="5" t="n">
        <v>9.51</v>
      </c>
      <c r="I273" s="5">
        <f>G273*H273</f>
        <v/>
      </c>
      <c r="J273" s="5">
        <f>H273/E273</f>
        <v/>
      </c>
      <c r="K273" s="5" t="n">
        <v>11.685</v>
      </c>
      <c r="L273" s="5" t="n">
        <v>11.5333</v>
      </c>
      <c r="M273" s="5" t="n">
        <v>11.5333</v>
      </c>
      <c r="N273" s="6">
        <f>J273/M273-1</f>
        <v/>
      </c>
      <c r="O273" s="6">
        <f>J273/K273-1</f>
        <v/>
      </c>
      <c r="P273" s="2" t="inlineStr">
        <is>
          <t>OK (≤ últ. compra)</t>
        </is>
      </c>
      <c r="Q273" s="2" t="inlineStr"/>
    </row>
    <row r="274">
      <c r="A274" s="2" t="n">
        <v>575521</v>
      </c>
      <c r="B274" s="2" t="inlineStr">
        <is>
          <t>712801</t>
        </is>
      </c>
      <c r="C274" s="3" t="inlineStr">
        <is>
          <t>7891150029293</t>
        </is>
      </c>
      <c r="D274" s="2" t="inlineStr">
        <is>
          <t>SB LIQ DOVE 250ML CUIDADO RECONFORTAN M3</t>
        </is>
      </c>
      <c r="E274" s="4" t="n">
        <v>1</v>
      </c>
      <c r="F274" s="4" t="n">
        <v>1</v>
      </c>
      <c r="G274" s="4" t="n">
        <v>1</v>
      </c>
      <c r="H274" s="5" t="n">
        <v>9.51</v>
      </c>
      <c r="I274" s="5">
        <f>G274*H274</f>
        <v/>
      </c>
      <c r="J274" s="5">
        <f>H274/E274</f>
        <v/>
      </c>
      <c r="K274" s="5" t="n">
        <v>12.6</v>
      </c>
      <c r="L274" s="5" t="n">
        <v>12.6</v>
      </c>
      <c r="M274" s="5" t="n">
        <v>12.6</v>
      </c>
      <c r="N274" s="6">
        <f>J274/M274-1</f>
        <v/>
      </c>
      <c r="O274" s="6">
        <f>J274/K274-1</f>
        <v/>
      </c>
      <c r="P274" s="2" t="inlineStr">
        <is>
          <t>OK (≤ últ. compra)</t>
        </is>
      </c>
      <c r="Q274" s="2" t="inlineStr"/>
    </row>
    <row r="275">
      <c r="A275" s="2" t="n">
        <v>631681</v>
      </c>
      <c r="B275" s="2" t="inlineStr">
        <is>
          <t>714908</t>
        </is>
      </c>
      <c r="C275" s="3" t="inlineStr">
        <is>
          <t>7891150063105</t>
        </is>
      </c>
      <c r="D275" s="2" t="inlineStr">
        <is>
          <t>SB LIQ DOVE 250ML NUTRICAO PROFUNDA</t>
        </is>
      </c>
      <c r="E275" s="4" t="n">
        <v>1</v>
      </c>
      <c r="F275" s="4" t="n">
        <v>2</v>
      </c>
      <c r="G275" s="4" t="n">
        <v>2</v>
      </c>
      <c r="H275" s="5" t="n">
        <v>9.51</v>
      </c>
      <c r="I275" s="5">
        <f>G275*H275</f>
        <v/>
      </c>
      <c r="J275" s="5">
        <f>H275/E275</f>
        <v/>
      </c>
      <c r="K275" s="5" t="n">
        <v>12.17</v>
      </c>
      <c r="L275" s="5" t="n">
        <v>10.7908</v>
      </c>
      <c r="M275" s="5" t="n">
        <v>11.71026666666667</v>
      </c>
      <c r="N275" s="6">
        <f>J275/M275-1</f>
        <v/>
      </c>
      <c r="O275" s="6">
        <f>J275/K275-1</f>
        <v/>
      </c>
      <c r="P275" s="2" t="inlineStr">
        <is>
          <t>OK (≤ últ. compra)</t>
        </is>
      </c>
      <c r="Q275" s="2" t="inlineStr"/>
    </row>
    <row r="276">
      <c r="A276" s="2" t="n">
        <v>653871</v>
      </c>
      <c r="B276" s="2" t="inlineStr">
        <is>
          <t>722377</t>
        </is>
      </c>
      <c r="C276" s="3" t="inlineStr">
        <is>
          <t>7891150095328</t>
        </is>
      </c>
      <c r="D276" s="2" t="inlineStr">
        <is>
          <t>SB LIQ LUX BOT 200ML REFIL GARD AMEND</t>
        </is>
      </c>
      <c r="E276" s="4" t="n">
        <v>1</v>
      </c>
      <c r="F276" s="4" t="n">
        <v>3</v>
      </c>
      <c r="G276" s="4" t="n">
        <v>3</v>
      </c>
      <c r="H276" s="5" t="n">
        <v>4.52</v>
      </c>
      <c r="I276" s="5">
        <f>G276*H276</f>
        <v/>
      </c>
      <c r="J276" s="5">
        <f>H276/E276</f>
        <v/>
      </c>
      <c r="K276" s="5" t="n">
        <v>5.94</v>
      </c>
      <c r="L276" s="5" t="n">
        <v>5.94</v>
      </c>
      <c r="M276" s="5" t="n">
        <v>5.94</v>
      </c>
      <c r="N276" s="6">
        <f>J276/M276-1</f>
        <v/>
      </c>
      <c r="O276" s="6">
        <f>J276/K276-1</f>
        <v/>
      </c>
      <c r="P276" s="2" t="inlineStr">
        <is>
          <t>OK (≤ últ. compra)</t>
        </is>
      </c>
      <c r="Q276" s="2" t="inlineStr"/>
    </row>
    <row r="277">
      <c r="A277" s="2" t="n">
        <v>575781</v>
      </c>
      <c r="B277" s="2" t="inlineStr">
        <is>
          <t>714315</t>
        </is>
      </c>
      <c r="C277" s="3" t="inlineStr">
        <is>
          <t>7891150060166</t>
        </is>
      </c>
      <c r="D277" s="2" t="inlineStr">
        <is>
          <t>SB LIQ LUX BOTANICALS 250ML BUQ DE JA M3</t>
        </is>
      </c>
      <c r="E277" s="4" t="n">
        <v>1</v>
      </c>
      <c r="F277" s="4" t="n">
        <v>6</v>
      </c>
      <c r="G277" s="4" t="n">
        <v>6</v>
      </c>
      <c r="H277" s="5" t="n">
        <v>6.51</v>
      </c>
      <c r="I277" s="5">
        <f>G277*H277</f>
        <v/>
      </c>
      <c r="J277" s="5">
        <f>H277/E277</f>
        <v/>
      </c>
      <c r="K277" s="5" t="n">
        <v>8.026</v>
      </c>
      <c r="L277" s="5" t="n">
        <v>7.67</v>
      </c>
      <c r="M277" s="5" t="n">
        <v>7.885000000000001</v>
      </c>
      <c r="N277" s="6">
        <f>J277/M277-1</f>
        <v/>
      </c>
      <c r="O277" s="6">
        <f>J277/K277-1</f>
        <v/>
      </c>
      <c r="P277" s="2" t="inlineStr">
        <is>
          <t>OK (≤ últ. compra)</t>
        </is>
      </c>
      <c r="Q277" s="2" t="inlineStr"/>
    </row>
    <row r="278">
      <c r="A278" s="2" t="n">
        <v>540721</v>
      </c>
      <c r="B278" s="2" t="inlineStr">
        <is>
          <t>703045</t>
        </is>
      </c>
      <c r="C278" s="3" t="inlineStr">
        <is>
          <t>7896512905420</t>
        </is>
      </c>
      <c r="D278" s="2" t="inlineStr">
        <is>
          <t>SBNT GRANADO GLICERINA 90G</t>
        </is>
      </c>
      <c r="E278" s="4" t="n">
        <v>1</v>
      </c>
      <c r="F278" s="4" t="n">
        <v>7</v>
      </c>
      <c r="G278" s="4" t="n">
        <v>7</v>
      </c>
      <c r="H278" s="5" t="n">
        <v>4.78</v>
      </c>
      <c r="I278" s="5">
        <f>G278*H278</f>
        <v/>
      </c>
      <c r="J278" s="5">
        <f>H278/E278</f>
        <v/>
      </c>
      <c r="K278" s="5" t="n">
        <v>4.95</v>
      </c>
      <c r="L278" s="5" t="n">
        <v>4.95</v>
      </c>
      <c r="M278" s="5" t="n">
        <v>4.95</v>
      </c>
      <c r="N278" s="6">
        <f>J278/M278-1</f>
        <v/>
      </c>
      <c r="O278" s="6">
        <f>J278/K278-1</f>
        <v/>
      </c>
      <c r="P278" s="2" t="inlineStr">
        <is>
          <t>OK (≤ últ. compra)</t>
        </is>
      </c>
      <c r="Q278" s="2" t="inlineStr"/>
    </row>
    <row r="279">
      <c r="A279" s="2" t="n">
        <v>593601</v>
      </c>
      <c r="B279" s="2" t="inlineStr">
        <is>
          <t>717410</t>
        </is>
      </c>
      <c r="C279" s="3" t="inlineStr">
        <is>
          <t>7891035000898</t>
        </is>
      </c>
      <c r="D279" s="2" t="inlineStr">
        <is>
          <t>SBP LOCAO REPEL INFANTIL BABY 12X100ML</t>
        </is>
      </c>
      <c r="E279" s="4" t="n">
        <v>1</v>
      </c>
      <c r="F279" s="4" t="n">
        <v>3</v>
      </c>
      <c r="G279" s="4" t="n">
        <v>3</v>
      </c>
      <c r="H279" s="5" t="n">
        <v>26.41</v>
      </c>
      <c r="I279" s="5">
        <f>G279*H279</f>
        <v/>
      </c>
      <c r="J279" s="5">
        <f>H279/E279</f>
        <v/>
      </c>
      <c r="K279" s="5" t="n">
        <v>35.33</v>
      </c>
      <c r="L279" s="5" t="n">
        <v>35.33</v>
      </c>
      <c r="M279" s="5" t="n">
        <v>35.33</v>
      </c>
      <c r="N279" s="6">
        <f>J279/M279-1</f>
        <v/>
      </c>
      <c r="O279" s="6">
        <f>J279/K279-1</f>
        <v/>
      </c>
      <c r="P279" s="2" t="inlineStr">
        <is>
          <t>OK (≤ últ. compra)</t>
        </is>
      </c>
      <c r="Q279" s="2" t="inlineStr"/>
    </row>
    <row r="280">
      <c r="A280" s="2" t="n">
        <v>648661</v>
      </c>
      <c r="B280" s="2" t="inlineStr">
        <is>
          <t>722177</t>
        </is>
      </c>
      <c r="C280" s="3" t="inlineStr">
        <is>
          <t>7891150095618</t>
        </is>
      </c>
      <c r="D280" s="2" t="inlineStr">
        <is>
          <t>SDS DOVE 90G PELE SENSIVEL M3</t>
        </is>
      </c>
      <c r="E280" s="4" t="n">
        <v>1</v>
      </c>
      <c r="F280" s="4" t="n">
        <v>9</v>
      </c>
      <c r="G280" s="4" t="n">
        <v>9</v>
      </c>
      <c r="H280" s="5" t="n">
        <v>3.69</v>
      </c>
      <c r="I280" s="5">
        <f>G280*H280</f>
        <v/>
      </c>
      <c r="J280" s="5">
        <f>H280/E280</f>
        <v/>
      </c>
      <c r="K280" s="5" t="n">
        <v>5.0925</v>
      </c>
      <c r="L280" s="5" t="n">
        <v>4.5022</v>
      </c>
      <c r="M280" s="5" t="n">
        <v>4.895733333333333</v>
      </c>
      <c r="N280" s="6">
        <f>J280/M280-1</f>
        <v/>
      </c>
      <c r="O280" s="6">
        <f>J280/K280-1</f>
        <v/>
      </c>
      <c r="P280" s="2" t="inlineStr">
        <is>
          <t>OK (≤ últ. compra)</t>
        </is>
      </c>
      <c r="Q280" s="2" t="inlineStr"/>
    </row>
    <row r="281">
      <c r="A281" s="2" t="n">
        <v>648651</v>
      </c>
      <c r="B281" s="2" t="inlineStr">
        <is>
          <t>722167</t>
        </is>
      </c>
      <c r="C281" s="3" t="inlineStr">
        <is>
          <t>7891150095670</t>
        </is>
      </c>
      <c r="D281" s="2" t="inlineStr">
        <is>
          <t>SDS LIQ DOVE 200ML RF PELE SENSIVEL M3</t>
        </is>
      </c>
      <c r="E281" s="4" t="n">
        <v>1</v>
      </c>
      <c r="F281" s="4" t="n">
        <v>6</v>
      </c>
      <c r="G281" s="4" t="n">
        <v>6</v>
      </c>
      <c r="H281" s="5" t="n">
        <v>6.51</v>
      </c>
      <c r="I281" s="5">
        <f>G281*H281</f>
        <v/>
      </c>
      <c r="J281" s="5">
        <f>H281/E281</f>
        <v/>
      </c>
      <c r="K281" s="5" t="n">
        <v>7.88</v>
      </c>
      <c r="L281" s="5" t="n">
        <v>7.5292</v>
      </c>
      <c r="M281" s="5" t="n">
        <v>7.763066666666667</v>
      </c>
      <c r="N281" s="6">
        <f>J281/M281-1</f>
        <v/>
      </c>
      <c r="O281" s="6">
        <f>J281/K281-1</f>
        <v/>
      </c>
      <c r="P281" s="2" t="inlineStr">
        <is>
          <t>OK (≤ últ. compra)</t>
        </is>
      </c>
      <c r="Q281" s="2" t="inlineStr"/>
    </row>
    <row r="282">
      <c r="A282" s="2" t="n">
        <v>648361</v>
      </c>
      <c r="B282" s="2" t="inlineStr">
        <is>
          <t>721053</t>
        </is>
      </c>
      <c r="C282" s="3" t="inlineStr">
        <is>
          <t>7891150091788</t>
        </is>
      </c>
      <c r="D282" s="2" t="inlineStr">
        <is>
          <t>SEDA CCP 1KG BOOM DEFINICAO SUPER HID M3</t>
        </is>
      </c>
      <c r="E282" s="4" t="n">
        <v>1</v>
      </c>
      <c r="F282" s="4" t="n">
        <v>1</v>
      </c>
      <c r="G282" s="4" t="n">
        <v>1</v>
      </c>
      <c r="H282" s="5" t="n">
        <v>15.21</v>
      </c>
      <c r="I282" s="5">
        <f>G282*H282</f>
        <v/>
      </c>
      <c r="J282" s="5">
        <f>H282/E282</f>
        <v/>
      </c>
      <c r="K282" s="5" t="n">
        <v>20.61</v>
      </c>
      <c r="L282" s="5" t="n">
        <v>17.3012</v>
      </c>
      <c r="M282" s="5" t="n">
        <v>19.50706666666667</v>
      </c>
      <c r="N282" s="6">
        <f>J282/M282-1</f>
        <v/>
      </c>
      <c r="O282" s="6">
        <f>J282/K282-1</f>
        <v/>
      </c>
      <c r="P282" s="2" t="inlineStr">
        <is>
          <t>OK (≤ últ. compra)</t>
        </is>
      </c>
      <c r="Q282" s="2" t="inlineStr"/>
    </row>
    <row r="283">
      <c r="A283" s="2" t="n">
        <v>660561</v>
      </c>
      <c r="B283" s="2" t="inlineStr">
        <is>
          <t>722837</t>
        </is>
      </c>
      <c r="C283" s="3" t="inlineStr">
        <is>
          <t>7891150099821</t>
        </is>
      </c>
      <c r="D283" s="2" t="inlineStr">
        <is>
          <t>SEDA SERUM LUMINOSO UV 110ML</t>
        </is>
      </c>
      <c r="E283" s="4" t="n">
        <v>1</v>
      </c>
      <c r="F283" s="4" t="n">
        <v>1</v>
      </c>
      <c r="G283" s="4" t="n">
        <v>1</v>
      </c>
      <c r="H283" s="5" t="n">
        <v>14.38</v>
      </c>
      <c r="I283" s="5">
        <f>G283*H283</f>
        <v/>
      </c>
      <c r="J283" s="5">
        <f>H283/E283</f>
        <v/>
      </c>
      <c r="K283" s="5" t="n">
        <v>14.87</v>
      </c>
      <c r="L283" s="5" t="n">
        <v>14.87</v>
      </c>
      <c r="M283" s="5" t="n">
        <v>14.87</v>
      </c>
      <c r="N283" s="6">
        <f>J283/M283-1</f>
        <v/>
      </c>
      <c r="O283" s="6">
        <f>J283/K283-1</f>
        <v/>
      </c>
      <c r="P283" s="2" t="inlineStr">
        <is>
          <t>OK (≤ últ. compra)</t>
        </is>
      </c>
      <c r="Q283" s="2" t="inlineStr"/>
    </row>
    <row r="284">
      <c r="A284" s="2" t="n">
        <v>662741</v>
      </c>
      <c r="B284" s="2" t="inlineStr">
        <is>
          <t>722214</t>
        </is>
      </c>
      <c r="C284" s="3" t="inlineStr">
        <is>
          <t>7891150095809</t>
        </is>
      </c>
      <c r="D284" s="2" t="inlineStr">
        <is>
          <t>SERUM DOVE CORP NIACINAMIDA 380ML-DEMAIS PROD</t>
        </is>
      </c>
      <c r="E284" s="4" t="n">
        <v>1</v>
      </c>
      <c r="F284" s="4" t="n">
        <v>6</v>
      </c>
      <c r="G284" s="4" t="n">
        <v>6</v>
      </c>
      <c r="H284" s="5" t="n">
        <v>32.4</v>
      </c>
      <c r="I284" s="5">
        <f>G284*H284</f>
        <v/>
      </c>
      <c r="J284" s="5">
        <f>H284/E284</f>
        <v/>
      </c>
      <c r="K284" s="5" t="n">
        <v>34.895</v>
      </c>
      <c r="L284" s="5" t="n">
        <v>31.2633</v>
      </c>
      <c r="M284" s="5" t="n">
        <v>31.2633</v>
      </c>
      <c r="N284" s="6">
        <f>J284/M284-1</f>
        <v/>
      </c>
      <c r="O284" s="6">
        <f>J284/K284-1</f>
        <v/>
      </c>
      <c r="P284" s="2" t="inlineStr">
        <is>
          <t>OK (≤ últ. compra)</t>
        </is>
      </c>
      <c r="Q284" s="2" t="inlineStr"/>
    </row>
    <row r="285">
      <c r="A285" s="2" t="n">
        <v>662751</v>
      </c>
      <c r="B285" s="2" t="inlineStr">
        <is>
          <t>722191</t>
        </is>
      </c>
      <c r="C285" s="3" t="inlineStr">
        <is>
          <t>7891150095823</t>
        </is>
      </c>
      <c r="D285" s="2" t="inlineStr">
        <is>
          <t>SERUM DOVE CORP PRO RETIN 380ML-DEMAIS PROD</t>
        </is>
      </c>
      <c r="E285" s="4" t="n">
        <v>1</v>
      </c>
      <c r="F285" s="4" t="n">
        <v>2</v>
      </c>
      <c r="G285" s="4" t="n">
        <v>2</v>
      </c>
      <c r="H285" s="5" t="n">
        <v>32.4</v>
      </c>
      <c r="I285" s="5">
        <f>G285*H285</f>
        <v/>
      </c>
      <c r="J285" s="5">
        <f>H285/E285</f>
        <v/>
      </c>
      <c r="K285" s="5" t="n">
        <v>34.89</v>
      </c>
      <c r="L285" s="5" t="n">
        <v>34.3683</v>
      </c>
      <c r="M285" s="5" t="n">
        <v>34.7161</v>
      </c>
      <c r="N285" s="6">
        <f>J285/M285-1</f>
        <v/>
      </c>
      <c r="O285" s="6">
        <f>J285/K285-1</f>
        <v/>
      </c>
      <c r="P285" s="2" t="inlineStr">
        <is>
          <t>OK (≤ últ. compra)</t>
        </is>
      </c>
      <c r="Q285" s="2" t="inlineStr"/>
    </row>
    <row r="286">
      <c r="A286" s="2" t="n">
        <v>582641</v>
      </c>
      <c r="B286" s="2" t="inlineStr">
        <is>
          <t>706911</t>
        </is>
      </c>
      <c r="C286" s="3" t="inlineStr">
        <is>
          <t>7899026459960</t>
        </is>
      </c>
      <c r="D286" s="2" t="inlineStr">
        <is>
          <t>SH .ELSEVE REPARAC.TOTAL5 200ML</t>
        </is>
      </c>
      <c r="E286" s="4" t="n">
        <v>1</v>
      </c>
      <c r="F286" s="4" t="n">
        <v>2</v>
      </c>
      <c r="G286" s="4" t="n">
        <v>2</v>
      </c>
      <c r="H286" s="5" t="n">
        <v>12.03</v>
      </c>
      <c r="I286" s="5">
        <f>G286*H286</f>
        <v/>
      </c>
      <c r="J286" s="5">
        <f>H286/E286</f>
        <v/>
      </c>
      <c r="K286" s="5" t="n">
        <v>13.5</v>
      </c>
      <c r="L286" s="5" t="n">
        <v>11.0167</v>
      </c>
      <c r="M286" s="5" t="n">
        <v>12.67223333333333</v>
      </c>
      <c r="N286" s="6">
        <f>J286/M286-1</f>
        <v/>
      </c>
      <c r="O286" s="6">
        <f>J286/K286-1</f>
        <v/>
      </c>
      <c r="P286" s="2" t="inlineStr">
        <is>
          <t>OK (≤ últ. compra)</t>
        </is>
      </c>
      <c r="Q286" s="2" t="inlineStr"/>
    </row>
    <row r="287">
      <c r="A287" s="2" t="n">
        <v>546621</v>
      </c>
      <c r="B287" s="2" t="inlineStr">
        <is>
          <t>703274</t>
        </is>
      </c>
      <c r="C287" s="3" t="inlineStr">
        <is>
          <t>7898422746216</t>
        </is>
      </c>
      <c r="D287" s="2" t="inlineStr">
        <is>
          <t>SH ANT CAS CLEAR MEN LIMPEZA DIÁRIA FRASCO 200ML</t>
        </is>
      </c>
      <c r="E287" s="4" t="n">
        <v>1</v>
      </c>
      <c r="F287" s="4" t="n">
        <v>2</v>
      </c>
      <c r="G287" s="4" t="n">
        <v>2</v>
      </c>
      <c r="H287" s="5" t="n">
        <v>11.9</v>
      </c>
      <c r="I287" s="5">
        <f>G287*H287</f>
        <v/>
      </c>
      <c r="J287" s="5">
        <f>H287/E287</f>
        <v/>
      </c>
      <c r="K287" s="5" t="n">
        <v>14.9942</v>
      </c>
      <c r="L287" s="5" t="n">
        <v>14.0525</v>
      </c>
      <c r="M287" s="5" t="n">
        <v>14.67223333333333</v>
      </c>
      <c r="N287" s="6">
        <f>J287/M287-1</f>
        <v/>
      </c>
      <c r="O287" s="6">
        <f>J287/K287-1</f>
        <v/>
      </c>
      <c r="P287" s="2" t="inlineStr">
        <is>
          <t>OK (≤ últ. compra)</t>
        </is>
      </c>
      <c r="Q287" s="2" t="inlineStr"/>
    </row>
    <row r="288">
      <c r="A288" s="2" t="n">
        <v>545941</v>
      </c>
      <c r="B288" s="2" t="inlineStr">
        <is>
          <t>709213</t>
        </is>
      </c>
      <c r="C288" s="3" t="inlineStr">
        <is>
          <t>7891150019508</t>
        </is>
      </c>
      <c r="D288" s="2" t="inlineStr">
        <is>
          <t>SH ANT CAS CLEAR MEN SPORTS FRASCO 200ML</t>
        </is>
      </c>
      <c r="E288" s="4" t="n">
        <v>1</v>
      </c>
      <c r="F288" s="4" t="n">
        <v>3</v>
      </c>
      <c r="G288" s="4" t="n">
        <v>3</v>
      </c>
      <c r="H288" s="5" t="n">
        <v>11.9</v>
      </c>
      <c r="I288" s="5">
        <f>G288*H288</f>
        <v/>
      </c>
      <c r="J288" s="5">
        <f>H288/E288</f>
        <v/>
      </c>
      <c r="K288" s="5" t="n">
        <v>14.1067</v>
      </c>
      <c r="L288" s="5" t="n">
        <v>14.0525</v>
      </c>
      <c r="M288" s="5" t="n">
        <v>14.08863333333333</v>
      </c>
      <c r="N288" s="6">
        <f>J288/M288-1</f>
        <v/>
      </c>
      <c r="O288" s="6">
        <f>J288/K288-1</f>
        <v/>
      </c>
      <c r="P288" s="2" t="inlineStr">
        <is>
          <t>OK (≤ últ. compra)</t>
        </is>
      </c>
      <c r="Q288" s="2" t="inlineStr"/>
    </row>
    <row r="289">
      <c r="A289" s="2" t="n">
        <v>546641</v>
      </c>
      <c r="B289" s="2" t="inlineStr">
        <is>
          <t>703271</t>
        </is>
      </c>
      <c r="C289" s="3" t="inlineStr">
        <is>
          <t>7891150007406</t>
        </is>
      </c>
      <c r="D289" s="2" t="inlineStr">
        <is>
          <t>SH ANT CAS ICE COOL MENTHOL CLEAR MEN FRASCO 200ML</t>
        </is>
      </c>
      <c r="E289" s="4" t="n">
        <v>1</v>
      </c>
      <c r="F289" s="4" t="n">
        <v>2</v>
      </c>
      <c r="G289" s="4" t="n">
        <v>2</v>
      </c>
      <c r="H289" s="5" t="n">
        <v>11.9</v>
      </c>
      <c r="I289" s="5">
        <f>G289*H289</f>
        <v/>
      </c>
      <c r="J289" s="5">
        <f>H289/E289</f>
        <v/>
      </c>
      <c r="K289" s="5" t="n">
        <v>14.11</v>
      </c>
      <c r="L289" s="5" t="n">
        <v>14.11</v>
      </c>
      <c r="M289" s="5" t="n">
        <v>14.11</v>
      </c>
      <c r="N289" s="6">
        <f>J289/M289-1</f>
        <v/>
      </c>
      <c r="O289" s="6">
        <f>J289/K289-1</f>
        <v/>
      </c>
      <c r="P289" s="2" t="inlineStr">
        <is>
          <t>OK (≤ últ. compra)</t>
        </is>
      </c>
      <c r="Q289" s="2" t="inlineStr"/>
    </row>
    <row r="290">
      <c r="A290" s="2" t="n">
        <v>591851</v>
      </c>
      <c r="B290" s="2" t="inlineStr">
        <is>
          <t>718246</t>
        </is>
      </c>
      <c r="C290" s="3" t="inlineStr">
        <is>
          <t>7891150075276</t>
        </is>
      </c>
      <c r="D290" s="2" t="inlineStr">
        <is>
          <t>SH ANT CAS MEN C.B 200ML</t>
        </is>
      </c>
      <c r="E290" s="4" t="n">
        <v>1</v>
      </c>
      <c r="F290" s="4" t="n">
        <v>2</v>
      </c>
      <c r="G290" s="4" t="n">
        <v>2</v>
      </c>
      <c r="H290" s="5" t="n">
        <v>11.9</v>
      </c>
      <c r="I290" s="5">
        <f>G290*H290</f>
        <v/>
      </c>
      <c r="J290" s="5">
        <f>H290/E290</f>
        <v/>
      </c>
      <c r="K290" s="5" t="n">
        <v>14.85</v>
      </c>
      <c r="L290" s="5" t="n">
        <v>14.0525</v>
      </c>
      <c r="M290" s="5" t="n">
        <v>14.58416666666667</v>
      </c>
      <c r="N290" s="6">
        <f>J290/M290-1</f>
        <v/>
      </c>
      <c r="O290" s="6">
        <f>J290/K290-1</f>
        <v/>
      </c>
      <c r="P290" s="2" t="inlineStr">
        <is>
          <t>OK (≤ últ. compra)</t>
        </is>
      </c>
      <c r="Q290" s="2" t="inlineStr"/>
    </row>
    <row r="291">
      <c r="A291" s="2" t="n">
        <v>609851</v>
      </c>
      <c r="B291" s="2" t="inlineStr">
        <is>
          <t>707274</t>
        </is>
      </c>
      <c r="C291" s="3" t="inlineStr">
        <is>
          <t>7898587774314</t>
        </is>
      </c>
      <c r="D291" s="2" t="inlineStr">
        <is>
          <t>SH ELSEVE 200ML OLEO EXTRAORD NUTRICAO</t>
        </is>
      </c>
      <c r="E291" s="4" t="n">
        <v>1</v>
      </c>
      <c r="F291" s="4" t="n">
        <v>1</v>
      </c>
      <c r="G291" s="4" t="n">
        <v>1</v>
      </c>
      <c r="H291" s="5" t="n">
        <v>12.03</v>
      </c>
      <c r="I291" s="5">
        <f>G291*H291</f>
        <v/>
      </c>
      <c r="J291" s="5">
        <f>H291/E291</f>
        <v/>
      </c>
      <c r="K291" s="5" t="n">
        <v>13.5</v>
      </c>
      <c r="L291" s="5" t="n">
        <v>11.0167</v>
      </c>
      <c r="M291" s="5" t="n">
        <v>12.67223333333333</v>
      </c>
      <c r="N291" s="6">
        <f>J291/M291-1</f>
        <v/>
      </c>
      <c r="O291" s="6">
        <f>J291/K291-1</f>
        <v/>
      </c>
      <c r="P291" s="2" t="inlineStr">
        <is>
          <t>OK (≤ últ. compra)</t>
        </is>
      </c>
      <c r="Q291" s="2" t="inlineStr"/>
    </row>
    <row r="292">
      <c r="A292" s="2" t="n">
        <v>623061</v>
      </c>
      <c r="B292" s="2" t="inlineStr">
        <is>
          <t>720414</t>
        </is>
      </c>
      <c r="C292" s="3" t="inlineStr">
        <is>
          <t>7899706244107</t>
        </is>
      </c>
      <c r="D292" s="2" t="inlineStr">
        <is>
          <t>SH ELSEVE 400ML PURE HIALURONICO</t>
        </is>
      </c>
      <c r="E292" s="4" t="n">
        <v>1</v>
      </c>
      <c r="F292" s="4" t="n">
        <v>4</v>
      </c>
      <c r="G292" s="4" t="n">
        <v>4</v>
      </c>
      <c r="H292" s="5" t="n">
        <v>21.03</v>
      </c>
      <c r="I292" s="5">
        <f>G292*H292</f>
        <v/>
      </c>
      <c r="J292" s="5">
        <f>H292/E292</f>
        <v/>
      </c>
      <c r="K292" s="5" t="n">
        <v>25.82</v>
      </c>
      <c r="L292" s="5" t="n">
        <v>25.82</v>
      </c>
      <c r="M292" s="5" t="n">
        <v>25.82</v>
      </c>
      <c r="N292" s="6">
        <f>J292/M292-1</f>
        <v/>
      </c>
      <c r="O292" s="6">
        <f>J292/K292-1</f>
        <v/>
      </c>
      <c r="P292" s="2" t="inlineStr">
        <is>
          <t>OK (≤ últ. compra)</t>
        </is>
      </c>
      <c r="Q292" s="2" t="inlineStr"/>
    </row>
    <row r="293">
      <c r="A293" s="2" t="n">
        <v>638631</v>
      </c>
      <c r="B293" s="2" t="inlineStr">
        <is>
          <t>722816</t>
        </is>
      </c>
      <c r="C293" s="3" t="inlineStr">
        <is>
          <t>7500435242615</t>
        </is>
      </c>
      <c r="D293" s="2" t="inlineStr">
        <is>
          <t>SH H&amp;S LIMPEZA EFICAZ 200ML</t>
        </is>
      </c>
      <c r="E293" s="4" t="n">
        <v>1</v>
      </c>
      <c r="F293" s="4" t="n">
        <v>1</v>
      </c>
      <c r="G293" s="4" t="n">
        <v>1</v>
      </c>
      <c r="H293" s="5" t="n">
        <v>13.04</v>
      </c>
      <c r="I293" s="5">
        <f>G293*H293</f>
        <v/>
      </c>
      <c r="J293" s="5">
        <f>H293/E293</f>
        <v/>
      </c>
      <c r="K293" s="5" t="n">
        <v>14.39</v>
      </c>
      <c r="L293" s="5" t="n">
        <v>14.39</v>
      </c>
      <c r="M293" s="5" t="n">
        <v>14.39</v>
      </c>
      <c r="N293" s="6">
        <f>J293/M293-1</f>
        <v/>
      </c>
      <c r="O293" s="6">
        <f>J293/K293-1</f>
        <v/>
      </c>
      <c r="P293" s="2" t="inlineStr">
        <is>
          <t>OK (≤ últ. compra)</t>
        </is>
      </c>
      <c r="Q293" s="2" t="inlineStr"/>
    </row>
    <row r="294">
      <c r="A294" s="2" t="n">
        <v>659421</v>
      </c>
      <c r="B294" s="2" t="inlineStr">
        <is>
          <t>722226</t>
        </is>
      </c>
      <c r="C294" s="3" t="inlineStr">
        <is>
          <t>7891010256494</t>
        </is>
      </c>
      <c r="D294" s="2" t="inlineStr">
        <is>
          <t>SH INF JS BABY 180ML CHEIRINHO PROL -REF</t>
        </is>
      </c>
      <c r="E294" s="4" t="n">
        <v>1</v>
      </c>
      <c r="F294" s="4" t="n">
        <v>1</v>
      </c>
      <c r="G294" s="4" t="n">
        <v>1</v>
      </c>
      <c r="H294" s="5" t="n">
        <v>13.33</v>
      </c>
      <c r="I294" s="5">
        <f>G294*H294</f>
        <v/>
      </c>
      <c r="J294" s="5">
        <f>H294/E294</f>
        <v/>
      </c>
      <c r="K294" s="5" t="n">
        <v>13.44</v>
      </c>
      <c r="L294" s="5" t="n">
        <v>13.44</v>
      </c>
      <c r="M294" s="5" t="n">
        <v>13.44</v>
      </c>
      <c r="N294" s="6">
        <f>J294/M294-1</f>
        <v/>
      </c>
      <c r="O294" s="6">
        <f>J294/K294-1</f>
        <v/>
      </c>
      <c r="P294" s="2" t="inlineStr">
        <is>
          <t>OK (≤ últ. compra)</t>
        </is>
      </c>
      <c r="Q294" s="2" t="inlineStr"/>
    </row>
    <row r="295">
      <c r="A295" s="2" t="n">
        <v>569401</v>
      </c>
      <c r="B295" s="2" t="inlineStr">
        <is>
          <t>709270</t>
        </is>
      </c>
      <c r="C295" s="3" t="inlineStr">
        <is>
          <t>7891150037595</t>
        </is>
      </c>
      <c r="D295" s="2" t="inlineStr">
        <is>
          <t>SH SEDA CACHOS DEFINID.325ML</t>
        </is>
      </c>
      <c r="E295" s="4" t="n">
        <v>1</v>
      </c>
      <c r="F295" s="4" t="n">
        <v>1</v>
      </c>
      <c r="G295" s="4" t="n">
        <v>1</v>
      </c>
      <c r="H295" s="5" t="n">
        <v>8.470000000000001</v>
      </c>
      <c r="I295" s="5">
        <f>G295*H295</f>
        <v/>
      </c>
      <c r="J295" s="5">
        <f>H295/E295</f>
        <v/>
      </c>
      <c r="K295" s="5" t="n">
        <v>9.6333</v>
      </c>
      <c r="L295" s="5" t="n">
        <v>9.6333</v>
      </c>
      <c r="M295" s="5" t="n">
        <v>9.6333</v>
      </c>
      <c r="N295" s="6">
        <f>J295/M295-1</f>
        <v/>
      </c>
      <c r="O295" s="6">
        <f>J295/K295-1</f>
        <v/>
      </c>
      <c r="P295" s="2" t="inlineStr">
        <is>
          <t>OK (≤ últ. compra)</t>
        </is>
      </c>
      <c r="Q295" s="2" t="inlineStr"/>
    </row>
    <row r="296">
      <c r="A296" s="2" t="n">
        <v>590001</v>
      </c>
      <c r="B296" s="2" t="inlineStr">
        <is>
          <t>709229</t>
        </is>
      </c>
      <c r="C296" s="3" t="inlineStr">
        <is>
          <t>7891150037397</t>
        </is>
      </c>
      <c r="D296" s="2" t="inlineStr">
        <is>
          <t>SH SEDA CERAMIDAS 325ML</t>
        </is>
      </c>
      <c r="E296" s="4" t="n">
        <v>1</v>
      </c>
      <c r="F296" s="4" t="n">
        <v>1</v>
      </c>
      <c r="G296" s="4" t="n">
        <v>1</v>
      </c>
      <c r="H296" s="5" t="n">
        <v>8.470000000000001</v>
      </c>
      <c r="I296" s="5">
        <f>G296*H296</f>
        <v/>
      </c>
      <c r="J296" s="5">
        <f>H296/E296</f>
        <v/>
      </c>
      <c r="K296" s="5" t="n">
        <v>9.6333</v>
      </c>
      <c r="L296" s="5" t="n">
        <v>9.255000000000001</v>
      </c>
      <c r="M296" s="5" t="n">
        <v>9.507199999999999</v>
      </c>
      <c r="N296" s="6">
        <f>J296/M296-1</f>
        <v/>
      </c>
      <c r="O296" s="6">
        <f>J296/K296-1</f>
        <v/>
      </c>
      <c r="P296" s="2" t="inlineStr">
        <is>
          <t>OK (≤ últ. compra)</t>
        </is>
      </c>
      <c r="Q296" s="2" t="inlineStr"/>
    </row>
    <row r="297">
      <c r="A297" s="2" t="n">
        <v>569461</v>
      </c>
      <c r="B297" s="2" t="inlineStr">
        <is>
          <t>709224</t>
        </is>
      </c>
      <c r="C297" s="3" t="inlineStr">
        <is>
          <t>7891150037519</t>
        </is>
      </c>
      <c r="D297" s="2" t="inlineStr">
        <is>
          <t>SH SEDA LISO PERFEITO 325ML</t>
        </is>
      </c>
      <c r="E297" s="4" t="n">
        <v>1</v>
      </c>
      <c r="F297" s="4" t="n">
        <v>5</v>
      </c>
      <c r="G297" s="4" t="n">
        <v>5</v>
      </c>
      <c r="H297" s="5" t="n">
        <v>8.470000000000001</v>
      </c>
      <c r="I297" s="5">
        <f>G297*H297</f>
        <v/>
      </c>
      <c r="J297" s="5">
        <f>H297/E297</f>
        <v/>
      </c>
      <c r="K297" s="5" t="n">
        <v>9.914199999999999</v>
      </c>
      <c r="L297" s="5" t="n">
        <v>9.914199999999999</v>
      </c>
      <c r="M297" s="5" t="n">
        <v>9.914199999999999</v>
      </c>
      <c r="N297" s="6">
        <f>J297/M297-1</f>
        <v/>
      </c>
      <c r="O297" s="6">
        <f>J297/K297-1</f>
        <v/>
      </c>
      <c r="P297" s="2" t="inlineStr">
        <is>
          <t>OK (≤ últ. compra)</t>
        </is>
      </c>
      <c r="Q297" s="2" t="inlineStr"/>
    </row>
    <row r="298">
      <c r="A298" s="2" t="n">
        <v>569481</v>
      </c>
      <c r="B298" s="2" t="inlineStr">
        <is>
          <t>710236</t>
        </is>
      </c>
      <c r="C298" s="3" t="inlineStr">
        <is>
          <t>7891150037526</t>
        </is>
      </c>
      <c r="D298" s="2" t="inlineStr">
        <is>
          <t>SH SEDA PRETOS LUMINOSOS 325M</t>
        </is>
      </c>
      <c r="E298" s="4" t="n">
        <v>1</v>
      </c>
      <c r="F298" s="4" t="n">
        <v>4</v>
      </c>
      <c r="G298" s="4" t="n">
        <v>4</v>
      </c>
      <c r="H298" s="5" t="n">
        <v>8.470000000000001</v>
      </c>
      <c r="I298" s="5">
        <f>G298*H298</f>
        <v/>
      </c>
      <c r="J298" s="5">
        <f>H298/E298</f>
        <v/>
      </c>
      <c r="K298" s="5" t="n">
        <v>9.255000000000001</v>
      </c>
      <c r="L298" s="5" t="n">
        <v>9.255000000000001</v>
      </c>
      <c r="M298" s="5" t="n">
        <v>9.255000000000001</v>
      </c>
      <c r="N298" s="6">
        <f>J298/M298-1</f>
        <v/>
      </c>
      <c r="O298" s="6">
        <f>J298/K298-1</f>
        <v/>
      </c>
      <c r="P298" s="2" t="inlineStr">
        <is>
          <t>OK (≤ últ. compra)</t>
        </is>
      </c>
      <c r="Q298" s="2" t="inlineStr"/>
    </row>
    <row r="299">
      <c r="A299" s="2" t="n">
        <v>533621</v>
      </c>
      <c r="B299" s="2" t="inlineStr">
        <is>
          <t>710103</t>
        </is>
      </c>
      <c r="C299" s="3" t="inlineStr">
        <is>
          <t>7891150019416</t>
        </is>
      </c>
      <c r="D299" s="2" t="inlineStr">
        <is>
          <t>SHAMPOO ANTICASPA CLEAR MEN SPORTS FRASCO 400ML</t>
        </is>
      </c>
      <c r="E299" s="4" t="n">
        <v>1</v>
      </c>
      <c r="F299" s="4" t="n">
        <v>3</v>
      </c>
      <c r="G299" s="4" t="n">
        <v>3</v>
      </c>
      <c r="H299" s="5" t="n">
        <v>21.98</v>
      </c>
      <c r="I299" s="5">
        <f>G299*H299</f>
        <v/>
      </c>
      <c r="J299" s="5">
        <f>H299/E299</f>
        <v/>
      </c>
      <c r="K299" s="5" t="n">
        <v>25.33</v>
      </c>
      <c r="L299" s="5" t="n">
        <v>22.438</v>
      </c>
      <c r="M299" s="5" t="n">
        <v>24.366</v>
      </c>
      <c r="N299" s="6">
        <f>J299/M299-1</f>
        <v/>
      </c>
      <c r="O299" s="6">
        <f>J299/K299-1</f>
        <v/>
      </c>
      <c r="P299" s="2" t="inlineStr">
        <is>
          <t>OK (≤ últ. compra)</t>
        </is>
      </c>
      <c r="Q299" s="2" t="inlineStr"/>
    </row>
    <row r="300">
      <c r="A300" s="2" t="n">
        <v>545561</v>
      </c>
      <c r="B300" s="2" t="inlineStr">
        <is>
          <t>710592</t>
        </is>
      </c>
      <c r="C300" s="3" t="inlineStr">
        <is>
          <t>7891150037458</t>
        </is>
      </c>
      <c r="D300" s="2" t="inlineStr">
        <is>
          <t>SHAMPOO ANTICASPA SEDA COCRIAÇÕES HIDRATAÇÃO DIÁRIA FRASCO 325ML</t>
        </is>
      </c>
      <c r="E300" s="4" t="n">
        <v>1</v>
      </c>
      <c r="F300" s="4" t="n">
        <v>5</v>
      </c>
      <c r="G300" s="4" t="n">
        <v>5</v>
      </c>
      <c r="H300" s="5" t="n">
        <v>8.52</v>
      </c>
      <c r="I300" s="5">
        <f>G300*H300</f>
        <v/>
      </c>
      <c r="J300" s="5">
        <f>H300/E300</f>
        <v/>
      </c>
      <c r="K300" s="5" t="n">
        <v>9.630000000000001</v>
      </c>
      <c r="L300" s="5" t="n">
        <v>9.255000000000001</v>
      </c>
      <c r="M300" s="5" t="n">
        <v>9.505000000000001</v>
      </c>
      <c r="N300" s="6">
        <f>J300/M300-1</f>
        <v/>
      </c>
      <c r="O300" s="6">
        <f>J300/K300-1</f>
        <v/>
      </c>
      <c r="P300" s="2" t="inlineStr">
        <is>
          <t>OK (≤ últ. compra)</t>
        </is>
      </c>
      <c r="Q300" s="2" t="inlineStr"/>
    </row>
    <row r="301">
      <c r="A301" s="2" t="n">
        <v>617121</v>
      </c>
      <c r="B301" s="2" t="inlineStr">
        <is>
          <t>721164</t>
        </is>
      </c>
      <c r="C301" s="3" t="inlineStr">
        <is>
          <t>7896512959850</t>
        </is>
      </c>
      <c r="D301" s="2" t="inlineStr">
        <is>
          <t>SHP GRANADO BEBE CALENDULA 250ML</t>
        </is>
      </c>
      <c r="E301" s="4" t="n">
        <v>1</v>
      </c>
      <c r="F301" s="4" t="n">
        <v>1</v>
      </c>
      <c r="G301" s="4" t="n">
        <v>1</v>
      </c>
      <c r="H301" s="5" t="n">
        <v>12.82</v>
      </c>
      <c r="I301" s="5">
        <f>G301*H301</f>
        <v/>
      </c>
      <c r="J301" s="5">
        <f>H301/E301</f>
        <v/>
      </c>
      <c r="K301" s="5" t="n">
        <v>12.22</v>
      </c>
      <c r="L301" s="5" t="n">
        <v>12.22</v>
      </c>
      <c r="M301" s="5" t="n">
        <v>12.22</v>
      </c>
      <c r="N301" s="6">
        <f>J301/M301-1</f>
        <v/>
      </c>
      <c r="O301" s="6">
        <f>J301/K301-1</f>
        <v/>
      </c>
      <c r="P301" s="2" t="inlineStr">
        <is>
          <t>REAJUSTE +4.9% vs média (≤6%)</t>
        </is>
      </c>
      <c r="Q301" s="2" t="inlineStr"/>
    </row>
    <row r="302">
      <c r="A302" s="2" t="n">
        <v>567321</v>
      </c>
      <c r="B302" s="2" t="inlineStr">
        <is>
          <t>702280</t>
        </is>
      </c>
      <c r="C302" s="3" t="inlineStr">
        <is>
          <t>7891010030889</t>
        </is>
      </c>
      <c r="D302" s="2" t="inlineStr">
        <is>
          <t>SHP J J BABY CAB CLAROS 200ML</t>
        </is>
      </c>
      <c r="E302" s="4" t="n">
        <v>1</v>
      </c>
      <c r="F302" s="4" t="n">
        <v>1</v>
      </c>
      <c r="G302" s="4" t="n">
        <v>1</v>
      </c>
      <c r="H302" s="5" t="n">
        <v>16.67</v>
      </c>
      <c r="I302" s="5">
        <f>G302*H302</f>
        <v/>
      </c>
      <c r="J302" s="5">
        <f>H302/E302</f>
        <v/>
      </c>
      <c r="K302" s="5" t="n">
        <v>17.8506</v>
      </c>
      <c r="L302" s="5" t="n">
        <v>17.8506</v>
      </c>
      <c r="M302" s="5" t="n">
        <v>17.8506</v>
      </c>
      <c r="N302" s="6">
        <f>J302/M302-1</f>
        <v/>
      </c>
      <c r="O302" s="6">
        <f>J302/K302-1</f>
        <v/>
      </c>
      <c r="P302" s="2" t="inlineStr">
        <is>
          <t>OK (≤ últ. compra)</t>
        </is>
      </c>
      <c r="Q302" s="2" t="inlineStr"/>
    </row>
    <row r="303">
      <c r="A303" s="2" t="n">
        <v>663321</v>
      </c>
      <c r="B303" s="2" t="inlineStr">
        <is>
          <t>722850</t>
        </is>
      </c>
      <c r="C303" s="3" t="inlineStr">
        <is>
          <t>7891150099845</t>
        </is>
      </c>
      <c r="D303" s="2" t="inlineStr">
        <is>
          <t>SHP SEDA LUMINOSO UV 300ML   UNIL %DN:10.00</t>
        </is>
      </c>
      <c r="E303" s="4" t="n">
        <v>1</v>
      </c>
      <c r="F303" s="4" t="n">
        <v>1</v>
      </c>
      <c r="G303" s="4" t="n">
        <v>1</v>
      </c>
      <c r="H303" s="5" t="n">
        <v>8.470000000000001</v>
      </c>
      <c r="I303" s="5">
        <f>G303*H303</f>
        <v/>
      </c>
      <c r="J303" s="5">
        <f>H303/E303</f>
        <v/>
      </c>
      <c r="K303" s="5" t="n">
        <v>10.14</v>
      </c>
      <c r="L303" s="5" t="n">
        <v>10.14</v>
      </c>
      <c r="M303" s="5" t="n">
        <v>10.14</v>
      </c>
      <c r="N303" s="6">
        <f>J303/M303-1</f>
        <v/>
      </c>
      <c r="O303" s="6">
        <f>J303/K303-1</f>
        <v/>
      </c>
      <c r="P303" s="2" t="inlineStr">
        <is>
          <t>OK (≤ últ. compra)</t>
        </is>
      </c>
      <c r="Q303" s="2" t="inlineStr"/>
    </row>
    <row r="304">
      <c r="A304" s="2" t="n">
        <v>663331</v>
      </c>
      <c r="B304" s="2" t="inlineStr">
        <is>
          <t>722515</t>
        </is>
      </c>
      <c r="C304" s="3" t="inlineStr">
        <is>
          <t>7891150097353</t>
        </is>
      </c>
      <c r="D304" s="2" t="inlineStr">
        <is>
          <t>SHP+COND SEDA CAC DEFINIDOS 300ML+190ML</t>
        </is>
      </c>
      <c r="E304" s="4" t="n">
        <v>1</v>
      </c>
      <c r="F304" s="4" t="n">
        <v>2</v>
      </c>
      <c r="G304" s="4" t="n">
        <v>2</v>
      </c>
      <c r="H304" s="5" t="n">
        <v>12.94</v>
      </c>
      <c r="I304" s="5">
        <f>G304*H304</f>
        <v/>
      </c>
      <c r="J304" s="5">
        <f>H304/E304</f>
        <v/>
      </c>
      <c r="K304" s="5" t="n">
        <v>13.37</v>
      </c>
      <c r="L304" s="5" t="n">
        <v>13.37</v>
      </c>
      <c r="M304" s="5" t="n">
        <v>13.37</v>
      </c>
      <c r="N304" s="6">
        <f>J304/M304-1</f>
        <v/>
      </c>
      <c r="O304" s="6">
        <f>J304/K304-1</f>
        <v/>
      </c>
      <c r="P304" s="2" t="inlineStr">
        <is>
          <t>OK (≤ últ. compra)</t>
        </is>
      </c>
      <c r="Q304" s="2" t="inlineStr"/>
    </row>
    <row r="305">
      <c r="A305" s="2" t="n">
        <v>651321</v>
      </c>
      <c r="B305" s="2" t="inlineStr">
        <is>
          <t>719778</t>
        </is>
      </c>
      <c r="C305" s="3" t="inlineStr">
        <is>
          <t>7899706197946</t>
        </is>
      </c>
      <c r="D305" s="2" t="inlineStr">
        <is>
          <t>SOLAR EXPERT ANTIOL F60 40G 3.0-DEMAIS PROD</t>
        </is>
      </c>
      <c r="E305" s="4" t="n">
        <v>1</v>
      </c>
      <c r="F305" s="4" t="n">
        <v>1</v>
      </c>
      <c r="G305" s="4" t="n">
        <v>1</v>
      </c>
      <c r="H305" s="5" t="n">
        <v>34.79</v>
      </c>
      <c r="I305" s="5">
        <f>G305*H305</f>
        <v/>
      </c>
      <c r="J305" s="5">
        <f>H305/E305</f>
        <v/>
      </c>
      <c r="K305" s="5" t="n">
        <v>34.79</v>
      </c>
      <c r="L305" s="5" t="n">
        <v>34.79</v>
      </c>
      <c r="M305" s="5" t="n">
        <v>34.79</v>
      </c>
      <c r="N305" s="6">
        <f>J305/M305-1</f>
        <v/>
      </c>
      <c r="O305" s="6">
        <f>J305/K305-1</f>
        <v/>
      </c>
      <c r="P305" s="2" t="inlineStr">
        <is>
          <t>OK (≤ últ. compra)</t>
        </is>
      </c>
      <c r="Q305" s="2" t="inlineStr"/>
    </row>
    <row r="306">
      <c r="A306" s="2" t="n">
        <v>614861</v>
      </c>
      <c r="B306" s="2" t="inlineStr">
        <is>
          <t>113541</t>
        </is>
      </c>
      <c r="C306" s="3" t="inlineStr">
        <is>
          <t>7891317011277</t>
        </is>
      </c>
      <c r="D306" s="2" t="inlineStr">
        <is>
          <t>SONIC 50MG CX 60 COMP REV</t>
        </is>
      </c>
      <c r="E306" s="4" t="n">
        <v>1</v>
      </c>
      <c r="F306" s="4" t="n">
        <v>2</v>
      </c>
      <c r="G306" s="4" t="n">
        <v>2</v>
      </c>
      <c r="H306" s="5" t="n">
        <v>40.74</v>
      </c>
      <c r="I306" s="5">
        <f>G306*H306</f>
        <v/>
      </c>
      <c r="J306" s="5">
        <f>H306/E306</f>
        <v/>
      </c>
      <c r="K306" s="5" t="n">
        <v>41.02</v>
      </c>
      <c r="L306" s="5" t="n">
        <v>37.98</v>
      </c>
      <c r="M306" s="5" t="n">
        <v>38.99333333333333</v>
      </c>
      <c r="N306" s="6">
        <f>J306/M306-1</f>
        <v/>
      </c>
      <c r="O306" s="6">
        <f>J306/K306-1</f>
        <v/>
      </c>
      <c r="P306" s="2" t="inlineStr">
        <is>
          <t>OK (≤ últ. compra)</t>
        </is>
      </c>
      <c r="Q306" s="2" t="inlineStr"/>
    </row>
    <row r="307">
      <c r="A307" s="2" t="n">
        <v>297921</v>
      </c>
      <c r="B307" s="2" t="inlineStr">
        <is>
          <t>103317</t>
        </is>
      </c>
      <c r="C307" s="3" t="inlineStr">
        <is>
          <t>7898074617803</t>
        </is>
      </c>
      <c r="D307" s="2" t="inlineStr">
        <is>
          <t>SPIDUFEN 1155MG GRAN SOL CX 10 ENV 3G SB DAMASCO</t>
        </is>
      </c>
      <c r="E307" s="4" t="n">
        <v>1</v>
      </c>
      <c r="F307" s="4" t="n">
        <v>1</v>
      </c>
      <c r="G307" s="4" t="n">
        <v>1</v>
      </c>
      <c r="H307" s="5" t="n">
        <v>40.46</v>
      </c>
      <c r="I307" s="5">
        <f>G307*H307</f>
        <v/>
      </c>
      <c r="J307" s="5">
        <f>H307/E307</f>
        <v/>
      </c>
      <c r="K307" s="5" t="n">
        <v>42.05</v>
      </c>
      <c r="L307" s="5" t="n">
        <v>36.49</v>
      </c>
      <c r="M307" s="5" t="n">
        <v>40.19666666666667</v>
      </c>
      <c r="N307" s="6">
        <f>J307/M307-1</f>
        <v/>
      </c>
      <c r="O307" s="6">
        <f>J307/K307-1</f>
        <v/>
      </c>
      <c r="P307" s="2" t="inlineStr">
        <is>
          <t>OK (≤ últ. compra)</t>
        </is>
      </c>
      <c r="Q307" s="2" t="inlineStr"/>
    </row>
    <row r="308">
      <c r="A308" s="2" t="n">
        <v>526121</v>
      </c>
      <c r="B308" s="2" t="inlineStr">
        <is>
          <t>106052</t>
        </is>
      </c>
      <c r="C308" s="3" t="inlineStr">
        <is>
          <t>5060632508768</t>
        </is>
      </c>
      <c r="D308" s="2" t="inlineStr">
        <is>
          <t>STEZZA 2,5+1,5MG CX 24 COMP REV+CALEND+4 PLACEBO</t>
        </is>
      </c>
      <c r="E308" s="4" t="n">
        <v>1</v>
      </c>
      <c r="F308" s="4" t="n">
        <v>1</v>
      </c>
      <c r="G308" s="4" t="n">
        <v>1</v>
      </c>
      <c r="H308" s="5" t="n">
        <v>45</v>
      </c>
      <c r="I308" s="5">
        <f>G308*H308</f>
        <v/>
      </c>
      <c r="J308" s="5">
        <f>H308/E308</f>
        <v/>
      </c>
      <c r="K308" s="5" t="n">
        <v>48.21</v>
      </c>
      <c r="L308" s="5" t="n">
        <v>41.29</v>
      </c>
      <c r="M308" s="5" t="n">
        <v>43.40666666666667</v>
      </c>
      <c r="N308" s="6">
        <f>J308/M308-1</f>
        <v/>
      </c>
      <c r="O308" s="6">
        <f>J308/K308-1</f>
        <v/>
      </c>
      <c r="P308" s="2" t="inlineStr">
        <is>
          <t>OK (≤ últ. compra)</t>
        </is>
      </c>
      <c r="Q308" s="2" t="inlineStr"/>
    </row>
    <row r="309">
      <c r="A309" s="2" t="n">
        <v>445201</v>
      </c>
      <c r="B309" s="2" t="inlineStr">
        <is>
          <t>103377</t>
        </is>
      </c>
      <c r="C309" s="3" t="inlineStr">
        <is>
          <t>7896094201064</t>
        </is>
      </c>
      <c r="D309" s="2" t="inlineStr">
        <is>
          <t>SUMAX 25MG CX 4 COMP REV</t>
        </is>
      </c>
      <c r="E309" s="4" t="n">
        <v>1</v>
      </c>
      <c r="F309" s="4" t="n">
        <v>2</v>
      </c>
      <c r="G309" s="4" t="n">
        <v>2</v>
      </c>
      <c r="H309" s="5" t="n">
        <v>27.71</v>
      </c>
      <c r="I309" s="5">
        <f>G309*H309</f>
        <v/>
      </c>
      <c r="J309" s="5">
        <f>H309/E309</f>
        <v/>
      </c>
      <c r="K309" s="5" t="n">
        <v>28.8</v>
      </c>
      <c r="L309" s="5" t="n">
        <v>24.6367</v>
      </c>
      <c r="M309" s="5" t="n">
        <v>26.59223333333334</v>
      </c>
      <c r="N309" s="6">
        <f>J309/M309-1</f>
        <v/>
      </c>
      <c r="O309" s="6">
        <f>J309/K309-1</f>
        <v/>
      </c>
      <c r="P309" s="2" t="inlineStr">
        <is>
          <t>OK (≤ últ. compra)</t>
        </is>
      </c>
      <c r="Q309" s="2" t="inlineStr"/>
    </row>
    <row r="310">
      <c r="A310" s="2" t="n">
        <v>445261</v>
      </c>
      <c r="B310" s="2" t="inlineStr">
        <is>
          <t>106391</t>
        </is>
      </c>
      <c r="C310" s="3" t="inlineStr">
        <is>
          <t>7896094208278</t>
        </is>
      </c>
      <c r="D310" s="2" t="inlineStr">
        <is>
          <t>SUMAXPRO 500+50MG CX 2 COMP REV</t>
        </is>
      </c>
      <c r="E310" s="4" t="n">
        <v>1</v>
      </c>
      <c r="F310" s="4" t="n">
        <v>2</v>
      </c>
      <c r="G310" s="4" t="n">
        <v>2</v>
      </c>
      <c r="H310" s="5" t="n">
        <v>34.09</v>
      </c>
      <c r="I310" s="5">
        <f>G310*H310</f>
        <v/>
      </c>
      <c r="J310" s="5">
        <f>H310/E310</f>
        <v/>
      </c>
      <c r="K310" s="5" t="n">
        <v>35.42</v>
      </c>
      <c r="L310" s="5" t="n">
        <v>32.86</v>
      </c>
      <c r="M310" s="5" t="n">
        <v>34.12333333333333</v>
      </c>
      <c r="N310" s="6">
        <f>J310/M310-1</f>
        <v/>
      </c>
      <c r="O310" s="6">
        <f>J310/K310-1</f>
        <v/>
      </c>
      <c r="P310" s="2" t="inlineStr">
        <is>
          <t>OK (≤ últ. compra)</t>
        </is>
      </c>
      <c r="Q310" s="2" t="inlineStr"/>
    </row>
    <row r="311">
      <c r="A311" s="2" t="n">
        <v>540761</v>
      </c>
      <c r="B311" s="2" t="inlineStr">
        <is>
          <t>703531</t>
        </is>
      </c>
      <c r="C311" s="3" t="inlineStr">
        <is>
          <t>7896512909190</t>
        </is>
      </c>
      <c r="D311" s="2" t="inlineStr">
        <is>
          <t>TALCO GRANADO BEBE 100G</t>
        </is>
      </c>
      <c r="E311" s="4" t="n">
        <v>1</v>
      </c>
      <c r="F311" s="4" t="n">
        <v>12</v>
      </c>
      <c r="G311" s="4" t="n">
        <v>12</v>
      </c>
      <c r="H311" s="5" t="n">
        <v>10.68</v>
      </c>
      <c r="I311" s="5">
        <f>G311*H311</f>
        <v/>
      </c>
      <c r="J311" s="5">
        <f>H311/E311</f>
        <v/>
      </c>
      <c r="K311" s="5" t="n">
        <v>10.8358</v>
      </c>
      <c r="L311" s="5" t="n">
        <v>10.8358</v>
      </c>
      <c r="M311" s="5" t="n">
        <v>10.8358</v>
      </c>
      <c r="N311" s="6">
        <f>J311/M311-1</f>
        <v/>
      </c>
      <c r="O311" s="6">
        <f>J311/K311-1</f>
        <v/>
      </c>
      <c r="P311" s="2" t="inlineStr">
        <is>
          <t>OK (≤ últ. compra)</t>
        </is>
      </c>
      <c r="Q311" s="2" t="inlineStr"/>
    </row>
    <row r="312">
      <c r="A312" s="2" t="n">
        <v>634101</v>
      </c>
      <c r="B312" s="2" t="inlineStr">
        <is>
          <t>721634</t>
        </is>
      </c>
      <c r="C312" s="3" t="inlineStr">
        <is>
          <t>7702031244653</t>
        </is>
      </c>
      <c r="D312" s="2" t="inlineStr">
        <is>
          <t>TALCO J J BABY HORA DO SONO 100G</t>
        </is>
      </c>
      <c r="E312" s="4" t="n">
        <v>1</v>
      </c>
      <c r="F312" s="4" t="n">
        <v>3</v>
      </c>
      <c r="G312" s="4" t="n">
        <v>3</v>
      </c>
      <c r="H312" s="5" t="n">
        <v>19.33</v>
      </c>
      <c r="I312" s="5">
        <f>G312*H312</f>
        <v/>
      </c>
      <c r="J312" s="5">
        <f>H312/E312</f>
        <v/>
      </c>
      <c r="K312" s="5" t="n">
        <v>22.87</v>
      </c>
      <c r="L312" s="5" t="n">
        <v>17.9567</v>
      </c>
      <c r="M312" s="5" t="n">
        <v>19.06113333333333</v>
      </c>
      <c r="N312" s="6">
        <f>J312/M312-1</f>
        <v/>
      </c>
      <c r="O312" s="6">
        <f>J312/K312-1</f>
        <v/>
      </c>
      <c r="P312" s="2" t="inlineStr">
        <is>
          <t>OK (≤ últ. compra)</t>
        </is>
      </c>
      <c r="Q312" s="2" t="inlineStr"/>
    </row>
    <row r="313">
      <c r="A313" s="2" t="n">
        <v>455861</v>
      </c>
      <c r="B313" s="2" t="inlineStr">
        <is>
          <t>105688</t>
        </is>
      </c>
      <c r="C313" s="3" t="inlineStr">
        <is>
          <t>7896094206038</t>
        </is>
      </c>
      <c r="D313" s="2" t="inlineStr">
        <is>
          <t>TARFIC 1,0MG POM BG 10G</t>
        </is>
      </c>
      <c r="E313" s="4" t="n">
        <v>1</v>
      </c>
      <c r="F313" s="4" t="n">
        <v>1</v>
      </c>
      <c r="G313" s="4" t="n">
        <v>1</v>
      </c>
      <c r="H313" s="5" t="n">
        <v>76.52</v>
      </c>
      <c r="I313" s="5">
        <f>G313*H313</f>
        <v/>
      </c>
      <c r="J313" s="5">
        <f>H313/E313</f>
        <v/>
      </c>
      <c r="K313" s="5" t="n">
        <v>72.27500000000001</v>
      </c>
      <c r="L313" s="5" t="n">
        <v>72.27500000000001</v>
      </c>
      <c r="M313" s="5" t="n">
        <v>72.27500000000001</v>
      </c>
      <c r="N313" s="6">
        <f>J313/M313-1</f>
        <v/>
      </c>
      <c r="O313" s="6">
        <f>J313/K313-1</f>
        <v/>
      </c>
      <c r="P313" s="2" t="inlineStr">
        <is>
          <t>REAJUSTE +5.9% vs média (≤6%)</t>
        </is>
      </c>
      <c r="Q313" s="2" t="inlineStr"/>
    </row>
    <row r="314">
      <c r="A314" s="2" t="n">
        <v>180421</v>
      </c>
      <c r="B314" s="2" t="inlineStr">
        <is>
          <t>103478</t>
        </is>
      </c>
      <c r="C314" s="3" t="inlineStr">
        <is>
          <t>7899824400911</t>
        </is>
      </c>
      <c r="D314" s="2" t="inlineStr">
        <is>
          <t>TERICIN AT 25+12,5MG CREM VAG BG 45G+10APLIC</t>
        </is>
      </c>
      <c r="E314" s="4" t="n">
        <v>1</v>
      </c>
      <c r="F314" s="4" t="n">
        <v>1</v>
      </c>
      <c r="G314" s="4" t="n">
        <v>1</v>
      </c>
      <c r="H314" s="5" t="n">
        <v>59.4</v>
      </c>
      <c r="I314" s="5">
        <f>G314*H314</f>
        <v/>
      </c>
      <c r="J314" s="5">
        <f>H314/E314</f>
        <v/>
      </c>
      <c r="K314" s="5" t="n">
        <v>73.98999999999999</v>
      </c>
      <c r="L314" s="5" t="n">
        <v>54.77</v>
      </c>
      <c r="M314" s="5" t="n">
        <v>58.53</v>
      </c>
      <c r="N314" s="6">
        <f>J314/M314-1</f>
        <v/>
      </c>
      <c r="O314" s="6">
        <f>J314/K314-1</f>
        <v/>
      </c>
      <c r="P314" s="2" t="inlineStr">
        <is>
          <t>OK (≤ últ. compra)</t>
        </is>
      </c>
      <c r="Q314" s="2" t="inlineStr"/>
    </row>
    <row r="315">
      <c r="A315" s="2" t="n">
        <v>650471</v>
      </c>
      <c r="B315" s="2" t="inlineStr">
        <is>
          <t>720421</t>
        </is>
      </c>
      <c r="C315" s="3" t="inlineStr">
        <is>
          <t>7891350038903</t>
        </is>
      </c>
      <c r="D315" s="2" t="inlineStr">
        <is>
          <t>TINT BIOCOLOR CASTANHO MEDIO</t>
        </is>
      </c>
      <c r="E315" s="4" t="n">
        <v>1</v>
      </c>
      <c r="F315" s="4" t="n">
        <v>1</v>
      </c>
      <c r="G315" s="4" t="n">
        <v>1</v>
      </c>
      <c r="H315" s="5" t="n">
        <v>23.91</v>
      </c>
      <c r="I315" s="5">
        <f>G315*H315</f>
        <v/>
      </c>
      <c r="J315" s="5">
        <f>H315/E315</f>
        <v/>
      </c>
      <c r="K315" s="5" t="n"/>
      <c r="L315" s="5" t="n"/>
      <c r="M315" s="5" t="n"/>
      <c r="N315" s="6" t="n"/>
      <c r="O315" s="6" t="n"/>
      <c r="P315" s="2" t="inlineStr">
        <is>
          <t>SEM HISTÓRICO</t>
        </is>
      </c>
      <c r="Q315" s="2" t="inlineStr"/>
    </row>
    <row r="316">
      <c r="A316" s="2" t="n">
        <v>672181</v>
      </c>
      <c r="B316" s="2" t="inlineStr">
        <is>
          <t>707016</t>
        </is>
      </c>
      <c r="C316" s="3" t="inlineStr">
        <is>
          <t>7896014183067</t>
        </is>
      </c>
      <c r="D316" s="2" t="inlineStr">
        <is>
          <t>TINT CASTING CASTANHO ESCURO 300-DEMAIS PROD</t>
        </is>
      </c>
      <c r="E316" s="4" t="n">
        <v>1</v>
      </c>
      <c r="F316" s="4" t="n">
        <v>2</v>
      </c>
      <c r="G316" s="4" t="n">
        <v>2</v>
      </c>
      <c r="H316" s="5" t="n">
        <v>23.33</v>
      </c>
      <c r="I316" s="5">
        <f>G316*H316</f>
        <v/>
      </c>
      <c r="J316" s="5">
        <f>H316/E316</f>
        <v/>
      </c>
      <c r="K316" s="5" t="n">
        <v>25.3429</v>
      </c>
      <c r="L316" s="5" t="n">
        <v>25.3429</v>
      </c>
      <c r="M316" s="5" t="n">
        <v>25.3429</v>
      </c>
      <c r="N316" s="6">
        <f>J316/M316-1</f>
        <v/>
      </c>
      <c r="O316" s="6">
        <f>J316/K316-1</f>
        <v/>
      </c>
      <c r="P316" s="2" t="inlineStr">
        <is>
          <t>OK (≤ últ. compra)</t>
        </is>
      </c>
      <c r="Q316" s="2" t="inlineStr"/>
    </row>
    <row r="317">
      <c r="A317" s="2" t="n">
        <v>672211</v>
      </c>
      <c r="B317" s="2" t="inlineStr">
        <is>
          <t>707020</t>
        </is>
      </c>
      <c r="C317" s="3" t="inlineStr">
        <is>
          <t>7896014183210</t>
        </is>
      </c>
      <c r="D317" s="2" t="inlineStr">
        <is>
          <t>TINT CASTING LOURO NATURAL 700-DEMAIS PROD</t>
        </is>
      </c>
      <c r="E317" s="4" t="n">
        <v>1</v>
      </c>
      <c r="F317" s="4" t="n">
        <v>5</v>
      </c>
      <c r="G317" s="4" t="n">
        <v>5</v>
      </c>
      <c r="H317" s="5" t="n">
        <v>23.33</v>
      </c>
      <c r="I317" s="5">
        <f>G317*H317</f>
        <v/>
      </c>
      <c r="J317" s="5">
        <f>H317/E317</f>
        <v/>
      </c>
      <c r="K317" s="5" t="n">
        <v>26.1</v>
      </c>
      <c r="L317" s="5" t="n">
        <v>26.1</v>
      </c>
      <c r="M317" s="5" t="n">
        <v>26.1</v>
      </c>
      <c r="N317" s="6">
        <f>J317/M317-1</f>
        <v/>
      </c>
      <c r="O317" s="6">
        <f>J317/K317-1</f>
        <v/>
      </c>
      <c r="P317" s="2" t="inlineStr">
        <is>
          <t>OK (≤ últ. compra)</t>
        </is>
      </c>
      <c r="Q317" s="2" t="inlineStr"/>
    </row>
    <row r="318">
      <c r="A318" s="2" t="n">
        <v>668591</v>
      </c>
      <c r="B318" s="2" t="inlineStr">
        <is>
          <t>707013</t>
        </is>
      </c>
      <c r="C318" s="3" t="inlineStr">
        <is>
          <t>7896014183043</t>
        </is>
      </c>
      <c r="D318" s="2" t="inlineStr">
        <is>
          <t>TINT CASTING PRETO 200-DEMAIS PROD</t>
        </is>
      </c>
      <c r="E318" s="4" t="n">
        <v>1</v>
      </c>
      <c r="F318" s="4" t="n">
        <v>2</v>
      </c>
      <c r="G318" s="4" t="n">
        <v>2</v>
      </c>
      <c r="H318" s="5" t="n">
        <v>23.33</v>
      </c>
      <c r="I318" s="5">
        <f>G318*H318</f>
        <v/>
      </c>
      <c r="J318" s="5">
        <f>H318/E318</f>
        <v/>
      </c>
      <c r="K318" s="5" t="n">
        <v>27.57</v>
      </c>
      <c r="L318" s="5" t="n">
        <v>22.45</v>
      </c>
      <c r="M318" s="5" t="n">
        <v>25.86333333333333</v>
      </c>
      <c r="N318" s="6">
        <f>J318/M318-1</f>
        <v/>
      </c>
      <c r="O318" s="6">
        <f>J318/K318-1</f>
        <v/>
      </c>
      <c r="P318" s="2" t="inlineStr">
        <is>
          <t>OK (≤ últ. compra)</t>
        </is>
      </c>
      <c r="Q318" s="2" t="inlineStr"/>
    </row>
    <row r="319">
      <c r="A319" s="2" t="n">
        <v>672231</v>
      </c>
      <c r="B319" s="2" t="inlineStr">
        <is>
          <t>707024</t>
        </is>
      </c>
      <c r="C319" s="3" t="inlineStr">
        <is>
          <t>7898587762564</t>
        </is>
      </c>
      <c r="D319" s="2" t="inlineStr">
        <is>
          <t>TINT CASTING PRETO NOITE 100-DEMAIS PROD</t>
        </is>
      </c>
      <c r="E319" s="4" t="n">
        <v>1</v>
      </c>
      <c r="F319" s="4" t="n">
        <v>1</v>
      </c>
      <c r="G319" s="4" t="n">
        <v>1</v>
      </c>
      <c r="H319" s="5" t="n">
        <v>23.33</v>
      </c>
      <c r="I319" s="5">
        <f>G319*H319</f>
        <v/>
      </c>
      <c r="J319" s="5">
        <f>H319/E319</f>
        <v/>
      </c>
      <c r="K319" s="5" t="n">
        <v>25.34</v>
      </c>
      <c r="L319" s="5" t="n">
        <v>25.34</v>
      </c>
      <c r="M319" s="5" t="n">
        <v>25.34</v>
      </c>
      <c r="N319" s="6">
        <f>J319/M319-1</f>
        <v/>
      </c>
      <c r="O319" s="6">
        <f>J319/K319-1</f>
        <v/>
      </c>
      <c r="P319" s="2" t="inlineStr">
        <is>
          <t>OK (≤ últ. compra)</t>
        </is>
      </c>
      <c r="Q319" s="2" t="inlineStr"/>
    </row>
    <row r="320">
      <c r="A320" s="2" t="n">
        <v>590011</v>
      </c>
      <c r="B320" s="2" t="inlineStr">
        <is>
          <t>712896</t>
        </is>
      </c>
      <c r="C320" s="3" t="inlineStr">
        <is>
          <t>7896000706034</t>
        </is>
      </c>
      <c r="D320" s="2" t="inlineStr">
        <is>
          <t>TINT COR &amp; TON 8.0 LOU CL 50G</t>
        </is>
      </c>
      <c r="E320" s="4" t="n">
        <v>1</v>
      </c>
      <c r="F320" s="4" t="n">
        <v>3</v>
      </c>
      <c r="G320" s="4" t="n">
        <v>3</v>
      </c>
      <c r="H320" s="5" t="n">
        <v>10.86</v>
      </c>
      <c r="I320" s="5">
        <f>G320*H320</f>
        <v/>
      </c>
      <c r="J320" s="5">
        <f>H320/E320</f>
        <v/>
      </c>
      <c r="K320" s="5" t="n">
        <v>11.3</v>
      </c>
      <c r="L320" s="5" t="n">
        <v>10.5</v>
      </c>
      <c r="M320" s="5" t="n">
        <v>11.03333333333333</v>
      </c>
      <c r="N320" s="6">
        <f>J320/M320-1</f>
        <v/>
      </c>
      <c r="O320" s="6">
        <f>J320/K320-1</f>
        <v/>
      </c>
      <c r="P320" s="2" t="inlineStr">
        <is>
          <t>OK (≤ últ. compra)</t>
        </is>
      </c>
      <c r="Q320" s="2" t="inlineStr"/>
    </row>
    <row r="321">
      <c r="A321" s="2" t="n">
        <v>562981</v>
      </c>
      <c r="B321" s="2" t="inlineStr">
        <is>
          <t>712875</t>
        </is>
      </c>
      <c r="C321" s="3" t="inlineStr">
        <is>
          <t>7896000705945</t>
        </is>
      </c>
      <c r="D321" s="2" t="inlineStr">
        <is>
          <t>TINT COR &amp;TON 1.0 PRETO AZULADO</t>
        </is>
      </c>
      <c r="E321" s="4" t="n">
        <v>1</v>
      </c>
      <c r="F321" s="4" t="n">
        <v>9</v>
      </c>
      <c r="G321" s="4" t="n">
        <v>9</v>
      </c>
      <c r="H321" s="5" t="n">
        <v>10.86</v>
      </c>
      <c r="I321" s="5">
        <f>G321*H321</f>
        <v/>
      </c>
      <c r="J321" s="5">
        <f>H321/E321</f>
        <v/>
      </c>
      <c r="K321" s="5" t="n">
        <v>12.58</v>
      </c>
      <c r="L321" s="5" t="n">
        <v>9.585000000000001</v>
      </c>
      <c r="M321" s="5" t="n">
        <v>10.72833333333333</v>
      </c>
      <c r="N321" s="6">
        <f>J321/M321-1</f>
        <v/>
      </c>
      <c r="O321" s="6">
        <f>J321/K321-1</f>
        <v/>
      </c>
      <c r="P321" s="2" t="inlineStr">
        <is>
          <t>OK (≤ últ. compra)</t>
        </is>
      </c>
      <c r="Q321" s="2" t="inlineStr"/>
    </row>
    <row r="322">
      <c r="A322" s="2" t="n">
        <v>563001</v>
      </c>
      <c r="B322" s="2" t="inlineStr">
        <is>
          <t>712879</t>
        </is>
      </c>
      <c r="C322" s="3" t="inlineStr">
        <is>
          <t>7896000705952</t>
        </is>
      </c>
      <c r="D322" s="2" t="inlineStr">
        <is>
          <t>TINT COR&amp;TON 2.0 PRETO</t>
        </is>
      </c>
      <c r="E322" s="4" t="n">
        <v>1</v>
      </c>
      <c r="F322" s="4" t="n">
        <v>1</v>
      </c>
      <c r="G322" s="4" t="n">
        <v>1</v>
      </c>
      <c r="H322" s="5" t="n">
        <v>10.87</v>
      </c>
      <c r="I322" s="5">
        <f>G322*H322</f>
        <v/>
      </c>
      <c r="J322" s="5">
        <f>H322/E322</f>
        <v/>
      </c>
      <c r="K322" s="5" t="n">
        <v>11.3</v>
      </c>
      <c r="L322" s="5" t="n">
        <v>10.5</v>
      </c>
      <c r="M322" s="5" t="n">
        <v>10.79</v>
      </c>
      <c r="N322" s="6">
        <f>J322/M322-1</f>
        <v/>
      </c>
      <c r="O322" s="6">
        <f>J322/K322-1</f>
        <v/>
      </c>
      <c r="P322" s="2" t="inlineStr">
        <is>
          <t>OK (≤ últ. compra)</t>
        </is>
      </c>
      <c r="Q322" s="2" t="inlineStr"/>
    </row>
    <row r="323">
      <c r="A323" s="2" t="n">
        <v>649851</v>
      </c>
      <c r="B323" s="2" t="inlineStr">
        <is>
          <t>722521</t>
        </is>
      </c>
      <c r="C323" s="3" t="inlineStr">
        <is>
          <t>7908615086156</t>
        </is>
      </c>
      <c r="D323" s="2" t="inlineStr">
        <is>
          <t>TINT COR&amp;TON 2.8 PRETO AZULADO ESPELHADO</t>
        </is>
      </c>
      <c r="E323" s="4" t="n">
        <v>1</v>
      </c>
      <c r="F323" s="4" t="n">
        <v>1</v>
      </c>
      <c r="G323" s="4" t="n">
        <v>1</v>
      </c>
      <c r="H323" s="5" t="n">
        <v>10.28</v>
      </c>
      <c r="I323" s="5">
        <f>G323*H323</f>
        <v/>
      </c>
      <c r="J323" s="5">
        <f>H323/E323</f>
        <v/>
      </c>
      <c r="K323" s="5" t="n">
        <v>12.58</v>
      </c>
      <c r="L323" s="5" t="n">
        <v>10.5</v>
      </c>
      <c r="M323" s="5" t="n">
        <v>11.88666666666666</v>
      </c>
      <c r="N323" s="6">
        <f>J323/M323-1</f>
        <v/>
      </c>
      <c r="O323" s="6">
        <f>J323/K323-1</f>
        <v/>
      </c>
      <c r="P323" s="2" t="inlineStr">
        <is>
          <t>OK (≤ últ. compra)</t>
        </is>
      </c>
      <c r="Q323" s="2" t="inlineStr"/>
    </row>
    <row r="324">
      <c r="A324" s="2" t="n">
        <v>614501</v>
      </c>
      <c r="B324" s="2" t="inlineStr">
        <is>
          <t>721566</t>
        </is>
      </c>
      <c r="C324" s="3" t="inlineStr">
        <is>
          <t>7908615062457</t>
        </is>
      </c>
      <c r="D324" s="2" t="inlineStr">
        <is>
          <t>TINT COR&amp;TON S/AMONIA 1.0 PRETO INTENSO</t>
        </is>
      </c>
      <c r="E324" s="4" t="n">
        <v>1</v>
      </c>
      <c r="F324" s="4" t="n">
        <v>2</v>
      </c>
      <c r="G324" s="4" t="n">
        <v>2</v>
      </c>
      <c r="H324" s="5" t="n">
        <v>13.07</v>
      </c>
      <c r="I324" s="5">
        <f>G324*H324</f>
        <v/>
      </c>
      <c r="J324" s="5">
        <f>H324/E324</f>
        <v/>
      </c>
      <c r="K324" s="5" t="n">
        <v>15.73</v>
      </c>
      <c r="L324" s="5" t="n">
        <v>13.39</v>
      </c>
      <c r="M324" s="5" t="n">
        <v>14.17</v>
      </c>
      <c r="N324" s="6">
        <f>J324/M324-1</f>
        <v/>
      </c>
      <c r="O324" s="6">
        <f>J324/K324-1</f>
        <v/>
      </c>
      <c r="P324" s="2" t="inlineStr">
        <is>
          <t>OK (≤ últ. compra)</t>
        </is>
      </c>
      <c r="Q324" s="2" t="inlineStr"/>
    </row>
    <row r="325">
      <c r="A325" s="2" t="n">
        <v>614521</v>
      </c>
      <c r="B325" s="2" t="inlineStr">
        <is>
          <t>721484</t>
        </is>
      </c>
      <c r="C325" s="3" t="inlineStr">
        <is>
          <t>7908615062372</t>
        </is>
      </c>
      <c r="D325" s="2" t="inlineStr">
        <is>
          <t>TINT COR&amp;TON S/AMONIA 2.0 PRETO</t>
        </is>
      </c>
      <c r="E325" s="4" t="n">
        <v>1</v>
      </c>
      <c r="F325" s="4" t="n">
        <v>4</v>
      </c>
      <c r="G325" s="4" t="n">
        <v>4</v>
      </c>
      <c r="H325" s="5" t="n">
        <v>13.07</v>
      </c>
      <c r="I325" s="5">
        <f>G325*H325</f>
        <v/>
      </c>
      <c r="J325" s="5">
        <f>H325/E325</f>
        <v/>
      </c>
      <c r="K325" s="5" t="n">
        <v>15.73</v>
      </c>
      <c r="L325" s="5" t="n">
        <v>12.0267</v>
      </c>
      <c r="M325" s="5" t="n">
        <v>14.3489</v>
      </c>
      <c r="N325" s="6">
        <f>J325/M325-1</f>
        <v/>
      </c>
      <c r="O325" s="6">
        <f>J325/K325-1</f>
        <v/>
      </c>
      <c r="P325" s="2" t="inlineStr">
        <is>
          <t>OK (≤ últ. compra)</t>
        </is>
      </c>
      <c r="Q325" s="2" t="inlineStr"/>
    </row>
    <row r="326">
      <c r="A326" s="2" t="n">
        <v>614551</v>
      </c>
      <c r="B326" s="2" t="inlineStr">
        <is>
          <t>721485</t>
        </is>
      </c>
      <c r="C326" s="3" t="inlineStr">
        <is>
          <t>7908615062433</t>
        </is>
      </c>
      <c r="D326" s="2" t="inlineStr">
        <is>
          <t>TINT COR&amp;TON S/AMONIA 5.0 CASTANHO CLAR</t>
        </is>
      </c>
      <c r="E326" s="4" t="n">
        <v>1</v>
      </c>
      <c r="F326" s="4" t="n">
        <v>9</v>
      </c>
      <c r="G326" s="4" t="n">
        <v>9</v>
      </c>
      <c r="H326" s="5" t="n">
        <v>13.07</v>
      </c>
      <c r="I326" s="5">
        <f>G326*H326</f>
        <v/>
      </c>
      <c r="J326" s="5">
        <f>H326/E326</f>
        <v/>
      </c>
      <c r="K326" s="5" t="n">
        <v>15.73</v>
      </c>
      <c r="L326" s="5" t="n">
        <v>13.99</v>
      </c>
      <c r="M326" s="5" t="n">
        <v>14.64333333333333</v>
      </c>
      <c r="N326" s="6">
        <f>J326/M326-1</f>
        <v/>
      </c>
      <c r="O326" s="6">
        <f>J326/K326-1</f>
        <v/>
      </c>
      <c r="P326" s="2" t="inlineStr">
        <is>
          <t>OK (≤ últ. compra)</t>
        </is>
      </c>
      <c r="Q326" s="2" t="inlineStr"/>
    </row>
    <row r="327">
      <c r="A327" s="2" t="n">
        <v>672291</v>
      </c>
      <c r="B327" s="2" t="inlineStr">
        <is>
          <t>707010</t>
        </is>
      </c>
      <c r="C327" s="3" t="inlineStr">
        <is>
          <t>7896014140527</t>
        </is>
      </c>
      <c r="D327" s="2" t="inlineStr">
        <is>
          <t>TINT IMEDIA EXC LOURO ESCURO 6-DEMAIS PROD</t>
        </is>
      </c>
      <c r="E327" s="4" t="n">
        <v>1</v>
      </c>
      <c r="F327" s="4" t="n">
        <v>1</v>
      </c>
      <c r="G327" s="4" t="n">
        <v>1</v>
      </c>
      <c r="H327" s="5" t="n">
        <v>23.11</v>
      </c>
      <c r="I327" s="5">
        <f>G327*H327</f>
        <v/>
      </c>
      <c r="J327" s="5">
        <f>H327/E327</f>
        <v/>
      </c>
      <c r="K327" s="5" t="n">
        <v>24.27</v>
      </c>
      <c r="L327" s="5" t="n">
        <v>24.27</v>
      </c>
      <c r="M327" s="5" t="n">
        <v>24.27</v>
      </c>
      <c r="N327" s="6">
        <f>J327/M327-1</f>
        <v/>
      </c>
      <c r="O327" s="6">
        <f>J327/K327-1</f>
        <v/>
      </c>
      <c r="P327" s="2" t="inlineStr">
        <is>
          <t>OK (≤ últ. compra)</t>
        </is>
      </c>
      <c r="Q327" s="2" t="inlineStr"/>
    </row>
    <row r="328">
      <c r="A328" s="2" t="n">
        <v>563021</v>
      </c>
      <c r="B328" s="2" t="inlineStr">
        <is>
          <t>712897</t>
        </is>
      </c>
      <c r="C328" s="3" t="inlineStr">
        <is>
          <t>7896000706072</t>
        </is>
      </c>
      <c r="D328" s="2" t="inlineStr">
        <is>
          <t>TINT.COR&amp;TON 8.1 LOURO CINZA CLARO</t>
        </is>
      </c>
      <c r="E328" s="4" t="n">
        <v>1</v>
      </c>
      <c r="F328" s="4" t="n">
        <v>1</v>
      </c>
      <c r="G328" s="4" t="n">
        <v>1</v>
      </c>
      <c r="H328" s="5" t="n">
        <v>10.86</v>
      </c>
      <c r="I328" s="5">
        <f>G328*H328</f>
        <v/>
      </c>
      <c r="J328" s="5">
        <f>H328/E328</f>
        <v/>
      </c>
      <c r="K328" s="5" t="n">
        <v>12.09</v>
      </c>
      <c r="L328" s="5" t="n">
        <v>9.82</v>
      </c>
      <c r="M328" s="5" t="n">
        <v>11.33333333333333</v>
      </c>
      <c r="N328" s="6">
        <f>J328/M328-1</f>
        <v/>
      </c>
      <c r="O328" s="6">
        <f>J328/K328-1</f>
        <v/>
      </c>
      <c r="P328" s="2" t="inlineStr">
        <is>
          <t>OK (≤ últ. compra)</t>
        </is>
      </c>
      <c r="Q328" s="2" t="inlineStr"/>
    </row>
    <row r="329">
      <c r="A329" s="2" t="n">
        <v>983</v>
      </c>
      <c r="B329" s="2" t="inlineStr">
        <is>
          <t>715795</t>
        </is>
      </c>
      <c r="C329" s="3" t="inlineStr">
        <is>
          <t>7898636191581</t>
        </is>
      </c>
      <c r="D329" s="2" t="inlineStr">
        <is>
          <t>TIO NACHO SH+CON ENGROS 415ML</t>
        </is>
      </c>
      <c r="E329" s="4" t="n">
        <v>1</v>
      </c>
      <c r="F329" s="4" t="n">
        <v>1</v>
      </c>
      <c r="G329" s="4" t="n">
        <v>1</v>
      </c>
      <c r="H329" s="5" t="n">
        <v>39.18</v>
      </c>
      <c r="I329" s="5">
        <f>G329*H329</f>
        <v/>
      </c>
      <c r="J329" s="5">
        <f>H329/E329</f>
        <v/>
      </c>
      <c r="K329" s="5" t="n">
        <v>44.6</v>
      </c>
      <c r="L329" s="5" t="n">
        <v>44.6</v>
      </c>
      <c r="M329" s="5" t="n">
        <v>44.6</v>
      </c>
      <c r="N329" s="6">
        <f>J329/M329-1</f>
        <v/>
      </c>
      <c r="O329" s="6">
        <f>J329/K329-1</f>
        <v/>
      </c>
      <c r="P329" s="2" t="inlineStr">
        <is>
          <t>OK (≤ últ. compra)</t>
        </is>
      </c>
      <c r="Q329" s="2" t="inlineStr"/>
    </row>
    <row r="330">
      <c r="A330" s="2" t="n">
        <v>3153</v>
      </c>
      <c r="B330" s="2" t="inlineStr">
        <is>
          <t>713042</t>
        </is>
      </c>
      <c r="C330" s="3" t="inlineStr">
        <is>
          <t>7898301056757</t>
        </is>
      </c>
      <c r="D330" s="2" t="inlineStr">
        <is>
          <t>TIRA DE TESTE DE GLICOSE C/25 UND FREE 1</t>
        </is>
      </c>
      <c r="E330" s="4" t="n">
        <v>1</v>
      </c>
      <c r="F330" s="4" t="n">
        <v>5</v>
      </c>
      <c r="G330" s="4" t="n">
        <v>5</v>
      </c>
      <c r="H330" s="5" t="n">
        <v>42.43</v>
      </c>
      <c r="I330" s="5">
        <f>G330*H330</f>
        <v/>
      </c>
      <c r="J330" s="5">
        <f>H330/E330</f>
        <v/>
      </c>
      <c r="K330" s="5" t="n">
        <v>46.42</v>
      </c>
      <c r="L330" s="5" t="n">
        <v>43.95</v>
      </c>
      <c r="M330" s="5" t="n">
        <v>45.59333333333333</v>
      </c>
      <c r="N330" s="6">
        <f>J330/M330-1</f>
        <v/>
      </c>
      <c r="O330" s="6">
        <f>J330/K330-1</f>
        <v/>
      </c>
      <c r="P330" s="2" t="inlineStr">
        <is>
          <t>OK (≤ últ. compra)</t>
        </is>
      </c>
      <c r="Q330" s="2" t="inlineStr"/>
    </row>
    <row r="331">
      <c r="A331" s="2" t="n">
        <v>558541</v>
      </c>
      <c r="B331" s="2" t="inlineStr">
        <is>
          <t>103554</t>
        </is>
      </c>
      <c r="C331" s="3" t="inlineStr">
        <is>
          <t>7891317015985</t>
        </is>
      </c>
      <c r="D331" s="2" t="inlineStr">
        <is>
          <t>TORANTE 15MG/ML XPE FR 100ML+COP</t>
        </is>
      </c>
      <c r="E331" s="4" t="n">
        <v>1</v>
      </c>
      <c r="F331" s="4" t="n">
        <v>1</v>
      </c>
      <c r="G331" s="4" t="n">
        <v>1</v>
      </c>
      <c r="H331" s="5" t="n">
        <v>50.18</v>
      </c>
      <c r="I331" s="5">
        <f>G331*H331</f>
        <v/>
      </c>
      <c r="J331" s="5">
        <f>H331/E331</f>
        <v/>
      </c>
      <c r="K331" s="5" t="n">
        <v>50.52</v>
      </c>
      <c r="L331" s="5" t="n">
        <v>44.8</v>
      </c>
      <c r="M331" s="5" t="n">
        <v>47.88776666666666</v>
      </c>
      <c r="N331" s="6">
        <f>J331/M331-1</f>
        <v/>
      </c>
      <c r="O331" s="6">
        <f>J331/K331-1</f>
        <v/>
      </c>
      <c r="P331" s="2" t="inlineStr">
        <is>
          <t>OK (≤ últ. compra)</t>
        </is>
      </c>
      <c r="Q331" s="2" t="inlineStr"/>
    </row>
    <row r="332">
      <c r="A332" s="2" t="n">
        <v>207441</v>
      </c>
      <c r="B332" s="2" t="inlineStr">
        <is>
          <t>103625</t>
        </is>
      </c>
      <c r="C332" s="3" t="inlineStr">
        <is>
          <t>7896226102504</t>
        </is>
      </c>
      <c r="D332" s="2" t="inlineStr">
        <is>
          <t>TRIVAGEL-N CREME VAG BG 60G+10APLIC</t>
        </is>
      </c>
      <c r="E332" s="4" t="n">
        <v>1</v>
      </c>
      <c r="F332" s="4" t="n">
        <v>2</v>
      </c>
      <c r="G332" s="4" t="n">
        <v>2</v>
      </c>
      <c r="H332" s="5" t="n">
        <v>72.44</v>
      </c>
      <c r="I332" s="5">
        <f>G332*H332</f>
        <v/>
      </c>
      <c r="J332" s="5">
        <f>H332/E332</f>
        <v/>
      </c>
      <c r="K332" s="5" t="n">
        <v>73.675</v>
      </c>
      <c r="L332" s="5" t="n">
        <v>63.0967</v>
      </c>
      <c r="M332" s="5" t="n">
        <v>69.32556666666666</v>
      </c>
      <c r="N332" s="6">
        <f>J332/M332-1</f>
        <v/>
      </c>
      <c r="O332" s="6">
        <f>J332/K332-1</f>
        <v/>
      </c>
      <c r="P332" s="2" t="inlineStr">
        <is>
          <t>OK (≤ últ. compra)</t>
        </is>
      </c>
      <c r="Q332" s="2" t="inlineStr"/>
    </row>
    <row r="333">
      <c r="A333" s="2" t="n">
        <v>395721</v>
      </c>
      <c r="B333" s="2" t="inlineStr">
        <is>
          <t>401309</t>
        </is>
      </c>
      <c r="C333" s="3" t="inlineStr">
        <is>
          <t>7891010255947</t>
        </is>
      </c>
      <c r="D333" s="2" t="inlineStr">
        <is>
          <t>TYLENOL 200MG SOL OR FR GTS 15ML</t>
        </is>
      </c>
      <c r="E333" s="4" t="n">
        <v>1</v>
      </c>
      <c r="F333" s="4" t="n">
        <v>1</v>
      </c>
      <c r="G333" s="4" t="n">
        <v>1</v>
      </c>
      <c r="H333" s="5" t="n">
        <v>34.86</v>
      </c>
      <c r="I333" s="5">
        <f>G333*H333</f>
        <v/>
      </c>
      <c r="J333" s="5">
        <f>H333/E333</f>
        <v/>
      </c>
      <c r="K333" s="5" t="n">
        <v>35.85</v>
      </c>
      <c r="L333" s="5" t="n">
        <v>29.67</v>
      </c>
      <c r="M333" s="5" t="n">
        <v>31.73</v>
      </c>
      <c r="N333" s="6">
        <f>J333/M333-1</f>
        <v/>
      </c>
      <c r="O333" s="6">
        <f>J333/K333-1</f>
        <v/>
      </c>
      <c r="P333" s="2" t="inlineStr">
        <is>
          <t>OK (≤ últ. compra)</t>
        </is>
      </c>
      <c r="Q333" s="2" t="inlineStr"/>
    </row>
    <row r="334">
      <c r="A334" s="2" t="n">
        <v>395781</v>
      </c>
      <c r="B334" s="2" t="inlineStr">
        <is>
          <t>401935</t>
        </is>
      </c>
      <c r="C334" s="3" t="inlineStr">
        <is>
          <t>7891010986155</t>
        </is>
      </c>
      <c r="D334" s="2" t="inlineStr">
        <is>
          <t>TYLENOL 500MG CX 20 COMP REV</t>
        </is>
      </c>
      <c r="E334" s="4" t="n">
        <v>1</v>
      </c>
      <c r="F334" s="4" t="n">
        <v>4</v>
      </c>
      <c r="G334" s="4" t="n">
        <v>4</v>
      </c>
      <c r="H334" s="5" t="n">
        <v>28.85</v>
      </c>
      <c r="I334" s="5">
        <f>G334*H334</f>
        <v/>
      </c>
      <c r="J334" s="5">
        <f>H334/E334</f>
        <v/>
      </c>
      <c r="K334" s="5" t="n">
        <v>27.43</v>
      </c>
      <c r="L334" s="5" t="n">
        <v>27.43</v>
      </c>
      <c r="M334" s="5" t="n">
        <v>27.43</v>
      </c>
      <c r="N334" s="6">
        <f>J334/M334-1</f>
        <v/>
      </c>
      <c r="O334" s="6">
        <f>J334/K334-1</f>
        <v/>
      </c>
      <c r="P334" s="2" t="inlineStr">
        <is>
          <t>REAJUSTE +5.2% vs média (≤6%)</t>
        </is>
      </c>
      <c r="Q334" s="2" t="inlineStr"/>
    </row>
    <row r="335">
      <c r="A335" s="2" t="n">
        <v>18121</v>
      </c>
      <c r="B335" s="2" t="inlineStr">
        <is>
          <t>106586</t>
        </is>
      </c>
      <c r="C335" s="3" t="inlineStr">
        <is>
          <t>7898074614857</t>
        </is>
      </c>
      <c r="D335" s="2" t="inlineStr">
        <is>
          <t>URSACOL 50MG BL 30 COMP</t>
        </is>
      </c>
      <c r="E335" s="4" t="n">
        <v>1</v>
      </c>
      <c r="F335" s="4" t="n">
        <v>2</v>
      </c>
      <c r="G335" s="4" t="n">
        <v>2</v>
      </c>
      <c r="H335" s="5" t="n">
        <v>47.8</v>
      </c>
      <c r="I335" s="5">
        <f>G335*H335</f>
        <v/>
      </c>
      <c r="J335" s="5">
        <f>H335/E335</f>
        <v/>
      </c>
      <c r="K335" s="5" t="n">
        <v>49.68</v>
      </c>
      <c r="L335" s="5" t="n">
        <v>49.67</v>
      </c>
      <c r="M335" s="5" t="n">
        <v>49.66999999999999</v>
      </c>
      <c r="N335" s="6">
        <f>J335/M335-1</f>
        <v/>
      </c>
      <c r="O335" s="6">
        <f>J335/K335-1</f>
        <v/>
      </c>
      <c r="P335" s="2" t="inlineStr">
        <is>
          <t>OK (≤ últ. compra)</t>
        </is>
      </c>
      <c r="Q335" s="2" t="inlineStr"/>
    </row>
    <row r="336">
      <c r="A336" s="2" t="n">
        <v>413281</v>
      </c>
      <c r="B336" s="2" t="inlineStr">
        <is>
          <t>105564</t>
        </is>
      </c>
      <c r="C336" s="3" t="inlineStr">
        <is>
          <t>7898948648131</t>
        </is>
      </c>
      <c r="D336" s="2" t="inlineStr">
        <is>
          <t>UTROGESTAN 100MG CX 30 CAP</t>
        </is>
      </c>
      <c r="E336" s="4" t="n">
        <v>1</v>
      </c>
      <c r="F336" s="4" t="n">
        <v>1</v>
      </c>
      <c r="G336" s="4" t="n">
        <v>1</v>
      </c>
      <c r="H336" s="5" t="n">
        <v>62.85</v>
      </c>
      <c r="I336" s="5">
        <f>G336*H336</f>
        <v/>
      </c>
      <c r="J336" s="5">
        <f>H336/E336</f>
        <v/>
      </c>
      <c r="K336" s="5" t="n">
        <v>64.64</v>
      </c>
      <c r="L336" s="5" t="n">
        <v>56.81</v>
      </c>
      <c r="M336" s="5" t="n">
        <v>60.25943333333333</v>
      </c>
      <c r="N336" s="6">
        <f>J336/M336-1</f>
        <v/>
      </c>
      <c r="O336" s="6">
        <f>J336/K336-1</f>
        <v/>
      </c>
      <c r="P336" s="2" t="inlineStr">
        <is>
          <t>OK (≤ últ. compra)</t>
        </is>
      </c>
      <c r="Q336" s="2" t="inlineStr"/>
    </row>
    <row r="337">
      <c r="A337" s="2" t="n">
        <v>413241</v>
      </c>
      <c r="B337" s="2" t="inlineStr">
        <is>
          <t>105563</t>
        </is>
      </c>
      <c r="C337" s="3" t="inlineStr">
        <is>
          <t>7898948648148</t>
        </is>
      </c>
      <c r="D337" s="2" t="inlineStr">
        <is>
          <t>UTROGESTAN 200MG CX 14 CAP</t>
        </is>
      </c>
      <c r="E337" s="4" t="n">
        <v>1</v>
      </c>
      <c r="F337" s="4" t="n">
        <v>3</v>
      </c>
      <c r="G337" s="4" t="n">
        <v>3</v>
      </c>
      <c r="H337" s="5" t="n">
        <v>58.69</v>
      </c>
      <c r="I337" s="5">
        <f>G337*H337</f>
        <v/>
      </c>
      <c r="J337" s="5">
        <f>H337/E337</f>
        <v/>
      </c>
      <c r="K337" s="5" t="n">
        <v>60.36</v>
      </c>
      <c r="L337" s="5" t="n">
        <v>53.0533</v>
      </c>
      <c r="M337" s="5" t="n">
        <v>56.27553333333334</v>
      </c>
      <c r="N337" s="6">
        <f>J337/M337-1</f>
        <v/>
      </c>
      <c r="O337" s="6">
        <f>J337/K337-1</f>
        <v/>
      </c>
      <c r="P337" s="2" t="inlineStr">
        <is>
          <t>OK (≤ últ. compra)</t>
        </is>
      </c>
      <c r="Q337" s="2" t="inlineStr"/>
    </row>
    <row r="338">
      <c r="A338" s="2" t="n">
        <v>543061</v>
      </c>
      <c r="B338" s="2" t="inlineStr">
        <is>
          <t>720732</t>
        </is>
      </c>
      <c r="C338" s="3" t="inlineStr">
        <is>
          <t>000001355406</t>
        </is>
      </c>
      <c r="D338" s="2" t="inlineStr">
        <is>
          <t>VALDA FRIENDS PASTILHA SACHE 25G</t>
        </is>
      </c>
      <c r="E338" s="4" t="n">
        <v>10</v>
      </c>
      <c r="F338" s="4" t="n">
        <v>1</v>
      </c>
      <c r="G338" s="4" t="n">
        <v>1</v>
      </c>
      <c r="H338" s="5" t="n">
        <v>42.91</v>
      </c>
      <c r="I338" s="5">
        <f>G338*H338</f>
        <v/>
      </c>
      <c r="J338" s="5">
        <f>H338/E338</f>
        <v/>
      </c>
      <c r="K338" s="5" t="n">
        <v>5.734</v>
      </c>
      <c r="L338" s="5" t="n">
        <v>5.734</v>
      </c>
      <c r="M338" s="5" t="n">
        <v>5.733999999999999</v>
      </c>
      <c r="N338" s="6">
        <f>J338/M338-1</f>
        <v/>
      </c>
      <c r="O338" s="6">
        <f>J338/K338-1</f>
        <v/>
      </c>
      <c r="P338" s="2" t="inlineStr">
        <is>
          <t>OK (≤ últ. compra)</t>
        </is>
      </c>
      <c r="Q338" s="2" t="inlineStr">
        <is>
          <t>1 emb = 10 un</t>
        </is>
      </c>
    </row>
    <row r="339">
      <c r="A339" s="2" t="n">
        <v>596721</v>
      </c>
      <c r="B339" s="2" t="inlineStr">
        <is>
          <t>718311</t>
        </is>
      </c>
      <c r="C339" s="3" t="inlineStr">
        <is>
          <t>7898040329112</t>
        </is>
      </c>
      <c r="D339" s="2" t="inlineStr">
        <is>
          <t>VARICELL CREME BG 150G</t>
        </is>
      </c>
      <c r="E339" s="4" t="n">
        <v>1</v>
      </c>
      <c r="F339" s="4" t="n">
        <v>3</v>
      </c>
      <c r="G339" s="4" t="n">
        <v>3</v>
      </c>
      <c r="H339" s="5" t="n">
        <v>28.12</v>
      </c>
      <c r="I339" s="5">
        <f>G339*H339</f>
        <v/>
      </c>
      <c r="J339" s="5">
        <f>H339/E339</f>
        <v/>
      </c>
      <c r="K339" s="5" t="n">
        <v>28.28</v>
      </c>
      <c r="L339" s="5" t="n">
        <v>18.49</v>
      </c>
      <c r="M339" s="5" t="n">
        <v>24.35666666666667</v>
      </c>
      <c r="N339" s="6">
        <f>J339/M339-1</f>
        <v/>
      </c>
      <c r="O339" s="6">
        <f>J339/K339-1</f>
        <v/>
      </c>
      <c r="P339" s="2" t="inlineStr">
        <is>
          <t>OK (≤ últ. compra)</t>
        </is>
      </c>
      <c r="Q339" s="2" t="inlineStr"/>
    </row>
    <row r="340">
      <c r="A340" s="2" t="n">
        <v>612541</v>
      </c>
      <c r="B340" s="2" t="inlineStr">
        <is>
          <t>112768</t>
        </is>
      </c>
      <c r="C340" s="3" t="inlineStr">
        <is>
          <t>7891317010379</t>
        </is>
      </c>
      <c r="D340" s="2" t="inlineStr">
        <is>
          <t>VENTUS 50MCG SUS SPR NAS FR 60 ACIONAMENTOS</t>
        </is>
      </c>
      <c r="E340" s="4" t="n">
        <v>1</v>
      </c>
      <c r="F340" s="4" t="n">
        <v>3</v>
      </c>
      <c r="G340" s="4" t="n">
        <v>3</v>
      </c>
      <c r="H340" s="5" t="n">
        <v>35</v>
      </c>
      <c r="I340" s="5">
        <f>G340*H340</f>
        <v/>
      </c>
      <c r="J340" s="5">
        <f>H340/E340</f>
        <v/>
      </c>
      <c r="K340" s="5" t="n">
        <v>35.24</v>
      </c>
      <c r="L340" s="5" t="n">
        <v>31.645</v>
      </c>
      <c r="M340" s="5" t="n">
        <v>34.03946666666666</v>
      </c>
      <c r="N340" s="6">
        <f>J340/M340-1</f>
        <v/>
      </c>
      <c r="O340" s="6">
        <f>J340/K340-1</f>
        <v/>
      </c>
      <c r="P340" s="2" t="inlineStr">
        <is>
          <t>OK (≤ últ. compra)</t>
        </is>
      </c>
      <c r="Q340" s="2" t="inlineStr"/>
    </row>
    <row r="341">
      <c r="A341" s="2" t="n">
        <v>660421</v>
      </c>
      <c r="B341" s="2" t="inlineStr">
        <is>
          <t>722237</t>
        </is>
      </c>
      <c r="C341" s="3" t="inlineStr">
        <is>
          <t>7500435245357</t>
        </is>
      </c>
      <c r="D341" s="2" t="inlineStr">
        <is>
          <t>VICK DROPS MENTOL C/20 PAST-DEMAIS PROD</t>
        </is>
      </c>
      <c r="E341" s="4" t="n">
        <v>1</v>
      </c>
      <c r="F341" s="4" t="n">
        <v>1</v>
      </c>
      <c r="G341" s="4" t="n">
        <v>1</v>
      </c>
      <c r="H341" s="5" t="n">
        <v>10.64</v>
      </c>
      <c r="I341" s="5">
        <f>G341*H341</f>
        <v/>
      </c>
      <c r="J341" s="5">
        <f>H341/E341</f>
        <v/>
      </c>
      <c r="K341" s="5" t="n">
        <v>47.15</v>
      </c>
      <c r="L341" s="5" t="n">
        <v>7.66</v>
      </c>
      <c r="M341" s="5" t="n">
        <v>7.66</v>
      </c>
      <c r="N341" s="6">
        <f>J341/M341-1</f>
        <v/>
      </c>
      <c r="O341" s="6">
        <f>J341/K341-1</f>
        <v/>
      </c>
      <c r="P341" s="2" t="inlineStr">
        <is>
          <t>OK (≤ últ. compra)</t>
        </is>
      </c>
      <c r="Q341" s="2" t="inlineStr">
        <is>
          <t>conferir emb.</t>
        </is>
      </c>
    </row>
    <row r="342">
      <c r="A342" s="2" t="n">
        <v>622781</v>
      </c>
      <c r="B342" s="2" t="inlineStr">
        <is>
          <t>720873</t>
        </is>
      </c>
      <c r="C342" s="3" t="inlineStr">
        <is>
          <t>7896226100067</t>
        </is>
      </c>
      <c r="D342" s="2" t="inlineStr">
        <is>
          <t>VITERGAN MASTER-N CX 30 COMP REV</t>
        </is>
      </c>
      <c r="E342" s="4" t="n">
        <v>1</v>
      </c>
      <c r="F342" s="4" t="n">
        <v>1</v>
      </c>
      <c r="G342" s="4" t="n">
        <v>1</v>
      </c>
      <c r="H342" s="5" t="n">
        <v>84.89</v>
      </c>
      <c r="I342" s="5">
        <f>G342*H342</f>
        <v/>
      </c>
      <c r="J342" s="5">
        <f>H342/E342</f>
        <v/>
      </c>
      <c r="K342" s="5" t="n">
        <v>103.42</v>
      </c>
      <c r="L342" s="5" t="n">
        <v>97.12</v>
      </c>
      <c r="M342" s="5" t="n">
        <v>101.32</v>
      </c>
      <c r="N342" s="6">
        <f>J342/M342-1</f>
        <v/>
      </c>
      <c r="O342" s="6">
        <f>J342/K342-1</f>
        <v/>
      </c>
      <c r="P342" s="2" t="inlineStr">
        <is>
          <t>OK (≤ últ. compra)</t>
        </is>
      </c>
      <c r="Q342" s="2" t="inlineStr"/>
    </row>
    <row r="343">
      <c r="A343" s="2" t="n">
        <v>386261</v>
      </c>
      <c r="B343" s="2" t="inlineStr">
        <is>
          <t>401408</t>
        </is>
      </c>
      <c r="C343" s="3" t="inlineStr">
        <is>
          <t>7896226102603</t>
        </is>
      </c>
      <c r="D343" s="2" t="inlineStr">
        <is>
          <t>VITERGAN ZINCO 15MG CX 30 COMP</t>
        </is>
      </c>
      <c r="E343" s="4" t="n">
        <v>1</v>
      </c>
      <c r="F343" s="4" t="n">
        <v>1</v>
      </c>
      <c r="G343" s="4" t="n">
        <v>1</v>
      </c>
      <c r="H343" s="5" t="n">
        <v>81.81999999999999</v>
      </c>
      <c r="I343" s="5">
        <f>G343*H343</f>
        <v/>
      </c>
      <c r="J343" s="5">
        <f>H343/E343</f>
        <v/>
      </c>
      <c r="K343" s="5" t="n">
        <v>81.81999999999999</v>
      </c>
      <c r="L343" s="5" t="n">
        <v>69.45999999999999</v>
      </c>
      <c r="M343" s="5" t="n">
        <v>77.69999999999999</v>
      </c>
      <c r="N343" s="6">
        <f>J343/M343-1</f>
        <v/>
      </c>
      <c r="O343" s="6">
        <f>J343/K343-1</f>
        <v/>
      </c>
      <c r="P343" s="2" t="inlineStr">
        <is>
          <t>OK (≤ últ. compra)</t>
        </is>
      </c>
      <c r="Q343" s="2" t="inlineStr"/>
    </row>
    <row r="344">
      <c r="A344" s="2" t="n">
        <v>635091</v>
      </c>
      <c r="B344" s="2" t="inlineStr">
        <is>
          <t>722847</t>
        </is>
      </c>
      <c r="C344" s="3" t="inlineStr">
        <is>
          <t>7899852025452</t>
        </is>
      </c>
      <c r="D344" s="2" t="inlineStr">
        <is>
          <t>VULT HAIR SH LISOS 350ML</t>
        </is>
      </c>
      <c r="E344" s="4" t="n">
        <v>1</v>
      </c>
      <c r="F344" s="4" t="n">
        <v>1</v>
      </c>
      <c r="G344" s="4" t="n">
        <v>1</v>
      </c>
      <c r="H344" s="5" t="n">
        <v>12.98</v>
      </c>
      <c r="I344" s="5">
        <f>G344*H344</f>
        <v/>
      </c>
      <c r="J344" s="5">
        <f>H344/E344</f>
        <v/>
      </c>
      <c r="K344" s="5" t="n">
        <v>18.74</v>
      </c>
      <c r="L344" s="5" t="n">
        <v>18.74</v>
      </c>
      <c r="M344" s="5" t="n">
        <v>18.74</v>
      </c>
      <c r="N344" s="6">
        <f>J344/M344-1</f>
        <v/>
      </c>
      <c r="O344" s="6">
        <f>J344/K344-1</f>
        <v/>
      </c>
      <c r="P344" s="2" t="inlineStr">
        <is>
          <t>OK (≤ últ. compra)</t>
        </is>
      </c>
      <c r="Q344" s="2" t="inlineStr"/>
    </row>
    <row r="345">
      <c r="A345" s="2" t="n">
        <v>287141</v>
      </c>
      <c r="B345" s="2" t="inlineStr">
        <is>
          <t>103966</t>
        </is>
      </c>
      <c r="C345" s="3" t="inlineStr">
        <is>
          <t>7891317451417</t>
        </is>
      </c>
      <c r="D345" s="2" t="inlineStr">
        <is>
          <t>ZART H H 50+12,5MG CX 30 COMP REV</t>
        </is>
      </c>
      <c r="E345" s="4" t="n">
        <v>1</v>
      </c>
      <c r="F345" s="4" t="n">
        <v>2</v>
      </c>
      <c r="G345" s="4" t="n">
        <v>2</v>
      </c>
      <c r="H345" s="5" t="n">
        <v>41.33</v>
      </c>
      <c r="I345" s="5">
        <f>G345*H345</f>
        <v/>
      </c>
      <c r="J345" s="5">
        <f>H345/E345</f>
        <v/>
      </c>
      <c r="K345" s="5" t="n">
        <v>41.61</v>
      </c>
      <c r="L345" s="5" t="n">
        <v>36.88</v>
      </c>
      <c r="M345" s="5" t="n">
        <v>40.03333333333333</v>
      </c>
      <c r="N345" s="6">
        <f>J345/M345-1</f>
        <v/>
      </c>
      <c r="O345" s="6">
        <f>J345/K345-1</f>
        <v/>
      </c>
      <c r="P345" s="2" t="inlineStr">
        <is>
          <t>OK (≤ últ. compra)</t>
        </is>
      </c>
      <c r="Q345" s="2" t="inlineStr"/>
    </row>
    <row r="346">
      <c r="A346" s="2" t="n">
        <v>261481</v>
      </c>
      <c r="B346" s="2" t="inlineStr">
        <is>
          <t>104060</t>
        </is>
      </c>
      <c r="C346" s="3" t="inlineStr">
        <is>
          <t>7897316805442</t>
        </is>
      </c>
      <c r="D346" s="2" t="inlineStr">
        <is>
          <t>ZYPRED 3+10MG/ML SUS OFT FR GOT 6ML</t>
        </is>
      </c>
      <c r="E346" s="4" t="n">
        <v>1</v>
      </c>
      <c r="F346" s="4" t="n">
        <v>4</v>
      </c>
      <c r="G346" s="4" t="n">
        <v>4</v>
      </c>
      <c r="H346" s="5" t="n">
        <v>68.62</v>
      </c>
      <c r="I346" s="5">
        <f>G346*H346</f>
        <v/>
      </c>
      <c r="J346" s="5">
        <f>H346/E346</f>
        <v/>
      </c>
      <c r="K346" s="5" t="n">
        <v>67.565</v>
      </c>
      <c r="L346" s="5" t="n">
        <v>61.93</v>
      </c>
      <c r="M346" s="5" t="n">
        <v>65.68666666666667</v>
      </c>
      <c r="N346" s="6">
        <f>J346/M346-1</f>
        <v/>
      </c>
      <c r="O346" s="6">
        <f>J346/K346-1</f>
        <v/>
      </c>
      <c r="P346" s="2" t="inlineStr">
        <is>
          <t>REAJUSTE +1.6% vs últ. (≤4%)</t>
        </is>
      </c>
      <c r="Q346" s="2" t="inlineStr"/>
    </row>
    <row r="347">
      <c r="D347" s="7" t="inlineStr">
        <is>
          <t>TOTAL</t>
        </is>
      </c>
      <c r="I347" s="8">
        <f>SUM(I2:I346)</f>
        <v/>
      </c>
    </row>
    <row r="349">
      <c r="A349" s="9" t="inlineStr">
        <is>
          <t>Pedido FINAL EPAN — cotação 08/09/2026 (fechada 09/09). Somente itens aprovados: teto de reajuste de 4% sobre a última compra OU 6% sobre a média histórica (3/6/12m). 'Qtd pedido' na embalagem do fornecedor.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2026-09-09T15:37:04Z</dcterms:created>
  <dcterms:modified xsi:type="dcterms:W3CDTF">2026-09-09T15:37:05Z</dcterms:modified>
</cp:coreProperties>
</file>