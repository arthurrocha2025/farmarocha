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_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49" fontId="2" fillId="0" borderId="1" pivotButton="0" quotePrefix="0" xfId="0"/>
    <xf numFmtId="1" fontId="2" fillId="0" borderId="1" pivotButton="0" quotePrefix="0" xfId="0"/>
    <xf numFmtId="4" fontId="2" fillId="0" borderId="1" pivotButton="0" quotePrefix="0" xfId="0"/>
    <xf numFmtId="0" fontId="3" fillId="0" borderId="0" pivotButton="0" quotePrefix="0" xfId="0"/>
    <xf numFmtId="1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46" customWidth="1" min="3" max="3"/>
    <col width="20" customWidth="1" min="4" max="4"/>
    <col width="16" customWidth="1" min="5" max="5"/>
    <col width="6" customWidth="1" min="6" max="6"/>
    <col width="8" customWidth="1" min="7" max="7"/>
    <col width="9" customWidth="1" min="8" max="8"/>
    <col width="12" customWidth="1" min="9" max="9"/>
    <col width="12" customWidth="1" min="10" max="10"/>
  </cols>
  <sheetData>
    <row r="1" ht="26" customHeight="1">
      <c r="A1" s="1" t="inlineStr">
        <is>
          <t>Cód. interno</t>
        </is>
      </c>
      <c r="B1" s="1" t="inlineStr">
        <is>
          <t>EAN princ.</t>
        </is>
      </c>
      <c r="C1" s="1" t="inlineStr">
        <is>
          <t>Produto</t>
        </is>
      </c>
      <c r="D1" s="1" t="inlineStr">
        <is>
          <t>Fabricante</t>
        </is>
      </c>
      <c r="E1" s="1" t="inlineStr">
        <is>
          <t>Grupo</t>
        </is>
      </c>
      <c r="F1" s="1" t="inlineStr">
        <is>
          <t>ABC</t>
        </is>
      </c>
      <c r="G1" s="1" t="inlineStr">
        <is>
          <t>Caixas</t>
        </is>
      </c>
      <c r="H1" s="1" t="inlineStr">
        <is>
          <t>Unidades</t>
        </is>
      </c>
      <c r="I1" s="1" t="inlineStr">
        <is>
          <t>Últ. preço compra</t>
        </is>
      </c>
      <c r="J1" s="1" t="inlineStr">
        <is>
          <t>Data últ. compra</t>
        </is>
      </c>
    </row>
    <row r="2">
      <c r="A2" s="2" t="n">
        <v>109161</v>
      </c>
      <c r="B2" s="3" t="inlineStr">
        <is>
          <t>7896181900498</t>
        </is>
      </c>
      <c r="C2" s="2" t="inlineStr">
        <is>
          <t>AMOXICILINA TRIIDRATADA+CLAVULANATO DE POTASSIO 400+57MG/5ML FR 70ML</t>
        </is>
      </c>
      <c r="D2" s="2" t="inlineStr">
        <is>
          <t>ACHE</t>
        </is>
      </c>
      <c r="E2" s="2" t="inlineStr">
        <is>
          <t>GENERICO - ATB</t>
        </is>
      </c>
      <c r="F2" s="2" t="inlineStr">
        <is>
          <t>A</t>
        </is>
      </c>
      <c r="G2" s="4" t="n">
        <v>6</v>
      </c>
      <c r="H2" s="4" t="n">
        <v>6</v>
      </c>
      <c r="I2" s="5" t="n">
        <v>16.58</v>
      </c>
      <c r="J2" s="2" t="inlineStr">
        <is>
          <t>01/09/2026</t>
        </is>
      </c>
    </row>
    <row r="3">
      <c r="A3" s="2" t="n">
        <v>33861</v>
      </c>
      <c r="B3" s="3" t="inlineStr">
        <is>
          <t>7896181919452</t>
        </is>
      </c>
      <c r="C3" s="2" t="inlineStr">
        <is>
          <t>AMOXICILINA TRIIDRATADA+CLAVULANATO DE POTASSIO 875/125MG FR 14 COMP</t>
        </is>
      </c>
      <c r="D3" s="2" t="inlineStr">
        <is>
          <t>ACHE</t>
        </is>
      </c>
      <c r="E3" s="2" t="inlineStr">
        <is>
          <t>GENERICO - ATB</t>
        </is>
      </c>
      <c r="F3" s="2" t="inlineStr">
        <is>
          <t>A</t>
        </is>
      </c>
      <c r="G3" s="4" t="n">
        <v>2</v>
      </c>
      <c r="H3" s="4" t="n">
        <v>2</v>
      </c>
      <c r="I3" s="5" t="n">
        <v>38.55</v>
      </c>
      <c r="J3" s="2" t="inlineStr">
        <is>
          <t>01/09/2026</t>
        </is>
      </c>
    </row>
    <row r="4">
      <c r="A4" s="2" t="n">
        <v>674041</v>
      </c>
      <c r="B4" s="3" t="inlineStr">
        <is>
          <t>7896658051159</t>
        </is>
      </c>
      <c r="C4" s="2" t="inlineStr">
        <is>
          <t>BUDESONIDA 32MCG SUS SPRAY NASAL (GEN)</t>
        </is>
      </c>
      <c r="D4" s="2" t="inlineStr">
        <is>
          <t>ACHE</t>
        </is>
      </c>
      <c r="E4" s="2" t="inlineStr">
        <is>
          <t>GENERICO</t>
        </is>
      </c>
      <c r="F4" s="2" t="inlineStr">
        <is>
          <t>C</t>
        </is>
      </c>
      <c r="G4" s="4" t="n">
        <v>1</v>
      </c>
      <c r="H4" s="4" t="n">
        <v>1</v>
      </c>
      <c r="I4" s="5" t="n">
        <v>15.79</v>
      </c>
      <c r="J4" s="2" t="inlineStr">
        <is>
          <t>19/02/2026</t>
        </is>
      </c>
    </row>
    <row r="5">
      <c r="A5" s="2" t="n">
        <v>99121</v>
      </c>
      <c r="B5" s="3" t="inlineStr">
        <is>
          <t>7896181925859</t>
        </is>
      </c>
      <c r="C5" s="2" t="inlineStr">
        <is>
          <t>CILOSTAZOL 100MG CX 30 COMP</t>
        </is>
      </c>
      <c r="D5" s="2" t="inlineStr">
        <is>
          <t>ACHE</t>
        </is>
      </c>
      <c r="E5" s="2" t="inlineStr">
        <is>
          <t>GENERICO</t>
        </is>
      </c>
      <c r="F5" s="2" t="inlineStr">
        <is>
          <t>B</t>
        </is>
      </c>
      <c r="G5" s="4" t="n">
        <v>4</v>
      </c>
      <c r="H5" s="4" t="n">
        <v>4</v>
      </c>
      <c r="I5" s="5" t="n">
        <v>15.15</v>
      </c>
      <c r="J5" s="2" t="inlineStr">
        <is>
          <t>01/09/2026</t>
        </is>
      </c>
    </row>
    <row r="6">
      <c r="A6" s="2" t="n">
        <v>99161</v>
      </c>
      <c r="B6" s="3" t="inlineStr">
        <is>
          <t>7896181925811</t>
        </is>
      </c>
      <c r="C6" s="2" t="inlineStr">
        <is>
          <t>CILOSTAZOL 50MG CX 30 COMP</t>
        </is>
      </c>
      <c r="D6" s="2" t="inlineStr">
        <is>
          <t>ACHE</t>
        </is>
      </c>
      <c r="E6" s="2" t="inlineStr">
        <is>
          <t>GENERICO</t>
        </is>
      </c>
      <c r="F6" s="2" t="inlineStr">
        <is>
          <t>B</t>
        </is>
      </c>
      <c r="G6" s="4" t="n">
        <v>1</v>
      </c>
      <c r="H6" s="4" t="n">
        <v>1</v>
      </c>
      <c r="I6" s="5" t="n">
        <v>10</v>
      </c>
      <c r="J6" s="2" t="inlineStr">
        <is>
          <t>01/09/2026</t>
        </is>
      </c>
    </row>
    <row r="7">
      <c r="A7" s="2" t="n">
        <v>4301</v>
      </c>
      <c r="B7" s="3" t="inlineStr">
        <is>
          <t>7898907313858</t>
        </is>
      </c>
      <c r="C7" s="2" t="inlineStr">
        <is>
          <t>CIPROTERONA+ETINILESTRADIOL 0,035MG CX 21 COMP</t>
        </is>
      </c>
      <c r="D7" s="2" t="inlineStr">
        <is>
          <t>ACHE</t>
        </is>
      </c>
      <c r="E7" s="2" t="inlineStr">
        <is>
          <t>GENERICO</t>
        </is>
      </c>
      <c r="F7" s="2" t="inlineStr">
        <is>
          <t>C</t>
        </is>
      </c>
      <c r="G7" s="4" t="n">
        <v>3</v>
      </c>
      <c r="H7" s="4" t="n">
        <v>3</v>
      </c>
      <c r="I7" s="5" t="n">
        <v>6.49</v>
      </c>
      <c r="J7" s="2" t="inlineStr">
        <is>
          <t>01/09/2026</t>
        </is>
      </c>
    </row>
    <row r="8">
      <c r="A8" s="2" t="n">
        <v>204681</v>
      </c>
      <c r="B8" s="3" t="inlineStr"/>
      <c r="C8" s="2" t="inlineStr">
        <is>
          <t>DESOGESTREL 75MCG CX 28 COMP</t>
        </is>
      </c>
      <c r="D8" s="2" t="inlineStr">
        <is>
          <t>ACHE</t>
        </is>
      </c>
      <c r="E8" s="2" t="inlineStr">
        <is>
          <t>GENERICO</t>
        </is>
      </c>
      <c r="F8" s="2" t="inlineStr">
        <is>
          <t>A</t>
        </is>
      </c>
      <c r="G8" s="4" t="n">
        <v>3</v>
      </c>
      <c r="H8" s="4" t="n">
        <v>3</v>
      </c>
      <c r="I8" s="5" t="n">
        <v>5.69</v>
      </c>
      <c r="J8" s="2" t="inlineStr">
        <is>
          <t>01/09/2026</t>
        </is>
      </c>
    </row>
    <row r="9">
      <c r="A9" s="2" t="n">
        <v>16003</v>
      </c>
      <c r="B9" s="3" t="inlineStr">
        <is>
          <t>7896658052910</t>
        </is>
      </c>
      <c r="C9" s="2" t="inlineStr">
        <is>
          <t>DISP H 900+100MG 30CPR DIOS+HESP</t>
        </is>
      </c>
      <c r="D9" s="2" t="inlineStr">
        <is>
          <t>ACHE</t>
        </is>
      </c>
      <c r="E9" s="2" t="inlineStr">
        <is>
          <t>GENERICO</t>
        </is>
      </c>
      <c r="F9" s="2" t="inlineStr">
        <is>
          <t>C</t>
        </is>
      </c>
      <c r="G9" s="4" t="n">
        <v>1</v>
      </c>
      <c r="H9" s="4" t="n">
        <v>1</v>
      </c>
      <c r="I9" s="5" t="n">
        <v>32.82</v>
      </c>
      <c r="J9" s="2" t="inlineStr">
        <is>
          <t>11/05/2026</t>
        </is>
      </c>
    </row>
    <row r="10">
      <c r="A10" s="2" t="n">
        <v>630571</v>
      </c>
      <c r="B10" s="3" t="inlineStr"/>
      <c r="C10" s="2" t="inlineStr">
        <is>
          <t>DROPROPIZINA 1,5MG/ML XPE FR 120ML+SER DOS</t>
        </is>
      </c>
      <c r="D10" s="2" t="inlineStr">
        <is>
          <t>ACHE</t>
        </is>
      </c>
      <c r="E10" s="2" t="inlineStr">
        <is>
          <t>GENERICO</t>
        </is>
      </c>
      <c r="F10" s="2" t="inlineStr">
        <is>
          <t>A</t>
        </is>
      </c>
      <c r="G10" s="4" t="n">
        <v>3</v>
      </c>
      <c r="H10" s="4" t="n">
        <v>3</v>
      </c>
      <c r="I10" s="5" t="n">
        <v>8.050000000000001</v>
      </c>
      <c r="J10" s="2" t="inlineStr">
        <is>
          <t>01/09/2026</t>
        </is>
      </c>
    </row>
    <row r="11">
      <c r="A11" s="2" t="n">
        <v>278461</v>
      </c>
      <c r="B11" s="3" t="inlineStr">
        <is>
          <t>7896658035371</t>
        </is>
      </c>
      <c r="C11" s="2" t="inlineStr">
        <is>
          <t>FUMARATO DE QUETIAPINA 25MG CX 30 COMP REV</t>
        </is>
      </c>
      <c r="D11" s="2" t="inlineStr">
        <is>
          <t>ACHE</t>
        </is>
      </c>
      <c r="E11" s="2" t="inlineStr">
        <is>
          <t>GENERICO - CONTROLE</t>
        </is>
      </c>
      <c r="F11" s="2" t="inlineStr">
        <is>
          <t>C</t>
        </is>
      </c>
      <c r="G11" s="4" t="n">
        <v>2</v>
      </c>
      <c r="H11" s="4" t="n">
        <v>2</v>
      </c>
      <c r="I11" s="5" t="n">
        <v>4.8</v>
      </c>
      <c r="J11" s="2" t="inlineStr">
        <is>
          <t>28/07/2026</t>
        </is>
      </c>
    </row>
    <row r="12">
      <c r="A12" s="2" t="n">
        <v>316501</v>
      </c>
      <c r="B12" s="3" t="inlineStr"/>
      <c r="C12" s="2" t="inlineStr">
        <is>
          <t>LEVOFLOXACINO 750MG CX 5 COMP REV</t>
        </is>
      </c>
      <c r="D12" s="2" t="inlineStr">
        <is>
          <t>ACHE</t>
        </is>
      </c>
      <c r="E12" s="2" t="inlineStr">
        <is>
          <t>GENERICO - ATB</t>
        </is>
      </c>
      <c r="F12" s="2" t="inlineStr">
        <is>
          <t>A</t>
        </is>
      </c>
      <c r="G12" s="4" t="n">
        <v>1</v>
      </c>
      <c r="H12" s="4" t="n">
        <v>1</v>
      </c>
      <c r="I12" s="5" t="n">
        <v>18.72</v>
      </c>
      <c r="J12" s="2" t="inlineStr">
        <is>
          <t>01/09/2026</t>
        </is>
      </c>
    </row>
    <row r="13">
      <c r="A13" s="2" t="n">
        <v>246941</v>
      </c>
      <c r="B13" s="3" t="inlineStr">
        <is>
          <t>7896658005589</t>
        </is>
      </c>
      <c r="C13" s="2" t="inlineStr">
        <is>
          <t>MERACILINA 500MU CX 12 COMP</t>
        </is>
      </c>
      <c r="D13" s="2" t="inlineStr">
        <is>
          <t>ACHE</t>
        </is>
      </c>
      <c r="E13" s="2" t="inlineStr">
        <is>
          <t>SIMILAR</t>
        </is>
      </c>
      <c r="F13" s="2" t="inlineStr">
        <is>
          <t>C</t>
        </is>
      </c>
      <c r="G13" s="4" t="n">
        <v>1</v>
      </c>
      <c r="H13" s="4" t="n">
        <v>1</v>
      </c>
      <c r="I13" s="5" t="n">
        <v>9.720000000000001</v>
      </c>
      <c r="J13" s="2" t="inlineStr">
        <is>
          <t>05/06/2025</t>
        </is>
      </c>
    </row>
    <row r="14">
      <c r="A14" s="2" t="n">
        <v>390361</v>
      </c>
      <c r="B14" s="3" t="inlineStr">
        <is>
          <t>7896181918424</t>
        </is>
      </c>
      <c r="C14" s="2" t="inlineStr">
        <is>
          <t>PANTOPRAZOL 20MG CX 28 COMP</t>
        </is>
      </c>
      <c r="D14" s="2" t="inlineStr">
        <is>
          <t>ACHE</t>
        </is>
      </c>
      <c r="E14" s="2" t="inlineStr">
        <is>
          <t>GENERICO</t>
        </is>
      </c>
      <c r="F14" s="2" t="inlineStr">
        <is>
          <t>C</t>
        </is>
      </c>
      <c r="G14" s="4" t="n">
        <v>22</v>
      </c>
      <c r="H14" s="4" t="n">
        <v>22</v>
      </c>
      <c r="I14" s="5" t="n">
        <v>2.776</v>
      </c>
      <c r="J14" s="2" t="inlineStr">
        <is>
          <t>17/07/2025</t>
        </is>
      </c>
    </row>
    <row r="15">
      <c r="A15" s="2" t="n">
        <v>390421</v>
      </c>
      <c r="B15" s="3" t="inlineStr">
        <is>
          <t>7896181918691</t>
        </is>
      </c>
      <c r="C15" s="2" t="inlineStr">
        <is>
          <t>PANTOPRAZOL 40MG CX 28 COMP</t>
        </is>
      </c>
      <c r="D15" s="2" t="inlineStr">
        <is>
          <t>ACHE</t>
        </is>
      </c>
      <c r="E15" s="2" t="inlineStr">
        <is>
          <t>GENERICO</t>
        </is>
      </c>
      <c r="F15" s="2" t="inlineStr">
        <is>
          <t>A</t>
        </is>
      </c>
      <c r="G15" s="4" t="n">
        <v>86</v>
      </c>
      <c r="H15" s="4" t="n">
        <v>86</v>
      </c>
      <c r="I15" s="5" t="n">
        <v>5.9</v>
      </c>
      <c r="J15" s="2" t="inlineStr">
        <is>
          <t>28/07/2026</t>
        </is>
      </c>
    </row>
    <row r="16">
      <c r="A16" s="2" t="n">
        <v>326441</v>
      </c>
      <c r="B16" s="3" t="inlineStr">
        <is>
          <t>7896181915638</t>
        </is>
      </c>
      <c r="C16" s="2" t="inlineStr">
        <is>
          <t>PV - LOSARTANA POTASSICA 50MG COMR BLX30</t>
        </is>
      </c>
      <c r="D16" s="2" t="inlineStr">
        <is>
          <t>ACHE</t>
        </is>
      </c>
      <c r="E16" s="2" t="inlineStr">
        <is>
          <t>GENERICO</t>
        </is>
      </c>
      <c r="F16" s="2" t="inlineStr">
        <is>
          <t>C</t>
        </is>
      </c>
      <c r="G16" s="4" t="n">
        <v>1</v>
      </c>
      <c r="H16" s="4" t="n">
        <v>1</v>
      </c>
      <c r="I16" s="5" t="n">
        <v>1.69</v>
      </c>
      <c r="J16" s="2" t="inlineStr">
        <is>
          <t>11/05/2026</t>
        </is>
      </c>
    </row>
    <row r="17">
      <c r="A17" s="2" t="n">
        <v>666531</v>
      </c>
      <c r="B17" s="3" t="inlineStr"/>
      <c r="C17" s="2" t="inlineStr">
        <is>
          <t>ROSUVASTATINA 40MG C/30 CPR (GEN)</t>
        </is>
      </c>
      <c r="D17" s="2" t="inlineStr">
        <is>
          <t>ACHE</t>
        </is>
      </c>
      <c r="E17" s="2" t="inlineStr">
        <is>
          <t>GENERICO</t>
        </is>
      </c>
      <c r="F17" s="2" t="inlineStr">
        <is>
          <t>A</t>
        </is>
      </c>
      <c r="G17" s="4" t="n">
        <v>5</v>
      </c>
      <c r="H17" s="4" t="n">
        <v>5</v>
      </c>
      <c r="I17" s="5" t="n">
        <v>45.6</v>
      </c>
      <c r="J17" s="2" t="inlineStr">
        <is>
          <t>01/09/2026</t>
        </is>
      </c>
    </row>
    <row r="18">
      <c r="A18" s="2" t="n">
        <v>457541</v>
      </c>
      <c r="B18" s="3" t="inlineStr">
        <is>
          <t>7896181929161</t>
        </is>
      </c>
      <c r="C18" s="2" t="inlineStr">
        <is>
          <t>TADALAFILA 5MG CX 30 COMP</t>
        </is>
      </c>
      <c r="D18" s="2" t="inlineStr">
        <is>
          <t>ACHE</t>
        </is>
      </c>
      <c r="E18" s="2" t="inlineStr">
        <is>
          <t>GENERICO</t>
        </is>
      </c>
      <c r="F18" s="2" t="inlineStr">
        <is>
          <t>A</t>
        </is>
      </c>
      <c r="G18" s="4" t="n">
        <v>51</v>
      </c>
      <c r="H18" s="4" t="n">
        <v>51</v>
      </c>
      <c r="I18" s="5" t="n">
        <v>5.13</v>
      </c>
      <c r="J18" s="2" t="inlineStr">
        <is>
          <t>28/07/2026</t>
        </is>
      </c>
    </row>
    <row r="19">
      <c r="C19" s="6" t="inlineStr">
        <is>
          <t>TOTAL</t>
        </is>
      </c>
      <c r="G19" s="7">
        <f>SUM(G2:G18)</f>
        <v/>
      </c>
      <c r="H19" s="7">
        <f>SUM(H2:H18)</f>
        <v/>
      </c>
    </row>
    <row r="21">
      <c r="A21" s="8" t="inlineStr">
        <is>
          <t>Pedido direto OL BIOSSINTETICA-ACHE GENERICO — Radar Pareto 08/09 (fora da cotação). EAN da base Necessidade 08/09; 'Últ. preço compra' apenas referência.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2026-09-09T15:37:05Z</dcterms:created>
  <dcterms:modified xsi:type="dcterms:W3CDTF">2026-09-09T15:37:05Z</dcterms:modified>
</cp:coreProperties>
</file>