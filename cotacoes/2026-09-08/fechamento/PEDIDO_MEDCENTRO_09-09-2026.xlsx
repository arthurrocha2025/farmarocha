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</row>
    <row r="2">
      <c r="A2" s="2" t="n">
        <v>9003</v>
      </c>
      <c r="B2" s="2" t="inlineStr"/>
      <c r="C2" s="3" t="inlineStr">
        <is>
          <t>7898662435147</t>
        </is>
      </c>
      <c r="D2" s="2" t="inlineStr">
        <is>
          <t>521 VIP MASC PARFUM 15ML (212 VIP BLACK CAROLINA HERRERA)</t>
        </is>
      </c>
      <c r="E2" s="4" t="n">
        <v>1</v>
      </c>
      <c r="F2" s="4" t="n">
        <v>3</v>
      </c>
      <c r="G2" s="4" t="n">
        <v>3</v>
      </c>
      <c r="H2" s="5" t="n">
        <v>21.1</v>
      </c>
      <c r="I2" s="5">
        <f>G2*H2</f>
        <v/>
      </c>
      <c r="J2" s="5">
        <f>H2/E2</f>
        <v/>
      </c>
      <c r="K2" s="5" t="n">
        <v>21.98</v>
      </c>
      <c r="L2" s="5" t="n">
        <v>21.98</v>
      </c>
      <c r="M2" s="5" t="n">
        <v>21.98</v>
      </c>
      <c r="N2" s="6">
        <f>J2/M2-1</f>
        <v/>
      </c>
      <c r="O2" s="6">
        <f>J2/K2-1</f>
        <v/>
      </c>
      <c r="P2" s="2" t="inlineStr">
        <is>
          <t>OK (≤ menor hist.)</t>
        </is>
      </c>
      <c r="Q2" s="2" t="inlineStr"/>
    </row>
    <row r="3">
      <c r="A3" s="2" t="n">
        <v>558201</v>
      </c>
      <c r="B3" s="2" t="inlineStr"/>
      <c r="C3" s="3" t="inlineStr">
        <is>
          <t>78909830</t>
        </is>
      </c>
      <c r="D3" s="2" t="inlineStr">
        <is>
          <t>AGULHA DESC 30X7 CX100 BD</t>
        </is>
      </c>
      <c r="E3" s="4" t="n">
        <v>1</v>
      </c>
      <c r="F3" s="4" t="n">
        <v>1</v>
      </c>
      <c r="G3" s="4" t="n">
        <v>1</v>
      </c>
      <c r="H3" s="5" t="n">
        <v>19.56</v>
      </c>
      <c r="I3" s="5">
        <f>G3*H3</f>
        <v/>
      </c>
      <c r="J3" s="5">
        <f>H3/E3</f>
        <v/>
      </c>
      <c r="K3" s="5" t="n"/>
      <c r="L3" s="5" t="n"/>
      <c r="M3" s="5" t="n"/>
      <c r="N3" s="6" t="n"/>
      <c r="O3" s="6" t="n"/>
      <c r="P3" s="2" t="inlineStr">
        <is>
          <t>SEM HISTÓRICO</t>
        </is>
      </c>
      <c r="Q3" s="2" t="inlineStr"/>
    </row>
    <row r="4">
      <c r="A4" s="2" t="n">
        <v>666901</v>
      </c>
      <c r="B4" s="2" t="inlineStr"/>
      <c r="C4" s="3" t="inlineStr">
        <is>
          <t>78910348</t>
        </is>
      </c>
      <c r="D4" s="2" t="inlineStr">
        <is>
          <t>AGULHA VERMELHA</t>
        </is>
      </c>
      <c r="E4" s="4" t="n">
        <v>1</v>
      </c>
      <c r="F4" s="4" t="n">
        <v>1</v>
      </c>
      <c r="G4" s="4" t="n">
        <v>1</v>
      </c>
      <c r="H4" s="5" t="n">
        <v>57</v>
      </c>
      <c r="I4" s="5">
        <f>G4*H4</f>
        <v/>
      </c>
      <c r="J4" s="5">
        <f>H4/E4</f>
        <v/>
      </c>
      <c r="K4" s="5" t="n"/>
      <c r="L4" s="5" t="n"/>
      <c r="M4" s="5" t="n"/>
      <c r="N4" s="6" t="n"/>
      <c r="O4" s="6" t="n"/>
      <c r="P4" s="2" t="inlineStr">
        <is>
          <t>SEM HISTÓRICO</t>
        </is>
      </c>
      <c r="Q4" s="2" t="inlineStr"/>
    </row>
    <row r="5">
      <c r="A5" s="2" t="n">
        <v>457961</v>
      </c>
      <c r="B5" s="2" t="inlineStr"/>
      <c r="C5" s="3" t="inlineStr">
        <is>
          <t>7896004810140</t>
        </is>
      </c>
      <c r="D5" s="2" t="inlineStr">
        <is>
          <t>BISMU-JET SOL FR GTS 20ML</t>
        </is>
      </c>
      <c r="E5" s="4" t="n">
        <v>1</v>
      </c>
      <c r="F5" s="4" t="n">
        <v>7</v>
      </c>
      <c r="G5" s="4" t="n">
        <v>7</v>
      </c>
      <c r="H5" s="5" t="n">
        <v>15.34</v>
      </c>
      <c r="I5" s="5">
        <f>G5*H5</f>
        <v/>
      </c>
      <c r="J5" s="5">
        <f>H5/E5</f>
        <v/>
      </c>
      <c r="K5" s="5" t="n">
        <v>16.56</v>
      </c>
      <c r="L5" s="5" t="n">
        <v>14.3</v>
      </c>
      <c r="M5" s="5" t="n">
        <v>14.67833333333333</v>
      </c>
      <c r="N5" s="6">
        <f>J5/M5-1</f>
        <v/>
      </c>
      <c r="O5" s="6">
        <f>J5/K5-1</f>
        <v/>
      </c>
      <c r="P5" s="2" t="inlineStr">
        <is>
          <t>OK (≤ últ. compra)</t>
        </is>
      </c>
      <c r="Q5" s="2" t="inlineStr"/>
    </row>
    <row r="6">
      <c r="A6" s="2" t="n">
        <v>629511</v>
      </c>
      <c r="B6" s="2" t="inlineStr"/>
      <c r="C6" s="3" t="inlineStr">
        <is>
          <t>7898920630406</t>
        </is>
      </c>
      <c r="D6" s="2" t="inlineStr">
        <is>
          <t>CENTRIX ZINCO 29,59MG 60 CPR</t>
        </is>
      </c>
      <c r="E6" s="4" t="n">
        <v>1</v>
      </c>
      <c r="F6" s="4" t="n">
        <v>1</v>
      </c>
      <c r="G6" s="4" t="n">
        <v>1</v>
      </c>
      <c r="H6" s="5" t="n">
        <v>15.48</v>
      </c>
      <c r="I6" s="5">
        <f>G6*H6</f>
        <v/>
      </c>
      <c r="J6" s="5">
        <f>H6/E6</f>
        <v/>
      </c>
      <c r="K6" s="5" t="n">
        <v>16.9</v>
      </c>
      <c r="L6" s="5" t="n">
        <v>16.9</v>
      </c>
      <c r="M6" s="5" t="n">
        <v>16.9</v>
      </c>
      <c r="N6" s="6">
        <f>J6/M6-1</f>
        <v/>
      </c>
      <c r="O6" s="6">
        <f>J6/K6-1</f>
        <v/>
      </c>
      <c r="P6" s="2" t="inlineStr">
        <is>
          <t>OK (≤ menor hist.)</t>
        </is>
      </c>
      <c r="Q6" s="2" t="inlineStr"/>
    </row>
    <row r="7">
      <c r="A7" s="2" t="n">
        <v>35203</v>
      </c>
      <c r="B7" s="2" t="inlineStr"/>
      <c r="C7" s="3" t="inlineStr">
        <is>
          <t>7896714292267</t>
        </is>
      </c>
      <c r="D7" s="2" t="inlineStr">
        <is>
          <t>CETOROLACO DE TROMETAMOL 10MG 10 CPR SUBL</t>
        </is>
      </c>
      <c r="E7" s="4" t="n">
        <v>1</v>
      </c>
      <c r="F7" s="4" t="n">
        <v>2</v>
      </c>
      <c r="G7" s="4" t="n">
        <v>2</v>
      </c>
      <c r="H7" s="5" t="n">
        <v>12.97</v>
      </c>
      <c r="I7" s="5">
        <f>G7*H7</f>
        <v/>
      </c>
      <c r="J7" s="5">
        <f>H7/E7</f>
        <v/>
      </c>
      <c r="K7" s="5" t="n">
        <v>12.97</v>
      </c>
      <c r="L7" s="5" t="n">
        <v>12.97</v>
      </c>
      <c r="M7" s="5" t="n">
        <v>12.97</v>
      </c>
      <c r="N7" s="6">
        <f>J7/M7-1</f>
        <v/>
      </c>
      <c r="O7" s="6">
        <f>J7/K7-1</f>
        <v/>
      </c>
      <c r="P7" s="2" t="inlineStr">
        <is>
          <t>OK (≤ menor hist.)</t>
        </is>
      </c>
      <c r="Q7" s="2" t="inlineStr"/>
    </row>
    <row r="8">
      <c r="A8" s="2" t="n">
        <v>631621</v>
      </c>
      <c r="B8" s="2" t="inlineStr"/>
      <c r="C8" s="3" t="inlineStr">
        <is>
          <t>7895296449816</t>
        </is>
      </c>
      <c r="D8" s="2" t="inlineStr">
        <is>
          <t>CLOR. NARATRIPTANA 2,5 MG C/4 COM REV-NQ</t>
        </is>
      </c>
      <c r="E8" s="4" t="n">
        <v>1</v>
      </c>
      <c r="F8" s="4" t="n">
        <v>7</v>
      </c>
      <c r="G8" s="4" t="n">
        <v>7</v>
      </c>
      <c r="H8" s="5" t="n">
        <v>6.98</v>
      </c>
      <c r="I8" s="5">
        <f>G8*H8</f>
        <v/>
      </c>
      <c r="J8" s="5">
        <f>H8/E8</f>
        <v/>
      </c>
      <c r="K8" s="5" t="n">
        <v>7.78</v>
      </c>
      <c r="L8" s="5" t="n">
        <v>6.5788</v>
      </c>
      <c r="M8" s="5" t="n">
        <v>7.3796</v>
      </c>
      <c r="N8" s="6">
        <f>J8/M8-1</f>
        <v/>
      </c>
      <c r="O8" s="6">
        <f>J8/K8-1</f>
        <v/>
      </c>
      <c r="P8" s="2" t="inlineStr">
        <is>
          <t>OK (≤ últ. compra)</t>
        </is>
      </c>
      <c r="Q8" s="2" t="inlineStr"/>
    </row>
    <row r="9">
      <c r="A9" s="2" t="n">
        <v>668931</v>
      </c>
      <c r="B9" s="2" t="inlineStr"/>
      <c r="C9" s="3" t="inlineStr">
        <is>
          <t>7899952324356</t>
        </is>
      </c>
      <c r="D9" s="2" t="inlineStr">
        <is>
          <t>COLONIA FEMININA BARBIE GIRL POWER 25ML</t>
        </is>
      </c>
      <c r="E9" s="4" t="n">
        <v>1</v>
      </c>
      <c r="F9" s="4" t="n">
        <v>2</v>
      </c>
      <c r="G9" s="4" t="n">
        <v>2</v>
      </c>
      <c r="H9" s="5" t="n">
        <v>14.94</v>
      </c>
      <c r="I9" s="5">
        <f>G9*H9</f>
        <v/>
      </c>
      <c r="J9" s="5">
        <f>H9/E9</f>
        <v/>
      </c>
      <c r="K9" s="5" t="n">
        <v>14.94</v>
      </c>
      <c r="L9" s="5" t="n">
        <v>14.94</v>
      </c>
      <c r="M9" s="5" t="n">
        <v>14.94</v>
      </c>
      <c r="N9" s="6">
        <f>J9/M9-1</f>
        <v/>
      </c>
      <c r="O9" s="6">
        <f>J9/K9-1</f>
        <v/>
      </c>
      <c r="P9" s="2" t="inlineStr">
        <is>
          <t>OK (≤ menor hist.)</t>
        </is>
      </c>
      <c r="Q9" s="2" t="inlineStr"/>
    </row>
    <row r="10">
      <c r="A10" s="2" t="n">
        <v>668901</v>
      </c>
      <c r="B10" s="2" t="inlineStr"/>
      <c r="C10" s="3" t="inlineStr">
        <is>
          <t>7899601710301</t>
        </is>
      </c>
      <c r="D10" s="2" t="inlineStr">
        <is>
          <t>COLONIA FEMININA HELLO KITTY ESTILOSA 25ML</t>
        </is>
      </c>
      <c r="E10" s="4" t="n">
        <v>1</v>
      </c>
      <c r="F10" s="4" t="n">
        <v>1</v>
      </c>
      <c r="G10" s="4" t="n">
        <v>1</v>
      </c>
      <c r="H10" s="5" t="n">
        <v>14.94</v>
      </c>
      <c r="I10" s="5">
        <f>G10*H10</f>
        <v/>
      </c>
      <c r="J10" s="5">
        <f>H10/E10</f>
        <v/>
      </c>
      <c r="K10" s="5" t="n">
        <v>14.94</v>
      </c>
      <c r="L10" s="5" t="n">
        <v>14.94</v>
      </c>
      <c r="M10" s="5" t="n">
        <v>14.94</v>
      </c>
      <c r="N10" s="6">
        <f>J10/M10-1</f>
        <v/>
      </c>
      <c r="O10" s="6">
        <f>J10/K10-1</f>
        <v/>
      </c>
      <c r="P10" s="2" t="inlineStr">
        <is>
          <t>OK (≤ menor hist.)</t>
        </is>
      </c>
      <c r="Q10" s="2" t="inlineStr"/>
    </row>
    <row r="11">
      <c r="A11" s="2" t="n">
        <v>668861</v>
      </c>
      <c r="B11" s="2" t="inlineStr"/>
      <c r="C11" s="3" t="inlineStr">
        <is>
          <t>7899952324837</t>
        </is>
      </c>
      <c r="D11" s="2" t="inlineStr">
        <is>
          <t>COLONIA MASCULINA CARROS RELAMPAGO MCQUEEN 25ML</t>
        </is>
      </c>
      <c r="E11" s="4" t="n">
        <v>1</v>
      </c>
      <c r="F11" s="4" t="n">
        <v>5</v>
      </c>
      <c r="G11" s="4" t="n">
        <v>5</v>
      </c>
      <c r="H11" s="5" t="n">
        <v>14.94</v>
      </c>
      <c r="I11" s="5">
        <f>G11*H11</f>
        <v/>
      </c>
      <c r="J11" s="5">
        <f>H11/E11</f>
        <v/>
      </c>
      <c r="K11" s="5" t="n">
        <v>14.94</v>
      </c>
      <c r="L11" s="5" t="n">
        <v>14.94</v>
      </c>
      <c r="M11" s="5" t="n">
        <v>14.94</v>
      </c>
      <c r="N11" s="6">
        <f>J11/M11-1</f>
        <v/>
      </c>
      <c r="O11" s="6">
        <f>J11/K11-1</f>
        <v/>
      </c>
      <c r="P11" s="2" t="inlineStr">
        <is>
          <t>OK (≤ menor hist.)</t>
        </is>
      </c>
      <c r="Q11" s="2" t="inlineStr"/>
    </row>
    <row r="12">
      <c r="A12" s="2" t="n">
        <v>668791</v>
      </c>
      <c r="B12" s="2" t="inlineStr"/>
      <c r="C12" s="3" t="inlineStr">
        <is>
          <t>7899952324899</t>
        </is>
      </c>
      <c r="D12" s="2" t="inlineStr">
        <is>
          <t>COLONIA SPLASH FEMININA LARISSA MANOELA 200ML</t>
        </is>
      </c>
      <c r="E12" s="4" t="n">
        <v>1</v>
      </c>
      <c r="F12" s="4" t="n">
        <v>1</v>
      </c>
      <c r="G12" s="4" t="n">
        <v>1</v>
      </c>
      <c r="H12" s="5" t="n">
        <v>35.94</v>
      </c>
      <c r="I12" s="5">
        <f>G12*H12</f>
        <v/>
      </c>
      <c r="J12" s="5">
        <f>H12/E12</f>
        <v/>
      </c>
      <c r="K12" s="5" t="n">
        <v>35.94</v>
      </c>
      <c r="L12" s="5" t="n">
        <v>35.94</v>
      </c>
      <c r="M12" s="5" t="n">
        <v>35.94</v>
      </c>
      <c r="N12" s="6">
        <f>J12/M12-1</f>
        <v/>
      </c>
      <c r="O12" s="6">
        <f>J12/K12-1</f>
        <v/>
      </c>
      <c r="P12" s="2" t="inlineStr">
        <is>
          <t>OK (≤ menor hist.)</t>
        </is>
      </c>
      <c r="Q12" s="2" t="inlineStr"/>
    </row>
    <row r="13">
      <c r="A13" s="2" t="n">
        <v>666411</v>
      </c>
      <c r="B13" s="2" t="inlineStr"/>
      <c r="C13" s="3" t="inlineStr">
        <is>
          <t>7896862994372</t>
        </is>
      </c>
      <c r="D13" s="2" t="inlineStr">
        <is>
          <t>DAPAGLIFLOZINA 10MG COM REV CX 30 COMP</t>
        </is>
      </c>
      <c r="E13" s="4" t="n">
        <v>1</v>
      </c>
      <c r="F13" s="4" t="n">
        <v>2</v>
      </c>
      <c r="G13" s="4" t="n">
        <v>2</v>
      </c>
      <c r="H13" s="5" t="n">
        <v>31.97</v>
      </c>
      <c r="I13" s="5">
        <f>G13*H13</f>
        <v/>
      </c>
      <c r="J13" s="5">
        <f>H13/E13</f>
        <v/>
      </c>
      <c r="K13" s="5" t="n">
        <v>48.25</v>
      </c>
      <c r="L13" s="5" t="n">
        <v>48.25</v>
      </c>
      <c r="M13" s="5" t="n">
        <v>48.25</v>
      </c>
      <c r="N13" s="6">
        <f>J13/M13-1</f>
        <v/>
      </c>
      <c r="O13" s="6">
        <f>J13/K13-1</f>
        <v/>
      </c>
      <c r="P13" s="2" t="inlineStr">
        <is>
          <t>OK (≤ menor hist.)</t>
        </is>
      </c>
      <c r="Q13" s="2" t="inlineStr"/>
    </row>
    <row r="14">
      <c r="A14" s="2" t="n">
        <v>35003</v>
      </c>
      <c r="B14" s="2" t="inlineStr"/>
      <c r="C14" s="3" t="inlineStr">
        <is>
          <t>7896714297101</t>
        </is>
      </c>
      <c r="D14" s="2" t="inlineStr">
        <is>
          <t>DIPROPIONATO DE BETAMETASONA CREME 30GR</t>
        </is>
      </c>
      <c r="E14" s="4" t="n">
        <v>1</v>
      </c>
      <c r="F14" s="4" t="n">
        <v>2</v>
      </c>
      <c r="G14" s="4" t="n">
        <v>2</v>
      </c>
      <c r="H14" s="5" t="n">
        <v>14.99</v>
      </c>
      <c r="I14" s="5">
        <f>G14*H14</f>
        <v/>
      </c>
      <c r="J14" s="5">
        <f>H14/E14</f>
        <v/>
      </c>
      <c r="K14" s="5" t="n">
        <v>15.61</v>
      </c>
      <c r="L14" s="5" t="n">
        <v>15.61</v>
      </c>
      <c r="M14" s="5" t="n">
        <v>15.61</v>
      </c>
      <c r="N14" s="6">
        <f>J14/M14-1</f>
        <v/>
      </c>
      <c r="O14" s="6">
        <f>J14/K14-1</f>
        <v/>
      </c>
      <c r="P14" s="2" t="inlineStr">
        <is>
          <t>OK (≤ menor hist.)</t>
        </is>
      </c>
      <c r="Q14" s="2" t="inlineStr"/>
    </row>
    <row r="15">
      <c r="A15" s="2" t="n">
        <v>249041</v>
      </c>
      <c r="B15" s="2" t="inlineStr"/>
      <c r="C15" s="3" t="inlineStr">
        <is>
          <t>7894916140348</t>
        </is>
      </c>
      <c r="D15" s="2" t="inlineStr">
        <is>
          <t>FINASTERIDA 5MG CX 30 COMP REV</t>
        </is>
      </c>
      <c r="E15" s="4" t="n">
        <v>1</v>
      </c>
      <c r="F15" s="4" t="n">
        <v>1</v>
      </c>
      <c r="G15" s="4" t="n">
        <v>1</v>
      </c>
      <c r="H15" s="5" t="n">
        <v>13.44</v>
      </c>
      <c r="I15" s="5">
        <f>G15*H15</f>
        <v/>
      </c>
      <c r="J15" s="5">
        <f>H15/E15</f>
        <v/>
      </c>
      <c r="K15" s="5" t="n">
        <v>15.75</v>
      </c>
      <c r="L15" s="5" t="n">
        <v>15.75</v>
      </c>
      <c r="M15" s="5" t="n">
        <v>15.75</v>
      </c>
      <c r="N15" s="6">
        <f>J15/M15-1</f>
        <v/>
      </c>
      <c r="O15" s="6">
        <f>J15/K15-1</f>
        <v/>
      </c>
      <c r="P15" s="2" t="inlineStr">
        <is>
          <t>OK (≤ menor hist.)</t>
        </is>
      </c>
      <c r="Q15" s="2" t="inlineStr"/>
    </row>
    <row r="16">
      <c r="A16" s="2" t="n">
        <v>34803</v>
      </c>
      <c r="B16" s="2" t="inlineStr"/>
      <c r="C16" s="3" t="inlineStr">
        <is>
          <t>7896714292717</t>
        </is>
      </c>
      <c r="D16" s="2" t="inlineStr">
        <is>
          <t>FLOMICIN 200MG FR 6 CAP</t>
        </is>
      </c>
      <c r="E16" s="4" t="n">
        <v>1</v>
      </c>
      <c r="F16" s="4" t="n">
        <v>5</v>
      </c>
      <c r="G16" s="4" t="n">
        <v>5</v>
      </c>
      <c r="H16" s="5" t="n">
        <v>19.85</v>
      </c>
      <c r="I16" s="5">
        <f>G16*H16</f>
        <v/>
      </c>
      <c r="J16" s="5">
        <f>H16/E16</f>
        <v/>
      </c>
      <c r="K16" s="5" t="n">
        <v>20.68</v>
      </c>
      <c r="L16" s="5" t="n">
        <v>20.68</v>
      </c>
      <c r="M16" s="5" t="n">
        <v>20.68</v>
      </c>
      <c r="N16" s="6">
        <f>J16/M16-1</f>
        <v/>
      </c>
      <c r="O16" s="6">
        <f>J16/K16-1</f>
        <v/>
      </c>
      <c r="P16" s="2" t="inlineStr">
        <is>
          <t>OK (≤ menor hist.)</t>
        </is>
      </c>
      <c r="Q16" s="2" t="inlineStr"/>
    </row>
    <row r="17">
      <c r="A17" s="2" t="n">
        <v>553901</v>
      </c>
      <c r="B17" s="2" t="inlineStr"/>
      <c r="C17" s="3" t="inlineStr">
        <is>
          <t>7896004780481</t>
        </is>
      </c>
      <c r="D17" s="2" t="inlineStr">
        <is>
          <t>HEDRA EXPEC 7MG/ML SOL ORAL FR 100ML</t>
        </is>
      </c>
      <c r="E17" s="4" t="n">
        <v>1</v>
      </c>
      <c r="F17" s="4" t="n">
        <v>11</v>
      </c>
      <c r="G17" s="4" t="n">
        <v>11</v>
      </c>
      <c r="H17" s="5" t="n">
        <v>13.24</v>
      </c>
      <c r="I17" s="5">
        <f>G17*H17</f>
        <v/>
      </c>
      <c r="J17" s="5">
        <f>H17/E17</f>
        <v/>
      </c>
      <c r="K17" s="5" t="n">
        <v>13.0325</v>
      </c>
      <c r="L17" s="5" t="n">
        <v>11.95</v>
      </c>
      <c r="M17" s="5" t="n">
        <v>12.67166666666667</v>
      </c>
      <c r="N17" s="6">
        <f>J17/M17-1</f>
        <v/>
      </c>
      <c r="O17" s="6">
        <f>J17/K17-1</f>
        <v/>
      </c>
      <c r="P17" s="2" t="inlineStr">
        <is>
          <t>REAJUSTE +1.6% (aceito, lim 5%)</t>
        </is>
      </c>
      <c r="Q17" s="2" t="inlineStr"/>
    </row>
    <row r="18">
      <c r="A18" s="2" t="n">
        <v>35503</v>
      </c>
      <c r="B18" s="2" t="inlineStr"/>
      <c r="C18" s="3" t="inlineStr">
        <is>
          <t>7896714296227</t>
        </is>
      </c>
      <c r="D18" s="2" t="inlineStr">
        <is>
          <t>NEOLYTE 4 SCH 29,44G UVA (CLOR SODIO+POTASSIO+SODIO+GLICOSE)</t>
        </is>
      </c>
      <c r="E18" s="4" t="n">
        <v>1</v>
      </c>
      <c r="F18" s="4" t="n">
        <v>1</v>
      </c>
      <c r="G18" s="4" t="n">
        <v>1</v>
      </c>
      <c r="H18" s="5" t="n">
        <v>10.97</v>
      </c>
      <c r="I18" s="5">
        <f>G18*H18</f>
        <v/>
      </c>
      <c r="J18" s="5">
        <f>H18/E18</f>
        <v/>
      </c>
      <c r="K18" s="5" t="n">
        <v>11.43</v>
      </c>
      <c r="L18" s="5" t="n">
        <v>11.43</v>
      </c>
      <c r="M18" s="5" t="n">
        <v>11.43</v>
      </c>
      <c r="N18" s="6">
        <f>J18/M18-1</f>
        <v/>
      </c>
      <c r="O18" s="6">
        <f>J18/K18-1</f>
        <v/>
      </c>
      <c r="P18" s="2" t="inlineStr">
        <is>
          <t>OK (≤ menor hist.)</t>
        </is>
      </c>
      <c r="Q18" s="2" t="inlineStr"/>
    </row>
    <row r="19">
      <c r="A19" s="2" t="n">
        <v>35403</v>
      </c>
      <c r="B19" s="2" t="inlineStr"/>
      <c r="C19" s="3" t="inlineStr">
        <is>
          <t>7896714296203</t>
        </is>
      </c>
      <c r="D19" s="2" t="inlineStr">
        <is>
          <t>NEOLYTE CX 4 SACHES NATURAL</t>
        </is>
      </c>
      <c r="E19" s="4" t="n">
        <v>1</v>
      </c>
      <c r="F19" s="4" t="n">
        <v>1</v>
      </c>
      <c r="G19" s="4" t="n">
        <v>1</v>
      </c>
      <c r="H19" s="5" t="n">
        <v>10.6</v>
      </c>
      <c r="I19" s="5">
        <f>G19*H19</f>
        <v/>
      </c>
      <c r="J19" s="5">
        <f>H19/E19</f>
        <v/>
      </c>
      <c r="K19" s="5" t="n">
        <v>11.05</v>
      </c>
      <c r="L19" s="5" t="n">
        <v>11.05</v>
      </c>
      <c r="M19" s="5" t="n">
        <v>11.05</v>
      </c>
      <c r="N19" s="6">
        <f>J19/M19-1</f>
        <v/>
      </c>
      <c r="O19" s="6">
        <f>J19/K19-1</f>
        <v/>
      </c>
      <c r="P19" s="2" t="inlineStr">
        <is>
          <t>OK (≤ menor hist.)</t>
        </is>
      </c>
      <c r="Q19" s="2" t="inlineStr"/>
    </row>
    <row r="20">
      <c r="A20" s="2" t="n">
        <v>363861</v>
      </c>
      <c r="B20" s="2" t="inlineStr"/>
      <c r="C20" s="3" t="inlineStr">
        <is>
          <t>7898569764517</t>
        </is>
      </c>
      <c r="D20" s="2" t="inlineStr">
        <is>
          <t>NITAZOXANIDA 500MG CX 6 COMP REV</t>
        </is>
      </c>
      <c r="E20" s="4" t="n">
        <v>1</v>
      </c>
      <c r="F20" s="4" t="n">
        <v>5</v>
      </c>
      <c r="G20" s="4" t="n">
        <v>5</v>
      </c>
      <c r="H20" s="5" t="n">
        <v>12.16</v>
      </c>
      <c r="I20" s="5">
        <f>G20*H20</f>
        <v/>
      </c>
      <c r="J20" s="5">
        <f>H20/E20</f>
        <v/>
      </c>
      <c r="K20" s="5" t="n">
        <v>12.98</v>
      </c>
      <c r="L20" s="5" t="n">
        <v>12.98</v>
      </c>
      <c r="M20" s="5" t="n">
        <v>12.98</v>
      </c>
      <c r="N20" s="6">
        <f>J20/M20-1</f>
        <v/>
      </c>
      <c r="O20" s="6">
        <f>J20/K20-1</f>
        <v/>
      </c>
      <c r="P20" s="2" t="inlineStr">
        <is>
          <t>OK (≤ menor hist.)</t>
        </is>
      </c>
      <c r="Q20" s="2" t="inlineStr"/>
    </row>
    <row r="21">
      <c r="A21" s="2" t="n">
        <v>584721</v>
      </c>
      <c r="B21" s="2" t="inlineStr"/>
      <c r="C21" s="3" t="inlineStr">
        <is>
          <t>7898556850988</t>
        </is>
      </c>
      <c r="D21" s="2" t="inlineStr">
        <is>
          <t>PRES RILEX BACON 3UN</t>
        </is>
      </c>
      <c r="E21" s="4" t="n">
        <v>1</v>
      </c>
      <c r="F21" s="4" t="n">
        <v>1</v>
      </c>
      <c r="G21" s="4" t="n">
        <v>1</v>
      </c>
      <c r="H21" s="5" t="n">
        <v>3.43</v>
      </c>
      <c r="I21" s="5">
        <f>G21*H21</f>
        <v/>
      </c>
      <c r="J21" s="5">
        <f>H21/E21</f>
        <v/>
      </c>
      <c r="K21" s="5" t="n">
        <v>6.16</v>
      </c>
      <c r="L21" s="5" t="n">
        <v>6.16</v>
      </c>
      <c r="M21" s="5" t="n">
        <v>6.16</v>
      </c>
      <c r="N21" s="6">
        <f>J21/M21-1</f>
        <v/>
      </c>
      <c r="O21" s="6">
        <f>J21/K21-1</f>
        <v/>
      </c>
      <c r="P21" s="2" t="inlineStr">
        <is>
          <t>OK (≤ menor hist.)</t>
        </is>
      </c>
      <c r="Q21" s="2" t="inlineStr"/>
    </row>
    <row r="22">
      <c r="A22" s="2" t="n">
        <v>428321</v>
      </c>
      <c r="B22" s="2" t="inlineStr"/>
      <c r="C22" s="3" t="inlineStr">
        <is>
          <t>7895296096034</t>
        </is>
      </c>
      <c r="D22" s="2" t="inlineStr">
        <is>
          <t>PVV - ROSUVASTATINA CALCICA 10MG CX 30 COMP REV</t>
        </is>
      </c>
      <c r="E22" s="4" t="n">
        <v>1</v>
      </c>
      <c r="F22" s="4" t="n">
        <v>3</v>
      </c>
      <c r="G22" s="4" t="n">
        <v>3</v>
      </c>
      <c r="H22" s="5" t="n">
        <v>6.69</v>
      </c>
      <c r="I22" s="5">
        <f>G22*H22</f>
        <v/>
      </c>
      <c r="J22" s="5">
        <f>H22/E22</f>
        <v/>
      </c>
      <c r="K22" s="5" t="n">
        <v>7.9862</v>
      </c>
      <c r="L22" s="5" t="n">
        <v>7.9862</v>
      </c>
      <c r="M22" s="5" t="n">
        <v>7.9862</v>
      </c>
      <c r="N22" s="6">
        <f>J22/M22-1</f>
        <v/>
      </c>
      <c r="O22" s="6">
        <f>J22/K22-1</f>
        <v/>
      </c>
      <c r="P22" s="2" t="inlineStr">
        <is>
          <t>OK (≤ menor hist.)</t>
        </is>
      </c>
      <c r="Q22" s="2" t="inlineStr"/>
    </row>
    <row r="23">
      <c r="A23" s="2" t="n">
        <v>624511</v>
      </c>
      <c r="B23" s="2" t="inlineStr"/>
      <c r="C23" s="3" t="inlineStr">
        <is>
          <t>7896004769943</t>
        </is>
      </c>
      <c r="D23" s="2" t="inlineStr">
        <is>
          <t>REPOFLOR 250MG CX 10 SACHES</t>
        </is>
      </c>
      <c r="E23" s="4" t="n">
        <v>1</v>
      </c>
      <c r="F23" s="4" t="n">
        <v>1</v>
      </c>
      <c r="G23" s="4" t="n">
        <v>1</v>
      </c>
      <c r="H23" s="5" t="n">
        <v>26.83</v>
      </c>
      <c r="I23" s="5">
        <f>G23*H23</f>
        <v/>
      </c>
      <c r="J23" s="5">
        <f>H23/E23</f>
        <v/>
      </c>
      <c r="K23" s="5" t="n">
        <v>33.23</v>
      </c>
      <c r="L23" s="5" t="n">
        <v>29.22</v>
      </c>
      <c r="M23" s="5" t="n">
        <v>30.55666666666666</v>
      </c>
      <c r="N23" s="6">
        <f>J23/M23-1</f>
        <v/>
      </c>
      <c r="O23" s="6">
        <f>J23/K23-1</f>
        <v/>
      </c>
      <c r="P23" s="2" t="inlineStr">
        <is>
          <t>OK (≤ menor hist.)</t>
        </is>
      </c>
      <c r="Q23" s="2" t="inlineStr"/>
    </row>
    <row r="24">
      <c r="A24" s="2" t="n">
        <v>670121</v>
      </c>
      <c r="B24" s="2" t="inlineStr"/>
      <c r="C24" s="3" t="inlineStr">
        <is>
          <t>7896540789580</t>
        </is>
      </c>
      <c r="D24" s="2" t="inlineStr">
        <is>
          <t>TERMOMETRO CLIN. DIG. AMARELO ENCARTELAD</t>
        </is>
      </c>
      <c r="E24" s="4" t="n">
        <v>1</v>
      </c>
      <c r="F24" s="4" t="n">
        <v>1</v>
      </c>
      <c r="G24" s="4" t="n">
        <v>1</v>
      </c>
      <c r="H24" s="5" t="n">
        <v>13.04</v>
      </c>
      <c r="I24" s="5">
        <f>G24*H24</f>
        <v/>
      </c>
      <c r="J24" s="5">
        <f>H24/E24</f>
        <v/>
      </c>
      <c r="K24" s="5" t="n"/>
      <c r="L24" s="5" t="n"/>
      <c r="M24" s="5" t="n"/>
      <c r="N24" s="6" t="n"/>
      <c r="O24" s="6" t="n"/>
      <c r="P24" s="2" t="inlineStr">
        <is>
          <t>SEM HISTÓRICO</t>
        </is>
      </c>
      <c r="Q24" s="2" t="inlineStr"/>
    </row>
    <row r="25">
      <c r="A25" s="2" t="n">
        <v>464681</v>
      </c>
      <c r="B25" s="2" t="inlineStr"/>
      <c r="C25" s="3" t="inlineStr">
        <is>
          <t>7894916145541</t>
        </is>
      </c>
      <c r="D25" s="2" t="inlineStr">
        <is>
          <t>TOBRAMICINA 3MG SOL OFT FR 5ML</t>
        </is>
      </c>
      <c r="E25" s="4" t="n">
        <v>1</v>
      </c>
      <c r="F25" s="4" t="n">
        <v>5</v>
      </c>
      <c r="G25" s="4" t="n">
        <v>5</v>
      </c>
      <c r="H25" s="5" t="n">
        <v>7.38</v>
      </c>
      <c r="I25" s="5">
        <f>G25*H25</f>
        <v/>
      </c>
      <c r="J25" s="5">
        <f>H25/E25</f>
        <v/>
      </c>
      <c r="K25" s="5" t="n">
        <v>11.61</v>
      </c>
      <c r="L25" s="5" t="n">
        <v>10.1</v>
      </c>
      <c r="M25" s="5" t="n">
        <v>10.51666666666667</v>
      </c>
      <c r="N25" s="6">
        <f>J25/M25-1</f>
        <v/>
      </c>
      <c r="O25" s="6">
        <f>J25/K25-1</f>
        <v/>
      </c>
      <c r="P25" s="2" t="inlineStr">
        <is>
          <t>OK (≤ menor hist.)</t>
        </is>
      </c>
      <c r="Q25" s="2" t="inlineStr"/>
    </row>
    <row r="26">
      <c r="D26" s="7" t="inlineStr">
        <is>
          <t>TOTAL</t>
        </is>
      </c>
      <c r="I26" s="8">
        <f>SUM(I2:I25)</f>
        <v/>
      </c>
    </row>
    <row r="28">
      <c r="A28" s="9" t="inlineStr">
        <is>
          <t>Pedido FINAL MEDCENTRO — cotação 08/09/2026 (fechada 09/09). Somente itens aprovados: preço até 5% acima da referência (últ. compra; sem ela, menor histórico), 10% quando o item está zerado. 'Qtd pedido' na embalagem do fornecedor.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2026-09-09T13:33:28Z</dcterms:created>
  <dcterms:modified xsi:type="dcterms:W3CDTF">2026-09-09T13:33:28Z</dcterms:modified>
</cp:coreProperties>
</file>