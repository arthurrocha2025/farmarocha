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598071</v>
      </c>
      <c r="B2" s="2" t="inlineStr"/>
      <c r="C2" s="3" t="inlineStr">
        <is>
          <t>7891010704780</t>
        </is>
      </c>
      <c r="D2" s="2" t="inlineStr">
        <is>
          <t>ABS SL ADAPT PLUS SUAVE ABAS C/32UN</t>
        </is>
      </c>
      <c r="E2" s="4" t="n">
        <v>1</v>
      </c>
      <c r="F2" s="4" t="n">
        <v>1</v>
      </c>
      <c r="G2" s="4" t="n">
        <v>1</v>
      </c>
      <c r="H2" s="5" t="n">
        <v>18.57</v>
      </c>
      <c r="I2" s="5">
        <f>G2*H2</f>
        <v/>
      </c>
      <c r="J2" s="5">
        <f>H2/E2</f>
        <v/>
      </c>
      <c r="K2" s="5" t="n">
        <v>17.5267</v>
      </c>
      <c r="L2" s="5" t="n">
        <v>17.5267</v>
      </c>
      <c r="M2" s="5" t="n">
        <v>17.5267</v>
      </c>
      <c r="N2" s="6">
        <f>J2/M2-1</f>
        <v/>
      </c>
      <c r="O2" s="6">
        <f>J2/K2-1</f>
        <v/>
      </c>
      <c r="P2" s="2" t="inlineStr">
        <is>
          <t>REAJUSTE +6.0% vs média (≤6%)</t>
        </is>
      </c>
      <c r="Q2" s="2" t="inlineStr"/>
    </row>
    <row r="3">
      <c r="A3" s="2" t="n">
        <v>543481</v>
      </c>
      <c r="B3" s="2" t="inlineStr"/>
      <c r="C3" s="3" t="inlineStr">
        <is>
          <t>7896523208282</t>
        </is>
      </c>
      <c r="D3" s="2" t="inlineStr">
        <is>
          <t>ACNEZIL 50MG 20G GEL</t>
        </is>
      </c>
      <c r="E3" s="4" t="n">
        <v>1</v>
      </c>
      <c r="F3" s="4" t="n">
        <v>4</v>
      </c>
      <c r="G3" s="4" t="n">
        <v>4</v>
      </c>
      <c r="H3" s="5" t="n">
        <v>11.47</v>
      </c>
      <c r="I3" s="5">
        <f>G3*H3</f>
        <v/>
      </c>
      <c r="J3" s="5">
        <f>H3/E3</f>
        <v/>
      </c>
      <c r="K3" s="5" t="n">
        <v>11.96</v>
      </c>
      <c r="L3" s="5" t="n">
        <v>10.09</v>
      </c>
      <c r="M3" s="5" t="n">
        <v>10.98333333333333</v>
      </c>
      <c r="N3" s="6">
        <f>J3/M3-1</f>
        <v/>
      </c>
      <c r="O3" s="6">
        <f>J3/K3-1</f>
        <v/>
      </c>
      <c r="P3" s="2" t="inlineStr">
        <is>
          <t>OK (≤ últ. compra)</t>
        </is>
      </c>
      <c r="Q3" s="2" t="inlineStr"/>
    </row>
    <row r="4">
      <c r="A4" s="2" t="n">
        <v>546761</v>
      </c>
      <c r="B4" s="2" t="inlineStr"/>
      <c r="C4" s="3" t="inlineStr">
        <is>
          <t>7897947607392</t>
        </is>
      </c>
      <c r="D4" s="2" t="inlineStr">
        <is>
          <t>ACNEZIL GEL SECATIVO BG 10 G</t>
        </is>
      </c>
      <c r="E4" s="4" t="n">
        <v>1</v>
      </c>
      <c r="F4" s="4" t="n">
        <v>2</v>
      </c>
      <c r="G4" s="4" t="n">
        <v>2</v>
      </c>
      <c r="H4" s="5" t="n">
        <v>8.67</v>
      </c>
      <c r="I4" s="5">
        <f>G4*H4</f>
        <v/>
      </c>
      <c r="J4" s="5">
        <f>H4/E4</f>
        <v/>
      </c>
      <c r="K4" s="5" t="n">
        <v>9.710000000000001</v>
      </c>
      <c r="L4" s="5" t="n">
        <v>8.99</v>
      </c>
      <c r="M4" s="5" t="n">
        <v>8.99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inlineStr"/>
    </row>
    <row r="5">
      <c r="A5" s="2" t="n">
        <v>587601</v>
      </c>
      <c r="B5" s="2" t="inlineStr"/>
      <c r="C5" s="3" t="inlineStr">
        <is>
          <t>7897947601185</t>
        </is>
      </c>
      <c r="D5" s="2" t="inlineStr">
        <is>
          <t>ACNEZIL PROT FPS30 OIL CONTROL BG 60G</t>
        </is>
      </c>
      <c r="E5" s="4" t="n">
        <v>1</v>
      </c>
      <c r="F5" s="4" t="n">
        <v>2</v>
      </c>
      <c r="G5" s="4" t="n">
        <v>2</v>
      </c>
      <c r="H5" s="5" t="n">
        <v>21.7</v>
      </c>
      <c r="I5" s="5">
        <f>G5*H5</f>
        <v/>
      </c>
      <c r="J5" s="5">
        <f>H5/E5</f>
        <v/>
      </c>
      <c r="K5" s="5" t="n"/>
      <c r="L5" s="5" t="n"/>
      <c r="M5" s="5" t="n"/>
      <c r="N5" s="6" t="n"/>
      <c r="O5" s="6" t="n"/>
      <c r="P5" s="2" t="inlineStr">
        <is>
          <t>SEM HISTÓRICO</t>
        </is>
      </c>
      <c r="Q5" s="2" t="inlineStr"/>
    </row>
    <row r="6">
      <c r="A6" s="2" t="n">
        <v>884</v>
      </c>
      <c r="B6" s="2" t="inlineStr"/>
      <c r="C6" s="3" t="inlineStr">
        <is>
          <t>7892828002303</t>
        </is>
      </c>
      <c r="D6" s="2" t="inlineStr">
        <is>
          <t>ADEFORTE TURBO USO ORAL 2AMP 3ML</t>
        </is>
      </c>
      <c r="E6" s="4" t="n">
        <v>1</v>
      </c>
      <c r="F6" s="4" t="n">
        <v>17</v>
      </c>
      <c r="G6" s="4" t="n">
        <v>17</v>
      </c>
      <c r="H6" s="5" t="n">
        <v>42.5505</v>
      </c>
      <c r="I6" s="5">
        <f>G6*H6</f>
        <v/>
      </c>
      <c r="J6" s="5">
        <f>H6/E6</f>
        <v/>
      </c>
      <c r="K6" s="5" t="n">
        <v>44.79</v>
      </c>
      <c r="L6" s="5" t="n">
        <v>30.3708</v>
      </c>
      <c r="M6" s="5" t="n">
        <v>37.76866666666667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inlineStr"/>
    </row>
    <row r="7">
      <c r="A7" s="2" t="n">
        <v>1153</v>
      </c>
      <c r="B7" s="2" t="inlineStr"/>
      <c r="C7" s="3" t="inlineStr">
        <is>
          <t>7898994541738</t>
        </is>
      </c>
      <c r="D7" s="2" t="inlineStr">
        <is>
          <t>AGUA MINERAL FLORATTA 500ML</t>
        </is>
      </c>
      <c r="E7" s="4" t="n">
        <v>1</v>
      </c>
      <c r="F7" s="4" t="n">
        <v>61</v>
      </c>
      <c r="G7" s="4" t="n">
        <v>61</v>
      </c>
      <c r="H7" s="5" t="n">
        <v>1.28</v>
      </c>
      <c r="I7" s="5">
        <f>G7*H7</f>
        <v/>
      </c>
      <c r="J7" s="5">
        <f>H7/E7</f>
        <v/>
      </c>
      <c r="K7" s="5" t="n">
        <v>11.88</v>
      </c>
      <c r="L7" s="5" t="n">
        <v>11.88</v>
      </c>
      <c r="M7" s="5" t="n">
        <v>11.88</v>
      </c>
      <c r="N7" s="6">
        <f>J7/M7-1</f>
        <v/>
      </c>
      <c r="O7" s="6">
        <f>J7/K7-1</f>
        <v/>
      </c>
      <c r="P7" s="2" t="inlineStr">
        <is>
          <t>OK (≤ últ. compra)</t>
        </is>
      </c>
      <c r="Q7" s="2" t="inlineStr">
        <is>
          <t>conferir emb.</t>
        </is>
      </c>
    </row>
    <row r="8">
      <c r="A8" s="2" t="n">
        <v>657951</v>
      </c>
      <c r="B8" s="2" t="inlineStr"/>
      <c r="C8" s="3" t="inlineStr">
        <is>
          <t>07896902210561</t>
        </is>
      </c>
      <c r="D8" s="2" t="inlineStr">
        <is>
          <t>AGUA OXIG FARMAX 90ML 20V</t>
        </is>
      </c>
      <c r="E8" s="4" t="n">
        <v>1</v>
      </c>
      <c r="F8" s="4" t="n">
        <v>1</v>
      </c>
      <c r="G8" s="4" t="n">
        <v>1</v>
      </c>
      <c r="H8" s="5" t="n">
        <v>2.06</v>
      </c>
      <c r="I8" s="5">
        <f>G8*H8</f>
        <v/>
      </c>
      <c r="J8" s="5">
        <f>H8/E8</f>
        <v/>
      </c>
      <c r="K8" s="5" t="n">
        <v>2.22</v>
      </c>
      <c r="L8" s="5" t="n">
        <v>2.22</v>
      </c>
      <c r="M8" s="5" t="n">
        <v>2.22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inlineStr"/>
    </row>
    <row r="9">
      <c r="A9" s="2" t="n">
        <v>674721</v>
      </c>
      <c r="B9" s="2" t="inlineStr"/>
      <c r="C9" s="3" t="inlineStr">
        <is>
          <t>7896902210530</t>
        </is>
      </c>
      <c r="D9" s="2" t="inlineStr">
        <is>
          <t>AGUA OXIGENADA CR 10VOL DESCOLOR 90ML</t>
        </is>
      </c>
      <c r="E9" s="4" t="n">
        <v>1</v>
      </c>
      <c r="F9" s="4" t="n">
        <v>5</v>
      </c>
      <c r="G9" s="4" t="n">
        <v>5</v>
      </c>
      <c r="H9" s="5" t="n">
        <v>2.06</v>
      </c>
      <c r="I9" s="5">
        <f>G9*H9</f>
        <v/>
      </c>
      <c r="J9" s="5">
        <f>H9/E9</f>
        <v/>
      </c>
      <c r="K9" s="5" t="n">
        <v>1.97</v>
      </c>
      <c r="L9" s="5" t="n">
        <v>1.97</v>
      </c>
      <c r="M9" s="5" t="n">
        <v>1.97</v>
      </c>
      <c r="N9" s="6">
        <f>J9/M9-1</f>
        <v/>
      </c>
      <c r="O9" s="6">
        <f>J9/K9-1</f>
        <v/>
      </c>
      <c r="P9" s="2" t="inlineStr">
        <is>
          <t>REAJUSTE +4.6% vs média (≤6%)</t>
        </is>
      </c>
      <c r="Q9" s="2" t="inlineStr"/>
    </row>
    <row r="10">
      <c r="A10" s="2" t="n">
        <v>534761</v>
      </c>
      <c r="B10" s="2" t="inlineStr"/>
      <c r="C10" s="3" t="inlineStr">
        <is>
          <t>7896902210905</t>
        </is>
      </c>
      <c r="D10" s="2" t="inlineStr">
        <is>
          <t>AGUA OXIGENADA CREMOSA - AMONIA 100ML</t>
        </is>
      </c>
      <c r="E10" s="4" t="n">
        <v>1</v>
      </c>
      <c r="F10" s="4" t="n">
        <v>2</v>
      </c>
      <c r="G10" s="4" t="n">
        <v>2</v>
      </c>
      <c r="H10" s="5" t="n">
        <v>2.02</v>
      </c>
      <c r="I10" s="5">
        <f>G10*H10</f>
        <v/>
      </c>
      <c r="J10" s="5">
        <f>H10/E10</f>
        <v/>
      </c>
      <c r="K10" s="5" t="n">
        <v>1.95</v>
      </c>
      <c r="L10" s="5" t="n">
        <v>1.95</v>
      </c>
      <c r="M10" s="5" t="n">
        <v>1.95</v>
      </c>
      <c r="N10" s="6">
        <f>J10/M10-1</f>
        <v/>
      </c>
      <c r="O10" s="6">
        <f>J10/K10-1</f>
        <v/>
      </c>
      <c r="P10" s="2" t="inlineStr">
        <is>
          <t>REAJUSTE +3.6% vs últ. (≤4%)</t>
        </is>
      </c>
      <c r="Q10" s="2" t="inlineStr"/>
    </row>
    <row r="11">
      <c r="A11" s="2" t="n">
        <v>547721</v>
      </c>
      <c r="B11" s="2" t="inlineStr"/>
      <c r="C11" s="3" t="inlineStr">
        <is>
          <t>7896902211544</t>
        </is>
      </c>
      <c r="D11" s="2" t="inlineStr">
        <is>
          <t>AGUA OXIGENADA VOL10</t>
        </is>
      </c>
      <c r="E11" s="4" t="n">
        <v>1</v>
      </c>
      <c r="F11" s="4" t="n">
        <v>39</v>
      </c>
      <c r="G11" s="4" t="n">
        <v>39</v>
      </c>
      <c r="H11" s="5" t="n">
        <v>2.12</v>
      </c>
      <c r="I11" s="5">
        <f>G11*H11</f>
        <v/>
      </c>
      <c r="J11" s="5">
        <f>H11/E11</f>
        <v/>
      </c>
      <c r="K11" s="5" t="n">
        <v>2.37</v>
      </c>
      <c r="L11" s="5" t="n">
        <v>1.9</v>
      </c>
      <c r="M11" s="5" t="n">
        <v>2.056666666666667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inlineStr"/>
    </row>
    <row r="12">
      <c r="A12" s="2" t="n">
        <v>180661</v>
      </c>
      <c r="B12" s="2" t="inlineStr"/>
      <c r="C12" s="3" t="inlineStr">
        <is>
          <t>7893454714325</t>
        </is>
      </c>
      <c r="D12" s="2" t="inlineStr">
        <is>
          <t>BENERVA 300MG CX 30 COMP REV</t>
        </is>
      </c>
      <c r="E12" s="4" t="n">
        <v>1</v>
      </c>
      <c r="F12" s="4" t="n">
        <v>2</v>
      </c>
      <c r="G12" s="4" t="n">
        <v>2</v>
      </c>
      <c r="H12" s="5" t="n">
        <v>25.5265</v>
      </c>
      <c r="I12" s="5">
        <f>G12*H12</f>
        <v/>
      </c>
      <c r="J12" s="5">
        <f>H12/E12</f>
        <v/>
      </c>
      <c r="K12" s="5" t="n">
        <v>25.98</v>
      </c>
      <c r="L12" s="5" t="n">
        <v>24.1833</v>
      </c>
      <c r="M12" s="5" t="n">
        <v>24.7822</v>
      </c>
      <c r="N12" s="6">
        <f>J12/M12-1</f>
        <v/>
      </c>
      <c r="O12" s="6">
        <f>J12/K12-1</f>
        <v/>
      </c>
      <c r="P12" s="2" t="inlineStr">
        <is>
          <t>OK (≤ últ. compra)</t>
        </is>
      </c>
      <c r="Q12" s="2" t="inlineStr"/>
    </row>
    <row r="13">
      <c r="A13" s="2" t="n">
        <v>54421</v>
      </c>
      <c r="B13" s="2" t="inlineStr"/>
      <c r="C13" s="3" t="inlineStr">
        <is>
          <t>7897411611023</t>
        </is>
      </c>
      <c r="D13" s="2" t="inlineStr">
        <is>
          <t>BENICAR ANLO 40+5MG CX 30 COMP REV</t>
        </is>
      </c>
      <c r="E13" s="4" t="n">
        <v>1</v>
      </c>
      <c r="F13" s="4" t="n">
        <v>4</v>
      </c>
      <c r="G13" s="4" t="n">
        <v>4</v>
      </c>
      <c r="H13" s="5" t="n">
        <v>74.7552</v>
      </c>
      <c r="I13" s="5">
        <f>G13*H13</f>
        <v/>
      </c>
      <c r="J13" s="5">
        <f>H13/E13</f>
        <v/>
      </c>
      <c r="K13" s="5" t="n">
        <v>76.89</v>
      </c>
      <c r="L13" s="5" t="n">
        <v>68.45999999999999</v>
      </c>
      <c r="M13" s="5" t="n">
        <v>72.54000000000001</v>
      </c>
      <c r="N13" s="6">
        <f>J13/M13-1</f>
        <v/>
      </c>
      <c r="O13" s="6">
        <f>J13/K13-1</f>
        <v/>
      </c>
      <c r="P13" s="2" t="inlineStr">
        <is>
          <t>OK (≤ últ. compra)</t>
        </is>
      </c>
      <c r="Q13" s="2" t="inlineStr"/>
    </row>
    <row r="14">
      <c r="A14" s="2" t="n">
        <v>653061</v>
      </c>
      <c r="B14" s="2" t="inlineStr"/>
      <c r="C14" s="3" t="inlineStr">
        <is>
          <t>7897947620520</t>
        </is>
      </c>
      <c r="D14" s="2" t="inlineStr">
        <is>
          <t>CARMED ENXAG BUC FR 250ML SBR BEIJOS</t>
        </is>
      </c>
      <c r="E14" s="4" t="n">
        <v>1</v>
      </c>
      <c r="F14" s="4" t="n">
        <v>2</v>
      </c>
      <c r="G14" s="4" t="n">
        <v>2</v>
      </c>
      <c r="H14" s="5" t="n">
        <v>19.56</v>
      </c>
      <c r="I14" s="5">
        <f>G14*H14</f>
        <v/>
      </c>
      <c r="J14" s="5">
        <f>H14/E14</f>
        <v/>
      </c>
      <c r="K14" s="5" t="n"/>
      <c r="L14" s="5" t="n"/>
      <c r="M14" s="5" t="n"/>
      <c r="N14" s="6" t="n"/>
      <c r="O14" s="6" t="n"/>
      <c r="P14" s="2" t="inlineStr">
        <is>
          <t>SEM HISTÓRICO</t>
        </is>
      </c>
      <c r="Q14" s="2" t="inlineStr"/>
    </row>
    <row r="15">
      <c r="A15" s="2" t="n">
        <v>662881</v>
      </c>
      <c r="B15" s="2" t="inlineStr"/>
      <c r="C15" s="3" t="inlineStr">
        <is>
          <t>7897947620605</t>
        </is>
      </c>
      <c r="D15" s="2" t="inlineStr">
        <is>
          <t>CARMED GLITTER BG 10G 3 EM 1</t>
        </is>
      </c>
      <c r="E15" s="4" t="n">
        <v>1</v>
      </c>
      <c r="F15" s="4" t="n">
        <v>1</v>
      </c>
      <c r="G15" s="4" t="n">
        <v>1</v>
      </c>
      <c r="H15" s="5" t="n">
        <v>27.24</v>
      </c>
      <c r="I15" s="5">
        <f>G15*H15</f>
        <v/>
      </c>
      <c r="J15" s="5">
        <f>H15/E15</f>
        <v/>
      </c>
      <c r="K15" s="5" t="n"/>
      <c r="L15" s="5" t="n"/>
      <c r="M15" s="5" t="n"/>
      <c r="N15" s="6" t="n"/>
      <c r="O15" s="6" t="n"/>
      <c r="P15" s="2" t="inlineStr">
        <is>
          <t>SEM HISTÓRICO</t>
        </is>
      </c>
      <c r="Q15" s="2" t="inlineStr"/>
    </row>
    <row r="16">
      <c r="A16" s="2" t="n">
        <v>576441</v>
      </c>
      <c r="B16" s="2" t="inlineStr"/>
      <c r="C16" s="3" t="inlineStr">
        <is>
          <t>7891150045347</t>
        </is>
      </c>
      <c r="D16" s="2" t="inlineStr">
        <is>
          <t>CONDIC.DOVE BABY CAB.CLA.200M</t>
        </is>
      </c>
      <c r="E16" s="4" t="n">
        <v>1</v>
      </c>
      <c r="F16" s="4" t="n">
        <v>3</v>
      </c>
      <c r="G16" s="4" t="n">
        <v>3</v>
      </c>
      <c r="H16" s="5" t="n">
        <v>14.9</v>
      </c>
      <c r="I16" s="5">
        <f>G16*H16</f>
        <v/>
      </c>
      <c r="J16" s="5">
        <f>H16/E16</f>
        <v/>
      </c>
      <c r="K16" s="5" t="n">
        <v>14.97</v>
      </c>
      <c r="L16" s="5" t="n">
        <v>14.97</v>
      </c>
      <c r="M16" s="5" t="n">
        <v>14.97</v>
      </c>
      <c r="N16" s="6">
        <f>J16/M16-1</f>
        <v/>
      </c>
      <c r="O16" s="6">
        <f>J16/K16-1</f>
        <v/>
      </c>
      <c r="P16" s="2" t="inlineStr">
        <is>
          <t>OK (≤ últ. compra)</t>
        </is>
      </c>
      <c r="Q16" s="2" t="inlineStr"/>
    </row>
    <row r="17">
      <c r="A17" s="2" t="n">
        <v>1943</v>
      </c>
      <c r="B17" s="2" t="inlineStr"/>
      <c r="C17" s="3" t="inlineStr">
        <is>
          <t>7891150086210</t>
        </is>
      </c>
      <c r="D17" s="2" t="inlineStr">
        <is>
          <t>CR D CLOSE UP GEL MENTA 130G</t>
        </is>
      </c>
      <c r="E17" s="4" t="n">
        <v>1</v>
      </c>
      <c r="F17" s="4" t="n">
        <v>1</v>
      </c>
      <c r="G17" s="4" t="n">
        <v>1</v>
      </c>
      <c r="H17" s="5" t="n">
        <v>3.87</v>
      </c>
      <c r="I17" s="5">
        <f>G17*H17</f>
        <v/>
      </c>
      <c r="J17" s="5">
        <f>H17/E17</f>
        <v/>
      </c>
      <c r="K17" s="5" t="n">
        <v>3.86</v>
      </c>
      <c r="L17" s="5" t="n">
        <v>3.86</v>
      </c>
      <c r="M17" s="5" t="n">
        <v>3.86</v>
      </c>
      <c r="N17" s="6">
        <f>J17/M17-1</f>
        <v/>
      </c>
      <c r="O17" s="6">
        <f>J17/K17-1</f>
        <v/>
      </c>
      <c r="P17" s="2" t="inlineStr">
        <is>
          <t>REAJUSTE +0.3% vs últ. (≤4%)</t>
        </is>
      </c>
      <c r="Q17" s="2" t="inlineStr"/>
    </row>
    <row r="18">
      <c r="A18" s="2" t="n">
        <v>637691</v>
      </c>
      <c r="B18" s="2" t="inlineStr"/>
      <c r="C18" s="3" t="inlineStr">
        <is>
          <t>7891150094949</t>
        </is>
      </c>
      <c r="D18" s="2" t="inlineStr">
        <is>
          <t>CR TRAT DOVE HIDRATACAO 270G</t>
        </is>
      </c>
      <c r="E18" s="4" t="n">
        <v>1</v>
      </c>
      <c r="F18" s="4" t="n">
        <v>1</v>
      </c>
      <c r="G18" s="4" t="n">
        <v>1</v>
      </c>
      <c r="H18" s="5" t="n">
        <v>34.7</v>
      </c>
      <c r="I18" s="5">
        <f>G18*H18</f>
        <v/>
      </c>
      <c r="J18" s="5">
        <f>H18/E18</f>
        <v/>
      </c>
      <c r="K18" s="5" t="n">
        <v>40.79</v>
      </c>
      <c r="L18" s="5" t="n">
        <v>40.79</v>
      </c>
      <c r="M18" s="5" t="n">
        <v>40.79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inlineStr"/>
    </row>
    <row r="19">
      <c r="A19" s="2" t="n">
        <v>653591</v>
      </c>
      <c r="B19" s="2" t="inlineStr"/>
      <c r="C19" s="3" t="inlineStr">
        <is>
          <t>7896438200906</t>
        </is>
      </c>
      <c r="D19" s="2" t="inlineStr">
        <is>
          <t>CREATINA PROBIOTICA 300G</t>
        </is>
      </c>
      <c r="E19" s="4" t="n">
        <v>1</v>
      </c>
      <c r="F19" s="4" t="n">
        <v>4</v>
      </c>
      <c r="G19" s="4" t="n">
        <v>4</v>
      </c>
      <c r="H19" s="5" t="n">
        <v>40.37</v>
      </c>
      <c r="I19" s="5">
        <f>G19*H19</f>
        <v/>
      </c>
      <c r="J19" s="5">
        <f>H19/E19</f>
        <v/>
      </c>
      <c r="K19" s="5" t="n">
        <v>40.37</v>
      </c>
      <c r="L19" s="5" t="n">
        <v>40.37</v>
      </c>
      <c r="M19" s="5" t="n">
        <v>40.37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/>
    </row>
    <row r="20">
      <c r="A20" s="2" t="n">
        <v>630671</v>
      </c>
      <c r="B20" s="2" t="inlineStr"/>
      <c r="C20" s="3" t="inlineStr">
        <is>
          <t>7898108640746</t>
        </is>
      </c>
      <c r="D20" s="2" t="inlineStr">
        <is>
          <t>CURATIVO CICATRISAN KURA DODOI CX 20 UND</t>
        </is>
      </c>
      <c r="E20" s="4" t="n">
        <v>1</v>
      </c>
      <c r="F20" s="4" t="n">
        <v>4</v>
      </c>
      <c r="G20" s="4" t="n">
        <v>4</v>
      </c>
      <c r="H20" s="5" t="n">
        <v>5.016</v>
      </c>
      <c r="I20" s="5">
        <f>G20*H20</f>
        <v/>
      </c>
      <c r="J20" s="5">
        <f>H20/E20</f>
        <v/>
      </c>
      <c r="K20" s="5" t="n">
        <v>5.42</v>
      </c>
      <c r="L20" s="5" t="n">
        <v>5.42</v>
      </c>
      <c r="M20" s="5" t="n">
        <v>5.419999999999999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inlineStr"/>
    </row>
    <row r="21">
      <c r="A21" s="2" t="n">
        <v>833</v>
      </c>
      <c r="B21" s="2" t="inlineStr"/>
      <c r="C21" s="3" t="inlineStr">
        <is>
          <t>7891800540406</t>
        </is>
      </c>
      <c r="D21" s="2" t="inlineStr">
        <is>
          <t>CURATIVO CREMER MINIONS 10UN</t>
        </is>
      </c>
      <c r="E21" s="4" t="n">
        <v>1</v>
      </c>
      <c r="F21" s="4" t="n">
        <v>1</v>
      </c>
      <c r="G21" s="4" t="n">
        <v>1</v>
      </c>
      <c r="H21" s="5" t="n">
        <v>4.462</v>
      </c>
      <c r="I21" s="5">
        <f>G21*H21</f>
        <v/>
      </c>
      <c r="J21" s="5">
        <f>H21/E21</f>
        <v/>
      </c>
      <c r="K21" s="5" t="n">
        <v>4.59</v>
      </c>
      <c r="L21" s="5" t="n">
        <v>4.59</v>
      </c>
      <c r="M21" s="5" t="n">
        <v>4.59</v>
      </c>
      <c r="N21" s="6">
        <f>J21/M21-1</f>
        <v/>
      </c>
      <c r="O21" s="6">
        <f>J21/K21-1</f>
        <v/>
      </c>
      <c r="P21" s="2" t="inlineStr">
        <is>
          <t>OK (≤ últ. compra)</t>
        </is>
      </c>
      <c r="Q21" s="2" t="inlineStr"/>
    </row>
    <row r="22">
      <c r="A22" s="2" t="n">
        <v>631611</v>
      </c>
      <c r="B22" s="2" t="inlineStr"/>
      <c r="C22" s="3" t="inlineStr">
        <is>
          <t>7896544925496</t>
        </is>
      </c>
      <c r="D22" s="2" t="inlineStr">
        <is>
          <t>CURATIVO FLEXIVEL SHOW DA LUNA  C/10UN.</t>
        </is>
      </c>
      <c r="E22" s="4" t="n">
        <v>1</v>
      </c>
      <c r="F22" s="4" t="n">
        <v>7</v>
      </c>
      <c r="G22" s="4" t="n">
        <v>7</v>
      </c>
      <c r="H22" s="5" t="n">
        <v>3.06</v>
      </c>
      <c r="I22" s="5">
        <f>G22*H22</f>
        <v/>
      </c>
      <c r="J22" s="5">
        <f>H22/E22</f>
        <v/>
      </c>
      <c r="K22" s="5" t="n">
        <v>3.06</v>
      </c>
      <c r="L22" s="5" t="n">
        <v>3.06</v>
      </c>
      <c r="M22" s="5" t="n">
        <v>3.06</v>
      </c>
      <c r="N22" s="6">
        <f>J22/M22-1</f>
        <v/>
      </c>
      <c r="O22" s="6">
        <f>J22/K22-1</f>
        <v/>
      </c>
      <c r="P22" s="2" t="inlineStr">
        <is>
          <t>OK (≤ últ. compra)</t>
        </is>
      </c>
      <c r="Q22" s="2" t="inlineStr">
        <is>
          <t>estoque parcial (2 un)</t>
        </is>
      </c>
    </row>
    <row r="23">
      <c r="A23" s="2" t="n">
        <v>669911</v>
      </c>
      <c r="B23" s="2" t="inlineStr"/>
      <c r="C23" s="3" t="inlineStr">
        <is>
          <t>7891150100503</t>
        </is>
      </c>
      <c r="D23" s="2" t="inlineStr">
        <is>
          <t>DEO REXONA WOMEN AER INV 150ML   UNIL %DN:12.00</t>
        </is>
      </c>
      <c r="E23" s="4" t="n">
        <v>1</v>
      </c>
      <c r="F23" s="4" t="n">
        <v>2</v>
      </c>
      <c r="G23" s="4" t="n">
        <v>2</v>
      </c>
      <c r="H23" s="5" t="n">
        <v>15.18</v>
      </c>
      <c r="I23" s="5">
        <f>G23*H23</f>
        <v/>
      </c>
      <c r="J23" s="5">
        <f>H23/E23</f>
        <v/>
      </c>
      <c r="K23" s="5" t="n">
        <v>16.62</v>
      </c>
      <c r="L23" s="5" t="n">
        <v>13.53</v>
      </c>
      <c r="M23" s="5" t="n">
        <v>15.59</v>
      </c>
      <c r="N23" s="6">
        <f>J23/M23-1</f>
        <v/>
      </c>
      <c r="O23" s="6">
        <f>J23/K23-1</f>
        <v/>
      </c>
      <c r="P23" s="2" t="inlineStr">
        <is>
          <t>OK (≤ últ. compra)</t>
        </is>
      </c>
      <c r="Q23" s="2" t="inlineStr"/>
    </row>
    <row r="24">
      <c r="A24" s="2" t="n">
        <v>6581</v>
      </c>
      <c r="B24" s="2" t="inlineStr"/>
      <c r="C24" s="3" t="inlineStr">
        <is>
          <t>7891268101799</t>
        </is>
      </c>
      <c r="D24" s="2" t="inlineStr">
        <is>
          <t>DEPO PROVERA 150MG SUS INJ 1FA X 1ML</t>
        </is>
      </c>
      <c r="E24" s="4" t="n">
        <v>1</v>
      </c>
      <c r="F24" s="4" t="n">
        <v>4</v>
      </c>
      <c r="G24" s="4" t="n">
        <v>4</v>
      </c>
      <c r="H24" s="5" t="n">
        <v>35.4825</v>
      </c>
      <c r="I24" s="5">
        <f>G24*H24</f>
        <v/>
      </c>
      <c r="J24" s="5">
        <f>H24/E24</f>
        <v/>
      </c>
      <c r="K24" s="5" t="n">
        <v>36.87</v>
      </c>
      <c r="L24" s="5" t="n">
        <v>33.56</v>
      </c>
      <c r="M24" s="5" t="n">
        <v>34.68</v>
      </c>
      <c r="N24" s="6">
        <f>J24/M24-1</f>
        <v/>
      </c>
      <c r="O24" s="6">
        <f>J24/K24-1</f>
        <v/>
      </c>
      <c r="P24" s="2" t="inlineStr">
        <is>
          <t>OK (≤ últ. compra)</t>
        </is>
      </c>
      <c r="Q24" s="2" t="inlineStr"/>
    </row>
    <row r="25">
      <c r="A25" s="2" t="n">
        <v>6601</v>
      </c>
      <c r="B25" s="2" t="inlineStr"/>
      <c r="C25" s="3" t="inlineStr">
        <is>
          <t>7891268101782</t>
        </is>
      </c>
      <c r="D25" s="2" t="inlineStr">
        <is>
          <t>DEPO PROVERA 150MG SUS INJ 1FA X 1ML+1SER PREENCH</t>
        </is>
      </c>
      <c r="E25" s="4" t="n">
        <v>1</v>
      </c>
      <c r="F25" s="4" t="n">
        <v>1</v>
      </c>
      <c r="G25" s="4" t="n">
        <v>1</v>
      </c>
      <c r="H25" s="5" t="n">
        <v>45.98</v>
      </c>
      <c r="I25" s="5">
        <f>G25*H25</f>
        <v/>
      </c>
      <c r="J25" s="5">
        <f>H25/E25</f>
        <v/>
      </c>
      <c r="K25" s="5" t="n">
        <v>46.77</v>
      </c>
      <c r="L25" s="5" t="n">
        <v>41.6</v>
      </c>
      <c r="M25" s="5" t="n">
        <v>43.87333333333333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inlineStr"/>
    </row>
    <row r="26">
      <c r="A26" s="2" t="n">
        <v>645431</v>
      </c>
      <c r="B26" s="2" t="inlineStr"/>
      <c r="C26" s="3" t="inlineStr">
        <is>
          <t>7891058018238</t>
        </is>
      </c>
      <c r="D26" s="2" t="inlineStr">
        <is>
          <t>DERMACYD FEM 200+100ML</t>
        </is>
      </c>
      <c r="E26" s="4" t="n">
        <v>1</v>
      </c>
      <c r="F26" s="4" t="n">
        <v>2</v>
      </c>
      <c r="G26" s="4" t="n">
        <v>2</v>
      </c>
      <c r="H26" s="5" t="n">
        <v>25.11</v>
      </c>
      <c r="I26" s="5">
        <f>G26*H26</f>
        <v/>
      </c>
      <c r="J26" s="5">
        <f>H26/E26</f>
        <v/>
      </c>
      <c r="K26" s="5" t="n">
        <v>25.16</v>
      </c>
      <c r="L26" s="5" t="n">
        <v>25.06</v>
      </c>
      <c r="M26" s="5" t="n">
        <v>25.12666666666667</v>
      </c>
      <c r="N26" s="6">
        <f>J26/M26-1</f>
        <v/>
      </c>
      <c r="O26" s="6">
        <f>J26/K26-1</f>
        <v/>
      </c>
      <c r="P26" s="2" t="inlineStr">
        <is>
          <t>OK (≤ últ. compra)</t>
        </is>
      </c>
      <c r="Q26" s="2" t="inlineStr">
        <is>
          <t>estoque parcial (1 un)</t>
        </is>
      </c>
    </row>
    <row r="27">
      <c r="A27" s="2" t="n">
        <v>591811</v>
      </c>
      <c r="B27" s="2" t="inlineStr"/>
      <c r="C27" s="3" t="inlineStr">
        <is>
          <t>78924352</t>
        </is>
      </c>
      <c r="D27" s="2" t="inlineStr">
        <is>
          <t>DES R-ON REXONA W.COTTON 50ML</t>
        </is>
      </c>
      <c r="E27" s="4" t="n">
        <v>1</v>
      </c>
      <c r="F27" s="4" t="n">
        <v>1</v>
      </c>
      <c r="G27" s="4" t="n">
        <v>1</v>
      </c>
      <c r="H27" s="5" t="n">
        <v>8.27</v>
      </c>
      <c r="I27" s="5">
        <f>G27*H27</f>
        <v/>
      </c>
      <c r="J27" s="5">
        <f>H27/E27</f>
        <v/>
      </c>
      <c r="K27" s="5" t="n">
        <v>7.9967</v>
      </c>
      <c r="L27" s="5" t="n">
        <v>7.9967</v>
      </c>
      <c r="M27" s="5" t="n">
        <v>7.9967</v>
      </c>
      <c r="N27" s="6">
        <f>J27/M27-1</f>
        <v/>
      </c>
      <c r="O27" s="6">
        <f>J27/K27-1</f>
        <v/>
      </c>
      <c r="P27" s="2" t="inlineStr">
        <is>
          <t>REAJUSTE +3.4% vs últ. (≤4%)</t>
        </is>
      </c>
      <c r="Q27" s="2" t="inlineStr"/>
    </row>
    <row r="28">
      <c r="A28" s="2" t="n">
        <v>539561</v>
      </c>
      <c r="B28" s="2" t="inlineStr"/>
      <c r="C28" s="3" t="inlineStr">
        <is>
          <t>7891106913966</t>
        </is>
      </c>
      <c r="D28" s="2" t="inlineStr">
        <is>
          <t>DIANE 35 2+0,035MG CX 21 DRG</t>
        </is>
      </c>
      <c r="E28" s="4" t="n">
        <v>1</v>
      </c>
      <c r="F28" s="4" t="n">
        <v>5</v>
      </c>
      <c r="G28" s="4" t="n">
        <v>5</v>
      </c>
      <c r="H28" s="5" t="n">
        <v>31.1904</v>
      </c>
      <c r="I28" s="5">
        <f>G28*H28</f>
        <v/>
      </c>
      <c r="J28" s="5">
        <f>H28/E28</f>
        <v/>
      </c>
      <c r="K28" s="5" t="n">
        <v>32.08</v>
      </c>
      <c r="L28" s="5" t="n">
        <v>27.875</v>
      </c>
      <c r="M28" s="5" t="n">
        <v>30.225</v>
      </c>
      <c r="N28" s="6">
        <f>J28/M28-1</f>
        <v/>
      </c>
      <c r="O28" s="6">
        <f>J28/K28-1</f>
        <v/>
      </c>
      <c r="P28" s="2" t="inlineStr">
        <is>
          <t>OK (≤ últ. compra)</t>
        </is>
      </c>
      <c r="Q28" s="2" t="inlineStr"/>
    </row>
    <row r="29">
      <c r="A29" s="2" t="n">
        <v>648781</v>
      </c>
      <c r="B29" s="2" t="inlineStr"/>
      <c r="C29" s="3" t="inlineStr">
        <is>
          <t>7891150021662</t>
        </is>
      </c>
      <c r="D29" s="2" t="inlineStr">
        <is>
          <t>DOVE SH 200ML MEN 2EM1 FORCA RESISTEN M3</t>
        </is>
      </c>
      <c r="E29" s="4" t="n">
        <v>1</v>
      </c>
      <c r="F29" s="4" t="n">
        <v>1</v>
      </c>
      <c r="G29" s="4" t="n">
        <v>1</v>
      </c>
      <c r="H29" s="5" t="n">
        <v>15.97</v>
      </c>
      <c r="I29" s="5">
        <f>G29*H29</f>
        <v/>
      </c>
      <c r="J29" s="5">
        <f>H29/E29</f>
        <v/>
      </c>
      <c r="K29" s="5" t="n">
        <v>15.4</v>
      </c>
      <c r="L29" s="5" t="n">
        <v>15.4</v>
      </c>
      <c r="M29" s="5" t="n">
        <v>15.4</v>
      </c>
      <c r="N29" s="6">
        <f>J29/M29-1</f>
        <v/>
      </c>
      <c r="O29" s="6">
        <f>J29/K29-1</f>
        <v/>
      </c>
      <c r="P29" s="2" t="inlineStr">
        <is>
          <t>REAJUSTE +3.7% vs últ. (≤4%)</t>
        </is>
      </c>
      <c r="Q29" s="2" t="inlineStr"/>
    </row>
    <row r="30">
      <c r="A30" s="2" t="n">
        <v>648591</v>
      </c>
      <c r="B30" s="2" t="inlineStr"/>
      <c r="C30" s="3" t="inlineStr">
        <is>
          <t>7891150021709</t>
        </is>
      </c>
      <c r="D30" s="2" t="inlineStr">
        <is>
          <t>DOVE SH 200ML MEN PROTECAO ANTICASPA M3</t>
        </is>
      </c>
      <c r="E30" s="4" t="n">
        <v>1</v>
      </c>
      <c r="F30" s="4" t="n">
        <v>1</v>
      </c>
      <c r="G30" s="4" t="n">
        <v>1</v>
      </c>
      <c r="H30" s="5" t="n">
        <v>15.97</v>
      </c>
      <c r="I30" s="5">
        <f>G30*H30</f>
        <v/>
      </c>
      <c r="J30" s="5">
        <f>H30/E30</f>
        <v/>
      </c>
      <c r="K30" s="5" t="n">
        <v>15.4</v>
      </c>
      <c r="L30" s="5" t="n">
        <v>15.4</v>
      </c>
      <c r="M30" s="5" t="n">
        <v>15.4</v>
      </c>
      <c r="N30" s="6">
        <f>J30/M30-1</f>
        <v/>
      </c>
      <c r="O30" s="6">
        <f>J30/K30-1</f>
        <v/>
      </c>
      <c r="P30" s="2" t="inlineStr">
        <is>
          <t>REAJUSTE +3.7% vs últ. (≤4%)</t>
        </is>
      </c>
      <c r="Q30" s="2" t="inlineStr"/>
    </row>
    <row r="31">
      <c r="A31" s="2" t="n">
        <v>452521</v>
      </c>
      <c r="B31" s="2" t="inlineStr"/>
      <c r="C31" s="3" t="inlineStr">
        <is>
          <t>7898109240136</t>
        </is>
      </c>
      <c r="D31" s="2" t="inlineStr">
        <is>
          <t>ELOTIN SOL OTO FR GTS 5ML</t>
        </is>
      </c>
      <c r="E31" s="4" t="n">
        <v>1</v>
      </c>
      <c r="F31" s="4" t="n">
        <v>1</v>
      </c>
      <c r="G31" s="4" t="n">
        <v>1</v>
      </c>
      <c r="H31" s="5" t="n">
        <v>9.490500000000001</v>
      </c>
      <c r="I31" s="5">
        <f>G31*H31</f>
        <v/>
      </c>
      <c r="J31" s="5">
        <f>H31/E31</f>
        <v/>
      </c>
      <c r="K31" s="5" t="n">
        <v>8.99</v>
      </c>
      <c r="L31" s="5" t="n">
        <v>8.99</v>
      </c>
      <c r="M31" s="5" t="n">
        <v>8.99</v>
      </c>
      <c r="N31" s="6">
        <f>J31/M31-1</f>
        <v/>
      </c>
      <c r="O31" s="6">
        <f>J31/K31-1</f>
        <v/>
      </c>
      <c r="P31" s="2" t="inlineStr">
        <is>
          <t>REAJUSTE +5.6% vs média (≤6%)</t>
        </is>
      </c>
      <c r="Q31" s="2" t="inlineStr"/>
    </row>
    <row r="32">
      <c r="A32" s="2" t="n">
        <v>594331</v>
      </c>
      <c r="B32" s="2" t="inlineStr"/>
      <c r="C32" s="3" t="inlineStr">
        <is>
          <t>070942005111</t>
        </is>
      </c>
      <c r="D32" s="2" t="inlineStr">
        <is>
          <t>ESC INTERDENTAL GUMSOFT PICK</t>
        </is>
      </c>
      <c r="E32" s="4" t="n">
        <v>1</v>
      </c>
      <c r="F32" s="4" t="n">
        <v>1</v>
      </c>
      <c r="G32" s="4" t="n">
        <v>1</v>
      </c>
      <c r="H32" s="5" t="n">
        <v>21.5616</v>
      </c>
      <c r="I32" s="5">
        <f>G32*H32</f>
        <v/>
      </c>
      <c r="J32" s="5">
        <f>H32/E32</f>
        <v/>
      </c>
      <c r="K32" s="5" t="n">
        <v>21.99</v>
      </c>
      <c r="L32" s="5" t="n">
        <v>21.99</v>
      </c>
      <c r="M32" s="5" t="n">
        <v>21.99</v>
      </c>
      <c r="N32" s="6">
        <f>J32/M32-1</f>
        <v/>
      </c>
      <c r="O32" s="6">
        <f>J32/K32-1</f>
        <v/>
      </c>
      <c r="P32" s="2" t="inlineStr">
        <is>
          <t>OK (≤ últ. compra)</t>
        </is>
      </c>
      <c r="Q32" s="2" t="inlineStr">
        <is>
          <t>preços divergentes entre EANs (usado menor)</t>
        </is>
      </c>
    </row>
    <row r="33">
      <c r="A33" s="2" t="n">
        <v>702501</v>
      </c>
      <c r="B33" s="2" t="inlineStr"/>
      <c r="C33" s="3" t="inlineStr">
        <is>
          <t>7899026415478</t>
        </is>
      </c>
      <c r="D33" s="2" t="inlineStr">
        <is>
          <t>ESM COL_CREM JABUTICABA</t>
        </is>
      </c>
      <c r="E33" s="4" t="n">
        <v>1</v>
      </c>
      <c r="F33" s="4" t="n">
        <v>1</v>
      </c>
      <c r="G33" s="4" t="n">
        <v>1</v>
      </c>
      <c r="H33" s="5" t="n">
        <v>5.35</v>
      </c>
      <c r="I33" s="5">
        <f>G33*H33</f>
        <v/>
      </c>
      <c r="J33" s="5">
        <f>H33/E33</f>
        <v/>
      </c>
      <c r="K33" s="5" t="n">
        <v>5.93</v>
      </c>
      <c r="L33" s="5" t="n">
        <v>5.93</v>
      </c>
      <c r="M33" s="5" t="n">
        <v>5.93</v>
      </c>
      <c r="N33" s="6">
        <f>J33/M33-1</f>
        <v/>
      </c>
      <c r="O33" s="6">
        <f>J33/K33-1</f>
        <v/>
      </c>
      <c r="P33" s="2" t="inlineStr">
        <is>
          <t>OK (≤ últ. compra)</t>
        </is>
      </c>
      <c r="Q33" s="2" t="inlineStr"/>
    </row>
    <row r="34">
      <c r="A34" s="2" t="n">
        <v>651561</v>
      </c>
      <c r="B34" s="2" t="inlineStr"/>
      <c r="C34" s="3" t="inlineStr">
        <is>
          <t>7891800669299</t>
        </is>
      </c>
      <c r="D34" s="2" t="inlineStr">
        <is>
          <t>ESPARADRAPO CREMER BEGE 1,2CMX3M   CREM %DN:11.00</t>
        </is>
      </c>
      <c r="E34" s="4" t="n">
        <v>1</v>
      </c>
      <c r="F34" s="4" t="n">
        <v>6</v>
      </c>
      <c r="G34" s="4" t="n">
        <v>6</v>
      </c>
      <c r="H34" s="5" t="n">
        <v>3.492</v>
      </c>
      <c r="I34" s="5">
        <f>G34*H34</f>
        <v/>
      </c>
      <c r="J34" s="5">
        <f>H34/E34</f>
        <v/>
      </c>
      <c r="K34" s="5" t="n">
        <v>3.59</v>
      </c>
      <c r="L34" s="5" t="n">
        <v>3.59</v>
      </c>
      <c r="M34" s="5" t="n">
        <v>3.59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inlineStr"/>
    </row>
    <row r="35">
      <c r="A35" s="2" t="n">
        <v>578121</v>
      </c>
      <c r="B35" s="2" t="inlineStr"/>
      <c r="C35" s="3" t="inlineStr">
        <is>
          <t>7891800628432</t>
        </is>
      </c>
      <c r="D35" s="2" t="inlineStr">
        <is>
          <t>ESPARADRAPO SALVELOX 5CMX4,5M</t>
        </is>
      </c>
      <c r="E35" s="4" t="n">
        <v>1</v>
      </c>
      <c r="F35" s="4" t="n">
        <v>9</v>
      </c>
      <c r="G35" s="4" t="n">
        <v>9</v>
      </c>
      <c r="H35" s="5" t="n">
        <v>6.6542</v>
      </c>
      <c r="I35" s="5">
        <f>G35*H35</f>
        <v/>
      </c>
      <c r="J35" s="5">
        <f>H35/E35</f>
        <v/>
      </c>
      <c r="K35" s="5" t="n">
        <v>6.844</v>
      </c>
      <c r="L35" s="5" t="n">
        <v>6.48</v>
      </c>
      <c r="M35" s="5" t="n">
        <v>6.722666666666666</v>
      </c>
      <c r="N35" s="6">
        <f>J35/M35-1</f>
        <v/>
      </c>
      <c r="O35" s="6">
        <f>J35/K35-1</f>
        <v/>
      </c>
      <c r="P35" s="2" t="inlineStr">
        <is>
          <t>OK (≤ últ. compra)</t>
        </is>
      </c>
      <c r="Q35" s="2" t="inlineStr"/>
    </row>
    <row r="36">
      <c r="A36" s="2" t="n">
        <v>613831</v>
      </c>
      <c r="B36" s="2" t="inlineStr"/>
      <c r="C36" s="3" t="inlineStr">
        <is>
          <t>7896902234093</t>
        </is>
      </c>
      <c r="D36" s="2" t="inlineStr">
        <is>
          <t>FARMAIODINE PVPI 10% 100ML</t>
        </is>
      </c>
      <c r="E36" s="4" t="n">
        <v>1</v>
      </c>
      <c r="F36" s="4" t="n">
        <v>2</v>
      </c>
      <c r="G36" s="4" t="n">
        <v>2</v>
      </c>
      <c r="H36" s="5" t="n">
        <v>6.27</v>
      </c>
      <c r="I36" s="5">
        <f>G36*H36</f>
        <v/>
      </c>
      <c r="J36" s="5">
        <f>H36/E36</f>
        <v/>
      </c>
      <c r="K36" s="5" t="n">
        <v>7.09</v>
      </c>
      <c r="L36" s="5" t="n">
        <v>7.09</v>
      </c>
      <c r="M36" s="5" t="n">
        <v>7.09</v>
      </c>
      <c r="N36" s="6">
        <f>J36/M36-1</f>
        <v/>
      </c>
      <c r="O36" s="6">
        <f>J36/K36-1</f>
        <v/>
      </c>
      <c r="P36" s="2" t="inlineStr">
        <is>
          <t>OK (≤ últ. compra)</t>
        </is>
      </c>
      <c r="Q36" s="2" t="inlineStr"/>
    </row>
    <row r="37">
      <c r="A37" s="2" t="n">
        <v>430141</v>
      </c>
      <c r="B37" s="2" t="inlineStr"/>
      <c r="C37" s="3" t="inlineStr">
        <is>
          <t>7896014673124</t>
        </is>
      </c>
      <c r="D37" s="2" t="inlineStr">
        <is>
          <t>FERROPURUM 20 MG/ML SOL INJ 5 AMP 5ML</t>
        </is>
      </c>
      <c r="E37" s="4" t="n">
        <v>1</v>
      </c>
      <c r="F37" s="4" t="n">
        <v>9</v>
      </c>
      <c r="G37" s="4" t="n">
        <v>9</v>
      </c>
      <c r="H37" s="5" t="n">
        <v>67.81409699999999</v>
      </c>
      <c r="I37" s="5">
        <f>G37*H37</f>
        <v/>
      </c>
      <c r="J37" s="5">
        <f>H37/E37</f>
        <v/>
      </c>
      <c r="K37" s="5" t="n">
        <v>69.76000000000001</v>
      </c>
      <c r="L37" s="5" t="n">
        <v>51.6738</v>
      </c>
      <c r="M37" s="5" t="n">
        <v>57.70143333333333</v>
      </c>
      <c r="N37" s="6">
        <f>J37/M37-1</f>
        <v/>
      </c>
      <c r="O37" s="6">
        <f>J37/K37-1</f>
        <v/>
      </c>
      <c r="P37" s="2" t="inlineStr">
        <is>
          <t>OK (≤ últ. compra)</t>
        </is>
      </c>
      <c r="Q37" s="2" t="inlineStr"/>
    </row>
    <row r="38">
      <c r="A38" s="2" t="n">
        <v>616361</v>
      </c>
      <c r="B38" s="2" t="inlineStr"/>
      <c r="C38" s="3" t="inlineStr">
        <is>
          <t>7896523201504</t>
        </is>
      </c>
      <c r="D38" s="2" t="inlineStr">
        <is>
          <t>FIGMED 200MG CAPS C/30</t>
        </is>
      </c>
      <c r="E38" s="4" t="n">
        <v>1</v>
      </c>
      <c r="F38" s="4" t="n">
        <v>13</v>
      </c>
      <c r="G38" s="4" t="n">
        <v>13</v>
      </c>
      <c r="H38" s="5" t="n">
        <v>30.53</v>
      </c>
      <c r="I38" s="5">
        <f>G38*H38</f>
        <v/>
      </c>
      <c r="J38" s="5">
        <f>H38/E38</f>
        <v/>
      </c>
      <c r="K38" s="5" t="n">
        <v>35.69</v>
      </c>
      <c r="L38" s="5" t="n">
        <v>31.99</v>
      </c>
      <c r="M38" s="5" t="n">
        <v>33.83333333333333</v>
      </c>
      <c r="N38" s="6">
        <f>J38/M38-1</f>
        <v/>
      </c>
      <c r="O38" s="6">
        <f>J38/K38-1</f>
        <v/>
      </c>
      <c r="P38" s="2" t="inlineStr">
        <is>
          <t>OK (≤ últ. compra)</t>
        </is>
      </c>
      <c r="Q38" s="2" t="inlineStr"/>
    </row>
    <row r="39">
      <c r="A39" s="2" t="n">
        <v>249121</v>
      </c>
      <c r="B39" s="2" t="inlineStr"/>
      <c r="C39" s="3" t="inlineStr">
        <is>
          <t>7896523227542</t>
        </is>
      </c>
      <c r="D39" s="2" t="inlineStr">
        <is>
          <t>FINASTERIDA 1MG CX 30 COMP REV</t>
        </is>
      </c>
      <c r="E39" s="4" t="n">
        <v>1</v>
      </c>
      <c r="F39" s="4" t="n">
        <v>2</v>
      </c>
      <c r="G39" s="4" t="n">
        <v>2</v>
      </c>
      <c r="H39" s="5" t="n">
        <v>62.28</v>
      </c>
      <c r="I39" s="5">
        <f>G39*H39</f>
        <v/>
      </c>
      <c r="J39" s="5">
        <f>H39/E39</f>
        <v/>
      </c>
      <c r="K39" s="5" t="n"/>
      <c r="L39" s="5" t="n"/>
      <c r="M39" s="5" t="n"/>
      <c r="N39" s="6" t="n"/>
      <c r="O39" s="6" t="n"/>
      <c r="P39" s="2" t="inlineStr">
        <is>
          <t>SEM HISTÓRICO</t>
        </is>
      </c>
      <c r="Q39" s="2" t="inlineStr"/>
    </row>
    <row r="40">
      <c r="A40" s="2" t="n">
        <v>596631</v>
      </c>
      <c r="B40" s="2" t="inlineStr"/>
      <c r="C40" s="3" t="inlineStr">
        <is>
          <t>7891800665529</t>
        </is>
      </c>
      <c r="D40" s="2" t="inlineStr">
        <is>
          <t>FITA MICROPOROSA SALVELOX 1,2CMX4,5M</t>
        </is>
      </c>
      <c r="E40" s="4" t="n">
        <v>1</v>
      </c>
      <c r="F40" s="4" t="n">
        <v>7</v>
      </c>
      <c r="G40" s="4" t="n">
        <v>7</v>
      </c>
      <c r="H40" s="5" t="n">
        <v>2.7257</v>
      </c>
      <c r="I40" s="5">
        <f>G40*H40</f>
        <v/>
      </c>
      <c r="J40" s="5">
        <f>H40/E40</f>
        <v/>
      </c>
      <c r="K40" s="5" t="n">
        <v>2.8038</v>
      </c>
      <c r="L40" s="5" t="n">
        <v>2.65</v>
      </c>
      <c r="M40" s="5" t="n">
        <v>2.752533333333333</v>
      </c>
      <c r="N40" s="6">
        <f>J40/M40-1</f>
        <v/>
      </c>
      <c r="O40" s="6">
        <f>J40/K40-1</f>
        <v/>
      </c>
      <c r="P40" s="2" t="inlineStr">
        <is>
          <t>OK (≤ últ. compra)</t>
        </is>
      </c>
      <c r="Q40" s="2" t="inlineStr"/>
    </row>
    <row r="41">
      <c r="A41" s="2" t="n">
        <v>614481</v>
      </c>
      <c r="B41" s="2" t="inlineStr"/>
      <c r="C41" s="3" t="inlineStr">
        <is>
          <t>7896007551279</t>
        </is>
      </c>
      <c r="D41" s="2" t="inlineStr">
        <is>
          <t>FRA HUGGIES CARE ROUP HIPER XXG C/48</t>
        </is>
      </c>
      <c r="E41" s="4" t="n">
        <v>1</v>
      </c>
      <c r="F41" s="4" t="n">
        <v>2</v>
      </c>
      <c r="G41" s="4" t="n">
        <v>2</v>
      </c>
      <c r="H41" s="5" t="n">
        <v>89.83</v>
      </c>
      <c r="I41" s="5">
        <f>G41*H41</f>
        <v/>
      </c>
      <c r="J41" s="5">
        <f>H41/E41</f>
        <v/>
      </c>
      <c r="K41" s="5" t="n">
        <v>87.53619999999999</v>
      </c>
      <c r="L41" s="5" t="n">
        <v>87.53619999999999</v>
      </c>
      <c r="M41" s="5" t="n">
        <v>87.53619999999999</v>
      </c>
      <c r="N41" s="6">
        <f>J41/M41-1</f>
        <v/>
      </c>
      <c r="O41" s="6">
        <f>J41/K41-1</f>
        <v/>
      </c>
      <c r="P41" s="2" t="inlineStr">
        <is>
          <t>REAJUSTE +2.6% vs últ. (≤4%)</t>
        </is>
      </c>
      <c r="Q41" s="2" t="inlineStr"/>
    </row>
    <row r="42">
      <c r="A42" s="2" t="n">
        <v>614451</v>
      </c>
      <c r="B42" s="2" t="inlineStr"/>
      <c r="C42" s="3" t="inlineStr">
        <is>
          <t>7896007549719</t>
        </is>
      </c>
      <c r="D42" s="2" t="inlineStr">
        <is>
          <t>FRA HUGGIES SP CARE ROUP HIPER GDE C/60</t>
        </is>
      </c>
      <c r="E42" s="4" t="n">
        <v>1</v>
      </c>
      <c r="F42" s="4" t="n">
        <v>1</v>
      </c>
      <c r="G42" s="4" t="n">
        <v>1</v>
      </c>
      <c r="H42" s="5" t="n">
        <v>89.83</v>
      </c>
      <c r="I42" s="5">
        <f>G42*H42</f>
        <v/>
      </c>
      <c r="J42" s="5">
        <f>H42/E42</f>
        <v/>
      </c>
      <c r="K42" s="5" t="n">
        <v>87.53619999999999</v>
      </c>
      <c r="L42" s="5" t="n">
        <v>87.53619999999999</v>
      </c>
      <c r="M42" s="5" t="n">
        <v>87.53619999999999</v>
      </c>
      <c r="N42" s="6">
        <f>J42/M42-1</f>
        <v/>
      </c>
      <c r="O42" s="6">
        <f>J42/K42-1</f>
        <v/>
      </c>
      <c r="P42" s="2" t="inlineStr">
        <is>
          <t>REAJUSTE +2.6% vs últ. (≤4%)</t>
        </is>
      </c>
      <c r="Q42" s="2" t="inlineStr"/>
    </row>
    <row r="43">
      <c r="A43" s="2" t="n">
        <v>614461</v>
      </c>
      <c r="B43" s="2" t="inlineStr"/>
      <c r="C43" s="3" t="inlineStr">
        <is>
          <t>7896007551262</t>
        </is>
      </c>
      <c r="D43" s="2" t="inlineStr">
        <is>
          <t>FRA HUGGIES SP CARE ROUP HIPER MED C/72</t>
        </is>
      </c>
      <c r="E43" s="4" t="n">
        <v>1</v>
      </c>
      <c r="F43" s="4" t="n">
        <v>2</v>
      </c>
      <c r="G43" s="4" t="n">
        <v>2</v>
      </c>
      <c r="H43" s="5" t="n">
        <v>89.83</v>
      </c>
      <c r="I43" s="5">
        <f>G43*H43</f>
        <v/>
      </c>
      <c r="J43" s="5">
        <f>H43/E43</f>
        <v/>
      </c>
      <c r="K43" s="5" t="n">
        <v>87.53619999999999</v>
      </c>
      <c r="L43" s="5" t="n">
        <v>87.53619999999999</v>
      </c>
      <c r="M43" s="5" t="n">
        <v>87.53619999999999</v>
      </c>
      <c r="N43" s="6">
        <f>J43/M43-1</f>
        <v/>
      </c>
      <c r="O43" s="6">
        <f>J43/K43-1</f>
        <v/>
      </c>
      <c r="P43" s="2" t="inlineStr">
        <is>
          <t>REAJUSTE +2.6% vs últ. (≤4%)</t>
        </is>
      </c>
      <c r="Q43" s="2" t="inlineStr"/>
    </row>
    <row r="44">
      <c r="A44" s="2" t="n">
        <v>617081</v>
      </c>
      <c r="B44" s="2" t="inlineStr"/>
      <c r="C44" s="3" t="inlineStr">
        <is>
          <t>7896007553051</t>
        </is>
      </c>
      <c r="D44" s="2" t="inlineStr">
        <is>
          <t>FRA HUGGIES TRIPLA ROUP MEGA - GDE C/28</t>
        </is>
      </c>
      <c r="E44" s="4" t="n">
        <v>1</v>
      </c>
      <c r="F44" s="4" t="n">
        <v>7</v>
      </c>
      <c r="G44" s="4" t="n">
        <v>7</v>
      </c>
      <c r="H44" s="5" t="n">
        <v>37.88</v>
      </c>
      <c r="I44" s="5">
        <f>G44*H44</f>
        <v/>
      </c>
      <c r="J44" s="5">
        <f>H44/E44</f>
        <v/>
      </c>
      <c r="K44" s="5" t="n">
        <v>36.98</v>
      </c>
      <c r="L44" s="5" t="n">
        <v>36.98</v>
      </c>
      <c r="M44" s="5" t="n">
        <v>36.98</v>
      </c>
      <c r="N44" s="6">
        <f>J44/M44-1</f>
        <v/>
      </c>
      <c r="O44" s="6">
        <f>J44/K44-1</f>
        <v/>
      </c>
      <c r="P44" s="2" t="inlineStr">
        <is>
          <t>REAJUSTE +2.4% vs últ. (≤4%)</t>
        </is>
      </c>
      <c r="Q44" s="2" t="inlineStr"/>
    </row>
    <row r="45">
      <c r="A45" s="2" t="n">
        <v>616531</v>
      </c>
      <c r="B45" s="2" t="inlineStr"/>
      <c r="C45" s="3" t="inlineStr">
        <is>
          <t>7896007553068</t>
        </is>
      </c>
      <c r="D45" s="2" t="inlineStr">
        <is>
          <t>FRA HUGGIES TRIPLA ROUP MEGA - XG C/24</t>
        </is>
      </c>
      <c r="E45" s="4" t="n">
        <v>1</v>
      </c>
      <c r="F45" s="4" t="n">
        <v>2</v>
      </c>
      <c r="G45" s="4" t="n">
        <v>2</v>
      </c>
      <c r="H45" s="5" t="n">
        <v>37.88</v>
      </c>
      <c r="I45" s="5">
        <f>G45*H45</f>
        <v/>
      </c>
      <c r="J45" s="5">
        <f>H45/E45</f>
        <v/>
      </c>
      <c r="K45" s="5" t="n">
        <v>36.98</v>
      </c>
      <c r="L45" s="5" t="n">
        <v>36.98</v>
      </c>
      <c r="M45" s="5" t="n">
        <v>36.98</v>
      </c>
      <c r="N45" s="6">
        <f>J45/M45-1</f>
        <v/>
      </c>
      <c r="O45" s="6">
        <f>J45/K45-1</f>
        <v/>
      </c>
      <c r="P45" s="2" t="inlineStr">
        <is>
          <t>REAJUSTE +2.4% vs últ. (≤4%)</t>
        </is>
      </c>
      <c r="Q45" s="2" t="inlineStr"/>
    </row>
    <row r="46">
      <c r="A46" s="2" t="n">
        <v>572481</v>
      </c>
      <c r="B46" s="2" t="inlineStr"/>
      <c r="C46" s="3" t="inlineStr">
        <is>
          <t>7896064486170</t>
        </is>
      </c>
      <c r="D46" s="2" t="inlineStr">
        <is>
          <t>FRALDA GERIAMAX G 7 UN</t>
        </is>
      </c>
      <c r="E46" s="4" t="n">
        <v>1</v>
      </c>
      <c r="F46" s="4" t="n">
        <v>3</v>
      </c>
      <c r="G46" s="4" t="n">
        <v>3</v>
      </c>
      <c r="H46" s="5" t="n">
        <v>16.36</v>
      </c>
      <c r="I46" s="5">
        <f>G46*H46</f>
        <v/>
      </c>
      <c r="J46" s="5">
        <f>H46/E46</f>
        <v/>
      </c>
      <c r="K46" s="5" t="n">
        <v>18.17</v>
      </c>
      <c r="L46" s="5" t="n">
        <v>18.17</v>
      </c>
      <c r="M46" s="5" t="n">
        <v>18.17</v>
      </c>
      <c r="N46" s="6">
        <f>J46/M46-1</f>
        <v/>
      </c>
      <c r="O46" s="6">
        <f>J46/K46-1</f>
        <v/>
      </c>
      <c r="P46" s="2" t="inlineStr">
        <is>
          <t>OK (≤ últ. compra)</t>
        </is>
      </c>
      <c r="Q46" s="2" t="inlineStr"/>
    </row>
    <row r="47">
      <c r="A47" s="2" t="n">
        <v>572501</v>
      </c>
      <c r="B47" s="2" t="inlineStr"/>
      <c r="C47" s="3" t="inlineStr">
        <is>
          <t>7896064486163</t>
        </is>
      </c>
      <c r="D47" s="2" t="inlineStr">
        <is>
          <t>FRALDA GERIAMAX M 8 UN</t>
        </is>
      </c>
      <c r="E47" s="4" t="n">
        <v>1</v>
      </c>
      <c r="F47" s="4" t="n">
        <v>3</v>
      </c>
      <c r="G47" s="4" t="n">
        <v>3</v>
      </c>
      <c r="H47" s="5" t="n">
        <v>16.36</v>
      </c>
      <c r="I47" s="5">
        <f>G47*H47</f>
        <v/>
      </c>
      <c r="J47" s="5">
        <f>H47/E47</f>
        <v/>
      </c>
      <c r="K47" s="5" t="n">
        <v>18.26</v>
      </c>
      <c r="L47" s="5" t="n">
        <v>18.17</v>
      </c>
      <c r="M47" s="5" t="n">
        <v>18.17</v>
      </c>
      <c r="N47" s="6">
        <f>J47/M47-1</f>
        <v/>
      </c>
      <c r="O47" s="6">
        <f>J47/K47-1</f>
        <v/>
      </c>
      <c r="P47" s="2" t="inlineStr">
        <is>
          <t>OK (≤ últ. compra)</t>
        </is>
      </c>
      <c r="Q47" s="2" t="inlineStr"/>
    </row>
    <row r="48">
      <c r="A48" s="2" t="n">
        <v>631061</v>
      </c>
      <c r="B48" s="2" t="inlineStr"/>
      <c r="C48" s="3" t="inlineStr">
        <is>
          <t>7896007549269</t>
        </is>
      </c>
      <c r="D48" s="2" t="inlineStr">
        <is>
          <t>FRALDA HUGGIES TRIPLA HIPER G 78UN</t>
        </is>
      </c>
      <c r="E48" s="4" t="n">
        <v>1</v>
      </c>
      <c r="F48" s="4" t="n">
        <v>2</v>
      </c>
      <c r="G48" s="4" t="n">
        <v>2</v>
      </c>
      <c r="H48" s="5" t="n">
        <v>86.56999999999999</v>
      </c>
      <c r="I48" s="5">
        <f>G48*H48</f>
        <v/>
      </c>
      <c r="J48" s="5">
        <f>H48/E48</f>
        <v/>
      </c>
      <c r="K48" s="5" t="n">
        <v>88.23</v>
      </c>
      <c r="L48" s="5" t="n">
        <v>88.23</v>
      </c>
      <c r="M48" s="5" t="n">
        <v>88.23</v>
      </c>
      <c r="N48" s="6">
        <f>J48/M48-1</f>
        <v/>
      </c>
      <c r="O48" s="6">
        <f>J48/K48-1</f>
        <v/>
      </c>
      <c r="P48" s="2" t="inlineStr">
        <is>
          <t>OK (≤ últ. compra)</t>
        </is>
      </c>
      <c r="Q48" s="2" t="inlineStr"/>
    </row>
    <row r="49">
      <c r="A49" s="2" t="n">
        <v>556021</v>
      </c>
      <c r="B49" s="2" t="inlineStr"/>
      <c r="C49" s="3" t="inlineStr">
        <is>
          <t>7896007549702</t>
        </is>
      </c>
      <c r="D49" s="2" t="inlineStr">
        <is>
          <t>FRALDA SHORTINHO HUGGIES SUPREME CARE XXG 24UN</t>
        </is>
      </c>
      <c r="E49" s="4" t="n">
        <v>1</v>
      </c>
      <c r="F49" s="4" t="n">
        <v>3</v>
      </c>
      <c r="G49" s="4" t="n">
        <v>3</v>
      </c>
      <c r="H49" s="5" t="n">
        <v>51.34</v>
      </c>
      <c r="I49" s="5">
        <f>G49*H49</f>
        <v/>
      </c>
      <c r="J49" s="5">
        <f>H49/E49</f>
        <v/>
      </c>
      <c r="K49" s="5" t="n">
        <v>50.0233</v>
      </c>
      <c r="L49" s="5" t="n">
        <v>50.0233</v>
      </c>
      <c r="M49" s="5" t="n">
        <v>50.0233</v>
      </c>
      <c r="N49" s="6">
        <f>J49/M49-1</f>
        <v/>
      </c>
      <c r="O49" s="6">
        <f>J49/K49-1</f>
        <v/>
      </c>
      <c r="P49" s="2" t="inlineStr">
        <is>
          <t>REAJUSTE +2.6% vs últ. (≤4%)</t>
        </is>
      </c>
      <c r="Q49" s="2" t="inlineStr"/>
    </row>
    <row r="50">
      <c r="A50" s="2" t="n">
        <v>670571</v>
      </c>
      <c r="B50" s="2" t="inlineStr"/>
      <c r="C50" s="3" t="inlineStr">
        <is>
          <t>7898216368037</t>
        </is>
      </c>
      <c r="D50" s="2" t="inlineStr">
        <is>
          <t>GARDENAL 100MG C/20 COMP (C1)-REFERENCIA</t>
        </is>
      </c>
      <c r="E50" s="4" t="n">
        <v>1</v>
      </c>
      <c r="F50" s="4" t="n">
        <v>2</v>
      </c>
      <c r="G50" s="4" t="n">
        <v>2</v>
      </c>
      <c r="H50" s="5" t="n">
        <v>9.468</v>
      </c>
      <c r="I50" s="5">
        <f>G50*H50</f>
        <v/>
      </c>
      <c r="J50" s="5">
        <f>H50/E50</f>
        <v/>
      </c>
      <c r="K50" s="5" t="n">
        <v>9.4094</v>
      </c>
      <c r="L50" s="5" t="n">
        <v>9.4094</v>
      </c>
      <c r="M50" s="5" t="n">
        <v>9.4094</v>
      </c>
      <c r="N50" s="6">
        <f>J50/M50-1</f>
        <v/>
      </c>
      <c r="O50" s="6">
        <f>J50/K50-1</f>
        <v/>
      </c>
      <c r="P50" s="2" t="inlineStr">
        <is>
          <t>REAJUSTE +0.6% vs últ. (≤4%)</t>
        </is>
      </c>
      <c r="Q50" s="2" t="inlineStr"/>
    </row>
    <row r="51">
      <c r="A51" s="2" t="n">
        <v>630831</v>
      </c>
      <c r="B51" s="2" t="inlineStr"/>
      <c r="C51" s="3" t="inlineStr">
        <is>
          <t>7899706178129</t>
        </is>
      </c>
      <c r="D51" s="2" t="inlineStr">
        <is>
          <t>GARNIER AGUA MICELAR 400ML TUDO EM 1</t>
        </is>
      </c>
      <c r="E51" s="4" t="n">
        <v>1</v>
      </c>
      <c r="F51" s="4" t="n">
        <v>1</v>
      </c>
      <c r="G51" s="4" t="n">
        <v>1</v>
      </c>
      <c r="H51" s="5" t="n">
        <v>45.67</v>
      </c>
      <c r="I51" s="5">
        <f>G51*H51</f>
        <v/>
      </c>
      <c r="J51" s="5">
        <f>H51/E51</f>
        <v/>
      </c>
      <c r="K51" s="5" t="n">
        <v>44.69</v>
      </c>
      <c r="L51" s="5" t="n">
        <v>44.69</v>
      </c>
      <c r="M51" s="5" t="n">
        <v>44.69</v>
      </c>
      <c r="N51" s="6">
        <f>J51/M51-1</f>
        <v/>
      </c>
      <c r="O51" s="6">
        <f>J51/K51-1</f>
        <v/>
      </c>
      <c r="P51" s="2" t="inlineStr">
        <is>
          <t>REAJUSTE +2.2% vs últ. (≤4%)</t>
        </is>
      </c>
      <c r="Q51" s="2" t="inlineStr"/>
    </row>
    <row r="52">
      <c r="A52" s="2" t="n">
        <v>189141</v>
      </c>
      <c r="B52" s="2" t="inlineStr"/>
      <c r="C52" s="3" t="inlineStr">
        <is>
          <t>7891106003230</t>
        </is>
      </c>
      <c r="D52" s="2" t="inlineStr">
        <is>
          <t>GINO CANESTEN 20 MG/G CREME VAG BG 20G+3APLIC</t>
        </is>
      </c>
      <c r="E52" s="4" t="n">
        <v>1</v>
      </c>
      <c r="F52" s="4" t="n">
        <v>2</v>
      </c>
      <c r="G52" s="4" t="n">
        <v>2</v>
      </c>
      <c r="H52" s="5" t="n">
        <v>73.19619999999999</v>
      </c>
      <c r="I52" s="5">
        <f>G52*H52</f>
        <v/>
      </c>
      <c r="J52" s="5">
        <f>H52/E52</f>
        <v/>
      </c>
      <c r="K52" s="5" t="n">
        <v>70.93000000000001</v>
      </c>
      <c r="L52" s="5" t="n">
        <v>65.23</v>
      </c>
      <c r="M52" s="5" t="n">
        <v>67.52166666666666</v>
      </c>
      <c r="N52" s="6">
        <f>J52/M52-1</f>
        <v/>
      </c>
      <c r="O52" s="6">
        <f>J52/K52-1</f>
        <v/>
      </c>
      <c r="P52" s="2" t="inlineStr">
        <is>
          <t>REAJUSTE +3.2% vs últ. (≤4%)</t>
        </is>
      </c>
      <c r="Q52" s="2" t="inlineStr"/>
    </row>
    <row r="53">
      <c r="A53" s="2" t="n">
        <v>533121</v>
      </c>
      <c r="B53" s="2" t="inlineStr"/>
      <c r="C53" s="3" t="inlineStr">
        <is>
          <t>7891721201806</t>
        </is>
      </c>
      <c r="D53" s="2" t="inlineStr">
        <is>
          <t>GLIFAGE XR 500MG CX 30 COMP</t>
        </is>
      </c>
      <c r="E53" s="4" t="n">
        <v>1</v>
      </c>
      <c r="F53" s="4" t="n">
        <v>266</v>
      </c>
      <c r="G53" s="4" t="n">
        <v>266</v>
      </c>
      <c r="H53" s="5" t="n">
        <v>7.436800000000001</v>
      </c>
      <c r="I53" s="5">
        <f>G53*H53</f>
        <v/>
      </c>
      <c r="J53" s="5">
        <f>H53/E53</f>
        <v/>
      </c>
      <c r="K53" s="5" t="n">
        <v>7.2626</v>
      </c>
      <c r="L53" s="5" t="n">
        <v>6.4487</v>
      </c>
      <c r="M53" s="5" t="n">
        <v>6.711666666666666</v>
      </c>
      <c r="N53" s="6">
        <f>J53/M53-1</f>
        <v/>
      </c>
      <c r="O53" s="6">
        <f>J53/K53-1</f>
        <v/>
      </c>
      <c r="P53" s="2" t="inlineStr">
        <is>
          <t>REAJUSTE +2.4% vs últ. (≤4%)</t>
        </is>
      </c>
      <c r="Q53" s="2" t="inlineStr"/>
    </row>
    <row r="54">
      <c r="A54" s="2" t="n">
        <v>583441</v>
      </c>
      <c r="B54" s="2" t="inlineStr"/>
      <c r="C54" s="3" t="inlineStr">
        <is>
          <t>7896512944436</t>
        </is>
      </c>
      <c r="D54" s="2" t="inlineStr">
        <is>
          <t>GRANADO BEBE CR HID 120ML TRADICIONAL</t>
        </is>
      </c>
      <c r="E54" s="4" t="n">
        <v>1</v>
      </c>
      <c r="F54" s="4" t="n">
        <v>1</v>
      </c>
      <c r="G54" s="4" t="n">
        <v>1</v>
      </c>
      <c r="H54" s="5" t="n">
        <v>21.32</v>
      </c>
      <c r="I54" s="5">
        <f>G54*H54</f>
        <v/>
      </c>
      <c r="J54" s="5">
        <f>H54/E54</f>
        <v/>
      </c>
      <c r="K54" s="5" t="n">
        <v>21.65</v>
      </c>
      <c r="L54" s="5" t="n">
        <v>21.65</v>
      </c>
      <c r="M54" s="5" t="n">
        <v>21.65</v>
      </c>
      <c r="N54" s="6">
        <f>J54/M54-1</f>
        <v/>
      </c>
      <c r="O54" s="6">
        <f>J54/K54-1</f>
        <v/>
      </c>
      <c r="P54" s="2" t="inlineStr">
        <is>
          <t>OK (≤ últ. compra)</t>
        </is>
      </c>
      <c r="Q54" s="2" t="inlineStr"/>
    </row>
    <row r="55">
      <c r="A55" s="2" t="n">
        <v>626251</v>
      </c>
      <c r="B55" s="2" t="inlineStr"/>
      <c r="C55" s="3" t="inlineStr">
        <is>
          <t>070942005142</t>
        </is>
      </c>
      <c r="D55" s="2" t="inlineStr">
        <is>
          <t>GUM ESC DENTAL MIRACULOUS MANUAL 2UN</t>
        </is>
      </c>
      <c r="E55" s="4" t="n">
        <v>1</v>
      </c>
      <c r="F55" s="4" t="n">
        <v>1</v>
      </c>
      <c r="G55" s="4" t="n">
        <v>1</v>
      </c>
      <c r="H55" s="5" t="n">
        <v>14.2176</v>
      </c>
      <c r="I55" s="5">
        <f>G55*H55</f>
        <v/>
      </c>
      <c r="J55" s="5">
        <f>H55/E55</f>
        <v/>
      </c>
      <c r="K55" s="5" t="n">
        <v>15.265</v>
      </c>
      <c r="L55" s="5" t="n">
        <v>15.265</v>
      </c>
      <c r="M55" s="5" t="n">
        <v>15.265</v>
      </c>
      <c r="N55" s="6">
        <f>J55/M55-1</f>
        <v/>
      </c>
      <c r="O55" s="6">
        <f>J55/K55-1</f>
        <v/>
      </c>
      <c r="P55" s="2" t="inlineStr">
        <is>
          <t>OK (≤ últ. compra)</t>
        </is>
      </c>
      <c r="Q55" s="2" t="inlineStr"/>
    </row>
    <row r="56">
      <c r="A56" s="2" t="n">
        <v>554541</v>
      </c>
      <c r="B56" s="2" t="inlineStr"/>
      <c r="C56" s="3" t="inlineStr">
        <is>
          <t>7908134200040</t>
        </is>
      </c>
      <c r="D56" s="2" t="inlineStr">
        <is>
          <t>GYNOTRAN 750+200MG OVULO 1 STRIP X 7+14 DEDEIRAS</t>
        </is>
      </c>
      <c r="E56" s="4" t="n">
        <v>1</v>
      </c>
      <c r="F56" s="4" t="n">
        <v>2</v>
      </c>
      <c r="G56" s="4" t="n">
        <v>2</v>
      </c>
      <c r="H56" s="5" t="n">
        <v>87.41460000000001</v>
      </c>
      <c r="I56" s="5">
        <f>G56*H56</f>
        <v/>
      </c>
      <c r="J56" s="5">
        <f>H56/E56</f>
        <v/>
      </c>
      <c r="K56" s="5" t="n">
        <v>90.84</v>
      </c>
      <c r="L56" s="5" t="n">
        <v>84.2</v>
      </c>
      <c r="M56" s="5" t="n">
        <v>88.62666666666667</v>
      </c>
      <c r="N56" s="6">
        <f>J56/M56-1</f>
        <v/>
      </c>
      <c r="O56" s="6">
        <f>J56/K56-1</f>
        <v/>
      </c>
      <c r="P56" s="2" t="inlineStr">
        <is>
          <t>OK (≤ últ. compra)</t>
        </is>
      </c>
      <c r="Q56" s="2" t="inlineStr"/>
    </row>
    <row r="57">
      <c r="A57" s="2" t="n">
        <v>648351</v>
      </c>
      <c r="B57" s="2" t="inlineStr"/>
      <c r="C57" s="3" t="inlineStr">
        <is>
          <t>7898108640623</t>
        </is>
      </c>
      <c r="D57" s="2" t="inlineStr">
        <is>
          <t>HASTES FLEX SANCARE 75UN</t>
        </is>
      </c>
      <c r="E57" s="4" t="n">
        <v>1</v>
      </c>
      <c r="F57" s="4" t="n">
        <v>1</v>
      </c>
      <c r="G57" s="4" t="n">
        <v>1</v>
      </c>
      <c r="H57" s="5" t="n">
        <v>1.767</v>
      </c>
      <c r="I57" s="5">
        <f>G57*H57</f>
        <v/>
      </c>
      <c r="J57" s="5">
        <f>H57/E57</f>
        <v/>
      </c>
      <c r="K57" s="5" t="n">
        <v>1.8442</v>
      </c>
      <c r="L57" s="5" t="n">
        <v>1.8442</v>
      </c>
      <c r="M57" s="5" t="n">
        <v>1.8442</v>
      </c>
      <c r="N57" s="6">
        <f>J57/M57-1</f>
        <v/>
      </c>
      <c r="O57" s="6">
        <f>J57/K57-1</f>
        <v/>
      </c>
      <c r="P57" s="2" t="inlineStr">
        <is>
          <t>OK (≤ últ. compra)</t>
        </is>
      </c>
      <c r="Q57" s="2" t="inlineStr"/>
    </row>
    <row r="58">
      <c r="A58" s="2" t="n">
        <v>598351</v>
      </c>
      <c r="B58" s="2" t="inlineStr"/>
      <c r="C58" s="3" t="inlineStr">
        <is>
          <t>7896512944443</t>
        </is>
      </c>
      <c r="D58" s="2" t="inlineStr">
        <is>
          <t>HID INF GRANADO BEBE 120ML LAVANDA</t>
        </is>
      </c>
      <c r="E58" s="4" t="n">
        <v>1</v>
      </c>
      <c r="F58" s="4" t="n">
        <v>1</v>
      </c>
      <c r="G58" s="4" t="n">
        <v>1</v>
      </c>
      <c r="H58" s="5" t="n">
        <v>21.32</v>
      </c>
      <c r="I58" s="5">
        <f>G58*H58</f>
        <v/>
      </c>
      <c r="J58" s="5">
        <f>H58/E58</f>
        <v/>
      </c>
      <c r="K58" s="5" t="n">
        <v>21.65</v>
      </c>
      <c r="L58" s="5" t="n">
        <v>21.65</v>
      </c>
      <c r="M58" s="5" t="n">
        <v>21.65</v>
      </c>
      <c r="N58" s="6">
        <f>J58/M58-1</f>
        <v/>
      </c>
      <c r="O58" s="6">
        <f>J58/K58-1</f>
        <v/>
      </c>
      <c r="P58" s="2" t="inlineStr">
        <is>
          <t>OK (≤ últ. compra)</t>
        </is>
      </c>
      <c r="Q58" s="2" t="inlineStr"/>
    </row>
    <row r="59">
      <c r="A59" s="2" t="n">
        <v>284521</v>
      </c>
      <c r="B59" s="2" t="inlineStr"/>
      <c r="C59" s="3" t="inlineStr">
        <is>
          <t>7891058002657</t>
        </is>
      </c>
      <c r="D59" s="2" t="inlineStr">
        <is>
          <t>HIDROCLOROTIAZIDA 25MG CX 30 COMP</t>
        </is>
      </c>
      <c r="E59" s="4" t="n">
        <v>1</v>
      </c>
      <c r="F59" s="4" t="n">
        <v>75</v>
      </c>
      <c r="G59" s="4" t="n">
        <v>75</v>
      </c>
      <c r="H59" s="5" t="n">
        <v>2.434242</v>
      </c>
      <c r="I59" s="5">
        <f>G59*H59</f>
        <v/>
      </c>
      <c r="J59" s="5">
        <f>H59/E59</f>
        <v/>
      </c>
      <c r="K59" s="5" t="n">
        <v>2.38</v>
      </c>
      <c r="L59" s="5" t="n">
        <v>0.8065</v>
      </c>
      <c r="M59" s="5" t="n">
        <v>1.8555</v>
      </c>
      <c r="N59" s="6">
        <f>J59/M59-1</f>
        <v/>
      </c>
      <c r="O59" s="6">
        <f>J59/K59-1</f>
        <v/>
      </c>
      <c r="P59" s="2" t="inlineStr">
        <is>
          <t>REAJUSTE +2.3% vs últ. (≤4%)</t>
        </is>
      </c>
      <c r="Q59" s="2" t="inlineStr"/>
    </row>
    <row r="60">
      <c r="A60" s="2" t="n">
        <v>406241</v>
      </c>
      <c r="B60" s="2" t="inlineStr"/>
      <c r="C60" s="3" t="inlineStr">
        <is>
          <t>7897411601505</t>
        </is>
      </c>
      <c r="D60" s="2" t="inlineStr">
        <is>
          <t>HIRUDOID 3MG/G GEL BG X 40G</t>
        </is>
      </c>
      <c r="E60" s="4" t="n">
        <v>1</v>
      </c>
      <c r="F60" s="4" t="n">
        <v>2</v>
      </c>
      <c r="G60" s="4" t="n">
        <v>2</v>
      </c>
      <c r="H60" s="5" t="n">
        <v>32.016</v>
      </c>
      <c r="I60" s="5">
        <f>G60*H60</f>
        <v/>
      </c>
      <c r="J60" s="5">
        <f>H60/E60</f>
        <v/>
      </c>
      <c r="K60" s="5" t="n">
        <v>32.92</v>
      </c>
      <c r="L60" s="5" t="n">
        <v>28.79</v>
      </c>
      <c r="M60" s="5" t="n">
        <v>31.54333333333333</v>
      </c>
      <c r="N60" s="6">
        <f>J60/M60-1</f>
        <v/>
      </c>
      <c r="O60" s="6">
        <f>J60/K60-1</f>
        <v/>
      </c>
      <c r="P60" s="2" t="inlineStr">
        <is>
          <t>OK (≤ últ. compra)</t>
        </is>
      </c>
      <c r="Q60" s="2" t="inlineStr"/>
    </row>
    <row r="61">
      <c r="A61" s="2" t="n">
        <v>406261</v>
      </c>
      <c r="B61" s="2" t="inlineStr"/>
      <c r="C61" s="3" t="inlineStr">
        <is>
          <t>7897411601567</t>
        </is>
      </c>
      <c r="D61" s="2" t="inlineStr">
        <is>
          <t>HIRUDOID 5MG/G POM BG X 40G</t>
        </is>
      </c>
      <c r="E61" s="4" t="n">
        <v>1</v>
      </c>
      <c r="F61" s="4" t="n">
        <v>1</v>
      </c>
      <c r="G61" s="4" t="n">
        <v>1</v>
      </c>
      <c r="H61" s="5" t="n">
        <v>35.0592</v>
      </c>
      <c r="I61" s="5">
        <f>G61*H61</f>
        <v/>
      </c>
      <c r="J61" s="5">
        <f>H61/E61</f>
        <v/>
      </c>
      <c r="K61" s="5" t="n">
        <v>36.05</v>
      </c>
      <c r="L61" s="5" t="n">
        <v>31.52</v>
      </c>
      <c r="M61" s="5" t="n">
        <v>34.415</v>
      </c>
      <c r="N61" s="6">
        <f>J61/M61-1</f>
        <v/>
      </c>
      <c r="O61" s="6">
        <f>J61/K61-1</f>
        <v/>
      </c>
      <c r="P61" s="2" t="inlineStr">
        <is>
          <t>OK (≤ últ. compra)</t>
        </is>
      </c>
      <c r="Q61" s="2" t="inlineStr"/>
    </row>
    <row r="62">
      <c r="A62" s="2" t="n">
        <v>646171</v>
      </c>
      <c r="B62" s="2" t="inlineStr"/>
      <c r="C62" s="3" t="inlineStr">
        <is>
          <t>7899941202269</t>
        </is>
      </c>
      <c r="D62" s="2" t="inlineStr">
        <is>
          <t>HORUS MAX TITANIUM FRUTAS VERMELHAS POTE 150G</t>
        </is>
      </c>
      <c r="E62" s="4" t="n">
        <v>1</v>
      </c>
      <c r="F62" s="4" t="n">
        <v>3</v>
      </c>
      <c r="G62" s="4" t="n">
        <v>3</v>
      </c>
      <c r="H62" s="5" t="n">
        <v>38.09</v>
      </c>
      <c r="I62" s="5">
        <f>G62*H62</f>
        <v/>
      </c>
      <c r="J62" s="5">
        <f>H62/E62</f>
        <v/>
      </c>
      <c r="K62" s="5" t="n">
        <v>59.9</v>
      </c>
      <c r="L62" s="5" t="n">
        <v>59.9</v>
      </c>
      <c r="M62" s="5" t="n">
        <v>59.9</v>
      </c>
      <c r="N62" s="6">
        <f>J62/M62-1</f>
        <v/>
      </c>
      <c r="O62" s="6">
        <f>J62/K62-1</f>
        <v/>
      </c>
      <c r="P62" s="2" t="inlineStr">
        <is>
          <t>OK (≤ últ. compra)</t>
        </is>
      </c>
      <c r="Q62" s="2" t="inlineStr"/>
    </row>
    <row r="63">
      <c r="A63" s="2" t="n">
        <v>637531</v>
      </c>
      <c r="B63" s="2" t="inlineStr"/>
      <c r="C63" s="3" t="inlineStr">
        <is>
          <t>7897211100192</t>
        </is>
      </c>
      <c r="D63" s="2" t="inlineStr">
        <is>
          <t>K-Y GEL LUBRIF INTIMO 50G</t>
        </is>
      </c>
      <c r="E63" s="4" t="n">
        <v>1</v>
      </c>
      <c r="F63" s="4" t="n">
        <v>3</v>
      </c>
      <c r="G63" s="4" t="n">
        <v>3</v>
      </c>
      <c r="H63" s="5" t="n">
        <v>19.3</v>
      </c>
      <c r="I63" s="5">
        <f>G63*H63</f>
        <v/>
      </c>
      <c r="J63" s="5">
        <f>H63/E63</f>
        <v/>
      </c>
      <c r="K63" s="5" t="n">
        <v>18.53</v>
      </c>
      <c r="L63" s="5" t="n">
        <v>18.53</v>
      </c>
      <c r="M63" s="5" t="n">
        <v>18.53</v>
      </c>
      <c r="N63" s="6">
        <f>J63/M63-1</f>
        <v/>
      </c>
      <c r="O63" s="6">
        <f>J63/K63-1</f>
        <v/>
      </c>
      <c r="P63" s="2" t="inlineStr">
        <is>
          <t>REAJUSTE +4.2% vs média (≤6%)</t>
        </is>
      </c>
      <c r="Q63" s="2" t="inlineStr"/>
    </row>
    <row r="64">
      <c r="A64" s="2" t="n">
        <v>400901</v>
      </c>
      <c r="B64" s="2" t="inlineStr"/>
      <c r="C64" s="3" t="inlineStr">
        <is>
          <t>7896641804397</t>
        </is>
      </c>
      <c r="D64" s="2" t="inlineStr">
        <is>
          <t>KALOBA 825MG/ML SOL ORAL FR 50ML</t>
        </is>
      </c>
      <c r="E64" s="4" t="n">
        <v>1</v>
      </c>
      <c r="F64" s="4" t="n">
        <v>1</v>
      </c>
      <c r="G64" s="4" t="n">
        <v>1</v>
      </c>
      <c r="H64" s="5" t="n">
        <v>124.8096</v>
      </c>
      <c r="I64" s="5">
        <f>G64*H64</f>
        <v/>
      </c>
      <c r="J64" s="5">
        <f>H64/E64</f>
        <v/>
      </c>
      <c r="K64" s="5" t="n">
        <v>128.35</v>
      </c>
      <c r="L64" s="5" t="n">
        <v>111.97</v>
      </c>
      <c r="M64" s="5" t="n">
        <v>121.54</v>
      </c>
      <c r="N64" s="6">
        <f>J64/M64-1</f>
        <v/>
      </c>
      <c r="O64" s="6">
        <f>J64/K64-1</f>
        <v/>
      </c>
      <c r="P64" s="2" t="inlineStr">
        <is>
          <t>OK (≤ últ. compra)</t>
        </is>
      </c>
      <c r="Q64" s="2" t="inlineStr"/>
    </row>
    <row r="65">
      <c r="A65" s="2" t="n">
        <v>677701</v>
      </c>
      <c r="B65" s="2" t="inlineStr"/>
      <c r="C65" s="3" t="inlineStr">
        <is>
          <t>7891150103801</t>
        </is>
      </c>
      <c r="D65" s="2" t="inlineStr">
        <is>
          <t>KIT SH+COND DOVE HIDRAT+HIA 350ML+175ML</t>
        </is>
      </c>
      <c r="E65" s="4" t="n">
        <v>1</v>
      </c>
      <c r="F65" s="4" t="n">
        <v>1</v>
      </c>
      <c r="G65" s="4" t="n">
        <v>1</v>
      </c>
      <c r="H65" s="5" t="n">
        <v>21.52</v>
      </c>
      <c r="I65" s="5">
        <f>G65*H65</f>
        <v/>
      </c>
      <c r="J65" s="5">
        <f>H65/E65</f>
        <v/>
      </c>
      <c r="K65" s="5" t="n">
        <v>28.36</v>
      </c>
      <c r="L65" s="5" t="n">
        <v>28.36</v>
      </c>
      <c r="M65" s="5" t="n">
        <v>28.36</v>
      </c>
      <c r="N65" s="6">
        <f>J65/M65-1</f>
        <v/>
      </c>
      <c r="O65" s="6">
        <f>J65/K65-1</f>
        <v/>
      </c>
      <c r="P65" s="2" t="inlineStr">
        <is>
          <t>OK (≤ últ. compra)</t>
        </is>
      </c>
      <c r="Q65" s="2" t="inlineStr"/>
    </row>
    <row r="66">
      <c r="A66" s="2" t="n">
        <v>22803</v>
      </c>
      <c r="B66" s="2" t="inlineStr"/>
      <c r="C66" s="3" t="inlineStr">
        <is>
          <t>4006000101354</t>
        </is>
      </c>
      <c r="D66" s="2" t="inlineStr">
        <is>
          <t>LABIAL NIVEA HIDRACOLOR VERMEL FPS30 4,8G</t>
        </is>
      </c>
      <c r="E66" s="4" t="n">
        <v>1</v>
      </c>
      <c r="F66" s="4" t="n">
        <v>1</v>
      </c>
      <c r="G66" s="4" t="n">
        <v>1</v>
      </c>
      <c r="H66" s="5" t="n">
        <v>23.3</v>
      </c>
      <c r="I66" s="5">
        <f>G66*H66</f>
        <v/>
      </c>
      <c r="J66" s="5">
        <f>H66/E66</f>
        <v/>
      </c>
      <c r="K66" s="5" t="n">
        <v>23.18</v>
      </c>
      <c r="L66" s="5" t="n">
        <v>23.18</v>
      </c>
      <c r="M66" s="5" t="n">
        <v>23.18</v>
      </c>
      <c r="N66" s="6">
        <f>J66/M66-1</f>
        <v/>
      </c>
      <c r="O66" s="6">
        <f>J66/K66-1</f>
        <v/>
      </c>
      <c r="P66" s="2" t="inlineStr">
        <is>
          <t>REAJUSTE +0.5% vs últ. (≤4%)</t>
        </is>
      </c>
      <c r="Q66" s="2" t="inlineStr"/>
    </row>
    <row r="67">
      <c r="A67" s="2" t="n">
        <v>310061</v>
      </c>
      <c r="B67" s="2" t="inlineStr"/>
      <c r="C67" s="3" t="inlineStr">
        <is>
          <t>7897411610750</t>
        </is>
      </c>
      <c r="D67" s="2" t="inlineStr">
        <is>
          <t>LACTULONA 667MG/ML XPE FR 120ML SB AMEIXA</t>
        </is>
      </c>
      <c r="E67" s="4" t="n">
        <v>1</v>
      </c>
      <c r="F67" s="4" t="n">
        <v>1</v>
      </c>
      <c r="G67" s="4" t="n">
        <v>1</v>
      </c>
      <c r="H67" s="5" t="n">
        <v>46.8384</v>
      </c>
      <c r="I67" s="5">
        <f>G67*H67</f>
        <v/>
      </c>
      <c r="J67" s="5">
        <f>H67/E67</f>
        <v/>
      </c>
      <c r="K67" s="5" t="n">
        <v>48.17</v>
      </c>
      <c r="L67" s="5" t="n">
        <v>42.12</v>
      </c>
      <c r="M67" s="5" t="n">
        <v>45.98166666666666</v>
      </c>
      <c r="N67" s="6">
        <f>J67/M67-1</f>
        <v/>
      </c>
      <c r="O67" s="6">
        <f>J67/K67-1</f>
        <v/>
      </c>
      <c r="P67" s="2" t="inlineStr">
        <is>
          <t>OK (≤ últ. compra)</t>
        </is>
      </c>
      <c r="Q67" s="2" t="inlineStr"/>
    </row>
    <row r="68">
      <c r="A68" s="2" t="n">
        <v>984</v>
      </c>
      <c r="B68" s="2" t="inlineStr"/>
      <c r="C68" s="3" t="inlineStr">
        <is>
          <t>7897947621077</t>
        </is>
      </c>
      <c r="D68" s="2" t="inlineStr">
        <is>
          <t>LAVITAN COMPLEXO B COMP REV FR X 100</t>
        </is>
      </c>
      <c r="E68" s="4" t="n">
        <v>1</v>
      </c>
      <c r="F68" s="4" t="n">
        <v>1</v>
      </c>
      <c r="G68" s="4" t="n">
        <v>1</v>
      </c>
      <c r="H68" s="5" t="n">
        <v>38.97</v>
      </c>
      <c r="I68" s="5">
        <f>G68*H68</f>
        <v/>
      </c>
      <c r="J68" s="5">
        <f>H68/E68</f>
        <v/>
      </c>
      <c r="K68" s="5" t="n"/>
      <c r="L68" s="5" t="n"/>
      <c r="M68" s="5" t="n"/>
      <c r="N68" s="6" t="n"/>
      <c r="O68" s="6" t="n"/>
      <c r="P68" s="2" t="inlineStr">
        <is>
          <t>SEM HISTÓRICO</t>
        </is>
      </c>
      <c r="Q68" s="2" t="inlineStr"/>
    </row>
    <row r="69">
      <c r="A69" s="2" t="n">
        <v>564641</v>
      </c>
      <c r="B69" s="2" t="inlineStr"/>
      <c r="C69" s="3" t="inlineStr">
        <is>
          <t>7897947601147</t>
        </is>
      </c>
      <c r="D69" s="2" t="inlineStr">
        <is>
          <t>LAVITAN MELATONINA 0,21MG CP PT 90 MOR</t>
        </is>
      </c>
      <c r="E69" s="4" t="n">
        <v>1</v>
      </c>
      <c r="F69" s="4" t="n">
        <v>13</v>
      </c>
      <c r="G69" s="4" t="n">
        <v>13</v>
      </c>
      <c r="H69" s="5" t="n">
        <v>19.18</v>
      </c>
      <c r="I69" s="5">
        <f>G69*H69</f>
        <v/>
      </c>
      <c r="J69" s="5">
        <f>H69/E69</f>
        <v/>
      </c>
      <c r="K69" s="5" t="n">
        <v>21.94</v>
      </c>
      <c r="L69" s="5" t="n">
        <v>19.59</v>
      </c>
      <c r="M69" s="5" t="n">
        <v>21.15666666666667</v>
      </c>
      <c r="N69" s="6">
        <f>J69/M69-1</f>
        <v/>
      </c>
      <c r="O69" s="6">
        <f>J69/K69-1</f>
        <v/>
      </c>
      <c r="P69" s="2" t="inlineStr">
        <is>
          <t>OK (≤ últ. compra)</t>
        </is>
      </c>
      <c r="Q69" s="2" t="inlineStr"/>
    </row>
    <row r="70">
      <c r="A70" s="2" t="n">
        <v>616351</v>
      </c>
      <c r="B70" s="2" t="inlineStr"/>
      <c r="C70" s="3" t="inlineStr">
        <is>
          <t>7897947612594</t>
        </is>
      </c>
      <c r="D70" s="2" t="inlineStr">
        <is>
          <t>LAVITAN VIT AZ MULHER COMP REV FR C/ 90</t>
        </is>
      </c>
      <c r="E70" s="4" t="n">
        <v>1</v>
      </c>
      <c r="F70" s="4" t="n">
        <v>9</v>
      </c>
      <c r="G70" s="4" t="n">
        <v>9</v>
      </c>
      <c r="H70" s="5" t="n">
        <v>22.22</v>
      </c>
      <c r="I70" s="5">
        <f>G70*H70</f>
        <v/>
      </c>
      <c r="J70" s="5">
        <f>H70/E70</f>
        <v/>
      </c>
      <c r="K70" s="5" t="n">
        <v>21.39</v>
      </c>
      <c r="L70" s="5" t="n">
        <v>21.39</v>
      </c>
      <c r="M70" s="5" t="n">
        <v>21.39</v>
      </c>
      <c r="N70" s="6">
        <f>J70/M70-1</f>
        <v/>
      </c>
      <c r="O70" s="6">
        <f>J70/K70-1</f>
        <v/>
      </c>
      <c r="P70" s="2" t="inlineStr">
        <is>
          <t>REAJUSTE +3.9% vs últ. (≤4%)</t>
        </is>
      </c>
      <c r="Q70" s="2" t="inlineStr"/>
    </row>
    <row r="71">
      <c r="A71" s="2" t="n">
        <v>646341</v>
      </c>
      <c r="B71" s="2" t="inlineStr"/>
      <c r="C71" s="3" t="inlineStr">
        <is>
          <t>7908615053097</t>
        </is>
      </c>
      <c r="D71" s="2" t="inlineStr">
        <is>
          <t>LEAVE IN ELSEVE 100ML CICATRI RENOV BNGA</t>
        </is>
      </c>
      <c r="E71" s="4" t="n">
        <v>1</v>
      </c>
      <c r="F71" s="4" t="n">
        <v>1</v>
      </c>
      <c r="G71" s="4" t="n">
        <v>1</v>
      </c>
      <c r="H71" s="5" t="n">
        <v>26.54</v>
      </c>
      <c r="I71" s="5">
        <f>G71*H71</f>
        <v/>
      </c>
      <c r="J71" s="5">
        <f>H71/E71</f>
        <v/>
      </c>
      <c r="K71" s="5" t="n">
        <v>30.07</v>
      </c>
      <c r="L71" s="5" t="n">
        <v>30.07</v>
      </c>
      <c r="M71" s="5" t="n">
        <v>30.07</v>
      </c>
      <c r="N71" s="6">
        <f>J71/M71-1</f>
        <v/>
      </c>
      <c r="O71" s="6">
        <f>J71/K71-1</f>
        <v/>
      </c>
      <c r="P71" s="2" t="inlineStr">
        <is>
          <t>OK (≤ últ. compra)</t>
        </is>
      </c>
      <c r="Q71" s="2" t="inlineStr"/>
    </row>
    <row r="72">
      <c r="A72" s="2" t="n">
        <v>640591</v>
      </c>
      <c r="B72" s="2" t="inlineStr"/>
      <c r="C72" s="3" t="inlineStr">
        <is>
          <t>7898040322540</t>
        </is>
      </c>
      <c r="D72" s="2" t="inlineStr">
        <is>
          <t>MARESIS (N.S.) SOL SPRAY FR 100ML</t>
        </is>
      </c>
      <c r="E72" s="4" t="n">
        <v>1</v>
      </c>
      <c r="F72" s="4" t="n">
        <v>1</v>
      </c>
      <c r="G72" s="4" t="n">
        <v>1</v>
      </c>
      <c r="H72" s="5" t="n">
        <v>37.7427</v>
      </c>
      <c r="I72" s="5">
        <f>G72*H72</f>
        <v/>
      </c>
      <c r="J72" s="5">
        <f>H72/E72</f>
        <v/>
      </c>
      <c r="K72" s="5" t="n">
        <v>41.6</v>
      </c>
      <c r="L72" s="5" t="n">
        <v>37.585</v>
      </c>
      <c r="M72" s="5" t="n">
        <v>40.26166666666666</v>
      </c>
      <c r="N72" s="6">
        <f>J72/M72-1</f>
        <v/>
      </c>
      <c r="O72" s="6">
        <f>J72/K72-1</f>
        <v/>
      </c>
      <c r="P72" s="2" t="inlineStr">
        <is>
          <t>OK (≤ últ. compra)</t>
        </is>
      </c>
      <c r="Q72" s="2" t="inlineStr"/>
    </row>
    <row r="73">
      <c r="A73" s="2" t="n">
        <v>665751</v>
      </c>
      <c r="B73" s="2" t="inlineStr"/>
      <c r="C73" s="3" t="inlineStr">
        <is>
          <t>7896148500600</t>
        </is>
      </c>
      <c r="D73" s="2" t="inlineStr">
        <is>
          <t>MEL DE ABELHA 200G BISNAGA FITOBEL</t>
        </is>
      </c>
      <c r="E73" s="4" t="n">
        <v>1</v>
      </c>
      <c r="F73" s="4" t="n">
        <v>2</v>
      </c>
      <c r="G73" s="4" t="n">
        <v>2</v>
      </c>
      <c r="H73" s="5" t="n">
        <v>10.54</v>
      </c>
      <c r="I73" s="5">
        <f>G73*H73</f>
        <v/>
      </c>
      <c r="J73" s="5">
        <f>H73/E73</f>
        <v/>
      </c>
      <c r="K73" s="5" t="n">
        <v>10.54</v>
      </c>
      <c r="L73" s="5" t="n">
        <v>9.43</v>
      </c>
      <c r="M73" s="5" t="n">
        <v>10.17</v>
      </c>
      <c r="N73" s="6">
        <f>J73/M73-1</f>
        <v/>
      </c>
      <c r="O73" s="6">
        <f>J73/K73-1</f>
        <v/>
      </c>
      <c r="P73" s="2" t="inlineStr">
        <is>
          <t>OK (≤ últ. compra)</t>
        </is>
      </c>
      <c r="Q73" s="2" t="inlineStr"/>
    </row>
    <row r="74">
      <c r="A74" s="2" t="n">
        <v>345701</v>
      </c>
      <c r="B74" s="2" t="inlineStr"/>
      <c r="C74" s="3" t="inlineStr">
        <is>
          <t>7896014669028</t>
        </is>
      </c>
      <c r="D74" s="2" t="inlineStr">
        <is>
          <t>METREXATO 2,5MG CX 24 COMP</t>
        </is>
      </c>
      <c r="E74" s="4" t="n">
        <v>1</v>
      </c>
      <c r="F74" s="4" t="n">
        <v>7</v>
      </c>
      <c r="G74" s="4" t="n">
        <v>7</v>
      </c>
      <c r="H74" s="5" t="n">
        <v>25.110068</v>
      </c>
      <c r="I74" s="5">
        <f>G74*H74</f>
        <v/>
      </c>
      <c r="J74" s="5">
        <f>H74/E74</f>
        <v/>
      </c>
      <c r="K74" s="5" t="n">
        <v>24.8467</v>
      </c>
      <c r="L74" s="5" t="n">
        <v>20.995</v>
      </c>
      <c r="M74" s="5" t="n">
        <v>23.38833333333334</v>
      </c>
      <c r="N74" s="6">
        <f>J74/M74-1</f>
        <v/>
      </c>
      <c r="O74" s="6">
        <f>J74/K74-1</f>
        <v/>
      </c>
      <c r="P74" s="2" t="inlineStr">
        <is>
          <t>REAJUSTE +1.1% vs últ. (≤4%)</t>
        </is>
      </c>
      <c r="Q74" s="2" t="inlineStr"/>
    </row>
    <row r="75">
      <c r="A75" s="2" t="n">
        <v>650421</v>
      </c>
      <c r="B75" s="2" t="inlineStr"/>
      <c r="C75" s="3" t="inlineStr">
        <is>
          <t>7891800666090</t>
        </is>
      </c>
      <c r="D75" s="2" t="inlineStr">
        <is>
          <t>MICROPOROSA CREMER BRANCA 2,5CMX90CM</t>
        </is>
      </c>
      <c r="E75" s="4" t="n">
        <v>1</v>
      </c>
      <c r="F75" s="4" t="n">
        <v>7</v>
      </c>
      <c r="G75" s="4" t="n">
        <v>7</v>
      </c>
      <c r="H75" s="5" t="n">
        <v>3.9382</v>
      </c>
      <c r="I75" s="5">
        <f>G75*H75</f>
        <v/>
      </c>
      <c r="J75" s="5">
        <f>H75/E75</f>
        <v/>
      </c>
      <c r="K75" s="5" t="n">
        <v>4.0517</v>
      </c>
      <c r="L75" s="5" t="n">
        <v>3.83</v>
      </c>
      <c r="M75" s="5" t="n">
        <v>3.9778</v>
      </c>
      <c r="N75" s="6">
        <f>J75/M75-1</f>
        <v/>
      </c>
      <c r="O75" s="6">
        <f>J75/K75-1</f>
        <v/>
      </c>
      <c r="P75" s="2" t="inlineStr">
        <is>
          <t>OK (≤ últ. compra)</t>
        </is>
      </c>
      <c r="Q75" s="2" t="inlineStr"/>
    </row>
    <row r="76">
      <c r="A76" s="2" t="n">
        <v>229001</v>
      </c>
      <c r="B76" s="2" t="inlineStr"/>
      <c r="C76" s="3" t="inlineStr">
        <is>
          <t>7896212429738</t>
        </is>
      </c>
      <c r="D76" s="2" t="inlineStr">
        <is>
          <t>MOTILIUM 10MG CX 30 COMP</t>
        </is>
      </c>
      <c r="E76" s="4" t="n">
        <v>1</v>
      </c>
      <c r="F76" s="4" t="n">
        <v>5</v>
      </c>
      <c r="G76" s="4" t="n">
        <v>5</v>
      </c>
      <c r="H76" s="5" t="n">
        <v>27.88</v>
      </c>
      <c r="I76" s="5">
        <f>G76*H76</f>
        <v/>
      </c>
      <c r="J76" s="5">
        <f>H76/E76</f>
        <v/>
      </c>
      <c r="K76" s="5" t="n">
        <v>28.63</v>
      </c>
      <c r="L76" s="5" t="n">
        <v>27.02</v>
      </c>
      <c r="M76" s="5" t="n">
        <v>27.89666666666666</v>
      </c>
      <c r="N76" s="6">
        <f>J76/M76-1</f>
        <v/>
      </c>
      <c r="O76" s="6">
        <f>J76/K76-1</f>
        <v/>
      </c>
      <c r="P76" s="2" t="inlineStr">
        <is>
          <t>OK (≤ últ. compra)</t>
        </is>
      </c>
      <c r="Q76" s="2" t="inlineStr">
        <is>
          <t>estoque parcial (1 un); preços divergentes entre EANs (usado menor)</t>
        </is>
      </c>
    </row>
    <row r="77">
      <c r="A77" s="2" t="n">
        <v>661311</v>
      </c>
      <c r="B77" s="2" t="inlineStr"/>
      <c r="C77" s="3" t="inlineStr">
        <is>
          <t>0618231034291</t>
        </is>
      </c>
      <c r="D77" s="2" t="inlineStr">
        <is>
          <t>MULTIVITALE VIT D 2.000UI 60CPS</t>
        </is>
      </c>
      <c r="E77" s="4" t="n">
        <v>1</v>
      </c>
      <c r="F77" s="4" t="n">
        <v>1</v>
      </c>
      <c r="G77" s="4" t="n">
        <v>1</v>
      </c>
      <c r="H77" s="5" t="n">
        <v>18.31</v>
      </c>
      <c r="I77" s="5">
        <f>G77*H77</f>
        <v/>
      </c>
      <c r="J77" s="5">
        <f>H77/E77</f>
        <v/>
      </c>
      <c r="K77" s="5" t="n">
        <v>18.31</v>
      </c>
      <c r="L77" s="5" t="n">
        <v>18.31</v>
      </c>
      <c r="M77" s="5" t="n">
        <v>18.31</v>
      </c>
      <c r="N77" s="6">
        <f>J77/M77-1</f>
        <v/>
      </c>
      <c r="O77" s="6">
        <f>J77/K77-1</f>
        <v/>
      </c>
      <c r="P77" s="2" t="inlineStr">
        <is>
          <t>OK (≤ últ. compra)</t>
        </is>
      </c>
      <c r="Q77" s="2" t="inlineStr"/>
    </row>
    <row r="78">
      <c r="A78" s="2" t="n">
        <v>651901</v>
      </c>
      <c r="B78" s="2" t="inlineStr"/>
      <c r="C78" s="3" t="inlineStr">
        <is>
          <t>7898108640050</t>
        </is>
      </c>
      <c r="D78" s="2" t="inlineStr">
        <is>
          <t>N COMPRESSA GAZES 11FIOS ESTER 5UND   SANF %DN:0.00</t>
        </is>
      </c>
      <c r="E78" s="4" t="n">
        <v>1</v>
      </c>
      <c r="F78" s="4" t="n">
        <v>1</v>
      </c>
      <c r="G78" s="4" t="n">
        <v>1</v>
      </c>
      <c r="H78" s="5" t="n">
        <v>0.8929999999999999</v>
      </c>
      <c r="I78" s="5">
        <f>G78*H78</f>
        <v/>
      </c>
      <c r="J78" s="5">
        <f>H78/E78</f>
        <v/>
      </c>
      <c r="K78" s="5" t="n">
        <v>0.92</v>
      </c>
      <c r="L78" s="5" t="n">
        <v>0.92</v>
      </c>
      <c r="M78" s="5" t="n">
        <v>0.92</v>
      </c>
      <c r="N78" s="6">
        <f>J78/M78-1</f>
        <v/>
      </c>
      <c r="O78" s="6">
        <f>J78/K78-1</f>
        <v/>
      </c>
      <c r="P78" s="2" t="inlineStr">
        <is>
          <t>OK (≤ últ. compra)</t>
        </is>
      </c>
      <c r="Q78" s="2" t="inlineStr"/>
    </row>
    <row r="79">
      <c r="A79" s="2" t="n">
        <v>669941</v>
      </c>
      <c r="B79" s="2" t="inlineStr"/>
      <c r="C79" s="3" t="inlineStr">
        <is>
          <t>7506306255678</t>
        </is>
      </c>
      <c r="D79" s="2" t="inlineStr">
        <is>
          <t>N SAB DOVE ESFOLIANTE BEAUTY SCRUB COCO 280G   UNIL %DN:0.00</t>
        </is>
      </c>
      <c r="E79" s="4" t="n">
        <v>1</v>
      </c>
      <c r="F79" s="4" t="n">
        <v>1</v>
      </c>
      <c r="G79" s="4" t="n">
        <v>1</v>
      </c>
      <c r="H79" s="5" t="n">
        <v>38.79</v>
      </c>
      <c r="I79" s="5">
        <f>G79*H79</f>
        <v/>
      </c>
      <c r="J79" s="5">
        <f>H79/E79</f>
        <v/>
      </c>
      <c r="K79" s="5" t="n">
        <v>37.43</v>
      </c>
      <c r="L79" s="5" t="n">
        <v>37.43</v>
      </c>
      <c r="M79" s="5" t="n">
        <v>37.43</v>
      </c>
      <c r="N79" s="6">
        <f>J79/M79-1</f>
        <v/>
      </c>
      <c r="O79" s="6">
        <f>J79/K79-1</f>
        <v/>
      </c>
      <c r="P79" s="2" t="inlineStr">
        <is>
          <t>REAJUSTE +3.6% vs últ. (≤4%)</t>
        </is>
      </c>
      <c r="Q79" s="2" t="inlineStr"/>
    </row>
    <row r="80">
      <c r="A80" s="2" t="n">
        <v>556401</v>
      </c>
      <c r="B80" s="2" t="inlineStr"/>
      <c r="C80" s="3" t="inlineStr">
        <is>
          <t>7896677704890</t>
        </is>
      </c>
      <c r="D80" s="2" t="inlineStr">
        <is>
          <t>NERVOCALM 250MG CX 20 COMP</t>
        </is>
      </c>
      <c r="E80" s="4" t="n">
        <v>1</v>
      </c>
      <c r="F80" s="4" t="n">
        <v>5</v>
      </c>
      <c r="G80" s="4" t="n">
        <v>5</v>
      </c>
      <c r="H80" s="5" t="n">
        <v>30.15</v>
      </c>
      <c r="I80" s="5">
        <f>G80*H80</f>
        <v/>
      </c>
      <c r="J80" s="5">
        <f>H80/E80</f>
        <v/>
      </c>
      <c r="K80" s="5" t="n">
        <v>31.33</v>
      </c>
      <c r="L80" s="5" t="n">
        <v>22.32</v>
      </c>
      <c r="M80" s="5" t="n">
        <v>28.32666666666666</v>
      </c>
      <c r="N80" s="6">
        <f>J80/M80-1</f>
        <v/>
      </c>
      <c r="O80" s="6">
        <f>J80/K80-1</f>
        <v/>
      </c>
      <c r="P80" s="2" t="inlineStr">
        <is>
          <t>OK (≤ últ. compra)</t>
        </is>
      </c>
      <c r="Q80" s="2" t="inlineStr"/>
    </row>
    <row r="81">
      <c r="A81" s="2" t="n">
        <v>358321</v>
      </c>
      <c r="B81" s="2" t="inlineStr"/>
      <c r="C81" s="3" t="inlineStr">
        <is>
          <t>7894916500333</t>
        </is>
      </c>
      <c r="D81" s="2" t="inlineStr">
        <is>
          <t>NEUTROFER 300MG FR 30 COMP</t>
        </is>
      </c>
      <c r="E81" s="4" t="n">
        <v>1</v>
      </c>
      <c r="F81" s="4" t="n">
        <v>3</v>
      </c>
      <c r="G81" s="4" t="n">
        <v>3</v>
      </c>
      <c r="H81" s="5" t="n">
        <v>47.21925</v>
      </c>
      <c r="I81" s="5">
        <f>G81*H81</f>
        <v/>
      </c>
      <c r="J81" s="5">
        <f>H81/E81</f>
        <v/>
      </c>
      <c r="K81" s="5" t="n">
        <v>45.04</v>
      </c>
      <c r="L81" s="5" t="n">
        <v>44.905</v>
      </c>
      <c r="M81" s="5" t="n">
        <v>44.995</v>
      </c>
      <c r="N81" s="6">
        <f>J81/M81-1</f>
        <v/>
      </c>
      <c r="O81" s="6">
        <f>J81/K81-1</f>
        <v/>
      </c>
      <c r="P81" s="2" t="inlineStr">
        <is>
          <t>REAJUSTE +4.9% vs média (≤6%)</t>
        </is>
      </c>
      <c r="Q81" s="2" t="inlineStr"/>
    </row>
    <row r="82">
      <c r="A82" s="2" t="n">
        <v>443</v>
      </c>
      <c r="B82" s="2" t="inlineStr"/>
      <c r="C82" s="3" t="inlineStr">
        <is>
          <t>7891010704490</t>
        </is>
      </c>
      <c r="D82" s="2" t="inlineStr">
        <is>
          <t>NEUTROG D CLEAN ESF ENER 100G</t>
        </is>
      </c>
      <c r="E82" s="4" t="n">
        <v>1</v>
      </c>
      <c r="F82" s="4" t="n">
        <v>1</v>
      </c>
      <c r="G82" s="4" t="n">
        <v>1</v>
      </c>
      <c r="H82" s="5" t="n">
        <v>33.46</v>
      </c>
      <c r="I82" s="5">
        <f>G82*H82</f>
        <v/>
      </c>
      <c r="J82" s="5">
        <f>H82/E82</f>
        <v/>
      </c>
      <c r="K82" s="5" t="n">
        <v>33.105</v>
      </c>
      <c r="L82" s="5" t="n">
        <v>33.105</v>
      </c>
      <c r="M82" s="5" t="n">
        <v>33.105</v>
      </c>
      <c r="N82" s="6">
        <f>J82/M82-1</f>
        <v/>
      </c>
      <c r="O82" s="6">
        <f>J82/K82-1</f>
        <v/>
      </c>
      <c r="P82" s="2" t="inlineStr">
        <is>
          <t>REAJUSTE +1.1% vs últ. (≤4%)</t>
        </is>
      </c>
      <c r="Q82" s="2" t="inlineStr"/>
    </row>
    <row r="83">
      <c r="A83" s="2" t="n">
        <v>563181</v>
      </c>
      <c r="B83" s="2" t="inlineStr"/>
      <c r="C83" s="3" t="inlineStr">
        <is>
          <t>7896523224435</t>
        </is>
      </c>
      <c r="D83" s="2" t="inlineStr">
        <is>
          <t>OLEO MINERAL FR 100 ML</t>
        </is>
      </c>
      <c r="E83" s="4" t="n">
        <v>1</v>
      </c>
      <c r="F83" s="4" t="n">
        <v>7</v>
      </c>
      <c r="G83" s="4" t="n">
        <v>7</v>
      </c>
      <c r="H83" s="5" t="n">
        <v>7.2</v>
      </c>
      <c r="I83" s="5">
        <f>G83*H83</f>
        <v/>
      </c>
      <c r="J83" s="5">
        <f>H83/E83</f>
        <v/>
      </c>
      <c r="K83" s="5" t="n">
        <v>6.99</v>
      </c>
      <c r="L83" s="5" t="n">
        <v>6.99</v>
      </c>
      <c r="M83" s="5" t="n">
        <v>6.989999999999999</v>
      </c>
      <c r="N83" s="6">
        <f>J83/M83-1</f>
        <v/>
      </c>
      <c r="O83" s="6">
        <f>J83/K83-1</f>
        <v/>
      </c>
      <c r="P83" s="2" t="inlineStr">
        <is>
          <t>REAJUSTE +3.0% vs últ. (≤4%)</t>
        </is>
      </c>
      <c r="Q83" s="2" t="inlineStr"/>
    </row>
    <row r="84">
      <c r="A84" s="2" t="n">
        <v>609511</v>
      </c>
      <c r="B84" s="2" t="inlineStr"/>
      <c r="C84" s="3" t="inlineStr">
        <is>
          <t>7897316806388</t>
        </is>
      </c>
      <c r="D84" s="2" t="inlineStr">
        <is>
          <t>OPTIVE FR 15ML</t>
        </is>
      </c>
      <c r="E84" s="4" t="n">
        <v>1</v>
      </c>
      <c r="F84" s="4" t="n">
        <v>1</v>
      </c>
      <c r="G84" s="4" t="n">
        <v>1</v>
      </c>
      <c r="H84" s="5" t="n">
        <v>65.136</v>
      </c>
      <c r="I84" s="5">
        <f>G84*H84</f>
        <v/>
      </c>
      <c r="J84" s="5">
        <f>H84/E84</f>
        <v/>
      </c>
      <c r="K84" s="5" t="n">
        <v>81.22</v>
      </c>
      <c r="L84" s="5" t="n">
        <v>73.28</v>
      </c>
      <c r="M84" s="5" t="n">
        <v>78.57333333333334</v>
      </c>
      <c r="N84" s="6">
        <f>J84/M84-1</f>
        <v/>
      </c>
      <c r="O84" s="6">
        <f>J84/K84-1</f>
        <v/>
      </c>
      <c r="P84" s="2" t="inlineStr">
        <is>
          <t>OK (≤ últ. compra)</t>
        </is>
      </c>
      <c r="Q84" s="2" t="inlineStr"/>
    </row>
    <row r="85">
      <c r="A85" s="2" t="n">
        <v>630971</v>
      </c>
      <c r="B85" s="2" t="inlineStr"/>
      <c r="C85" s="3" t="inlineStr">
        <is>
          <t>7896902209749</t>
        </is>
      </c>
      <c r="D85" s="2" t="inlineStr">
        <is>
          <t>PEDRA HUME FARMAX 30ML C/GLIC SPRAY</t>
        </is>
      </c>
      <c r="E85" s="4" t="n">
        <v>1</v>
      </c>
      <c r="F85" s="4" t="n">
        <v>2</v>
      </c>
      <c r="G85" s="4" t="n">
        <v>2</v>
      </c>
      <c r="H85" s="5" t="n">
        <v>7.04</v>
      </c>
      <c r="I85" s="5">
        <f>G85*H85</f>
        <v/>
      </c>
      <c r="J85" s="5">
        <f>H85/E85</f>
        <v/>
      </c>
      <c r="K85" s="5" t="n">
        <v>7.04</v>
      </c>
      <c r="L85" s="5" t="n">
        <v>7.04</v>
      </c>
      <c r="M85" s="5" t="n">
        <v>7.04</v>
      </c>
      <c r="N85" s="6">
        <f>J85/M85-1</f>
        <v/>
      </c>
      <c r="O85" s="6">
        <f>J85/K85-1</f>
        <v/>
      </c>
      <c r="P85" s="2" t="inlineStr">
        <is>
          <t>OK (≤ últ. compra)</t>
        </is>
      </c>
      <c r="Q85" s="2" t="inlineStr"/>
    </row>
    <row r="86">
      <c r="A86" s="2" t="n">
        <v>319641</v>
      </c>
      <c r="B86" s="2" t="inlineStr"/>
      <c r="C86" s="3" t="inlineStr">
        <is>
          <t>7891058003562</t>
        </is>
      </c>
      <c r="D86" s="2" t="inlineStr">
        <is>
          <t>PURAN T4 37,5MCG CX 30 COMP</t>
        </is>
      </c>
      <c r="E86" s="4" t="n">
        <v>1</v>
      </c>
      <c r="F86" s="4" t="n">
        <v>9</v>
      </c>
      <c r="G86" s="4" t="n">
        <v>9</v>
      </c>
      <c r="H86" s="5" t="n">
        <v>8.487500000000001</v>
      </c>
      <c r="I86" s="5">
        <f>G86*H86</f>
        <v/>
      </c>
      <c r="J86" s="5">
        <f>H86/E86</f>
        <v/>
      </c>
      <c r="K86" s="5" t="n">
        <v>8.255000000000001</v>
      </c>
      <c r="L86" s="5" t="n">
        <v>7.6</v>
      </c>
      <c r="M86" s="5" t="n">
        <v>7.988333333333334</v>
      </c>
      <c r="N86" s="6">
        <f>J86/M86-1</f>
        <v/>
      </c>
      <c r="O86" s="6">
        <f>J86/K86-1</f>
        <v/>
      </c>
      <c r="P86" s="2" t="inlineStr">
        <is>
          <t>REAJUSTE +2.8% vs últ. (≤4%)</t>
        </is>
      </c>
      <c r="Q86" s="2" t="inlineStr"/>
    </row>
    <row r="87">
      <c r="A87" s="2" t="n">
        <v>604551</v>
      </c>
      <c r="B87" s="2" t="inlineStr"/>
      <c r="C87" s="3" t="inlineStr">
        <is>
          <t>7891010253691</t>
        </is>
      </c>
      <c r="D87" s="2" t="inlineStr">
        <is>
          <t>PV - SAB.LIQ.JOHN.K.200ML LIMP.S.PO</t>
        </is>
      </c>
      <c r="E87" s="4" t="n">
        <v>1</v>
      </c>
      <c r="F87" s="4" t="n">
        <v>3</v>
      </c>
      <c r="G87" s="4" t="n">
        <v>3</v>
      </c>
      <c r="H87" s="5" t="n">
        <v>19.5</v>
      </c>
      <c r="I87" s="5">
        <f>G87*H87</f>
        <v/>
      </c>
      <c r="J87" s="5">
        <f>H87/E87</f>
        <v/>
      </c>
      <c r="K87" s="5" t="n">
        <v>19.5333</v>
      </c>
      <c r="L87" s="5" t="n">
        <v>19.5333</v>
      </c>
      <c r="M87" s="5" t="n">
        <v>19.5333</v>
      </c>
      <c r="N87" s="6">
        <f>J87/M87-1</f>
        <v/>
      </c>
      <c r="O87" s="6">
        <f>J87/K87-1</f>
        <v/>
      </c>
      <c r="P87" s="2" t="inlineStr">
        <is>
          <t>OK (≤ últ. compra)</t>
        </is>
      </c>
      <c r="Q87" s="2" t="inlineStr">
        <is>
          <t>estoque parcial (1 un)</t>
        </is>
      </c>
    </row>
    <row r="88">
      <c r="A88" s="2" t="n">
        <v>662901</v>
      </c>
      <c r="B88" s="2" t="inlineStr"/>
      <c r="C88" s="3" t="inlineStr">
        <is>
          <t>7897947619548</t>
        </is>
      </c>
      <c r="D88" s="2" t="inlineStr">
        <is>
          <t>PVV - LAVITAN OMEGA COMPLEX CAP GEL PT X 30 SF</t>
        </is>
      </c>
      <c r="E88" s="4" t="n">
        <v>1</v>
      </c>
      <c r="F88" s="4" t="n">
        <v>1</v>
      </c>
      <c r="G88" s="4" t="n">
        <v>1</v>
      </c>
      <c r="H88" s="5" t="n">
        <v>50.46</v>
      </c>
      <c r="I88" s="5">
        <f>G88*H88</f>
        <v/>
      </c>
      <c r="J88" s="5">
        <f>H88/E88</f>
        <v/>
      </c>
      <c r="K88" s="5" t="n"/>
      <c r="L88" s="5" t="n"/>
      <c r="M88" s="5" t="n"/>
      <c r="N88" s="6" t="n"/>
      <c r="O88" s="6" t="n"/>
      <c r="P88" s="2" t="inlineStr">
        <is>
          <t>SEM HISTÓRICO</t>
        </is>
      </c>
      <c r="Q88" s="2" t="inlineStr"/>
    </row>
    <row r="89">
      <c r="A89" s="2" t="n">
        <v>598361</v>
      </c>
      <c r="B89" s="2" t="inlineStr"/>
      <c r="C89" s="3" t="inlineStr">
        <is>
          <t>7896902201255</t>
        </is>
      </c>
      <c r="D89" s="2" t="inlineStr">
        <is>
          <t>REMOV ESM FARMAX 100ML S/ACET VITAM</t>
        </is>
      </c>
      <c r="E89" s="4" t="n">
        <v>1</v>
      </c>
      <c r="F89" s="4" t="n">
        <v>3</v>
      </c>
      <c r="G89" s="4" t="n">
        <v>3</v>
      </c>
      <c r="H89" s="5" t="n">
        <v>3.79</v>
      </c>
      <c r="I89" s="5">
        <f>G89*H89</f>
        <v/>
      </c>
      <c r="J89" s="5">
        <f>H89/E89</f>
        <v/>
      </c>
      <c r="K89" s="5" t="n">
        <v>4.56</v>
      </c>
      <c r="L89" s="5" t="n">
        <v>4.56</v>
      </c>
      <c r="M89" s="5" t="n">
        <v>4.56</v>
      </c>
      <c r="N89" s="6">
        <f>J89/M89-1</f>
        <v/>
      </c>
      <c r="O89" s="6">
        <f>J89/K89-1</f>
        <v/>
      </c>
      <c r="P89" s="2" t="inlineStr">
        <is>
          <t>OK (≤ últ. compra)</t>
        </is>
      </c>
      <c r="Q89" s="2" t="inlineStr"/>
    </row>
    <row r="90">
      <c r="A90" s="2" t="n">
        <v>607761</v>
      </c>
      <c r="B90" s="2" t="inlineStr"/>
      <c r="C90" s="3" t="inlineStr">
        <is>
          <t>7894650009567</t>
        </is>
      </c>
      <c r="D90" s="2" t="inlineStr">
        <is>
          <t>REP OFF FAMILY SPRAY 170ML</t>
        </is>
      </c>
      <c r="E90" s="4" t="n">
        <v>1</v>
      </c>
      <c r="F90" s="4" t="n">
        <v>2</v>
      </c>
      <c r="G90" s="4" t="n">
        <v>2</v>
      </c>
      <c r="H90" s="5" t="n">
        <v>17.2</v>
      </c>
      <c r="I90" s="5">
        <f>G90*H90</f>
        <v/>
      </c>
      <c r="J90" s="5">
        <f>H90/E90</f>
        <v/>
      </c>
      <c r="K90" s="5" t="n">
        <v>18.38</v>
      </c>
      <c r="L90" s="5" t="n">
        <v>18.38</v>
      </c>
      <c r="M90" s="5" t="n">
        <v>18.38</v>
      </c>
      <c r="N90" s="6">
        <f>J90/M90-1</f>
        <v/>
      </c>
      <c r="O90" s="6">
        <f>J90/K90-1</f>
        <v/>
      </c>
      <c r="P90" s="2" t="inlineStr">
        <is>
          <t>OK (≤ últ. compra)</t>
        </is>
      </c>
      <c r="Q90" s="2" t="inlineStr"/>
    </row>
    <row r="91">
      <c r="A91" s="2" t="n">
        <v>544781</v>
      </c>
      <c r="B91" s="2" t="inlineStr"/>
      <c r="C91" s="3" t="inlineStr">
        <is>
          <t>7894650005712</t>
        </is>
      </c>
      <c r="D91" s="2" t="inlineStr">
        <is>
          <t>REP OFF KIDS LOCAO 117ML</t>
        </is>
      </c>
      <c r="E91" s="4" t="n">
        <v>1</v>
      </c>
      <c r="F91" s="4" t="n">
        <v>3</v>
      </c>
      <c r="G91" s="4" t="n">
        <v>3</v>
      </c>
      <c r="H91" s="5" t="n">
        <v>19.84</v>
      </c>
      <c r="I91" s="5">
        <f>G91*H91</f>
        <v/>
      </c>
      <c r="J91" s="5">
        <f>H91/E91</f>
        <v/>
      </c>
      <c r="K91" s="5" t="n">
        <v>20.92</v>
      </c>
      <c r="L91" s="5" t="n">
        <v>20.92</v>
      </c>
      <c r="M91" s="5" t="n">
        <v>20.92</v>
      </c>
      <c r="N91" s="6">
        <f>J91/M91-1</f>
        <v/>
      </c>
      <c r="O91" s="6">
        <f>J91/K91-1</f>
        <v/>
      </c>
      <c r="P91" s="2" t="inlineStr">
        <is>
          <t>OK (≤ últ. compra)</t>
        </is>
      </c>
      <c r="Q91" s="2" t="inlineStr"/>
    </row>
    <row r="92">
      <c r="A92" s="2" t="n">
        <v>623921</v>
      </c>
      <c r="B92" s="2" t="inlineStr"/>
      <c r="C92" s="3" t="inlineStr">
        <is>
          <t>7509546678832</t>
        </is>
      </c>
      <c r="D92" s="2" t="inlineStr">
        <is>
          <t>SAB BARRA PROTEX CARVAO 85G</t>
        </is>
      </c>
      <c r="E92" s="4" t="n">
        <v>1</v>
      </c>
      <c r="F92" s="4" t="n">
        <v>2</v>
      </c>
      <c r="G92" s="4" t="n">
        <v>2</v>
      </c>
      <c r="H92" s="5" t="n">
        <v>3.55</v>
      </c>
      <c r="I92" s="5">
        <f>G92*H92</f>
        <v/>
      </c>
      <c r="J92" s="5">
        <f>H92/E92</f>
        <v/>
      </c>
      <c r="K92" s="5" t="n">
        <v>3.75</v>
      </c>
      <c r="L92" s="5" t="n">
        <v>3.75</v>
      </c>
      <c r="M92" s="5" t="n">
        <v>3.75</v>
      </c>
      <c r="N92" s="6">
        <f>J92/M92-1</f>
        <v/>
      </c>
      <c r="O92" s="6">
        <f>J92/K92-1</f>
        <v/>
      </c>
      <c r="P92" s="2" t="inlineStr">
        <is>
          <t>OK (≤ últ. compra)</t>
        </is>
      </c>
      <c r="Q92" s="2" t="inlineStr"/>
    </row>
    <row r="93">
      <c r="A93" s="2" t="n">
        <v>843</v>
      </c>
      <c r="B93" s="2" t="inlineStr"/>
      <c r="C93" s="3" t="inlineStr">
        <is>
          <t>7891010781668</t>
        </is>
      </c>
      <c r="D93" s="2" t="inlineStr">
        <is>
          <t>SAB J J BABY HORA DO SONO 80G</t>
        </is>
      </c>
      <c r="E93" s="4" t="n">
        <v>1</v>
      </c>
      <c r="F93" s="4" t="n">
        <v>1</v>
      </c>
      <c r="G93" s="4" t="n">
        <v>1</v>
      </c>
      <c r="H93" s="5" t="n">
        <v>5.63</v>
      </c>
      <c r="I93" s="5">
        <f>G93*H93</f>
        <v/>
      </c>
      <c r="J93" s="5">
        <f>H93/E93</f>
        <v/>
      </c>
      <c r="K93" s="5" t="n">
        <v>5.79</v>
      </c>
      <c r="L93" s="5" t="n">
        <v>5.79</v>
      </c>
      <c r="M93" s="5" t="n">
        <v>5.79</v>
      </c>
      <c r="N93" s="6">
        <f>J93/M93-1</f>
        <v/>
      </c>
      <c r="O93" s="6">
        <f>J93/K93-1</f>
        <v/>
      </c>
      <c r="P93" s="2" t="inlineStr">
        <is>
          <t>OK (≤ últ. compra)</t>
        </is>
      </c>
      <c r="Q93" s="2" t="inlineStr"/>
    </row>
    <row r="94">
      <c r="A94" s="2" t="n">
        <v>571261</v>
      </c>
      <c r="B94" s="2" t="inlineStr"/>
      <c r="C94" s="3" t="inlineStr">
        <is>
          <t>7891024027257</t>
        </is>
      </c>
      <c r="D94" s="2" t="inlineStr">
        <is>
          <t>SAB LIQ PROTEX 200ML REF VIT E</t>
        </is>
      </c>
      <c r="E94" s="4" t="n">
        <v>1</v>
      </c>
      <c r="F94" s="4" t="n">
        <v>2</v>
      </c>
      <c r="G94" s="4" t="n">
        <v>2</v>
      </c>
      <c r="H94" s="5" t="n">
        <v>7.75</v>
      </c>
      <c r="I94" s="5">
        <f>G94*H94</f>
        <v/>
      </c>
      <c r="J94" s="5">
        <f>H94/E94</f>
        <v/>
      </c>
      <c r="K94" s="5" t="n">
        <v>7.59</v>
      </c>
      <c r="L94" s="5" t="n">
        <v>7.31</v>
      </c>
      <c r="M94" s="5" t="n">
        <v>7.496666666666666</v>
      </c>
      <c r="N94" s="6">
        <f>J94/M94-1</f>
        <v/>
      </c>
      <c r="O94" s="6">
        <f>J94/K94-1</f>
        <v/>
      </c>
      <c r="P94" s="2" t="inlineStr">
        <is>
          <t>REAJUSTE +2.1% vs últ. (≤4%)</t>
        </is>
      </c>
      <c r="Q94" s="2" t="inlineStr"/>
    </row>
    <row r="95">
      <c r="A95" s="2" t="n">
        <v>623971</v>
      </c>
      <c r="B95" s="2" t="inlineStr"/>
      <c r="C95" s="3" t="inlineStr">
        <is>
          <t>7509546665986</t>
        </is>
      </c>
      <c r="D95" s="2" t="inlineStr">
        <is>
          <t>SAB LIQ PROTEX PUM ERVA DOCE 400ML</t>
        </is>
      </c>
      <c r="E95" s="4" t="n">
        <v>1</v>
      </c>
      <c r="F95" s="4" t="n">
        <v>1</v>
      </c>
      <c r="G95" s="4" t="n">
        <v>1</v>
      </c>
      <c r="H95" s="5" t="n">
        <v>16.67</v>
      </c>
      <c r="I95" s="5">
        <f>G95*H95</f>
        <v/>
      </c>
      <c r="J95" s="5">
        <f>H95/E95</f>
        <v/>
      </c>
      <c r="K95" s="5" t="n">
        <v>19.53</v>
      </c>
      <c r="L95" s="5" t="n">
        <v>19.53</v>
      </c>
      <c r="M95" s="5" t="n">
        <v>19.53</v>
      </c>
      <c r="N95" s="6">
        <f>J95/M95-1</f>
        <v/>
      </c>
      <c r="O95" s="6">
        <f>J95/K95-1</f>
        <v/>
      </c>
      <c r="P95" s="2" t="inlineStr">
        <is>
          <t>OK (≤ últ. compra)</t>
        </is>
      </c>
      <c r="Q95" s="2" t="inlineStr"/>
    </row>
    <row r="96">
      <c r="A96" s="2" t="n">
        <v>689301</v>
      </c>
      <c r="B96" s="2" t="inlineStr"/>
      <c r="C96" s="3" t="inlineStr">
        <is>
          <t>7891150083042</t>
        </is>
      </c>
      <c r="D96" s="2" t="inlineStr">
        <is>
          <t>SAB LIQ REXONA ANTIBAC FRESH 250ML</t>
        </is>
      </c>
      <c r="E96" s="4" t="n">
        <v>1</v>
      </c>
      <c r="F96" s="4" t="n">
        <v>2</v>
      </c>
      <c r="G96" s="4" t="n">
        <v>2</v>
      </c>
      <c r="H96" s="5" t="n">
        <v>8.529999999999999</v>
      </c>
      <c r="I96" s="5">
        <f>G96*H96</f>
        <v/>
      </c>
      <c r="J96" s="5">
        <f>H96/E96</f>
        <v/>
      </c>
      <c r="K96" s="5" t="n">
        <v>9.58</v>
      </c>
      <c r="L96" s="5" t="n">
        <v>9.58</v>
      </c>
      <c r="M96" s="5" t="n">
        <v>9.58</v>
      </c>
      <c r="N96" s="6">
        <f>J96/M96-1</f>
        <v/>
      </c>
      <c r="O96" s="6">
        <f>J96/K96-1</f>
        <v/>
      </c>
      <c r="P96" s="2" t="inlineStr">
        <is>
          <t>OK (≤ últ. compra)</t>
        </is>
      </c>
      <c r="Q96" s="2" t="inlineStr"/>
    </row>
    <row r="97">
      <c r="A97" s="2" t="n">
        <v>598481</v>
      </c>
      <c r="B97" s="2" t="inlineStr"/>
      <c r="C97" s="3" t="inlineStr">
        <is>
          <t>7891024035313</t>
        </is>
      </c>
      <c r="D97" s="2" t="inlineStr">
        <is>
          <t>SAB PROTEX MEN SPORT 85G</t>
        </is>
      </c>
      <c r="E97" s="4" t="n">
        <v>1</v>
      </c>
      <c r="F97" s="4" t="n">
        <v>1</v>
      </c>
      <c r="G97" s="4" t="n">
        <v>1</v>
      </c>
      <c r="H97" s="5" t="n">
        <v>3.55</v>
      </c>
      <c r="I97" s="5">
        <f>G97*H97</f>
        <v/>
      </c>
      <c r="J97" s="5">
        <f>H97/E97</f>
        <v/>
      </c>
      <c r="K97" s="5" t="n">
        <v>35.535</v>
      </c>
      <c r="L97" s="5" t="n">
        <v>35.535</v>
      </c>
      <c r="M97" s="5" t="n">
        <v>35.535</v>
      </c>
      <c r="N97" s="6">
        <f>J97/M97-1</f>
        <v/>
      </c>
      <c r="O97" s="6">
        <f>J97/K97-1</f>
        <v/>
      </c>
      <c r="P97" s="2" t="inlineStr">
        <is>
          <t>OK (≤ últ. compra)</t>
        </is>
      </c>
      <c r="Q97" s="2" t="inlineStr">
        <is>
          <t>conferir emb.</t>
        </is>
      </c>
    </row>
    <row r="98">
      <c r="A98" s="2" t="n">
        <v>545341</v>
      </c>
      <c r="B98" s="2" t="inlineStr"/>
      <c r="C98" s="3" t="inlineStr">
        <is>
          <t>7896018700789</t>
        </is>
      </c>
      <c r="D98" s="2" t="inlineStr">
        <is>
          <t>SABONETE INFANTIL BARRA CHÁ DE CAMOMILA DISNEY BABY HUGGIES 75G</t>
        </is>
      </c>
      <c r="E98" s="4" t="n">
        <v>1</v>
      </c>
      <c r="F98" s="4" t="n">
        <v>4</v>
      </c>
      <c r="G98" s="4" t="n">
        <v>4</v>
      </c>
      <c r="H98" s="5" t="n">
        <v>4.55</v>
      </c>
      <c r="I98" s="5">
        <f>G98*H98</f>
        <v/>
      </c>
      <c r="J98" s="5">
        <f>H98/E98</f>
        <v/>
      </c>
      <c r="K98" s="5" t="n">
        <v>4.55</v>
      </c>
      <c r="L98" s="5" t="n">
        <v>4.55</v>
      </c>
      <c r="M98" s="5" t="n">
        <v>4.55</v>
      </c>
      <c r="N98" s="6">
        <f>J98/M98-1</f>
        <v/>
      </c>
      <c r="O98" s="6">
        <f>J98/K98-1</f>
        <v/>
      </c>
      <c r="P98" s="2" t="inlineStr">
        <is>
          <t>OK (≤ últ. compra)</t>
        </is>
      </c>
      <c r="Q98" s="2" t="inlineStr"/>
    </row>
    <row r="99">
      <c r="A99" s="2" t="n">
        <v>672851</v>
      </c>
      <c r="B99" s="2" t="inlineStr"/>
      <c r="C99" s="3" t="inlineStr">
        <is>
          <t>7891150097643</t>
        </is>
      </c>
      <c r="D99" s="2" t="inlineStr">
        <is>
          <t>SH DOVE BOND 350ML+COND 150ML-DEMAIS PROD</t>
        </is>
      </c>
      <c r="E99" s="4" t="n">
        <v>1</v>
      </c>
      <c r="F99" s="4" t="n">
        <v>2</v>
      </c>
      <c r="G99" s="4" t="n">
        <v>2</v>
      </c>
      <c r="H99" s="5" t="n">
        <v>21.52</v>
      </c>
      <c r="I99" s="5">
        <f>G99*H99</f>
        <v/>
      </c>
      <c r="J99" s="5">
        <f>H99/E99</f>
        <v/>
      </c>
      <c r="K99" s="5" t="n">
        <v>32.18</v>
      </c>
      <c r="L99" s="5" t="n">
        <v>32.18</v>
      </c>
      <c r="M99" s="5" t="n">
        <v>32.18</v>
      </c>
      <c r="N99" s="6">
        <f>J99/M99-1</f>
        <v/>
      </c>
      <c r="O99" s="6">
        <f>J99/K99-1</f>
        <v/>
      </c>
      <c r="P99" s="2" t="inlineStr">
        <is>
          <t>OK (≤ últ. compra)</t>
        </is>
      </c>
      <c r="Q99" s="2" t="inlineStr"/>
    </row>
    <row r="100">
      <c r="A100" s="2" t="n">
        <v>672151</v>
      </c>
      <c r="B100" s="2" t="inlineStr"/>
      <c r="C100" s="3" t="inlineStr">
        <is>
          <t>7908966528404</t>
        </is>
      </c>
      <c r="D100" s="2" t="inlineStr">
        <is>
          <t>SH ELSEVE COLAGENO 200ML-DEMAIS PROD</t>
        </is>
      </c>
      <c r="E100" s="4" t="n">
        <v>1</v>
      </c>
      <c r="F100" s="4" t="n">
        <v>2</v>
      </c>
      <c r="G100" s="4" t="n">
        <v>2</v>
      </c>
      <c r="H100" s="5" t="n">
        <v>14.37</v>
      </c>
      <c r="I100" s="5">
        <f>G100*H100</f>
        <v/>
      </c>
      <c r="J100" s="5">
        <f>H100/E100</f>
        <v/>
      </c>
      <c r="K100" s="5" t="n">
        <v>14.9</v>
      </c>
      <c r="L100" s="5" t="n">
        <v>12.96</v>
      </c>
      <c r="M100" s="5" t="n">
        <v>12.96</v>
      </c>
      <c r="N100" s="6">
        <f>J100/M100-1</f>
        <v/>
      </c>
      <c r="O100" s="6">
        <f>J100/K100-1</f>
        <v/>
      </c>
      <c r="P100" s="2" t="inlineStr">
        <is>
          <t>OK (≤ últ. compra)</t>
        </is>
      </c>
      <c r="Q100" s="2" t="inlineStr"/>
    </row>
    <row r="101">
      <c r="A101" s="2" t="n">
        <v>635261</v>
      </c>
      <c r="B101" s="2" t="inlineStr"/>
      <c r="C101" s="3" t="inlineStr">
        <is>
          <t>7891033535026</t>
        </is>
      </c>
      <c r="D101" s="2" t="inlineStr">
        <is>
          <t>SIAGE SH ACELERA CRESCIMENTO 250ML</t>
        </is>
      </c>
      <c r="E101" s="4" t="n">
        <v>1</v>
      </c>
      <c r="F101" s="4" t="n">
        <v>1</v>
      </c>
      <c r="G101" s="4" t="n">
        <v>1</v>
      </c>
      <c r="H101" s="5" t="n">
        <v>40.7</v>
      </c>
      <c r="I101" s="5">
        <f>G101*H101</f>
        <v/>
      </c>
      <c r="J101" s="5">
        <f>H101/E101</f>
        <v/>
      </c>
      <c r="K101" s="5" t="n">
        <v>42.58</v>
      </c>
      <c r="L101" s="5" t="n">
        <v>42.58</v>
      </c>
      <c r="M101" s="5" t="n">
        <v>42.58</v>
      </c>
      <c r="N101" s="6">
        <f>J101/M101-1</f>
        <v/>
      </c>
      <c r="O101" s="6">
        <f>J101/K101-1</f>
        <v/>
      </c>
      <c r="P101" s="2" t="inlineStr">
        <is>
          <t>OK (≤ últ. compra)</t>
        </is>
      </c>
      <c r="Q101" s="2" t="inlineStr"/>
    </row>
    <row r="102">
      <c r="A102" s="2" t="n">
        <v>605291</v>
      </c>
      <c r="B102" s="2" t="inlineStr"/>
      <c r="C102" s="3" t="inlineStr">
        <is>
          <t>7897460401934</t>
        </is>
      </c>
      <c r="D102" s="2" t="inlineStr">
        <is>
          <t>SILIMALON 100+70MG CX 10 COMP REV</t>
        </is>
      </c>
      <c r="E102" s="4" t="n">
        <v>1</v>
      </c>
      <c r="F102" s="4" t="n">
        <v>5</v>
      </c>
      <c r="G102" s="4" t="n">
        <v>5</v>
      </c>
      <c r="H102" s="5" t="n">
        <v>18.729</v>
      </c>
      <c r="I102" s="5">
        <f>G102*H102</f>
        <v/>
      </c>
      <c r="J102" s="5">
        <f>H102/E102</f>
        <v/>
      </c>
      <c r="K102" s="5" t="n">
        <v>19.2467</v>
      </c>
      <c r="L102" s="5" t="n">
        <v>15.4333</v>
      </c>
      <c r="M102" s="5" t="n">
        <v>17.66546666666667</v>
      </c>
      <c r="N102" s="6">
        <f>J102/M102-1</f>
        <v/>
      </c>
      <c r="O102" s="6">
        <f>J102/K102-1</f>
        <v/>
      </c>
      <c r="P102" s="2" t="inlineStr">
        <is>
          <t>OK (≤ últ. compra)</t>
        </is>
      </c>
      <c r="Q102" s="2" t="inlineStr"/>
    </row>
    <row r="103">
      <c r="A103" s="2" t="n">
        <v>434001</v>
      </c>
      <c r="B103" s="2" t="inlineStr"/>
      <c r="C103" s="3" t="inlineStr">
        <is>
          <t>7897460401743</t>
        </is>
      </c>
      <c r="D103" s="2" t="inlineStr">
        <is>
          <t>SILIMALON 140 140+100MG CX 30 COMP REV</t>
        </is>
      </c>
      <c r="E103" s="4" t="n">
        <v>1</v>
      </c>
      <c r="F103" s="4" t="n">
        <v>3</v>
      </c>
      <c r="G103" s="4" t="n">
        <v>3</v>
      </c>
      <c r="H103" s="5" t="n">
        <v>89.982</v>
      </c>
      <c r="I103" s="5">
        <f>G103*H103</f>
        <v/>
      </c>
      <c r="J103" s="5">
        <f>H103/E103</f>
        <v/>
      </c>
      <c r="K103" s="5" t="n">
        <v>92.47</v>
      </c>
      <c r="L103" s="5" t="n">
        <v>84.03</v>
      </c>
      <c r="M103" s="5" t="n">
        <v>88.16223333333335</v>
      </c>
      <c r="N103" s="6">
        <f>J103/M103-1</f>
        <v/>
      </c>
      <c r="O103" s="6">
        <f>J103/K103-1</f>
        <v/>
      </c>
      <c r="P103" s="2" t="inlineStr">
        <is>
          <t>OK (≤ últ. compra)</t>
        </is>
      </c>
      <c r="Q103" s="2" t="inlineStr"/>
    </row>
    <row r="104">
      <c r="A104" s="2" t="n">
        <v>529941</v>
      </c>
      <c r="B104" s="2" t="inlineStr"/>
      <c r="C104" s="3" t="inlineStr">
        <is>
          <t>7908134200552</t>
        </is>
      </c>
      <c r="D104" s="2" t="inlineStr">
        <is>
          <t>SLINDA 4MG (CAIXA C/ 3 CARTELAS) C/28 COMP REV</t>
        </is>
      </c>
      <c r="E104" s="4" t="n">
        <v>1</v>
      </c>
      <c r="F104" s="4" t="n">
        <v>2</v>
      </c>
      <c r="G104" s="4" t="n">
        <v>2</v>
      </c>
      <c r="H104" s="5" t="n">
        <v>219.2827</v>
      </c>
      <c r="I104" s="5">
        <f>G104*H104</f>
        <v/>
      </c>
      <c r="J104" s="5">
        <f>H104/E104</f>
        <v/>
      </c>
      <c r="K104" s="5" t="n">
        <v>226.51</v>
      </c>
      <c r="L104" s="5" t="n">
        <v>67.41330000000001</v>
      </c>
      <c r="M104" s="5" t="n">
        <v>121.7522</v>
      </c>
      <c r="N104" s="6">
        <f>J104/M104-1</f>
        <v/>
      </c>
      <c r="O104" s="6">
        <f>J104/K104-1</f>
        <v/>
      </c>
      <c r="P104" s="2" t="inlineStr">
        <is>
          <t>OK (≤ últ. compra)</t>
        </is>
      </c>
      <c r="Q104" s="2" t="inlineStr"/>
    </row>
    <row r="105">
      <c r="A105" s="2" t="n">
        <v>529921</v>
      </c>
      <c r="B105" s="2" t="inlineStr"/>
      <c r="C105" s="3" t="inlineStr">
        <is>
          <t>7908134200453</t>
        </is>
      </c>
      <c r="D105" s="2" t="inlineStr">
        <is>
          <t>SLINDA 4MG CX 24 COMP REV+4 PLACEBOS</t>
        </is>
      </c>
      <c r="E105" s="4" t="n">
        <v>1</v>
      </c>
      <c r="F105" s="4" t="n">
        <v>3</v>
      </c>
      <c r="G105" s="4" t="n">
        <v>3</v>
      </c>
      <c r="H105" s="5" t="n">
        <v>92.04650000000001</v>
      </c>
      <c r="I105" s="5">
        <f>G105*H105</f>
        <v/>
      </c>
      <c r="J105" s="5">
        <f>H105/E105</f>
        <v/>
      </c>
      <c r="K105" s="5" t="n">
        <v>95.08</v>
      </c>
      <c r="L105" s="5" t="n">
        <v>89.83499999999999</v>
      </c>
      <c r="M105" s="5" t="n">
        <v>91.58333333333333</v>
      </c>
      <c r="N105" s="6">
        <f>J105/M105-1</f>
        <v/>
      </c>
      <c r="O105" s="6">
        <f>J105/K105-1</f>
        <v/>
      </c>
      <c r="P105" s="2" t="inlineStr">
        <is>
          <t>OK (≤ últ. compra)</t>
        </is>
      </c>
      <c r="Q105" s="2" t="inlineStr"/>
    </row>
    <row r="106">
      <c r="A106" s="2" t="n">
        <v>558381</v>
      </c>
      <c r="B106" s="2" t="inlineStr"/>
      <c r="C106" s="3" t="inlineStr">
        <is>
          <t>7896902212152</t>
        </is>
      </c>
      <c r="D106" s="2" t="inlineStr">
        <is>
          <t>SOLUCAO SORIMAX 100 ML</t>
        </is>
      </c>
      <c r="E106" s="4" t="n">
        <v>1</v>
      </c>
      <c r="F106" s="4" t="n">
        <v>50</v>
      </c>
      <c r="G106" s="4" t="n">
        <v>50</v>
      </c>
      <c r="H106" s="5" t="n">
        <v>2.39</v>
      </c>
      <c r="I106" s="5">
        <f>G106*H106</f>
        <v/>
      </c>
      <c r="J106" s="5">
        <f>H106/E106</f>
        <v/>
      </c>
      <c r="K106" s="5" t="n">
        <v>2.69</v>
      </c>
      <c r="L106" s="5" t="n">
        <v>2.69</v>
      </c>
      <c r="M106" s="5" t="n">
        <v>2.69</v>
      </c>
      <c r="N106" s="6">
        <f>J106/M106-1</f>
        <v/>
      </c>
      <c r="O106" s="6">
        <f>J106/K106-1</f>
        <v/>
      </c>
      <c r="P106" s="2" t="inlineStr">
        <is>
          <t>OK (≤ últ. compra)</t>
        </is>
      </c>
      <c r="Q106" s="2" t="inlineStr"/>
    </row>
    <row r="107">
      <c r="A107" s="2" t="n">
        <v>661151</v>
      </c>
      <c r="B107" s="2" t="inlineStr"/>
      <c r="C107" s="3" t="inlineStr">
        <is>
          <t>7899852025469</t>
        </is>
      </c>
      <c r="D107" s="2" t="inlineStr">
        <is>
          <t>SPR VULT RECARGA HIDRT 100ML-DEMAIS PROD</t>
        </is>
      </c>
      <c r="E107" s="4" t="n">
        <v>1</v>
      </c>
      <c r="F107" s="4" t="n">
        <v>1</v>
      </c>
      <c r="G107" s="4" t="n">
        <v>1</v>
      </c>
      <c r="H107" s="5" t="n">
        <v>27.38</v>
      </c>
      <c r="I107" s="5">
        <f>G107*H107</f>
        <v/>
      </c>
      <c r="J107" s="5">
        <f>H107/E107</f>
        <v/>
      </c>
      <c r="K107" s="5" t="n">
        <v>27.51</v>
      </c>
      <c r="L107" s="5" t="n">
        <v>27.51</v>
      </c>
      <c r="M107" s="5" t="n">
        <v>27.51</v>
      </c>
      <c r="N107" s="6">
        <f>J107/M107-1</f>
        <v/>
      </c>
      <c r="O107" s="6">
        <f>J107/K107-1</f>
        <v/>
      </c>
      <c r="P107" s="2" t="inlineStr">
        <is>
          <t>OK (≤ últ. compra)</t>
        </is>
      </c>
      <c r="Q107" s="2" t="inlineStr"/>
    </row>
    <row r="108">
      <c r="A108" s="2" t="n">
        <v>624141</v>
      </c>
      <c r="B108" s="2" t="inlineStr"/>
      <c r="C108" s="3" t="inlineStr">
        <is>
          <t>7506339305142</t>
        </is>
      </c>
      <c r="D108" s="2" t="inlineStr">
        <is>
          <t>TESTE GRAV CLEARBLUE PLUS 2UNI-DEMAIS PROD</t>
        </is>
      </c>
      <c r="E108" s="4" t="n">
        <v>1</v>
      </c>
      <c r="F108" s="4" t="n">
        <v>2</v>
      </c>
      <c r="G108" s="4" t="n">
        <v>2</v>
      </c>
      <c r="H108" s="5" t="n">
        <v>23.84</v>
      </c>
      <c r="I108" s="5">
        <f>G108*H108</f>
        <v/>
      </c>
      <c r="J108" s="5">
        <f>H108/E108</f>
        <v/>
      </c>
      <c r="K108" s="5" t="n">
        <v>24.7675</v>
      </c>
      <c r="L108" s="5" t="n">
        <v>23.11</v>
      </c>
      <c r="M108" s="5" t="n">
        <v>24.215</v>
      </c>
      <c r="N108" s="6">
        <f>J108/M108-1</f>
        <v/>
      </c>
      <c r="O108" s="6">
        <f>J108/K108-1</f>
        <v/>
      </c>
      <c r="P108" s="2" t="inlineStr">
        <is>
          <t>OK (≤ últ. compra)</t>
        </is>
      </c>
      <c r="Q108" s="2" t="inlineStr"/>
    </row>
    <row r="109">
      <c r="A109" s="2" t="n">
        <v>622921</v>
      </c>
      <c r="B109" s="2" t="inlineStr"/>
      <c r="C109" s="3" t="inlineStr">
        <is>
          <t>7500435137959</t>
        </is>
      </c>
      <c r="D109" s="2" t="inlineStr">
        <is>
          <t>TESTE GRAV CLEARBLUE SAIBA ANTES-DEMAIS PROD</t>
        </is>
      </c>
      <c r="E109" s="4" t="n">
        <v>1</v>
      </c>
      <c r="F109" s="4" t="n">
        <v>8</v>
      </c>
      <c r="G109" s="4" t="n">
        <v>8</v>
      </c>
      <c r="H109" s="5" t="n">
        <v>18.753</v>
      </c>
      <c r="I109" s="5">
        <f>G109*H109</f>
        <v/>
      </c>
      <c r="J109" s="5">
        <f>H109/E109</f>
        <v/>
      </c>
      <c r="K109" s="5" t="n">
        <v>21.65</v>
      </c>
      <c r="L109" s="5" t="n">
        <v>19.62</v>
      </c>
      <c r="M109" s="5" t="n">
        <v>20.60666666666667</v>
      </c>
      <c r="N109" s="6">
        <f>J109/M109-1</f>
        <v/>
      </c>
      <c r="O109" s="6">
        <f>J109/K109-1</f>
        <v/>
      </c>
      <c r="P109" s="2" t="inlineStr">
        <is>
          <t>OK (≤ últ. compra)</t>
        </is>
      </c>
      <c r="Q109" s="2" t="inlineStr"/>
    </row>
    <row r="110">
      <c r="A110" s="2" t="n">
        <v>610651</v>
      </c>
      <c r="B110" s="2" t="inlineStr"/>
      <c r="C110" s="3" t="inlineStr">
        <is>
          <t>7908032300866</t>
        </is>
      </c>
      <c r="D110" s="2" t="inlineStr">
        <is>
          <t>TOALHAS UMED PIQUITUCHO PRATIC C/48UND</t>
        </is>
      </c>
      <c r="E110" s="4" t="n">
        <v>1</v>
      </c>
      <c r="F110" s="4" t="n">
        <v>9</v>
      </c>
      <c r="G110" s="4" t="n">
        <v>9</v>
      </c>
      <c r="H110" s="5" t="n">
        <v>4.0255</v>
      </c>
      <c r="I110" s="5">
        <f>G110*H110</f>
        <v/>
      </c>
      <c r="J110" s="5">
        <f>H110/E110</f>
        <v/>
      </c>
      <c r="K110" s="5" t="n">
        <v>6.03</v>
      </c>
      <c r="L110" s="5" t="n">
        <v>6.03</v>
      </c>
      <c r="M110" s="5" t="n">
        <v>6.03</v>
      </c>
      <c r="N110" s="6">
        <f>J110/M110-1</f>
        <v/>
      </c>
      <c r="O110" s="6">
        <f>J110/K110-1</f>
        <v/>
      </c>
      <c r="P110" s="2" t="inlineStr">
        <is>
          <t>OK (≤ últ. compra)</t>
        </is>
      </c>
      <c r="Q110" s="2" t="inlineStr"/>
    </row>
    <row r="111">
      <c r="A111" s="2" t="n">
        <v>319341</v>
      </c>
      <c r="B111" s="2" t="inlineStr"/>
      <c r="C111" s="3" t="inlineStr">
        <is>
          <t>7891045008433</t>
        </is>
      </c>
      <c r="D111" s="2" t="inlineStr">
        <is>
          <t>V - NORDETTE 0,15+0,03MG CX 21 DRG</t>
        </is>
      </c>
      <c r="E111" s="4" t="n">
        <v>1</v>
      </c>
      <c r="F111" s="4" t="n">
        <v>4</v>
      </c>
      <c r="G111" s="4" t="n">
        <v>4</v>
      </c>
      <c r="H111" s="5" t="n">
        <v>9.927499999999998</v>
      </c>
      <c r="I111" s="5">
        <f>G111*H111</f>
        <v/>
      </c>
      <c r="J111" s="5">
        <f>H111/E111</f>
        <v/>
      </c>
      <c r="K111" s="5" t="n">
        <v>10.31</v>
      </c>
      <c r="L111" s="5" t="n">
        <v>9.265000000000001</v>
      </c>
      <c r="M111" s="5" t="n">
        <v>9.831666666666667</v>
      </c>
      <c r="N111" s="6">
        <f>J111/M111-1</f>
        <v/>
      </c>
      <c r="O111" s="6">
        <f>J111/K111-1</f>
        <v/>
      </c>
      <c r="P111" s="2" t="inlineStr">
        <is>
          <t>OK (≤ últ. compra)</t>
        </is>
      </c>
      <c r="Q111" s="2" t="inlineStr"/>
    </row>
    <row r="112">
      <c r="A112" s="2" t="n">
        <v>654331</v>
      </c>
      <c r="B112" s="2" t="inlineStr"/>
      <c r="C112" s="3" t="inlineStr">
        <is>
          <t>7891653014260</t>
        </is>
      </c>
      <c r="D112" s="2" t="inlineStr">
        <is>
          <t>VAGISIL DEO INTIMO JASMIN BRANCO 75ML</t>
        </is>
      </c>
      <c r="E112" s="4" t="n">
        <v>1</v>
      </c>
      <c r="F112" s="4" t="n">
        <v>1</v>
      </c>
      <c r="G112" s="4" t="n">
        <v>1</v>
      </c>
      <c r="H112" s="5" t="n">
        <v>25.77</v>
      </c>
      <c r="I112" s="5">
        <f>G112*H112</f>
        <v/>
      </c>
      <c r="J112" s="5">
        <f>H112/E112</f>
        <v/>
      </c>
      <c r="K112" s="5" t="n">
        <v>24.47</v>
      </c>
      <c r="L112" s="5" t="n">
        <v>24.47</v>
      </c>
      <c r="M112" s="5" t="n">
        <v>24.47</v>
      </c>
      <c r="N112" s="6">
        <f>J112/M112-1</f>
        <v/>
      </c>
      <c r="O112" s="6">
        <f>J112/K112-1</f>
        <v/>
      </c>
      <c r="P112" s="2" t="inlineStr">
        <is>
          <t>REAJUSTE +5.3% vs média (≤6%)</t>
        </is>
      </c>
      <c r="Q112" s="2" t="inlineStr"/>
    </row>
    <row r="113">
      <c r="A113" s="2" t="n">
        <v>662301</v>
      </c>
      <c r="B113" s="2" t="inlineStr"/>
      <c r="C113" s="3" t="inlineStr">
        <is>
          <t>7891653014031</t>
        </is>
      </c>
      <c r="D113" s="2" t="inlineStr">
        <is>
          <t>VAGISIL DEO INTIMO ODOR BLOCK 60ML</t>
        </is>
      </c>
      <c r="E113" s="4" t="n">
        <v>1</v>
      </c>
      <c r="F113" s="4" t="n">
        <v>1</v>
      </c>
      <c r="G113" s="4" t="n">
        <v>1</v>
      </c>
      <c r="H113" s="5" t="n">
        <v>22.43</v>
      </c>
      <c r="I113" s="5">
        <f>G113*H113</f>
        <v/>
      </c>
      <c r="J113" s="5">
        <f>H113/E113</f>
        <v/>
      </c>
      <c r="K113" s="5" t="n">
        <v>22.43</v>
      </c>
      <c r="L113" s="5" t="n">
        <v>22.42</v>
      </c>
      <c r="M113" s="5" t="n">
        <v>22.42666666666667</v>
      </c>
      <c r="N113" s="6">
        <f>J113/M113-1</f>
        <v/>
      </c>
      <c r="O113" s="6">
        <f>J113/K113-1</f>
        <v/>
      </c>
      <c r="P113" s="2" t="inlineStr">
        <is>
          <t>OK (≤ últ. compra)</t>
        </is>
      </c>
      <c r="Q113" s="2" t="inlineStr"/>
    </row>
    <row r="114">
      <c r="A114" s="2" t="n">
        <v>654311</v>
      </c>
      <c r="B114" s="2" t="inlineStr"/>
      <c r="C114" s="3" t="inlineStr">
        <is>
          <t>7891653040078</t>
        </is>
      </c>
      <c r="D114" s="2" t="inlineStr">
        <is>
          <t>VAGISIL SAB INTIMO URIN PROTECT 300ML</t>
        </is>
      </c>
      <c r="E114" s="4" t="n">
        <v>1</v>
      </c>
      <c r="F114" s="4" t="n">
        <v>4</v>
      </c>
      <c r="G114" s="4" t="n">
        <v>4</v>
      </c>
      <c r="H114" s="5" t="n">
        <v>21.67</v>
      </c>
      <c r="I114" s="5">
        <f>G114*H114</f>
        <v/>
      </c>
      <c r="J114" s="5">
        <f>H114/E114</f>
        <v/>
      </c>
      <c r="K114" s="5" t="n">
        <v>21.68</v>
      </c>
      <c r="L114" s="5" t="n">
        <v>17.95</v>
      </c>
      <c r="M114" s="5" t="n">
        <v>20.43666666666667</v>
      </c>
      <c r="N114" s="6">
        <f>J114/M114-1</f>
        <v/>
      </c>
      <c r="O114" s="6">
        <f>J114/K114-1</f>
        <v/>
      </c>
      <c r="P114" s="2" t="inlineStr">
        <is>
          <t>OK (≤ últ. compra)</t>
        </is>
      </c>
      <c r="Q114" s="2" t="inlineStr">
        <is>
          <t>estoque parcial (1 un)</t>
        </is>
      </c>
    </row>
    <row r="115">
      <c r="D115" s="7" t="inlineStr">
        <is>
          <t>TOTAL</t>
        </is>
      </c>
      <c r="I115" s="8">
        <f>SUM(I2:I114)</f>
        <v/>
      </c>
    </row>
    <row r="117">
      <c r="A117" s="9" t="inlineStr">
        <is>
          <t>Pedido FINAL NAZARIA — cotação 08/09/2026 (fechada 09/09). Somente itens aprovados: teto de reajuste de 4% sobre a última compra OU 6% sobre a média histórica (3/6/12m).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2026-09-09T17:18:10Z</dcterms:created>
  <dcterms:modified xsi:type="dcterms:W3CDTF">2026-09-09T17:18:10Z</dcterms:modified>
</cp:coreProperties>
</file>