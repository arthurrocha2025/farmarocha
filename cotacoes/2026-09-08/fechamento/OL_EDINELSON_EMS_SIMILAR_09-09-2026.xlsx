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6" customWidth="1" min="3" max="3"/>
    <col width="20" customWidth="1" min="4" max="4"/>
    <col width="16" customWidth="1" min="5" max="5"/>
    <col width="6" customWidth="1" min="6" max="6"/>
    <col width="8" customWidth="1" min="7" max="7"/>
    <col width="9" customWidth="1" min="8" max="8"/>
    <col width="12" customWidth="1" min="9" max="9"/>
    <col width="12" customWidth="1" min="10" max="10"/>
  </cols>
  <sheetData>
    <row r="1" ht="26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Produto</t>
        </is>
      </c>
      <c r="D1" s="1" t="inlineStr">
        <is>
          <t>Fabricante</t>
        </is>
      </c>
      <c r="E1" s="1" t="inlineStr">
        <is>
          <t>Grupo</t>
        </is>
      </c>
      <c r="F1" s="1" t="inlineStr">
        <is>
          <t>ABC</t>
        </is>
      </c>
      <c r="G1" s="1" t="inlineStr">
        <is>
          <t>Caixas</t>
        </is>
      </c>
      <c r="H1" s="1" t="inlineStr">
        <is>
          <t>Unidades</t>
        </is>
      </c>
      <c r="I1" s="1" t="inlineStr">
        <is>
          <t>Últ. preço compra</t>
        </is>
      </c>
      <c r="J1" s="1" t="inlineStr">
        <is>
          <t>Data últ. compra</t>
        </is>
      </c>
    </row>
    <row r="2">
      <c r="A2" s="2" t="n">
        <v>135721</v>
      </c>
      <c r="B2" s="3" t="inlineStr"/>
      <c r="C2" s="2" t="inlineStr">
        <is>
          <t>APEVITIN BC XPE FR 240ML</t>
        </is>
      </c>
      <c r="D2" s="2" t="inlineStr">
        <is>
          <t>EMS MARCAS</t>
        </is>
      </c>
      <c r="E2" s="2" t="inlineStr">
        <is>
          <t>SIMILAR</t>
        </is>
      </c>
      <c r="F2" s="2" t="inlineStr">
        <is>
          <t>A</t>
        </is>
      </c>
      <c r="G2" s="4" t="n">
        <v>41</v>
      </c>
      <c r="H2" s="4" t="n">
        <v>41</v>
      </c>
      <c r="I2" s="5" t="n">
        <v>10.02</v>
      </c>
      <c r="J2" s="2" t="inlineStr">
        <is>
          <t>31/08/2026</t>
        </is>
      </c>
    </row>
    <row r="3">
      <c r="A3" s="2" t="n">
        <v>134881</v>
      </c>
      <c r="B3" s="3" t="inlineStr">
        <is>
          <t>7896004753218</t>
        </is>
      </c>
      <c r="C3" s="2" t="inlineStr">
        <is>
          <t>BENZIFLEX LIS 125+5MG CX 15 COMP REV</t>
        </is>
      </c>
      <c r="D3" s="2" t="inlineStr">
        <is>
          <t>EMS MARCAS</t>
        </is>
      </c>
      <c r="E3" s="2" t="inlineStr">
        <is>
          <t>SIMILAR</t>
        </is>
      </c>
      <c r="F3" s="2" t="inlineStr">
        <is>
          <t>B</t>
        </is>
      </c>
      <c r="G3" s="4" t="n">
        <v>4</v>
      </c>
      <c r="H3" s="4" t="n">
        <v>4</v>
      </c>
      <c r="I3" s="5" t="n">
        <v>16.83</v>
      </c>
      <c r="J3" s="2" t="inlineStr">
        <is>
          <t>13/04/2026</t>
        </is>
      </c>
    </row>
    <row r="4">
      <c r="A4" s="2" t="n">
        <v>129701</v>
      </c>
      <c r="B4" s="3" t="inlineStr">
        <is>
          <t>7896004720609</t>
        </is>
      </c>
      <c r="C4" s="2" t="inlineStr">
        <is>
          <t>BISURAN 4MG/5ML XPE FR 120ML INF</t>
        </is>
      </c>
      <c r="D4" s="2" t="inlineStr">
        <is>
          <t>EMS MARCAS</t>
        </is>
      </c>
      <c r="E4" s="2" t="inlineStr">
        <is>
          <t>SIMILAR</t>
        </is>
      </c>
      <c r="F4" s="2" t="inlineStr">
        <is>
          <t>C</t>
        </is>
      </c>
      <c r="G4" s="4" t="n">
        <v>1</v>
      </c>
      <c r="H4" s="4" t="n">
        <v>1</v>
      </c>
      <c r="I4" s="5" t="n">
        <v>7.64</v>
      </c>
      <c r="J4" s="2" t="inlineStr">
        <is>
          <t>12/08/2026</t>
        </is>
      </c>
    </row>
    <row r="5">
      <c r="A5" s="2" t="n">
        <v>613821</v>
      </c>
      <c r="B5" s="3" t="inlineStr">
        <is>
          <t>7896004772325</t>
        </is>
      </c>
      <c r="C5" s="2" t="inlineStr">
        <is>
          <t>COMPLEXO B CX 12 FR 20 COMP REV</t>
        </is>
      </c>
      <c r="D5" s="2" t="inlineStr">
        <is>
          <t>EMS MARCAS</t>
        </is>
      </c>
      <c r="E5" s="2" t="inlineStr">
        <is>
          <t>SIMILAR</t>
        </is>
      </c>
      <c r="F5" s="2" t="inlineStr">
        <is>
          <t>B</t>
        </is>
      </c>
      <c r="G5" s="4" t="n">
        <v>2</v>
      </c>
      <c r="H5" s="4" t="n">
        <v>2</v>
      </c>
      <c r="I5" s="5" t="n">
        <v>14.27</v>
      </c>
      <c r="J5" s="2" t="inlineStr">
        <is>
          <t>31/08/2026</t>
        </is>
      </c>
    </row>
    <row r="6">
      <c r="A6" s="2" t="n">
        <v>360041</v>
      </c>
      <c r="B6" s="3" t="inlineStr">
        <is>
          <t>7896004772318</t>
        </is>
      </c>
      <c r="C6" s="2" t="inlineStr">
        <is>
          <t>COMPLEXO B CX 12 XPE FR 120ML</t>
        </is>
      </c>
      <c r="D6" s="2" t="inlineStr">
        <is>
          <t>EMS MARCAS</t>
        </is>
      </c>
      <c r="E6" s="2" t="inlineStr">
        <is>
          <t>SIMILAR</t>
        </is>
      </c>
      <c r="F6" s="2" t="inlineStr">
        <is>
          <t>C</t>
        </is>
      </c>
      <c r="G6" s="4" t="n">
        <v>1</v>
      </c>
      <c r="H6" s="4" t="n">
        <v>1</v>
      </c>
      <c r="I6" s="5" t="n">
        <v>12.91</v>
      </c>
      <c r="J6" s="2" t="inlineStr">
        <is>
          <t>31/08/2026</t>
        </is>
      </c>
    </row>
    <row r="7">
      <c r="A7" s="2" t="n">
        <v>344781</v>
      </c>
      <c r="B7" s="3" t="inlineStr">
        <is>
          <t>7896004801216</t>
        </is>
      </c>
      <c r="C7" s="2" t="inlineStr">
        <is>
          <t>CYSTEX FR 24 DRG</t>
        </is>
      </c>
      <c r="D7" s="2" t="inlineStr">
        <is>
          <t>EMS MARCAS</t>
        </is>
      </c>
      <c r="E7" s="2" t="inlineStr">
        <is>
          <t>SIMILAR</t>
        </is>
      </c>
      <c r="F7" s="2" t="inlineStr">
        <is>
          <t>A</t>
        </is>
      </c>
      <c r="G7" s="4" t="n">
        <v>5</v>
      </c>
      <c r="H7" s="4" t="n">
        <v>5</v>
      </c>
      <c r="I7" s="5" t="n">
        <v>27.74</v>
      </c>
      <c r="J7" s="2" t="inlineStr">
        <is>
          <t>31/08/2026</t>
        </is>
      </c>
    </row>
    <row r="8">
      <c r="A8" s="2" t="n">
        <v>332061</v>
      </c>
      <c r="B8" s="3" t="inlineStr"/>
      <c r="C8" s="2" t="inlineStr">
        <is>
          <t>EMSEXPECTOR XPE FR 120ML</t>
        </is>
      </c>
      <c r="D8" s="2" t="inlineStr">
        <is>
          <t>EMS MARCAS</t>
        </is>
      </c>
      <c r="E8" s="2" t="inlineStr">
        <is>
          <t>SIMILAR</t>
        </is>
      </c>
      <c r="F8" s="2" t="inlineStr">
        <is>
          <t>B</t>
        </is>
      </c>
      <c r="G8" s="4" t="n">
        <v>4</v>
      </c>
      <c r="H8" s="4" t="n">
        <v>4</v>
      </c>
      <c r="I8" s="5" t="n">
        <v>14.67</v>
      </c>
      <c r="J8" s="2" t="inlineStr">
        <is>
          <t>31/08/2026</t>
        </is>
      </c>
    </row>
    <row r="9">
      <c r="A9" s="2" t="n">
        <v>114721</v>
      </c>
      <c r="B9" s="3" t="inlineStr">
        <is>
          <t>7896004702322</t>
        </is>
      </c>
      <c r="C9" s="2" t="inlineStr">
        <is>
          <t>ENDCOFF CARTELAPAST SB MEL/LIMAO (CAR</t>
        </is>
      </c>
      <c r="D9" s="2" t="inlineStr">
        <is>
          <t>EMS MARCAS</t>
        </is>
      </c>
      <c r="E9" s="2" t="inlineStr">
        <is>
          <t>DESATIVADO</t>
        </is>
      </c>
      <c r="F9" s="2" t="inlineStr">
        <is>
          <t>C</t>
        </is>
      </c>
      <c r="G9" s="4" t="n">
        <v>2</v>
      </c>
      <c r="H9" s="4" t="n">
        <v>2</v>
      </c>
      <c r="I9" s="5" t="n">
        <v>12.12</v>
      </c>
      <c r="J9" s="2" t="inlineStr">
        <is>
          <t>23/09/2025</t>
        </is>
      </c>
    </row>
    <row r="10">
      <c r="A10" s="2" t="n">
        <v>16301</v>
      </c>
      <c r="B10" s="3" t="inlineStr"/>
      <c r="C10" s="2" t="inlineStr">
        <is>
          <t>FOLIFOLIN 5MG CX 30 COMP</t>
        </is>
      </c>
      <c r="D10" s="2" t="inlineStr">
        <is>
          <t>EMS MARCAS</t>
        </is>
      </c>
      <c r="E10" s="2" t="inlineStr">
        <is>
          <t>SIMILAR</t>
        </is>
      </c>
      <c r="F10" s="2" t="inlineStr">
        <is>
          <t>A</t>
        </is>
      </c>
      <c r="G10" s="4" t="n">
        <v>9</v>
      </c>
      <c r="H10" s="4" t="n">
        <v>9</v>
      </c>
      <c r="I10" s="5" t="n">
        <v>6.01</v>
      </c>
      <c r="J10" s="2" t="inlineStr">
        <is>
          <t>31/08/2026</t>
        </is>
      </c>
    </row>
    <row r="11">
      <c r="A11" s="2" t="n">
        <v>181</v>
      </c>
      <c r="B11" s="3" t="inlineStr"/>
      <c r="C11" s="2" t="inlineStr">
        <is>
          <t>INFRALAX CX 15 COMP</t>
        </is>
      </c>
      <c r="D11" s="2" t="inlineStr">
        <is>
          <t>EMS MARCAS</t>
        </is>
      </c>
      <c r="E11" s="2" t="inlineStr">
        <is>
          <t>SIMILAR</t>
        </is>
      </c>
      <c r="F11" s="2" t="inlineStr">
        <is>
          <t>A</t>
        </is>
      </c>
      <c r="G11" s="4" t="n">
        <v>41</v>
      </c>
      <c r="H11" s="4" t="n">
        <v>41</v>
      </c>
      <c r="I11" s="5" t="n">
        <v>4.07</v>
      </c>
      <c r="J11" s="2" t="inlineStr">
        <is>
          <t>31/08/2026</t>
        </is>
      </c>
    </row>
    <row r="12">
      <c r="A12" s="2" t="n">
        <v>114741</v>
      </c>
      <c r="B12" s="3" t="inlineStr">
        <is>
          <t>7896004702346</t>
        </is>
      </c>
      <c r="C12" s="2" t="inlineStr">
        <is>
          <t>PV - ENDCOFF PAST SB MENTA CARTELA</t>
        </is>
      </c>
      <c r="D12" s="2" t="inlineStr">
        <is>
          <t>EMS MARCAS</t>
        </is>
      </c>
      <c r="E12" s="2" t="inlineStr">
        <is>
          <t>DESATIVADO</t>
        </is>
      </c>
      <c r="F12" s="2" t="inlineStr">
        <is>
          <t>C</t>
        </is>
      </c>
      <c r="G12" s="4" t="n">
        <v>1</v>
      </c>
      <c r="H12" s="4" t="n">
        <v>1</v>
      </c>
      <c r="I12" s="5" t="n">
        <v>12.12</v>
      </c>
      <c r="J12" s="2" t="inlineStr">
        <is>
          <t>23/09/2025</t>
        </is>
      </c>
    </row>
    <row r="13">
      <c r="A13" s="2" t="n">
        <v>558401</v>
      </c>
      <c r="B13" s="3" t="inlineStr"/>
      <c r="C13" s="2" t="inlineStr">
        <is>
          <t>SOMINEX COMPOSTO C/20 COMP (60)</t>
        </is>
      </c>
      <c r="D13" s="2" t="inlineStr">
        <is>
          <t>EMS</t>
        </is>
      </c>
      <c r="E13" s="2" t="inlineStr">
        <is>
          <t>SIMILAR</t>
        </is>
      </c>
      <c r="F13" s="2" t="inlineStr">
        <is>
          <t>C</t>
        </is>
      </c>
      <c r="G13" s="4" t="n">
        <v>1</v>
      </c>
      <c r="H13" s="4" t="n">
        <v>1</v>
      </c>
      <c r="I13" s="5" t="n">
        <v>17.99</v>
      </c>
      <c r="J13" s="2" t="inlineStr">
        <is>
          <t>31/08/2026</t>
        </is>
      </c>
    </row>
    <row r="14">
      <c r="A14" s="2" t="n">
        <v>600601</v>
      </c>
      <c r="B14" s="3" t="inlineStr"/>
      <c r="C14" s="2" t="inlineStr">
        <is>
          <t>SUPLEVIT MULHER 30CAPS GEL</t>
        </is>
      </c>
      <c r="D14" s="2" t="inlineStr">
        <is>
          <t>EMS S/A</t>
        </is>
      </c>
      <c r="E14" s="2" t="inlineStr">
        <is>
          <t>VITAMINA E SIMILARES</t>
        </is>
      </c>
      <c r="F14" s="2" t="inlineStr">
        <is>
          <t>A</t>
        </is>
      </c>
      <c r="G14" s="4" t="n">
        <v>3</v>
      </c>
      <c r="H14" s="4" t="n">
        <v>3</v>
      </c>
      <c r="I14" s="5" t="n">
        <v>19.53</v>
      </c>
      <c r="J14" s="2" t="inlineStr">
        <is>
          <t>31/08/2026</t>
        </is>
      </c>
    </row>
    <row r="15">
      <c r="C15" s="6" t="inlineStr">
        <is>
          <t>TOTAL</t>
        </is>
      </c>
      <c r="G15" s="7">
        <f>SUM(G2:G14)</f>
        <v/>
      </c>
      <c r="H15" s="7">
        <f>SUM(H2:H14)</f>
        <v/>
      </c>
    </row>
    <row r="17">
      <c r="A17" s="8" t="inlineStr">
        <is>
          <t>Pedido direto OL EDINELSON - EMS SIMILAR — Radar Pareto 08/09 (fora da cotação). EAN da base Necessidade 08/09; 'Últ. preço compra' apenas referência.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2026-09-09T17:18:10Z</dcterms:created>
  <dcterms:modified xsi:type="dcterms:W3CDTF">2026-09-09T17:18:10Z</dcterms:modified>
</cp:coreProperties>
</file>