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" t="inlineStr">
        <is>
          <t>Cód. interno</t>
        </is>
      </c>
      <c r="B1" s="1" t="inlineStr">
        <is>
          <t>Cód. forn.</t>
        </is>
      </c>
      <c r="C1" s="1" t="inlineStr">
        <is>
          <t>EAN</t>
        </is>
      </c>
      <c r="D1" s="1" t="inlineStr">
        <is>
          <t>Produto</t>
        </is>
      </c>
      <c r="E1" s="1" t="inlineStr">
        <is>
          <t>Un/Emb</t>
        </is>
      </c>
      <c r="F1" s="1" t="inlineStr">
        <is>
          <t>Caixas</t>
        </is>
      </c>
      <c r="G1" s="1" t="inlineStr">
        <is>
          <t>Qtd pedido</t>
        </is>
      </c>
      <c r="H1" s="1" t="inlineStr">
        <is>
          <t>Preço (emb.)</t>
        </is>
      </c>
      <c r="I1" s="1" t="inlineStr">
        <is>
          <t>Total</t>
        </is>
      </c>
      <c r="J1" s="1" t="inlineStr">
        <is>
          <t>Preço un. eq.</t>
        </is>
      </c>
      <c r="K1" s="1" t="inlineStr">
        <is>
          <t>Últ. compra</t>
        </is>
      </c>
      <c r="L1" s="1" t="inlineStr">
        <is>
          <t>Menor hist.</t>
        </is>
      </c>
      <c r="M1" s="1" t="inlineStr">
        <is>
          <t>Média hist.</t>
        </is>
      </c>
      <c r="N1" s="1" t="inlineStr">
        <is>
          <t>% vs média hist.</t>
        </is>
      </c>
      <c r="O1" s="1" t="inlineStr">
        <is>
          <t>% vs últ. compra</t>
        </is>
      </c>
      <c r="P1" s="1" t="inlineStr">
        <is>
          <t>Status</t>
        </is>
      </c>
      <c r="Q1" s="1" t="inlineStr">
        <is>
          <t>OBS</t>
        </is>
      </c>
    </row>
    <row r="2">
      <c r="A2" s="2" t="n">
        <v>634551</v>
      </c>
      <c r="B2" s="2" t="inlineStr">
        <is>
          <t>9626</t>
        </is>
      </c>
      <c r="C2" s="3" t="inlineStr">
        <is>
          <t>7895143226942</t>
        </is>
      </c>
      <c r="D2" s="2" t="inlineStr">
        <is>
          <t>5MAG 500MG 60CAPS QUALYNUTRI</t>
        </is>
      </c>
      <c r="E2" s="4" t="n">
        <v>1</v>
      </c>
      <c r="F2" s="4" t="n">
        <v>2</v>
      </c>
      <c r="G2" s="4" t="n">
        <v>2</v>
      </c>
      <c r="H2" s="5" t="n">
        <v>33.53</v>
      </c>
      <c r="I2" s="5">
        <f>G2*H2</f>
        <v/>
      </c>
      <c r="J2" s="5">
        <f>H2/E2</f>
        <v/>
      </c>
      <c r="K2" s="5" t="n">
        <v>33.53</v>
      </c>
      <c r="L2" s="5" t="n">
        <v>33.53</v>
      </c>
      <c r="M2" s="5" t="n">
        <v>33.53</v>
      </c>
      <c r="N2" s="6">
        <f>J2/M2-1</f>
        <v/>
      </c>
      <c r="O2" s="6">
        <f>J2/K2-1</f>
        <v/>
      </c>
      <c r="P2" s="2" t="inlineStr">
        <is>
          <t>OK (≤ últ. compra)</t>
        </is>
      </c>
      <c r="Q2" s="2" t="inlineStr"/>
    </row>
    <row r="3">
      <c r="A3" s="2" t="n">
        <v>403321</v>
      </c>
      <c r="B3" s="2" t="inlineStr">
        <is>
          <t>866</t>
        </is>
      </c>
      <c r="C3" s="3" t="inlineStr">
        <is>
          <t>7893454300115</t>
        </is>
      </c>
      <c r="D3" s="2" t="inlineStr">
        <is>
          <t>ACERATUM SOL FR 10ML</t>
        </is>
      </c>
      <c r="E3" s="4" t="n">
        <v>1</v>
      </c>
      <c r="F3" s="4" t="n">
        <v>1</v>
      </c>
      <c r="G3" s="4" t="n">
        <v>1</v>
      </c>
      <c r="H3" s="5" t="n">
        <v>11.39</v>
      </c>
      <c r="I3" s="5">
        <f>G3*H3</f>
        <v/>
      </c>
      <c r="J3" s="5">
        <f>H3/E3</f>
        <v/>
      </c>
      <c r="K3" s="5" t="n">
        <v>13.04</v>
      </c>
      <c r="L3" s="5" t="n">
        <v>13.04</v>
      </c>
      <c r="M3" s="5" t="n">
        <v>13.04</v>
      </c>
      <c r="N3" s="6">
        <f>J3/M3-1</f>
        <v/>
      </c>
      <c r="O3" s="6">
        <f>J3/K3-1</f>
        <v/>
      </c>
      <c r="P3" s="2" t="inlineStr">
        <is>
          <t>OK (≤ últ. compra)</t>
        </is>
      </c>
      <c r="Q3" s="2" t="inlineStr"/>
    </row>
    <row r="4">
      <c r="A4" s="2" t="n">
        <v>14301</v>
      </c>
      <c r="B4" s="2" t="inlineStr">
        <is>
          <t>2509</t>
        </is>
      </c>
      <c r="C4" s="3" t="inlineStr">
        <is>
          <t>7898122913772</t>
        </is>
      </c>
      <c r="D4" s="2" t="inlineStr">
        <is>
          <t>ACIDO ASCORBICO (VIT C) HYPOFARMA 100 MG/ML SOL INJ IV/IM CX 100 AMP VD AMB X 5 ML (EMB HOSP)</t>
        </is>
      </c>
      <c r="E4" s="4" t="n">
        <v>1</v>
      </c>
      <c r="F4" s="4" t="n">
        <v>1</v>
      </c>
      <c r="G4" s="4" t="n">
        <v>1</v>
      </c>
      <c r="H4" s="5" t="n">
        <v>103.59</v>
      </c>
      <c r="I4" s="5">
        <f>G4*H4</f>
        <v/>
      </c>
      <c r="J4" s="5">
        <f>H4/E4</f>
        <v/>
      </c>
      <c r="K4" s="5" t="n">
        <v>117</v>
      </c>
      <c r="L4" s="5" t="n">
        <v>117</v>
      </c>
      <c r="M4" s="5" t="n">
        <v>117</v>
      </c>
      <c r="N4" s="6">
        <f>J4/M4-1</f>
        <v/>
      </c>
      <c r="O4" s="6">
        <f>J4/K4-1</f>
        <v/>
      </c>
      <c r="P4" s="2" t="inlineStr">
        <is>
          <t>OK (≤ últ. compra)</t>
        </is>
      </c>
      <c r="Q4" s="2" t="inlineStr"/>
    </row>
    <row r="5">
      <c r="A5" s="2" t="n">
        <v>1463</v>
      </c>
      <c r="B5" s="2" t="inlineStr">
        <is>
          <t>2194</t>
        </is>
      </c>
      <c r="C5" s="3" t="inlineStr">
        <is>
          <t>7898277713739</t>
        </is>
      </c>
      <c r="D5" s="2" t="inlineStr">
        <is>
          <t>AFT RUB 30ML SPRAY BUCAL</t>
        </is>
      </c>
      <c r="E5" s="4" t="n">
        <v>1</v>
      </c>
      <c r="F5" s="4" t="n">
        <v>1</v>
      </c>
      <c r="G5" s="4" t="n">
        <v>1</v>
      </c>
      <c r="H5" s="5" t="n">
        <v>8.09</v>
      </c>
      <c r="I5" s="5">
        <f>G5*H5</f>
        <v/>
      </c>
      <c r="J5" s="5">
        <f>H5/E5</f>
        <v/>
      </c>
      <c r="K5" s="5" t="n">
        <v>8.09</v>
      </c>
      <c r="L5" s="5" t="n">
        <v>8.09</v>
      </c>
      <c r="M5" s="5" t="n">
        <v>8.09</v>
      </c>
      <c r="N5" s="6">
        <f>J5/M5-1</f>
        <v/>
      </c>
      <c r="O5" s="6">
        <f>J5/K5-1</f>
        <v/>
      </c>
      <c r="P5" s="2" t="inlineStr">
        <is>
          <t>OK (≤ últ. compra)</t>
        </is>
      </c>
      <c r="Q5" s="2" t="inlineStr"/>
    </row>
    <row r="6">
      <c r="A6" s="2" t="n">
        <v>538041</v>
      </c>
      <c r="B6" s="2" t="inlineStr">
        <is>
          <t>4782</t>
        </is>
      </c>
      <c r="C6" s="3" t="inlineStr">
        <is>
          <t>7894164005208</t>
        </is>
      </c>
      <c r="D6" s="2" t="inlineStr">
        <is>
          <t>AFTANAX 100MG/ML SPRAY 25ML</t>
        </is>
      </c>
      <c r="E6" s="4" t="n">
        <v>1</v>
      </c>
      <c r="F6" s="4" t="n">
        <v>1</v>
      </c>
      <c r="G6" s="4" t="n">
        <v>1</v>
      </c>
      <c r="H6" s="5" t="n">
        <v>12.35</v>
      </c>
      <c r="I6" s="5">
        <f>G6*H6</f>
        <v/>
      </c>
      <c r="J6" s="5">
        <f>H6/E6</f>
        <v/>
      </c>
      <c r="K6" s="5" t="n">
        <v>12.35</v>
      </c>
      <c r="L6" s="5" t="n">
        <v>12.35</v>
      </c>
      <c r="M6" s="5" t="n">
        <v>12.35</v>
      </c>
      <c r="N6" s="6">
        <f>J6/M6-1</f>
        <v/>
      </c>
      <c r="O6" s="6">
        <f>J6/K6-1</f>
        <v/>
      </c>
      <c r="P6" s="2" t="inlineStr">
        <is>
          <t>OK (≤ últ. compra)</t>
        </is>
      </c>
      <c r="Q6" s="2" t="inlineStr"/>
    </row>
    <row r="7">
      <c r="A7" s="2" t="n">
        <v>541181</v>
      </c>
      <c r="B7" s="2" t="inlineStr">
        <is>
          <t>1251</t>
        </is>
      </c>
      <c r="C7" s="3" t="inlineStr">
        <is>
          <t>7898048691419</t>
        </is>
      </c>
      <c r="D7" s="2" t="inlineStr">
        <is>
          <t>AGUA FLOR DE LARANJEIRA 100ML</t>
        </is>
      </c>
      <c r="E7" s="4" t="n">
        <v>1</v>
      </c>
      <c r="F7" s="4" t="n">
        <v>2</v>
      </c>
      <c r="G7" s="4" t="n">
        <v>2</v>
      </c>
      <c r="H7" s="5" t="n">
        <v>5.06</v>
      </c>
      <c r="I7" s="5">
        <f>G7*H7</f>
        <v/>
      </c>
      <c r="J7" s="5">
        <f>H7/E7</f>
        <v/>
      </c>
      <c r="K7" s="5" t="n">
        <v>5.06</v>
      </c>
      <c r="L7" s="5" t="n">
        <v>5.06</v>
      </c>
      <c r="M7" s="5" t="n">
        <v>5.06</v>
      </c>
      <c r="N7" s="6">
        <f>J7/M7-1</f>
        <v/>
      </c>
      <c r="O7" s="6">
        <f>J7/K7-1</f>
        <v/>
      </c>
      <c r="P7" s="2" t="inlineStr">
        <is>
          <t>OK (≤ últ. compra)</t>
        </is>
      </c>
      <c r="Q7" s="2" t="inlineStr"/>
    </row>
    <row r="8">
      <c r="A8" s="2" t="n">
        <v>618971</v>
      </c>
      <c r="B8" s="2" t="inlineStr">
        <is>
          <t>324</t>
        </is>
      </c>
      <c r="C8" s="3" t="inlineStr">
        <is>
          <t>7898048690771</t>
        </is>
      </c>
      <c r="D8" s="2" t="inlineStr">
        <is>
          <t>AGUA INGLESA 450ML (CINCHONA OFFICINALI)</t>
        </is>
      </c>
      <c r="E8" s="4" t="n">
        <v>1</v>
      </c>
      <c r="F8" s="4" t="n">
        <v>7</v>
      </c>
      <c r="G8" s="4" t="n">
        <v>7</v>
      </c>
      <c r="H8" s="5" t="n">
        <v>10.73</v>
      </c>
      <c r="I8" s="5">
        <f>G8*H8</f>
        <v/>
      </c>
      <c r="J8" s="5">
        <f>H8/E8</f>
        <v/>
      </c>
      <c r="K8" s="5" t="n">
        <v>11.95</v>
      </c>
      <c r="L8" s="5" t="n">
        <v>10.05</v>
      </c>
      <c r="M8" s="5" t="n">
        <v>11.25666666666667</v>
      </c>
      <c r="N8" s="6">
        <f>J8/M8-1</f>
        <v/>
      </c>
      <c r="O8" s="6">
        <f>J8/K8-1</f>
        <v/>
      </c>
      <c r="P8" s="2" t="inlineStr">
        <is>
          <t>OK (≤ últ. compra)</t>
        </is>
      </c>
      <c r="Q8" s="2" t="inlineStr"/>
    </row>
    <row r="9">
      <c r="A9" s="2" t="n">
        <v>647221</v>
      </c>
      <c r="B9" s="2" t="inlineStr">
        <is>
          <t>685</t>
        </is>
      </c>
      <c r="C9" s="3" t="inlineStr">
        <is>
          <t>7896023705397</t>
        </is>
      </c>
      <c r="D9" s="2" t="inlineStr">
        <is>
          <t>AGUA INGLESA 500ML</t>
        </is>
      </c>
      <c r="E9" s="4" t="n">
        <v>1</v>
      </c>
      <c r="F9" s="4" t="n">
        <v>3</v>
      </c>
      <c r="G9" s="4" t="n">
        <v>3</v>
      </c>
      <c r="H9" s="5" t="n">
        <v>22.17</v>
      </c>
      <c r="I9" s="5">
        <f>G9*H9</f>
        <v/>
      </c>
      <c r="J9" s="5">
        <f>H9/E9</f>
        <v/>
      </c>
      <c r="K9" s="5" t="n">
        <v>22.12</v>
      </c>
      <c r="L9" s="5" t="n">
        <v>22.12</v>
      </c>
      <c r="M9" s="5" t="n">
        <v>22.12</v>
      </c>
      <c r="N9" s="6">
        <f>J9/M9-1</f>
        <v/>
      </c>
      <c r="O9" s="6">
        <f>J9/K9-1</f>
        <v/>
      </c>
      <c r="P9" s="2" t="inlineStr">
        <is>
          <t>REAJUSTE +0.2% vs últ. (≤4%)</t>
        </is>
      </c>
      <c r="Q9" s="2" t="inlineStr"/>
    </row>
    <row r="10">
      <c r="A10" s="2" t="n">
        <v>532201</v>
      </c>
      <c r="B10" s="2" t="inlineStr">
        <is>
          <t>854</t>
        </is>
      </c>
      <c r="C10" s="3" t="inlineStr">
        <is>
          <t>7898048690887</t>
        </is>
      </c>
      <c r="D10" s="2" t="inlineStr">
        <is>
          <t>AGUARDENTE ALEMA JALAPA D1 30ML</t>
        </is>
      </c>
      <c r="E10" s="4" t="n">
        <v>1</v>
      </c>
      <c r="F10" s="4" t="n">
        <v>3</v>
      </c>
      <c r="G10" s="4" t="n">
        <v>3</v>
      </c>
      <c r="H10" s="5" t="n">
        <v>2.4</v>
      </c>
      <c r="I10" s="5">
        <f>G10*H10</f>
        <v/>
      </c>
      <c r="J10" s="5">
        <f>H10/E10</f>
        <v/>
      </c>
      <c r="K10" s="5" t="n">
        <v>2.4</v>
      </c>
      <c r="L10" s="5" t="n">
        <v>2.38</v>
      </c>
      <c r="M10" s="5" t="n">
        <v>2.38</v>
      </c>
      <c r="N10" s="6">
        <f>J10/M10-1</f>
        <v/>
      </c>
      <c r="O10" s="6">
        <f>J10/K10-1</f>
        <v/>
      </c>
      <c r="P10" s="2" t="inlineStr">
        <is>
          <t>OK (≤ últ. compra)</t>
        </is>
      </c>
      <c r="Q10" s="2" t="inlineStr"/>
    </row>
    <row r="11">
      <c r="A11" s="2" t="n">
        <v>578621</v>
      </c>
      <c r="B11" s="2" t="inlineStr">
        <is>
          <t>505</t>
        </is>
      </c>
      <c r="C11" s="3" t="inlineStr">
        <is>
          <t>7899780159182</t>
        </is>
      </c>
      <c r="D11" s="2" t="inlineStr">
        <is>
          <t>AGULHA 30X0,7 DESC. WILTEX</t>
        </is>
      </c>
      <c r="E11" s="4" t="n">
        <v>100</v>
      </c>
      <c r="F11" s="4" t="n">
        <v>1</v>
      </c>
      <c r="G11" s="4" t="n">
        <v>1</v>
      </c>
      <c r="H11" s="5" t="n">
        <v>11.6</v>
      </c>
      <c r="I11" s="5">
        <f>G11*H11</f>
        <v/>
      </c>
      <c r="J11" s="5">
        <f>H11/E11</f>
        <v/>
      </c>
      <c r="K11" s="5" t="n">
        <v>0.1234</v>
      </c>
      <c r="L11" s="5" t="n">
        <v>0.1234</v>
      </c>
      <c r="M11" s="5" t="n">
        <v>0.1234</v>
      </c>
      <c r="N11" s="6">
        <f>J11/M11-1</f>
        <v/>
      </c>
      <c r="O11" s="6">
        <f>J11/K11-1</f>
        <v/>
      </c>
      <c r="P11" s="2" t="inlineStr">
        <is>
          <t>OK (≤ últ. compra)</t>
        </is>
      </c>
      <c r="Q11" s="2" t="inlineStr">
        <is>
          <t>1 emb = 100 un</t>
        </is>
      </c>
    </row>
    <row r="12">
      <c r="A12" s="2" t="n">
        <v>553701</v>
      </c>
      <c r="B12" s="2" t="inlineStr">
        <is>
          <t>503</t>
        </is>
      </c>
      <c r="C12" s="3" t="inlineStr">
        <is>
          <t>78936263</t>
        </is>
      </c>
      <c r="D12" s="2" t="inlineStr">
        <is>
          <t>AGULHA 30X8 WILTEX</t>
        </is>
      </c>
      <c r="E12" s="4" t="n">
        <v>100</v>
      </c>
      <c r="F12" s="4" t="n">
        <v>3</v>
      </c>
      <c r="G12" s="4" t="n">
        <v>1</v>
      </c>
      <c r="H12" s="5" t="n">
        <v>11.42</v>
      </c>
      <c r="I12" s="5">
        <f>G12*H12</f>
        <v/>
      </c>
      <c r="J12" s="5">
        <f>H12/E12</f>
        <v/>
      </c>
      <c r="K12" s="5" t="n">
        <v>0.15</v>
      </c>
      <c r="L12" s="5" t="n">
        <v>0.15</v>
      </c>
      <c r="M12" s="5" t="n">
        <v>0.15</v>
      </c>
      <c r="N12" s="6">
        <f>J12/M12-1</f>
        <v/>
      </c>
      <c r="O12" s="6">
        <f>J12/K12-1</f>
        <v/>
      </c>
      <c r="P12" s="2" t="inlineStr">
        <is>
          <t>OK (≤ últ. compra)</t>
        </is>
      </c>
      <c r="Q12" s="2" t="inlineStr">
        <is>
          <t>1 emb = 100 un</t>
        </is>
      </c>
    </row>
    <row r="13">
      <c r="A13" s="2" t="n">
        <v>532221</v>
      </c>
      <c r="B13" s="2" t="inlineStr">
        <is>
          <t>7101</t>
        </is>
      </c>
      <c r="C13" s="3" t="inlineStr">
        <is>
          <t>7898031311010</t>
        </is>
      </c>
      <c r="D13" s="2" t="inlineStr">
        <is>
          <t>ALCOOL 70% SPRAY 50 ML</t>
        </is>
      </c>
      <c r="E13" s="4" t="n">
        <v>1</v>
      </c>
      <c r="F13" s="4" t="n">
        <v>15</v>
      </c>
      <c r="G13" s="4" t="n">
        <v>15</v>
      </c>
      <c r="H13" s="5" t="n">
        <v>4.24</v>
      </c>
      <c r="I13" s="5">
        <f>G13*H13</f>
        <v/>
      </c>
      <c r="J13" s="5">
        <f>H13/E13</f>
        <v/>
      </c>
      <c r="K13" s="5" t="n">
        <v>4.01</v>
      </c>
      <c r="L13" s="5" t="n">
        <v>4.01</v>
      </c>
      <c r="M13" s="5" t="n">
        <v>4.01</v>
      </c>
      <c r="N13" s="6">
        <f>J13/M13-1</f>
        <v/>
      </c>
      <c r="O13" s="6">
        <f>J13/K13-1</f>
        <v/>
      </c>
      <c r="P13" s="2" t="inlineStr">
        <is>
          <t>REAJUSTE +5.7% vs média (≤6%)</t>
        </is>
      </c>
      <c r="Q13" s="2" t="inlineStr"/>
    </row>
    <row r="14">
      <c r="A14" s="2" t="n">
        <v>571901</v>
      </c>
      <c r="B14" s="2" t="inlineStr">
        <is>
          <t>9310</t>
        </is>
      </c>
      <c r="C14" s="3" t="inlineStr">
        <is>
          <t>7898582291694</t>
        </is>
      </c>
      <c r="D14" s="2" t="inlineStr">
        <is>
          <t>ALCOOL GEL 70% PERFUMAD COM MICROES 60ML</t>
        </is>
      </c>
      <c r="E14" s="4" t="n">
        <v>1</v>
      </c>
      <c r="F14" s="4" t="n">
        <v>4</v>
      </c>
      <c r="G14" s="4" t="n">
        <v>4</v>
      </c>
      <c r="H14" s="5" t="n">
        <v>5.6</v>
      </c>
      <c r="I14" s="5">
        <f>G14*H14</f>
        <v/>
      </c>
      <c r="J14" s="5">
        <f>H14/E14</f>
        <v/>
      </c>
      <c r="K14" s="5" t="n">
        <v>5.59</v>
      </c>
      <c r="L14" s="5" t="n">
        <v>5.39</v>
      </c>
      <c r="M14" s="5" t="n">
        <v>5.523333333333333</v>
      </c>
      <c r="N14" s="6">
        <f>J14/M14-1</f>
        <v/>
      </c>
      <c r="O14" s="6">
        <f>J14/K14-1</f>
        <v/>
      </c>
      <c r="P14" s="2" t="inlineStr">
        <is>
          <t>REAJUSTE +0.2% vs últ. (≤4%)</t>
        </is>
      </c>
      <c r="Q14" s="2" t="inlineStr"/>
    </row>
    <row r="15">
      <c r="A15" s="2" t="n">
        <v>331061</v>
      </c>
      <c r="B15" s="2" t="inlineStr">
        <is>
          <t>1521</t>
        </is>
      </c>
      <c r="C15" s="3" t="inlineStr">
        <is>
          <t>7896523209715</t>
        </is>
      </c>
      <c r="D15" s="2" t="inlineStr">
        <is>
          <t>ALERGOMINE 10MG/G CREME BG 30G</t>
        </is>
      </c>
      <c r="E15" s="4" t="n">
        <v>1</v>
      </c>
      <c r="F15" s="4" t="n">
        <v>5</v>
      </c>
      <c r="G15" s="4" t="n">
        <v>5</v>
      </c>
      <c r="H15" s="5" t="n">
        <v>6.55</v>
      </c>
      <c r="I15" s="5">
        <f>G15*H15</f>
        <v/>
      </c>
      <c r="J15" s="5">
        <f>H15/E15</f>
        <v/>
      </c>
      <c r="K15" s="5" t="n">
        <v>6.89</v>
      </c>
      <c r="L15" s="5" t="n">
        <v>6.89</v>
      </c>
      <c r="M15" s="5" t="n">
        <v>6.89</v>
      </c>
      <c r="N15" s="6">
        <f>J15/M15-1</f>
        <v/>
      </c>
      <c r="O15" s="6">
        <f>J15/K15-1</f>
        <v/>
      </c>
      <c r="P15" s="2" t="inlineStr">
        <is>
          <t>OK (≤ últ. compra)</t>
        </is>
      </c>
      <c r="Q15" s="2" t="inlineStr"/>
    </row>
    <row r="16">
      <c r="A16" s="2" t="n">
        <v>562421</v>
      </c>
      <c r="B16" s="2" t="inlineStr">
        <is>
          <t>812</t>
        </is>
      </c>
      <c r="C16" s="3" t="inlineStr">
        <is>
          <t>7894488000019</t>
        </is>
      </c>
      <c r="D16" s="2" t="inlineStr">
        <is>
          <t>ALGODAO SPARTERX MULTIUSO 25G</t>
        </is>
      </c>
      <c r="E16" s="4" t="n">
        <v>1</v>
      </c>
      <c r="F16" s="4" t="n">
        <v>25</v>
      </c>
      <c r="G16" s="4" t="n">
        <v>25</v>
      </c>
      <c r="H16" s="5" t="n">
        <v>1.09</v>
      </c>
      <c r="I16" s="5">
        <f>G16*H16</f>
        <v/>
      </c>
      <c r="J16" s="5">
        <f>H16/E16</f>
        <v/>
      </c>
      <c r="K16" s="5" t="n">
        <v>1.09</v>
      </c>
      <c r="L16" s="5" t="n">
        <v>1.09</v>
      </c>
      <c r="M16" s="5" t="n">
        <v>1.09</v>
      </c>
      <c r="N16" s="6">
        <f>J16/M16-1</f>
        <v/>
      </c>
      <c r="O16" s="6">
        <f>J16/K16-1</f>
        <v/>
      </c>
      <c r="P16" s="2" t="inlineStr">
        <is>
          <t>OK (≤ últ. compra)</t>
        </is>
      </c>
      <c r="Q16" s="2" t="inlineStr"/>
    </row>
    <row r="17">
      <c r="A17" s="2" t="n">
        <v>547741</v>
      </c>
      <c r="B17" s="2" t="inlineStr">
        <is>
          <t>2609</t>
        </is>
      </c>
      <c r="C17" s="3" t="inlineStr">
        <is>
          <t>7899620910584</t>
        </is>
      </c>
      <c r="D17" s="2" t="inlineStr">
        <is>
          <t>APETISINA BC 240ML UVA</t>
        </is>
      </c>
      <c r="E17" s="4" t="n">
        <v>1</v>
      </c>
      <c r="F17" s="4" t="n">
        <v>4</v>
      </c>
      <c r="G17" s="4" t="n">
        <v>4</v>
      </c>
      <c r="H17" s="5" t="n">
        <v>5.49</v>
      </c>
      <c r="I17" s="5">
        <f>G17*H17</f>
        <v/>
      </c>
      <c r="J17" s="5">
        <f>H17/E17</f>
        <v/>
      </c>
      <c r="K17" s="5" t="n">
        <v>5.48</v>
      </c>
      <c r="L17" s="5" t="n">
        <v>4.8</v>
      </c>
      <c r="M17" s="5" t="n">
        <v>5.253333333333334</v>
      </c>
      <c r="N17" s="6">
        <f>J17/M17-1</f>
        <v/>
      </c>
      <c r="O17" s="6">
        <f>J17/K17-1</f>
        <v/>
      </c>
      <c r="P17" s="2" t="inlineStr">
        <is>
          <t>REAJUSTE +0.2% vs últ. (≤4%)</t>
        </is>
      </c>
      <c r="Q17" s="2" t="inlineStr"/>
    </row>
    <row r="18">
      <c r="A18" s="2" t="n">
        <v>597791</v>
      </c>
      <c r="B18" s="2" t="inlineStr">
        <is>
          <t>7705</t>
        </is>
      </c>
      <c r="C18" s="3" t="inlineStr">
        <is>
          <t>7898933598625</t>
        </is>
      </c>
      <c r="D18" s="2" t="inlineStr">
        <is>
          <t>ATADURA DE CREPE 06CM UND</t>
        </is>
      </c>
      <c r="E18" s="4" t="n">
        <v>12</v>
      </c>
      <c r="F18" s="4" t="n">
        <v>7</v>
      </c>
      <c r="G18" s="4" t="n">
        <v>1</v>
      </c>
      <c r="H18" s="5" t="n">
        <v>5.25</v>
      </c>
      <c r="I18" s="5">
        <f>G18*H18</f>
        <v/>
      </c>
      <c r="J18" s="5">
        <f>H18/E18</f>
        <v/>
      </c>
      <c r="K18" s="5" t="n">
        <v>0.4992</v>
      </c>
      <c r="L18" s="5" t="n">
        <v>0.4992</v>
      </c>
      <c r="M18" s="5" t="n">
        <v>0.4991999999999999</v>
      </c>
      <c r="N18" s="6">
        <f>J18/M18-1</f>
        <v/>
      </c>
      <c r="O18" s="6">
        <f>J18/K18-1</f>
        <v/>
      </c>
      <c r="P18" s="2" t="inlineStr">
        <is>
          <t>OK (≤ últ. compra)</t>
        </is>
      </c>
      <c r="Q18" s="2" t="inlineStr">
        <is>
          <t>1 emb = 12 un</t>
        </is>
      </c>
    </row>
    <row r="19">
      <c r="A19" s="2" t="n">
        <v>621511</v>
      </c>
      <c r="B19" s="2" t="inlineStr">
        <is>
          <t>7648</t>
        </is>
      </c>
      <c r="C19" s="3" t="inlineStr">
        <is>
          <t>7898933598816</t>
        </is>
      </c>
      <c r="D19" s="2" t="inlineStr">
        <is>
          <t>ATADURA DE CREPE 10CM 13 FIOS TEXPHARMA</t>
        </is>
      </c>
      <c r="E19" s="4" t="n">
        <v>12</v>
      </c>
      <c r="F19" s="4" t="n">
        <v>12</v>
      </c>
      <c r="G19" s="4" t="n">
        <v>1</v>
      </c>
      <c r="H19" s="5" t="n">
        <v>6.53</v>
      </c>
      <c r="I19" s="5">
        <f>G19*H19</f>
        <v/>
      </c>
      <c r="J19" s="5">
        <f>H19/E19</f>
        <v/>
      </c>
      <c r="K19" s="5" t="n">
        <v>0.8325</v>
      </c>
      <c r="L19" s="5" t="n">
        <v>0.8325</v>
      </c>
      <c r="M19" s="5" t="n">
        <v>0.8325</v>
      </c>
      <c r="N19" s="6">
        <f>J19/M19-1</f>
        <v/>
      </c>
      <c r="O19" s="6">
        <f>J19/K19-1</f>
        <v/>
      </c>
      <c r="P19" s="2" t="inlineStr">
        <is>
          <t>OK (≤ últ. compra)</t>
        </is>
      </c>
      <c r="Q19" s="2" t="inlineStr">
        <is>
          <t>1 emb = 12 un</t>
        </is>
      </c>
    </row>
    <row r="20">
      <c r="A20" s="2" t="n">
        <v>623471</v>
      </c>
      <c r="B20" s="2" t="inlineStr">
        <is>
          <t>7553</t>
        </is>
      </c>
      <c r="C20" s="3" t="inlineStr">
        <is>
          <t>7898933598755</t>
        </is>
      </c>
      <c r="D20" s="2" t="inlineStr">
        <is>
          <t>ATADURA DE CREPE 15CM C/12 UND</t>
        </is>
      </c>
      <c r="E20" s="4" t="n">
        <v>12</v>
      </c>
      <c r="F20" s="4" t="n">
        <v>11</v>
      </c>
      <c r="G20" s="4" t="n">
        <v>1</v>
      </c>
      <c r="H20" s="5" t="n">
        <v>9.82</v>
      </c>
      <c r="I20" s="5">
        <f>G20*H20</f>
        <v/>
      </c>
      <c r="J20" s="5">
        <f>H20/E20</f>
        <v/>
      </c>
      <c r="K20" s="5" t="n">
        <v>1.2492</v>
      </c>
      <c r="L20" s="5" t="n">
        <v>1.1658</v>
      </c>
      <c r="M20" s="5" t="n">
        <v>1.2214</v>
      </c>
      <c r="N20" s="6">
        <f>J20/M20-1</f>
        <v/>
      </c>
      <c r="O20" s="6">
        <f>J20/K20-1</f>
        <v/>
      </c>
      <c r="P20" s="2" t="inlineStr">
        <is>
          <t>OK (≤ últ. compra)</t>
        </is>
      </c>
      <c r="Q20" s="2" t="inlineStr">
        <is>
          <t>1 emb = 12 un</t>
        </is>
      </c>
    </row>
    <row r="21">
      <c r="A21" s="2" t="n">
        <v>623481</v>
      </c>
      <c r="B21" s="2" t="inlineStr">
        <is>
          <t>7706</t>
        </is>
      </c>
      <c r="C21" s="3" t="inlineStr">
        <is>
          <t>7898933598847</t>
        </is>
      </c>
      <c r="D21" s="2" t="inlineStr">
        <is>
          <t>ATADURA DE CREPE 20CM 13 FIOS TEXPHARMA</t>
        </is>
      </c>
      <c r="E21" s="4" t="n">
        <v>12</v>
      </c>
      <c r="F21" s="4" t="n">
        <v>1</v>
      </c>
      <c r="G21" s="4" t="n">
        <v>1</v>
      </c>
      <c r="H21" s="5" t="n">
        <v>13.08</v>
      </c>
      <c r="I21" s="5">
        <f>G21*H21</f>
        <v/>
      </c>
      <c r="J21" s="5">
        <f>H21/E21</f>
        <v/>
      </c>
      <c r="K21" s="5" t="n">
        <v>1.6658</v>
      </c>
      <c r="L21" s="5" t="n">
        <v>1.6658</v>
      </c>
      <c r="M21" s="5" t="n">
        <v>1.6658</v>
      </c>
      <c r="N21" s="6">
        <f>J21/M21-1</f>
        <v/>
      </c>
      <c r="O21" s="6">
        <f>J21/K21-1</f>
        <v/>
      </c>
      <c r="P21" s="2" t="inlineStr">
        <is>
          <t>OK (≤ últ. compra)</t>
        </is>
      </c>
      <c r="Q21" s="2" t="inlineStr">
        <is>
          <t>1 emb = 12 un</t>
        </is>
      </c>
    </row>
    <row r="22">
      <c r="A22" s="2" t="n">
        <v>613211</v>
      </c>
      <c r="B22" s="2" t="inlineStr">
        <is>
          <t>7710</t>
        </is>
      </c>
      <c r="C22" s="3" t="inlineStr">
        <is>
          <t>7898933598786</t>
        </is>
      </c>
      <c r="D22" s="2" t="inlineStr">
        <is>
          <t>ATADURA DE CREPE 30CM C/12 UND</t>
        </is>
      </c>
      <c r="E22" s="4" t="n">
        <v>12</v>
      </c>
      <c r="F22" s="4" t="n">
        <v>3</v>
      </c>
      <c r="G22" s="4" t="n">
        <v>1</v>
      </c>
      <c r="H22" s="5" t="n">
        <v>19.67</v>
      </c>
      <c r="I22" s="5">
        <f>G22*H22</f>
        <v/>
      </c>
      <c r="J22" s="5">
        <f>H22/E22</f>
        <v/>
      </c>
      <c r="K22" s="5" t="n">
        <v>2.1658</v>
      </c>
      <c r="L22" s="5" t="n">
        <v>2.1658</v>
      </c>
      <c r="M22" s="5" t="n">
        <v>2.1658</v>
      </c>
      <c r="N22" s="6">
        <f>J22/M22-1</f>
        <v/>
      </c>
      <c r="O22" s="6">
        <f>J22/K22-1</f>
        <v/>
      </c>
      <c r="P22" s="2" t="inlineStr">
        <is>
          <t>OK (≤ últ. compra)</t>
        </is>
      </c>
      <c r="Q22" s="2" t="inlineStr">
        <is>
          <t>1 emb = 12 un</t>
        </is>
      </c>
    </row>
    <row r="23">
      <c r="A23" s="2" t="n">
        <v>648171</v>
      </c>
      <c r="B23" s="2" t="inlineStr">
        <is>
          <t>8460</t>
        </is>
      </c>
      <c r="C23" s="3" t="inlineStr">
        <is>
          <t>7908007905478</t>
        </is>
      </c>
      <c r="D23" s="2" t="inlineStr">
        <is>
          <t>AUTOTESTE COVID-19 AG (TESTE RAPIDO)</t>
        </is>
      </c>
      <c r="E23" s="4" t="n">
        <v>1</v>
      </c>
      <c r="F23" s="4" t="n">
        <v>1</v>
      </c>
      <c r="G23" s="4" t="n">
        <v>1</v>
      </c>
      <c r="H23" s="5" t="n">
        <v>8.289999999999999</v>
      </c>
      <c r="I23" s="5">
        <f>G23*H23</f>
        <v/>
      </c>
      <c r="J23" s="5">
        <f>H23/E23</f>
        <v/>
      </c>
      <c r="K23" s="5" t="n">
        <v>10.7</v>
      </c>
      <c r="L23" s="5" t="n">
        <v>10.7</v>
      </c>
      <c r="M23" s="5" t="n">
        <v>10.7</v>
      </c>
      <c r="N23" s="6">
        <f>J23/M23-1</f>
        <v/>
      </c>
      <c r="O23" s="6">
        <f>J23/K23-1</f>
        <v/>
      </c>
      <c r="P23" s="2" t="inlineStr">
        <is>
          <t>OK (≤ últ. compra)</t>
        </is>
      </c>
      <c r="Q23" s="2" t="inlineStr"/>
    </row>
    <row r="24">
      <c r="A24" s="2" t="n">
        <v>541321</v>
      </c>
      <c r="B24" s="2" t="inlineStr">
        <is>
          <t>10510</t>
        </is>
      </c>
      <c r="C24" s="3" t="inlineStr">
        <is>
          <t>7898563802468</t>
        </is>
      </c>
      <c r="D24" s="2" t="inlineStr">
        <is>
          <t>BATOM DE CACAU UN</t>
        </is>
      </c>
      <c r="E24" s="4" t="n">
        <v>1</v>
      </c>
      <c r="F24" s="4" t="n">
        <v>1</v>
      </c>
      <c r="G24" s="4" t="n">
        <v>1</v>
      </c>
      <c r="H24" s="5" t="n">
        <v>1.61</v>
      </c>
      <c r="I24" s="5">
        <f>G24*H24</f>
        <v/>
      </c>
      <c r="J24" s="5">
        <f>H24/E24</f>
        <v/>
      </c>
      <c r="K24" s="5" t="n">
        <v>1.61</v>
      </c>
      <c r="L24" s="5" t="n">
        <v>1.61</v>
      </c>
      <c r="M24" s="5" t="n">
        <v>1.61</v>
      </c>
      <c r="N24" s="6">
        <f>J24/M24-1</f>
        <v/>
      </c>
      <c r="O24" s="6">
        <f>J24/K24-1</f>
        <v/>
      </c>
      <c r="P24" s="2" t="inlineStr">
        <is>
          <t>OK (≤ últ. compra)</t>
        </is>
      </c>
      <c r="Q24" s="2" t="inlineStr"/>
    </row>
    <row r="25">
      <c r="A25" s="2" t="n">
        <v>590701</v>
      </c>
      <c r="B25" s="2" t="inlineStr">
        <is>
          <t>3079</t>
        </is>
      </c>
      <c r="C25" s="3" t="inlineStr">
        <is>
          <t>7898031310075</t>
        </is>
      </c>
      <c r="D25" s="2" t="inlineStr">
        <is>
          <t>BAZELIN 10G UN</t>
        </is>
      </c>
      <c r="E25" s="4" t="n">
        <v>1</v>
      </c>
      <c r="F25" s="4" t="n">
        <v>1</v>
      </c>
      <c r="G25" s="4" t="n">
        <v>1</v>
      </c>
      <c r="H25" s="5" t="n">
        <v>3.81</v>
      </c>
      <c r="I25" s="5">
        <f>G25*H25</f>
        <v/>
      </c>
      <c r="J25" s="5">
        <f>H25/E25</f>
        <v/>
      </c>
      <c r="K25" s="5" t="n">
        <v>3.79</v>
      </c>
      <c r="L25" s="5" t="n">
        <v>3.79</v>
      </c>
      <c r="M25" s="5" t="n">
        <v>3.79</v>
      </c>
      <c r="N25" s="6">
        <f>J25/M25-1</f>
        <v/>
      </c>
      <c r="O25" s="6">
        <f>J25/K25-1</f>
        <v/>
      </c>
      <c r="P25" s="2" t="inlineStr">
        <is>
          <t>REAJUSTE +0.5% vs últ. (≤4%)</t>
        </is>
      </c>
      <c r="Q25" s="2" t="inlineStr"/>
    </row>
    <row r="26">
      <c r="A26" s="2" t="n">
        <v>210461</v>
      </c>
      <c r="B26" s="2" t="inlineStr">
        <is>
          <t>9611</t>
        </is>
      </c>
      <c r="C26" s="3" t="inlineStr">
        <is>
          <t>7896004800400</t>
        </is>
      </c>
      <c r="D26" s="2" t="inlineStr">
        <is>
          <t>BENEVRAN CX 20 DRG</t>
        </is>
      </c>
      <c r="E26" s="4" t="n">
        <v>1</v>
      </c>
      <c r="F26" s="4" t="n">
        <v>31</v>
      </c>
      <c r="G26" s="4" t="n">
        <v>31</v>
      </c>
      <c r="H26" s="5" t="n">
        <v>2.34</v>
      </c>
      <c r="I26" s="5">
        <f>G26*H26</f>
        <v/>
      </c>
      <c r="J26" s="5">
        <f>H26/E26</f>
        <v/>
      </c>
      <c r="K26" s="5" t="n">
        <v>2.34</v>
      </c>
      <c r="L26" s="5" t="n">
        <v>2.34</v>
      </c>
      <c r="M26" s="5" t="n">
        <v>2.34</v>
      </c>
      <c r="N26" s="6">
        <f>J26/M26-1</f>
        <v/>
      </c>
      <c r="O26" s="6">
        <f>J26/K26-1</f>
        <v/>
      </c>
      <c r="P26" s="2" t="inlineStr">
        <is>
          <t>OK (≤ últ. compra)</t>
        </is>
      </c>
      <c r="Q26" s="2" t="inlineStr"/>
    </row>
    <row r="27">
      <c r="A27" s="2" t="n">
        <v>49581</v>
      </c>
      <c r="B27" s="2" t="inlineStr">
        <is>
          <t>453</t>
        </is>
      </c>
      <c r="C27" s="3" t="inlineStr">
        <is>
          <t>7898014560077</t>
        </is>
      </c>
      <c r="D27" s="2" t="inlineStr">
        <is>
          <t>BENZODERM 100 MG/G SAB CT FIL PP X 60 G</t>
        </is>
      </c>
      <c r="E27" s="4" t="n">
        <v>1</v>
      </c>
      <c r="F27" s="4" t="n">
        <v>1</v>
      </c>
      <c r="G27" s="4" t="n">
        <v>1</v>
      </c>
      <c r="H27" s="5" t="n">
        <v>6.59</v>
      </c>
      <c r="I27" s="5">
        <f>G27*H27</f>
        <v/>
      </c>
      <c r="J27" s="5">
        <f>H27/E27</f>
        <v/>
      </c>
      <c r="K27" s="5" t="n">
        <v>6.59</v>
      </c>
      <c r="L27" s="5" t="n">
        <v>6.59</v>
      </c>
      <c r="M27" s="5" t="n">
        <v>6.59</v>
      </c>
      <c r="N27" s="6">
        <f>J27/M27-1</f>
        <v/>
      </c>
      <c r="O27" s="6">
        <f>J27/K27-1</f>
        <v/>
      </c>
      <c r="P27" s="2" t="inlineStr">
        <is>
          <t>OK (≤ últ. compra)</t>
        </is>
      </c>
      <c r="Q27" s="2" t="inlineStr"/>
    </row>
    <row r="28">
      <c r="A28" s="2" t="n">
        <v>538061</v>
      </c>
      <c r="B28" s="2" t="inlineStr">
        <is>
          <t>143</t>
        </is>
      </c>
      <c r="C28" s="3" t="inlineStr">
        <is>
          <t>7898031310303</t>
        </is>
      </c>
      <c r="D28" s="2" t="inlineStr">
        <is>
          <t>BICARBONATO DE SODIO 100G</t>
        </is>
      </c>
      <c r="E28" s="4" t="n">
        <v>1</v>
      </c>
      <c r="F28" s="4" t="n">
        <v>24</v>
      </c>
      <c r="G28" s="4" t="n">
        <v>24</v>
      </c>
      <c r="H28" s="5" t="n">
        <v>3.23</v>
      </c>
      <c r="I28" s="5">
        <f>G28*H28</f>
        <v/>
      </c>
      <c r="J28" s="5">
        <f>H28/E28</f>
        <v/>
      </c>
      <c r="K28" s="5" t="n">
        <v>3.05</v>
      </c>
      <c r="L28" s="5" t="n">
        <v>3.05</v>
      </c>
      <c r="M28" s="5" t="n">
        <v>3.049999999999999</v>
      </c>
      <c r="N28" s="6">
        <f>J28/M28-1</f>
        <v/>
      </c>
      <c r="O28" s="6">
        <f>J28/K28-1</f>
        <v/>
      </c>
      <c r="P28" s="2" t="inlineStr">
        <is>
          <t>REAJUSTE +5.9% vs média (≤6%)</t>
        </is>
      </c>
      <c r="Q28" s="2" t="inlineStr"/>
    </row>
    <row r="29">
      <c r="A29" s="2" t="n">
        <v>619101</v>
      </c>
      <c r="B29" s="2" t="inlineStr">
        <is>
          <t>8452</t>
        </is>
      </c>
      <c r="C29" s="3" t="inlineStr">
        <is>
          <t>7898953484243</t>
        </is>
      </c>
      <c r="D29" s="2" t="inlineStr">
        <is>
          <t>BICO P/ SERINGA DE LAVAGEN NASAL C/2</t>
        </is>
      </c>
      <c r="E29" s="4" t="n">
        <v>1</v>
      </c>
      <c r="F29" s="4" t="n">
        <v>7</v>
      </c>
      <c r="G29" s="4" t="n">
        <v>7</v>
      </c>
      <c r="H29" s="5" t="n">
        <v>4.3</v>
      </c>
      <c r="I29" s="5">
        <f>G29*H29</f>
        <v/>
      </c>
      <c r="J29" s="5">
        <f>H29/E29</f>
        <v/>
      </c>
      <c r="K29" s="5" t="n">
        <v>4.3</v>
      </c>
      <c r="L29" s="5" t="n">
        <v>4.3</v>
      </c>
      <c r="M29" s="5" t="n">
        <v>4.3</v>
      </c>
      <c r="N29" s="6">
        <f>J29/M29-1</f>
        <v/>
      </c>
      <c r="O29" s="6">
        <f>J29/K29-1</f>
        <v/>
      </c>
      <c r="P29" s="2" t="inlineStr">
        <is>
          <t>OK (≤ últ. compra)</t>
        </is>
      </c>
      <c r="Q29" s="2" t="inlineStr"/>
    </row>
    <row r="30">
      <c r="A30" s="2" t="n">
        <v>3893</v>
      </c>
      <c r="B30" s="2" t="inlineStr">
        <is>
          <t>7444</t>
        </is>
      </c>
      <c r="C30" s="3" t="inlineStr">
        <is>
          <t>7908414448933</t>
        </is>
      </c>
      <c r="D30" s="2" t="inlineStr">
        <is>
          <t>BOLSA TERMICA GEL AZUL HC353</t>
        </is>
      </c>
      <c r="E30" s="4" t="n">
        <v>1</v>
      </c>
      <c r="F30" s="4" t="n">
        <v>6</v>
      </c>
      <c r="G30" s="4" t="n">
        <v>6</v>
      </c>
      <c r="H30" s="5" t="n">
        <v>12.92</v>
      </c>
      <c r="I30" s="5">
        <f>G30*H30</f>
        <v/>
      </c>
      <c r="J30" s="5">
        <f>H30/E30</f>
        <v/>
      </c>
      <c r="K30" s="5" t="n">
        <v>12.92</v>
      </c>
      <c r="L30" s="5" t="n">
        <v>12.92</v>
      </c>
      <c r="M30" s="5" t="n">
        <v>12.92</v>
      </c>
      <c r="N30" s="6">
        <f>J30/M30-1</f>
        <v/>
      </c>
      <c r="O30" s="6">
        <f>J30/K30-1</f>
        <v/>
      </c>
      <c r="P30" s="2" t="inlineStr">
        <is>
          <t>OK (≤ últ. compra)</t>
        </is>
      </c>
      <c r="Q30" s="2" t="inlineStr"/>
    </row>
    <row r="31">
      <c r="A31" s="2" t="n">
        <v>674321</v>
      </c>
      <c r="B31" s="2" t="inlineStr">
        <is>
          <t>9959</t>
        </is>
      </c>
      <c r="C31" s="3" t="inlineStr">
        <is>
          <t>7898975719040</t>
        </is>
      </c>
      <c r="D31" s="2" t="inlineStr">
        <is>
          <t>BOLSA TERMICA GEL QUENTE OU FRIO GRANDE</t>
        </is>
      </c>
      <c r="E31" s="4" t="n">
        <v>1</v>
      </c>
      <c r="F31" s="4" t="n">
        <v>1</v>
      </c>
      <c r="G31" s="4" t="n">
        <v>1</v>
      </c>
      <c r="H31" s="5" t="n">
        <v>10.63</v>
      </c>
      <c r="I31" s="5">
        <f>G31*H31</f>
        <v/>
      </c>
      <c r="J31" s="5">
        <f>H31/E31</f>
        <v/>
      </c>
      <c r="K31" s="5" t="n">
        <v>10.63</v>
      </c>
      <c r="L31" s="5" t="n">
        <v>10.63</v>
      </c>
      <c r="M31" s="5" t="n">
        <v>10.63</v>
      </c>
      <c r="N31" s="6">
        <f>J31/M31-1</f>
        <v/>
      </c>
      <c r="O31" s="6">
        <f>J31/K31-1</f>
        <v/>
      </c>
      <c r="P31" s="2" t="inlineStr">
        <is>
          <t>OK (≤ últ. compra)</t>
        </is>
      </c>
      <c r="Q31" s="2" t="inlineStr"/>
    </row>
    <row r="32">
      <c r="A32" s="2" t="n">
        <v>194</v>
      </c>
      <c r="B32" s="2" t="inlineStr">
        <is>
          <t>10651</t>
        </is>
      </c>
      <c r="C32" s="3" t="inlineStr">
        <is>
          <t>7894164010264</t>
        </is>
      </c>
      <c r="D32" s="2" t="inlineStr">
        <is>
          <t>BROMOPRIDA 4MG/ML 20ML</t>
        </is>
      </c>
      <c r="E32" s="4" t="n">
        <v>1</v>
      </c>
      <c r="F32" s="4" t="n">
        <v>2</v>
      </c>
      <c r="G32" s="4" t="n">
        <v>2</v>
      </c>
      <c r="H32" s="5" t="n">
        <v>3.58</v>
      </c>
      <c r="I32" s="5">
        <f>G32*H32</f>
        <v/>
      </c>
      <c r="J32" s="5">
        <f>H32/E32</f>
        <v/>
      </c>
      <c r="K32" s="5" t="n">
        <v>3.58</v>
      </c>
      <c r="L32" s="5" t="n">
        <v>3.58</v>
      </c>
      <c r="M32" s="5" t="n">
        <v>3.58</v>
      </c>
      <c r="N32" s="6">
        <f>J32/M32-1</f>
        <v/>
      </c>
      <c r="O32" s="6">
        <f>J32/K32-1</f>
        <v/>
      </c>
      <c r="P32" s="2" t="inlineStr">
        <is>
          <t>OK (≤ últ. compra)</t>
        </is>
      </c>
      <c r="Q32" s="2" t="inlineStr"/>
    </row>
    <row r="33">
      <c r="A33" s="2" t="n">
        <v>294981</v>
      </c>
      <c r="B33" s="2" t="inlineStr">
        <is>
          <t>1553</t>
        </is>
      </c>
      <c r="C33" s="3" t="inlineStr">
        <is>
          <t>7896472513284</t>
        </is>
      </c>
      <c r="D33" s="2" t="inlineStr">
        <is>
          <t>BUPROVIL 300MG CX 20 COMP</t>
        </is>
      </c>
      <c r="E33" s="4" t="n">
        <v>1</v>
      </c>
      <c r="F33" s="4" t="n">
        <v>1</v>
      </c>
      <c r="G33" s="4" t="n">
        <v>1</v>
      </c>
      <c r="H33" s="5" t="n">
        <v>5.63</v>
      </c>
      <c r="I33" s="5">
        <f>G33*H33</f>
        <v/>
      </c>
      <c r="J33" s="5">
        <f>H33/E33</f>
        <v/>
      </c>
      <c r="K33" s="5" t="n">
        <v>5.63</v>
      </c>
      <c r="L33" s="5" t="n">
        <v>5.63</v>
      </c>
      <c r="M33" s="5" t="n">
        <v>5.63</v>
      </c>
      <c r="N33" s="6">
        <f>J33/M33-1</f>
        <v/>
      </c>
      <c r="O33" s="6">
        <f>J33/K33-1</f>
        <v/>
      </c>
      <c r="P33" s="2" t="inlineStr">
        <is>
          <t>OK (≤ últ. compra)</t>
        </is>
      </c>
      <c r="Q33" s="2" t="inlineStr"/>
    </row>
    <row r="34">
      <c r="A34" s="2" t="n">
        <v>74721</v>
      </c>
      <c r="B34" s="2" t="inlineStr">
        <is>
          <t>1128</t>
        </is>
      </c>
      <c r="C34" s="3" t="inlineStr">
        <is>
          <t>7899620910164</t>
        </is>
      </c>
      <c r="D34" s="2" t="inlineStr">
        <is>
          <t>CAPTOPRIL 50MG CX 30 COMP</t>
        </is>
      </c>
      <c r="E34" s="4" t="n">
        <v>1</v>
      </c>
      <c r="F34" s="4" t="n">
        <v>3</v>
      </c>
      <c r="G34" s="4" t="n">
        <v>3</v>
      </c>
      <c r="H34" s="5" t="n">
        <v>4.04</v>
      </c>
      <c r="I34" s="5">
        <f>G34*H34</f>
        <v/>
      </c>
      <c r="J34" s="5">
        <f>H34/E34</f>
        <v/>
      </c>
      <c r="K34" s="5" t="n">
        <v>4.04</v>
      </c>
      <c r="L34" s="5" t="n">
        <v>4.04</v>
      </c>
      <c r="M34" s="5" t="n">
        <v>4.04</v>
      </c>
      <c r="N34" s="6">
        <f>J34/M34-1</f>
        <v/>
      </c>
      <c r="O34" s="6">
        <f>J34/K34-1</f>
        <v/>
      </c>
      <c r="P34" s="2" t="inlineStr">
        <is>
          <t>OK (≤ últ. compra)</t>
        </is>
      </c>
      <c r="Q34" s="2" t="inlineStr"/>
    </row>
    <row r="35">
      <c r="A35" s="2" t="n">
        <v>86481</v>
      </c>
      <c r="B35" s="2" t="inlineStr">
        <is>
          <t>1669</t>
        </is>
      </c>
      <c r="C35" s="3" t="inlineStr">
        <is>
          <t>7896004718309</t>
        </is>
      </c>
      <c r="D35" s="2" t="inlineStr">
        <is>
          <t>CEDROXIL 500MG CX 8 CAP</t>
        </is>
      </c>
      <c r="E35" s="4" t="n">
        <v>1</v>
      </c>
      <c r="F35" s="4" t="n">
        <v>1</v>
      </c>
      <c r="G35" s="4" t="n">
        <v>1</v>
      </c>
      <c r="H35" s="5" t="n">
        <v>9.789999999999999</v>
      </c>
      <c r="I35" s="5">
        <f>G35*H35</f>
        <v/>
      </c>
      <c r="J35" s="5">
        <f>H35/E35</f>
        <v/>
      </c>
      <c r="K35" s="5" t="n">
        <v>9.4</v>
      </c>
      <c r="L35" s="5" t="n">
        <v>9.35</v>
      </c>
      <c r="M35" s="5" t="n">
        <v>9.35</v>
      </c>
      <c r="N35" s="6">
        <f>J35/M35-1</f>
        <v/>
      </c>
      <c r="O35" s="6">
        <f>J35/K35-1</f>
        <v/>
      </c>
      <c r="P35" s="2" t="inlineStr">
        <is>
          <t>REAJUSTE +4.7% vs média (≤6%)</t>
        </is>
      </c>
      <c r="Q35" s="2" t="inlineStr"/>
    </row>
    <row r="36">
      <c r="A36" s="2" t="n">
        <v>646641</v>
      </c>
      <c r="B36" s="2" t="inlineStr">
        <is>
          <t>8003</t>
        </is>
      </c>
      <c r="C36" s="3" t="inlineStr">
        <is>
          <t>7898048690405</t>
        </is>
      </c>
      <c r="D36" s="2" t="inlineStr">
        <is>
          <t>CLORETO DE MAGNESIO P.A 600MG C/60 CPR</t>
        </is>
      </c>
      <c r="E36" s="4" t="n">
        <v>1</v>
      </c>
      <c r="F36" s="4" t="n">
        <v>5</v>
      </c>
      <c r="G36" s="4" t="n">
        <v>5</v>
      </c>
      <c r="H36" s="5" t="n">
        <v>9.18</v>
      </c>
      <c r="I36" s="5">
        <f>G36*H36</f>
        <v/>
      </c>
      <c r="J36" s="5">
        <f>H36/E36</f>
        <v/>
      </c>
      <c r="K36" s="5" t="n">
        <v>8.9</v>
      </c>
      <c r="L36" s="5" t="n">
        <v>8.9</v>
      </c>
      <c r="M36" s="5" t="n">
        <v>8.9</v>
      </c>
      <c r="N36" s="6">
        <f>J36/M36-1</f>
        <v/>
      </c>
      <c r="O36" s="6">
        <f>J36/K36-1</f>
        <v/>
      </c>
      <c r="P36" s="2" t="inlineStr">
        <is>
          <t>REAJUSTE +3.1% vs últ. (≤4%)</t>
        </is>
      </c>
      <c r="Q36" s="2" t="inlineStr"/>
    </row>
    <row r="37">
      <c r="A37" s="2" t="n">
        <v>619951</v>
      </c>
      <c r="B37" s="2" t="inlineStr">
        <is>
          <t>1332</t>
        </is>
      </c>
      <c r="C37" s="3" t="inlineStr">
        <is>
          <t>7898031310853</t>
        </is>
      </c>
      <c r="D37" s="2" t="inlineStr">
        <is>
          <t>CLORETO DE MAGNESIO PA 500MG C/60 CPS</t>
        </is>
      </c>
      <c r="E37" s="4" t="n">
        <v>1</v>
      </c>
      <c r="F37" s="4" t="n">
        <v>6</v>
      </c>
      <c r="G37" s="4" t="n">
        <v>6</v>
      </c>
      <c r="H37" s="5" t="n">
        <v>13.61</v>
      </c>
      <c r="I37" s="5">
        <f>G37*H37</f>
        <v/>
      </c>
      <c r="J37" s="5">
        <f>H37/E37</f>
        <v/>
      </c>
      <c r="K37" s="5" t="n">
        <v>13.61</v>
      </c>
      <c r="L37" s="5" t="n">
        <v>13.61</v>
      </c>
      <c r="M37" s="5" t="n">
        <v>13.61</v>
      </c>
      <c r="N37" s="6">
        <f>J37/M37-1</f>
        <v/>
      </c>
      <c r="O37" s="6">
        <f>J37/K37-1</f>
        <v/>
      </c>
      <c r="P37" s="2" t="inlineStr">
        <is>
          <t>OK (≤ últ. compra)</t>
        </is>
      </c>
      <c r="Q37" s="2" t="inlineStr"/>
    </row>
    <row r="38">
      <c r="A38" s="2" t="n">
        <v>132801</v>
      </c>
      <c r="B38" s="2" t="inlineStr">
        <is>
          <t>2260</t>
        </is>
      </c>
      <c r="C38" s="3" t="inlineStr">
        <is>
          <t>7896523214641</t>
        </is>
      </c>
      <c r="D38" s="2" t="inlineStr">
        <is>
          <t>CLORIDRATO DE CICLOBENZAPRINA 10MG CX 15 COMP REV</t>
        </is>
      </c>
      <c r="E38" s="4" t="n">
        <v>1</v>
      </c>
      <c r="F38" s="4" t="n">
        <v>34</v>
      </c>
      <c r="G38" s="4" t="n">
        <v>34</v>
      </c>
      <c r="H38" s="5" t="n">
        <v>2.63</v>
      </c>
      <c r="I38" s="5">
        <f>G38*H38</f>
        <v/>
      </c>
      <c r="J38" s="5">
        <f>H38/E38</f>
        <v/>
      </c>
      <c r="K38" s="5" t="n">
        <v>2.63</v>
      </c>
      <c r="L38" s="5" t="n">
        <v>2.49</v>
      </c>
      <c r="M38" s="5" t="n">
        <v>2.57</v>
      </c>
      <c r="N38" s="6">
        <f>J38/M38-1</f>
        <v/>
      </c>
      <c r="O38" s="6">
        <f>J38/K38-1</f>
        <v/>
      </c>
      <c r="P38" s="2" t="inlineStr">
        <is>
          <t>OK (≤ últ. compra)</t>
        </is>
      </c>
      <c r="Q38" s="2" t="inlineStr"/>
    </row>
    <row r="39">
      <c r="A39" s="2" t="n">
        <v>323981</v>
      </c>
      <c r="B39" s="2" t="inlineStr">
        <is>
          <t>3580</t>
        </is>
      </c>
      <c r="C39" s="3" t="inlineStr">
        <is>
          <t>7898060132600</t>
        </is>
      </c>
      <c r="D39" s="2" t="inlineStr">
        <is>
          <t>CLORIDRATO DE LOPERAMIDA 2MG CX 12 COMP</t>
        </is>
      </c>
      <c r="E39" s="4" t="n">
        <v>1</v>
      </c>
      <c r="F39" s="4" t="n">
        <v>19</v>
      </c>
      <c r="G39" s="4" t="n">
        <v>19</v>
      </c>
      <c r="H39" s="5" t="n">
        <v>2.08</v>
      </c>
      <c r="I39" s="5">
        <f>G39*H39</f>
        <v/>
      </c>
      <c r="J39" s="5">
        <f>H39/E39</f>
        <v/>
      </c>
      <c r="K39" s="5" t="n">
        <v>2.02</v>
      </c>
      <c r="L39" s="5" t="n">
        <v>2.02</v>
      </c>
      <c r="M39" s="5" t="n">
        <v>2.02</v>
      </c>
      <c r="N39" s="6">
        <f>J39/M39-1</f>
        <v/>
      </c>
      <c r="O39" s="6">
        <f>J39/K39-1</f>
        <v/>
      </c>
      <c r="P39" s="2" t="inlineStr">
        <is>
          <t>REAJUSTE +3.0% vs últ. (≤4%)</t>
        </is>
      </c>
      <c r="Q39" s="2" t="inlineStr"/>
    </row>
    <row r="40">
      <c r="A40" s="2" t="n">
        <v>511621</v>
      </c>
      <c r="B40" s="2" t="inlineStr">
        <is>
          <t>8223</t>
        </is>
      </c>
      <c r="C40" s="3" t="inlineStr">
        <is>
          <t>7897917005708</t>
        </is>
      </c>
      <c r="D40" s="2" t="inlineStr">
        <is>
          <t>CLORIDRATO DE METOCLOPRAMIDA 10MG CX 20 COMP</t>
        </is>
      </c>
      <c r="E40" s="4" t="n">
        <v>1</v>
      </c>
      <c r="F40" s="4" t="n">
        <v>1</v>
      </c>
      <c r="G40" s="4" t="n">
        <v>1</v>
      </c>
      <c r="H40" s="5" t="n">
        <v>3.2</v>
      </c>
      <c r="I40" s="5">
        <f>G40*H40</f>
        <v/>
      </c>
      <c r="J40" s="5">
        <f>H40/E40</f>
        <v/>
      </c>
      <c r="K40" s="5" t="n">
        <v>3.2</v>
      </c>
      <c r="L40" s="5" t="n">
        <v>3.2</v>
      </c>
      <c r="M40" s="5" t="n">
        <v>3.200000000000001</v>
      </c>
      <c r="N40" s="6">
        <f>J40/M40-1</f>
        <v/>
      </c>
      <c r="O40" s="6">
        <f>J40/K40-1</f>
        <v/>
      </c>
      <c r="P40" s="2" t="inlineStr">
        <is>
          <t>OK (≤ últ. compra)</t>
        </is>
      </c>
      <c r="Q40" s="2" t="inlineStr"/>
    </row>
    <row r="41">
      <c r="A41" s="2" t="n">
        <v>661121</v>
      </c>
      <c r="B41" s="2" t="inlineStr">
        <is>
          <t>8069</t>
        </is>
      </c>
      <c r="C41" s="3" t="inlineStr">
        <is>
          <t>7897146650021</t>
        </is>
      </c>
      <c r="D41" s="2" t="inlineStr">
        <is>
          <t>COMPLEXO B C/100 CPR.</t>
        </is>
      </c>
      <c r="E41" s="4" t="n">
        <v>1</v>
      </c>
      <c r="F41" s="4" t="n">
        <v>1</v>
      </c>
      <c r="G41" s="4" t="n">
        <v>1</v>
      </c>
      <c r="H41" s="5" t="n">
        <v>7.97</v>
      </c>
      <c r="I41" s="5">
        <f>G41*H41</f>
        <v/>
      </c>
      <c r="J41" s="5">
        <f>H41/E41</f>
        <v/>
      </c>
      <c r="K41" s="5" t="n">
        <v>7.97</v>
      </c>
      <c r="L41" s="5" t="n">
        <v>7.97</v>
      </c>
      <c r="M41" s="5" t="n">
        <v>7.97</v>
      </c>
      <c r="N41" s="6">
        <f>J41/M41-1</f>
        <v/>
      </c>
      <c r="O41" s="6">
        <f>J41/K41-1</f>
        <v/>
      </c>
      <c r="P41" s="2" t="inlineStr">
        <is>
          <t>OK (≤ últ. compra)</t>
        </is>
      </c>
      <c r="Q41" s="2" t="inlineStr"/>
    </row>
    <row r="42">
      <c r="A42" s="2" t="n">
        <v>608751</v>
      </c>
      <c r="B42" s="2" t="inlineStr">
        <is>
          <t>795</t>
        </is>
      </c>
      <c r="C42" s="3" t="inlineStr">
        <is>
          <t>7897146600200</t>
        </is>
      </c>
      <c r="D42" s="2" t="inlineStr">
        <is>
          <t>COMPLEXO B C/30 CPR</t>
        </is>
      </c>
      <c r="E42" s="4" t="n">
        <v>1</v>
      </c>
      <c r="F42" s="4" t="n">
        <v>1</v>
      </c>
      <c r="G42" s="4" t="n">
        <v>1</v>
      </c>
      <c r="H42" s="5" t="n">
        <v>3.38</v>
      </c>
      <c r="I42" s="5">
        <f>G42*H42</f>
        <v/>
      </c>
      <c r="J42" s="5">
        <f>H42/E42</f>
        <v/>
      </c>
      <c r="K42" s="5" t="n">
        <v>3.38</v>
      </c>
      <c r="L42" s="5" t="n">
        <v>3.38</v>
      </c>
      <c r="M42" s="5" t="n">
        <v>3.38</v>
      </c>
      <c r="N42" s="6">
        <f>J42/M42-1</f>
        <v/>
      </c>
      <c r="O42" s="6">
        <f>J42/K42-1</f>
        <v/>
      </c>
      <c r="P42" s="2" t="inlineStr">
        <is>
          <t>OK (≤ últ. compra)</t>
        </is>
      </c>
      <c r="Q42" s="2" t="inlineStr"/>
    </row>
    <row r="43">
      <c r="A43" s="2" t="n">
        <v>592581</v>
      </c>
      <c r="B43" s="2" t="inlineStr">
        <is>
          <t>7632</t>
        </is>
      </c>
      <c r="C43" s="3" t="inlineStr">
        <is>
          <t>7897146600064</t>
        </is>
      </c>
      <c r="D43" s="2" t="inlineStr">
        <is>
          <t>COMPLEXO B C/50 CPR</t>
        </is>
      </c>
      <c r="E43" s="4" t="n">
        <v>1</v>
      </c>
      <c r="F43" s="4" t="n">
        <v>4</v>
      </c>
      <c r="G43" s="4" t="n">
        <v>4</v>
      </c>
      <c r="H43" s="5" t="n">
        <v>5</v>
      </c>
      <c r="I43" s="5">
        <f>G43*H43</f>
        <v/>
      </c>
      <c r="J43" s="5">
        <f>H43/E43</f>
        <v/>
      </c>
      <c r="K43" s="5" t="n">
        <v>5</v>
      </c>
      <c r="L43" s="5" t="n">
        <v>5</v>
      </c>
      <c r="M43" s="5" t="n">
        <v>5</v>
      </c>
      <c r="N43" s="6">
        <f>J43/M43-1</f>
        <v/>
      </c>
      <c r="O43" s="6">
        <f>J43/K43-1</f>
        <v/>
      </c>
      <c r="P43" s="2" t="inlineStr">
        <is>
          <t>OK (≤ últ. compra)</t>
        </is>
      </c>
      <c r="Q43" s="2" t="inlineStr"/>
    </row>
    <row r="44">
      <c r="A44" s="2" t="n">
        <v>541341</v>
      </c>
      <c r="B44" s="2" t="inlineStr">
        <is>
          <t>5033</t>
        </is>
      </c>
      <c r="C44" s="3" t="inlineStr">
        <is>
          <t>7898964832156</t>
        </is>
      </c>
      <c r="D44" s="2" t="inlineStr">
        <is>
          <t>COMPLEXO B C/60COMP.</t>
        </is>
      </c>
      <c r="E44" s="4" t="n">
        <v>1</v>
      </c>
      <c r="F44" s="4" t="n">
        <v>10</v>
      </c>
      <c r="G44" s="4" t="n">
        <v>10</v>
      </c>
      <c r="H44" s="5" t="n">
        <v>5.24</v>
      </c>
      <c r="I44" s="5">
        <f>G44*H44</f>
        <v/>
      </c>
      <c r="J44" s="5">
        <f>H44/E44</f>
        <v/>
      </c>
      <c r="K44" s="5" t="n">
        <v>5.24</v>
      </c>
      <c r="L44" s="5" t="n">
        <v>5.13</v>
      </c>
      <c r="M44" s="5" t="n">
        <v>5.203333333333333</v>
      </c>
      <c r="N44" s="6">
        <f>J44/M44-1</f>
        <v/>
      </c>
      <c r="O44" s="6">
        <f>J44/K44-1</f>
        <v/>
      </c>
      <c r="P44" s="2" t="inlineStr">
        <is>
          <t>OK (≤ últ. compra)</t>
        </is>
      </c>
      <c r="Q44" s="2" t="inlineStr"/>
    </row>
    <row r="45">
      <c r="A45" s="2" t="n">
        <v>581021</v>
      </c>
      <c r="B45" s="2" t="inlineStr">
        <is>
          <t>3494</t>
        </is>
      </c>
      <c r="C45" s="3" t="inlineStr">
        <is>
          <t>7898277713333</t>
        </is>
      </c>
      <c r="D45" s="2" t="inlineStr">
        <is>
          <t>COMPLEXO B SOL ORAL 100ML (POLIVITAMINAS</t>
        </is>
      </c>
      <c r="E45" s="4" t="n">
        <v>1</v>
      </c>
      <c r="F45" s="4" t="n">
        <v>3</v>
      </c>
      <c r="G45" s="4" t="n">
        <v>3</v>
      </c>
      <c r="H45" s="5" t="n">
        <v>3.9</v>
      </c>
      <c r="I45" s="5">
        <f>G45*H45</f>
        <v/>
      </c>
      <c r="J45" s="5">
        <f>H45/E45</f>
        <v/>
      </c>
      <c r="K45" s="5" t="n">
        <v>3.9</v>
      </c>
      <c r="L45" s="5" t="n">
        <v>3.9</v>
      </c>
      <c r="M45" s="5" t="n">
        <v>3.9</v>
      </c>
      <c r="N45" s="6">
        <f>J45/M45-1</f>
        <v/>
      </c>
      <c r="O45" s="6">
        <f>J45/K45-1</f>
        <v/>
      </c>
      <c r="P45" s="2" t="inlineStr">
        <is>
          <t>OK (≤ últ. compra)</t>
        </is>
      </c>
      <c r="Q45" s="2" t="inlineStr"/>
    </row>
    <row r="46">
      <c r="A46" s="2" t="n">
        <v>556101</v>
      </c>
      <c r="B46" s="2" t="inlineStr">
        <is>
          <t>6037</t>
        </is>
      </c>
      <c r="C46" s="3" t="inlineStr">
        <is>
          <t>7898668060152</t>
        </is>
      </c>
      <c r="D46" s="2" t="inlineStr">
        <is>
          <t>COMPRESSA GAZE 11 FIOS C/10 UND LIVIA</t>
        </is>
      </c>
      <c r="E46" s="4" t="n">
        <v>1</v>
      </c>
      <c r="F46" s="4" t="n">
        <v>347</v>
      </c>
      <c r="G46" s="4" t="n">
        <v>347</v>
      </c>
      <c r="H46" s="5" t="n">
        <v>0.55</v>
      </c>
      <c r="I46" s="5">
        <f>G46*H46</f>
        <v/>
      </c>
      <c r="J46" s="5">
        <f>H46/E46</f>
        <v/>
      </c>
      <c r="K46" s="5" t="n">
        <v>0.55</v>
      </c>
      <c r="L46" s="5" t="n">
        <v>0.1</v>
      </c>
      <c r="M46" s="5" t="n">
        <v>0.4000000000000001</v>
      </c>
      <c r="N46" s="6">
        <f>J46/M46-1</f>
        <v/>
      </c>
      <c r="O46" s="6">
        <f>J46/K46-1</f>
        <v/>
      </c>
      <c r="P46" s="2" t="inlineStr">
        <is>
          <t>OK (≤ últ. compra)</t>
        </is>
      </c>
      <c r="Q46" s="2" t="inlineStr"/>
    </row>
    <row r="47">
      <c r="A47" s="2" t="n">
        <v>538361</v>
      </c>
      <c r="B47" s="2" t="inlineStr">
        <is>
          <t>4382</t>
        </is>
      </c>
      <c r="C47" s="3" t="inlineStr">
        <is>
          <t>7898668060190</t>
        </is>
      </c>
      <c r="D47" s="2" t="inlineStr">
        <is>
          <t>COMPRESSA GAZE 13 FIOS C/10 UND LIVIA</t>
        </is>
      </c>
      <c r="E47" s="4" t="n">
        <v>1</v>
      </c>
      <c r="F47" s="4" t="n">
        <v>368</v>
      </c>
      <c r="G47" s="4" t="n">
        <v>368</v>
      </c>
      <c r="H47" s="5" t="n">
        <v>0.58</v>
      </c>
      <c r="I47" s="5">
        <f>G47*H47</f>
        <v/>
      </c>
      <c r="J47" s="5">
        <f>H47/E47</f>
        <v/>
      </c>
      <c r="K47" s="5" t="n">
        <v>0.58</v>
      </c>
      <c r="L47" s="5" t="n">
        <v>0.1</v>
      </c>
      <c r="M47" s="5" t="n">
        <v>0.26</v>
      </c>
      <c r="N47" s="6">
        <f>J47/M47-1</f>
        <v/>
      </c>
      <c r="O47" s="6">
        <f>J47/K47-1</f>
        <v/>
      </c>
      <c r="P47" s="2" t="inlineStr">
        <is>
          <t>OK (≤ últ. compra)</t>
        </is>
      </c>
      <c r="Q47" s="2" t="inlineStr"/>
    </row>
    <row r="48">
      <c r="A48" s="2" t="n">
        <v>620061</v>
      </c>
      <c r="B48" s="2" t="inlineStr">
        <is>
          <t>9825</t>
        </is>
      </c>
      <c r="C48" s="3" t="inlineStr">
        <is>
          <t>7898136150446</t>
        </is>
      </c>
      <c r="D48" s="2" t="inlineStr">
        <is>
          <t>CURATIVO ADESIVO NATHY TRANSPARENTE 10UN</t>
        </is>
      </c>
      <c r="E48" s="4" t="n">
        <v>1</v>
      </c>
      <c r="F48" s="4" t="n">
        <v>2</v>
      </c>
      <c r="G48" s="4" t="n">
        <v>2</v>
      </c>
      <c r="H48" s="5" t="n">
        <v>1.42</v>
      </c>
      <c r="I48" s="5">
        <f>G48*H48</f>
        <v/>
      </c>
      <c r="J48" s="5">
        <f>H48/E48</f>
        <v/>
      </c>
      <c r="K48" s="5" t="n">
        <v>1.91</v>
      </c>
      <c r="L48" s="5" t="n">
        <v>1.91</v>
      </c>
      <c r="M48" s="5" t="n">
        <v>1.91</v>
      </c>
      <c r="N48" s="6">
        <f>J48/M48-1</f>
        <v/>
      </c>
      <c r="O48" s="6">
        <f>J48/K48-1</f>
        <v/>
      </c>
      <c r="P48" s="2" t="inlineStr">
        <is>
          <t>OK (≤ últ. compra)</t>
        </is>
      </c>
      <c r="Q48" s="2" t="inlineStr"/>
    </row>
    <row r="49">
      <c r="A49" s="2" t="n">
        <v>656461</v>
      </c>
      <c r="B49" s="2" t="inlineStr">
        <is>
          <t>9828</t>
        </is>
      </c>
      <c r="C49" s="3" t="inlineStr">
        <is>
          <t>7898136150620</t>
        </is>
      </c>
      <c r="D49" s="2" t="inlineStr">
        <is>
          <t>CURATIVO NATHY C/35UN BEGE</t>
        </is>
      </c>
      <c r="E49" s="4" t="n">
        <v>1</v>
      </c>
      <c r="F49" s="4" t="n">
        <v>22</v>
      </c>
      <c r="G49" s="4" t="n">
        <v>22</v>
      </c>
      <c r="H49" s="5" t="n">
        <v>3.25</v>
      </c>
      <c r="I49" s="5">
        <f>G49*H49</f>
        <v/>
      </c>
      <c r="J49" s="5">
        <f>H49/E49</f>
        <v/>
      </c>
      <c r="K49" s="5" t="n">
        <v>3.25</v>
      </c>
      <c r="L49" s="5" t="n">
        <v>3.25</v>
      </c>
      <c r="M49" s="5" t="n">
        <v>3.25</v>
      </c>
      <c r="N49" s="6">
        <f>J49/M49-1</f>
        <v/>
      </c>
      <c r="O49" s="6">
        <f>J49/K49-1</f>
        <v/>
      </c>
      <c r="P49" s="2" t="inlineStr">
        <is>
          <t>OK (≤ últ. compra)</t>
        </is>
      </c>
      <c r="Q49" s="2" t="inlineStr"/>
    </row>
    <row r="50">
      <c r="A50" s="2" t="n">
        <v>354681</v>
      </c>
      <c r="B50" s="2" t="inlineStr">
        <is>
          <t>1363</t>
        </is>
      </c>
      <c r="C50" s="3" t="inlineStr">
        <is>
          <t>7893736010220</t>
        </is>
      </c>
      <c r="D50" s="2" t="inlineStr">
        <is>
          <t>DERMOBAN 20MG CREME DERM BG 15G</t>
        </is>
      </c>
      <c r="E50" s="4" t="n">
        <v>1</v>
      </c>
      <c r="F50" s="4" t="n">
        <v>10</v>
      </c>
      <c r="G50" s="4" t="n">
        <v>10</v>
      </c>
      <c r="H50" s="5" t="n">
        <v>25.99</v>
      </c>
      <c r="I50" s="5">
        <f>G50*H50</f>
        <v/>
      </c>
      <c r="J50" s="5">
        <f>H50/E50</f>
        <v/>
      </c>
      <c r="K50" s="5" t="n">
        <v>32.99</v>
      </c>
      <c r="L50" s="5" t="n">
        <v>25.01</v>
      </c>
      <c r="M50" s="5" t="n">
        <v>25.01</v>
      </c>
      <c r="N50" s="6">
        <f>J50/M50-1</f>
        <v/>
      </c>
      <c r="O50" s="6">
        <f>J50/K50-1</f>
        <v/>
      </c>
      <c r="P50" s="2" t="inlineStr">
        <is>
          <t>OK (≤ últ. compra)</t>
        </is>
      </c>
      <c r="Q50" s="2" t="inlineStr"/>
    </row>
    <row r="51">
      <c r="A51" s="2" t="n">
        <v>691501</v>
      </c>
      <c r="B51" s="2" t="inlineStr">
        <is>
          <t>6114</t>
        </is>
      </c>
      <c r="C51" s="3" t="inlineStr">
        <is>
          <t>7898593050716</t>
        </is>
      </c>
      <c r="D51" s="2" t="inlineStr">
        <is>
          <t>DERMUP COLAGENO VERISOL C/90 CPS</t>
        </is>
      </c>
      <c r="E51" s="4" t="n">
        <v>1</v>
      </c>
      <c r="F51" s="4" t="n">
        <v>1</v>
      </c>
      <c r="G51" s="4" t="n">
        <v>1</v>
      </c>
      <c r="H51" s="5" t="n">
        <v>42.53</v>
      </c>
      <c r="I51" s="5">
        <f>G51*H51</f>
        <v/>
      </c>
      <c r="J51" s="5">
        <f>H51/E51</f>
        <v/>
      </c>
      <c r="K51" s="5" t="n">
        <v>41.85</v>
      </c>
      <c r="L51" s="5" t="n">
        <v>41.85</v>
      </c>
      <c r="M51" s="5" t="n">
        <v>41.85</v>
      </c>
      <c r="N51" s="6">
        <f>J51/M51-1</f>
        <v/>
      </c>
      <c r="O51" s="6">
        <f>J51/K51-1</f>
        <v/>
      </c>
      <c r="P51" s="2" t="inlineStr">
        <is>
          <t>REAJUSTE +1.6% vs últ. (≤4%)</t>
        </is>
      </c>
      <c r="Q51" s="2" t="inlineStr"/>
    </row>
    <row r="52">
      <c r="A52" s="2" t="n">
        <v>573701</v>
      </c>
      <c r="B52" s="2" t="inlineStr">
        <is>
          <t>5772</t>
        </is>
      </c>
      <c r="C52" s="3" t="inlineStr">
        <is>
          <t>7898582290178</t>
        </is>
      </c>
      <c r="D52" s="2" t="inlineStr">
        <is>
          <t>DERSOL LOCAO OLEOSA 200ML</t>
        </is>
      </c>
      <c r="E52" s="4" t="n">
        <v>1</v>
      </c>
      <c r="F52" s="4" t="n">
        <v>5</v>
      </c>
      <c r="G52" s="4" t="n">
        <v>5</v>
      </c>
      <c r="H52" s="5" t="n">
        <v>11.41</v>
      </c>
      <c r="I52" s="5">
        <f>G52*H52</f>
        <v/>
      </c>
      <c r="J52" s="5">
        <f>H52/E52</f>
        <v/>
      </c>
      <c r="K52" s="5" t="n">
        <v>10.99</v>
      </c>
      <c r="L52" s="5" t="n">
        <v>10.99</v>
      </c>
      <c r="M52" s="5" t="n">
        <v>10.99</v>
      </c>
      <c r="N52" s="6">
        <f>J52/M52-1</f>
        <v/>
      </c>
      <c r="O52" s="6">
        <f>J52/K52-1</f>
        <v/>
      </c>
      <c r="P52" s="2" t="inlineStr">
        <is>
          <t>REAJUSTE +3.8% vs últ. (≤4%)</t>
        </is>
      </c>
      <c r="Q52" s="2" t="inlineStr"/>
    </row>
    <row r="53">
      <c r="A53" s="2" t="n">
        <v>668951</v>
      </c>
      <c r="B53" s="2" t="inlineStr">
        <is>
          <t>2447</t>
        </is>
      </c>
      <c r="C53" s="3" t="inlineStr">
        <is>
          <t>7896472520299</t>
        </is>
      </c>
      <c r="D53" s="2" t="inlineStr">
        <is>
          <t>DESLORATADINA 5MG CX 10 COMP REV</t>
        </is>
      </c>
      <c r="E53" s="4" t="n">
        <v>1</v>
      </c>
      <c r="F53" s="4" t="n">
        <v>25</v>
      </c>
      <c r="G53" s="4" t="n">
        <v>25</v>
      </c>
      <c r="H53" s="5" t="n">
        <v>4.83</v>
      </c>
      <c r="I53" s="5">
        <f>G53*H53</f>
        <v/>
      </c>
      <c r="J53" s="5">
        <f>H53/E53</f>
        <v/>
      </c>
      <c r="K53" s="5" t="n">
        <v>6.11</v>
      </c>
      <c r="L53" s="5" t="n">
        <v>5.7026</v>
      </c>
      <c r="M53" s="5" t="n">
        <v>5.974200000000001</v>
      </c>
      <c r="N53" s="6">
        <f>J53/M53-1</f>
        <v/>
      </c>
      <c r="O53" s="6">
        <f>J53/K53-1</f>
        <v/>
      </c>
      <c r="P53" s="2" t="inlineStr">
        <is>
          <t>OK (≤ últ. compra)</t>
        </is>
      </c>
      <c r="Q53" s="2" t="inlineStr"/>
    </row>
    <row r="54">
      <c r="A54" s="2" t="n">
        <v>490121</v>
      </c>
      <c r="B54" s="2" t="inlineStr">
        <is>
          <t>5588</t>
        </is>
      </c>
      <c r="C54" s="3" t="inlineStr">
        <is>
          <t>7897917004008</t>
        </is>
      </c>
      <c r="D54" s="2" t="inlineStr">
        <is>
          <t>DICLOFENACO SODICO 50MG CX 20 COMP REV</t>
        </is>
      </c>
      <c r="E54" s="4" t="n">
        <v>1</v>
      </c>
      <c r="F54" s="4" t="n">
        <v>4</v>
      </c>
      <c r="G54" s="4" t="n">
        <v>4</v>
      </c>
      <c r="H54" s="5" t="n">
        <v>1.65</v>
      </c>
      <c r="I54" s="5">
        <f>G54*H54</f>
        <v/>
      </c>
      <c r="J54" s="5">
        <f>H54/E54</f>
        <v/>
      </c>
      <c r="K54" s="5" t="n">
        <v>1.65</v>
      </c>
      <c r="L54" s="5" t="n">
        <v>1.65</v>
      </c>
      <c r="M54" s="5" t="n">
        <v>1.65</v>
      </c>
      <c r="N54" s="6">
        <f>J54/M54-1</f>
        <v/>
      </c>
      <c r="O54" s="6">
        <f>J54/K54-1</f>
        <v/>
      </c>
      <c r="P54" s="2" t="inlineStr">
        <is>
          <t>OK (≤ últ. compra)</t>
        </is>
      </c>
      <c r="Q54" s="2" t="inlineStr"/>
    </row>
    <row r="55">
      <c r="A55" s="2" t="n">
        <v>558021</v>
      </c>
      <c r="B55" s="2" t="inlineStr">
        <is>
          <t>3021</t>
        </is>
      </c>
      <c r="C55" s="3" t="inlineStr">
        <is>
          <t>00742832304719</t>
        </is>
      </c>
      <c r="D55" s="2" t="inlineStr">
        <is>
          <t>DIPIRONA 500MG CT 10CP</t>
        </is>
      </c>
      <c r="E55" s="4" t="n">
        <v>1</v>
      </c>
      <c r="F55" s="4" t="n">
        <v>1</v>
      </c>
      <c r="G55" s="4" t="n">
        <v>1</v>
      </c>
      <c r="H55" s="5" t="n">
        <v>17.91</v>
      </c>
      <c r="I55" s="5">
        <f>G55*H55</f>
        <v/>
      </c>
      <c r="J55" s="5">
        <f>H55/E55</f>
        <v/>
      </c>
      <c r="K55" s="5" t="n"/>
      <c r="L55" s="5" t="n"/>
      <c r="M55" s="5" t="n"/>
      <c r="N55" s="6" t="n"/>
      <c r="O55" s="6" t="n"/>
      <c r="P55" s="2" t="inlineStr">
        <is>
          <t>SEM HISTÓRICO</t>
        </is>
      </c>
      <c r="Q55" s="2" t="inlineStr"/>
    </row>
    <row r="56">
      <c r="A56" s="2" t="n">
        <v>13361</v>
      </c>
      <c r="B56" s="2" t="inlineStr">
        <is>
          <t>4788</t>
        </is>
      </c>
      <c r="C56" s="3" t="inlineStr">
        <is>
          <t>7898179710065</t>
        </is>
      </c>
      <c r="D56" s="2" t="inlineStr">
        <is>
          <t>DORMEC 100 MG C/10 (CARTELA)</t>
        </is>
      </c>
      <c r="E56" s="4" t="n">
        <v>20</v>
      </c>
      <c r="F56" s="4" t="n">
        <v>21</v>
      </c>
      <c r="G56" s="4" t="n">
        <v>2</v>
      </c>
      <c r="H56" s="5" t="n">
        <v>12.12</v>
      </c>
      <c r="I56" s="5">
        <f>G56*H56</f>
        <v/>
      </c>
      <c r="J56" s="5">
        <f>H56/E56</f>
        <v/>
      </c>
      <c r="K56" s="5" t="n">
        <v>0.5885</v>
      </c>
      <c r="L56" s="5" t="n">
        <v>0.5855</v>
      </c>
      <c r="M56" s="5" t="n">
        <v>0.5865</v>
      </c>
      <c r="N56" s="6">
        <f>J56/M56-1</f>
        <v/>
      </c>
      <c r="O56" s="6">
        <f>J56/K56-1</f>
        <v/>
      </c>
      <c r="P56" s="2" t="inlineStr">
        <is>
          <t>REAJUSTE +3.0% vs últ. (≤4%)</t>
        </is>
      </c>
      <c r="Q56" s="2" t="inlineStr">
        <is>
          <t>1 emb = 20 un</t>
        </is>
      </c>
    </row>
    <row r="57">
      <c r="A57" s="2" t="n">
        <v>393461</v>
      </c>
      <c r="B57" s="2" t="inlineStr">
        <is>
          <t>270</t>
        </is>
      </c>
      <c r="C57" s="3" t="inlineStr">
        <is>
          <t>7896023701436</t>
        </is>
      </c>
      <c r="D57" s="2" t="inlineStr">
        <is>
          <t>ELIXIR PAREGORICO 0,05ML/ML SOL OR FR GOT 30ML</t>
        </is>
      </c>
      <c r="E57" s="4" t="n">
        <v>1</v>
      </c>
      <c r="F57" s="4" t="n">
        <v>13</v>
      </c>
      <c r="G57" s="4" t="n">
        <v>13</v>
      </c>
      <c r="H57" s="5" t="n">
        <v>10.65</v>
      </c>
      <c r="I57" s="5">
        <f>G57*H57</f>
        <v/>
      </c>
      <c r="J57" s="5">
        <f>H57/E57</f>
        <v/>
      </c>
      <c r="K57" s="5" t="n">
        <v>10.65</v>
      </c>
      <c r="L57" s="5" t="n">
        <v>10.65</v>
      </c>
      <c r="M57" s="5" t="n">
        <v>10.65</v>
      </c>
      <c r="N57" s="6">
        <f>J57/M57-1</f>
        <v/>
      </c>
      <c r="O57" s="6">
        <f>J57/K57-1</f>
        <v/>
      </c>
      <c r="P57" s="2" t="inlineStr">
        <is>
          <t>OK (≤ últ. compra)</t>
        </is>
      </c>
      <c r="Q57" s="2" t="inlineStr"/>
    </row>
    <row r="58">
      <c r="A58" s="2" t="n">
        <v>611991</v>
      </c>
      <c r="B58" s="2" t="inlineStr">
        <is>
          <t>6875</t>
        </is>
      </c>
      <c r="C58" s="3" t="inlineStr">
        <is>
          <t>7898157722707</t>
        </is>
      </c>
      <c r="D58" s="2" t="inlineStr">
        <is>
          <t>EQUIPO MACROGOTAS MOD L2 - M25</t>
        </is>
      </c>
      <c r="E58" s="4" t="n">
        <v>1</v>
      </c>
      <c r="F58" s="4" t="n">
        <v>5</v>
      </c>
      <c r="G58" s="4" t="n">
        <v>5</v>
      </c>
      <c r="H58" s="5" t="n">
        <v>0.9</v>
      </c>
      <c r="I58" s="5">
        <f>G58*H58</f>
        <v/>
      </c>
      <c r="J58" s="5">
        <f>H58/E58</f>
        <v/>
      </c>
      <c r="K58" s="5" t="n">
        <v>1.49</v>
      </c>
      <c r="L58" s="5" t="n">
        <v>1.49</v>
      </c>
      <c r="M58" s="5" t="n">
        <v>1.49</v>
      </c>
      <c r="N58" s="6">
        <f>J58/M58-1</f>
        <v/>
      </c>
      <c r="O58" s="6">
        <f>J58/K58-1</f>
        <v/>
      </c>
      <c r="P58" s="2" t="inlineStr">
        <is>
          <t>OK (≤ últ. compra)</t>
        </is>
      </c>
      <c r="Q58" s="2" t="inlineStr"/>
    </row>
    <row r="59">
      <c r="A59" s="2" t="n">
        <v>234881</v>
      </c>
      <c r="B59" s="2" t="inlineStr">
        <is>
          <t>1127</t>
        </is>
      </c>
      <c r="C59" s="3" t="inlineStr">
        <is>
          <t>7895296128162</t>
        </is>
      </c>
      <c r="D59" s="2" t="inlineStr">
        <is>
          <t>ESOP 40MG CX 28 COMP REV</t>
        </is>
      </c>
      <c r="E59" s="4" t="n">
        <v>1</v>
      </c>
      <c r="F59" s="4" t="n">
        <v>1</v>
      </c>
      <c r="G59" s="4" t="n">
        <v>1</v>
      </c>
      <c r="H59" s="5" t="n">
        <v>43.2</v>
      </c>
      <c r="I59" s="5">
        <f>G59*H59</f>
        <v/>
      </c>
      <c r="J59" s="5">
        <f>H59/E59</f>
        <v/>
      </c>
      <c r="K59" s="5" t="n">
        <v>41.75</v>
      </c>
      <c r="L59" s="5" t="n">
        <v>41.75</v>
      </c>
      <c r="M59" s="5" t="n">
        <v>41.75</v>
      </c>
      <c r="N59" s="6">
        <f>J59/M59-1</f>
        <v/>
      </c>
      <c r="O59" s="6">
        <f>J59/K59-1</f>
        <v/>
      </c>
      <c r="P59" s="2" t="inlineStr">
        <is>
          <t>REAJUSTE +3.5% vs últ. (≤4%)</t>
        </is>
      </c>
      <c r="Q59" s="2" t="inlineStr"/>
    </row>
    <row r="60">
      <c r="A60" s="2" t="n">
        <v>613791</v>
      </c>
      <c r="B60" s="2" t="inlineStr">
        <is>
          <t>232</t>
        </is>
      </c>
      <c r="C60" s="3" t="inlineStr">
        <is>
          <t>7896544900073</t>
        </is>
      </c>
      <c r="D60" s="2" t="inlineStr">
        <is>
          <t>ESPARAD IMP MISSNER 1,2CMX4,5M</t>
        </is>
      </c>
      <c r="E60" s="4" t="n">
        <v>1</v>
      </c>
      <c r="F60" s="4" t="n">
        <v>2</v>
      </c>
      <c r="G60" s="4" t="n">
        <v>2</v>
      </c>
      <c r="H60" s="5" t="n">
        <v>2.83</v>
      </c>
      <c r="I60" s="5">
        <f>G60*H60</f>
        <v/>
      </c>
      <c r="J60" s="5">
        <f>H60/E60</f>
        <v/>
      </c>
      <c r="K60" s="5" t="n">
        <v>2.83</v>
      </c>
      <c r="L60" s="5" t="n">
        <v>2.83</v>
      </c>
      <c r="M60" s="5" t="n">
        <v>2.83</v>
      </c>
      <c r="N60" s="6">
        <f>J60/M60-1</f>
        <v/>
      </c>
      <c r="O60" s="6">
        <f>J60/K60-1</f>
        <v/>
      </c>
      <c r="P60" s="2" t="inlineStr">
        <is>
          <t>OK (≤ últ. compra)</t>
        </is>
      </c>
      <c r="Q60" s="2" t="inlineStr"/>
    </row>
    <row r="61">
      <c r="A61" s="2" t="n">
        <v>540961</v>
      </c>
      <c r="B61" s="2" t="inlineStr">
        <is>
          <t>229</t>
        </is>
      </c>
      <c r="C61" s="3" t="inlineStr">
        <is>
          <t>7896544910102</t>
        </is>
      </c>
      <c r="D61" s="2" t="inlineStr">
        <is>
          <t>ESPARADRAPO BRANCO 10 X 4,5</t>
        </is>
      </c>
      <c r="E61" s="4" t="n">
        <v>1</v>
      </c>
      <c r="F61" s="4" t="n">
        <v>13</v>
      </c>
      <c r="G61" s="4" t="n">
        <v>13</v>
      </c>
      <c r="H61" s="5" t="n">
        <v>12.33</v>
      </c>
      <c r="I61" s="5">
        <f>G61*H61</f>
        <v/>
      </c>
      <c r="J61" s="5">
        <f>H61/E61</f>
        <v/>
      </c>
      <c r="K61" s="5" t="n">
        <v>12.32</v>
      </c>
      <c r="L61" s="5" t="n">
        <v>12.32</v>
      </c>
      <c r="M61" s="5" t="n">
        <v>12.32</v>
      </c>
      <c r="N61" s="6">
        <f>J61/M61-1</f>
        <v/>
      </c>
      <c r="O61" s="6">
        <f>J61/K61-1</f>
        <v/>
      </c>
      <c r="P61" s="2" t="inlineStr">
        <is>
          <t>REAJUSTE +0.1% vs últ. (≤4%)</t>
        </is>
      </c>
      <c r="Q61" s="2" t="inlineStr"/>
    </row>
    <row r="62">
      <c r="A62" s="2" t="n">
        <v>541301</v>
      </c>
      <c r="B62" s="2" t="inlineStr">
        <is>
          <t>231</t>
        </is>
      </c>
      <c r="C62" s="3" t="inlineStr">
        <is>
          <t>7896544925014</t>
        </is>
      </c>
      <c r="D62" s="2" t="inlineStr">
        <is>
          <t>ESPARADRAPO IMP BRANCO 2,5CM X 0,90MTS UND QTD. 14.00 UN</t>
        </is>
      </c>
      <c r="E62" s="4" t="n">
        <v>1</v>
      </c>
      <c r="F62" s="4" t="n">
        <v>17</v>
      </c>
      <c r="G62" s="4" t="n">
        <v>17</v>
      </c>
      <c r="H62" s="5" t="n">
        <v>2.15</v>
      </c>
      <c r="I62" s="5">
        <f>G62*H62</f>
        <v/>
      </c>
      <c r="J62" s="5">
        <f>H62/E62</f>
        <v/>
      </c>
      <c r="K62" s="5" t="n">
        <v>2.15</v>
      </c>
      <c r="L62" s="5" t="n">
        <v>2.15</v>
      </c>
      <c r="M62" s="5" t="n">
        <v>2.15</v>
      </c>
      <c r="N62" s="6">
        <f>J62/M62-1</f>
        <v/>
      </c>
      <c r="O62" s="6">
        <f>J62/K62-1</f>
        <v/>
      </c>
      <c r="P62" s="2" t="inlineStr">
        <is>
          <t>OK (≤ últ. compra)</t>
        </is>
      </c>
      <c r="Q62" s="2" t="inlineStr"/>
    </row>
    <row r="63">
      <c r="A63" s="2" t="n">
        <v>541421</v>
      </c>
      <c r="B63" s="2" t="inlineStr">
        <is>
          <t>230</t>
        </is>
      </c>
      <c r="C63" s="3" t="inlineStr">
        <is>
          <t>7896544925458</t>
        </is>
      </c>
      <c r="D63" s="2" t="inlineStr">
        <is>
          <t>ESPARADRAPO IMP BRANCO 2,5CM X 4,5MTS UND QTD. 10.00 UN</t>
        </is>
      </c>
      <c r="E63" s="4" t="n">
        <v>1</v>
      </c>
      <c r="F63" s="4" t="n">
        <v>41</v>
      </c>
      <c r="G63" s="4" t="n">
        <v>41</v>
      </c>
      <c r="H63" s="5" t="n">
        <v>3.71</v>
      </c>
      <c r="I63" s="5">
        <f>G63*H63</f>
        <v/>
      </c>
      <c r="J63" s="5">
        <f>H63/E63</f>
        <v/>
      </c>
      <c r="K63" s="5" t="n">
        <v>3.71</v>
      </c>
      <c r="L63" s="5" t="n">
        <v>3.71</v>
      </c>
      <c r="M63" s="5" t="n">
        <v>3.71</v>
      </c>
      <c r="N63" s="6">
        <f>J63/M63-1</f>
        <v/>
      </c>
      <c r="O63" s="6">
        <f>J63/K63-1</f>
        <v/>
      </c>
      <c r="P63" s="2" t="inlineStr">
        <is>
          <t>OK (≤ últ. compra)</t>
        </is>
      </c>
      <c r="Q63" s="2" t="inlineStr"/>
    </row>
    <row r="64">
      <c r="A64" s="2" t="n">
        <v>552501</v>
      </c>
      <c r="B64" s="2" t="inlineStr">
        <is>
          <t>1049</t>
        </is>
      </c>
      <c r="C64" s="3" t="inlineStr">
        <is>
          <t>7896544910058</t>
        </is>
      </c>
      <c r="D64" s="2" t="inlineStr">
        <is>
          <t>ESPARADRAPO IMPERM. BRANCO 5CMX4,5M</t>
        </is>
      </c>
      <c r="E64" s="4" t="n">
        <v>1</v>
      </c>
      <c r="F64" s="4" t="n">
        <v>14</v>
      </c>
      <c r="G64" s="4" t="n">
        <v>14</v>
      </c>
      <c r="H64" s="5" t="n">
        <v>5.98</v>
      </c>
      <c r="I64" s="5">
        <f>G64*H64</f>
        <v/>
      </c>
      <c r="J64" s="5">
        <f>H64/E64</f>
        <v/>
      </c>
      <c r="K64" s="5" t="n">
        <v>5.98</v>
      </c>
      <c r="L64" s="5" t="n">
        <v>5.97</v>
      </c>
      <c r="M64" s="5" t="n">
        <v>5.973333333333333</v>
      </c>
      <c r="N64" s="6">
        <f>J64/M64-1</f>
        <v/>
      </c>
      <c r="O64" s="6">
        <f>J64/K64-1</f>
        <v/>
      </c>
      <c r="P64" s="2" t="inlineStr">
        <is>
          <t>OK (≤ últ. compra)</t>
        </is>
      </c>
      <c r="Q64" s="2" t="inlineStr"/>
    </row>
    <row r="65">
      <c r="A65" s="2" t="n">
        <v>607431</v>
      </c>
      <c r="B65" s="2" t="inlineStr">
        <is>
          <t>9066</t>
        </is>
      </c>
      <c r="C65" s="3" t="inlineStr">
        <is>
          <t>7897732607897</t>
        </is>
      </c>
      <c r="D65" s="2" t="inlineStr">
        <is>
          <t>EXTRATO DE PROPOLIS VERDE 30ML</t>
        </is>
      </c>
      <c r="E65" s="4" t="n">
        <v>1</v>
      </c>
      <c r="F65" s="4" t="n">
        <v>6</v>
      </c>
      <c r="G65" s="4" t="n">
        <v>6</v>
      </c>
      <c r="H65" s="5" t="n">
        <v>9.76</v>
      </c>
      <c r="I65" s="5">
        <f>G65*H65</f>
        <v/>
      </c>
      <c r="J65" s="5">
        <f>H65/E65</f>
        <v/>
      </c>
      <c r="K65" s="5" t="n">
        <v>9.51</v>
      </c>
      <c r="L65" s="5" t="n">
        <v>9.51</v>
      </c>
      <c r="M65" s="5" t="n">
        <v>9.51</v>
      </c>
      <c r="N65" s="6">
        <f>J65/M65-1</f>
        <v/>
      </c>
      <c r="O65" s="6">
        <f>J65/K65-1</f>
        <v/>
      </c>
      <c r="P65" s="2" t="inlineStr">
        <is>
          <t>REAJUSTE +2.6% vs últ. (≤4%)</t>
        </is>
      </c>
      <c r="Q65" s="2" t="inlineStr"/>
    </row>
    <row r="66">
      <c r="A66" s="2" t="n">
        <v>21941</v>
      </c>
      <c r="B66" s="2" t="inlineStr">
        <is>
          <t>1172</t>
        </is>
      </c>
      <c r="C66" s="3" t="inlineStr">
        <is>
          <t>7898166040328</t>
        </is>
      </c>
      <c r="D66" s="2" t="inlineStr">
        <is>
          <t>FARMACE -AGUA PARA INJECAO 1 ML/ML SOL INJ CX 200 AMP PLAS TRANS X 10 ML</t>
        </is>
      </c>
      <c r="E66" s="4" t="n">
        <v>1</v>
      </c>
      <c r="F66" s="4" t="n">
        <v>1</v>
      </c>
      <c r="G66" s="4" t="n">
        <v>1</v>
      </c>
      <c r="H66" s="5" t="n">
        <v>0.32</v>
      </c>
      <c r="I66" s="5">
        <f>G66*H66</f>
        <v/>
      </c>
      <c r="J66" s="5">
        <f>H66/E66</f>
        <v/>
      </c>
      <c r="K66" s="5" t="n">
        <v>0.45</v>
      </c>
      <c r="L66" s="5" t="n">
        <v>0.45</v>
      </c>
      <c r="M66" s="5" t="n">
        <v>0.45</v>
      </c>
      <c r="N66" s="6">
        <f>J66/M66-1</f>
        <v/>
      </c>
      <c r="O66" s="6">
        <f>J66/K66-1</f>
        <v/>
      </c>
      <c r="P66" s="2" t="inlineStr">
        <is>
          <t>OK (≤ últ. compra)</t>
        </is>
      </c>
      <c r="Q66" s="2" t="inlineStr"/>
    </row>
    <row r="67">
      <c r="A67" s="2" t="n">
        <v>532361</v>
      </c>
      <c r="B67" s="2" t="inlineStr">
        <is>
          <t>1045</t>
        </is>
      </c>
      <c r="C67" s="3" t="inlineStr">
        <is>
          <t>7896544900011</t>
        </is>
      </c>
      <c r="D67" s="2" t="inlineStr">
        <is>
          <t>FITA CIRUGICA MICRO 1,2X4,5 MISSNER</t>
        </is>
      </c>
      <c r="E67" s="4" t="n">
        <v>1</v>
      </c>
      <c r="F67" s="4" t="n">
        <v>41</v>
      </c>
      <c r="G67" s="4" t="n">
        <v>41</v>
      </c>
      <c r="H67" s="5" t="n">
        <v>2.23</v>
      </c>
      <c r="I67" s="5">
        <f>G67*H67</f>
        <v/>
      </c>
      <c r="J67" s="5">
        <f>H67/E67</f>
        <v/>
      </c>
      <c r="K67" s="5" t="n">
        <v>2.23</v>
      </c>
      <c r="L67" s="5" t="n">
        <v>2.23</v>
      </c>
      <c r="M67" s="5" t="n">
        <v>2.23</v>
      </c>
      <c r="N67" s="6">
        <f>J67/M67-1</f>
        <v/>
      </c>
      <c r="O67" s="6">
        <f>J67/K67-1</f>
        <v/>
      </c>
      <c r="P67" s="2" t="inlineStr">
        <is>
          <t>OK (≤ últ. compra)</t>
        </is>
      </c>
      <c r="Q67" s="2" t="inlineStr"/>
    </row>
    <row r="68">
      <c r="A68" s="2" t="n">
        <v>532401</v>
      </c>
      <c r="B68" s="2" t="inlineStr">
        <is>
          <t>1047</t>
        </is>
      </c>
      <c r="C68" s="3" t="inlineStr">
        <is>
          <t>7896544900097</t>
        </is>
      </c>
      <c r="D68" s="2" t="inlineStr">
        <is>
          <t>FITA CIRURGICA MICROPOROSA MISSNER 2,5CM X 4,5M</t>
        </is>
      </c>
      <c r="E68" s="4" t="n">
        <v>1</v>
      </c>
      <c r="F68" s="4" t="n">
        <v>95</v>
      </c>
      <c r="G68" s="4" t="n">
        <v>95</v>
      </c>
      <c r="H68" s="5" t="n">
        <v>3.14</v>
      </c>
      <c r="I68" s="5">
        <f>G68*H68</f>
        <v/>
      </c>
      <c r="J68" s="5">
        <f>H68/E68</f>
        <v/>
      </c>
      <c r="K68" s="5" t="n">
        <v>3.14</v>
      </c>
      <c r="L68" s="5" t="n">
        <v>3.14</v>
      </c>
      <c r="M68" s="5" t="n">
        <v>3.14</v>
      </c>
      <c r="N68" s="6">
        <f>J68/M68-1</f>
        <v/>
      </c>
      <c r="O68" s="6">
        <f>J68/K68-1</f>
        <v/>
      </c>
      <c r="P68" s="2" t="inlineStr">
        <is>
          <t>OK (≤ últ. compra)</t>
        </is>
      </c>
      <c r="Q68" s="2" t="inlineStr"/>
    </row>
    <row r="69">
      <c r="A69" s="2" t="n">
        <v>606871</v>
      </c>
      <c r="B69" s="2" t="inlineStr">
        <is>
          <t>7377</t>
        </is>
      </c>
      <c r="C69" s="3" t="inlineStr">
        <is>
          <t>7899838831992</t>
        </is>
      </c>
      <c r="D69" s="2" t="inlineStr">
        <is>
          <t>FITA DE KINESIO 5CM X 5M BEGE</t>
        </is>
      </c>
      <c r="E69" s="4" t="n">
        <v>1</v>
      </c>
      <c r="F69" s="4" t="n">
        <v>1</v>
      </c>
      <c r="G69" s="4" t="n">
        <v>1</v>
      </c>
      <c r="H69" s="5" t="n">
        <v>20.48</v>
      </c>
      <c r="I69" s="5">
        <f>G69*H69</f>
        <v/>
      </c>
      <c r="J69" s="5">
        <f>H69/E69</f>
        <v/>
      </c>
      <c r="K69" s="5" t="n">
        <v>20.48</v>
      </c>
      <c r="L69" s="5" t="n">
        <v>20.48</v>
      </c>
      <c r="M69" s="5" t="n">
        <v>20.48</v>
      </c>
      <c r="N69" s="6">
        <f>J69/M69-1</f>
        <v/>
      </c>
      <c r="O69" s="6">
        <f>J69/K69-1</f>
        <v/>
      </c>
      <c r="P69" s="2" t="inlineStr">
        <is>
          <t>OK (≤ últ. compra)</t>
        </is>
      </c>
      <c r="Q69" s="2" t="inlineStr"/>
    </row>
    <row r="70">
      <c r="A70" s="2" t="n">
        <v>591031</v>
      </c>
      <c r="B70" s="2" t="inlineStr">
        <is>
          <t>7428</t>
        </is>
      </c>
      <c r="C70" s="3" t="inlineStr">
        <is>
          <t>7899838832005</t>
        </is>
      </c>
      <c r="D70" s="2" t="inlineStr">
        <is>
          <t>FITA KINESIO ROLO 5CMX5M AZUL HC042</t>
        </is>
      </c>
      <c r="E70" s="4" t="n">
        <v>1</v>
      </c>
      <c r="F70" s="4" t="n">
        <v>2</v>
      </c>
      <c r="G70" s="4" t="n">
        <v>2</v>
      </c>
      <c r="H70" s="5" t="n">
        <v>20.43</v>
      </c>
      <c r="I70" s="5">
        <f>G70*H70</f>
        <v/>
      </c>
      <c r="J70" s="5">
        <f>H70/E70</f>
        <v/>
      </c>
      <c r="K70" s="5" t="n">
        <v>20.43</v>
      </c>
      <c r="L70" s="5" t="n">
        <v>19.65</v>
      </c>
      <c r="M70" s="5" t="n">
        <v>19.65</v>
      </c>
      <c r="N70" s="6">
        <f>J70/M70-1</f>
        <v/>
      </c>
      <c r="O70" s="6">
        <f>J70/K70-1</f>
        <v/>
      </c>
      <c r="P70" s="2" t="inlineStr">
        <is>
          <t>OK (≤ últ. compra)</t>
        </is>
      </c>
      <c r="Q70" s="2" t="inlineStr"/>
    </row>
    <row r="71">
      <c r="A71" s="2" t="n">
        <v>594901</v>
      </c>
      <c r="B71" s="2" t="inlineStr">
        <is>
          <t>7307</t>
        </is>
      </c>
      <c r="C71" s="3" t="inlineStr">
        <is>
          <t>7899838831985</t>
        </is>
      </c>
      <c r="D71" s="2" t="inlineStr">
        <is>
          <t>FITA KINESIO ROLO 5CMX5M PRETA HC040</t>
        </is>
      </c>
      <c r="E71" s="4" t="n">
        <v>1</v>
      </c>
      <c r="F71" s="4" t="n">
        <v>1</v>
      </c>
      <c r="G71" s="4" t="n">
        <v>1</v>
      </c>
      <c r="H71" s="5" t="n">
        <v>20.48</v>
      </c>
      <c r="I71" s="5">
        <f>G71*H71</f>
        <v/>
      </c>
      <c r="J71" s="5">
        <f>H71/E71</f>
        <v/>
      </c>
      <c r="K71" s="5" t="n">
        <v>23.3</v>
      </c>
      <c r="L71" s="5" t="n">
        <v>23.3</v>
      </c>
      <c r="M71" s="5" t="n">
        <v>23.3</v>
      </c>
      <c r="N71" s="6">
        <f>J71/M71-1</f>
        <v/>
      </c>
      <c r="O71" s="6">
        <f>J71/K71-1</f>
        <v/>
      </c>
      <c r="P71" s="2" t="inlineStr">
        <is>
          <t>OK (≤ últ. compra)</t>
        </is>
      </c>
      <c r="Q71" s="2" t="inlineStr"/>
    </row>
    <row r="72">
      <c r="A72" s="2" t="n">
        <v>547461</v>
      </c>
      <c r="B72" s="2" t="inlineStr">
        <is>
          <t>1046</t>
        </is>
      </c>
      <c r="C72" s="3" t="inlineStr">
        <is>
          <t>7896544900103</t>
        </is>
      </c>
      <c r="D72" s="2" t="inlineStr">
        <is>
          <t>FITA MICROPORO BRANCO 2,5CM X 0,90MTS</t>
        </is>
      </c>
      <c r="E72" s="4" t="n">
        <v>1</v>
      </c>
      <c r="F72" s="4" t="n">
        <v>28</v>
      </c>
      <c r="G72" s="4" t="n">
        <v>28</v>
      </c>
      <c r="H72" s="5" t="n">
        <v>1.86</v>
      </c>
      <c r="I72" s="5">
        <f>G72*H72</f>
        <v/>
      </c>
      <c r="J72" s="5">
        <f>H72/E72</f>
        <v/>
      </c>
      <c r="K72" s="5" t="n">
        <v>1.86</v>
      </c>
      <c r="L72" s="5" t="n">
        <v>1.86</v>
      </c>
      <c r="M72" s="5" t="n">
        <v>1.86</v>
      </c>
      <c r="N72" s="6">
        <f>J72/M72-1</f>
        <v/>
      </c>
      <c r="O72" s="6">
        <f>J72/K72-1</f>
        <v/>
      </c>
      <c r="P72" s="2" t="inlineStr">
        <is>
          <t>OK (≤ últ. compra)</t>
        </is>
      </c>
      <c r="Q72" s="2" t="inlineStr"/>
    </row>
    <row r="73">
      <c r="A73" s="2" t="n">
        <v>541021</v>
      </c>
      <c r="B73" s="2" t="inlineStr">
        <is>
          <t>1048</t>
        </is>
      </c>
      <c r="C73" s="3" t="inlineStr">
        <is>
          <t>7896544900158</t>
        </is>
      </c>
      <c r="D73" s="2" t="inlineStr">
        <is>
          <t>FITA MICROPOROSA BRANCO 10 X 4,5</t>
        </is>
      </c>
      <c r="E73" s="4" t="n">
        <v>1</v>
      </c>
      <c r="F73" s="4" t="n">
        <v>4</v>
      </c>
      <c r="G73" s="4" t="n">
        <v>4</v>
      </c>
      <c r="H73" s="5" t="n">
        <v>8.1</v>
      </c>
      <c r="I73" s="5">
        <f>G73*H73</f>
        <v/>
      </c>
      <c r="J73" s="5">
        <f>H73/E73</f>
        <v/>
      </c>
      <c r="K73" s="5" t="n">
        <v>8.1</v>
      </c>
      <c r="L73" s="5" t="n">
        <v>8.1</v>
      </c>
      <c r="M73" s="5" t="n">
        <v>8.1</v>
      </c>
      <c r="N73" s="6">
        <f>J73/M73-1</f>
        <v/>
      </c>
      <c r="O73" s="6">
        <f>J73/K73-1</f>
        <v/>
      </c>
      <c r="P73" s="2" t="inlineStr">
        <is>
          <t>OK (≤ últ. compra)</t>
        </is>
      </c>
      <c r="Q73" s="2" t="inlineStr"/>
    </row>
    <row r="74">
      <c r="A74" s="2" t="n">
        <v>541381</v>
      </c>
      <c r="B74" s="2" t="inlineStr">
        <is>
          <t>942</t>
        </is>
      </c>
      <c r="C74" s="3" t="inlineStr">
        <is>
          <t>7896544900165</t>
        </is>
      </c>
      <c r="D74" s="2" t="inlineStr">
        <is>
          <t>FITA MICROPOROSA BRANCO 5,0CM X 4,5MTS UND QTD. 4.00 UN</t>
        </is>
      </c>
      <c r="E74" s="4" t="n">
        <v>1</v>
      </c>
      <c r="F74" s="4" t="n">
        <v>33</v>
      </c>
      <c r="G74" s="4" t="n">
        <v>33</v>
      </c>
      <c r="H74" s="5" t="n">
        <v>5.02</v>
      </c>
      <c r="I74" s="5">
        <f>G74*H74</f>
        <v/>
      </c>
      <c r="J74" s="5">
        <f>H74/E74</f>
        <v/>
      </c>
      <c r="K74" s="5" t="n">
        <v>5.02</v>
      </c>
      <c r="L74" s="5" t="n">
        <v>5.02</v>
      </c>
      <c r="M74" s="5" t="n">
        <v>5.02</v>
      </c>
      <c r="N74" s="6">
        <f>J74/M74-1</f>
        <v/>
      </c>
      <c r="O74" s="6">
        <f>J74/K74-1</f>
        <v/>
      </c>
      <c r="P74" s="2" t="inlineStr">
        <is>
          <t>OK (≤ últ. compra)</t>
        </is>
      </c>
      <c r="Q74" s="2" t="inlineStr"/>
    </row>
    <row r="75">
      <c r="A75" s="2" t="n">
        <v>606861</v>
      </c>
      <c r="B75" s="2" t="inlineStr">
        <is>
          <t>4781</t>
        </is>
      </c>
      <c r="C75" s="3" t="inlineStr">
        <is>
          <t>7894164005239</t>
        </is>
      </c>
      <c r="D75" s="2" t="inlineStr">
        <is>
          <t>FLEXENEMA 130ML (ARL)</t>
        </is>
      </c>
      <c r="E75" s="4" t="n">
        <v>1</v>
      </c>
      <c r="F75" s="4" t="n">
        <v>3</v>
      </c>
      <c r="G75" s="4" t="n">
        <v>3</v>
      </c>
      <c r="H75" s="5" t="n">
        <v>14.17</v>
      </c>
      <c r="I75" s="5">
        <f>G75*H75</f>
        <v/>
      </c>
      <c r="J75" s="5">
        <f>H75/E75</f>
        <v/>
      </c>
      <c r="K75" s="5" t="n">
        <v>13.49</v>
      </c>
      <c r="L75" s="5" t="n">
        <v>13.49</v>
      </c>
      <c r="M75" s="5" t="n">
        <v>13.49</v>
      </c>
      <c r="N75" s="6">
        <f>J75/M75-1</f>
        <v/>
      </c>
      <c r="O75" s="6">
        <f>J75/K75-1</f>
        <v/>
      </c>
      <c r="P75" s="2" t="inlineStr">
        <is>
          <t>REAJUSTE +5.0% vs média (≤6%)</t>
        </is>
      </c>
      <c r="Q75" s="2" t="inlineStr"/>
    </row>
    <row r="76">
      <c r="A76" s="2" t="n">
        <v>550941</v>
      </c>
      <c r="B76" s="2" t="inlineStr">
        <is>
          <t>2233</t>
        </is>
      </c>
      <c r="C76" s="3" t="inlineStr">
        <is>
          <t>7894488000101</t>
        </is>
      </c>
      <c r="D76" s="2" t="inlineStr">
        <is>
          <t>FLOCONETES SEGUROS E ABSORVENTES 75UN</t>
        </is>
      </c>
      <c r="E76" s="4" t="n">
        <v>1</v>
      </c>
      <c r="F76" s="4" t="n">
        <v>2</v>
      </c>
      <c r="G76" s="4" t="n">
        <v>2</v>
      </c>
      <c r="H76" s="5" t="n">
        <v>1.35</v>
      </c>
      <c r="I76" s="5">
        <f>G76*H76</f>
        <v/>
      </c>
      <c r="J76" s="5">
        <f>H76/E76</f>
        <v/>
      </c>
      <c r="K76" s="5" t="n">
        <v>1.35</v>
      </c>
      <c r="L76" s="5" t="n">
        <v>1.35</v>
      </c>
      <c r="M76" s="5" t="n">
        <v>1.35</v>
      </c>
      <c r="N76" s="6">
        <f>J76/M76-1</f>
        <v/>
      </c>
      <c r="O76" s="6">
        <f>J76/K76-1</f>
        <v/>
      </c>
      <c r="P76" s="2" t="inlineStr">
        <is>
          <t>OK (≤ últ. compra)</t>
        </is>
      </c>
      <c r="Q76" s="2" t="inlineStr"/>
    </row>
    <row r="77">
      <c r="A77" s="2" t="n">
        <v>630481</v>
      </c>
      <c r="B77" s="2" t="inlineStr">
        <is>
          <t>9931</t>
        </is>
      </c>
      <c r="C77" s="3" t="inlineStr">
        <is>
          <t>7898556851084</t>
        </is>
      </c>
      <c r="D77" s="2" t="inlineStr">
        <is>
          <t>GEL INTIMO LUBRIF.TRADICIONAL 200G RILEX</t>
        </is>
      </c>
      <c r="E77" s="4" t="n">
        <v>1</v>
      </c>
      <c r="F77" s="4" t="n">
        <v>1</v>
      </c>
      <c r="G77" s="4" t="n">
        <v>1</v>
      </c>
      <c r="H77" s="5" t="n">
        <v>23.26</v>
      </c>
      <c r="I77" s="5">
        <f>G77*H77</f>
        <v/>
      </c>
      <c r="J77" s="5">
        <f>H77/E77</f>
        <v/>
      </c>
      <c r="K77" s="5" t="n">
        <v>24.89</v>
      </c>
      <c r="L77" s="5" t="n">
        <v>24.89</v>
      </c>
      <c r="M77" s="5" t="n">
        <v>24.89</v>
      </c>
      <c r="N77" s="6">
        <f>J77/M77-1</f>
        <v/>
      </c>
      <c r="O77" s="6">
        <f>J77/K77-1</f>
        <v/>
      </c>
      <c r="P77" s="2" t="inlineStr">
        <is>
          <t>OK (≤ últ. compra)</t>
        </is>
      </c>
      <c r="Q77" s="2" t="inlineStr"/>
    </row>
    <row r="78">
      <c r="A78" s="2" t="n">
        <v>584661</v>
      </c>
      <c r="B78" s="2" t="inlineStr">
        <is>
          <t>1951</t>
        </is>
      </c>
      <c r="C78" s="3" t="inlineStr">
        <is>
          <t>7898903991951</t>
        </is>
      </c>
      <c r="D78" s="2" t="inlineStr">
        <is>
          <t>GEL LUBRIFICANTE RILEX TRADIOCIONAL 50G</t>
        </is>
      </c>
      <c r="E78" s="4" t="n">
        <v>1</v>
      </c>
      <c r="F78" s="4" t="n">
        <v>1</v>
      </c>
      <c r="G78" s="4" t="n">
        <v>1</v>
      </c>
      <c r="H78" s="5" t="n">
        <v>6.64</v>
      </c>
      <c r="I78" s="5">
        <f>G78*H78</f>
        <v/>
      </c>
      <c r="J78" s="5">
        <f>H78/E78</f>
        <v/>
      </c>
      <c r="K78" s="5" t="n">
        <v>6.57</v>
      </c>
      <c r="L78" s="5" t="n">
        <v>6.57</v>
      </c>
      <c r="M78" s="5" t="n">
        <v>6.57</v>
      </c>
      <c r="N78" s="6">
        <f>J78/M78-1</f>
        <v/>
      </c>
      <c r="O78" s="6">
        <f>J78/K78-1</f>
        <v/>
      </c>
      <c r="P78" s="2" t="inlineStr">
        <is>
          <t>REAJUSTE +1.1% vs últ. (≤4%)</t>
        </is>
      </c>
      <c r="Q78" s="2" t="inlineStr"/>
    </row>
    <row r="79">
      <c r="A79" s="2" t="n">
        <v>691301</v>
      </c>
      <c r="B79" s="2" t="inlineStr">
        <is>
          <t>10354</t>
        </is>
      </c>
      <c r="C79" s="3" t="inlineStr">
        <is>
          <t>7898741951353</t>
        </is>
      </c>
      <c r="D79" s="2" t="inlineStr">
        <is>
          <t>GEL MASSAGEADOR BLUE ICE 240G</t>
        </is>
      </c>
      <c r="E79" s="4" t="n">
        <v>1</v>
      </c>
      <c r="F79" s="4" t="n">
        <v>1</v>
      </c>
      <c r="G79" s="4" t="n">
        <v>1</v>
      </c>
      <c r="H79" s="5" t="n">
        <v>6.15</v>
      </c>
      <c r="I79" s="5">
        <f>G79*H79</f>
        <v/>
      </c>
      <c r="J79" s="5">
        <f>H79/E79</f>
        <v/>
      </c>
      <c r="K79" s="5" t="n">
        <v>6.15</v>
      </c>
      <c r="L79" s="5" t="n">
        <v>6.15</v>
      </c>
      <c r="M79" s="5" t="n">
        <v>6.150000000000001</v>
      </c>
      <c r="N79" s="6">
        <f>J79/M79-1</f>
        <v/>
      </c>
      <c r="O79" s="6">
        <f>J79/K79-1</f>
        <v/>
      </c>
      <c r="P79" s="2" t="inlineStr">
        <is>
          <t>OK (≤ últ. compra)</t>
        </is>
      </c>
      <c r="Q79" s="2" t="inlineStr"/>
    </row>
    <row r="80">
      <c r="A80" s="2" t="n">
        <v>691801</v>
      </c>
      <c r="B80" s="2" t="inlineStr">
        <is>
          <t>7193</t>
        </is>
      </c>
      <c r="C80" s="3" t="inlineStr">
        <is>
          <t>7898936049612</t>
        </is>
      </c>
      <c r="D80" s="2" t="inlineStr">
        <is>
          <t>GEL MASSAGEM 17 ERVAS 250G POTE</t>
        </is>
      </c>
      <c r="E80" s="4" t="n">
        <v>1</v>
      </c>
      <c r="F80" s="4" t="n">
        <v>1</v>
      </c>
      <c r="G80" s="4" t="n">
        <v>1</v>
      </c>
      <c r="H80" s="5" t="n">
        <v>4.19</v>
      </c>
      <c r="I80" s="5">
        <f>G80*H80</f>
        <v/>
      </c>
      <c r="J80" s="5">
        <f>H80/E80</f>
        <v/>
      </c>
      <c r="K80" s="5" t="n">
        <v>4.19</v>
      </c>
      <c r="L80" s="5" t="n">
        <v>4.19</v>
      </c>
      <c r="M80" s="5" t="n">
        <v>4.19</v>
      </c>
      <c r="N80" s="6">
        <f>J80/M80-1</f>
        <v/>
      </c>
      <c r="O80" s="6">
        <f>J80/K80-1</f>
        <v/>
      </c>
      <c r="P80" s="2" t="inlineStr">
        <is>
          <t>OK (≤ últ. compra)</t>
        </is>
      </c>
      <c r="Q80" s="2" t="inlineStr"/>
    </row>
    <row r="81">
      <c r="A81" s="2" t="n">
        <v>691601</v>
      </c>
      <c r="B81" s="2" t="inlineStr">
        <is>
          <t>9398</t>
        </is>
      </c>
      <c r="C81" s="3" t="inlineStr">
        <is>
          <t>7898936049704</t>
        </is>
      </c>
      <c r="D81" s="2" t="inlineStr">
        <is>
          <t>GEL MASSAGEM ARNICA E COPAIBA 250G POTE</t>
        </is>
      </c>
      <c r="E81" s="4" t="n">
        <v>1</v>
      </c>
      <c r="F81" s="4" t="n">
        <v>10</v>
      </c>
      <c r="G81" s="4" t="n">
        <v>10</v>
      </c>
      <c r="H81" s="5" t="n">
        <v>3.67</v>
      </c>
      <c r="I81" s="5">
        <f>G81*H81</f>
        <v/>
      </c>
      <c r="J81" s="5">
        <f>H81/E81</f>
        <v/>
      </c>
      <c r="K81" s="5" t="n">
        <v>3.67</v>
      </c>
      <c r="L81" s="5" t="n">
        <v>3.67</v>
      </c>
      <c r="M81" s="5" t="n">
        <v>3.67</v>
      </c>
      <c r="N81" s="6">
        <f>J81/M81-1</f>
        <v/>
      </c>
      <c r="O81" s="6">
        <f>J81/K81-1</f>
        <v/>
      </c>
      <c r="P81" s="2" t="inlineStr">
        <is>
          <t>OK (≤ últ. compra)</t>
        </is>
      </c>
      <c r="Q81" s="2" t="inlineStr"/>
    </row>
    <row r="82">
      <c r="A82" s="2" t="n">
        <v>627931</v>
      </c>
      <c r="B82" s="2" t="inlineStr">
        <is>
          <t>8354</t>
        </is>
      </c>
      <c r="C82" s="3" t="inlineStr">
        <is>
          <t>7898741950288</t>
        </is>
      </c>
      <c r="D82" s="2" t="inlineStr">
        <is>
          <t>GEL MASSAGEM COPAIBA 190G FRASCO</t>
        </is>
      </c>
      <c r="E82" s="4" t="n">
        <v>1</v>
      </c>
      <c r="F82" s="4" t="n">
        <v>2</v>
      </c>
      <c r="G82" s="4" t="n">
        <v>2</v>
      </c>
      <c r="H82" s="5" t="n">
        <v>4.36</v>
      </c>
      <c r="I82" s="5">
        <f>G82*H82</f>
        <v/>
      </c>
      <c r="J82" s="5">
        <f>H82/E82</f>
        <v/>
      </c>
      <c r="K82" s="5" t="n">
        <v>4.36</v>
      </c>
      <c r="L82" s="5" t="n">
        <v>4.36</v>
      </c>
      <c r="M82" s="5" t="n">
        <v>4.36</v>
      </c>
      <c r="N82" s="6">
        <f>J82/M82-1</f>
        <v/>
      </c>
      <c r="O82" s="6">
        <f>J82/K82-1</f>
        <v/>
      </c>
      <c r="P82" s="2" t="inlineStr">
        <is>
          <t>OK (≤ últ. compra)</t>
        </is>
      </c>
      <c r="Q82" s="2" t="inlineStr"/>
    </row>
    <row r="83">
      <c r="A83" s="2" t="n">
        <v>627901</v>
      </c>
      <c r="B83" s="2" t="inlineStr">
        <is>
          <t>7190</t>
        </is>
      </c>
      <c r="C83" s="3" t="inlineStr">
        <is>
          <t>7898936049506</t>
        </is>
      </c>
      <c r="D83" s="2" t="inlineStr">
        <is>
          <t>GEL MASSAGEM EXTRA FORTE ANDIROBA 200G</t>
        </is>
      </c>
      <c r="E83" s="4" t="n">
        <v>1</v>
      </c>
      <c r="F83" s="4" t="n">
        <v>2</v>
      </c>
      <c r="G83" s="4" t="n">
        <v>2</v>
      </c>
      <c r="H83" s="5" t="n">
        <v>4.39</v>
      </c>
      <c r="I83" s="5">
        <f>G83*H83</f>
        <v/>
      </c>
      <c r="J83" s="5">
        <f>H83/E83</f>
        <v/>
      </c>
      <c r="K83" s="5" t="n">
        <v>4.41</v>
      </c>
      <c r="L83" s="5" t="n">
        <v>4.41</v>
      </c>
      <c r="M83" s="5" t="n">
        <v>4.41</v>
      </c>
      <c r="N83" s="6">
        <f>J83/M83-1</f>
        <v/>
      </c>
      <c r="O83" s="6">
        <f>J83/K83-1</f>
        <v/>
      </c>
      <c r="P83" s="2" t="inlineStr">
        <is>
          <t>OK (≤ últ. compra)</t>
        </is>
      </c>
      <c r="Q83" s="2" t="inlineStr"/>
    </row>
    <row r="84">
      <c r="A84" s="2" t="n">
        <v>627921</v>
      </c>
      <c r="B84" s="2" t="inlineStr">
        <is>
          <t>7192</t>
        </is>
      </c>
      <c r="C84" s="3" t="inlineStr">
        <is>
          <t>7898936049278</t>
        </is>
      </c>
      <c r="D84" s="2" t="inlineStr">
        <is>
          <t>GEL MASSAGEM TUBARAO BRANCO 250G POTE</t>
        </is>
      </c>
      <c r="E84" s="4" t="n">
        <v>1</v>
      </c>
      <c r="F84" s="4" t="n">
        <v>5</v>
      </c>
      <c r="G84" s="4" t="n">
        <v>5</v>
      </c>
      <c r="H84" s="5" t="n">
        <v>3.7</v>
      </c>
      <c r="I84" s="5">
        <f>G84*H84</f>
        <v/>
      </c>
      <c r="J84" s="5">
        <f>H84/E84</f>
        <v/>
      </c>
      <c r="K84" s="5" t="n">
        <v>3.7</v>
      </c>
      <c r="L84" s="5" t="n">
        <v>3.7</v>
      </c>
      <c r="M84" s="5" t="n">
        <v>3.700000000000001</v>
      </c>
      <c r="N84" s="6">
        <f>J84/M84-1</f>
        <v/>
      </c>
      <c r="O84" s="6">
        <f>J84/K84-1</f>
        <v/>
      </c>
      <c r="P84" s="2" t="inlineStr">
        <is>
          <t>OK (≤ últ. compra)</t>
        </is>
      </c>
      <c r="Q84" s="2" t="inlineStr"/>
    </row>
    <row r="85">
      <c r="A85" s="2" t="n">
        <v>599261</v>
      </c>
      <c r="B85" s="2" t="inlineStr">
        <is>
          <t>3877</t>
        </is>
      </c>
      <c r="C85" s="3" t="inlineStr">
        <is>
          <t>7899620911840</t>
        </is>
      </c>
      <c r="D85" s="2" t="inlineStr">
        <is>
          <t>GLICENIX (N.S.) 0,91G CX 6 GLICEROL LACTENTE</t>
        </is>
      </c>
      <c r="E85" s="4" t="n">
        <v>1</v>
      </c>
      <c r="F85" s="4" t="n">
        <v>4</v>
      </c>
      <c r="G85" s="4" t="n">
        <v>4</v>
      </c>
      <c r="H85" s="5" t="n">
        <v>5.94</v>
      </c>
      <c r="I85" s="5">
        <f>G85*H85</f>
        <v/>
      </c>
      <c r="J85" s="5">
        <f>H85/E85</f>
        <v/>
      </c>
      <c r="K85" s="5" t="n">
        <v>5.79</v>
      </c>
      <c r="L85" s="5" t="n">
        <v>5.79</v>
      </c>
      <c r="M85" s="5" t="n">
        <v>5.79</v>
      </c>
      <c r="N85" s="6">
        <f>J85/M85-1</f>
        <v/>
      </c>
      <c r="O85" s="6">
        <f>J85/K85-1</f>
        <v/>
      </c>
      <c r="P85" s="2" t="inlineStr">
        <is>
          <t>REAJUSTE +2.6% vs últ. (≤4%)</t>
        </is>
      </c>
      <c r="Q85" s="2" t="inlineStr"/>
    </row>
    <row r="86">
      <c r="A86" s="2" t="n">
        <v>531501</v>
      </c>
      <c r="B86" s="2" t="inlineStr">
        <is>
          <t>5688</t>
        </is>
      </c>
      <c r="C86" s="3" t="inlineStr">
        <is>
          <t>7894164005406</t>
        </is>
      </c>
      <c r="D86" s="2" t="inlineStr">
        <is>
          <t>HIDRALI 500ML UVA ROXA AIRELA</t>
        </is>
      </c>
      <c r="E86" s="4" t="n">
        <v>1</v>
      </c>
      <c r="F86" s="4" t="n">
        <v>2</v>
      </c>
      <c r="G86" s="4" t="n">
        <v>2</v>
      </c>
      <c r="H86" s="5" t="n">
        <v>8.359999999999999</v>
      </c>
      <c r="I86" s="5">
        <f>G86*H86</f>
        <v/>
      </c>
      <c r="J86" s="5">
        <f>H86/E86</f>
        <v/>
      </c>
      <c r="K86" s="5" t="n">
        <v>8.300000000000001</v>
      </c>
      <c r="L86" s="5" t="n">
        <v>7.97</v>
      </c>
      <c r="M86" s="5" t="n">
        <v>8.19</v>
      </c>
      <c r="N86" s="6">
        <f>J86/M86-1</f>
        <v/>
      </c>
      <c r="O86" s="6">
        <f>J86/K86-1</f>
        <v/>
      </c>
      <c r="P86" s="2" t="inlineStr">
        <is>
          <t>REAJUSTE +0.7% vs últ. (≤4%)</t>
        </is>
      </c>
      <c r="Q86" s="2" t="inlineStr"/>
    </row>
    <row r="87">
      <c r="A87" s="2" t="n">
        <v>604151</v>
      </c>
      <c r="B87" s="2" t="inlineStr">
        <is>
          <t>7783</t>
        </is>
      </c>
      <c r="C87" s="3" t="inlineStr">
        <is>
          <t>7894164009473</t>
        </is>
      </c>
      <c r="D87" s="2" t="inlineStr">
        <is>
          <t>HIDRALI PO 28,29G  ENVELOPE CX COM 4 (GUARANÁ)</t>
        </is>
      </c>
      <c r="E87" s="4" t="n">
        <v>1</v>
      </c>
      <c r="F87" s="4" t="n">
        <v>9</v>
      </c>
      <c r="G87" s="4" t="n">
        <v>9</v>
      </c>
      <c r="H87" s="5" t="n">
        <v>8.94</v>
      </c>
      <c r="I87" s="5">
        <f>G87*H87</f>
        <v/>
      </c>
      <c r="J87" s="5">
        <f>H87/E87</f>
        <v/>
      </c>
      <c r="K87" s="5" t="n">
        <v>8.94</v>
      </c>
      <c r="L87" s="5" t="n">
        <v>8.890000000000001</v>
      </c>
      <c r="M87" s="5" t="n">
        <v>8.923333333333334</v>
      </c>
      <c r="N87" s="6">
        <f>J87/M87-1</f>
        <v/>
      </c>
      <c r="O87" s="6">
        <f>J87/K87-1</f>
        <v/>
      </c>
      <c r="P87" s="2" t="inlineStr">
        <is>
          <t>OK (≤ últ. compra)</t>
        </is>
      </c>
      <c r="Q87" s="2" t="inlineStr"/>
    </row>
    <row r="88">
      <c r="A88" s="2" t="n">
        <v>602561</v>
      </c>
      <c r="B88" s="2" t="inlineStr">
        <is>
          <t>7708</t>
        </is>
      </c>
      <c r="C88" s="3" t="inlineStr">
        <is>
          <t>7894164009466</t>
        </is>
      </c>
      <c r="D88" s="2" t="inlineStr">
        <is>
          <t>HIDRALI PO 28,29G 4ENV LARANJA SOL</t>
        </is>
      </c>
      <c r="E88" s="4" t="n">
        <v>1</v>
      </c>
      <c r="F88" s="4" t="n">
        <v>8</v>
      </c>
      <c r="G88" s="4" t="n">
        <v>8</v>
      </c>
      <c r="H88" s="5" t="n">
        <v>8.94</v>
      </c>
      <c r="I88" s="5">
        <f>G88*H88</f>
        <v/>
      </c>
      <c r="J88" s="5">
        <f>H88/E88</f>
        <v/>
      </c>
      <c r="K88" s="5" t="n">
        <v>8.6</v>
      </c>
      <c r="L88" s="5" t="n">
        <v>8.6</v>
      </c>
      <c r="M88" s="5" t="n">
        <v>8.6</v>
      </c>
      <c r="N88" s="6">
        <f>J88/M88-1</f>
        <v/>
      </c>
      <c r="O88" s="6">
        <f>J88/K88-1</f>
        <v/>
      </c>
      <c r="P88" s="2" t="inlineStr">
        <is>
          <t>REAJUSTE +4.0% vs últ. (≤4%)</t>
        </is>
      </c>
      <c r="Q88" s="2" t="inlineStr"/>
    </row>
    <row r="89">
      <c r="A89" s="2" t="n">
        <v>604091</v>
      </c>
      <c r="B89" s="2" t="inlineStr">
        <is>
          <t>7693</t>
        </is>
      </c>
      <c r="C89" s="3" t="inlineStr">
        <is>
          <t>7894164009510</t>
        </is>
      </c>
      <c r="D89" s="2" t="inlineStr">
        <is>
          <t>HIDRALI PO NATURAL  UND</t>
        </is>
      </c>
      <c r="E89" s="4" t="n">
        <v>1</v>
      </c>
      <c r="F89" s="4" t="n">
        <v>2</v>
      </c>
      <c r="G89" s="4" t="n">
        <v>2</v>
      </c>
      <c r="H89" s="5" t="n">
        <v>8.94</v>
      </c>
      <c r="I89" s="5">
        <f>G89*H89</f>
        <v/>
      </c>
      <c r="J89" s="5">
        <f>H89/E89</f>
        <v/>
      </c>
      <c r="K89" s="5" t="n">
        <v>8.890000000000001</v>
      </c>
      <c r="L89" s="5" t="n">
        <v>8.890000000000001</v>
      </c>
      <c r="M89" s="5" t="n">
        <v>8.890000000000001</v>
      </c>
      <c r="N89" s="6">
        <f>J89/M89-1</f>
        <v/>
      </c>
      <c r="O89" s="6">
        <f>J89/K89-1</f>
        <v/>
      </c>
      <c r="P89" s="2" t="inlineStr">
        <is>
          <t>REAJUSTE +0.6% vs últ. (≤4%)</t>
        </is>
      </c>
      <c r="Q89" s="2" t="inlineStr"/>
    </row>
    <row r="90">
      <c r="A90" s="2" t="n">
        <v>531561</v>
      </c>
      <c r="B90" s="2" t="inlineStr">
        <is>
          <t>6167</t>
        </is>
      </c>
      <c r="C90" s="3" t="inlineStr">
        <is>
          <t>7894164006762</t>
        </is>
      </c>
      <c r="D90" s="2" t="inlineStr">
        <is>
          <t>HIDROXIDO ALUMINIO SAB HORTELA 150ML</t>
        </is>
      </c>
      <c r="E90" s="4" t="n">
        <v>1</v>
      </c>
      <c r="F90" s="4" t="n">
        <v>4</v>
      </c>
      <c r="G90" s="4" t="n">
        <v>4</v>
      </c>
      <c r="H90" s="5" t="n">
        <v>7.25</v>
      </c>
      <c r="I90" s="5">
        <f>G90*H90</f>
        <v/>
      </c>
      <c r="J90" s="5">
        <f>H90/E90</f>
        <v/>
      </c>
      <c r="K90" s="5" t="n">
        <v>7.25</v>
      </c>
      <c r="L90" s="5" t="n">
        <v>7.25</v>
      </c>
      <c r="M90" s="5" t="n">
        <v>7.25</v>
      </c>
      <c r="N90" s="6">
        <f>J90/M90-1</f>
        <v/>
      </c>
      <c r="O90" s="6">
        <f>J90/K90-1</f>
        <v/>
      </c>
      <c r="P90" s="2" t="inlineStr">
        <is>
          <t>OK (≤ últ. compra)</t>
        </is>
      </c>
      <c r="Q90" s="2" t="inlineStr"/>
    </row>
    <row r="91">
      <c r="A91" s="2" t="n">
        <v>627841</v>
      </c>
      <c r="B91" s="2" t="inlineStr">
        <is>
          <t>379</t>
        </is>
      </c>
      <c r="C91" s="3" t="inlineStr">
        <is>
          <t>7897344301527</t>
        </is>
      </c>
      <c r="D91" s="2" t="inlineStr">
        <is>
          <t>ICE GEL 250G POTE</t>
        </is>
      </c>
      <c r="E91" s="4" t="n">
        <v>1</v>
      </c>
      <c r="F91" s="4" t="n">
        <v>5</v>
      </c>
      <c r="G91" s="4" t="n">
        <v>5</v>
      </c>
      <c r="H91" s="5" t="n">
        <v>8.1</v>
      </c>
      <c r="I91" s="5">
        <f>G91*H91</f>
        <v/>
      </c>
      <c r="J91" s="5">
        <f>H91/E91</f>
        <v/>
      </c>
      <c r="K91" s="5" t="n">
        <v>8.1</v>
      </c>
      <c r="L91" s="5" t="n">
        <v>8.1</v>
      </c>
      <c r="M91" s="5" t="n">
        <v>8.1</v>
      </c>
      <c r="N91" s="6">
        <f>J91/M91-1</f>
        <v/>
      </c>
      <c r="O91" s="6">
        <f>J91/K91-1</f>
        <v/>
      </c>
      <c r="P91" s="2" t="inlineStr">
        <is>
          <t>OK (≤ últ. compra)</t>
        </is>
      </c>
      <c r="Q91" s="2" t="inlineStr"/>
    </row>
    <row r="92">
      <c r="A92" s="2" t="n">
        <v>153041</v>
      </c>
      <c r="B92" s="2" t="inlineStr">
        <is>
          <t>3581</t>
        </is>
      </c>
      <c r="C92" s="3" t="inlineStr">
        <is>
          <t>7898060132297</t>
        </is>
      </c>
      <c r="D92" s="2" t="inlineStr">
        <is>
          <t>INTESTIN 2MG CX 12 COMP</t>
        </is>
      </c>
      <c r="E92" s="4" t="n">
        <v>1</v>
      </c>
      <c r="F92" s="4" t="n">
        <v>2</v>
      </c>
      <c r="G92" s="4" t="n">
        <v>2</v>
      </c>
      <c r="H92" s="5" t="n">
        <v>2.08</v>
      </c>
      <c r="I92" s="5">
        <f>G92*H92</f>
        <v/>
      </c>
      <c r="J92" s="5">
        <f>H92/E92</f>
        <v/>
      </c>
      <c r="K92" s="5" t="n">
        <v>2.02</v>
      </c>
      <c r="L92" s="5" t="n">
        <v>2.02</v>
      </c>
      <c r="M92" s="5" t="n">
        <v>2.02</v>
      </c>
      <c r="N92" s="6">
        <f>J92/M92-1</f>
        <v/>
      </c>
      <c r="O92" s="6">
        <f>J92/K92-1</f>
        <v/>
      </c>
      <c r="P92" s="2" t="inlineStr">
        <is>
          <t>REAJUSTE +3.0% vs últ. (≤4%)</t>
        </is>
      </c>
      <c r="Q92" s="2" t="inlineStr"/>
    </row>
    <row r="93">
      <c r="A93" s="2" t="n">
        <v>553601</v>
      </c>
      <c r="B93" s="2" t="inlineStr">
        <is>
          <t>3745</t>
        </is>
      </c>
      <c r="C93" s="3" t="inlineStr">
        <is>
          <t>7896523207834</t>
        </is>
      </c>
      <c r="D93" s="2" t="inlineStr">
        <is>
          <t>K-MED GEL BG 25 G</t>
        </is>
      </c>
      <c r="E93" s="4" t="n">
        <v>1</v>
      </c>
      <c r="F93" s="4" t="n">
        <v>13</v>
      </c>
      <c r="G93" s="4" t="n">
        <v>13</v>
      </c>
      <c r="H93" s="5" t="n">
        <v>5.67</v>
      </c>
      <c r="I93" s="5">
        <f>G93*H93</f>
        <v/>
      </c>
      <c r="J93" s="5">
        <f>H93/E93</f>
        <v/>
      </c>
      <c r="K93" s="5" t="n">
        <v>6.59</v>
      </c>
      <c r="L93" s="5" t="n">
        <v>2.99</v>
      </c>
      <c r="M93" s="5" t="n">
        <v>5.19</v>
      </c>
      <c r="N93" s="6">
        <f>J93/M93-1</f>
        <v/>
      </c>
      <c r="O93" s="6">
        <f>J93/K93-1</f>
        <v/>
      </c>
      <c r="P93" s="2" t="inlineStr">
        <is>
          <t>OK (≤ últ. compra)</t>
        </is>
      </c>
      <c r="Q93" s="2" t="inlineStr"/>
    </row>
    <row r="94">
      <c r="A94" s="2" t="n">
        <v>3203</v>
      </c>
      <c r="B94" s="2" t="inlineStr">
        <is>
          <t>8602</t>
        </is>
      </c>
      <c r="C94" s="3" t="inlineStr">
        <is>
          <t>7898953484304</t>
        </is>
      </c>
      <c r="D94" s="2" t="inlineStr">
        <is>
          <t>LAVADOR NASAL COM FRASCO 300ML C/2 BICOS</t>
        </is>
      </c>
      <c r="E94" s="4" t="n">
        <v>1</v>
      </c>
      <c r="F94" s="4" t="n">
        <v>2</v>
      </c>
      <c r="G94" s="4" t="n">
        <v>2</v>
      </c>
      <c r="H94" s="5" t="n">
        <v>11.49</v>
      </c>
      <c r="I94" s="5">
        <f>G94*H94</f>
        <v/>
      </c>
      <c r="J94" s="5">
        <f>H94/E94</f>
        <v/>
      </c>
      <c r="K94" s="5" t="n">
        <v>11.49</v>
      </c>
      <c r="L94" s="5" t="n">
        <v>11.49</v>
      </c>
      <c r="M94" s="5" t="n">
        <v>11.49</v>
      </c>
      <c r="N94" s="6">
        <f>J94/M94-1</f>
        <v/>
      </c>
      <c r="O94" s="6">
        <f>J94/K94-1</f>
        <v/>
      </c>
      <c r="P94" s="2" t="inlineStr">
        <is>
          <t>OK (≤ últ. compra)</t>
        </is>
      </c>
      <c r="Q94" s="2" t="inlineStr"/>
    </row>
    <row r="95">
      <c r="A95" s="2" t="n">
        <v>546081</v>
      </c>
      <c r="B95" s="2" t="inlineStr">
        <is>
          <t>2228</t>
        </is>
      </c>
      <c r="C95" s="3" t="inlineStr">
        <is>
          <t>7897947612358</t>
        </is>
      </c>
      <c r="D95" s="2" t="inlineStr">
        <is>
          <t>LAVITAN MEMORIA 60CP</t>
        </is>
      </c>
      <c r="E95" s="4" t="n">
        <v>1</v>
      </c>
      <c r="F95" s="4" t="n">
        <v>7</v>
      </c>
      <c r="G95" s="4" t="n">
        <v>7</v>
      </c>
      <c r="H95" s="5" t="n">
        <v>14.85</v>
      </c>
      <c r="I95" s="5">
        <f>G95*H95</f>
        <v/>
      </c>
      <c r="J95" s="5">
        <f>H95/E95</f>
        <v/>
      </c>
      <c r="K95" s="5" t="n">
        <v>21.27</v>
      </c>
      <c r="L95" s="5" t="n">
        <v>21.27</v>
      </c>
      <c r="M95" s="5" t="n">
        <v>21.27</v>
      </c>
      <c r="N95" s="6">
        <f>J95/M95-1</f>
        <v/>
      </c>
      <c r="O95" s="6">
        <f>J95/K95-1</f>
        <v/>
      </c>
      <c r="P95" s="2" t="inlineStr">
        <is>
          <t>OK (≤ últ. compra)</t>
        </is>
      </c>
      <c r="Q95" s="2" t="inlineStr"/>
    </row>
    <row r="96">
      <c r="A96" s="2" t="n">
        <v>546481</v>
      </c>
      <c r="B96" s="2" t="inlineStr">
        <is>
          <t>6961</t>
        </is>
      </c>
      <c r="C96" s="3" t="inlineStr">
        <is>
          <t>7897947600928</t>
        </is>
      </c>
      <c r="D96" s="2" t="inlineStr">
        <is>
          <t>LAVITAN VIT 50+ 60CP</t>
        </is>
      </c>
      <c r="E96" s="4" t="n">
        <v>1</v>
      </c>
      <c r="F96" s="4" t="n">
        <v>11</v>
      </c>
      <c r="G96" s="4" t="n">
        <v>11</v>
      </c>
      <c r="H96" s="5" t="n">
        <v>14.85</v>
      </c>
      <c r="I96" s="5">
        <f>G96*H96</f>
        <v/>
      </c>
      <c r="J96" s="5">
        <f>H96/E96</f>
        <v/>
      </c>
      <c r="K96" s="5" t="n">
        <v>14.85</v>
      </c>
      <c r="L96" s="5" t="n">
        <v>14.85</v>
      </c>
      <c r="M96" s="5" t="n">
        <v>14.85</v>
      </c>
      <c r="N96" s="6">
        <f>J96/M96-1</f>
        <v/>
      </c>
      <c r="O96" s="6">
        <f>J96/K96-1</f>
        <v/>
      </c>
      <c r="P96" s="2" t="inlineStr">
        <is>
          <t>OK (≤ últ. compra)</t>
        </is>
      </c>
      <c r="Q96" s="2" t="inlineStr"/>
    </row>
    <row r="97">
      <c r="A97" s="2" t="n">
        <v>627791</v>
      </c>
      <c r="B97" s="2" t="inlineStr">
        <is>
          <t>8628</t>
        </is>
      </c>
      <c r="C97" s="3" t="inlineStr">
        <is>
          <t>7897947617605</t>
        </is>
      </c>
      <c r="D97" s="2" t="inlineStr">
        <is>
          <t>LAVITAN ZMA PERFORMANCE COMP 2 BL X 15</t>
        </is>
      </c>
      <c r="E97" s="4" t="n">
        <v>1</v>
      </c>
      <c r="F97" s="4" t="n">
        <v>10</v>
      </c>
      <c r="G97" s="4" t="n">
        <v>10</v>
      </c>
      <c r="H97" s="5" t="n">
        <v>13.5</v>
      </c>
      <c r="I97" s="5">
        <f>G97*H97</f>
        <v/>
      </c>
      <c r="J97" s="5">
        <f>H97/E97</f>
        <v/>
      </c>
      <c r="K97" s="5" t="n">
        <v>18.36</v>
      </c>
      <c r="L97" s="5" t="n">
        <v>16.39</v>
      </c>
      <c r="M97" s="5" t="n">
        <v>16.39</v>
      </c>
      <c r="N97" s="6">
        <f>J97/M97-1</f>
        <v/>
      </c>
      <c r="O97" s="6">
        <f>J97/K97-1</f>
        <v/>
      </c>
      <c r="P97" s="2" t="inlineStr">
        <is>
          <t>OK (≤ últ. compra)</t>
        </is>
      </c>
      <c r="Q97" s="2" t="inlineStr"/>
    </row>
    <row r="98">
      <c r="A98" s="2" t="n">
        <v>4083</v>
      </c>
      <c r="B98" s="2" t="inlineStr">
        <is>
          <t>8859</t>
        </is>
      </c>
      <c r="C98" s="3" t="inlineStr">
        <is>
          <t>7898575780754</t>
        </is>
      </c>
      <c r="D98" s="2" t="inlineStr">
        <is>
          <t>LEITE DE MAGNESIA 100ML HORTELA</t>
        </is>
      </c>
      <c r="E98" s="4" t="n">
        <v>1</v>
      </c>
      <c r="F98" s="4" t="n">
        <v>6</v>
      </c>
      <c r="G98" s="4" t="n">
        <v>6</v>
      </c>
      <c r="H98" s="5" t="n">
        <v>1.99</v>
      </c>
      <c r="I98" s="5">
        <f>G98*H98</f>
        <v/>
      </c>
      <c r="J98" s="5">
        <f>H98/E98</f>
        <v/>
      </c>
      <c r="K98" s="5" t="n">
        <v>3.54</v>
      </c>
      <c r="L98" s="5" t="n">
        <v>3.54</v>
      </c>
      <c r="M98" s="5" t="n">
        <v>3.54</v>
      </c>
      <c r="N98" s="6">
        <f>J98/M98-1</f>
        <v/>
      </c>
      <c r="O98" s="6">
        <f>J98/K98-1</f>
        <v/>
      </c>
      <c r="P98" s="2" t="inlineStr">
        <is>
          <t>OK (≤ últ. compra)</t>
        </is>
      </c>
      <c r="Q98" s="2" t="inlineStr"/>
    </row>
    <row r="99">
      <c r="A99" s="2" t="n">
        <v>646631</v>
      </c>
      <c r="B99" s="2" t="inlineStr">
        <is>
          <t>7615</t>
        </is>
      </c>
      <c r="C99" s="3" t="inlineStr">
        <is>
          <t>7898031310211</t>
        </is>
      </c>
      <c r="D99" s="2" t="inlineStr">
        <is>
          <t>LEITE DE MAGNESIA 120ML TRADICIONAL</t>
        </is>
      </c>
      <c r="E99" s="4" t="n">
        <v>1</v>
      </c>
      <c r="F99" s="4" t="n">
        <v>2</v>
      </c>
      <c r="G99" s="4" t="n">
        <v>2</v>
      </c>
      <c r="H99" s="5" t="n">
        <v>5</v>
      </c>
      <c r="I99" s="5">
        <f>G99*H99</f>
        <v/>
      </c>
      <c r="J99" s="5">
        <f>H99/E99</f>
        <v/>
      </c>
      <c r="K99" s="5" t="n">
        <v>5.01</v>
      </c>
      <c r="L99" s="5" t="n">
        <v>5.01</v>
      </c>
      <c r="M99" s="5" t="n">
        <v>5.01</v>
      </c>
      <c r="N99" s="6">
        <f>J99/M99-1</f>
        <v/>
      </c>
      <c r="O99" s="6">
        <f>J99/K99-1</f>
        <v/>
      </c>
      <c r="P99" s="2" t="inlineStr">
        <is>
          <t>OK (≤ últ. compra)</t>
        </is>
      </c>
      <c r="Q99" s="2" t="inlineStr"/>
    </row>
    <row r="100">
      <c r="A100" s="2" t="n">
        <v>651461</v>
      </c>
      <c r="B100" s="2" t="inlineStr">
        <is>
          <t>8917</t>
        </is>
      </c>
      <c r="C100" s="3" t="inlineStr">
        <is>
          <t>7898179711314</t>
        </is>
      </c>
      <c r="D100" s="2" t="inlineStr">
        <is>
          <t>LEITE DE MAGNESIA GASTRIMEC 100ML TRADIC</t>
        </is>
      </c>
      <c r="E100" s="4" t="n">
        <v>1</v>
      </c>
      <c r="F100" s="4" t="n">
        <v>11</v>
      </c>
      <c r="G100" s="4" t="n">
        <v>11</v>
      </c>
      <c r="H100" s="5" t="n">
        <v>4.58</v>
      </c>
      <c r="I100" s="5">
        <f>G100*H100</f>
        <v/>
      </c>
      <c r="J100" s="5">
        <f>H100/E100</f>
        <v/>
      </c>
      <c r="K100" s="5" t="n">
        <v>4.5</v>
      </c>
      <c r="L100" s="5" t="n">
        <v>4.5</v>
      </c>
      <c r="M100" s="5" t="n">
        <v>4.5</v>
      </c>
      <c r="N100" s="6">
        <f>J100/M100-1</f>
        <v/>
      </c>
      <c r="O100" s="6">
        <f>J100/K100-1</f>
        <v/>
      </c>
      <c r="P100" s="2" t="inlineStr">
        <is>
          <t>REAJUSTE +1.8% vs últ. (≤4%)</t>
        </is>
      </c>
      <c r="Q100" s="2" t="inlineStr"/>
    </row>
    <row r="101">
      <c r="A101" s="2" t="n">
        <v>55801</v>
      </c>
      <c r="B101" s="2" t="inlineStr">
        <is>
          <t>2610</t>
        </is>
      </c>
      <c r="C101" s="3" t="inlineStr">
        <is>
          <t>7898060133904</t>
        </is>
      </c>
      <c r="D101" s="2" t="inlineStr">
        <is>
          <t>LERGIDRIN 0,4+0,05MG/ML XPE FR X 120ML+CM</t>
        </is>
      </c>
      <c r="E101" s="4" t="n">
        <v>1</v>
      </c>
      <c r="F101" s="4" t="n">
        <v>4</v>
      </c>
      <c r="G101" s="4" t="n">
        <v>4</v>
      </c>
      <c r="H101" s="5" t="n">
        <v>4.5</v>
      </c>
      <c r="I101" s="5">
        <f>G101*H101</f>
        <v/>
      </c>
      <c r="J101" s="5">
        <f>H101/E101</f>
        <v/>
      </c>
      <c r="K101" s="5" t="n">
        <v>4.31</v>
      </c>
      <c r="L101" s="5" t="n">
        <v>4.31</v>
      </c>
      <c r="M101" s="5" t="n">
        <v>4.31</v>
      </c>
      <c r="N101" s="6">
        <f>J101/M101-1</f>
        <v/>
      </c>
      <c r="O101" s="6">
        <f>J101/K101-1</f>
        <v/>
      </c>
      <c r="P101" s="2" t="inlineStr">
        <is>
          <t>REAJUSTE +4.4% vs média (≤6%)</t>
        </is>
      </c>
      <c r="Q101" s="2" t="inlineStr"/>
    </row>
    <row r="102">
      <c r="A102" s="2" t="n">
        <v>151761</v>
      </c>
      <c r="B102" s="2" t="inlineStr">
        <is>
          <t>385</t>
        </is>
      </c>
      <c r="C102" s="3" t="inlineStr">
        <is>
          <t>7893454100555</t>
        </is>
      </c>
      <c r="D102" s="2" t="inlineStr">
        <is>
          <t>LIDIAL 50MG/G POM BG 25G</t>
        </is>
      </c>
      <c r="E102" s="4" t="n">
        <v>1</v>
      </c>
      <c r="F102" s="4" t="n">
        <v>3</v>
      </c>
      <c r="G102" s="4" t="n">
        <v>3</v>
      </c>
      <c r="H102" s="5" t="n">
        <v>6.95</v>
      </c>
      <c r="I102" s="5">
        <f>G102*H102</f>
        <v/>
      </c>
      <c r="J102" s="5">
        <f>H102/E102</f>
        <v/>
      </c>
      <c r="K102" s="5" t="n">
        <v>6.73</v>
      </c>
      <c r="L102" s="5" t="n">
        <v>6.73</v>
      </c>
      <c r="M102" s="5" t="n">
        <v>6.73</v>
      </c>
      <c r="N102" s="6">
        <f>J102/M102-1</f>
        <v/>
      </c>
      <c r="O102" s="6">
        <f>J102/K102-1</f>
        <v/>
      </c>
      <c r="P102" s="2" t="inlineStr">
        <is>
          <t>REAJUSTE +3.3% vs últ. (≤4%)</t>
        </is>
      </c>
      <c r="Q102" s="2" t="inlineStr"/>
    </row>
    <row r="103">
      <c r="A103" s="2" t="n">
        <v>668941</v>
      </c>
      <c r="B103" s="2" t="inlineStr">
        <is>
          <t>7927</t>
        </is>
      </c>
      <c r="C103" s="3" t="inlineStr">
        <is>
          <t>7896004785769</t>
        </is>
      </c>
      <c r="D103" s="2" t="inlineStr">
        <is>
          <t>LOZEPREL 40MG CX 28 CAP</t>
        </is>
      </c>
      <c r="E103" s="4" t="n">
        <v>1</v>
      </c>
      <c r="F103" s="4" t="n">
        <v>9</v>
      </c>
      <c r="G103" s="4" t="n">
        <v>9</v>
      </c>
      <c r="H103" s="5" t="n">
        <v>9.07</v>
      </c>
      <c r="I103" s="5">
        <f>G103*H103</f>
        <v/>
      </c>
      <c r="J103" s="5">
        <f>H103/E103</f>
        <v/>
      </c>
      <c r="K103" s="5" t="n">
        <v>9.9</v>
      </c>
      <c r="L103" s="5" t="n">
        <v>9.9</v>
      </c>
      <c r="M103" s="5" t="n">
        <v>9.9</v>
      </c>
      <c r="N103" s="6">
        <f>J103/M103-1</f>
        <v/>
      </c>
      <c r="O103" s="6">
        <f>J103/K103-1</f>
        <v/>
      </c>
      <c r="P103" s="2" t="inlineStr">
        <is>
          <t>OK (≤ últ. compra)</t>
        </is>
      </c>
      <c r="Q103" s="2" t="inlineStr"/>
    </row>
    <row r="104">
      <c r="A104" s="2" t="n">
        <v>558921</v>
      </c>
      <c r="B104" s="2" t="inlineStr">
        <is>
          <t>5499</t>
        </is>
      </c>
      <c r="C104" s="3" t="inlineStr">
        <is>
          <t>7898556850513</t>
        </is>
      </c>
      <c r="D104" s="2" t="inlineStr">
        <is>
          <t>LUBRIFICANTE GEL RILEX MENTA 100G</t>
        </is>
      </c>
      <c r="E104" s="4" t="n">
        <v>1</v>
      </c>
      <c r="F104" s="4" t="n">
        <v>1</v>
      </c>
      <c r="G104" s="4" t="n">
        <v>1</v>
      </c>
      <c r="H104" s="5" t="n">
        <v>15.34</v>
      </c>
      <c r="I104" s="5">
        <f>G104*H104</f>
        <v/>
      </c>
      <c r="J104" s="5">
        <f>H104/E104</f>
        <v/>
      </c>
      <c r="K104" s="5" t="n">
        <v>15.27</v>
      </c>
      <c r="L104" s="5" t="n">
        <v>15.27</v>
      </c>
      <c r="M104" s="5" t="n">
        <v>15.27</v>
      </c>
      <c r="N104" s="6">
        <f>J104/M104-1</f>
        <v/>
      </c>
      <c r="O104" s="6">
        <f>J104/K104-1</f>
        <v/>
      </c>
      <c r="P104" s="2" t="inlineStr">
        <is>
          <t>REAJUSTE +0.5% vs últ. (≤4%)</t>
        </is>
      </c>
      <c r="Q104" s="2" t="inlineStr"/>
    </row>
    <row r="105">
      <c r="A105" s="2" t="n">
        <v>557121</v>
      </c>
      <c r="B105" s="2" t="inlineStr">
        <is>
          <t>5469</t>
        </is>
      </c>
      <c r="C105" s="3" t="inlineStr">
        <is>
          <t>7896523200026</t>
        </is>
      </c>
      <c r="D105" s="2" t="inlineStr">
        <is>
          <t>LUBRIFIK LUBRIFICANTE INTIMO GEL BG 50G</t>
        </is>
      </c>
      <c r="E105" s="4" t="n">
        <v>1</v>
      </c>
      <c r="F105" s="4" t="n">
        <v>17</v>
      </c>
      <c r="G105" s="4" t="n">
        <v>17</v>
      </c>
      <c r="H105" s="5" t="n">
        <v>4.32</v>
      </c>
      <c r="I105" s="5">
        <f>G105*H105</f>
        <v/>
      </c>
      <c r="J105" s="5">
        <f>H105/E105</f>
        <v/>
      </c>
      <c r="K105" s="5" t="n">
        <v>4.32</v>
      </c>
      <c r="L105" s="5" t="n">
        <v>4.32</v>
      </c>
      <c r="M105" s="5" t="n">
        <v>4.32</v>
      </c>
      <c r="N105" s="6">
        <f>J105/M105-1</f>
        <v/>
      </c>
      <c r="O105" s="6">
        <f>J105/K105-1</f>
        <v/>
      </c>
      <c r="P105" s="2" t="inlineStr">
        <is>
          <t>OK (≤ últ. compra)</t>
        </is>
      </c>
      <c r="Q105" s="2" t="inlineStr"/>
    </row>
    <row r="106">
      <c r="A106" s="2" t="n">
        <v>4143</v>
      </c>
      <c r="B106" s="2" t="inlineStr">
        <is>
          <t>9434</t>
        </is>
      </c>
      <c r="C106" s="3" t="inlineStr">
        <is>
          <t>7898947170176</t>
        </is>
      </c>
      <c r="D106" s="2" t="inlineStr">
        <is>
          <t>LUVA CIRURGICA 7,0 ESTERIL COM PO</t>
        </is>
      </c>
      <c r="E106" s="4" t="n">
        <v>1</v>
      </c>
      <c r="F106" s="4" t="n">
        <v>2</v>
      </c>
      <c r="G106" s="4" t="n">
        <v>2</v>
      </c>
      <c r="H106" s="5" t="n">
        <v>1.76</v>
      </c>
      <c r="I106" s="5">
        <f>G106*H106</f>
        <v/>
      </c>
      <c r="J106" s="5">
        <f>H106/E106</f>
        <v/>
      </c>
      <c r="K106" s="5" t="n">
        <v>1.76</v>
      </c>
      <c r="L106" s="5" t="n">
        <v>1.76</v>
      </c>
      <c r="M106" s="5" t="n">
        <v>1.76</v>
      </c>
      <c r="N106" s="6">
        <f>J106/M106-1</f>
        <v/>
      </c>
      <c r="O106" s="6">
        <f>J106/K106-1</f>
        <v/>
      </c>
      <c r="P106" s="2" t="inlineStr">
        <is>
          <t>OK (≤ últ. compra)</t>
        </is>
      </c>
      <c r="Q106" s="2" t="inlineStr"/>
    </row>
    <row r="107">
      <c r="A107" s="2" t="n">
        <v>4153</v>
      </c>
      <c r="B107" s="2" t="inlineStr">
        <is>
          <t>9437</t>
        </is>
      </c>
      <c r="C107" s="3" t="inlineStr">
        <is>
          <t>7898947170190</t>
        </is>
      </c>
      <c r="D107" s="2" t="inlineStr">
        <is>
          <t>LUVA CIRURGICA 8,0 ESTERIL COM PO</t>
        </is>
      </c>
      <c r="E107" s="4" t="n">
        <v>1</v>
      </c>
      <c r="F107" s="4" t="n">
        <v>2</v>
      </c>
      <c r="G107" s="4" t="n">
        <v>2</v>
      </c>
      <c r="H107" s="5" t="n">
        <v>1.74</v>
      </c>
      <c r="I107" s="5">
        <f>G107*H107</f>
        <v/>
      </c>
      <c r="J107" s="5">
        <f>H107/E107</f>
        <v/>
      </c>
      <c r="K107" s="5" t="n">
        <v>1.74</v>
      </c>
      <c r="L107" s="5" t="n">
        <v>1.74</v>
      </c>
      <c r="M107" s="5" t="n">
        <v>1.74</v>
      </c>
      <c r="N107" s="6">
        <f>J107/M107-1</f>
        <v/>
      </c>
      <c r="O107" s="6">
        <f>J107/K107-1</f>
        <v/>
      </c>
      <c r="P107" s="2" t="inlineStr">
        <is>
          <t>OK (≤ últ. compra)</t>
        </is>
      </c>
      <c r="Q107" s="2" t="inlineStr"/>
    </row>
    <row r="108">
      <c r="A108" s="2" t="n">
        <v>591291</v>
      </c>
      <c r="B108" s="2" t="inlineStr">
        <is>
          <t>7719</t>
        </is>
      </c>
      <c r="C108" s="3" t="inlineStr">
        <is>
          <t>7898048699651</t>
        </is>
      </c>
      <c r="D108" s="2" t="inlineStr">
        <is>
          <t>MAGNESIO DIMALATO 60CP</t>
        </is>
      </c>
      <c r="E108" s="4" t="n">
        <v>1</v>
      </c>
      <c r="F108" s="4" t="n">
        <v>8</v>
      </c>
      <c r="G108" s="4" t="n">
        <v>8</v>
      </c>
      <c r="H108" s="5" t="n">
        <v>15.98</v>
      </c>
      <c r="I108" s="5">
        <f>G108*H108</f>
        <v/>
      </c>
      <c r="J108" s="5">
        <f>H108/E108</f>
        <v/>
      </c>
      <c r="K108" s="5" t="n">
        <v>15.98</v>
      </c>
      <c r="L108" s="5" t="n">
        <v>13.84</v>
      </c>
      <c r="M108" s="5" t="n">
        <v>14.53666666666667</v>
      </c>
      <c r="N108" s="6">
        <f>J108/M108-1</f>
        <v/>
      </c>
      <c r="O108" s="6">
        <f>J108/K108-1</f>
        <v/>
      </c>
      <c r="P108" s="2" t="inlineStr">
        <is>
          <t>OK (≤ últ. compra)</t>
        </is>
      </c>
      <c r="Q108" s="2" t="inlineStr"/>
    </row>
    <row r="109">
      <c r="A109" s="2" t="n">
        <v>346381</v>
      </c>
      <c r="B109" s="2" t="inlineStr">
        <is>
          <t>4558</t>
        </is>
      </c>
      <c r="C109" s="3" t="inlineStr">
        <is>
          <t>7895296445085</t>
        </is>
      </c>
      <c r="D109" s="2" t="inlineStr">
        <is>
          <t>MEFLAGIN 400MG 2BL X 10 COMP REV</t>
        </is>
      </c>
      <c r="E109" s="4" t="n">
        <v>1</v>
      </c>
      <c r="F109" s="4" t="n">
        <v>1</v>
      </c>
      <c r="G109" s="4" t="n">
        <v>1</v>
      </c>
      <c r="H109" s="5" t="n">
        <v>7.35</v>
      </c>
      <c r="I109" s="5">
        <f>G109*H109</f>
        <v/>
      </c>
      <c r="J109" s="5">
        <f>H109/E109</f>
        <v/>
      </c>
      <c r="K109" s="5" t="n">
        <v>7.08</v>
      </c>
      <c r="L109" s="5" t="n">
        <v>7.08</v>
      </c>
      <c r="M109" s="5" t="n">
        <v>7.080000000000001</v>
      </c>
      <c r="N109" s="6">
        <f>J109/M109-1</f>
        <v/>
      </c>
      <c r="O109" s="6">
        <f>J109/K109-1</f>
        <v/>
      </c>
      <c r="P109" s="2" t="inlineStr">
        <is>
          <t>REAJUSTE +3.8% vs últ. (≤4%)</t>
        </is>
      </c>
      <c r="Q109" s="2" t="inlineStr"/>
    </row>
    <row r="110">
      <c r="A110" s="2" t="n">
        <v>3223</v>
      </c>
      <c r="B110" s="2" t="inlineStr">
        <is>
          <t>4729</t>
        </is>
      </c>
      <c r="C110" s="3" t="inlineStr">
        <is>
          <t>7896023708626</t>
        </is>
      </c>
      <c r="D110" s="2" t="inlineStr">
        <is>
          <t>MELAGRIAO SPRAY 30ML EXTRA FORTE</t>
        </is>
      </c>
      <c r="E110" s="4" t="n">
        <v>1</v>
      </c>
      <c r="F110" s="4" t="n">
        <v>2</v>
      </c>
      <c r="G110" s="4" t="n">
        <v>2</v>
      </c>
      <c r="H110" s="5" t="n">
        <v>13.22</v>
      </c>
      <c r="I110" s="5">
        <f>G110*H110</f>
        <v/>
      </c>
      <c r="J110" s="5">
        <f>H110/E110</f>
        <v/>
      </c>
      <c r="K110" s="5" t="n">
        <v>21.72</v>
      </c>
      <c r="L110" s="5" t="n">
        <v>18.02</v>
      </c>
      <c r="M110" s="5" t="n">
        <v>20.07333333333333</v>
      </c>
      <c r="N110" s="6">
        <f>J110/M110-1</f>
        <v/>
      </c>
      <c r="O110" s="6">
        <f>J110/K110-1</f>
        <v/>
      </c>
      <c r="P110" s="2" t="inlineStr">
        <is>
          <t>OK (≤ últ. compra)</t>
        </is>
      </c>
      <c r="Q110" s="2" t="inlineStr"/>
    </row>
    <row r="111">
      <c r="A111" s="2" t="n">
        <v>548221</v>
      </c>
      <c r="B111" s="2" t="inlineStr">
        <is>
          <t>625</t>
        </is>
      </c>
      <c r="C111" s="3" t="inlineStr">
        <is>
          <t>7896023719899</t>
        </is>
      </c>
      <c r="D111" s="2" t="inlineStr">
        <is>
          <t>MELAGRIÃO EXPECTORANTE CATARINENSE 150ML</t>
        </is>
      </c>
      <c r="E111" s="4" t="n">
        <v>1</v>
      </c>
      <c r="F111" s="4" t="n">
        <v>3</v>
      </c>
      <c r="G111" s="4" t="n">
        <v>3</v>
      </c>
      <c r="H111" s="5" t="n">
        <v>15.82</v>
      </c>
      <c r="I111" s="5">
        <f>G111*H111</f>
        <v/>
      </c>
      <c r="J111" s="5">
        <f>H111/E111</f>
        <v/>
      </c>
      <c r="K111" s="5" t="n">
        <v>35.31</v>
      </c>
      <c r="L111" s="5" t="n">
        <v>14.77</v>
      </c>
      <c r="M111" s="5" t="n">
        <v>15.39</v>
      </c>
      <c r="N111" s="6">
        <f>J111/M111-1</f>
        <v/>
      </c>
      <c r="O111" s="6">
        <f>J111/K111-1</f>
        <v/>
      </c>
      <c r="P111" s="2" t="inlineStr">
        <is>
          <t>OK (≤ últ. compra)</t>
        </is>
      </c>
      <c r="Q111" s="2" t="inlineStr">
        <is>
          <t>conferir emb.</t>
        </is>
      </c>
    </row>
    <row r="112">
      <c r="A112" s="2" t="n">
        <v>3573</v>
      </c>
      <c r="B112" s="2" t="inlineStr">
        <is>
          <t>6951</t>
        </is>
      </c>
      <c r="C112" s="3" t="inlineStr">
        <is>
          <t>7894164008551</t>
        </is>
      </c>
      <c r="D112" s="2" t="inlineStr">
        <is>
          <t>MELATONINA 210MCG 20ML GTS</t>
        </is>
      </c>
      <c r="E112" s="4" t="n">
        <v>1</v>
      </c>
      <c r="F112" s="4" t="n">
        <v>6</v>
      </c>
      <c r="G112" s="4" t="n">
        <v>6</v>
      </c>
      <c r="H112" s="5" t="n">
        <v>10.65</v>
      </c>
      <c r="I112" s="5">
        <f>G112*H112</f>
        <v/>
      </c>
      <c r="J112" s="5">
        <f>H112/E112</f>
        <v/>
      </c>
      <c r="K112" s="5" t="n">
        <v>10.65</v>
      </c>
      <c r="L112" s="5" t="n">
        <v>8.57</v>
      </c>
      <c r="M112" s="5" t="n">
        <v>9.263333333333334</v>
      </c>
      <c r="N112" s="6">
        <f>J112/M112-1</f>
        <v/>
      </c>
      <c r="O112" s="6">
        <f>J112/K112-1</f>
        <v/>
      </c>
      <c r="P112" s="2" t="inlineStr">
        <is>
          <t>OK (≤ últ. compra)</t>
        </is>
      </c>
      <c r="Q112" s="2" t="inlineStr"/>
    </row>
    <row r="113">
      <c r="A113" s="2" t="n">
        <v>639011</v>
      </c>
      <c r="B113" s="2" t="inlineStr">
        <is>
          <t>8820</t>
        </is>
      </c>
      <c r="C113" s="3" t="inlineStr">
        <is>
          <t>7894164011483</t>
        </is>
      </c>
      <c r="D113" s="2" t="inlineStr">
        <is>
          <t>METIOCURE 10MG 45ML SPRAY</t>
        </is>
      </c>
      <c r="E113" s="4" t="n">
        <v>1</v>
      </c>
      <c r="F113" s="4" t="n">
        <v>1</v>
      </c>
      <c r="G113" s="4" t="n">
        <v>1</v>
      </c>
      <c r="H113" s="5" t="n">
        <v>8.26</v>
      </c>
      <c r="I113" s="5">
        <f>G113*H113</f>
        <v/>
      </c>
      <c r="J113" s="5">
        <f>H113/E113</f>
        <v/>
      </c>
      <c r="K113" s="5" t="n">
        <v>8.26</v>
      </c>
      <c r="L113" s="5" t="n">
        <v>7.88</v>
      </c>
      <c r="M113" s="5" t="n">
        <v>7.899999999999999</v>
      </c>
      <c r="N113" s="6">
        <f>J113/M113-1</f>
        <v/>
      </c>
      <c r="O113" s="6">
        <f>J113/K113-1</f>
        <v/>
      </c>
      <c r="P113" s="2" t="inlineStr">
        <is>
          <t>OK (≤ últ. compra)</t>
        </is>
      </c>
      <c r="Q113" s="2" t="inlineStr"/>
    </row>
    <row r="114">
      <c r="A114" s="2" t="n">
        <v>605891</v>
      </c>
      <c r="B114" s="2" t="inlineStr">
        <is>
          <t>201</t>
        </is>
      </c>
      <c r="C114" s="3" t="inlineStr">
        <is>
          <t>7897917004589</t>
        </is>
      </c>
      <c r="D114" s="2" t="inlineStr">
        <is>
          <t>MICOSBEL 50MG 30G POMADA</t>
        </is>
      </c>
      <c r="E114" s="4" t="n">
        <v>1</v>
      </c>
      <c r="F114" s="4" t="n">
        <v>3</v>
      </c>
      <c r="G114" s="4" t="n">
        <v>3</v>
      </c>
      <c r="H114" s="5" t="n">
        <v>10.3</v>
      </c>
      <c r="I114" s="5">
        <f>G114*H114</f>
        <v/>
      </c>
      <c r="J114" s="5">
        <f>H114/E114</f>
        <v/>
      </c>
      <c r="K114" s="5" t="n">
        <v>10.3</v>
      </c>
      <c r="L114" s="5" t="n">
        <v>10.3</v>
      </c>
      <c r="M114" s="5" t="n">
        <v>10.3</v>
      </c>
      <c r="N114" s="6">
        <f>J114/M114-1</f>
        <v/>
      </c>
      <c r="O114" s="6">
        <f>J114/K114-1</f>
        <v/>
      </c>
      <c r="P114" s="2" t="inlineStr">
        <is>
          <t>OK (≤ últ. compra)</t>
        </is>
      </c>
      <c r="Q114" s="2" t="inlineStr"/>
    </row>
    <row r="115">
      <c r="A115" s="2" t="n">
        <v>3503</v>
      </c>
      <c r="B115" s="2" t="inlineStr">
        <is>
          <t>2629</t>
        </is>
      </c>
      <c r="C115" s="3" t="inlineStr">
        <is>
          <t>7897344300933</t>
        </is>
      </c>
      <c r="D115" s="2" t="inlineStr">
        <is>
          <t>OLEO DE ANDIROBA 30ML</t>
        </is>
      </c>
      <c r="E115" s="4" t="n">
        <v>1</v>
      </c>
      <c r="F115" s="4" t="n">
        <v>2</v>
      </c>
      <c r="G115" s="4" t="n">
        <v>2</v>
      </c>
      <c r="H115" s="5" t="n">
        <v>7.59</v>
      </c>
      <c r="I115" s="5">
        <f>G115*H115</f>
        <v/>
      </c>
      <c r="J115" s="5">
        <f>H115/E115</f>
        <v/>
      </c>
      <c r="K115" s="5" t="n">
        <v>7.59</v>
      </c>
      <c r="L115" s="5" t="n">
        <v>7.59</v>
      </c>
      <c r="M115" s="5" t="n">
        <v>7.59</v>
      </c>
      <c r="N115" s="6">
        <f>J115/M115-1</f>
        <v/>
      </c>
      <c r="O115" s="6">
        <f>J115/K115-1</f>
        <v/>
      </c>
      <c r="P115" s="2" t="inlineStr">
        <is>
          <t>OK (≤ últ. compra)</t>
        </is>
      </c>
      <c r="Q115" s="2" t="inlineStr"/>
    </row>
    <row r="116">
      <c r="A116" s="2" t="n">
        <v>565841</v>
      </c>
      <c r="B116" s="2" t="inlineStr">
        <is>
          <t>3</t>
        </is>
      </c>
      <c r="C116" s="3" t="inlineStr">
        <is>
          <t>7898031313335</t>
        </is>
      </c>
      <c r="D116" s="2" t="inlineStr">
        <is>
          <t>OLEO DE COPAIBA 30ML</t>
        </is>
      </c>
      <c r="E116" s="4" t="n">
        <v>1</v>
      </c>
      <c r="F116" s="4" t="n">
        <v>3</v>
      </c>
      <c r="G116" s="4" t="n">
        <v>3</v>
      </c>
      <c r="H116" s="5" t="n">
        <v>7.16</v>
      </c>
      <c r="I116" s="5">
        <f>G116*H116</f>
        <v/>
      </c>
      <c r="J116" s="5">
        <f>H116/E116</f>
        <v/>
      </c>
      <c r="K116" s="5" t="n">
        <v>7.16</v>
      </c>
      <c r="L116" s="5" t="n">
        <v>7.16</v>
      </c>
      <c r="M116" s="5" t="n">
        <v>7.16</v>
      </c>
      <c r="N116" s="6">
        <f>J116/M116-1</f>
        <v/>
      </c>
      <c r="O116" s="6">
        <f>J116/K116-1</f>
        <v/>
      </c>
      <c r="P116" s="2" t="inlineStr">
        <is>
          <t>OK (≤ últ. compra)</t>
        </is>
      </c>
      <c r="Q116" s="2" t="inlineStr"/>
    </row>
    <row r="117">
      <c r="A117" s="2" t="n">
        <v>4983</v>
      </c>
      <c r="B117" s="2" t="inlineStr">
        <is>
          <t>9599</t>
        </is>
      </c>
      <c r="C117" s="3" t="inlineStr">
        <is>
          <t>7896544927704</t>
        </is>
      </c>
      <c r="D117" s="2" t="inlineStr">
        <is>
          <t>OLEO DE GIRASSOL DERMA PROTECT 100ML</t>
        </is>
      </c>
      <c r="E117" s="4" t="n">
        <v>1</v>
      </c>
      <c r="F117" s="4" t="n">
        <v>12</v>
      </c>
      <c r="G117" s="4" t="n">
        <v>12</v>
      </c>
      <c r="H117" s="5" t="n">
        <v>3.6</v>
      </c>
      <c r="I117" s="5">
        <f>G117*H117</f>
        <v/>
      </c>
      <c r="J117" s="5">
        <f>H117/E117</f>
        <v/>
      </c>
      <c r="K117" s="5" t="n">
        <v>3.61</v>
      </c>
      <c r="L117" s="5" t="n">
        <v>3.61</v>
      </c>
      <c r="M117" s="5" t="n">
        <v>3.61</v>
      </c>
      <c r="N117" s="6">
        <f>J117/M117-1</f>
        <v/>
      </c>
      <c r="O117" s="6">
        <f>J117/K117-1</f>
        <v/>
      </c>
      <c r="P117" s="2" t="inlineStr">
        <is>
          <t>OK (≤ últ. compra)</t>
        </is>
      </c>
      <c r="Q117" s="2" t="inlineStr"/>
    </row>
    <row r="118">
      <c r="A118" s="2" t="n">
        <v>605901</v>
      </c>
      <c r="B118" s="2" t="inlineStr">
        <is>
          <t>7508</t>
        </is>
      </c>
      <c r="C118" s="3" t="inlineStr">
        <is>
          <t>7898719040157</t>
        </is>
      </c>
      <c r="D118" s="2" t="inlineStr">
        <is>
          <t>OLEO DE GIRASSOL DERSIN 100ML</t>
        </is>
      </c>
      <c r="E118" s="4" t="n">
        <v>1</v>
      </c>
      <c r="F118" s="4" t="n">
        <v>22</v>
      </c>
      <c r="G118" s="4" t="n">
        <v>22</v>
      </c>
      <c r="H118" s="5" t="n">
        <v>5.3</v>
      </c>
      <c r="I118" s="5">
        <f>G118*H118</f>
        <v/>
      </c>
      <c r="J118" s="5">
        <f>H118/E118</f>
        <v/>
      </c>
      <c r="K118" s="5" t="n">
        <v>5.22</v>
      </c>
      <c r="L118" s="5" t="n">
        <v>5.22</v>
      </c>
      <c r="M118" s="5" t="n">
        <v>5.22</v>
      </c>
      <c r="N118" s="6">
        <f>J118/M118-1</f>
        <v/>
      </c>
      <c r="O118" s="6">
        <f>J118/K118-1</f>
        <v/>
      </c>
      <c r="P118" s="2" t="inlineStr">
        <is>
          <t>REAJUSTE +1.5% vs últ. (≤4%)</t>
        </is>
      </c>
      <c r="Q118" s="2" t="inlineStr"/>
    </row>
    <row r="119">
      <c r="A119" s="2" t="n">
        <v>613861</v>
      </c>
      <c r="B119" s="2" t="inlineStr">
        <is>
          <t>7541</t>
        </is>
      </c>
      <c r="C119" s="3" t="inlineStr">
        <is>
          <t>7898719040164</t>
        </is>
      </c>
      <c r="D119" s="2" t="inlineStr">
        <is>
          <t>OLEO DE GIRASSOL DERSIN 200ML</t>
        </is>
      </c>
      <c r="E119" s="4" t="n">
        <v>1</v>
      </c>
      <c r="F119" s="4" t="n">
        <v>4</v>
      </c>
      <c r="G119" s="4" t="n">
        <v>4</v>
      </c>
      <c r="H119" s="5" t="n">
        <v>8.67</v>
      </c>
      <c r="I119" s="5">
        <f>G119*H119</f>
        <v/>
      </c>
      <c r="J119" s="5">
        <f>H119/E119</f>
        <v/>
      </c>
      <c r="K119" s="5" t="n">
        <v>8.67</v>
      </c>
      <c r="L119" s="5" t="n">
        <v>8.67</v>
      </c>
      <c r="M119" s="5" t="n">
        <v>8.67</v>
      </c>
      <c r="N119" s="6">
        <f>J119/M119-1</f>
        <v/>
      </c>
      <c r="O119" s="6">
        <f>J119/K119-1</f>
        <v/>
      </c>
      <c r="P119" s="2" t="inlineStr">
        <is>
          <t>OK (≤ últ. compra)</t>
        </is>
      </c>
      <c r="Q119" s="2" t="inlineStr"/>
    </row>
    <row r="120">
      <c r="A120" s="2" t="n">
        <v>531661</v>
      </c>
      <c r="B120" s="2" t="inlineStr">
        <is>
          <t>153</t>
        </is>
      </c>
      <c r="C120" s="3" t="inlineStr">
        <is>
          <t>7898031310709</t>
        </is>
      </c>
      <c r="D120" s="2" t="inlineStr">
        <is>
          <t>PASTA D AGUA 100G</t>
        </is>
      </c>
      <c r="E120" s="4" t="n">
        <v>1</v>
      </c>
      <c r="F120" s="4" t="n">
        <v>12</v>
      </c>
      <c r="G120" s="4" t="n">
        <v>12</v>
      </c>
      <c r="H120" s="5" t="n">
        <v>6.28</v>
      </c>
      <c r="I120" s="5">
        <f>G120*H120</f>
        <v/>
      </c>
      <c r="J120" s="5">
        <f>H120/E120</f>
        <v/>
      </c>
      <c r="K120" s="5" t="n">
        <v>6.28</v>
      </c>
      <c r="L120" s="5" t="n">
        <v>6.13</v>
      </c>
      <c r="M120" s="5" t="n">
        <v>6.13</v>
      </c>
      <c r="N120" s="6">
        <f>J120/M120-1</f>
        <v/>
      </c>
      <c r="O120" s="6">
        <f>J120/K120-1</f>
        <v/>
      </c>
      <c r="P120" s="2" t="inlineStr">
        <is>
          <t>OK (≤ últ. compra)</t>
        </is>
      </c>
      <c r="Q120" s="2" t="inlineStr"/>
    </row>
    <row r="121">
      <c r="A121" s="2" t="n">
        <v>4063</v>
      </c>
      <c r="B121" s="2" t="inlineStr">
        <is>
          <t>7284</t>
        </is>
      </c>
      <c r="C121" s="3" t="inlineStr">
        <is>
          <t>7898031311102</t>
        </is>
      </c>
      <c r="D121" s="2" t="inlineStr">
        <is>
          <t>PASTA DAGUA SIMPLES 90G BISNAGA</t>
        </is>
      </c>
      <c r="E121" s="4" t="n">
        <v>1</v>
      </c>
      <c r="F121" s="4" t="n">
        <v>3</v>
      </c>
      <c r="G121" s="4" t="n">
        <v>3</v>
      </c>
      <c r="H121" s="5" t="n">
        <v>7.74</v>
      </c>
      <c r="I121" s="5">
        <f>G121*H121</f>
        <v/>
      </c>
      <c r="J121" s="5">
        <f>H121/E121</f>
        <v/>
      </c>
      <c r="K121" s="5" t="n">
        <v>7.74</v>
      </c>
      <c r="L121" s="5" t="n">
        <v>7.57</v>
      </c>
      <c r="M121" s="5" t="n">
        <v>7.683333333333334</v>
      </c>
      <c r="N121" s="6">
        <f>J121/M121-1</f>
        <v/>
      </c>
      <c r="O121" s="6">
        <f>J121/K121-1</f>
        <v/>
      </c>
      <c r="P121" s="2" t="inlineStr">
        <is>
          <t>OK (≤ últ. compra)</t>
        </is>
      </c>
      <c r="Q121" s="2" t="inlineStr"/>
    </row>
    <row r="122">
      <c r="A122" s="2" t="n">
        <v>662241</v>
      </c>
      <c r="B122" s="2" t="inlineStr">
        <is>
          <t>6841</t>
        </is>
      </c>
      <c r="C122" s="3" t="inlineStr">
        <is>
          <t>7898719041048</t>
        </is>
      </c>
      <c r="D122" s="2" t="inlineStr">
        <is>
          <t>PEDRA HUME 35ML SPRAY</t>
        </is>
      </c>
      <c r="E122" s="4" t="n">
        <v>1</v>
      </c>
      <c r="F122" s="4" t="n">
        <v>2</v>
      </c>
      <c r="G122" s="4" t="n">
        <v>2</v>
      </c>
      <c r="H122" s="5" t="n">
        <v>6.59</v>
      </c>
      <c r="I122" s="5">
        <f>G122*H122</f>
        <v/>
      </c>
      <c r="J122" s="5">
        <f>H122/E122</f>
        <v/>
      </c>
      <c r="K122" s="5" t="n">
        <v>6.59</v>
      </c>
      <c r="L122" s="5" t="n">
        <v>6.59</v>
      </c>
      <c r="M122" s="5" t="n">
        <v>6.59</v>
      </c>
      <c r="N122" s="6">
        <f>J122/M122-1</f>
        <v/>
      </c>
      <c r="O122" s="6">
        <f>J122/K122-1</f>
        <v/>
      </c>
      <c r="P122" s="2" t="inlineStr">
        <is>
          <t>OK (≤ últ. compra)</t>
        </is>
      </c>
      <c r="Q122" s="2" t="inlineStr"/>
    </row>
    <row r="123">
      <c r="A123" s="2" t="n">
        <v>639911</v>
      </c>
      <c r="B123" s="2" t="inlineStr">
        <is>
          <t>8454</t>
        </is>
      </c>
      <c r="C123" s="3" t="inlineStr">
        <is>
          <t>7898953484410</t>
        </is>
      </c>
      <c r="D123" s="2" t="inlineStr">
        <is>
          <t>PENTE FINO TIRA PIOLHO 1 UN ROSA</t>
        </is>
      </c>
      <c r="E123" s="4" t="n">
        <v>1</v>
      </c>
      <c r="F123" s="4" t="n">
        <v>5</v>
      </c>
      <c r="G123" s="4" t="n">
        <v>5</v>
      </c>
      <c r="H123" s="5" t="n">
        <v>11.84</v>
      </c>
      <c r="I123" s="5">
        <f>G123*H123</f>
        <v/>
      </c>
      <c r="J123" s="5">
        <f>H123/E123</f>
        <v/>
      </c>
      <c r="K123" s="5" t="n">
        <v>11.84</v>
      </c>
      <c r="L123" s="5" t="n">
        <v>11.84</v>
      </c>
      <c r="M123" s="5" t="n">
        <v>11.84</v>
      </c>
      <c r="N123" s="6">
        <f>J123/M123-1</f>
        <v/>
      </c>
      <c r="O123" s="6">
        <f>J123/K123-1</f>
        <v/>
      </c>
      <c r="P123" s="2" t="inlineStr">
        <is>
          <t>OK (≤ últ. compra)</t>
        </is>
      </c>
      <c r="Q123" s="2" t="inlineStr"/>
    </row>
    <row r="124">
      <c r="A124" s="2" t="n">
        <v>547801</v>
      </c>
      <c r="B124" s="2" t="inlineStr">
        <is>
          <t>3806</t>
        </is>
      </c>
      <c r="C124" s="3" t="inlineStr">
        <is>
          <t>7899620913059</t>
        </is>
      </c>
      <c r="D124" s="2" t="inlineStr">
        <is>
          <t>PERIODENT SOLUCAO BUCAL 250 ML</t>
        </is>
      </c>
      <c r="E124" s="4" t="n">
        <v>1</v>
      </c>
      <c r="F124" s="4" t="n">
        <v>2</v>
      </c>
      <c r="G124" s="4" t="n">
        <v>2</v>
      </c>
      <c r="H124" s="5" t="n">
        <v>10.79</v>
      </c>
      <c r="I124" s="5">
        <f>G124*H124</f>
        <v/>
      </c>
      <c r="J124" s="5">
        <f>H124/E124</f>
        <v/>
      </c>
      <c r="K124" s="5" t="n">
        <v>10.79</v>
      </c>
      <c r="L124" s="5" t="n">
        <v>10.79</v>
      </c>
      <c r="M124" s="5" t="n">
        <v>10.79</v>
      </c>
      <c r="N124" s="6">
        <f>J124/M124-1</f>
        <v/>
      </c>
      <c r="O124" s="6">
        <f>J124/K124-1</f>
        <v/>
      </c>
      <c r="P124" s="2" t="inlineStr">
        <is>
          <t>OK (≤ últ. compra)</t>
        </is>
      </c>
      <c r="Q124" s="2" t="inlineStr"/>
    </row>
    <row r="125">
      <c r="A125" s="2" t="n">
        <v>5703</v>
      </c>
      <c r="B125" s="2" t="inlineStr">
        <is>
          <t>9657</t>
        </is>
      </c>
      <c r="C125" s="3" t="inlineStr">
        <is>
          <t>609963917563</t>
        </is>
      </c>
      <c r="D125" s="2" t="inlineStr">
        <is>
          <t>POLIVITAMINICO AZ C/60 CPS</t>
        </is>
      </c>
      <c r="E125" s="4" t="n">
        <v>1</v>
      </c>
      <c r="F125" s="4" t="n">
        <v>1</v>
      </c>
      <c r="G125" s="4" t="n">
        <v>1</v>
      </c>
      <c r="H125" s="5" t="n">
        <v>12.62</v>
      </c>
      <c r="I125" s="5">
        <f>G125*H125</f>
        <v/>
      </c>
      <c r="J125" s="5">
        <f>H125/E125</f>
        <v/>
      </c>
      <c r="K125" s="5" t="n"/>
      <c r="L125" s="5" t="n"/>
      <c r="M125" s="5" t="n"/>
      <c r="N125" s="6" t="n"/>
      <c r="O125" s="6" t="n"/>
      <c r="P125" s="2" t="inlineStr">
        <is>
          <t>SEM HISTÓRICO</t>
        </is>
      </c>
      <c r="Q125" s="2" t="inlineStr"/>
    </row>
    <row r="126">
      <c r="A126" s="2" t="n">
        <v>588931</v>
      </c>
      <c r="B126" s="2" t="inlineStr">
        <is>
          <t>1212</t>
        </is>
      </c>
      <c r="C126" s="3" t="inlineStr">
        <is>
          <t>7897146600583</t>
        </is>
      </c>
      <c r="D126" s="2" t="inlineStr">
        <is>
          <t>PRANFIGALDO 10ML ABACAXI UN (FLACONETE)</t>
        </is>
      </c>
      <c r="E126" s="4" t="n">
        <v>60</v>
      </c>
      <c r="F126" s="4" t="n">
        <v>2</v>
      </c>
      <c r="G126" s="4" t="n">
        <v>1</v>
      </c>
      <c r="H126" s="5" t="n">
        <v>24.29</v>
      </c>
      <c r="I126" s="5">
        <f>G126*H126</f>
        <v/>
      </c>
      <c r="J126" s="5">
        <f>H126/E126</f>
        <v/>
      </c>
      <c r="K126" s="5" t="n">
        <v>0.4048</v>
      </c>
      <c r="L126" s="5" t="n">
        <v>0.4048</v>
      </c>
      <c r="M126" s="5" t="n">
        <v>0.4048</v>
      </c>
      <c r="N126" s="6">
        <f>J126/M126-1</f>
        <v/>
      </c>
      <c r="O126" s="6">
        <f>J126/K126-1</f>
        <v/>
      </c>
      <c r="P126" s="2" t="inlineStr">
        <is>
          <t>OK (≤ últ. compra)</t>
        </is>
      </c>
      <c r="Q126" s="2" t="inlineStr">
        <is>
          <t>1 emb = 60 un</t>
        </is>
      </c>
    </row>
    <row r="127">
      <c r="A127" s="2" t="n">
        <v>543501</v>
      </c>
      <c r="B127" s="2" t="inlineStr">
        <is>
          <t>794</t>
        </is>
      </c>
      <c r="C127" s="3" t="inlineStr">
        <is>
          <t>7897146600040</t>
        </is>
      </c>
      <c r="D127" s="2" t="inlineStr">
        <is>
          <t>PRANFIGALDO BOLDO 10ML(FLACONETES)</t>
        </is>
      </c>
      <c r="E127" s="4" t="n">
        <v>60</v>
      </c>
      <c r="F127" s="4" t="n">
        <v>4</v>
      </c>
      <c r="G127" s="4" t="n">
        <v>1</v>
      </c>
      <c r="H127" s="5" t="n">
        <v>33.75</v>
      </c>
      <c r="I127" s="5">
        <f>G127*H127</f>
        <v/>
      </c>
      <c r="J127" s="5">
        <f>H127/E127</f>
        <v/>
      </c>
      <c r="K127" s="5" t="n">
        <v>0.5625</v>
      </c>
      <c r="L127" s="5" t="n">
        <v>0.5367</v>
      </c>
      <c r="M127" s="5" t="n">
        <v>0.5538999999999999</v>
      </c>
      <c r="N127" s="6">
        <f>J127/M127-1</f>
        <v/>
      </c>
      <c r="O127" s="6">
        <f>J127/K127-1</f>
        <v/>
      </c>
      <c r="P127" s="2" t="inlineStr">
        <is>
          <t>OK (≤ últ. compra)</t>
        </is>
      </c>
      <c r="Q127" s="2" t="inlineStr">
        <is>
          <t>1 emb = 60 un</t>
        </is>
      </c>
    </row>
    <row r="128">
      <c r="A128" s="2" t="n">
        <v>550161</v>
      </c>
      <c r="B128" s="2" t="inlineStr">
        <is>
          <t>4711</t>
        </is>
      </c>
      <c r="C128" s="3" t="inlineStr">
        <is>
          <t>7898556850209</t>
        </is>
      </c>
      <c r="D128" s="2" t="inlineStr">
        <is>
          <t>PRES RILEX TEXTURIZADO 3UN</t>
        </is>
      </c>
      <c r="E128" s="4" t="n">
        <v>1</v>
      </c>
      <c r="F128" s="4" t="n">
        <v>1</v>
      </c>
      <c r="G128" s="4" t="n">
        <v>1</v>
      </c>
      <c r="H128" s="5" t="n">
        <v>4.73</v>
      </c>
      <c r="I128" s="5">
        <f>G128*H128</f>
        <v/>
      </c>
      <c r="J128" s="5">
        <f>H128/E128</f>
        <v/>
      </c>
      <c r="K128" s="5" t="n">
        <v>4.56</v>
      </c>
      <c r="L128" s="5" t="n">
        <v>4.55</v>
      </c>
      <c r="M128" s="5" t="n">
        <v>4.553333333333334</v>
      </c>
      <c r="N128" s="6">
        <f>J128/M128-1</f>
        <v/>
      </c>
      <c r="O128" s="6">
        <f>J128/K128-1</f>
        <v/>
      </c>
      <c r="P128" s="2" t="inlineStr">
        <is>
          <t>REAJUSTE +3.7% vs últ. (≤4%)</t>
        </is>
      </c>
      <c r="Q128" s="2" t="inlineStr"/>
    </row>
    <row r="129">
      <c r="A129" s="2" t="n">
        <v>584461</v>
      </c>
      <c r="B129" s="2" t="inlineStr">
        <is>
          <t>5736</t>
        </is>
      </c>
      <c r="C129" s="3" t="inlineStr">
        <is>
          <t>7898556850452</t>
        </is>
      </c>
      <c r="D129" s="2" t="inlineStr">
        <is>
          <t>PRESERVATIVO RILEX LEITE CONDENSADO 3UN</t>
        </is>
      </c>
      <c r="E129" s="4" t="n">
        <v>1</v>
      </c>
      <c r="F129" s="4" t="n">
        <v>4</v>
      </c>
      <c r="G129" s="4" t="n">
        <v>4</v>
      </c>
      <c r="H129" s="5" t="n">
        <v>2.33</v>
      </c>
      <c r="I129" s="5">
        <f>G129*H129</f>
        <v/>
      </c>
      <c r="J129" s="5">
        <f>H129/E129</f>
        <v/>
      </c>
      <c r="K129" s="5" t="n">
        <v>2.22</v>
      </c>
      <c r="L129" s="5" t="n">
        <v>2.22</v>
      </c>
      <c r="M129" s="5" t="n">
        <v>2.22</v>
      </c>
      <c r="N129" s="6">
        <f>J129/M129-1</f>
        <v/>
      </c>
      <c r="O129" s="6">
        <f>J129/K129-1</f>
        <v/>
      </c>
      <c r="P129" s="2" t="inlineStr">
        <is>
          <t>REAJUSTE +5.0% vs média (≤6%)</t>
        </is>
      </c>
      <c r="Q129" s="2" t="inlineStr"/>
    </row>
    <row r="130">
      <c r="A130" s="2" t="n">
        <v>532801</v>
      </c>
      <c r="B130" s="2" t="inlineStr">
        <is>
          <t>879</t>
        </is>
      </c>
      <c r="C130" s="3" t="inlineStr">
        <is>
          <t>7898903991487</t>
        </is>
      </c>
      <c r="D130" s="2" t="inlineStr">
        <is>
          <t>PRESERVATIVO RILEX LUBRIFICADO C/3</t>
        </is>
      </c>
      <c r="E130" s="4" t="n">
        <v>1</v>
      </c>
      <c r="F130" s="4" t="n">
        <v>3</v>
      </c>
      <c r="G130" s="4" t="n">
        <v>3</v>
      </c>
      <c r="H130" s="5" t="n">
        <v>2.17</v>
      </c>
      <c r="I130" s="5">
        <f>G130*H130</f>
        <v/>
      </c>
      <c r="J130" s="5">
        <f>H130/E130</f>
        <v/>
      </c>
      <c r="K130" s="5" t="n">
        <v>2.11</v>
      </c>
      <c r="L130" s="5" t="n">
        <v>2.09</v>
      </c>
      <c r="M130" s="5" t="n">
        <v>2.096666666666666</v>
      </c>
      <c r="N130" s="6">
        <f>J130/M130-1</f>
        <v/>
      </c>
      <c r="O130" s="6">
        <f>J130/K130-1</f>
        <v/>
      </c>
      <c r="P130" s="2" t="inlineStr">
        <is>
          <t>REAJUSTE +2.8% vs últ. (≤4%)</t>
        </is>
      </c>
      <c r="Q130" s="2" t="inlineStr"/>
    </row>
    <row r="131">
      <c r="A131" s="2" t="n">
        <v>532821</v>
      </c>
      <c r="B131" s="2" t="inlineStr">
        <is>
          <t>882</t>
        </is>
      </c>
      <c r="C131" s="3" t="inlineStr">
        <is>
          <t>7898903991517</t>
        </is>
      </c>
      <c r="D131" s="2" t="inlineStr">
        <is>
          <t>PRESERVATIVO RILEX MORANGO C/3</t>
        </is>
      </c>
      <c r="E131" s="4" t="n">
        <v>1</v>
      </c>
      <c r="F131" s="4" t="n">
        <v>1</v>
      </c>
      <c r="G131" s="4" t="n">
        <v>1</v>
      </c>
      <c r="H131" s="5" t="n">
        <v>2.21</v>
      </c>
      <c r="I131" s="5">
        <f>G131*H131</f>
        <v/>
      </c>
      <c r="J131" s="5">
        <f>H131/E131</f>
        <v/>
      </c>
      <c r="K131" s="5" t="n">
        <v>2.14</v>
      </c>
      <c r="L131" s="5" t="n">
        <v>2.13</v>
      </c>
      <c r="M131" s="5" t="n">
        <v>2.133333333333333</v>
      </c>
      <c r="N131" s="6">
        <f>J131/M131-1</f>
        <v/>
      </c>
      <c r="O131" s="6">
        <f>J131/K131-1</f>
        <v/>
      </c>
      <c r="P131" s="2" t="inlineStr">
        <is>
          <t>REAJUSTE +3.3% vs últ. (≤4%)</t>
        </is>
      </c>
      <c r="Q131" s="2" t="inlineStr"/>
    </row>
    <row r="132">
      <c r="A132" s="2" t="n">
        <v>532781</v>
      </c>
      <c r="B132" s="2" t="inlineStr">
        <is>
          <t>877</t>
        </is>
      </c>
      <c r="C132" s="3" t="inlineStr">
        <is>
          <t>7898556850193</t>
        </is>
      </c>
      <c r="D132" s="2" t="inlineStr">
        <is>
          <t>PRESERVATIVO RILEX SENSITIVE C/3</t>
        </is>
      </c>
      <c r="E132" s="4" t="n">
        <v>1</v>
      </c>
      <c r="F132" s="4" t="n">
        <v>5</v>
      </c>
      <c r="G132" s="4" t="n">
        <v>5</v>
      </c>
      <c r="H132" s="5" t="n">
        <v>4.55</v>
      </c>
      <c r="I132" s="5">
        <f>G132*H132</f>
        <v/>
      </c>
      <c r="J132" s="5">
        <f>H132/E132</f>
        <v/>
      </c>
      <c r="K132" s="5" t="n">
        <v>4.38</v>
      </c>
      <c r="L132" s="5" t="n">
        <v>4.37</v>
      </c>
      <c r="M132" s="5" t="n">
        <v>4.373333333333334</v>
      </c>
      <c r="N132" s="6">
        <f>J132/M132-1</f>
        <v/>
      </c>
      <c r="O132" s="6">
        <f>J132/K132-1</f>
        <v/>
      </c>
      <c r="P132" s="2" t="inlineStr">
        <is>
          <t>REAJUSTE +3.9% vs últ. (≤4%)</t>
        </is>
      </c>
      <c r="Q132" s="2" t="inlineStr"/>
    </row>
    <row r="133">
      <c r="A133" s="2" t="n">
        <v>68841</v>
      </c>
      <c r="B133" s="2" t="inlineStr">
        <is>
          <t>4578</t>
        </is>
      </c>
      <c r="C133" s="3" t="inlineStr">
        <is>
          <t>7896004765709</t>
        </is>
      </c>
      <c r="D133" s="2" t="inlineStr">
        <is>
          <t>PV - INALIDE 64MPV - CG SUS SPR NAS FR 120 ACION</t>
        </is>
      </c>
      <c r="E133" s="4" t="n">
        <v>1</v>
      </c>
      <c r="F133" s="4" t="n">
        <v>2</v>
      </c>
      <c r="G133" s="4" t="n">
        <v>2</v>
      </c>
      <c r="H133" s="5" t="n">
        <v>20.33</v>
      </c>
      <c r="I133" s="5">
        <f>G133*H133</f>
        <v/>
      </c>
      <c r="J133" s="5">
        <f>H133/E133</f>
        <v/>
      </c>
      <c r="K133" s="5" t="n">
        <v>23.98</v>
      </c>
      <c r="L133" s="5" t="n">
        <v>23.98</v>
      </c>
      <c r="M133" s="5" t="n">
        <v>23.98</v>
      </c>
      <c r="N133" s="6">
        <f>J133/M133-1</f>
        <v/>
      </c>
      <c r="O133" s="6">
        <f>J133/K133-1</f>
        <v/>
      </c>
      <c r="P133" s="2" t="inlineStr">
        <is>
          <t>OK (≤ últ. compra)</t>
        </is>
      </c>
      <c r="Q133" s="2" t="inlineStr"/>
    </row>
    <row r="134">
      <c r="A134" s="2" t="n">
        <v>1353</v>
      </c>
      <c r="B134" s="2" t="inlineStr">
        <is>
          <t>8774</t>
        </is>
      </c>
      <c r="C134" s="3" t="inlineStr">
        <is>
          <t>7898714761477</t>
        </is>
      </c>
      <c r="D134" s="2" t="inlineStr">
        <is>
          <t>PV K2+D3 CAPS REV X 30</t>
        </is>
      </c>
      <c r="E134" s="4" t="n">
        <v>1</v>
      </c>
      <c r="F134" s="4" t="n">
        <v>1</v>
      </c>
      <c r="G134" s="4" t="n">
        <v>1</v>
      </c>
      <c r="H134" s="5" t="n">
        <v>20.61</v>
      </c>
      <c r="I134" s="5">
        <f>G134*H134</f>
        <v/>
      </c>
      <c r="J134" s="5">
        <f>H134/E134</f>
        <v/>
      </c>
      <c r="K134" s="5" t="n">
        <v>41.8867</v>
      </c>
      <c r="L134" s="5" t="n">
        <v>41.8867</v>
      </c>
      <c r="M134" s="5" t="n">
        <v>41.8867</v>
      </c>
      <c r="N134" s="6">
        <f>J134/M134-1</f>
        <v/>
      </c>
      <c r="O134" s="6">
        <f>J134/K134-1</f>
        <v/>
      </c>
      <c r="P134" s="2" t="inlineStr">
        <is>
          <t>OK (≤ últ. compra)</t>
        </is>
      </c>
      <c r="Q134" s="2" t="inlineStr">
        <is>
          <t>conferir emb.</t>
        </is>
      </c>
    </row>
    <row r="135">
      <c r="A135" s="2" t="n">
        <v>419001</v>
      </c>
      <c r="B135" s="2" t="inlineStr">
        <is>
          <t>4865</t>
        </is>
      </c>
      <c r="C135" s="3" t="inlineStr">
        <is>
          <t>7898569763916</t>
        </is>
      </c>
      <c r="D135" s="2" t="inlineStr">
        <is>
          <t>RISEDRONATO SODICO 150MG CX 1 COMP REV</t>
        </is>
      </c>
      <c r="E135" s="4" t="n">
        <v>1</v>
      </c>
      <c r="F135" s="4" t="n">
        <v>1</v>
      </c>
      <c r="G135" s="4" t="n">
        <v>1</v>
      </c>
      <c r="H135" s="5" t="n">
        <v>9.99</v>
      </c>
      <c r="I135" s="5">
        <f>G135*H135</f>
        <v/>
      </c>
      <c r="J135" s="5">
        <f>H135/E135</f>
        <v/>
      </c>
      <c r="K135" s="5" t="n">
        <v>18.43</v>
      </c>
      <c r="L135" s="5" t="n">
        <v>13.5</v>
      </c>
      <c r="M135" s="5" t="n">
        <v>13.5</v>
      </c>
      <c r="N135" s="6">
        <f>J135/M135-1</f>
        <v/>
      </c>
      <c r="O135" s="6">
        <f>J135/K135-1</f>
        <v/>
      </c>
      <c r="P135" s="2" t="inlineStr">
        <is>
          <t>OK (≤ últ. compra)</t>
        </is>
      </c>
      <c r="Q135" s="2" t="inlineStr"/>
    </row>
    <row r="136">
      <c r="A136" s="2" t="n">
        <v>234</v>
      </c>
      <c r="B136" s="2" t="inlineStr">
        <is>
          <t>528</t>
        </is>
      </c>
      <c r="C136" s="3" t="inlineStr">
        <is>
          <t>7898277711421</t>
        </is>
      </c>
      <c r="D136" s="2" t="inlineStr">
        <is>
          <t>SAB DE COCO BARRA 100G</t>
        </is>
      </c>
      <c r="E136" s="4" t="n">
        <v>1</v>
      </c>
      <c r="F136" s="4" t="n">
        <v>1</v>
      </c>
      <c r="G136" s="4" t="n">
        <v>1</v>
      </c>
      <c r="H136" s="5" t="n">
        <v>5.74</v>
      </c>
      <c r="I136" s="5">
        <f>G136*H136</f>
        <v/>
      </c>
      <c r="J136" s="5">
        <f>H136/E136</f>
        <v/>
      </c>
      <c r="K136" s="5" t="n"/>
      <c r="L136" s="5" t="n"/>
      <c r="M136" s="5" t="n"/>
      <c r="N136" s="6" t="n"/>
      <c r="O136" s="6" t="n"/>
      <c r="P136" s="2" t="inlineStr">
        <is>
          <t>SEM HISTÓRICO</t>
        </is>
      </c>
      <c r="Q136" s="2" t="inlineStr"/>
    </row>
    <row r="137">
      <c r="A137" s="2" t="n">
        <v>674361</v>
      </c>
      <c r="B137" s="2" t="inlineStr">
        <is>
          <t>7213</t>
        </is>
      </c>
      <c r="C137" s="3" t="inlineStr">
        <is>
          <t>7898936049049</t>
        </is>
      </c>
      <c r="D137" s="2" t="inlineStr">
        <is>
          <t>SABONETE INTIMO 17 ERVAS 210ML</t>
        </is>
      </c>
      <c r="E137" s="4" t="n">
        <v>1</v>
      </c>
      <c r="F137" s="4" t="n">
        <v>7</v>
      </c>
      <c r="G137" s="4" t="n">
        <v>7</v>
      </c>
      <c r="H137" s="5" t="n">
        <v>3.33</v>
      </c>
      <c r="I137" s="5">
        <f>G137*H137</f>
        <v/>
      </c>
      <c r="J137" s="5">
        <f>H137/E137</f>
        <v/>
      </c>
      <c r="K137" s="5" t="n">
        <v>3.35</v>
      </c>
      <c r="L137" s="5" t="n">
        <v>3.35</v>
      </c>
      <c r="M137" s="5" t="n">
        <v>3.35</v>
      </c>
      <c r="N137" s="6">
        <f>J137/M137-1</f>
        <v/>
      </c>
      <c r="O137" s="6">
        <f>J137/K137-1</f>
        <v/>
      </c>
      <c r="P137" s="2" t="inlineStr">
        <is>
          <t>OK (≤ últ. compra)</t>
        </is>
      </c>
      <c r="Q137" s="2" t="inlineStr"/>
    </row>
    <row r="138">
      <c r="A138" s="2" t="n">
        <v>1503</v>
      </c>
      <c r="B138" s="2" t="inlineStr">
        <is>
          <t>7206</t>
        </is>
      </c>
      <c r="C138" s="3" t="inlineStr">
        <is>
          <t>7898936049735</t>
        </is>
      </c>
      <c r="D138" s="2" t="inlineStr">
        <is>
          <t>SABONETE INTIMO BARBATIMAO AROEIRA 210ML</t>
        </is>
      </c>
      <c r="E138" s="4" t="n">
        <v>1</v>
      </c>
      <c r="F138" s="4" t="n">
        <v>3</v>
      </c>
      <c r="G138" s="4" t="n">
        <v>3</v>
      </c>
      <c r="H138" s="5" t="n">
        <v>3.36</v>
      </c>
      <c r="I138" s="5">
        <f>G138*H138</f>
        <v/>
      </c>
      <c r="J138" s="5">
        <f>H138/E138</f>
        <v/>
      </c>
      <c r="K138" s="5" t="n">
        <v>3.38</v>
      </c>
      <c r="L138" s="5" t="n">
        <v>3.38</v>
      </c>
      <c r="M138" s="5" t="n">
        <v>3.38</v>
      </c>
      <c r="N138" s="6">
        <f>J138/M138-1</f>
        <v/>
      </c>
      <c r="O138" s="6">
        <f>J138/K138-1</f>
        <v/>
      </c>
      <c r="P138" s="2" t="inlineStr">
        <is>
          <t>OK (≤ últ. compra)</t>
        </is>
      </c>
      <c r="Q138" s="2" t="inlineStr"/>
    </row>
    <row r="139">
      <c r="A139" s="2" t="n">
        <v>531721</v>
      </c>
      <c r="B139" s="2" t="inlineStr">
        <is>
          <t>157</t>
        </is>
      </c>
      <c r="C139" s="3" t="inlineStr">
        <is>
          <t>7898031311324</t>
        </is>
      </c>
      <c r="D139" s="2" t="inlineStr">
        <is>
          <t>SAL AMARGO 30G</t>
        </is>
      </c>
      <c r="E139" s="4" t="n">
        <v>1</v>
      </c>
      <c r="F139" s="4" t="n">
        <v>5</v>
      </c>
      <c r="G139" s="4" t="n">
        <v>5</v>
      </c>
      <c r="H139" s="5" t="n">
        <v>2.36</v>
      </c>
      <c r="I139" s="5">
        <f>G139*H139</f>
        <v/>
      </c>
      <c r="J139" s="5">
        <f>H139/E139</f>
        <v/>
      </c>
      <c r="K139" s="5" t="n">
        <v>2.49</v>
      </c>
      <c r="L139" s="5" t="n">
        <v>2.23</v>
      </c>
      <c r="M139" s="5" t="n">
        <v>2.316666666666667</v>
      </c>
      <c r="N139" s="6">
        <f>J139/M139-1</f>
        <v/>
      </c>
      <c r="O139" s="6">
        <f>J139/K139-1</f>
        <v/>
      </c>
      <c r="P139" s="2" t="inlineStr">
        <is>
          <t>OK (≤ últ. compra)</t>
        </is>
      </c>
      <c r="Q139" s="2" t="inlineStr"/>
    </row>
    <row r="140">
      <c r="A140" s="2" t="n">
        <v>639041</v>
      </c>
      <c r="B140" s="2" t="inlineStr">
        <is>
          <t>7222</t>
        </is>
      </c>
      <c r="C140" s="3" t="inlineStr">
        <is>
          <t>7898259496001</t>
        </is>
      </c>
      <c r="D140" s="2" t="inlineStr">
        <is>
          <t>SERINGA 20ML LL AGULHA 0,7X25</t>
        </is>
      </c>
      <c r="E140" s="4" t="n">
        <v>1</v>
      </c>
      <c r="F140" s="4" t="n">
        <v>76</v>
      </c>
      <c r="G140" s="4" t="n">
        <v>76</v>
      </c>
      <c r="H140" s="5" t="n">
        <v>0.57</v>
      </c>
      <c r="I140" s="5">
        <f>G140*H140</f>
        <v/>
      </c>
      <c r="J140" s="5">
        <f>H140/E140</f>
        <v/>
      </c>
      <c r="K140" s="5" t="n">
        <v>0.64</v>
      </c>
      <c r="L140" s="5" t="n">
        <v>0.64</v>
      </c>
      <c r="M140" s="5" t="n">
        <v>0.64</v>
      </c>
      <c r="N140" s="6">
        <f>J140/M140-1</f>
        <v/>
      </c>
      <c r="O140" s="6">
        <f>J140/K140-1</f>
        <v/>
      </c>
      <c r="P140" s="2" t="inlineStr">
        <is>
          <t>OK (≤ últ. compra)</t>
        </is>
      </c>
      <c r="Q140" s="2" t="inlineStr"/>
    </row>
    <row r="141">
      <c r="A141" s="2" t="n">
        <v>619851</v>
      </c>
      <c r="B141" s="2" t="inlineStr">
        <is>
          <t>3550</t>
        </is>
      </c>
      <c r="C141" s="3" t="inlineStr">
        <is>
          <t>7899620912441</t>
        </is>
      </c>
      <c r="D141" s="2" t="inlineStr">
        <is>
          <t>SIMETICONA (N.S.) 40MG CX 20 COMP</t>
        </is>
      </c>
      <c r="E141" s="4" t="n">
        <v>1</v>
      </c>
      <c r="F141" s="4" t="n">
        <v>16</v>
      </c>
      <c r="G141" s="4" t="n">
        <v>16</v>
      </c>
      <c r="H141" s="5" t="n">
        <v>2.97</v>
      </c>
      <c r="I141" s="5">
        <f>G141*H141</f>
        <v/>
      </c>
      <c r="J141" s="5">
        <f>H141/E141</f>
        <v/>
      </c>
      <c r="K141" s="5" t="n">
        <v>2.97</v>
      </c>
      <c r="L141" s="5" t="n">
        <v>2.97</v>
      </c>
      <c r="M141" s="5" t="n">
        <v>2.97</v>
      </c>
      <c r="N141" s="6">
        <f>J141/M141-1</f>
        <v/>
      </c>
      <c r="O141" s="6">
        <f>J141/K141-1</f>
        <v/>
      </c>
      <c r="P141" s="2" t="inlineStr">
        <is>
          <t>OK (≤ últ. compra)</t>
        </is>
      </c>
      <c r="Q141" s="2" t="inlineStr"/>
    </row>
    <row r="142">
      <c r="A142" s="2" t="n">
        <v>614021</v>
      </c>
      <c r="B142" s="2" t="inlineStr">
        <is>
          <t>8240</t>
        </is>
      </c>
      <c r="C142" s="3" t="inlineStr">
        <is>
          <t>7897732608146</t>
        </is>
      </c>
      <c r="D142" s="2" t="inlineStr">
        <is>
          <t>SORALYT 450ML SABOR MORANGO</t>
        </is>
      </c>
      <c r="E142" s="4" t="n">
        <v>1</v>
      </c>
      <c r="F142" s="4" t="n">
        <v>7</v>
      </c>
      <c r="G142" s="4" t="n">
        <v>7</v>
      </c>
      <c r="H142" s="5" t="n">
        <v>6.67</v>
      </c>
      <c r="I142" s="5">
        <f>G142*H142</f>
        <v/>
      </c>
      <c r="J142" s="5">
        <f>H142/E142</f>
        <v/>
      </c>
      <c r="K142" s="5" t="n">
        <v>6.55</v>
      </c>
      <c r="L142" s="5" t="n">
        <v>6.55</v>
      </c>
      <c r="M142" s="5" t="n">
        <v>6.55</v>
      </c>
      <c r="N142" s="6">
        <f>J142/M142-1</f>
        <v/>
      </c>
      <c r="O142" s="6">
        <f>J142/K142-1</f>
        <v/>
      </c>
      <c r="P142" s="2" t="inlineStr">
        <is>
          <t>REAJUSTE +1.8% vs últ. (≤4%)</t>
        </is>
      </c>
      <c r="Q142" s="2" t="inlineStr"/>
    </row>
    <row r="143">
      <c r="A143" s="2" t="n">
        <v>531861</v>
      </c>
      <c r="B143" s="2" t="inlineStr">
        <is>
          <t>809</t>
        </is>
      </c>
      <c r="C143" s="3" t="inlineStr">
        <is>
          <t>7898031310389</t>
        </is>
      </c>
      <c r="D143" s="2" t="inlineStr">
        <is>
          <t>SORO FISIOLOGICO 9% 100ML</t>
        </is>
      </c>
      <c r="E143" s="4" t="n">
        <v>1</v>
      </c>
      <c r="F143" s="4" t="n">
        <v>103</v>
      </c>
      <c r="G143" s="4" t="n">
        <v>103</v>
      </c>
      <c r="H143" s="5" t="n">
        <v>2.28</v>
      </c>
      <c r="I143" s="5">
        <f>G143*H143</f>
        <v/>
      </c>
      <c r="J143" s="5">
        <f>H143/E143</f>
        <v/>
      </c>
      <c r="K143" s="5" t="n">
        <v>2.27</v>
      </c>
      <c r="L143" s="5" t="n">
        <v>2.0228</v>
      </c>
      <c r="M143" s="5" t="n">
        <v>2.094266666666666</v>
      </c>
      <c r="N143" s="6">
        <f>J143/M143-1</f>
        <v/>
      </c>
      <c r="O143" s="6">
        <f>J143/K143-1</f>
        <v/>
      </c>
      <c r="P143" s="2" t="inlineStr">
        <is>
          <t>REAJUSTE +0.4% vs últ. (≤4%)</t>
        </is>
      </c>
      <c r="Q143" s="2" t="inlineStr"/>
    </row>
    <row r="144">
      <c r="A144" s="2" t="n">
        <v>616441</v>
      </c>
      <c r="B144" s="2" t="inlineStr">
        <is>
          <t>10045</t>
        </is>
      </c>
      <c r="C144" s="3" t="inlineStr">
        <is>
          <t>7896523201542</t>
        </is>
      </c>
      <c r="D144" s="2" t="inlineStr">
        <is>
          <t>SUCCINATO METOPROLOL 100MG CX 30 COMP REV</t>
        </is>
      </c>
      <c r="E144" s="4" t="n">
        <v>1</v>
      </c>
      <c r="F144" s="4" t="n">
        <v>1</v>
      </c>
      <c r="G144" s="4" t="n">
        <v>1</v>
      </c>
      <c r="H144" s="5" t="n">
        <v>0.01</v>
      </c>
      <c r="I144" s="5">
        <f>G144*H144</f>
        <v/>
      </c>
      <c r="J144" s="5">
        <f>H144/E144</f>
        <v/>
      </c>
      <c r="K144" s="5" t="n">
        <v>18.99</v>
      </c>
      <c r="L144" s="5" t="n">
        <v>17.03</v>
      </c>
      <c r="M144" s="5" t="n">
        <v>18.23666666666667</v>
      </c>
      <c r="N144" s="6">
        <f>J144/M144-1</f>
        <v/>
      </c>
      <c r="O144" s="6">
        <f>J144/K144-1</f>
        <v/>
      </c>
      <c r="P144" s="2" t="inlineStr">
        <is>
          <t>OK (≤ últ. compra)</t>
        </is>
      </c>
      <c r="Q144" s="2" t="inlineStr">
        <is>
          <t>conferir emb.</t>
        </is>
      </c>
    </row>
    <row r="145">
      <c r="A145" s="2" t="n">
        <v>691001</v>
      </c>
      <c r="B145" s="2" t="inlineStr">
        <is>
          <t>8698</t>
        </is>
      </c>
      <c r="C145" s="3" t="inlineStr">
        <is>
          <t>7898575780792</t>
        </is>
      </c>
      <c r="D145" s="2" t="inlineStr">
        <is>
          <t>SULFATO FERROSO 125MG 120ML SUS..</t>
        </is>
      </c>
      <c r="E145" s="4" t="n">
        <v>1</v>
      </c>
      <c r="F145" s="4" t="n">
        <v>9</v>
      </c>
      <c r="G145" s="4" t="n">
        <v>9</v>
      </c>
      <c r="H145" s="5" t="n">
        <v>4.04</v>
      </c>
      <c r="I145" s="5">
        <f>G145*H145</f>
        <v/>
      </c>
      <c r="J145" s="5">
        <f>H145/E145</f>
        <v/>
      </c>
      <c r="K145" s="5" t="n">
        <v>4.04</v>
      </c>
      <c r="L145" s="5" t="n">
        <v>4.04</v>
      </c>
      <c r="M145" s="5" t="n">
        <v>4.04</v>
      </c>
      <c r="N145" s="6">
        <f>J145/M145-1</f>
        <v/>
      </c>
      <c r="O145" s="6">
        <f>J145/K145-1</f>
        <v/>
      </c>
      <c r="P145" s="2" t="inlineStr">
        <is>
          <t>OK (≤ últ. compra)</t>
        </is>
      </c>
      <c r="Q145" s="2" t="inlineStr"/>
    </row>
    <row r="146">
      <c r="A146" s="2" t="n">
        <v>3593</v>
      </c>
      <c r="B146" s="2" t="inlineStr">
        <is>
          <t>8743</t>
        </is>
      </c>
      <c r="C146" s="3" t="inlineStr">
        <is>
          <t>7898575780808</t>
        </is>
      </c>
      <c r="D146" s="2" t="inlineStr">
        <is>
          <t>SULFATO FERROSO 125MG 30ML GTS</t>
        </is>
      </c>
      <c r="E146" s="4" t="n">
        <v>1</v>
      </c>
      <c r="F146" s="4" t="n">
        <v>3</v>
      </c>
      <c r="G146" s="4" t="n">
        <v>3</v>
      </c>
      <c r="H146" s="5" t="n">
        <v>2.69</v>
      </c>
      <c r="I146" s="5">
        <f>G146*H146</f>
        <v/>
      </c>
      <c r="J146" s="5">
        <f>H146/E146</f>
        <v/>
      </c>
      <c r="K146" s="5" t="n">
        <v>2.69</v>
      </c>
      <c r="L146" s="5" t="n">
        <v>2.69</v>
      </c>
      <c r="M146" s="5" t="n">
        <v>2.69</v>
      </c>
      <c r="N146" s="6">
        <f>J146/M146-1</f>
        <v/>
      </c>
      <c r="O146" s="6">
        <f>J146/K146-1</f>
        <v/>
      </c>
      <c r="P146" s="2" t="inlineStr">
        <is>
          <t>OK (≤ últ. compra)</t>
        </is>
      </c>
      <c r="Q146" s="2" t="inlineStr"/>
    </row>
    <row r="147">
      <c r="A147" s="2" t="n">
        <v>548381</v>
      </c>
      <c r="B147" s="2" t="inlineStr">
        <is>
          <t>1422</t>
        </is>
      </c>
      <c r="C147" s="3" t="inlineStr">
        <is>
          <t>7897146600255</t>
        </is>
      </c>
      <c r="D147" s="2" t="inlineStr">
        <is>
          <t>SULFATO FERROSO 200MG C/50 CPR</t>
        </is>
      </c>
      <c r="E147" s="4" t="n">
        <v>1</v>
      </c>
      <c r="F147" s="4" t="n">
        <v>7</v>
      </c>
      <c r="G147" s="4" t="n">
        <v>7</v>
      </c>
      <c r="H147" s="5" t="n">
        <v>4.37</v>
      </c>
      <c r="I147" s="5">
        <f>G147*H147</f>
        <v/>
      </c>
      <c r="J147" s="5">
        <f>H147/E147</f>
        <v/>
      </c>
      <c r="K147" s="5" t="n">
        <v>4.37</v>
      </c>
      <c r="L147" s="5" t="n">
        <v>4.37</v>
      </c>
      <c r="M147" s="5" t="n">
        <v>4.37</v>
      </c>
      <c r="N147" s="6">
        <f>J147/M147-1</f>
        <v/>
      </c>
      <c r="O147" s="6">
        <f>J147/K147-1</f>
        <v/>
      </c>
      <c r="P147" s="2" t="inlineStr">
        <is>
          <t>OK (≤ últ. compra)</t>
        </is>
      </c>
      <c r="Q147" s="2" t="inlineStr"/>
    </row>
    <row r="148">
      <c r="A148" s="2" t="n">
        <v>612291</v>
      </c>
      <c r="B148" s="2" t="inlineStr">
        <is>
          <t>4795</t>
        </is>
      </c>
      <c r="C148" s="3" t="inlineStr">
        <is>
          <t>7894164005802</t>
        </is>
      </c>
      <c r="D148" s="2" t="inlineStr">
        <is>
          <t>SULFERMAX GTS 30ML (SULFATO FERROSO)</t>
        </is>
      </c>
      <c r="E148" s="4" t="n">
        <v>1</v>
      </c>
      <c r="F148" s="4" t="n">
        <v>3</v>
      </c>
      <c r="G148" s="4" t="n">
        <v>3</v>
      </c>
      <c r="H148" s="5" t="n">
        <v>3.29</v>
      </c>
      <c r="I148" s="5">
        <f>G148*H148</f>
        <v/>
      </c>
      <c r="J148" s="5">
        <f>H148/E148</f>
        <v/>
      </c>
      <c r="K148" s="5" t="n">
        <v>3.17</v>
      </c>
      <c r="L148" s="5" t="n">
        <v>3.08</v>
      </c>
      <c r="M148" s="5" t="n">
        <v>3.123333333333334</v>
      </c>
      <c r="N148" s="6">
        <f>J148/M148-1</f>
        <v/>
      </c>
      <c r="O148" s="6">
        <f>J148/K148-1</f>
        <v/>
      </c>
      <c r="P148" s="2" t="inlineStr">
        <is>
          <t>REAJUSTE +3.8% vs últ. (≤4%)</t>
        </is>
      </c>
      <c r="Q148" s="2" t="inlineStr"/>
    </row>
    <row r="149">
      <c r="A149" s="2" t="n">
        <v>578801</v>
      </c>
      <c r="B149" s="2" t="inlineStr">
        <is>
          <t>4760</t>
        </is>
      </c>
      <c r="C149" s="3" t="inlineStr">
        <is>
          <t>7898301056986</t>
        </is>
      </c>
      <c r="D149" s="2" t="inlineStr">
        <is>
          <t>TERMOMETRO DIGITAL CLINICO TH150 LARANJA</t>
        </is>
      </c>
      <c r="E149" s="4" t="n">
        <v>1</v>
      </c>
      <c r="F149" s="4" t="n">
        <v>1</v>
      </c>
      <c r="G149" s="4" t="n">
        <v>1</v>
      </c>
      <c r="H149" s="5" t="n">
        <v>11.88</v>
      </c>
      <c r="I149" s="5">
        <f>G149*H149</f>
        <v/>
      </c>
      <c r="J149" s="5">
        <f>H149/E149</f>
        <v/>
      </c>
      <c r="K149" s="5" t="n">
        <v>12.59</v>
      </c>
      <c r="L149" s="5" t="n">
        <v>12.59</v>
      </c>
      <c r="M149" s="5" t="n">
        <v>12.59</v>
      </c>
      <c r="N149" s="6">
        <f>J149/M149-1</f>
        <v/>
      </c>
      <c r="O149" s="6">
        <f>J149/K149-1</f>
        <v/>
      </c>
      <c r="P149" s="2" t="inlineStr">
        <is>
          <t>OK (≤ últ. compra)</t>
        </is>
      </c>
      <c r="Q149" s="2" t="inlineStr"/>
    </row>
    <row r="150">
      <c r="A150" s="2" t="n">
        <v>543341</v>
      </c>
      <c r="B150" s="2" t="inlineStr">
        <is>
          <t>4761</t>
        </is>
      </c>
      <c r="C150" s="3" t="inlineStr">
        <is>
          <t>7898301056979</t>
        </is>
      </c>
      <c r="D150" s="2" t="inlineStr">
        <is>
          <t>TERMOMETRO DIGITAL G-TECH ROSA UNIDADE</t>
        </is>
      </c>
      <c r="E150" s="4" t="n">
        <v>1</v>
      </c>
      <c r="F150" s="4" t="n">
        <v>1</v>
      </c>
      <c r="G150" s="4" t="n">
        <v>1</v>
      </c>
      <c r="H150" s="5" t="n">
        <v>13.33</v>
      </c>
      <c r="I150" s="5">
        <f>G150*H150</f>
        <v/>
      </c>
      <c r="J150" s="5">
        <f>H150/E150</f>
        <v/>
      </c>
      <c r="K150" s="5" t="n">
        <v>12.59</v>
      </c>
      <c r="L150" s="5" t="n">
        <v>12.59</v>
      </c>
      <c r="M150" s="5" t="n">
        <v>12.59</v>
      </c>
      <c r="N150" s="6">
        <f>J150/M150-1</f>
        <v/>
      </c>
      <c r="O150" s="6">
        <f>J150/K150-1</f>
        <v/>
      </c>
      <c r="P150" s="2" t="inlineStr">
        <is>
          <t>REAJUSTE +5.9% vs média (≤6%)</t>
        </is>
      </c>
      <c r="Q150" s="2" t="inlineStr"/>
    </row>
    <row r="151">
      <c r="A151" s="2" t="n">
        <v>543361</v>
      </c>
      <c r="B151" s="2" t="inlineStr">
        <is>
          <t>4762</t>
        </is>
      </c>
      <c r="C151" s="3" t="inlineStr">
        <is>
          <t>7898301056962</t>
        </is>
      </c>
      <c r="D151" s="2" t="inlineStr">
        <is>
          <t>TERMÔMETRO DIGITAL G-TECH COM PONTA RIGIDA THGTH150V - VERDE</t>
        </is>
      </c>
      <c r="E151" s="4" t="n">
        <v>1</v>
      </c>
      <c r="F151" s="4" t="n">
        <v>1</v>
      </c>
      <c r="G151" s="4" t="n">
        <v>1</v>
      </c>
      <c r="H151" s="5" t="n">
        <v>13.33</v>
      </c>
      <c r="I151" s="5">
        <f>G151*H151</f>
        <v/>
      </c>
      <c r="J151" s="5">
        <f>H151/E151</f>
        <v/>
      </c>
      <c r="K151" s="5" t="n">
        <v>12.59</v>
      </c>
      <c r="L151" s="5" t="n">
        <v>12.59</v>
      </c>
      <c r="M151" s="5" t="n">
        <v>12.59</v>
      </c>
      <c r="N151" s="6">
        <f>J151/M151-1</f>
        <v/>
      </c>
      <c r="O151" s="6">
        <f>J151/K151-1</f>
        <v/>
      </c>
      <c r="P151" s="2" t="inlineStr">
        <is>
          <t>REAJUSTE +5.9% vs média (≤6%)</t>
        </is>
      </c>
      <c r="Q151" s="2" t="inlineStr"/>
    </row>
    <row r="152">
      <c r="A152" s="2" t="n">
        <v>532641</v>
      </c>
      <c r="B152" s="2" t="inlineStr">
        <is>
          <t>271</t>
        </is>
      </c>
      <c r="C152" s="3" t="inlineStr">
        <is>
          <t>7898126050022</t>
        </is>
      </c>
      <c r="D152" s="2" t="inlineStr">
        <is>
          <t>TESTE CONFIRME C/01 UND</t>
        </is>
      </c>
      <c r="E152" s="4" t="n">
        <v>1</v>
      </c>
      <c r="F152" s="4" t="n">
        <v>4</v>
      </c>
      <c r="G152" s="4" t="n">
        <v>4</v>
      </c>
      <c r="H152" s="5" t="n">
        <v>1.69</v>
      </c>
      <c r="I152" s="5">
        <f>G152*H152</f>
        <v/>
      </c>
      <c r="J152" s="5">
        <f>H152/E152</f>
        <v/>
      </c>
      <c r="K152" s="5" t="n">
        <v>1.69</v>
      </c>
      <c r="L152" s="5" t="n">
        <v>1.69</v>
      </c>
      <c r="M152" s="5" t="n">
        <v>1.69</v>
      </c>
      <c r="N152" s="6">
        <f>J152/M152-1</f>
        <v/>
      </c>
      <c r="O152" s="6">
        <f>J152/K152-1</f>
        <v/>
      </c>
      <c r="P152" s="2" t="inlineStr">
        <is>
          <t>OK (≤ últ. compra)</t>
        </is>
      </c>
      <c r="Q152" s="2" t="inlineStr"/>
    </row>
    <row r="153">
      <c r="A153" s="2" t="n">
        <v>640411</v>
      </c>
      <c r="B153" s="2" t="inlineStr">
        <is>
          <t>7368</t>
        </is>
      </c>
      <c r="C153" s="3" t="inlineStr">
        <is>
          <t>7898126050220</t>
        </is>
      </c>
      <c r="D153" s="2" t="inlineStr">
        <is>
          <t>TESTE GRAVIDEZ CONFIRME SEMANAS TIRA C/1</t>
        </is>
      </c>
      <c r="E153" s="4" t="n">
        <v>1</v>
      </c>
      <c r="F153" s="4" t="n">
        <v>2</v>
      </c>
      <c r="G153" s="4" t="n">
        <v>2</v>
      </c>
      <c r="H153" s="5" t="n">
        <v>7.71</v>
      </c>
      <c r="I153" s="5">
        <f>G153*H153</f>
        <v/>
      </c>
      <c r="J153" s="5">
        <f>H153/E153</f>
        <v/>
      </c>
      <c r="K153" s="5" t="n">
        <v>10.85</v>
      </c>
      <c r="L153" s="5" t="n">
        <v>10.85</v>
      </c>
      <c r="M153" s="5" t="n">
        <v>10.85</v>
      </c>
      <c r="N153" s="6">
        <f>J153/M153-1</f>
        <v/>
      </c>
      <c r="O153" s="6">
        <f>J153/K153-1</f>
        <v/>
      </c>
      <c r="P153" s="2" t="inlineStr">
        <is>
          <t>OK (≤ últ. compra)</t>
        </is>
      </c>
      <c r="Q153" s="2" t="inlineStr"/>
    </row>
    <row r="154">
      <c r="A154" s="2" t="n">
        <v>461941</v>
      </c>
      <c r="B154" s="2" t="inlineStr">
        <is>
          <t>386</t>
        </is>
      </c>
      <c r="C154" s="3" t="inlineStr">
        <is>
          <t>7893454100715</t>
        </is>
      </c>
      <c r="D154" s="2" t="inlineStr">
        <is>
          <t>TIADOL 50MG/G POM DERM BG 20G</t>
        </is>
      </c>
      <c r="E154" s="4" t="n">
        <v>1</v>
      </c>
      <c r="F154" s="4" t="n">
        <v>3</v>
      </c>
      <c r="G154" s="4" t="n">
        <v>3</v>
      </c>
      <c r="H154" s="5" t="n">
        <v>13.89</v>
      </c>
      <c r="I154" s="5">
        <f>G154*H154</f>
        <v/>
      </c>
      <c r="J154" s="5">
        <f>H154/E154</f>
        <v/>
      </c>
      <c r="K154" s="5" t="n">
        <v>13.36</v>
      </c>
      <c r="L154" s="5" t="n">
        <v>13.36</v>
      </c>
      <c r="M154" s="5" t="n">
        <v>13.36</v>
      </c>
      <c r="N154" s="6">
        <f>J154/M154-1</f>
        <v/>
      </c>
      <c r="O154" s="6">
        <f>J154/K154-1</f>
        <v/>
      </c>
      <c r="P154" s="2" t="inlineStr">
        <is>
          <t>REAJUSTE +4.0% vs últ. (≤4%)</t>
        </is>
      </c>
      <c r="Q154" s="2" t="inlineStr"/>
    </row>
    <row r="155">
      <c r="A155" s="2" t="n">
        <v>540941</v>
      </c>
      <c r="B155" s="2" t="inlineStr">
        <is>
          <t>177</t>
        </is>
      </c>
      <c r="C155" s="3" t="inlineStr">
        <is>
          <t>7898031310952</t>
        </is>
      </c>
      <c r="D155" s="2" t="inlineStr">
        <is>
          <t>TINTURA DE ARNICA 30ML</t>
        </is>
      </c>
      <c r="E155" s="4" t="n">
        <v>1</v>
      </c>
      <c r="F155" s="4" t="n">
        <v>19</v>
      </c>
      <c r="G155" s="4" t="n">
        <v>19</v>
      </c>
      <c r="H155" s="5" t="n">
        <v>4.31</v>
      </c>
      <c r="I155" s="5">
        <f>G155*H155</f>
        <v/>
      </c>
      <c r="J155" s="5">
        <f>H155/E155</f>
        <v/>
      </c>
      <c r="K155" s="5" t="n">
        <v>4.31</v>
      </c>
      <c r="L155" s="5" t="n">
        <v>4.31</v>
      </c>
      <c r="M155" s="5" t="n">
        <v>4.31</v>
      </c>
      <c r="N155" s="6">
        <f>J155/M155-1</f>
        <v/>
      </c>
      <c r="O155" s="6">
        <f>J155/K155-1</f>
        <v/>
      </c>
      <c r="P155" s="2" t="inlineStr">
        <is>
          <t>OK (≤ últ. compra)</t>
        </is>
      </c>
      <c r="Q155" s="2" t="inlineStr"/>
    </row>
    <row r="156">
      <c r="A156" s="2" t="n">
        <v>18001</v>
      </c>
      <c r="B156" s="2" t="inlineStr">
        <is>
          <t>1121</t>
        </is>
      </c>
      <c r="C156" s="3" t="inlineStr">
        <is>
          <t>7896004739083</t>
        </is>
      </c>
      <c r="D156" s="2" t="inlineStr">
        <is>
          <t>TREXACONT 250MG 1BL X 12 COMP</t>
        </is>
      </c>
      <c r="E156" s="4" t="n">
        <v>1</v>
      </c>
      <c r="F156" s="4" t="n">
        <v>1</v>
      </c>
      <c r="G156" s="4" t="n">
        <v>1</v>
      </c>
      <c r="H156" s="5" t="n">
        <v>35.81</v>
      </c>
      <c r="I156" s="5">
        <f>G156*H156</f>
        <v/>
      </c>
      <c r="J156" s="5">
        <f>H156/E156</f>
        <v/>
      </c>
      <c r="K156" s="5" t="n">
        <v>40.53</v>
      </c>
      <c r="L156" s="5" t="n">
        <v>40.53</v>
      </c>
      <c r="M156" s="5" t="n">
        <v>40.53</v>
      </c>
      <c r="N156" s="6">
        <f>J156/M156-1</f>
        <v/>
      </c>
      <c r="O156" s="6">
        <f>J156/K156-1</f>
        <v/>
      </c>
      <c r="P156" s="2" t="inlineStr">
        <is>
          <t>OK (≤ últ. compra)</t>
        </is>
      </c>
      <c r="Q156" s="2" t="inlineStr"/>
    </row>
    <row r="157">
      <c r="A157" s="2" t="n">
        <v>563961</v>
      </c>
      <c r="B157" s="2" t="inlineStr">
        <is>
          <t>395</t>
        </is>
      </c>
      <c r="C157" s="3" t="inlineStr">
        <is>
          <t>7898100243945</t>
        </is>
      </c>
      <c r="D157" s="2" t="inlineStr">
        <is>
          <t>TYFLEN 500MG CARTELA COM 10CP</t>
        </is>
      </c>
      <c r="E157" s="4" t="n">
        <v>20</v>
      </c>
      <c r="F157" s="4" t="n">
        <v>1</v>
      </c>
      <c r="G157" s="4" t="n">
        <v>1</v>
      </c>
      <c r="H157" s="5" t="n">
        <v>29.55</v>
      </c>
      <c r="I157" s="5">
        <f>G157*H157</f>
        <v/>
      </c>
      <c r="J157" s="5">
        <f>H157/E157</f>
        <v/>
      </c>
      <c r="K157" s="5" t="n">
        <v>1.8355</v>
      </c>
      <c r="L157" s="5" t="n">
        <v>1.8355</v>
      </c>
      <c r="M157" s="5" t="n">
        <v>1.8355</v>
      </c>
      <c r="N157" s="6">
        <f>J157/M157-1</f>
        <v/>
      </c>
      <c r="O157" s="6">
        <f>J157/K157-1</f>
        <v/>
      </c>
      <c r="P157" s="2" t="inlineStr">
        <is>
          <t>OK (≤ últ. compra)</t>
        </is>
      </c>
      <c r="Q157" s="2" t="inlineStr">
        <is>
          <t>1 emb = 20 un</t>
        </is>
      </c>
    </row>
    <row r="158">
      <c r="A158" s="2" t="n">
        <v>565801</v>
      </c>
      <c r="B158" s="2" t="inlineStr">
        <is>
          <t>3126</t>
        </is>
      </c>
      <c r="C158" s="3" t="inlineStr">
        <is>
          <t>7898031310600</t>
        </is>
      </c>
      <c r="D158" s="2" t="inlineStr">
        <is>
          <t>UNISSEPT ALCOOL GEL ANTISSEPTICO 450G</t>
        </is>
      </c>
      <c r="E158" s="4" t="n">
        <v>1</v>
      </c>
      <c r="F158" s="4" t="n">
        <v>13</v>
      </c>
      <c r="G158" s="4" t="n">
        <v>13</v>
      </c>
      <c r="H158" s="5" t="n">
        <v>13.08</v>
      </c>
      <c r="I158" s="5">
        <f>G158*H158</f>
        <v/>
      </c>
      <c r="J158" s="5">
        <f>H158/E158</f>
        <v/>
      </c>
      <c r="K158" s="5" t="n">
        <v>13.08</v>
      </c>
      <c r="L158" s="5" t="n">
        <v>12.51</v>
      </c>
      <c r="M158" s="5" t="n">
        <v>12.70333333333333</v>
      </c>
      <c r="N158" s="6">
        <f>J158/M158-1</f>
        <v/>
      </c>
      <c r="O158" s="6">
        <f>J158/K158-1</f>
        <v/>
      </c>
      <c r="P158" s="2" t="inlineStr">
        <is>
          <t>OK (≤ últ. compra)</t>
        </is>
      </c>
      <c r="Q158" s="2" t="inlineStr"/>
    </row>
    <row r="159">
      <c r="A159" s="2" t="n">
        <v>2973</v>
      </c>
      <c r="B159" s="2" t="inlineStr">
        <is>
          <t>163</t>
        </is>
      </c>
      <c r="C159" s="3" t="inlineStr">
        <is>
          <t>7898031313533</t>
        </is>
      </c>
      <c r="D159" s="2" t="inlineStr">
        <is>
          <t>VASELINA SOLIDA 20G BISNAGA</t>
        </is>
      </c>
      <c r="E159" s="4" t="n">
        <v>1</v>
      </c>
      <c r="F159" s="4" t="n">
        <v>12</v>
      </c>
      <c r="G159" s="4" t="n">
        <v>12</v>
      </c>
      <c r="H159" s="5" t="n">
        <v>5.26</v>
      </c>
      <c r="I159" s="5">
        <f>G159*H159</f>
        <v/>
      </c>
      <c r="J159" s="5">
        <f>H159/E159</f>
        <v/>
      </c>
      <c r="K159" s="5" t="n">
        <v>5.26</v>
      </c>
      <c r="L159" s="5" t="n">
        <v>5.06</v>
      </c>
      <c r="M159" s="5" t="n">
        <v>5.126666666666666</v>
      </c>
      <c r="N159" s="6">
        <f>J159/M159-1</f>
        <v/>
      </c>
      <c r="O159" s="6">
        <f>J159/K159-1</f>
        <v/>
      </c>
      <c r="P159" s="2" t="inlineStr">
        <is>
          <t>OK (≤ últ. compra)</t>
        </is>
      </c>
      <c r="Q159" s="2" t="inlineStr"/>
    </row>
    <row r="160">
      <c r="A160" s="2" t="n">
        <v>591211</v>
      </c>
      <c r="B160" s="2" t="inlineStr">
        <is>
          <t>7292</t>
        </is>
      </c>
      <c r="C160" s="3" t="inlineStr">
        <is>
          <t>7898241250031</t>
        </is>
      </c>
      <c r="D160" s="2" t="inlineStr">
        <is>
          <t>VELA SEBO DE HOLANDA</t>
        </is>
      </c>
      <c r="E160" s="4" t="n">
        <v>8</v>
      </c>
      <c r="F160" s="4" t="n">
        <v>3</v>
      </c>
      <c r="G160" s="4" t="n">
        <v>1</v>
      </c>
      <c r="H160" s="5" t="n">
        <v>3.99</v>
      </c>
      <c r="I160" s="5">
        <f>G160*H160</f>
        <v/>
      </c>
      <c r="J160" s="5">
        <f>H160/E160</f>
        <v/>
      </c>
      <c r="K160" s="5" t="n">
        <v>0.4988</v>
      </c>
      <c r="L160" s="5" t="n">
        <v>0.4988</v>
      </c>
      <c r="M160" s="5" t="n">
        <v>0.4988</v>
      </c>
      <c r="N160" s="6">
        <f>J160/M160-1</f>
        <v/>
      </c>
      <c r="O160" s="6">
        <f>J160/K160-1</f>
        <v/>
      </c>
      <c r="P160" s="2" t="inlineStr">
        <is>
          <t>OK (≤ últ. compra)</t>
        </is>
      </c>
      <c r="Q160" s="2" t="inlineStr">
        <is>
          <t>1 emb = 8 un</t>
        </is>
      </c>
    </row>
    <row r="161">
      <c r="A161" s="2" t="n">
        <v>4053</v>
      </c>
      <c r="B161" s="2" t="inlineStr">
        <is>
          <t>5175</t>
        </is>
      </c>
      <c r="C161" s="3" t="inlineStr">
        <is>
          <t>7894164007127</t>
        </is>
      </c>
      <c r="D161" s="2" t="inlineStr">
        <is>
          <t>VITAXON C TRIPLA ACAO IMUNO C/30 CPR.</t>
        </is>
      </c>
      <c r="E161" s="4" t="n">
        <v>1</v>
      </c>
      <c r="F161" s="4" t="n">
        <v>1</v>
      </c>
      <c r="G161" s="4" t="n">
        <v>1</v>
      </c>
      <c r="H161" s="5" t="n">
        <v>14.84</v>
      </c>
      <c r="I161" s="5">
        <f>G161*H161</f>
        <v/>
      </c>
      <c r="J161" s="5">
        <f>H161/E161</f>
        <v/>
      </c>
      <c r="K161" s="5" t="n">
        <v>14.84</v>
      </c>
      <c r="L161" s="5" t="n">
        <v>14.84</v>
      </c>
      <c r="M161" s="5" t="n">
        <v>14.84</v>
      </c>
      <c r="N161" s="6">
        <f>J161/M161-1</f>
        <v/>
      </c>
      <c r="O161" s="6">
        <f>J161/K161-1</f>
        <v/>
      </c>
      <c r="P161" s="2" t="inlineStr">
        <is>
          <t>OK (≤ últ. compra)</t>
        </is>
      </c>
      <c r="Q161" s="2" t="inlineStr"/>
    </row>
    <row r="162">
      <c r="A162" s="2" t="n">
        <v>121961</v>
      </c>
      <c r="B162" s="2" t="inlineStr">
        <is>
          <t>6402</t>
        </is>
      </c>
      <c r="C162" s="3" t="inlineStr">
        <is>
          <t>7896004774947</t>
        </is>
      </c>
      <c r="D162" s="2" t="inlineStr">
        <is>
          <t>VOLIG 8MG CX 10 COMP</t>
        </is>
      </c>
      <c r="E162" s="4" t="n">
        <v>1</v>
      </c>
      <c r="F162" s="4" t="n">
        <v>8</v>
      </c>
      <c r="G162" s="4" t="n">
        <v>8</v>
      </c>
      <c r="H162" s="5" t="n">
        <v>7.31</v>
      </c>
      <c r="I162" s="5">
        <f>G162*H162</f>
        <v/>
      </c>
      <c r="J162" s="5">
        <f>H162/E162</f>
        <v/>
      </c>
      <c r="K162" s="5" t="n">
        <v>7.29</v>
      </c>
      <c r="L162" s="5" t="n">
        <v>7.29</v>
      </c>
      <c r="M162" s="5" t="n">
        <v>7.29</v>
      </c>
      <c r="N162" s="6">
        <f>J162/M162-1</f>
        <v/>
      </c>
      <c r="O162" s="6">
        <f>J162/K162-1</f>
        <v/>
      </c>
      <c r="P162" s="2" t="inlineStr">
        <is>
          <t>REAJUSTE +0.3% vs últ. (≤4%)</t>
        </is>
      </c>
      <c r="Q162" s="2" t="inlineStr"/>
    </row>
    <row r="163">
      <c r="D163" s="7" t="inlineStr">
        <is>
          <t>TOTAL</t>
        </is>
      </c>
      <c r="I163" s="8">
        <f>SUM(I2:I162)</f>
        <v/>
      </c>
    </row>
    <row r="165">
      <c r="A165" s="9" t="inlineStr">
        <is>
          <t>Pedido FINAL DIMEC — cotação 08/09/2026 (fechada 09/09). Somente itens aprovados: teto de reajuste de 4% sobre a última compra OU 6% sobre a média histórica (3/6/12m). 'Qtd pedido' na embalagem do fornecedor.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2026-09-09T17:18:10Z</dcterms:created>
  <dcterms:modified xsi:type="dcterms:W3CDTF">2026-09-09T17:18:10Z</dcterms:modified>
</cp:coreProperties>
</file>