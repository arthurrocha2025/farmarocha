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" t="inlineStr">
        <is>
          <t>Cód. interno</t>
        </is>
      </c>
      <c r="B1" s="1" t="inlineStr">
        <is>
          <t>Cód. forn.</t>
        </is>
      </c>
      <c r="C1" s="1" t="inlineStr">
        <is>
          <t>EAN</t>
        </is>
      </c>
      <c r="D1" s="1" t="inlineStr">
        <is>
          <t>Produto</t>
        </is>
      </c>
      <c r="E1" s="1" t="inlineStr">
        <is>
          <t>Un/Emb</t>
        </is>
      </c>
      <c r="F1" s="1" t="inlineStr">
        <is>
          <t>Caixas</t>
        </is>
      </c>
      <c r="G1" s="1" t="inlineStr">
        <is>
          <t>Qtd pedido</t>
        </is>
      </c>
      <c r="H1" s="1" t="inlineStr">
        <is>
          <t>Preço (emb.)</t>
        </is>
      </c>
      <c r="I1" s="1" t="inlineStr">
        <is>
          <t>Total</t>
        </is>
      </c>
      <c r="J1" s="1" t="inlineStr">
        <is>
          <t>Preço un. eq.</t>
        </is>
      </c>
      <c r="K1" s="1" t="inlineStr">
        <is>
          <t>Últ. compra</t>
        </is>
      </c>
      <c r="L1" s="1" t="inlineStr">
        <is>
          <t>Menor hist.</t>
        </is>
      </c>
      <c r="M1" s="1" t="inlineStr">
        <is>
          <t>Média hist.</t>
        </is>
      </c>
      <c r="N1" s="1" t="inlineStr">
        <is>
          <t>% vs média hist.</t>
        </is>
      </c>
      <c r="O1" s="1" t="inlineStr">
        <is>
          <t>% vs últ. compra</t>
        </is>
      </c>
      <c r="P1" s="1" t="inlineStr">
        <is>
          <t>Status</t>
        </is>
      </c>
      <c r="Q1" s="1" t="inlineStr">
        <is>
          <t>OBS</t>
        </is>
      </c>
    </row>
    <row r="2">
      <c r="A2" s="2" t="n">
        <v>588821</v>
      </c>
      <c r="B2" s="2" t="inlineStr"/>
      <c r="C2" s="3" t="inlineStr">
        <is>
          <t>7891106912167</t>
        </is>
      </c>
      <c r="D2" s="2" t="inlineStr">
        <is>
          <t>BEPANTOL BABY 30+15G</t>
        </is>
      </c>
      <c r="E2" s="4" t="n">
        <v>1</v>
      </c>
      <c r="F2" s="4" t="n">
        <v>13</v>
      </c>
      <c r="G2" s="4" t="n">
        <v>13</v>
      </c>
      <c r="H2" s="5" t="n">
        <v>14.6179</v>
      </c>
      <c r="I2" s="5">
        <f>G2*H2</f>
        <v/>
      </c>
      <c r="J2" s="5">
        <f>H2/E2</f>
        <v/>
      </c>
      <c r="K2" s="5" t="n">
        <v>14.36</v>
      </c>
      <c r="L2" s="5" t="n">
        <v>12.9012</v>
      </c>
      <c r="M2" s="5" t="n">
        <v>13.7404</v>
      </c>
      <c r="N2" s="6">
        <f>J2/M2-1</f>
        <v/>
      </c>
      <c r="O2" s="6">
        <f>J2/K2-1</f>
        <v/>
      </c>
      <c r="P2" s="2" t="inlineStr">
        <is>
          <t>REAJUSTE +1.8% vs últ. (≤4%)</t>
        </is>
      </c>
      <c r="Q2" s="2" t="inlineStr"/>
    </row>
    <row r="3">
      <c r="A3" s="2" t="n">
        <v>477961</v>
      </c>
      <c r="B3" s="2" t="inlineStr"/>
      <c r="C3" s="3" t="inlineStr">
        <is>
          <t>7894916508377</t>
        </is>
      </c>
      <c r="D3" s="2" t="inlineStr">
        <is>
          <t>BRASART HCT 320+25MG CX 30 COMP REV</t>
        </is>
      </c>
      <c r="E3" s="4" t="n">
        <v>1</v>
      </c>
      <c r="F3" s="4" t="n">
        <v>1</v>
      </c>
      <c r="G3" s="4" t="n">
        <v>1</v>
      </c>
      <c r="H3" s="5" t="n">
        <v>87.88199999999999</v>
      </c>
      <c r="I3" s="5">
        <f>G3*H3</f>
        <v/>
      </c>
      <c r="J3" s="5">
        <f>H3/E3</f>
        <v/>
      </c>
      <c r="K3" s="5" t="n">
        <v>89.44</v>
      </c>
      <c r="L3" s="5" t="n">
        <v>79.81999999999999</v>
      </c>
      <c r="M3" s="5" t="n">
        <v>84.42666666666666</v>
      </c>
      <c r="N3" s="6">
        <f>J3/M3-1</f>
        <v/>
      </c>
      <c r="O3" s="6">
        <f>J3/K3-1</f>
        <v/>
      </c>
      <c r="P3" s="2" t="inlineStr">
        <is>
          <t>OK (≤ últ. compra)</t>
        </is>
      </c>
      <c r="Q3" s="2" t="inlineStr"/>
    </row>
    <row r="4">
      <c r="A4" s="2" t="n">
        <v>477941</v>
      </c>
      <c r="B4" s="2" t="inlineStr"/>
      <c r="C4" s="3" t="inlineStr">
        <is>
          <t>7894916508346</t>
        </is>
      </c>
      <c r="D4" s="2" t="inlineStr">
        <is>
          <t>BRASART HCT 80+12,5MG CX 30 COMP REV</t>
        </is>
      </c>
      <c r="E4" s="4" t="n">
        <v>1</v>
      </c>
      <c r="F4" s="4" t="n">
        <v>1</v>
      </c>
      <c r="G4" s="4" t="n">
        <v>1</v>
      </c>
      <c r="H4" s="5" t="n">
        <v>75.1168</v>
      </c>
      <c r="I4" s="5">
        <f>G4*H4</f>
        <v/>
      </c>
      <c r="J4" s="5">
        <f>H4/E4</f>
        <v/>
      </c>
      <c r="K4" s="5" t="n">
        <v>76.45</v>
      </c>
      <c r="L4" s="5" t="n">
        <v>70.33</v>
      </c>
      <c r="M4" s="5" t="n">
        <v>74.14333333333333</v>
      </c>
      <c r="N4" s="6">
        <f>J4/M4-1</f>
        <v/>
      </c>
      <c r="O4" s="6">
        <f>J4/K4-1</f>
        <v/>
      </c>
      <c r="P4" s="2" t="inlineStr">
        <is>
          <t>OK (≤ últ. compra)</t>
        </is>
      </c>
      <c r="Q4" s="2" t="inlineStr"/>
    </row>
    <row r="5">
      <c r="A5" s="2" t="n">
        <v>655361</v>
      </c>
      <c r="B5" s="2" t="inlineStr"/>
      <c r="C5" s="3" t="inlineStr">
        <is>
          <t>7896004822013</t>
        </is>
      </c>
      <c r="D5" s="2" t="inlineStr">
        <is>
          <t>COXETO 90MG 7 COM REV-B</t>
        </is>
      </c>
      <c r="E5" s="4" t="n">
        <v>1</v>
      </c>
      <c r="F5" s="4" t="n">
        <v>1</v>
      </c>
      <c r="G5" s="4" t="n">
        <v>1</v>
      </c>
      <c r="H5" s="5" t="n">
        <v>41.3996</v>
      </c>
      <c r="I5" s="5">
        <f>G5*H5</f>
        <v/>
      </c>
      <c r="J5" s="5">
        <f>H5/E5</f>
        <v/>
      </c>
      <c r="K5" s="5" t="n">
        <v>44.35</v>
      </c>
      <c r="L5" s="5" t="n">
        <v>34.225</v>
      </c>
      <c r="M5" s="5" t="n">
        <v>37.6</v>
      </c>
      <c r="N5" s="6">
        <f>J5/M5-1</f>
        <v/>
      </c>
      <c r="O5" s="6">
        <f>J5/K5-1</f>
        <v/>
      </c>
      <c r="P5" s="2" t="inlineStr">
        <is>
          <t>OK (≤ últ. compra)</t>
        </is>
      </c>
      <c r="Q5" s="2" t="inlineStr"/>
    </row>
    <row r="6">
      <c r="A6" s="2" t="n">
        <v>235621</v>
      </c>
      <c r="B6" s="2" t="inlineStr"/>
      <c r="C6" s="3" t="inlineStr">
        <is>
          <t>7894916510202</t>
        </is>
      </c>
      <c r="D6" s="2" t="inlineStr">
        <is>
          <t>ESOGASTRO IBP KIT 14ESO 14CLA 28AMOX+28ESO-S</t>
        </is>
      </c>
      <c r="E6" s="4" t="n">
        <v>1</v>
      </c>
      <c r="F6" s="4" t="n">
        <v>2</v>
      </c>
      <c r="G6" s="4" t="n">
        <v>2</v>
      </c>
      <c r="H6" s="5" t="n">
        <v>270.6785</v>
      </c>
      <c r="I6" s="5">
        <f>G6*H6</f>
        <v/>
      </c>
      <c r="J6" s="5">
        <f>H6/E6</f>
        <v/>
      </c>
      <c r="K6" s="5" t="n">
        <v>272.59</v>
      </c>
      <c r="L6" s="5" t="n">
        <v>242.54</v>
      </c>
      <c r="M6" s="5" t="n">
        <v>261.6066666666666</v>
      </c>
      <c r="N6" s="6">
        <f>J6/M6-1</f>
        <v/>
      </c>
      <c r="O6" s="6">
        <f>J6/K6-1</f>
        <v/>
      </c>
      <c r="P6" s="2" t="inlineStr">
        <is>
          <t>OK (≤ últ. compra)</t>
        </is>
      </c>
      <c r="Q6" s="2" t="inlineStr"/>
    </row>
    <row r="7">
      <c r="A7" s="2" t="n">
        <v>672581</v>
      </c>
      <c r="B7" s="2" t="inlineStr"/>
      <c r="C7" s="3" t="inlineStr">
        <is>
          <t>7891106916561</t>
        </is>
      </c>
      <c r="D7" s="2" t="inlineStr">
        <is>
          <t>GINO CANESTEN PURO CUIDADO 200ML-DEMAIS PROD</t>
        </is>
      </c>
      <c r="E7" s="4" t="n">
        <v>1</v>
      </c>
      <c r="F7" s="4" t="n">
        <v>2</v>
      </c>
      <c r="G7" s="4" t="n">
        <v>2</v>
      </c>
      <c r="H7" s="5" t="n">
        <v>18.3427</v>
      </c>
      <c r="I7" s="5">
        <f>G7*H7</f>
        <v/>
      </c>
      <c r="J7" s="5">
        <f>H7/E7</f>
        <v/>
      </c>
      <c r="K7" s="5" t="n">
        <v>18.34</v>
      </c>
      <c r="L7" s="5" t="n">
        <v>18.34</v>
      </c>
      <c r="M7" s="5" t="n">
        <v>18.34</v>
      </c>
      <c r="N7" s="6">
        <f>J7/M7-1</f>
        <v/>
      </c>
      <c r="O7" s="6">
        <f>J7/K7-1</f>
        <v/>
      </c>
      <c r="P7" s="2" t="inlineStr">
        <is>
          <t>REAJUSTE +0.0% vs últ. (≤4%)</t>
        </is>
      </c>
      <c r="Q7" s="2" t="inlineStr"/>
    </row>
    <row r="8">
      <c r="A8" s="2" t="n">
        <v>621551</v>
      </c>
      <c r="B8" s="2" t="inlineStr"/>
      <c r="C8" s="3" t="inlineStr">
        <is>
          <t>7891010255763</t>
        </is>
      </c>
      <c r="D8" s="2" t="inlineStr">
        <is>
          <t>HIPOGLOS ORIGINAL 40G</t>
        </is>
      </c>
      <c r="E8" s="4" t="n">
        <v>1</v>
      </c>
      <c r="F8" s="4" t="n">
        <v>6</v>
      </c>
      <c r="G8" s="4" t="n">
        <v>6</v>
      </c>
      <c r="H8" s="5" t="n">
        <v>20.6416</v>
      </c>
      <c r="I8" s="5">
        <f>G8*H8</f>
        <v/>
      </c>
      <c r="J8" s="5">
        <f>H8/E8</f>
        <v/>
      </c>
      <c r="K8" s="5" t="n">
        <v>21.3575</v>
      </c>
      <c r="L8" s="5" t="n">
        <v>18.405</v>
      </c>
      <c r="M8" s="5" t="n">
        <v>19.7634</v>
      </c>
      <c r="N8" s="6">
        <f>J8/M8-1</f>
        <v/>
      </c>
      <c r="O8" s="6">
        <f>J8/K8-1</f>
        <v/>
      </c>
      <c r="P8" s="2" t="inlineStr">
        <is>
          <t>OK (≤ últ. compra)</t>
        </is>
      </c>
      <c r="Q8" s="2" t="inlineStr"/>
    </row>
    <row r="9">
      <c r="A9" s="2" t="n">
        <v>240081</v>
      </c>
      <c r="B9" s="2" t="inlineStr"/>
      <c r="C9" s="3" t="inlineStr">
        <is>
          <t>7896094208094</t>
        </is>
      </c>
      <c r="D9" s="2" t="inlineStr">
        <is>
          <t>IUMI 3+0,02MG CX 24 COMP REV</t>
        </is>
      </c>
      <c r="E9" s="4" t="n">
        <v>1</v>
      </c>
      <c r="F9" s="4" t="n">
        <v>1</v>
      </c>
      <c r="G9" s="4" t="n">
        <v>1</v>
      </c>
      <c r="H9" s="5" t="n">
        <v>56.6189</v>
      </c>
      <c r="I9" s="5">
        <f>G9*H9</f>
        <v/>
      </c>
      <c r="J9" s="5">
        <f>H9/E9</f>
        <v/>
      </c>
      <c r="K9" s="5" t="n">
        <v>58.84</v>
      </c>
      <c r="L9" s="5" t="n">
        <v>54.58</v>
      </c>
      <c r="M9" s="5" t="n">
        <v>57.41999999999999</v>
      </c>
      <c r="N9" s="6">
        <f>J9/M9-1</f>
        <v/>
      </c>
      <c r="O9" s="6">
        <f>J9/K9-1</f>
        <v/>
      </c>
      <c r="P9" s="2" t="inlineStr">
        <is>
          <t>OK (≤ últ. compra)</t>
        </is>
      </c>
      <c r="Q9" s="2" t="inlineStr"/>
    </row>
    <row r="10">
      <c r="A10" s="2" t="n">
        <v>290881</v>
      </c>
      <c r="B10" s="2" t="inlineStr"/>
      <c r="C10" s="3" t="inlineStr">
        <is>
          <t>7896094203266</t>
        </is>
      </c>
      <c r="D10" s="2" t="inlineStr">
        <is>
          <t>NAPRIX D 12,5MG CX 30 CAP</t>
        </is>
      </c>
      <c r="E10" s="4" t="n">
        <v>1</v>
      </c>
      <c r="F10" s="4" t="n">
        <v>1</v>
      </c>
      <c r="G10" s="4" t="n">
        <v>1</v>
      </c>
      <c r="H10" s="5" t="n">
        <v>56.3182</v>
      </c>
      <c r="I10" s="5">
        <f>G10*H10</f>
        <v/>
      </c>
      <c r="J10" s="5">
        <f>H10/E10</f>
        <v/>
      </c>
      <c r="K10" s="5" t="n">
        <v>55.03</v>
      </c>
      <c r="L10" s="5" t="n">
        <v>55.03</v>
      </c>
      <c r="M10" s="5" t="n">
        <v>55.03</v>
      </c>
      <c r="N10" s="6">
        <f>J10/M10-1</f>
        <v/>
      </c>
      <c r="O10" s="6">
        <f>J10/K10-1</f>
        <v/>
      </c>
      <c r="P10" s="2" t="inlineStr">
        <is>
          <t>REAJUSTE +2.3% vs últ. (≤4%)</t>
        </is>
      </c>
      <c r="Q10" s="2" t="inlineStr"/>
    </row>
    <row r="11">
      <c r="A11" s="2" t="n">
        <v>237461</v>
      </c>
      <c r="B11" s="2" t="inlineStr"/>
      <c r="C11" s="3" t="inlineStr">
        <is>
          <t>7896094201460</t>
        </is>
      </c>
      <c r="D11" s="2" t="inlineStr">
        <is>
          <t>NATIFA 1MG CX 28 COMP REV</t>
        </is>
      </c>
      <c r="E11" s="4" t="n">
        <v>1</v>
      </c>
      <c r="F11" s="4" t="n">
        <v>3</v>
      </c>
      <c r="G11" s="4" t="n">
        <v>3</v>
      </c>
      <c r="H11" s="5" t="n">
        <v>56.0951</v>
      </c>
      <c r="I11" s="5">
        <f>G11*H11</f>
        <v/>
      </c>
      <c r="J11" s="5">
        <f>H11/E11</f>
        <v/>
      </c>
      <c r="K11" s="5" t="n">
        <v>58.3</v>
      </c>
      <c r="L11" s="5" t="n">
        <v>54.075</v>
      </c>
      <c r="M11" s="5" t="n">
        <v>56.15666666666667</v>
      </c>
      <c r="N11" s="6">
        <f>J11/M11-1</f>
        <v/>
      </c>
      <c r="O11" s="6">
        <f>J11/K11-1</f>
        <v/>
      </c>
      <c r="P11" s="2" t="inlineStr">
        <is>
          <t>OK (≤ últ. compra)</t>
        </is>
      </c>
      <c r="Q11" s="2" t="inlineStr"/>
    </row>
    <row r="12">
      <c r="A12" s="2" t="n">
        <v>500281</v>
      </c>
      <c r="B12" s="2" t="inlineStr"/>
      <c r="C12" s="3" t="inlineStr">
        <is>
          <t>7897595901446</t>
        </is>
      </c>
      <c r="D12" s="2" t="inlineStr">
        <is>
          <t>PURAN T4 125MCG CX 30 COMP</t>
        </is>
      </c>
      <c r="E12" s="4" t="n">
        <v>1</v>
      </c>
      <c r="F12" s="4" t="n">
        <v>6</v>
      </c>
      <c r="G12" s="4" t="n">
        <v>6</v>
      </c>
      <c r="H12" s="5" t="n">
        <v>18.5367</v>
      </c>
      <c r="I12" s="5">
        <f>G12*H12</f>
        <v/>
      </c>
      <c r="J12" s="5">
        <f>H12/E12</f>
        <v/>
      </c>
      <c r="K12" s="5" t="n">
        <v>19.265</v>
      </c>
      <c r="L12" s="5" t="n">
        <v>15.31</v>
      </c>
      <c r="M12" s="5" t="n">
        <v>17.175</v>
      </c>
      <c r="N12" s="6">
        <f>J12/M12-1</f>
        <v/>
      </c>
      <c r="O12" s="6">
        <f>J12/K12-1</f>
        <v/>
      </c>
      <c r="P12" s="2" t="inlineStr">
        <is>
          <t>OK (≤ últ. compra)</t>
        </is>
      </c>
      <c r="Q12" s="2" t="inlineStr"/>
    </row>
    <row r="13">
      <c r="A13" s="2" t="n">
        <v>431061</v>
      </c>
      <c r="B13" s="2" t="inlineStr"/>
      <c r="C13" s="3" t="inlineStr">
        <is>
          <t>7898560661563</t>
        </is>
      </c>
      <c r="D13" s="2" t="inlineStr">
        <is>
          <t>REPARIL 10+50MG/G GEL BG 30G</t>
        </is>
      </c>
      <c r="E13" s="4" t="n">
        <v>1</v>
      </c>
      <c r="F13" s="4" t="n">
        <v>5</v>
      </c>
      <c r="G13" s="4" t="n">
        <v>5</v>
      </c>
      <c r="H13" s="5" t="n">
        <v>32.30099999999999</v>
      </c>
      <c r="I13" s="5">
        <f>G13*H13</f>
        <v/>
      </c>
      <c r="J13" s="5">
        <f>H13/E13</f>
        <v/>
      </c>
      <c r="K13" s="5" t="n">
        <v>32.3</v>
      </c>
      <c r="L13" s="5" t="n">
        <v>27.27</v>
      </c>
      <c r="M13" s="5" t="n">
        <v>29.5525</v>
      </c>
      <c r="N13" s="6">
        <f>J13/M13-1</f>
        <v/>
      </c>
      <c r="O13" s="6">
        <f>J13/K13-1</f>
        <v/>
      </c>
      <c r="P13" s="2" t="inlineStr">
        <is>
          <t>REAJUSTE +0.0% vs últ. (≤4%)</t>
        </is>
      </c>
      <c r="Q13" s="2" t="inlineStr"/>
    </row>
    <row r="14">
      <c r="A14" s="2" t="n">
        <v>445261</v>
      </c>
      <c r="B14" s="2" t="inlineStr"/>
      <c r="C14" s="3" t="inlineStr">
        <is>
          <t>7896094208278</t>
        </is>
      </c>
      <c r="D14" s="2" t="inlineStr">
        <is>
          <t>SUMAXPRO 500+50MG CX 2 COMP REV</t>
        </is>
      </c>
      <c r="E14" s="4" t="n">
        <v>1</v>
      </c>
      <c r="F14" s="4" t="n">
        <v>2</v>
      </c>
      <c r="G14" s="4" t="n">
        <v>2</v>
      </c>
      <c r="H14" s="5" t="n">
        <v>34.0858</v>
      </c>
      <c r="I14" s="5">
        <f>G14*H14</f>
        <v/>
      </c>
      <c r="J14" s="5">
        <f>H14/E14</f>
        <v/>
      </c>
      <c r="K14" s="5" t="n">
        <v>35.42</v>
      </c>
      <c r="L14" s="5" t="n">
        <v>32.86</v>
      </c>
      <c r="M14" s="5" t="n">
        <v>34.12333333333333</v>
      </c>
      <c r="N14" s="6">
        <f>J14/M14-1</f>
        <v/>
      </c>
      <c r="O14" s="6">
        <f>J14/K14-1</f>
        <v/>
      </c>
      <c r="P14" s="2" t="inlineStr">
        <is>
          <t>OK (≤ últ. compra)</t>
        </is>
      </c>
      <c r="Q14" s="2" t="inlineStr"/>
    </row>
    <row r="15">
      <c r="A15" s="2" t="n">
        <v>395721</v>
      </c>
      <c r="B15" s="2" t="inlineStr"/>
      <c r="C15" s="3" t="inlineStr">
        <is>
          <t>7891010255947</t>
        </is>
      </c>
      <c r="D15" s="2" t="inlineStr">
        <is>
          <t>TYLENOL 200MG SOL OR FR GTS 15ML</t>
        </is>
      </c>
      <c r="E15" s="4" t="n">
        <v>1</v>
      </c>
      <c r="F15" s="4" t="n">
        <v>1</v>
      </c>
      <c r="G15" s="4" t="n">
        <v>1</v>
      </c>
      <c r="H15" s="5" t="n">
        <v>34.6969</v>
      </c>
      <c r="I15" s="5">
        <f>G15*H15</f>
        <v/>
      </c>
      <c r="J15" s="5">
        <f>H15/E15</f>
        <v/>
      </c>
      <c r="K15" s="5" t="n">
        <v>35.85</v>
      </c>
      <c r="L15" s="5" t="n">
        <v>29.67</v>
      </c>
      <c r="M15" s="5" t="n">
        <v>31.73</v>
      </c>
      <c r="N15" s="6">
        <f>J15/M15-1</f>
        <v/>
      </c>
      <c r="O15" s="6">
        <f>J15/K15-1</f>
        <v/>
      </c>
      <c r="P15" s="2" t="inlineStr">
        <is>
          <t>OK (≤ últ. compra)</t>
        </is>
      </c>
      <c r="Q15" s="2" t="inlineStr"/>
    </row>
    <row r="16">
      <c r="D16" s="7" t="inlineStr">
        <is>
          <t>TOTAL</t>
        </is>
      </c>
      <c r="I16" s="8">
        <f>SUM(I2:I15)</f>
        <v/>
      </c>
    </row>
    <row r="18">
      <c r="A18" s="9" t="inlineStr">
        <is>
          <t>Pedido FINAL SBLOG — cotação 08/09/2026 (fechada 09/09). Somente itens aprovados: teto de reajuste de 4% sobre a última compra OU 6% sobre a média histórica (3/6/12m). 'Qtd pedido' na embalagem do fornecedor.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2026-09-09T17:18:10Z</dcterms:created>
  <dcterms:modified xsi:type="dcterms:W3CDTF">2026-09-09T17:18:10Z</dcterms:modified>
</cp:coreProperties>
</file>